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  <externalReference r:id="rId10"/>
  </externalReferences>
  <definedNames>
    <definedName name="_xlnm._FilterDatabase" localSheetId="1" hidden="1">Enforcements!$A$6:$AB$67</definedName>
    <definedName name="_xlnm._FilterDatabase" localSheetId="2" hidden="1">'Missing Trips'!$B$2:$I$2</definedName>
    <definedName name="_xlnm._FilterDatabase" localSheetId="0" hidden="1">'Train Runs'!$A$12:$AG$270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Runs'!$A$12:$J$71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5" i="1" l="1"/>
  <c r="L105" i="1"/>
  <c r="M105" i="1"/>
  <c r="P105" i="1" s="1"/>
  <c r="V105" i="1"/>
  <c r="Y105" i="1"/>
  <c r="Z105" i="1"/>
  <c r="AA105" i="1" s="1"/>
  <c r="AB105" i="1"/>
  <c r="AC105" i="1"/>
  <c r="AD105" i="1"/>
  <c r="T105" i="1" s="1"/>
  <c r="AE105" i="1"/>
  <c r="AF105" i="1"/>
  <c r="AH105" i="1"/>
  <c r="K119" i="1"/>
  <c r="L119" i="1"/>
  <c r="M119" i="1"/>
  <c r="V119" i="1"/>
  <c r="Y119" i="1"/>
  <c r="Z119" i="1"/>
  <c r="AA119" i="1"/>
  <c r="AB119" i="1"/>
  <c r="AC119" i="1"/>
  <c r="AD119" i="1"/>
  <c r="T119" i="1" s="1"/>
  <c r="AE119" i="1"/>
  <c r="AF119" i="1"/>
  <c r="AH119" i="1"/>
  <c r="AG105" i="1" l="1"/>
  <c r="AG119" i="1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13" i="1"/>
  <c r="P115" i="1"/>
  <c r="P93" i="1"/>
  <c r="X26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K19" i="1"/>
  <c r="L19" i="1"/>
  <c r="M19" i="1"/>
  <c r="N19" i="1" s="1"/>
  <c r="V19" i="1"/>
  <c r="Y19" i="1"/>
  <c r="Z19" i="1"/>
  <c r="AA19" i="1" s="1"/>
  <c r="AB19" i="1"/>
  <c r="AC19" i="1"/>
  <c r="AD19" i="1"/>
  <c r="T19" i="1" s="1"/>
  <c r="AE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K23" i="1"/>
  <c r="L23" i="1"/>
  <c r="M23" i="1"/>
  <c r="P23" i="1" s="1"/>
  <c r="V23" i="1"/>
  <c r="Y23" i="1"/>
  <c r="Z23" i="1"/>
  <c r="AB23" i="1"/>
  <c r="AC23" i="1"/>
  <c r="AD23" i="1"/>
  <c r="T23" i="1" s="1"/>
  <c r="AE23" i="1"/>
  <c r="K24" i="1"/>
  <c r="L24" i="1"/>
  <c r="M24" i="1"/>
  <c r="N24" i="1" s="1"/>
  <c r="V24" i="1"/>
  <c r="Y24" i="1"/>
  <c r="Z24" i="1"/>
  <c r="AB24" i="1"/>
  <c r="AC24" i="1"/>
  <c r="AD24" i="1"/>
  <c r="X24" i="1" s="1"/>
  <c r="AE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K32" i="1"/>
  <c r="L32" i="1"/>
  <c r="M32" i="1"/>
  <c r="N32" i="1" s="1"/>
  <c r="V32" i="1"/>
  <c r="Y32" i="1"/>
  <c r="Z32" i="1"/>
  <c r="AA32" i="1" s="1"/>
  <c r="AB32" i="1"/>
  <c r="AC32" i="1"/>
  <c r="AD32" i="1"/>
  <c r="AE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K36" i="1"/>
  <c r="L36" i="1"/>
  <c r="M36" i="1"/>
  <c r="N36" i="1" s="1"/>
  <c r="V36" i="1"/>
  <c r="Y36" i="1"/>
  <c r="Z36" i="1"/>
  <c r="AB36" i="1"/>
  <c r="AC36" i="1"/>
  <c r="AD36" i="1"/>
  <c r="AE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K40" i="1"/>
  <c r="L40" i="1"/>
  <c r="M40" i="1"/>
  <c r="N40" i="1" s="1"/>
  <c r="V40" i="1"/>
  <c r="Y40" i="1"/>
  <c r="Z40" i="1"/>
  <c r="AB40" i="1"/>
  <c r="AC40" i="1"/>
  <c r="AD40" i="1"/>
  <c r="X40" i="1" s="1"/>
  <c r="AE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G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K48" i="1"/>
  <c r="L48" i="1"/>
  <c r="M48" i="1"/>
  <c r="N48" i="1" s="1"/>
  <c r="V48" i="1"/>
  <c r="Y48" i="1"/>
  <c r="Z48" i="1"/>
  <c r="AB48" i="1"/>
  <c r="AC48" i="1"/>
  <c r="AD48" i="1"/>
  <c r="AE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K50" i="1"/>
  <c r="L50" i="1"/>
  <c r="M50" i="1"/>
  <c r="N50" i="1" s="1"/>
  <c r="V50" i="1"/>
  <c r="Y50" i="1"/>
  <c r="Z50" i="1"/>
  <c r="AB50" i="1"/>
  <c r="AC50" i="1"/>
  <c r="AD50" i="1"/>
  <c r="AE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K52" i="1"/>
  <c r="L52" i="1"/>
  <c r="M52" i="1"/>
  <c r="P52" i="1" s="1"/>
  <c r="V52" i="1"/>
  <c r="Y52" i="1"/>
  <c r="Z52" i="1"/>
  <c r="AB52" i="1"/>
  <c r="AC52" i="1"/>
  <c r="AD52" i="1"/>
  <c r="AE52" i="1"/>
  <c r="K53" i="1"/>
  <c r="L53" i="1"/>
  <c r="M53" i="1"/>
  <c r="V53" i="1"/>
  <c r="Y53" i="1"/>
  <c r="Z53" i="1"/>
  <c r="AB53" i="1"/>
  <c r="AC53" i="1"/>
  <c r="AD53" i="1"/>
  <c r="T53" i="1" s="1"/>
  <c r="AE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K55" i="1"/>
  <c r="L55" i="1"/>
  <c r="M55" i="1"/>
  <c r="V55" i="1"/>
  <c r="Y55" i="1"/>
  <c r="Z55" i="1"/>
  <c r="AB55" i="1"/>
  <c r="AC55" i="1"/>
  <c r="AD55" i="1"/>
  <c r="T55" i="1" s="1"/>
  <c r="AE55" i="1"/>
  <c r="K56" i="1"/>
  <c r="L56" i="1"/>
  <c r="M56" i="1"/>
  <c r="V56" i="1"/>
  <c r="Y56" i="1"/>
  <c r="Z56" i="1"/>
  <c r="AB56" i="1"/>
  <c r="AC56" i="1"/>
  <c r="AD56" i="1"/>
  <c r="AG56" i="1" s="1"/>
  <c r="AE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K68" i="1"/>
  <c r="L68" i="1"/>
  <c r="M68" i="1"/>
  <c r="P68" i="1" s="1"/>
  <c r="V68" i="1"/>
  <c r="Y68" i="1"/>
  <c r="Z68" i="1"/>
  <c r="AB68" i="1"/>
  <c r="AC68" i="1"/>
  <c r="AD68" i="1"/>
  <c r="AG68" i="1" s="1"/>
  <c r="AE68" i="1"/>
  <c r="K69" i="1"/>
  <c r="L69" i="1"/>
  <c r="M69" i="1"/>
  <c r="V69" i="1"/>
  <c r="Y69" i="1"/>
  <c r="Z69" i="1"/>
  <c r="AB69" i="1"/>
  <c r="AC69" i="1"/>
  <c r="AD69" i="1"/>
  <c r="T69" i="1" s="1"/>
  <c r="AE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K71" i="1"/>
  <c r="L71" i="1"/>
  <c r="M71" i="1"/>
  <c r="P71" i="1" s="1"/>
  <c r="V71" i="1"/>
  <c r="Y71" i="1"/>
  <c r="Z71" i="1"/>
  <c r="AB71" i="1"/>
  <c r="AC71" i="1"/>
  <c r="AD71" i="1"/>
  <c r="T71" i="1" s="1"/>
  <c r="AE71" i="1"/>
  <c r="K72" i="1"/>
  <c r="L72" i="1"/>
  <c r="M72" i="1"/>
  <c r="V72" i="1"/>
  <c r="Y72" i="1"/>
  <c r="Z72" i="1"/>
  <c r="AB72" i="1"/>
  <c r="AC72" i="1"/>
  <c r="AD72" i="1"/>
  <c r="AG72" i="1" s="1"/>
  <c r="AE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K76" i="1"/>
  <c r="L76" i="1"/>
  <c r="M76" i="1"/>
  <c r="P76" i="1" s="1"/>
  <c r="V76" i="1"/>
  <c r="Y76" i="1"/>
  <c r="Z76" i="1"/>
  <c r="AB76" i="1"/>
  <c r="AC76" i="1"/>
  <c r="AD76" i="1"/>
  <c r="AG76" i="1" s="1"/>
  <c r="AE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K80" i="1"/>
  <c r="L80" i="1"/>
  <c r="M80" i="1"/>
  <c r="P80" i="1" s="1"/>
  <c r="V80" i="1"/>
  <c r="Y80" i="1"/>
  <c r="Z80" i="1"/>
  <c r="AB80" i="1"/>
  <c r="AC80" i="1"/>
  <c r="AD80" i="1"/>
  <c r="AG80" i="1" s="1"/>
  <c r="AE80" i="1"/>
  <c r="K81" i="1"/>
  <c r="L81" i="1"/>
  <c r="M81" i="1"/>
  <c r="V81" i="1"/>
  <c r="Y81" i="1"/>
  <c r="Z81" i="1"/>
  <c r="AB81" i="1"/>
  <c r="AC81" i="1"/>
  <c r="AD81" i="1"/>
  <c r="AE81" i="1"/>
  <c r="K82" i="1"/>
  <c r="L82" i="1"/>
  <c r="M82" i="1"/>
  <c r="N82" i="1" s="1"/>
  <c r="V82" i="1"/>
  <c r="Y82" i="1"/>
  <c r="Z82" i="1"/>
  <c r="AB82" i="1"/>
  <c r="AC82" i="1"/>
  <c r="AD82" i="1"/>
  <c r="AE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K85" i="1"/>
  <c r="L85" i="1"/>
  <c r="M85" i="1"/>
  <c r="V85" i="1"/>
  <c r="Y85" i="1"/>
  <c r="Z85" i="1"/>
  <c r="AB85" i="1"/>
  <c r="AC85" i="1"/>
  <c r="AD85" i="1"/>
  <c r="T85" i="1" s="1"/>
  <c r="AE85" i="1"/>
  <c r="K86" i="1"/>
  <c r="L86" i="1"/>
  <c r="M86" i="1"/>
  <c r="V86" i="1"/>
  <c r="Y86" i="1"/>
  <c r="Z86" i="1"/>
  <c r="AB86" i="1"/>
  <c r="AC86" i="1"/>
  <c r="AD86" i="1"/>
  <c r="T86" i="1" s="1"/>
  <c r="AE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K88" i="1"/>
  <c r="L88" i="1"/>
  <c r="M88" i="1"/>
  <c r="N88" i="1" s="1"/>
  <c r="V88" i="1"/>
  <c r="Y88" i="1"/>
  <c r="Z88" i="1"/>
  <c r="AB88" i="1"/>
  <c r="AC88" i="1"/>
  <c r="AD88" i="1"/>
  <c r="AE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K90" i="1"/>
  <c r="L90" i="1"/>
  <c r="M90" i="1"/>
  <c r="P90" i="1" s="1"/>
  <c r="V90" i="1"/>
  <c r="Y90" i="1"/>
  <c r="Z90" i="1"/>
  <c r="AB90" i="1"/>
  <c r="AC90" i="1"/>
  <c r="AD90" i="1"/>
  <c r="T90" i="1" s="1"/>
  <c r="AE90" i="1"/>
  <c r="K91" i="1"/>
  <c r="L91" i="1"/>
  <c r="M91" i="1"/>
  <c r="V91" i="1"/>
  <c r="Y91" i="1"/>
  <c r="Z91" i="1"/>
  <c r="AB91" i="1"/>
  <c r="AC91" i="1"/>
  <c r="AD91" i="1"/>
  <c r="AG91" i="1" s="1"/>
  <c r="AE91" i="1"/>
  <c r="K92" i="1"/>
  <c r="L92" i="1"/>
  <c r="M92" i="1"/>
  <c r="N92" i="1" s="1"/>
  <c r="V92" i="1"/>
  <c r="S22" i="3" s="1"/>
  <c r="Y92" i="1"/>
  <c r="Z92" i="1"/>
  <c r="AB92" i="1"/>
  <c r="AC92" i="1"/>
  <c r="AD92" i="1"/>
  <c r="AE92" i="1"/>
  <c r="R22" i="3" s="1"/>
  <c r="K93" i="1"/>
  <c r="L93" i="1"/>
  <c r="M93" i="1"/>
  <c r="V93" i="1"/>
  <c r="Y93" i="1"/>
  <c r="Z93" i="1"/>
  <c r="AB93" i="1"/>
  <c r="AC93" i="1"/>
  <c r="AD93" i="1"/>
  <c r="T93" i="1" s="1"/>
  <c r="AE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K107" i="1"/>
  <c r="L107" i="1"/>
  <c r="M107" i="1"/>
  <c r="N107" i="1" s="1"/>
  <c r="V107" i="1"/>
  <c r="Y107" i="1"/>
  <c r="Z107" i="1"/>
  <c r="AB107" i="1"/>
  <c r="AC107" i="1"/>
  <c r="AD107" i="1"/>
  <c r="AE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K115" i="1"/>
  <c r="L115" i="1"/>
  <c r="M115" i="1"/>
  <c r="V115" i="1"/>
  <c r="Y115" i="1"/>
  <c r="Z115" i="1"/>
  <c r="AB115" i="1"/>
  <c r="AC115" i="1"/>
  <c r="AD115" i="1"/>
  <c r="T115" i="1" s="1"/>
  <c r="AE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K118" i="1"/>
  <c r="L118" i="1"/>
  <c r="M118" i="1"/>
  <c r="N118" i="1" s="1"/>
  <c r="V118" i="1"/>
  <c r="Y118" i="1"/>
  <c r="Z118" i="1"/>
  <c r="AB118" i="1"/>
  <c r="AC118" i="1"/>
  <c r="AD118" i="1"/>
  <c r="X119" i="1" s="1"/>
  <c r="AE118" i="1"/>
  <c r="K120" i="1"/>
  <c r="L120" i="1"/>
  <c r="M120" i="1"/>
  <c r="N120" i="1" s="1"/>
  <c r="V120" i="1"/>
  <c r="Y120" i="1"/>
  <c r="Z120" i="1"/>
  <c r="AB120" i="1"/>
  <c r="AC120" i="1"/>
  <c r="AD120" i="1"/>
  <c r="X120" i="1" s="1"/>
  <c r="AE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K122" i="1"/>
  <c r="L122" i="1"/>
  <c r="M122" i="1"/>
  <c r="N122" i="1" s="1"/>
  <c r="V122" i="1"/>
  <c r="Y122" i="1"/>
  <c r="Z122" i="1"/>
  <c r="AB122" i="1"/>
  <c r="AC122" i="1"/>
  <c r="AD122" i="1"/>
  <c r="AE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K124" i="1"/>
  <c r="L124" i="1"/>
  <c r="M124" i="1"/>
  <c r="N124" i="1" s="1"/>
  <c r="V124" i="1"/>
  <c r="Y124" i="1"/>
  <c r="Z124" i="1"/>
  <c r="AB124" i="1"/>
  <c r="AC124" i="1"/>
  <c r="AD124" i="1"/>
  <c r="AE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K127" i="1"/>
  <c r="L127" i="1"/>
  <c r="M127" i="1"/>
  <c r="N127" i="1" s="1"/>
  <c r="V127" i="1"/>
  <c r="Y127" i="1"/>
  <c r="Z127" i="1"/>
  <c r="AB127" i="1"/>
  <c r="AC127" i="1"/>
  <c r="AD127" i="1"/>
  <c r="AE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K134" i="1"/>
  <c r="L134" i="1"/>
  <c r="M134" i="1"/>
  <c r="N134" i="1" s="1"/>
  <c r="V134" i="1"/>
  <c r="Y134" i="1"/>
  <c r="Z134" i="1"/>
  <c r="AB134" i="1"/>
  <c r="AC134" i="1"/>
  <c r="AD134" i="1"/>
  <c r="AE134" i="1"/>
  <c r="K135" i="1"/>
  <c r="L135" i="1"/>
  <c r="M135" i="1"/>
  <c r="N135" i="1" s="1"/>
  <c r="V135" i="1"/>
  <c r="Y135" i="1"/>
  <c r="Z135" i="1"/>
  <c r="AB135" i="1"/>
  <c r="AC135" i="1"/>
  <c r="AD135" i="1"/>
  <c r="AE135" i="1"/>
  <c r="K136" i="1"/>
  <c r="L136" i="1"/>
  <c r="M136" i="1"/>
  <c r="N136" i="1" s="1"/>
  <c r="V136" i="1"/>
  <c r="Y136" i="1"/>
  <c r="Z136" i="1"/>
  <c r="AA136" i="1" s="1"/>
  <c r="AB136" i="1"/>
  <c r="AC136" i="1"/>
  <c r="AD136" i="1"/>
  <c r="AG136" i="1" s="1"/>
  <c r="AE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K139" i="1"/>
  <c r="L139" i="1"/>
  <c r="M139" i="1"/>
  <c r="N139" i="1" s="1"/>
  <c r="V139" i="1"/>
  <c r="Y139" i="1"/>
  <c r="Z139" i="1"/>
  <c r="AB139" i="1"/>
  <c r="AC139" i="1"/>
  <c r="AD139" i="1"/>
  <c r="AE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K143" i="1"/>
  <c r="L143" i="1"/>
  <c r="M143" i="1"/>
  <c r="N143" i="1" s="1"/>
  <c r="V143" i="1"/>
  <c r="Y143" i="1"/>
  <c r="Z143" i="1"/>
  <c r="AB143" i="1"/>
  <c r="AC143" i="1"/>
  <c r="AD143" i="1"/>
  <c r="AE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K147" i="1"/>
  <c r="L147" i="1"/>
  <c r="M147" i="1"/>
  <c r="P147" i="1" s="1"/>
  <c r="V147" i="1"/>
  <c r="Y147" i="1"/>
  <c r="Z147" i="1"/>
  <c r="AB147" i="1"/>
  <c r="AC147" i="1"/>
  <c r="AD147" i="1"/>
  <c r="T147" i="1" s="1"/>
  <c r="AE147" i="1"/>
  <c r="K148" i="1"/>
  <c r="L148" i="1"/>
  <c r="M148" i="1"/>
  <c r="N148" i="1" s="1"/>
  <c r="V148" i="1"/>
  <c r="X148" i="1"/>
  <c r="Y148" i="1"/>
  <c r="Z148" i="1"/>
  <c r="AB148" i="1"/>
  <c r="AC148" i="1"/>
  <c r="AD148" i="1"/>
  <c r="AG148" i="1" s="1"/>
  <c r="AE148" i="1"/>
  <c r="K149" i="1"/>
  <c r="L149" i="1"/>
  <c r="M149" i="1"/>
  <c r="P149" i="1" s="1"/>
  <c r="V149" i="1"/>
  <c r="Y149" i="1"/>
  <c r="Z149" i="1"/>
  <c r="AB149" i="1"/>
  <c r="AC149" i="1"/>
  <c r="AD149" i="1"/>
  <c r="T149" i="1" s="1"/>
  <c r="AE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K151" i="1"/>
  <c r="L151" i="1"/>
  <c r="M151" i="1"/>
  <c r="N151" i="1" s="1"/>
  <c r="V151" i="1"/>
  <c r="Y151" i="1"/>
  <c r="Z151" i="1"/>
  <c r="AB151" i="1"/>
  <c r="AC151" i="1"/>
  <c r="AD151" i="1"/>
  <c r="X151" i="1" s="1"/>
  <c r="AE151" i="1"/>
  <c r="K152" i="1"/>
  <c r="L152" i="1"/>
  <c r="M152" i="1"/>
  <c r="N152" i="1" s="1"/>
  <c r="V152" i="1"/>
  <c r="Y152" i="1"/>
  <c r="Z152" i="1"/>
  <c r="AA152" i="1" s="1"/>
  <c r="AB152" i="1"/>
  <c r="AC152" i="1"/>
  <c r="AD152" i="1"/>
  <c r="AG152" i="1" s="1"/>
  <c r="AE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K155" i="1"/>
  <c r="L155" i="1"/>
  <c r="M155" i="1"/>
  <c r="N155" i="1" s="1"/>
  <c r="V155" i="1"/>
  <c r="Y155" i="1"/>
  <c r="Z155" i="1"/>
  <c r="AB155" i="1"/>
  <c r="AC155" i="1"/>
  <c r="AD155" i="1"/>
  <c r="X155" i="1" s="1"/>
  <c r="AE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K159" i="1"/>
  <c r="L159" i="1"/>
  <c r="M159" i="1"/>
  <c r="N159" i="1" s="1"/>
  <c r="V159" i="1"/>
  <c r="Y159" i="1"/>
  <c r="Z159" i="1"/>
  <c r="AB159" i="1"/>
  <c r="AC159" i="1"/>
  <c r="AD159" i="1"/>
  <c r="AE159" i="1"/>
  <c r="K160" i="1"/>
  <c r="L160" i="1"/>
  <c r="M160" i="1"/>
  <c r="N160" i="1" s="1"/>
  <c r="V160" i="1"/>
  <c r="Y160" i="1"/>
  <c r="Z160" i="1"/>
  <c r="AA160" i="1" s="1"/>
  <c r="AB160" i="1"/>
  <c r="AC160" i="1"/>
  <c r="AD160" i="1"/>
  <c r="AG160" i="1" s="1"/>
  <c r="AE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K162" i="1"/>
  <c r="L162" i="1"/>
  <c r="M162" i="1"/>
  <c r="N162" i="1" s="1"/>
  <c r="V162" i="1"/>
  <c r="Y162" i="1"/>
  <c r="Z162" i="1"/>
  <c r="AB162" i="1"/>
  <c r="AC162" i="1"/>
  <c r="AD162" i="1"/>
  <c r="AE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K211" i="1"/>
  <c r="L211" i="1"/>
  <c r="M211" i="1"/>
  <c r="N211" i="1" s="1"/>
  <c r="V211" i="1"/>
  <c r="Y211" i="1"/>
  <c r="Z211" i="1"/>
  <c r="AB211" i="1"/>
  <c r="AC211" i="1"/>
  <c r="AD211" i="1"/>
  <c r="AE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K213" i="1"/>
  <c r="L213" i="1"/>
  <c r="M213" i="1"/>
  <c r="N213" i="1" s="1"/>
  <c r="V213" i="1"/>
  <c r="Y213" i="1"/>
  <c r="Z213" i="1"/>
  <c r="AB213" i="1"/>
  <c r="AC213" i="1"/>
  <c r="AD213" i="1"/>
  <c r="AE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K164" i="1"/>
  <c r="L164" i="1"/>
  <c r="M164" i="1"/>
  <c r="N164" i="1" s="1"/>
  <c r="V164" i="1"/>
  <c r="S49" i="3" s="1"/>
  <c r="Y164" i="1"/>
  <c r="Z164" i="1"/>
  <c r="AB164" i="1"/>
  <c r="AC164" i="1"/>
  <c r="AD164" i="1"/>
  <c r="AG164" i="1" s="1"/>
  <c r="AE164" i="1"/>
  <c r="K165" i="1"/>
  <c r="L165" i="1"/>
  <c r="M165" i="1"/>
  <c r="N165" i="1" s="1"/>
  <c r="V165" i="1"/>
  <c r="Y165" i="1"/>
  <c r="Z165" i="1"/>
  <c r="AB165" i="1"/>
  <c r="AC165" i="1"/>
  <c r="AD165" i="1"/>
  <c r="AE165" i="1"/>
  <c r="K166" i="1"/>
  <c r="L166" i="1"/>
  <c r="M166" i="1"/>
  <c r="N166" i="1" s="1"/>
  <c r="V166" i="1"/>
  <c r="Y166" i="1"/>
  <c r="Z166" i="1"/>
  <c r="AB166" i="1"/>
  <c r="AC166" i="1"/>
  <c r="AD166" i="1"/>
  <c r="AE166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K169" i="1"/>
  <c r="L169" i="1"/>
  <c r="M169" i="1"/>
  <c r="N169" i="1" s="1"/>
  <c r="V169" i="1"/>
  <c r="Y169" i="1"/>
  <c r="Z169" i="1"/>
  <c r="AB169" i="1"/>
  <c r="AC169" i="1"/>
  <c r="AD169" i="1"/>
  <c r="AE169" i="1"/>
  <c r="K170" i="1"/>
  <c r="L170" i="1"/>
  <c r="M170" i="1"/>
  <c r="N170" i="1" s="1"/>
  <c r="V170" i="1"/>
  <c r="Y170" i="1"/>
  <c r="Z170" i="1"/>
  <c r="AB170" i="1"/>
  <c r="AC170" i="1"/>
  <c r="AD170" i="1"/>
  <c r="AE170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K174" i="1"/>
  <c r="L174" i="1"/>
  <c r="M174" i="1"/>
  <c r="N174" i="1" s="1"/>
  <c r="V174" i="1"/>
  <c r="Y174" i="1"/>
  <c r="Z174" i="1"/>
  <c r="AB174" i="1"/>
  <c r="AC174" i="1"/>
  <c r="AD174" i="1"/>
  <c r="AE17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K178" i="1"/>
  <c r="L178" i="1"/>
  <c r="M178" i="1"/>
  <c r="N178" i="1" s="1"/>
  <c r="V178" i="1"/>
  <c r="Y178" i="1"/>
  <c r="Z178" i="1"/>
  <c r="AB178" i="1"/>
  <c r="AC178" i="1"/>
  <c r="AD178" i="1"/>
  <c r="AE178" i="1"/>
  <c r="K179" i="1"/>
  <c r="L179" i="1"/>
  <c r="M179" i="1"/>
  <c r="N179" i="1" s="1"/>
  <c r="V179" i="1"/>
  <c r="X179" i="1"/>
  <c r="Y179" i="1"/>
  <c r="Z179" i="1"/>
  <c r="AB179" i="1"/>
  <c r="AC179" i="1"/>
  <c r="AD179" i="1"/>
  <c r="AG179" i="1" s="1"/>
  <c r="AE17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K187" i="1"/>
  <c r="L187" i="1"/>
  <c r="M187" i="1"/>
  <c r="N187" i="1" s="1"/>
  <c r="V187" i="1"/>
  <c r="Y187" i="1"/>
  <c r="Z187" i="1"/>
  <c r="AB187" i="1"/>
  <c r="AC187" i="1"/>
  <c r="AD187" i="1"/>
  <c r="AE18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K195" i="1"/>
  <c r="L195" i="1"/>
  <c r="M195" i="1"/>
  <c r="N195" i="1" s="1"/>
  <c r="V195" i="1"/>
  <c r="Y195" i="1"/>
  <c r="Z195" i="1"/>
  <c r="AB195" i="1"/>
  <c r="AC195" i="1"/>
  <c r="AD195" i="1"/>
  <c r="AE195" i="1"/>
  <c r="K196" i="1"/>
  <c r="L196" i="1"/>
  <c r="M196" i="1"/>
  <c r="N196" i="1" s="1"/>
  <c r="V196" i="1"/>
  <c r="S54" i="3" s="1"/>
  <c r="Y196" i="1"/>
  <c r="Z196" i="1"/>
  <c r="AB196" i="1"/>
  <c r="AC196" i="1"/>
  <c r="AD196" i="1"/>
  <c r="AE196" i="1"/>
  <c r="R54" i="3" s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K199" i="1"/>
  <c r="L199" i="1"/>
  <c r="M199" i="1"/>
  <c r="N199" i="1" s="1"/>
  <c r="V199" i="1"/>
  <c r="S58" i="3" s="1"/>
  <c r="Y199" i="1"/>
  <c r="Z199" i="1"/>
  <c r="AB199" i="1"/>
  <c r="AC199" i="1"/>
  <c r="AD199" i="1"/>
  <c r="AE199" i="1"/>
  <c r="R58" i="3" s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K202" i="1"/>
  <c r="L202" i="1"/>
  <c r="M202" i="1"/>
  <c r="N202" i="1" s="1"/>
  <c r="V202" i="1"/>
  <c r="Y202" i="1"/>
  <c r="Z202" i="1"/>
  <c r="AB202" i="1"/>
  <c r="AC202" i="1"/>
  <c r="AD202" i="1"/>
  <c r="AE202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K208" i="1"/>
  <c r="L208" i="1"/>
  <c r="M208" i="1"/>
  <c r="N208" i="1" s="1"/>
  <c r="V208" i="1"/>
  <c r="Y208" i="1"/>
  <c r="Z208" i="1"/>
  <c r="AB208" i="1"/>
  <c r="AC208" i="1"/>
  <c r="AD208" i="1"/>
  <c r="AE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K221" i="1"/>
  <c r="L221" i="1"/>
  <c r="M221" i="1"/>
  <c r="N221" i="1" s="1"/>
  <c r="V221" i="1"/>
  <c r="S59" i="3" s="1"/>
  <c r="Y221" i="1"/>
  <c r="Z221" i="1"/>
  <c r="AB221" i="1"/>
  <c r="AC221" i="1"/>
  <c r="AD221" i="1"/>
  <c r="T221" i="1" s="1"/>
  <c r="AE221" i="1"/>
  <c r="R59" i="3" s="1"/>
  <c r="N18" i="3"/>
  <c r="U18" i="3"/>
  <c r="T18" i="3" s="1"/>
  <c r="V18" i="3"/>
  <c r="W18" i="3"/>
  <c r="X18" i="3"/>
  <c r="N23" i="3"/>
  <c r="U23" i="3"/>
  <c r="T23" i="3" s="1"/>
  <c r="V23" i="3"/>
  <c r="W23" i="3"/>
  <c r="Y23" i="3" s="1"/>
  <c r="X23" i="3"/>
  <c r="N7" i="3"/>
  <c r="U7" i="3"/>
  <c r="T7" i="3" s="1"/>
  <c r="V7" i="3"/>
  <c r="W7" i="3"/>
  <c r="Y7" i="3" s="1"/>
  <c r="X7" i="3"/>
  <c r="N49" i="3"/>
  <c r="R49" i="3"/>
  <c r="U49" i="3"/>
  <c r="T49" i="3" s="1"/>
  <c r="V49" i="3"/>
  <c r="W49" i="3"/>
  <c r="X49" i="3"/>
  <c r="N19" i="3"/>
  <c r="U19" i="3"/>
  <c r="T19" i="3" s="1"/>
  <c r="V19" i="3"/>
  <c r="W19" i="3"/>
  <c r="X19" i="3"/>
  <c r="N44" i="3"/>
  <c r="U44" i="3"/>
  <c r="T44" i="3" s="1"/>
  <c r="V44" i="3"/>
  <c r="W44" i="3"/>
  <c r="X44" i="3"/>
  <c r="N15" i="3"/>
  <c r="U15" i="3"/>
  <c r="T15" i="3" s="1"/>
  <c r="V15" i="3"/>
  <c r="W15" i="3"/>
  <c r="X15" i="3"/>
  <c r="N55" i="3"/>
  <c r="U55" i="3"/>
  <c r="T55" i="3" s="1"/>
  <c r="V55" i="3"/>
  <c r="W55" i="3"/>
  <c r="X55" i="3"/>
  <c r="N20" i="3"/>
  <c r="U20" i="3"/>
  <c r="T20" i="3" s="1"/>
  <c r="V20" i="3"/>
  <c r="W20" i="3"/>
  <c r="X20" i="3"/>
  <c r="N56" i="3"/>
  <c r="U56" i="3"/>
  <c r="T56" i="3" s="1"/>
  <c r="V56" i="3"/>
  <c r="W56" i="3"/>
  <c r="X56" i="3"/>
  <c r="N50" i="3"/>
  <c r="U50" i="3"/>
  <c r="T50" i="3" s="1"/>
  <c r="V50" i="3"/>
  <c r="W50" i="3"/>
  <c r="X50" i="3"/>
  <c r="N43" i="3"/>
  <c r="U43" i="3"/>
  <c r="T43" i="3" s="1"/>
  <c r="V43" i="3"/>
  <c r="W43" i="3"/>
  <c r="X43" i="3"/>
  <c r="N13" i="3"/>
  <c r="U13" i="3"/>
  <c r="T13" i="3" s="1"/>
  <c r="V13" i="3"/>
  <c r="W13" i="3"/>
  <c r="X13" i="3"/>
  <c r="N26" i="3"/>
  <c r="U26" i="3"/>
  <c r="T26" i="3" s="1"/>
  <c r="V26" i="3"/>
  <c r="W26" i="3"/>
  <c r="X26" i="3"/>
  <c r="N48" i="3"/>
  <c r="U48" i="3"/>
  <c r="T48" i="3" s="1"/>
  <c r="V48" i="3"/>
  <c r="W48" i="3"/>
  <c r="X48" i="3"/>
  <c r="N8" i="3"/>
  <c r="U8" i="3"/>
  <c r="T8" i="3" s="1"/>
  <c r="V8" i="3"/>
  <c r="W8" i="3"/>
  <c r="X8" i="3"/>
  <c r="N45" i="3"/>
  <c r="U45" i="3"/>
  <c r="T45" i="3" s="1"/>
  <c r="V45" i="3"/>
  <c r="W45" i="3"/>
  <c r="X45" i="3"/>
  <c r="N57" i="3"/>
  <c r="U57" i="3"/>
  <c r="T57" i="3" s="1"/>
  <c r="V57" i="3"/>
  <c r="W57" i="3"/>
  <c r="Y57" i="3" s="1"/>
  <c r="X57" i="3"/>
  <c r="N36" i="3"/>
  <c r="U36" i="3"/>
  <c r="T36" i="3" s="1"/>
  <c r="V36" i="3"/>
  <c r="W36" i="3"/>
  <c r="Y36" i="3" s="1"/>
  <c r="X36" i="3"/>
  <c r="N51" i="3"/>
  <c r="U51" i="3"/>
  <c r="T51" i="3" s="1"/>
  <c r="V51" i="3"/>
  <c r="W51" i="3"/>
  <c r="X51" i="3"/>
  <c r="N52" i="3"/>
  <c r="U52" i="3"/>
  <c r="T52" i="3" s="1"/>
  <c r="V52" i="3"/>
  <c r="W52" i="3"/>
  <c r="X52" i="3"/>
  <c r="N25" i="3"/>
  <c r="U25" i="3"/>
  <c r="T25" i="3" s="1"/>
  <c r="V25" i="3"/>
  <c r="W25" i="3"/>
  <c r="Y25" i="3" s="1"/>
  <c r="X25" i="3"/>
  <c r="N21" i="3"/>
  <c r="U21" i="3"/>
  <c r="T21" i="3" s="1"/>
  <c r="V21" i="3"/>
  <c r="W21" i="3"/>
  <c r="Y21" i="3" s="1"/>
  <c r="X21" i="3"/>
  <c r="N29" i="3"/>
  <c r="U29" i="3"/>
  <c r="T29" i="3" s="1"/>
  <c r="V29" i="3"/>
  <c r="W29" i="3"/>
  <c r="X29" i="3"/>
  <c r="N30" i="3"/>
  <c r="U30" i="3"/>
  <c r="T30" i="3" s="1"/>
  <c r="V30" i="3"/>
  <c r="W30" i="3"/>
  <c r="X30" i="3"/>
  <c r="N37" i="3"/>
  <c r="U37" i="3"/>
  <c r="T37" i="3" s="1"/>
  <c r="V37" i="3"/>
  <c r="W37" i="3"/>
  <c r="X37" i="3"/>
  <c r="N31" i="3"/>
  <c r="U31" i="3"/>
  <c r="T31" i="3" s="1"/>
  <c r="V31" i="3"/>
  <c r="W31" i="3"/>
  <c r="X31" i="3"/>
  <c r="N9" i="3"/>
  <c r="U9" i="3"/>
  <c r="T9" i="3" s="1"/>
  <c r="V9" i="3"/>
  <c r="W9" i="3"/>
  <c r="X9" i="3"/>
  <c r="N46" i="3"/>
  <c r="U46" i="3"/>
  <c r="T46" i="3" s="1"/>
  <c r="V46" i="3"/>
  <c r="W46" i="3"/>
  <c r="X46" i="3"/>
  <c r="N27" i="3"/>
  <c r="U27" i="3"/>
  <c r="T27" i="3" s="1"/>
  <c r="V27" i="3"/>
  <c r="W27" i="3"/>
  <c r="X27" i="3"/>
  <c r="N24" i="3"/>
  <c r="U24" i="3"/>
  <c r="T24" i="3" s="1"/>
  <c r="V24" i="3"/>
  <c r="W24" i="3"/>
  <c r="X24" i="3"/>
  <c r="N32" i="3"/>
  <c r="U32" i="3"/>
  <c r="T32" i="3" s="1"/>
  <c r="V32" i="3"/>
  <c r="W32" i="3"/>
  <c r="X32" i="3"/>
  <c r="N10" i="3"/>
  <c r="U10" i="3"/>
  <c r="T10" i="3" s="1"/>
  <c r="V10" i="3"/>
  <c r="W10" i="3"/>
  <c r="X10" i="3"/>
  <c r="N38" i="3"/>
  <c r="U38" i="3"/>
  <c r="T38" i="3" s="1"/>
  <c r="V38" i="3"/>
  <c r="W38" i="3"/>
  <c r="X38" i="3"/>
  <c r="N22" i="3"/>
  <c r="U22" i="3"/>
  <c r="T22" i="3" s="1"/>
  <c r="V22" i="3"/>
  <c r="W22" i="3"/>
  <c r="X22" i="3"/>
  <c r="N33" i="3"/>
  <c r="U33" i="3"/>
  <c r="T33" i="3" s="1"/>
  <c r="V33" i="3"/>
  <c r="W33" i="3"/>
  <c r="X33" i="3"/>
  <c r="N47" i="3"/>
  <c r="U47" i="3"/>
  <c r="T47" i="3" s="1"/>
  <c r="V47" i="3"/>
  <c r="W47" i="3"/>
  <c r="X47" i="3"/>
  <c r="N34" i="3"/>
  <c r="U34" i="3"/>
  <c r="T34" i="3" s="1"/>
  <c r="V34" i="3"/>
  <c r="W34" i="3"/>
  <c r="X34" i="3"/>
  <c r="N14" i="3"/>
  <c r="U14" i="3"/>
  <c r="T14" i="3" s="1"/>
  <c r="V14" i="3"/>
  <c r="W14" i="3"/>
  <c r="X14" i="3"/>
  <c r="N53" i="3"/>
  <c r="U53" i="3"/>
  <c r="T53" i="3" s="1"/>
  <c r="V53" i="3"/>
  <c r="W53" i="3"/>
  <c r="X53" i="3"/>
  <c r="N42" i="3"/>
  <c r="U42" i="3"/>
  <c r="T42" i="3" s="1"/>
  <c r="V42" i="3"/>
  <c r="W42" i="3"/>
  <c r="X42" i="3"/>
  <c r="N39" i="3"/>
  <c r="U39" i="3"/>
  <c r="T39" i="3" s="1"/>
  <c r="V39" i="3"/>
  <c r="W39" i="3"/>
  <c r="X39" i="3"/>
  <c r="N40" i="3"/>
  <c r="U40" i="3"/>
  <c r="T40" i="3" s="1"/>
  <c r="V40" i="3"/>
  <c r="W40" i="3"/>
  <c r="X40" i="3"/>
  <c r="N35" i="3"/>
  <c r="U35" i="3"/>
  <c r="T35" i="3" s="1"/>
  <c r="V35" i="3"/>
  <c r="W35" i="3"/>
  <c r="X35" i="3"/>
  <c r="N16" i="3"/>
  <c r="U16" i="3"/>
  <c r="T16" i="3" s="1"/>
  <c r="V16" i="3"/>
  <c r="W16" i="3"/>
  <c r="X16" i="3"/>
  <c r="N54" i="3"/>
  <c r="U54" i="3"/>
  <c r="T54" i="3" s="1"/>
  <c r="V54" i="3"/>
  <c r="W54" i="3"/>
  <c r="Y54" i="3" s="1"/>
  <c r="X54" i="3"/>
  <c r="N58" i="3"/>
  <c r="U58" i="3"/>
  <c r="T58" i="3" s="1"/>
  <c r="V58" i="3"/>
  <c r="W58" i="3"/>
  <c r="Y58" i="3" s="1"/>
  <c r="X58" i="3"/>
  <c r="N41" i="3"/>
  <c r="U41" i="3"/>
  <c r="T41" i="3" s="1"/>
  <c r="V41" i="3"/>
  <c r="W41" i="3"/>
  <c r="X41" i="3"/>
  <c r="N12" i="3"/>
  <c r="U12" i="3"/>
  <c r="T12" i="3" s="1"/>
  <c r="V12" i="3"/>
  <c r="W12" i="3"/>
  <c r="X12" i="3"/>
  <c r="N28" i="3"/>
  <c r="U28" i="3"/>
  <c r="T28" i="3" s="1"/>
  <c r="V28" i="3"/>
  <c r="W28" i="3"/>
  <c r="X28" i="3"/>
  <c r="N59" i="3"/>
  <c r="U59" i="3"/>
  <c r="T59" i="3" s="1"/>
  <c r="V59" i="3"/>
  <c r="W59" i="3"/>
  <c r="Y59" i="3" s="1"/>
  <c r="X59" i="3"/>
  <c r="N11" i="3"/>
  <c r="U11" i="3"/>
  <c r="T11" i="3" s="1"/>
  <c r="V11" i="3"/>
  <c r="W11" i="3"/>
  <c r="X11" i="3"/>
  <c r="X21" i="1" l="1"/>
  <c r="X25" i="1"/>
  <c r="X113" i="1"/>
  <c r="AG21" i="1"/>
  <c r="X105" i="1"/>
  <c r="X22" i="1"/>
  <c r="AA180" i="1"/>
  <c r="W180" i="1" s="1"/>
  <c r="T171" i="1"/>
  <c r="T107" i="1"/>
  <c r="X107" i="1"/>
  <c r="X199" i="1"/>
  <c r="AG146" i="1"/>
  <c r="X143" i="1"/>
  <c r="X96" i="1"/>
  <c r="P85" i="1"/>
  <c r="P55" i="1"/>
  <c r="X48" i="1"/>
  <c r="X33" i="1"/>
  <c r="X23" i="1"/>
  <c r="X106" i="1"/>
  <c r="AI105" i="1"/>
  <c r="U105" i="1"/>
  <c r="S105" i="1" s="1"/>
  <c r="W105" i="1"/>
  <c r="U119" i="1"/>
  <c r="S119" i="1" s="1"/>
  <c r="AI119" i="1"/>
  <c r="W119" i="1"/>
  <c r="AA196" i="1"/>
  <c r="W196" i="1" s="1"/>
  <c r="X191" i="1"/>
  <c r="X187" i="1"/>
  <c r="AA174" i="1"/>
  <c r="AG172" i="1"/>
  <c r="W172" i="1" s="1"/>
  <c r="AA71" i="1"/>
  <c r="Y22" i="3"/>
  <c r="T198" i="1"/>
  <c r="AA132" i="1"/>
  <c r="W132" i="1" s="1"/>
  <c r="T116" i="1"/>
  <c r="U116" i="1" s="1"/>
  <c r="S116" i="1" s="1"/>
  <c r="AA85" i="1"/>
  <c r="AA47" i="1"/>
  <c r="AA42" i="1"/>
  <c r="AA34" i="1"/>
  <c r="AA29" i="1"/>
  <c r="AA28" i="1"/>
  <c r="Y39" i="3"/>
  <c r="Y28" i="3"/>
  <c r="Y16" i="3"/>
  <c r="Y42" i="3"/>
  <c r="Y24" i="3"/>
  <c r="Y31" i="3"/>
  <c r="Y15" i="3"/>
  <c r="Y41" i="3"/>
  <c r="Y38" i="3"/>
  <c r="Y27" i="3"/>
  <c r="Y37" i="3"/>
  <c r="Y51" i="3"/>
  <c r="Y45" i="3"/>
  <c r="Y44" i="3"/>
  <c r="Y35" i="3"/>
  <c r="Y10" i="3"/>
  <c r="Y46" i="3"/>
  <c r="Y13" i="3"/>
  <c r="U146" i="1"/>
  <c r="S146" i="1" s="1"/>
  <c r="T91" i="1"/>
  <c r="U91" i="1" s="1"/>
  <c r="AA205" i="1"/>
  <c r="AA200" i="1"/>
  <c r="AA178" i="1"/>
  <c r="AG176" i="1"/>
  <c r="AA167" i="1"/>
  <c r="AA107" i="1"/>
  <c r="AA77" i="1"/>
  <c r="AA41" i="1"/>
  <c r="AA39" i="1"/>
  <c r="AG210" i="1"/>
  <c r="AA171" i="1"/>
  <c r="W171" i="1" s="1"/>
  <c r="X215" i="1"/>
  <c r="AA148" i="1"/>
  <c r="AI148" i="1" s="1"/>
  <c r="AG130" i="1"/>
  <c r="U130" i="1" s="1"/>
  <c r="S130" i="1" s="1"/>
  <c r="X127" i="1"/>
  <c r="AG97" i="1"/>
  <c r="U97" i="1" s="1"/>
  <c r="AG95" i="1"/>
  <c r="X41" i="1"/>
  <c r="AG39" i="1"/>
  <c r="U39" i="1" s="1"/>
  <c r="S39" i="1" s="1"/>
  <c r="AA120" i="1"/>
  <c r="AA106" i="1"/>
  <c r="AA78" i="1"/>
  <c r="AA75" i="1"/>
  <c r="AA64" i="1"/>
  <c r="W64" i="1" s="1"/>
  <c r="AA46" i="1"/>
  <c r="AA38" i="1"/>
  <c r="AA37" i="1"/>
  <c r="T24" i="1"/>
  <c r="AA23" i="1"/>
  <c r="AA194" i="1"/>
  <c r="AG192" i="1"/>
  <c r="U192" i="1" s="1"/>
  <c r="S192" i="1" s="1"/>
  <c r="AG186" i="1"/>
  <c r="AG214" i="1"/>
  <c r="U214" i="1" s="1"/>
  <c r="S214" i="1" s="1"/>
  <c r="X219" i="1"/>
  <c r="AA210" i="1"/>
  <c r="T203" i="1"/>
  <c r="T190" i="1"/>
  <c r="AG218" i="1"/>
  <c r="U218" i="1" s="1"/>
  <c r="S218" i="1" s="1"/>
  <c r="AA215" i="1"/>
  <c r="AI215" i="1" s="1"/>
  <c r="AG163" i="1"/>
  <c r="AG158" i="1"/>
  <c r="U158" i="1" s="1"/>
  <c r="S158" i="1" s="1"/>
  <c r="X152" i="1"/>
  <c r="AG142" i="1"/>
  <c r="AG126" i="1"/>
  <c r="U126" i="1" s="1"/>
  <c r="S126" i="1" s="1"/>
  <c r="AG112" i="1"/>
  <c r="U112" i="1" s="1"/>
  <c r="S112" i="1" s="1"/>
  <c r="T104" i="1"/>
  <c r="U104" i="1" s="1"/>
  <c r="S104" i="1" s="1"/>
  <c r="AA86" i="1"/>
  <c r="AA80" i="1"/>
  <c r="AA72" i="1"/>
  <c r="W72" i="1" s="1"/>
  <c r="AA67" i="1"/>
  <c r="X52" i="1"/>
  <c r="AA43" i="1"/>
  <c r="AG37" i="1"/>
  <c r="W37" i="1" s="1"/>
  <c r="AA35" i="1"/>
  <c r="AA33" i="1"/>
  <c r="AI33" i="1" s="1"/>
  <c r="X32" i="1"/>
  <c r="AG24" i="1"/>
  <c r="AG16" i="1"/>
  <c r="AG188" i="1"/>
  <c r="AG180" i="1"/>
  <c r="AA203" i="1"/>
  <c r="W203" i="1" s="1"/>
  <c r="AA201" i="1"/>
  <c r="AA181" i="1"/>
  <c r="AA168" i="1"/>
  <c r="T151" i="1"/>
  <c r="AA118" i="1"/>
  <c r="AA104" i="1"/>
  <c r="W104" i="1" s="1"/>
  <c r="AA98" i="1"/>
  <c r="T83" i="1"/>
  <c r="AA68" i="1"/>
  <c r="W68" i="1" s="1"/>
  <c r="AA63" i="1"/>
  <c r="AA58" i="1"/>
  <c r="AA56" i="1"/>
  <c r="W56" i="1" s="1"/>
  <c r="AA49" i="1"/>
  <c r="W49" i="1" s="1"/>
  <c r="AA45" i="1"/>
  <c r="AA20" i="1"/>
  <c r="AA184" i="1"/>
  <c r="X175" i="1"/>
  <c r="T174" i="1"/>
  <c r="T213" i="1"/>
  <c r="X214" i="1"/>
  <c r="AG211" i="1"/>
  <c r="X211" i="1"/>
  <c r="X139" i="1"/>
  <c r="T139" i="1"/>
  <c r="T118" i="1"/>
  <c r="AG118" i="1"/>
  <c r="AG92" i="1"/>
  <c r="T92" i="1"/>
  <c r="AG199" i="1"/>
  <c r="T199" i="1"/>
  <c r="T196" i="1"/>
  <c r="AG196" i="1"/>
  <c r="AI196" i="1" s="1"/>
  <c r="AG195" i="1"/>
  <c r="X195" i="1"/>
  <c r="AG220" i="1"/>
  <c r="U220" i="1" s="1"/>
  <c r="S220" i="1" s="1"/>
  <c r="AA208" i="1"/>
  <c r="AG202" i="1"/>
  <c r="T202" i="1"/>
  <c r="AG194" i="1"/>
  <c r="U194" i="1" s="1"/>
  <c r="S194" i="1" s="1"/>
  <c r="AA192" i="1"/>
  <c r="AG187" i="1"/>
  <c r="T187" i="1"/>
  <c r="AG174" i="1"/>
  <c r="W174" i="1" s="1"/>
  <c r="AA170" i="1"/>
  <c r="AG213" i="1"/>
  <c r="U213" i="1" s="1"/>
  <c r="S213" i="1" s="1"/>
  <c r="T162" i="1"/>
  <c r="X163" i="1"/>
  <c r="AG162" i="1"/>
  <c r="T135" i="1"/>
  <c r="AG135" i="1"/>
  <c r="T36" i="1"/>
  <c r="X36" i="1"/>
  <c r="AG36" i="1"/>
  <c r="T208" i="1"/>
  <c r="AG208" i="1"/>
  <c r="T178" i="1"/>
  <c r="AG178" i="1"/>
  <c r="AI178" i="1" s="1"/>
  <c r="T170" i="1"/>
  <c r="X171" i="1"/>
  <c r="AG170" i="1"/>
  <c r="AA165" i="1"/>
  <c r="AA164" i="1"/>
  <c r="W164" i="1" s="1"/>
  <c r="AG88" i="1"/>
  <c r="T88" i="1"/>
  <c r="AA60" i="1"/>
  <c r="W60" i="1" s="1"/>
  <c r="AA147" i="1"/>
  <c r="AA143" i="1"/>
  <c r="X135" i="1"/>
  <c r="AA131" i="1"/>
  <c r="AA127" i="1"/>
  <c r="AA110" i="1"/>
  <c r="AI110" i="1" s="1"/>
  <c r="AA101" i="1"/>
  <c r="AA59" i="1"/>
  <c r="W59" i="1" s="1"/>
  <c r="AA220" i="1"/>
  <c r="AA206" i="1"/>
  <c r="AA199" i="1"/>
  <c r="AA190" i="1"/>
  <c r="W190" i="1" s="1"/>
  <c r="AA182" i="1"/>
  <c r="AA176" i="1"/>
  <c r="AI176" i="1" s="1"/>
  <c r="X170" i="1"/>
  <c r="AA169" i="1"/>
  <c r="W169" i="1" s="1"/>
  <c r="AA214" i="1"/>
  <c r="AA163" i="1"/>
  <c r="AI163" i="1" s="1"/>
  <c r="X159" i="1"/>
  <c r="AA159" i="1"/>
  <c r="AG151" i="1"/>
  <c r="AA150" i="1"/>
  <c r="AA149" i="1"/>
  <c r="AG147" i="1"/>
  <c r="U147" i="1" s="1"/>
  <c r="S147" i="1" s="1"/>
  <c r="X147" i="1"/>
  <c r="AA146" i="1"/>
  <c r="W146" i="1" s="1"/>
  <c r="AA145" i="1"/>
  <c r="AA140" i="1"/>
  <c r="W140" i="1" s="1"/>
  <c r="AG131" i="1"/>
  <c r="U131" i="1" s="1"/>
  <c r="S131" i="1" s="1"/>
  <c r="X131" i="1"/>
  <c r="AA130" i="1"/>
  <c r="W130" i="1" s="1"/>
  <c r="AA129" i="1"/>
  <c r="AA124" i="1"/>
  <c r="AA116" i="1"/>
  <c r="W116" i="1" s="1"/>
  <c r="AA115" i="1"/>
  <c r="AA114" i="1"/>
  <c r="AA113" i="1"/>
  <c r="W113" i="1" s="1"/>
  <c r="T113" i="1"/>
  <c r="AG110" i="1"/>
  <c r="U110" i="1" s="1"/>
  <c r="S110" i="1" s="1"/>
  <c r="AA108" i="1"/>
  <c r="AA99" i="1"/>
  <c r="AA96" i="1"/>
  <c r="W96" i="1" s="1"/>
  <c r="T96" i="1"/>
  <c r="U96" i="1" s="1"/>
  <c r="S96" i="1" s="1"/>
  <c r="AA90" i="1"/>
  <c r="AA76" i="1"/>
  <c r="AI76" i="1" s="1"/>
  <c r="AG75" i="1"/>
  <c r="U75" i="1" s="1"/>
  <c r="S75" i="1" s="1"/>
  <c r="AA73" i="1"/>
  <c r="AG71" i="1"/>
  <c r="U71" i="1" s="1"/>
  <c r="AA69" i="1"/>
  <c r="AG67" i="1"/>
  <c r="AA65" i="1"/>
  <c r="AG63" i="1"/>
  <c r="W63" i="1" s="1"/>
  <c r="AA61" i="1"/>
  <c r="X55" i="1"/>
  <c r="AG47" i="1"/>
  <c r="W47" i="1" s="1"/>
  <c r="AG27" i="1"/>
  <c r="U27" i="1" s="1"/>
  <c r="S27" i="1" s="1"/>
  <c r="AG20" i="1"/>
  <c r="AI20" i="1" s="1"/>
  <c r="AA17" i="1"/>
  <c r="AA187" i="1"/>
  <c r="W187" i="1" s="1"/>
  <c r="AA213" i="1"/>
  <c r="AA212" i="1"/>
  <c r="AA211" i="1"/>
  <c r="AA156" i="1"/>
  <c r="W156" i="1" s="1"/>
  <c r="T155" i="1"/>
  <c r="W148" i="1"/>
  <c r="AA144" i="1"/>
  <c r="W144" i="1" s="1"/>
  <c r="X136" i="1"/>
  <c r="X132" i="1"/>
  <c r="AA122" i="1"/>
  <c r="AA102" i="1"/>
  <c r="AA92" i="1"/>
  <c r="AA88" i="1"/>
  <c r="AA81" i="1"/>
  <c r="T59" i="1"/>
  <c r="U59" i="1" s="1"/>
  <c r="S59" i="1" s="1"/>
  <c r="AA52" i="1"/>
  <c r="X49" i="1"/>
  <c r="AG35" i="1"/>
  <c r="U35" i="1" s="1"/>
  <c r="S35" i="1" s="1"/>
  <c r="T32" i="1"/>
  <c r="AA21" i="1"/>
  <c r="W21" i="1" s="1"/>
  <c r="AA209" i="1"/>
  <c r="AA207" i="1"/>
  <c r="W207" i="1" s="1"/>
  <c r="T207" i="1"/>
  <c r="U198" i="1"/>
  <c r="S198" i="1" s="1"/>
  <c r="AA193" i="1"/>
  <c r="U190" i="1"/>
  <c r="AA183" i="1"/>
  <c r="W183" i="1" s="1"/>
  <c r="T183" i="1"/>
  <c r="AA177" i="1"/>
  <c r="T168" i="1"/>
  <c r="U168" i="1" s="1"/>
  <c r="S168" i="1" s="1"/>
  <c r="AA217" i="1"/>
  <c r="AA216" i="1"/>
  <c r="W163" i="1"/>
  <c r="T160" i="1"/>
  <c r="T159" i="1"/>
  <c r="AA154" i="1"/>
  <c r="AA153" i="1"/>
  <c r="T144" i="1"/>
  <c r="T143" i="1"/>
  <c r="AA138" i="1"/>
  <c r="AA137" i="1"/>
  <c r="AA134" i="1"/>
  <c r="AA133" i="1"/>
  <c r="AA128" i="1"/>
  <c r="T128" i="1"/>
  <c r="U128" i="1" s="1"/>
  <c r="S128" i="1" s="1"/>
  <c r="T127" i="1"/>
  <c r="T156" i="1"/>
  <c r="U156" i="1" s="1"/>
  <c r="S156" i="1" s="1"/>
  <c r="T140" i="1"/>
  <c r="U140" i="1" s="1"/>
  <c r="S140" i="1" s="1"/>
  <c r="T134" i="1"/>
  <c r="AG134" i="1"/>
  <c r="T124" i="1"/>
  <c r="X124" i="1"/>
  <c r="X207" i="1"/>
  <c r="AG206" i="1"/>
  <c r="U206" i="1" s="1"/>
  <c r="S206" i="1" s="1"/>
  <c r="AG204" i="1"/>
  <c r="AA202" i="1"/>
  <c r="W202" i="1" s="1"/>
  <c r="AA191" i="1"/>
  <c r="W191" i="1" s="1"/>
  <c r="T191" i="1"/>
  <c r="U191" i="1" s="1"/>
  <c r="S191" i="1" s="1"/>
  <c r="AA188" i="1"/>
  <c r="AA186" i="1"/>
  <c r="W186" i="1" s="1"/>
  <c r="AA185" i="1"/>
  <c r="AG184" i="1"/>
  <c r="X183" i="1"/>
  <c r="AG182" i="1"/>
  <c r="U182" i="1" s="1"/>
  <c r="S182" i="1" s="1"/>
  <c r="AA175" i="1"/>
  <c r="W175" i="1" s="1"/>
  <c r="T175" i="1"/>
  <c r="U175" i="1" s="1"/>
  <c r="S175" i="1" s="1"/>
  <c r="AA172" i="1"/>
  <c r="AG169" i="1"/>
  <c r="AG167" i="1"/>
  <c r="U167" i="1" s="1"/>
  <c r="AA218" i="1"/>
  <c r="W218" i="1" s="1"/>
  <c r="AG217" i="1"/>
  <c r="U217" i="1" s="1"/>
  <c r="S217" i="1" s="1"/>
  <c r="T215" i="1"/>
  <c r="U215" i="1" s="1"/>
  <c r="S215" i="1" s="1"/>
  <c r="AA162" i="1"/>
  <c r="AI162" i="1" s="1"/>
  <c r="AA161" i="1"/>
  <c r="X160" i="1"/>
  <c r="AG159" i="1"/>
  <c r="AA155" i="1"/>
  <c r="AG154" i="1"/>
  <c r="U154" i="1" s="1"/>
  <c r="S154" i="1" s="1"/>
  <c r="T152" i="1"/>
  <c r="X144" i="1"/>
  <c r="AG143" i="1"/>
  <c r="U143" i="1" s="1"/>
  <c r="S143" i="1" s="1"/>
  <c r="AA139" i="1"/>
  <c r="AG138" i="1"/>
  <c r="U138" i="1" s="1"/>
  <c r="S138" i="1" s="1"/>
  <c r="T136" i="1"/>
  <c r="X128" i="1"/>
  <c r="AG127" i="1"/>
  <c r="U127" i="1" s="1"/>
  <c r="S127" i="1" s="1"/>
  <c r="AA123" i="1"/>
  <c r="W206" i="1"/>
  <c r="T164" i="1"/>
  <c r="U164" i="1" s="1"/>
  <c r="S164" i="1" s="1"/>
  <c r="U163" i="1"/>
  <c r="S163" i="1" s="1"/>
  <c r="AA221" i="1"/>
  <c r="AA219" i="1"/>
  <c r="T219" i="1"/>
  <c r="U219" i="1" s="1"/>
  <c r="S219" i="1" s="1"/>
  <c r="X203" i="1"/>
  <c r="AG200" i="1"/>
  <c r="AA198" i="1"/>
  <c r="W198" i="1" s="1"/>
  <c r="AA197" i="1"/>
  <c r="AA195" i="1"/>
  <c r="T195" i="1"/>
  <c r="AA189" i="1"/>
  <c r="U186" i="1"/>
  <c r="S186" i="1" s="1"/>
  <c r="AA179" i="1"/>
  <c r="W179" i="1" s="1"/>
  <c r="T179" i="1"/>
  <c r="AA173" i="1"/>
  <c r="X164" i="1"/>
  <c r="X218" i="1"/>
  <c r="T211" i="1"/>
  <c r="AA158" i="1"/>
  <c r="AA157" i="1"/>
  <c r="X156" i="1"/>
  <c r="AG155" i="1"/>
  <c r="AA151" i="1"/>
  <c r="AI151" i="1" s="1"/>
  <c r="AG150" i="1"/>
  <c r="T148" i="1"/>
  <c r="U148" i="1" s="1"/>
  <c r="S148" i="1" s="1"/>
  <c r="AA142" i="1"/>
  <c r="AA141" i="1"/>
  <c r="X140" i="1"/>
  <c r="AG139" i="1"/>
  <c r="U139" i="1" s="1"/>
  <c r="AG122" i="1"/>
  <c r="X122" i="1"/>
  <c r="AI41" i="1"/>
  <c r="AA121" i="1"/>
  <c r="AI121" i="1" s="1"/>
  <c r="AA117" i="1"/>
  <c r="AI117" i="1" s="1"/>
  <c r="T117" i="1"/>
  <c r="U117" i="1" s="1"/>
  <c r="S117" i="1" s="1"/>
  <c r="X109" i="1"/>
  <c r="AG108" i="1"/>
  <c r="W108" i="1" s="1"/>
  <c r="AG106" i="1"/>
  <c r="AA103" i="1"/>
  <c r="AG101" i="1"/>
  <c r="U101" i="1" s="1"/>
  <c r="S101" i="1" s="1"/>
  <c r="X100" i="1"/>
  <c r="AG99" i="1"/>
  <c r="U99" i="1" s="1"/>
  <c r="S99" i="1" s="1"/>
  <c r="AA89" i="1"/>
  <c r="AA87" i="1"/>
  <c r="AG85" i="1"/>
  <c r="X84" i="1"/>
  <c r="AG79" i="1"/>
  <c r="AA74" i="1"/>
  <c r="T72" i="1"/>
  <c r="U72" i="1" s="1"/>
  <c r="AA70" i="1"/>
  <c r="T68" i="1"/>
  <c r="U68" i="1" s="1"/>
  <c r="AA66" i="1"/>
  <c r="T64" i="1"/>
  <c r="U64" i="1" s="1"/>
  <c r="S64" i="1" s="1"/>
  <c r="AA62" i="1"/>
  <c r="T60" i="1"/>
  <c r="U60" i="1" s="1"/>
  <c r="S60" i="1" s="1"/>
  <c r="T56" i="1"/>
  <c r="U56" i="1" s="1"/>
  <c r="AA50" i="1"/>
  <c r="T49" i="1"/>
  <c r="U49" i="1" s="1"/>
  <c r="S49" i="1" s="1"/>
  <c r="AA48" i="1"/>
  <c r="T48" i="1"/>
  <c r="AG45" i="1"/>
  <c r="W45" i="1" s="1"/>
  <c r="AG44" i="1"/>
  <c r="U44" i="1" s="1"/>
  <c r="X44" i="1"/>
  <c r="W41" i="1"/>
  <c r="AA40" i="1"/>
  <c r="T40" i="1"/>
  <c r="AA22" i="1"/>
  <c r="U21" i="1"/>
  <c r="S21" i="1" s="1"/>
  <c r="AG121" i="1"/>
  <c r="U121" i="1" s="1"/>
  <c r="S121" i="1" s="1"/>
  <c r="X104" i="1"/>
  <c r="AG103" i="1"/>
  <c r="AI103" i="1" s="1"/>
  <c r="AA93" i="1"/>
  <c r="AA91" i="1"/>
  <c r="W91" i="1" s="1"/>
  <c r="AG89" i="1"/>
  <c r="W89" i="1" s="1"/>
  <c r="X88" i="1"/>
  <c r="AG87" i="1"/>
  <c r="U87" i="1" s="1"/>
  <c r="S87" i="1" s="1"/>
  <c r="X80" i="1"/>
  <c r="X76" i="1"/>
  <c r="AA55" i="1"/>
  <c r="X45" i="1"/>
  <c r="W43" i="1"/>
  <c r="T41" i="1"/>
  <c r="U41" i="1" s="1"/>
  <c r="S41" i="1" s="1"/>
  <c r="X37" i="1"/>
  <c r="T33" i="1"/>
  <c r="U33" i="1" s="1"/>
  <c r="S33" i="1" s="1"/>
  <c r="AG31" i="1"/>
  <c r="U31" i="1" s="1"/>
  <c r="S31" i="1" s="1"/>
  <c r="AG28" i="1"/>
  <c r="U28" i="1" s="1"/>
  <c r="X28" i="1"/>
  <c r="AG17" i="1"/>
  <c r="U17" i="1" s="1"/>
  <c r="S17" i="1" s="1"/>
  <c r="X17" i="1"/>
  <c r="AA135" i="1"/>
  <c r="T132" i="1"/>
  <c r="U132" i="1" s="1"/>
  <c r="S132" i="1" s="1"/>
  <c r="AA126" i="1"/>
  <c r="AA125" i="1"/>
  <c r="X117" i="1"/>
  <c r="AG114" i="1"/>
  <c r="U114" i="1" s="1"/>
  <c r="S114" i="1" s="1"/>
  <c r="AA112" i="1"/>
  <c r="W112" i="1" s="1"/>
  <c r="AA111" i="1"/>
  <c r="AA109" i="1"/>
  <c r="AI109" i="1" s="1"/>
  <c r="T109" i="1"/>
  <c r="AA100" i="1"/>
  <c r="W100" i="1" s="1"/>
  <c r="T100" i="1"/>
  <c r="U100" i="1" s="1"/>
  <c r="S100" i="1" s="1"/>
  <c r="AA97" i="1"/>
  <c r="AA95" i="1"/>
  <c r="AA94" i="1"/>
  <c r="AG93" i="1"/>
  <c r="W93" i="1" s="1"/>
  <c r="X92" i="1"/>
  <c r="AA84" i="1"/>
  <c r="AA79" i="1"/>
  <c r="X72" i="1"/>
  <c r="X68" i="1"/>
  <c r="X64" i="1"/>
  <c r="X60" i="1"/>
  <c r="AA57" i="1"/>
  <c r="X56" i="1"/>
  <c r="AG55" i="1"/>
  <c r="U55" i="1" s="1"/>
  <c r="AA54" i="1"/>
  <c r="AA53" i="1"/>
  <c r="AG48" i="1"/>
  <c r="AA44" i="1"/>
  <c r="AG40" i="1"/>
  <c r="AA36" i="1"/>
  <c r="AG32" i="1"/>
  <c r="AI32" i="1" s="1"/>
  <c r="AA27" i="1"/>
  <c r="W27" i="1" s="1"/>
  <c r="AA26" i="1"/>
  <c r="AA24" i="1"/>
  <c r="AA16" i="1"/>
  <c r="AA15" i="1"/>
  <c r="AA14" i="1"/>
  <c r="W99" i="1"/>
  <c r="T80" i="1"/>
  <c r="U80" i="1" s="1"/>
  <c r="T76" i="1"/>
  <c r="U76" i="1" s="1"/>
  <c r="S76" i="1" s="1"/>
  <c r="AA31" i="1"/>
  <c r="AA30" i="1"/>
  <c r="AA25" i="1"/>
  <c r="AI219" i="1"/>
  <c r="U207" i="1"/>
  <c r="S207" i="1" s="1"/>
  <c r="U183" i="1"/>
  <c r="S183" i="1" s="1"/>
  <c r="U203" i="1"/>
  <c r="S203" i="1" s="1"/>
  <c r="U171" i="1"/>
  <c r="S171" i="1" s="1"/>
  <c r="AI179" i="1"/>
  <c r="W219" i="1"/>
  <c r="AI183" i="1"/>
  <c r="AI188" i="1"/>
  <c r="U179" i="1"/>
  <c r="S179" i="1" s="1"/>
  <c r="AG221" i="1"/>
  <c r="X210" i="1"/>
  <c r="AG209" i="1"/>
  <c r="X206" i="1"/>
  <c r="AG205" i="1"/>
  <c r="X202" i="1"/>
  <c r="AG201" i="1"/>
  <c r="X198" i="1"/>
  <c r="AG197" i="1"/>
  <c r="X194" i="1"/>
  <c r="AG193" i="1"/>
  <c r="X190" i="1"/>
  <c r="AG189" i="1"/>
  <c r="X186" i="1"/>
  <c r="AG185" i="1"/>
  <c r="X182" i="1"/>
  <c r="AG181" i="1"/>
  <c r="X178" i="1"/>
  <c r="AG177" i="1"/>
  <c r="X174" i="1"/>
  <c r="AG173" i="1"/>
  <c r="W173" i="1" s="1"/>
  <c r="T169" i="1"/>
  <c r="U169" i="1" s="1"/>
  <c r="S169" i="1" s="1"/>
  <c r="X169" i="1"/>
  <c r="X168" i="1"/>
  <c r="AA166" i="1"/>
  <c r="T165" i="1"/>
  <c r="X165" i="1"/>
  <c r="AG165" i="1"/>
  <c r="W215" i="1"/>
  <c r="W152" i="1"/>
  <c r="W136" i="1"/>
  <c r="X221" i="1"/>
  <c r="X209" i="1"/>
  <c r="X205" i="1"/>
  <c r="X201" i="1"/>
  <c r="X197" i="1"/>
  <c r="X193" i="1"/>
  <c r="AI198" i="1"/>
  <c r="S190" i="1"/>
  <c r="X189" i="1"/>
  <c r="X185" i="1"/>
  <c r="X181" i="1"/>
  <c r="U180" i="1"/>
  <c r="S180" i="1" s="1"/>
  <c r="X177" i="1"/>
  <c r="U176" i="1"/>
  <c r="S176" i="1" s="1"/>
  <c r="X173" i="1"/>
  <c r="U172" i="1"/>
  <c r="S172" i="1" s="1"/>
  <c r="W168" i="1"/>
  <c r="T166" i="1"/>
  <c r="X166" i="1"/>
  <c r="AI168" i="1"/>
  <c r="AI152" i="1"/>
  <c r="U152" i="1"/>
  <c r="S152" i="1" s="1"/>
  <c r="AI136" i="1"/>
  <c r="U136" i="1"/>
  <c r="S136" i="1" s="1"/>
  <c r="X220" i="1"/>
  <c r="X208" i="1"/>
  <c r="X204" i="1"/>
  <c r="X200" i="1"/>
  <c r="X196" i="1"/>
  <c r="X192" i="1"/>
  <c r="X188" i="1"/>
  <c r="X184" i="1"/>
  <c r="X180" i="1"/>
  <c r="X176" i="1"/>
  <c r="X172" i="1"/>
  <c r="S167" i="1"/>
  <c r="X167" i="1"/>
  <c r="AG166" i="1"/>
  <c r="AI164" i="1"/>
  <c r="W160" i="1"/>
  <c r="AI132" i="1"/>
  <c r="W128" i="1"/>
  <c r="W123" i="1"/>
  <c r="AI160" i="1"/>
  <c r="U160" i="1"/>
  <c r="S160" i="1" s="1"/>
  <c r="U144" i="1"/>
  <c r="S144" i="1" s="1"/>
  <c r="AI128" i="1"/>
  <c r="AI123" i="1"/>
  <c r="X217" i="1"/>
  <c r="AG216" i="1"/>
  <c r="X213" i="1"/>
  <c r="AG212" i="1"/>
  <c r="X162" i="1"/>
  <c r="AG161" i="1"/>
  <c r="X158" i="1"/>
  <c r="AG157" i="1"/>
  <c r="X154" i="1"/>
  <c r="AG153" i="1"/>
  <c r="X150" i="1"/>
  <c r="AG149" i="1"/>
  <c r="X146" i="1"/>
  <c r="AG145" i="1"/>
  <c r="X142" i="1"/>
  <c r="AG141" i="1"/>
  <c r="S139" i="1"/>
  <c r="X138" i="1"/>
  <c r="AG137" i="1"/>
  <c r="X134" i="1"/>
  <c r="AG133" i="1"/>
  <c r="X130" i="1"/>
  <c r="AG129" i="1"/>
  <c r="X126" i="1"/>
  <c r="AG125" i="1"/>
  <c r="U106" i="1"/>
  <c r="S106" i="1" s="1"/>
  <c r="U85" i="1"/>
  <c r="X216" i="1"/>
  <c r="X212" i="1"/>
  <c r="X161" i="1"/>
  <c r="X157" i="1"/>
  <c r="X153" i="1"/>
  <c r="X149" i="1"/>
  <c r="AI146" i="1"/>
  <c r="X145" i="1"/>
  <c r="X141" i="1"/>
  <c r="X137" i="1"/>
  <c r="AI134" i="1"/>
  <c r="X133" i="1"/>
  <c r="X129" i="1"/>
  <c r="X125" i="1"/>
  <c r="AG124" i="1"/>
  <c r="T122" i="1"/>
  <c r="U122" i="1" s="1"/>
  <c r="S122" i="1" s="1"/>
  <c r="T120" i="1"/>
  <c r="AG120" i="1"/>
  <c r="X121" i="1"/>
  <c r="AI93" i="1"/>
  <c r="U113" i="1"/>
  <c r="S113" i="1" s="1"/>
  <c r="AI113" i="1"/>
  <c r="W109" i="1"/>
  <c r="T123" i="1"/>
  <c r="U123" i="1" s="1"/>
  <c r="S123" i="1" s="1"/>
  <c r="X123" i="1"/>
  <c r="U109" i="1"/>
  <c r="S109" i="1" s="1"/>
  <c r="U103" i="1"/>
  <c r="S103" i="1" s="1"/>
  <c r="U95" i="1"/>
  <c r="S95" i="1" s="1"/>
  <c r="T82" i="1"/>
  <c r="X82" i="1"/>
  <c r="AI72" i="1"/>
  <c r="AI64" i="1"/>
  <c r="AI60" i="1"/>
  <c r="X116" i="1"/>
  <c r="AG115" i="1"/>
  <c r="X112" i="1"/>
  <c r="AG111" i="1"/>
  <c r="X108" i="1"/>
  <c r="AG107" i="1"/>
  <c r="X103" i="1"/>
  <c r="AG102" i="1"/>
  <c r="X99" i="1"/>
  <c r="AG98" i="1"/>
  <c r="W98" i="1" s="1"/>
  <c r="X95" i="1"/>
  <c r="AG94" i="1"/>
  <c r="X91" i="1"/>
  <c r="AG90" i="1"/>
  <c r="X87" i="1"/>
  <c r="AG86" i="1"/>
  <c r="X83" i="1"/>
  <c r="AG82" i="1"/>
  <c r="X115" i="1"/>
  <c r="X111" i="1"/>
  <c r="X102" i="1"/>
  <c r="AI99" i="1"/>
  <c r="X98" i="1"/>
  <c r="AI95" i="1"/>
  <c r="X94" i="1"/>
  <c r="X90" i="1"/>
  <c r="AI87" i="1"/>
  <c r="X86" i="1"/>
  <c r="W80" i="1"/>
  <c r="X118" i="1"/>
  <c r="X114" i="1"/>
  <c r="X110" i="1"/>
  <c r="X101" i="1"/>
  <c r="X97" i="1"/>
  <c r="X93" i="1"/>
  <c r="X89" i="1"/>
  <c r="X85" i="1"/>
  <c r="AG84" i="1"/>
  <c r="AA83" i="1"/>
  <c r="W83" i="1" s="1"/>
  <c r="U83" i="1"/>
  <c r="S83" i="1" s="1"/>
  <c r="AA82" i="1"/>
  <c r="T81" i="1"/>
  <c r="X81" i="1"/>
  <c r="AG81" i="1"/>
  <c r="AI80" i="1"/>
  <c r="U79" i="1"/>
  <c r="S79" i="1" s="1"/>
  <c r="U67" i="1"/>
  <c r="S67" i="1" s="1"/>
  <c r="T51" i="1"/>
  <c r="U51" i="1" s="1"/>
  <c r="S51" i="1" s="1"/>
  <c r="X51" i="1"/>
  <c r="U16" i="1"/>
  <c r="S16" i="1" s="1"/>
  <c r="X79" i="1"/>
  <c r="AG78" i="1"/>
  <c r="X75" i="1"/>
  <c r="AG74" i="1"/>
  <c r="X71" i="1"/>
  <c r="AG70" i="1"/>
  <c r="X67" i="1"/>
  <c r="AG66" i="1"/>
  <c r="X63" i="1"/>
  <c r="AG62" i="1"/>
  <c r="X59" i="1"/>
  <c r="AG58" i="1"/>
  <c r="AG54" i="1"/>
  <c r="X78" i="1"/>
  <c r="AG77" i="1"/>
  <c r="X74" i="1"/>
  <c r="AG73" i="1"/>
  <c r="X70" i="1"/>
  <c r="AG69" i="1"/>
  <c r="W69" i="1" s="1"/>
  <c r="X66" i="1"/>
  <c r="AG65" i="1"/>
  <c r="X62" i="1"/>
  <c r="AG61" i="1"/>
  <c r="X58" i="1"/>
  <c r="AG57" i="1"/>
  <c r="W57" i="1" s="1"/>
  <c r="X54" i="1"/>
  <c r="AG53" i="1"/>
  <c r="W53" i="1" s="1"/>
  <c r="T52" i="1"/>
  <c r="X77" i="1"/>
  <c r="X73" i="1"/>
  <c r="X69" i="1"/>
  <c r="X65" i="1"/>
  <c r="X61" i="1"/>
  <c r="X57" i="1"/>
  <c r="X53" i="1"/>
  <c r="AG52" i="1"/>
  <c r="AA51" i="1"/>
  <c r="W51" i="1" s="1"/>
  <c r="T50" i="1"/>
  <c r="X50" i="1"/>
  <c r="AG50" i="1"/>
  <c r="U43" i="1"/>
  <c r="S43" i="1" s="1"/>
  <c r="X47" i="1"/>
  <c r="AG46" i="1"/>
  <c r="S44" i="1"/>
  <c r="X43" i="1"/>
  <c r="AG42" i="1"/>
  <c r="W42" i="1" s="1"/>
  <c r="X39" i="1"/>
  <c r="AG38" i="1"/>
  <c r="X35" i="1"/>
  <c r="AG34" i="1"/>
  <c r="W34" i="1" s="1"/>
  <c r="X31" i="1"/>
  <c r="AG30" i="1"/>
  <c r="S28" i="1"/>
  <c r="X27" i="1"/>
  <c r="AG26" i="1"/>
  <c r="AG23" i="1"/>
  <c r="X20" i="1"/>
  <c r="AG19" i="1"/>
  <c r="W19" i="1" s="1"/>
  <c r="X16" i="1"/>
  <c r="AG15" i="1"/>
  <c r="W15" i="1" s="1"/>
  <c r="X46" i="1"/>
  <c r="AI43" i="1"/>
  <c r="X42" i="1"/>
  <c r="X38" i="1"/>
  <c r="X34" i="1"/>
  <c r="X30" i="1"/>
  <c r="AG29" i="1"/>
  <c r="AG25" i="1"/>
  <c r="W25" i="1" s="1"/>
  <c r="AG22" i="1"/>
  <c r="X19" i="1"/>
  <c r="AG18" i="1"/>
  <c r="W18" i="1" s="1"/>
  <c r="X15" i="1"/>
  <c r="AG14" i="1"/>
  <c r="X29" i="1"/>
  <c r="X18" i="1"/>
  <c r="Y40" i="3"/>
  <c r="Y14" i="3"/>
  <c r="Y32" i="3"/>
  <c r="Y26" i="3"/>
  <c r="Y56" i="3"/>
  <c r="Y49" i="3"/>
  <c r="Y18" i="3"/>
  <c r="Y33" i="3"/>
  <c r="Y8" i="3"/>
  <c r="Y48" i="3"/>
  <c r="Y50" i="3"/>
  <c r="Y11" i="3"/>
  <c r="Y53" i="3"/>
  <c r="Y9" i="3"/>
  <c r="Y30" i="3"/>
  <c r="Y43" i="3"/>
  <c r="Y20" i="3"/>
  <c r="Y12" i="3"/>
  <c r="Y47" i="3"/>
  <c r="Y29" i="3"/>
  <c r="Y52" i="3"/>
  <c r="Y55" i="3"/>
  <c r="Y19" i="3"/>
  <c r="Y34" i="3"/>
  <c r="AI212" i="1" l="1"/>
  <c r="AI175" i="1"/>
  <c r="AI203" i="1"/>
  <c r="W24" i="1"/>
  <c r="AI106" i="1"/>
  <c r="W122" i="1"/>
  <c r="AI155" i="1"/>
  <c r="AI184" i="1"/>
  <c r="U134" i="1"/>
  <c r="S134" i="1" s="1"/>
  <c r="U88" i="1"/>
  <c r="S88" i="1" s="1"/>
  <c r="U170" i="1"/>
  <c r="S170" i="1" s="1"/>
  <c r="U162" i="1"/>
  <c r="S162" i="1" s="1"/>
  <c r="U20" i="1"/>
  <c r="S20" i="1" s="1"/>
  <c r="AI75" i="1"/>
  <c r="AI56" i="1"/>
  <c r="AI96" i="1"/>
  <c r="AI89" i="1"/>
  <c r="AI139" i="1"/>
  <c r="AI167" i="1"/>
  <c r="W176" i="1"/>
  <c r="AI180" i="1"/>
  <c r="AI191" i="1"/>
  <c r="W95" i="1"/>
  <c r="W20" i="1"/>
  <c r="W150" i="1"/>
  <c r="AI159" i="1"/>
  <c r="U151" i="1"/>
  <c r="S151" i="1" s="1"/>
  <c r="AI214" i="1"/>
  <c r="U92" i="1"/>
  <c r="S92" i="1" s="1"/>
  <c r="AI116" i="1"/>
  <c r="U89" i="1"/>
  <c r="S89" i="1" s="1"/>
  <c r="U37" i="1"/>
  <c r="S37" i="1" s="1"/>
  <c r="AI79" i="1"/>
  <c r="W158" i="1"/>
  <c r="AI172" i="1"/>
  <c r="AI187" i="1"/>
  <c r="AI202" i="1"/>
  <c r="W195" i="1"/>
  <c r="U174" i="1"/>
  <c r="S174" i="1" s="1"/>
  <c r="W188" i="1"/>
  <c r="AI142" i="1"/>
  <c r="AI37" i="1"/>
  <c r="W178" i="1"/>
  <c r="W97" i="1"/>
  <c r="W135" i="1"/>
  <c r="AI92" i="1"/>
  <c r="W131" i="1"/>
  <c r="AI63" i="1"/>
  <c r="S55" i="1"/>
  <c r="U48" i="1"/>
  <c r="S48" i="1" s="1"/>
  <c r="W90" i="1"/>
  <c r="W71" i="1"/>
  <c r="S71" i="1"/>
  <c r="AI39" i="1"/>
  <c r="W36" i="1"/>
  <c r="W142" i="1"/>
  <c r="AI28" i="1"/>
  <c r="AI55" i="1"/>
  <c r="S97" i="1"/>
  <c r="U93" i="1"/>
  <c r="S93" i="1" s="1"/>
  <c r="AI138" i="1"/>
  <c r="U142" i="1"/>
  <c r="S142" i="1" s="1"/>
  <c r="U40" i="1"/>
  <c r="S40" i="1" s="1"/>
  <c r="W79" i="1"/>
  <c r="W126" i="1"/>
  <c r="W85" i="1"/>
  <c r="W92" i="1"/>
  <c r="AI135" i="1"/>
  <c r="U188" i="1"/>
  <c r="S188" i="1" s="1"/>
  <c r="AI140" i="1"/>
  <c r="U195" i="1"/>
  <c r="S195" i="1" s="1"/>
  <c r="AI114" i="1"/>
  <c r="AI195" i="1"/>
  <c r="W220" i="1"/>
  <c r="AI21" i="1"/>
  <c r="AI59" i="1"/>
  <c r="AI71" i="1"/>
  <c r="AI104" i="1"/>
  <c r="AI147" i="1"/>
  <c r="AI186" i="1"/>
  <c r="AI190" i="1"/>
  <c r="AI166" i="1"/>
  <c r="W189" i="1"/>
  <c r="W197" i="1"/>
  <c r="U187" i="1"/>
  <c r="S187" i="1" s="1"/>
  <c r="W33" i="1"/>
  <c r="W101" i="1"/>
  <c r="U178" i="1"/>
  <c r="S178" i="1" s="1"/>
  <c r="AI192" i="1"/>
  <c r="U199" i="1"/>
  <c r="S199" i="1" s="1"/>
  <c r="W118" i="1"/>
  <c r="AI16" i="1"/>
  <c r="W35" i="1"/>
  <c r="AI67" i="1"/>
  <c r="AI194" i="1"/>
  <c r="W210" i="1"/>
  <c r="AI200" i="1"/>
  <c r="U63" i="1"/>
  <c r="S63" i="1" s="1"/>
  <c r="AI171" i="1"/>
  <c r="AI156" i="1"/>
  <c r="W165" i="1"/>
  <c r="W75" i="1"/>
  <c r="U36" i="1"/>
  <c r="S36" i="1" s="1"/>
  <c r="AI170" i="1"/>
  <c r="W14" i="1"/>
  <c r="AI36" i="1"/>
  <c r="AI47" i="1"/>
  <c r="AI101" i="1"/>
  <c r="AI122" i="1"/>
  <c r="AI210" i="1"/>
  <c r="AI207" i="1"/>
  <c r="W184" i="1"/>
  <c r="AI88" i="1"/>
  <c r="AI208" i="1"/>
  <c r="U24" i="1"/>
  <c r="S24" i="1" s="1"/>
  <c r="W39" i="1"/>
  <c r="U47" i="1"/>
  <c r="S47" i="1" s="1"/>
  <c r="AI85" i="1"/>
  <c r="AI97" i="1"/>
  <c r="AI130" i="1"/>
  <c r="AI158" i="1"/>
  <c r="AI144" i="1"/>
  <c r="U210" i="1"/>
  <c r="S210" i="1" s="1"/>
  <c r="AI177" i="1"/>
  <c r="AI199" i="1"/>
  <c r="W16" i="1"/>
  <c r="AI182" i="1"/>
  <c r="AI127" i="1"/>
  <c r="W147" i="1"/>
  <c r="AI211" i="1"/>
  <c r="W22" i="1"/>
  <c r="AI24" i="1"/>
  <c r="AI48" i="1"/>
  <c r="W50" i="1"/>
  <c r="W73" i="1"/>
  <c r="AI91" i="1"/>
  <c r="AI108" i="1"/>
  <c r="U108" i="1"/>
  <c r="S108" i="1" s="1"/>
  <c r="AI143" i="1"/>
  <c r="AI216" i="1"/>
  <c r="U211" i="1"/>
  <c r="S211" i="1" s="1"/>
  <c r="W170" i="1"/>
  <c r="AI206" i="1"/>
  <c r="W200" i="1"/>
  <c r="AI44" i="1"/>
  <c r="W117" i="1"/>
  <c r="AI131" i="1"/>
  <c r="AI27" i="1"/>
  <c r="AI31" i="1"/>
  <c r="W76" i="1"/>
  <c r="AI126" i="1"/>
  <c r="AI150" i="1"/>
  <c r="W192" i="1"/>
  <c r="AI218" i="1"/>
  <c r="W214" i="1"/>
  <c r="AI220" i="1"/>
  <c r="W194" i="1"/>
  <c r="W67" i="1"/>
  <c r="AI40" i="1"/>
  <c r="W44" i="1"/>
  <c r="W151" i="1"/>
  <c r="W162" i="1"/>
  <c r="AI49" i="1"/>
  <c r="AI17" i="1"/>
  <c r="AI100" i="1"/>
  <c r="AI35" i="1"/>
  <c r="W62" i="1"/>
  <c r="W70" i="1"/>
  <c r="W78" i="1"/>
  <c r="W17" i="1"/>
  <c r="AI112" i="1"/>
  <c r="AI68" i="1"/>
  <c r="AI154" i="1"/>
  <c r="U150" i="1"/>
  <c r="S150" i="1" s="1"/>
  <c r="U184" i="1"/>
  <c r="S184" i="1" s="1"/>
  <c r="U208" i="1"/>
  <c r="S208" i="1" s="1"/>
  <c r="U155" i="1"/>
  <c r="S155" i="1" s="1"/>
  <c r="U159" i="1"/>
  <c r="S159" i="1" s="1"/>
  <c r="W211" i="1"/>
  <c r="W199" i="1"/>
  <c r="W110" i="1"/>
  <c r="U202" i="1"/>
  <c r="S202" i="1" s="1"/>
  <c r="AI83" i="1"/>
  <c r="W88" i="1"/>
  <c r="W213" i="1"/>
  <c r="W208" i="1"/>
  <c r="U118" i="1"/>
  <c r="S118" i="1" s="1"/>
  <c r="AI118" i="1"/>
  <c r="U200" i="1"/>
  <c r="S200" i="1" s="1"/>
  <c r="W31" i="1"/>
  <c r="U32" i="1"/>
  <c r="S32" i="1" s="1"/>
  <c r="U135" i="1"/>
  <c r="S135" i="1" s="1"/>
  <c r="U196" i="1"/>
  <c r="S196" i="1" s="1"/>
  <c r="W28" i="1"/>
  <c r="W48" i="1"/>
  <c r="W103" i="1"/>
  <c r="W139" i="1"/>
  <c r="U204" i="1"/>
  <c r="S204" i="1" s="1"/>
  <c r="AI204" i="1"/>
  <c r="W154" i="1"/>
  <c r="W32" i="1"/>
  <c r="W114" i="1"/>
  <c r="W127" i="1"/>
  <c r="W143" i="1"/>
  <c r="W159" i="1"/>
  <c r="W134" i="1"/>
  <c r="W40" i="1"/>
  <c r="U45" i="1"/>
  <c r="S45" i="1" s="1"/>
  <c r="AI45" i="1"/>
  <c r="W121" i="1"/>
  <c r="W155" i="1"/>
  <c r="W167" i="1"/>
  <c r="W217" i="1"/>
  <c r="W82" i="1"/>
  <c r="W55" i="1"/>
  <c r="W87" i="1"/>
  <c r="W106" i="1"/>
  <c r="W182" i="1"/>
  <c r="W138" i="1"/>
  <c r="W204" i="1"/>
  <c r="AI23" i="1"/>
  <c r="U23" i="1"/>
  <c r="S23" i="1" s="1"/>
  <c r="AI30" i="1"/>
  <c r="U30" i="1"/>
  <c r="S30" i="1" s="1"/>
  <c r="AI38" i="1"/>
  <c r="U38" i="1"/>
  <c r="S38" i="1" s="1"/>
  <c r="W38" i="1"/>
  <c r="U52" i="1"/>
  <c r="AI52" i="1"/>
  <c r="U65" i="1"/>
  <c r="S65" i="1" s="1"/>
  <c r="AI65" i="1"/>
  <c r="AI54" i="1"/>
  <c r="U54" i="1"/>
  <c r="S54" i="1" s="1"/>
  <c r="U61" i="1"/>
  <c r="S61" i="1" s="1"/>
  <c r="AI61" i="1"/>
  <c r="U77" i="1"/>
  <c r="S77" i="1" s="1"/>
  <c r="AI77" i="1"/>
  <c r="AI58" i="1"/>
  <c r="U58" i="1"/>
  <c r="S58" i="1" s="1"/>
  <c r="AI66" i="1"/>
  <c r="U66" i="1"/>
  <c r="S66" i="1" s="1"/>
  <c r="AI74" i="1"/>
  <c r="U74" i="1"/>
  <c r="S74" i="1" s="1"/>
  <c r="W23" i="1"/>
  <c r="W58" i="1"/>
  <c r="W77" i="1"/>
  <c r="AI120" i="1"/>
  <c r="U120" i="1"/>
  <c r="S120" i="1" s="1"/>
  <c r="AI124" i="1"/>
  <c r="U124" i="1"/>
  <c r="S124" i="1" s="1"/>
  <c r="AI125" i="1"/>
  <c r="U125" i="1"/>
  <c r="S125" i="1" s="1"/>
  <c r="AI129" i="1"/>
  <c r="U129" i="1"/>
  <c r="S129" i="1" s="1"/>
  <c r="AI133" i="1"/>
  <c r="U133" i="1"/>
  <c r="S133" i="1" s="1"/>
  <c r="AI137" i="1"/>
  <c r="U137" i="1"/>
  <c r="S137" i="1" s="1"/>
  <c r="AI141" i="1"/>
  <c r="U141" i="1"/>
  <c r="S141" i="1" s="1"/>
  <c r="AI145" i="1"/>
  <c r="U145" i="1"/>
  <c r="S145" i="1" s="1"/>
  <c r="AI149" i="1"/>
  <c r="U149" i="1"/>
  <c r="S149" i="1" s="1"/>
  <c r="AI153" i="1"/>
  <c r="U153" i="1"/>
  <c r="S153" i="1" s="1"/>
  <c r="AI157" i="1"/>
  <c r="U157" i="1"/>
  <c r="S157" i="1" s="1"/>
  <c r="AI161" i="1"/>
  <c r="U161" i="1"/>
  <c r="S161" i="1" s="1"/>
  <c r="AI165" i="1"/>
  <c r="U212" i="1"/>
  <c r="S212" i="1" s="1"/>
  <c r="AI169" i="1"/>
  <c r="U216" i="1"/>
  <c r="S216" i="1" s="1"/>
  <c r="W149" i="1"/>
  <c r="AI185" i="1"/>
  <c r="U177" i="1"/>
  <c r="S177" i="1" s="1"/>
  <c r="AI193" i="1"/>
  <c r="U185" i="1"/>
  <c r="S185" i="1" s="1"/>
  <c r="AI201" i="1"/>
  <c r="U193" i="1"/>
  <c r="S193" i="1" s="1"/>
  <c r="AI209" i="1"/>
  <c r="U201" i="1"/>
  <c r="S201" i="1" s="1"/>
  <c r="AI217" i="1"/>
  <c r="U209" i="1"/>
  <c r="S209" i="1" s="1"/>
  <c r="W177" i="1"/>
  <c r="U57" i="1"/>
  <c r="S57" i="1" s="1"/>
  <c r="AI57" i="1"/>
  <c r="U73" i="1"/>
  <c r="S73" i="1" s="1"/>
  <c r="AI73" i="1"/>
  <c r="U81" i="1"/>
  <c r="S80" i="1" s="1"/>
  <c r="AI81" i="1"/>
  <c r="W61" i="1"/>
  <c r="AI82" i="1"/>
  <c r="U82" i="1"/>
  <c r="S82" i="1" s="1"/>
  <c r="AI86" i="1"/>
  <c r="U86" i="1"/>
  <c r="S85" i="1" s="1"/>
  <c r="AI94" i="1"/>
  <c r="U94" i="1"/>
  <c r="S94" i="1" s="1"/>
  <c r="AI102" i="1"/>
  <c r="U102" i="1"/>
  <c r="S102" i="1" s="1"/>
  <c r="AI111" i="1"/>
  <c r="U111" i="1"/>
  <c r="S111" i="1" s="1"/>
  <c r="W81" i="1"/>
  <c r="W125" i="1"/>
  <c r="W157" i="1"/>
  <c r="W166" i="1"/>
  <c r="W201" i="1"/>
  <c r="AI19" i="1"/>
  <c r="U19" i="1"/>
  <c r="S19" i="1" s="1"/>
  <c r="AI26" i="1"/>
  <c r="U26" i="1"/>
  <c r="S26" i="1" s="1"/>
  <c r="AI34" i="1"/>
  <c r="U34" i="1"/>
  <c r="S34" i="1" s="1"/>
  <c r="AI42" i="1"/>
  <c r="U42" i="1"/>
  <c r="S42" i="1" s="1"/>
  <c r="AI46" i="1"/>
  <c r="U46" i="1"/>
  <c r="S46" i="1" s="1"/>
  <c r="U84" i="1"/>
  <c r="S84" i="1" s="1"/>
  <c r="AI84" i="1"/>
  <c r="AI15" i="1"/>
  <c r="U15" i="1"/>
  <c r="S15" i="1" s="1"/>
  <c r="W30" i="1"/>
  <c r="W46" i="1"/>
  <c r="W26" i="1"/>
  <c r="AI14" i="1"/>
  <c r="U14" i="1"/>
  <c r="S14" i="1" s="1"/>
  <c r="AI18" i="1"/>
  <c r="U18" i="1"/>
  <c r="S18" i="1" s="1"/>
  <c r="AI22" i="1"/>
  <c r="U22" i="1"/>
  <c r="S22" i="1" s="1"/>
  <c r="AI25" i="1"/>
  <c r="U25" i="1"/>
  <c r="S25" i="1" s="1"/>
  <c r="AI29" i="1"/>
  <c r="U29" i="1"/>
  <c r="S29" i="1" s="1"/>
  <c r="U50" i="1"/>
  <c r="S50" i="1" s="1"/>
  <c r="AI50" i="1"/>
  <c r="AI51" i="1"/>
  <c r="U53" i="1"/>
  <c r="AI53" i="1"/>
  <c r="U69" i="1"/>
  <c r="S68" i="1" s="1"/>
  <c r="AI69" i="1"/>
  <c r="W52" i="1"/>
  <c r="AI62" i="1"/>
  <c r="U62" i="1"/>
  <c r="S62" i="1" s="1"/>
  <c r="AI70" i="1"/>
  <c r="U70" i="1"/>
  <c r="S70" i="1" s="1"/>
  <c r="AI78" i="1"/>
  <c r="U78" i="1"/>
  <c r="S78" i="1" s="1"/>
  <c r="W29" i="1"/>
  <c r="W54" i="1"/>
  <c r="W124" i="1"/>
  <c r="W94" i="1"/>
  <c r="W111" i="1"/>
  <c r="W86" i="1"/>
  <c r="W120" i="1"/>
  <c r="W137" i="1"/>
  <c r="W153" i="1"/>
  <c r="W216" i="1"/>
  <c r="W133" i="1"/>
  <c r="W212" i="1"/>
  <c r="U165" i="1"/>
  <c r="S165" i="1" s="1"/>
  <c r="AI173" i="1"/>
  <c r="AI181" i="1"/>
  <c r="U173" i="1"/>
  <c r="S173" i="1" s="1"/>
  <c r="AI189" i="1"/>
  <c r="U181" i="1"/>
  <c r="S181" i="1" s="1"/>
  <c r="AI197" i="1"/>
  <c r="U189" i="1"/>
  <c r="S189" i="1" s="1"/>
  <c r="AI205" i="1"/>
  <c r="U197" i="1"/>
  <c r="S197" i="1" s="1"/>
  <c r="AI213" i="1"/>
  <c r="U205" i="1"/>
  <c r="S205" i="1" s="1"/>
  <c r="AI221" i="1"/>
  <c r="U221" i="1"/>
  <c r="S221" i="1" s="1"/>
  <c r="W221" i="1"/>
  <c r="W65" i="1"/>
  <c r="AI90" i="1"/>
  <c r="U90" i="1"/>
  <c r="S90" i="1" s="1"/>
  <c r="AI98" i="1"/>
  <c r="U98" i="1"/>
  <c r="S98" i="1" s="1"/>
  <c r="AI107" i="1"/>
  <c r="U107" i="1"/>
  <c r="S107" i="1" s="1"/>
  <c r="AI115" i="1"/>
  <c r="U115" i="1"/>
  <c r="S115" i="1" s="1"/>
  <c r="W66" i="1"/>
  <c r="W74" i="1"/>
  <c r="W107" i="1"/>
  <c r="W84" i="1"/>
  <c r="W115" i="1"/>
  <c r="W102" i="1"/>
  <c r="W141" i="1"/>
  <c r="AI174" i="1"/>
  <c r="U166" i="1"/>
  <c r="S166" i="1" s="1"/>
  <c r="W129" i="1"/>
  <c r="W145" i="1"/>
  <c r="W161" i="1"/>
  <c r="W193" i="1"/>
  <c r="W209" i="1"/>
  <c r="W185" i="1"/>
  <c r="W181" i="1"/>
  <c r="W205" i="1"/>
  <c r="B3" i="6"/>
  <c r="F3" i="6" s="1"/>
  <c r="B4" i="6"/>
  <c r="B5" i="6"/>
  <c r="F5" i="6" s="1"/>
  <c r="B6" i="6"/>
  <c r="F6" i="6" s="1"/>
  <c r="B7" i="6"/>
  <c r="F7" i="6" s="1"/>
  <c r="B8" i="6"/>
  <c r="F8" i="6" s="1"/>
  <c r="B9" i="6"/>
  <c r="F9" i="6" s="1"/>
  <c r="B10" i="6"/>
  <c r="F10" i="6" s="1"/>
  <c r="S23" i="3"/>
  <c r="R23" i="3"/>
  <c r="S15" i="3"/>
  <c r="R15" i="3"/>
  <c r="S20" i="3"/>
  <c r="R20" i="3"/>
  <c r="S13" i="3"/>
  <c r="R13" i="3"/>
  <c r="S26" i="3"/>
  <c r="R26" i="3"/>
  <c r="S29" i="3"/>
  <c r="R29" i="3"/>
  <c r="S30" i="3"/>
  <c r="R30" i="3"/>
  <c r="S31" i="3"/>
  <c r="R31" i="3"/>
  <c r="S9" i="3"/>
  <c r="R9" i="3"/>
  <c r="S32" i="3"/>
  <c r="R32" i="3"/>
  <c r="S37" i="3"/>
  <c r="R37" i="3"/>
  <c r="S10" i="3"/>
  <c r="R10" i="3"/>
  <c r="S38" i="3"/>
  <c r="R38" i="3"/>
  <c r="S44" i="3"/>
  <c r="R44" i="3"/>
  <c r="S55" i="3"/>
  <c r="R55" i="3"/>
  <c r="S56" i="3"/>
  <c r="R56" i="3"/>
  <c r="S50" i="3"/>
  <c r="R50" i="3"/>
  <c r="S43" i="3"/>
  <c r="R43" i="3"/>
  <c r="S48" i="3"/>
  <c r="R48" i="3"/>
  <c r="S51" i="3"/>
  <c r="R51" i="3"/>
  <c r="S52" i="3"/>
  <c r="R52" i="3"/>
  <c r="S46" i="3"/>
  <c r="R46" i="3"/>
  <c r="S33" i="3"/>
  <c r="R33" i="3"/>
  <c r="S42" i="3"/>
  <c r="R42" i="3"/>
  <c r="S34" i="3"/>
  <c r="R34" i="3"/>
  <c r="S35" i="3"/>
  <c r="R35" i="3"/>
  <c r="S40" i="3"/>
  <c r="R40" i="3"/>
  <c r="S16" i="3"/>
  <c r="R16" i="3"/>
  <c r="S12" i="3"/>
  <c r="R12" i="3"/>
  <c r="S41" i="3"/>
  <c r="R41" i="3"/>
  <c r="S28" i="3"/>
  <c r="R28" i="3"/>
  <c r="S11" i="3"/>
  <c r="R11" i="3"/>
  <c r="S47" i="3"/>
  <c r="R47" i="3"/>
  <c r="S53" i="3"/>
  <c r="R53" i="3"/>
  <c r="N17" i="3"/>
  <c r="U17" i="3"/>
  <c r="T17" i="3" s="1"/>
  <c r="V17" i="3"/>
  <c r="W17" i="3"/>
  <c r="X17" i="3"/>
  <c r="S52" i="1" l="1"/>
  <c r="G10" i="6"/>
  <c r="R45" i="3"/>
  <c r="R57" i="3"/>
  <c r="R25" i="3"/>
  <c r="R21" i="3"/>
  <c r="S25" i="3"/>
  <c r="S21" i="3"/>
  <c r="S39" i="3"/>
  <c r="S14" i="3"/>
  <c r="R8" i="3"/>
  <c r="R36" i="3"/>
  <c r="R7" i="3"/>
  <c r="R19" i="3"/>
  <c r="R24" i="3"/>
  <c r="R27" i="3"/>
  <c r="S57" i="3"/>
  <c r="S45" i="3"/>
  <c r="R14" i="3"/>
  <c r="R39" i="3"/>
  <c r="S8" i="3"/>
  <c r="S36" i="3"/>
  <c r="S19" i="3"/>
  <c r="S7" i="3"/>
  <c r="S24" i="3"/>
  <c r="S27" i="3"/>
  <c r="I10" i="6"/>
  <c r="H10" i="6"/>
  <c r="I6" i="6"/>
  <c r="I9" i="6"/>
  <c r="H8" i="6"/>
  <c r="G8" i="6"/>
  <c r="I8" i="6"/>
  <c r="H7" i="6"/>
  <c r="I7" i="6"/>
  <c r="G7" i="6"/>
  <c r="F4" i="6"/>
  <c r="I4" i="6"/>
  <c r="I3" i="6"/>
  <c r="H9" i="6"/>
  <c r="I5" i="6"/>
  <c r="G9" i="6"/>
  <c r="Y17" i="3"/>
  <c r="M7" i="3" l="1"/>
  <c r="V13" i="1" l="1"/>
  <c r="S18" i="3" l="1"/>
  <c r="S17" i="3"/>
  <c r="K13" i="1" l="1"/>
  <c r="L13" i="1"/>
  <c r="M13" i="1"/>
  <c r="N13" i="1" s="1"/>
  <c r="Y13" i="1"/>
  <c r="Z13" i="1"/>
  <c r="AB13" i="1"/>
  <c r="AC13" i="1"/>
  <c r="AD13" i="1"/>
  <c r="X14" i="1" s="1"/>
  <c r="AE13" i="1"/>
  <c r="R18" i="3" l="1"/>
  <c r="R17" i="3"/>
  <c r="T13" i="1"/>
  <c r="X13" i="1"/>
  <c r="AA13" i="1"/>
  <c r="AG13" i="1"/>
  <c r="J7" i="1" s="1"/>
  <c r="M26" i="5"/>
  <c r="AH16" i="1" l="1"/>
  <c r="AH17" i="1"/>
  <c r="AH18" i="1"/>
  <c r="AH19" i="1"/>
  <c r="AH20" i="1"/>
  <c r="AH33" i="1"/>
  <c r="AH41" i="1"/>
  <c r="AH53" i="1"/>
  <c r="AH54" i="1"/>
  <c r="AH61" i="1"/>
  <c r="AH62" i="1"/>
  <c r="AH63" i="1"/>
  <c r="AH64" i="1"/>
  <c r="AH76" i="1"/>
  <c r="AH86" i="1"/>
  <c r="AH87" i="1"/>
  <c r="AH88" i="1"/>
  <c r="AH89" i="1"/>
  <c r="AH112" i="1"/>
  <c r="AH125" i="1"/>
  <c r="AH141" i="1"/>
  <c r="AH148" i="1"/>
  <c r="AH149" i="1"/>
  <c r="AH150" i="1"/>
  <c r="AH157" i="1"/>
  <c r="AH168" i="1"/>
  <c r="AH169" i="1"/>
  <c r="AH170" i="1"/>
  <c r="AH179" i="1"/>
  <c r="AH188" i="1"/>
  <c r="AH189" i="1"/>
  <c r="AH190" i="1"/>
  <c r="AH191" i="1"/>
  <c r="AH192" i="1"/>
  <c r="AH193" i="1"/>
  <c r="AH196" i="1"/>
  <c r="AH197" i="1"/>
  <c r="AH200" i="1"/>
  <c r="AH201" i="1"/>
  <c r="AH202" i="1"/>
  <c r="AH203" i="1"/>
  <c r="AH204" i="1"/>
  <c r="AH209" i="1"/>
  <c r="AH210" i="1"/>
  <c r="AH218" i="1"/>
  <c r="AH57" i="1"/>
  <c r="AH70" i="1"/>
  <c r="AH77" i="1"/>
  <c r="AH79" i="1"/>
  <c r="AH81" i="1"/>
  <c r="AH93" i="1"/>
  <c r="AH116" i="1"/>
  <c r="AH118" i="1"/>
  <c r="AH121" i="1"/>
  <c r="AH123" i="1"/>
  <c r="AH136" i="1"/>
  <c r="AH138" i="1"/>
  <c r="AH145" i="1"/>
  <c r="AH164" i="1"/>
  <c r="AH171" i="1"/>
  <c r="AH173" i="1"/>
  <c r="AH185" i="1"/>
  <c r="AH198" i="1"/>
  <c r="AH213" i="1"/>
  <c r="AH24" i="1"/>
  <c r="AH25" i="1"/>
  <c r="AH26" i="1"/>
  <c r="AH27" i="1"/>
  <c r="AH28" i="1"/>
  <c r="AH34" i="1"/>
  <c r="AH35" i="1"/>
  <c r="AH36" i="1"/>
  <c r="AH42" i="1"/>
  <c r="AH55" i="1"/>
  <c r="AH56" i="1"/>
  <c r="AH65" i="1"/>
  <c r="AH66" i="1"/>
  <c r="AH67" i="1"/>
  <c r="AH68" i="1"/>
  <c r="AH90" i="1"/>
  <c r="AH95" i="1"/>
  <c r="AH104" i="1"/>
  <c r="AH106" i="1"/>
  <c r="AH107" i="1"/>
  <c r="AH108" i="1"/>
  <c r="AH109" i="1"/>
  <c r="AH110" i="1"/>
  <c r="AH113" i="1"/>
  <c r="AH114" i="1"/>
  <c r="AH115" i="1"/>
  <c r="AH126" i="1"/>
  <c r="AH127" i="1"/>
  <c r="AH128" i="1"/>
  <c r="AH132" i="1"/>
  <c r="AH133" i="1"/>
  <c r="AH134" i="1"/>
  <c r="AH135" i="1"/>
  <c r="AH142" i="1"/>
  <c r="AH143" i="1"/>
  <c r="AH144" i="1"/>
  <c r="AH151" i="1"/>
  <c r="AH158" i="1"/>
  <c r="AH159" i="1"/>
  <c r="AH160" i="1"/>
  <c r="AH161" i="1"/>
  <c r="AH162" i="1"/>
  <c r="AH180" i="1"/>
  <c r="AH181" i="1"/>
  <c r="AH182" i="1"/>
  <c r="AH183" i="1"/>
  <c r="AH205" i="1"/>
  <c r="AH219" i="1"/>
  <c r="AH220" i="1"/>
  <c r="AH21" i="1"/>
  <c r="AH22" i="1"/>
  <c r="AH23" i="1"/>
  <c r="AH37" i="1"/>
  <c r="AH38" i="1"/>
  <c r="AH43" i="1"/>
  <c r="AH44" i="1"/>
  <c r="AH45" i="1"/>
  <c r="AH46" i="1"/>
  <c r="AH47" i="1"/>
  <c r="AH48" i="1"/>
  <c r="AH69" i="1"/>
  <c r="AH71" i="1"/>
  <c r="AH72" i="1"/>
  <c r="AH78" i="1"/>
  <c r="AH80" i="1"/>
  <c r="AH82" i="1"/>
  <c r="AH92" i="1"/>
  <c r="AH111" i="1"/>
  <c r="AH117" i="1"/>
  <c r="AH120" i="1"/>
  <c r="AH122" i="1"/>
  <c r="AH129" i="1"/>
  <c r="AH137" i="1"/>
  <c r="AH139" i="1"/>
  <c r="AH163" i="1"/>
  <c r="AH165" i="1"/>
  <c r="AH174" i="1"/>
  <c r="AH184" i="1"/>
  <c r="AH194" i="1"/>
  <c r="AH211" i="1"/>
  <c r="AH221" i="1"/>
  <c r="AH91" i="1"/>
  <c r="AH96" i="1"/>
  <c r="AH14" i="1"/>
  <c r="AH15" i="1"/>
  <c r="AH29" i="1"/>
  <c r="AH30" i="1"/>
  <c r="AH31" i="1"/>
  <c r="AH32" i="1"/>
  <c r="AH39" i="1"/>
  <c r="AH40" i="1"/>
  <c r="AH49" i="1"/>
  <c r="AH50" i="1"/>
  <c r="AH51" i="1"/>
  <c r="AH52" i="1"/>
  <c r="AH58" i="1"/>
  <c r="AH59" i="1"/>
  <c r="AH60" i="1"/>
  <c r="AH73" i="1"/>
  <c r="AH74" i="1"/>
  <c r="AH75" i="1"/>
  <c r="AH83" i="1"/>
  <c r="AH84" i="1"/>
  <c r="AH85" i="1"/>
  <c r="AH94" i="1"/>
  <c r="AH97" i="1"/>
  <c r="AH98" i="1"/>
  <c r="AH99" i="1"/>
  <c r="AH100" i="1"/>
  <c r="AH101" i="1"/>
  <c r="AH102" i="1"/>
  <c r="AH103" i="1"/>
  <c r="AH124" i="1"/>
  <c r="AH130" i="1"/>
  <c r="AH131" i="1"/>
  <c r="AH140" i="1"/>
  <c r="AH146" i="1"/>
  <c r="AH147" i="1"/>
  <c r="AH152" i="1"/>
  <c r="AH153" i="1"/>
  <c r="AH154" i="1"/>
  <c r="AH155" i="1"/>
  <c r="AH156" i="1"/>
  <c r="AH167" i="1"/>
  <c r="AH176" i="1"/>
  <c r="AH177" i="1"/>
  <c r="AH178" i="1"/>
  <c r="AH187" i="1"/>
  <c r="AH195" i="1"/>
  <c r="AH199" i="1"/>
  <c r="AH206" i="1"/>
  <c r="AH207" i="1"/>
  <c r="AH208" i="1"/>
  <c r="AH215" i="1"/>
  <c r="AH216" i="1"/>
  <c r="AH217" i="1"/>
  <c r="AH166" i="1"/>
  <c r="AH172" i="1"/>
  <c r="AH175" i="1"/>
  <c r="AH186" i="1"/>
  <c r="AH212" i="1"/>
  <c r="AH214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3" i="6" s="1"/>
  <c r="G138" i="4"/>
  <c r="H3" i="6" s="1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4" i="6" s="1"/>
  <c r="G155" i="4"/>
  <c r="H4" i="6" s="1"/>
  <c r="F156" i="4"/>
  <c r="G156" i="4"/>
  <c r="F157" i="4"/>
  <c r="G157" i="4"/>
  <c r="F158" i="4"/>
  <c r="G5" i="6" s="1"/>
  <c r="G158" i="4"/>
  <c r="H5" i="6" s="1"/>
  <c r="F159" i="4"/>
  <c r="G159" i="4"/>
  <c r="F160" i="4"/>
  <c r="G160" i="4"/>
  <c r="F161" i="4"/>
  <c r="G161" i="4"/>
  <c r="F162" i="4"/>
  <c r="G6" i="6" s="1"/>
  <c r="G162" i="4"/>
  <c r="H6" i="6" s="1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<sst xmlns="http://schemas.openxmlformats.org/spreadsheetml/2006/main" count="2280" uniqueCount="756">
  <si>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</si>
  <si>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</si>
  <si>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</si>
  <si>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</si>
  <si>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</si>
  <si>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</si>
  <si>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</si>
  <si>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</si>
  <si>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</si>
  <si>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</si>
  <si>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</si>
  <si>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</si>
  <si>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</si>
  <si>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</si>
  <si>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</si>
  <si>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</si>
  <si>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</si>
  <si>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</si>
  <si>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</si>
  <si>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</si>
  <si>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</si>
  <si>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</si>
  <si>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</si>
  <si>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</si>
  <si>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</si>
  <si>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</si>
  <si>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</si>
  <si>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</si>
  <si>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</si>
  <si>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</si>
  <si>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</si>
  <si>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</si>
  <si>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</si>
  <si>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</si>
  <si>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</si>
  <si>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</si>
  <si>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</si>
  <si>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</si>
  <si>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</si>
  <si>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</si>
  <si>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</si>
  <si>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</si>
  <si>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</si>
  <si>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</si>
  <si>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</si>
  <si>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</si>
  <si>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</si>
  <si>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</si>
  <si>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</si>
  <si>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</si>
  <si>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</si>
  <si>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</si>
  <si>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</si>
  <si>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</si>
  <si>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</si>
  <si>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</si>
  <si>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</si>
  <si>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</si>
  <si>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</si>
  <si>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</si>
  <si>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</si>
  <si>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</si>
  <si>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</si>
  <si>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</si>
  <si>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</si>
  <si>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</si>
  <si>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</si>
  <si>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</si>
  <si>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</si>
  <si>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</si>
  <si>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</si>
  <si>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</si>
  <si>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</si>
  <si>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</si>
  <si>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</si>
  <si>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</si>
  <si>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</si>
  <si>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</si>
  <si>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</si>
  <si>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</si>
  <si>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</si>
  <si>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</si>
  <si>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</si>
  <si>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</si>
  <si>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</si>
  <si>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</si>
  <si>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</si>
  <si>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</si>
  <si>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</si>
  <si>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rtdc.l.rtdc.4030:itc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</si>
  <si>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</si>
  <si>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</si>
  <si>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</si>
  <si>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</si>
  <si>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</si>
  <si>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</si>
  <si>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</si>
  <si>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</si>
  <si>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</si>
  <si>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</si>
  <si>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</si>
  <si>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</si>
  <si>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</si>
  <si>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</si>
  <si>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</si>
  <si>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</si>
  <si>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</si>
  <si>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rtdc.l.rtdc.4014:itc</t>
  </si>
  <si>
    <t>DE.1.0.7.0</t>
  </si>
  <si>
    <t>rtdc.l.rtdc.4031:itc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</si>
  <si>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</si>
  <si>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</si>
  <si>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</si>
  <si>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</si>
  <si>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</si>
  <si>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</si>
  <si>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</si>
  <si>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</si>
  <si>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</si>
  <si>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</si>
  <si>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</si>
  <si>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</si>
  <si>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</si>
  <si>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</si>
  <si>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</si>
  <si>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</si>
  <si>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</si>
  <si>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</si>
  <si>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</si>
  <si>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</si>
  <si>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rtdc.l.rtdc.4038:itc</t>
  </si>
  <si>
    <t>204:154</t>
  </si>
  <si>
    <t>rtdc.l.rtdc.4009:itc</t>
  </si>
  <si>
    <t>:.+((SYSTEM_STATE.+slice.+state.+changed )|(ment ac)|(system.+state.+changed )|(\|lc)|(penalty)|(\[timeout)|(PRM\|1\|D)|(kpr)|(kdp))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</si>
  <si>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</si>
  <si>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</si>
  <si>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</si>
  <si>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</si>
  <si>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</si>
  <si>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</si>
  <si>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</si>
  <si>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</si>
  <si>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</si>
  <si>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</si>
  <si>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</si>
  <si>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</si>
  <si>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</si>
  <si>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</si>
  <si>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</si>
  <si>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</si>
  <si>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</si>
  <si>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</si>
  <si>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</si>
  <si>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</si>
  <si>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</si>
  <si>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</si>
  <si>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</si>
  <si>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</si>
  <si>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</si>
  <si>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</si>
  <si>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</si>
  <si>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</si>
  <si>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</si>
  <si>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</si>
  <si>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</si>
  <si>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</si>
  <si>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</si>
  <si>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</si>
  <si>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</si>
  <si>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</si>
  <si>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</si>
  <si>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</si>
  <si>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</si>
  <si>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</si>
  <si>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</si>
  <si>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</si>
  <si>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Y</t>
  </si>
  <si>
    <t>rtdc.l.rtdc.4025:itc</t>
  </si>
  <si>
    <t>rtdc.l.rtdc.4026:itc</t>
  </si>
  <si>
    <t>COOLAHAN</t>
  </si>
  <si>
    <t>rtdc.l.rtdc.4051:itc</t>
  </si>
  <si>
    <t>rtdc.l.rtdc.4052:itc</t>
  </si>
  <si>
    <t>Wi-MAX outage</t>
  </si>
  <si>
    <t>rtdc.l.rtdc.4041:itc</t>
  </si>
  <si>
    <t>rtdc.l.rtdc.4010:itc</t>
  </si>
  <si>
    <t>rtdc.l.rtdc.4042:itc</t>
  </si>
  <si>
    <t>Data.Current Information Milepost</t>
  </si>
  <si>
    <t>Stopped Distance Short of Target (ft)</t>
  </si>
  <si>
    <t>rtdc.l.rtdc.4046:itc</t>
  </si>
  <si>
    <t>CUSHING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</si>
  <si>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</si>
  <si>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</si>
  <si>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</si>
  <si>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</si>
  <si>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</si>
  <si>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</si>
  <si>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</si>
  <si>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</si>
  <si>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</si>
  <si>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</si>
  <si>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</si>
  <si>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</si>
  <si>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</si>
  <si>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</si>
  <si>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Partly Cloudy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</si>
  <si>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</si>
  <si>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</si>
  <si>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</si>
  <si>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</si>
  <si>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</si>
  <si>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</si>
  <si>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</si>
  <si>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</si>
  <si>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</si>
  <si>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</si>
  <si>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</si>
  <si>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</si>
  <si>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</si>
  <si>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</si>
  <si>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</si>
  <si>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partly-cloudy-day</t>
  </si>
  <si>
    <t>Powered by Forecast [forecast.io]</t>
  </si>
  <si>
    <t>204:149</t>
  </si>
  <si>
    <t>204:233314</t>
  </si>
  <si>
    <t>204:160</t>
  </si>
  <si>
    <t>204:232982</t>
  </si>
  <si>
    <t>204:163</t>
  </si>
  <si>
    <t>204:471</t>
  </si>
  <si>
    <t>204:232991</t>
  </si>
  <si>
    <t>204:158</t>
  </si>
  <si>
    <t>204:233305</t>
  </si>
  <si>
    <t>204:232990</t>
  </si>
  <si>
    <t>204:147</t>
  </si>
  <si>
    <t>204:453</t>
  </si>
  <si>
    <t>204:233302</t>
  </si>
  <si>
    <t>204:150</t>
  </si>
  <si>
    <t>204:233291</t>
  </si>
  <si>
    <t>204:152</t>
  </si>
  <si>
    <t>204:232996</t>
  </si>
  <si>
    <t>204:457</t>
  </si>
  <si>
    <t>204:145</t>
  </si>
  <si>
    <t>204:447</t>
  </si>
  <si>
    <t>204:437</t>
  </si>
  <si>
    <t>204:233297</t>
  </si>
  <si>
    <t>204:466</t>
  </si>
  <si>
    <t>204:134</t>
  </si>
  <si>
    <t>204:451</t>
  </si>
  <si>
    <t>204:156</t>
  </si>
  <si>
    <t>204:455</t>
  </si>
  <si>
    <t>204:232977</t>
  </si>
  <si>
    <t>204:233312</t>
  </si>
  <si>
    <t>300:58615</t>
  </si>
  <si>
    <t>rtdc.l.rtdc.4016:itc</t>
  </si>
  <si>
    <t>rtdc.l.rtdc.4018:itc</t>
  </si>
  <si>
    <t>rtdc.l.rtdc.4015:itc</t>
  </si>
  <si>
    <t>rtdc.l.rtdc.4037:itc</t>
  </si>
  <si>
    <t>rtdc.l.rtdc.4039:itc</t>
  </si>
  <si>
    <t>204:139</t>
  </si>
  <si>
    <t>204:233293</t>
  </si>
  <si>
    <t>204:473</t>
  </si>
  <si>
    <t>204:458</t>
  </si>
  <si>
    <t>204:464</t>
  </si>
  <si>
    <t>204:232993</t>
  </si>
  <si>
    <t>204:232984</t>
  </si>
  <si>
    <t>204:136</t>
  </si>
  <si>
    <t>204:232969</t>
  </si>
  <si>
    <t>204:233321</t>
  </si>
  <si>
    <t>204:467</t>
  </si>
  <si>
    <t>240-08</t>
  </si>
  <si>
    <t>204:141</t>
  </si>
  <si>
    <t>204:233323</t>
  </si>
  <si>
    <t>242-08</t>
  </si>
  <si>
    <t>243-08</t>
  </si>
  <si>
    <t>204:233295</t>
  </si>
  <si>
    <t>244-08</t>
  </si>
  <si>
    <t>204:460</t>
  </si>
  <si>
    <t>309-08</t>
  </si>
  <si>
    <t>311-08</t>
  </si>
  <si>
    <t>313-08</t>
  </si>
  <si>
    <t>315-08</t>
  </si>
  <si>
    <t>human_readable_time</t>
  </si>
  <si>
    <t>MALAVE</t>
  </si>
  <si>
    <t>SHOOK</t>
  </si>
  <si>
    <t>rtdc.l.rtdc.4040:itc</t>
  </si>
  <si>
    <t>DELGADO</t>
  </si>
  <si>
    <t>OUN</t>
  </si>
  <si>
    <t>rtdc.l.rtdc.4028:itc</t>
  </si>
  <si>
    <t>204:232965</t>
  </si>
  <si>
    <t>204:232975</t>
  </si>
  <si>
    <t>204:232978</t>
  </si>
  <si>
    <t>204:232988</t>
  </si>
  <si>
    <t>204:138</t>
  </si>
  <si>
    <t>204:233006</t>
  </si>
  <si>
    <t>204:232980</t>
  </si>
  <si>
    <t>204:232994</t>
  </si>
  <si>
    <t>204:232985</t>
  </si>
  <si>
    <t>300:58621</t>
  </si>
  <si>
    <t>300:58935</t>
  </si>
  <si>
    <t>SWITCH UNKNOWN</t>
  </si>
  <si>
    <t>Track device (7)</t>
  </si>
  <si>
    <t>DAVIS</t>
  </si>
  <si>
    <t>STEWART</t>
  </si>
  <si>
    <t>CLARK</t>
  </si>
  <si>
    <t>CHANDLER</t>
  </si>
  <si>
    <t>rtdc.l.rtdc.4013:itc</t>
  </si>
  <si>
    <t>rtdc.l.rtdc.4002:itc</t>
  </si>
  <si>
    <t>rtdc.l.rtdc.4001:itc</t>
  </si>
  <si>
    <t>204:469</t>
  </si>
  <si>
    <t>204:232971</t>
  </si>
  <si>
    <t>204:233311</t>
  </si>
  <si>
    <t>204:444</t>
  </si>
  <si>
    <t>204:232957</t>
  </si>
  <si>
    <t>204:449</t>
  </si>
  <si>
    <t>204:233318</t>
  </si>
  <si>
    <t>300:23304</t>
  </si>
  <si>
    <t>rtdc.l.rtdc.4029:itc</t>
  </si>
  <si>
    <t>ACKERMAN</t>
  </si>
  <si>
    <t>YORK</t>
  </si>
  <si>
    <t>KILLION</t>
  </si>
  <si>
    <t>BARTLETT</t>
  </si>
  <si>
    <t>BRUDER</t>
  </si>
  <si>
    <t>NEWELL</t>
  </si>
  <si>
    <t>204:233284</t>
  </si>
  <si>
    <t>204:232967</t>
  </si>
  <si>
    <t>204:491</t>
  </si>
  <si>
    <t>204:232968</t>
  </si>
  <si>
    <t>204:232966</t>
  </si>
  <si>
    <t>204:233261</t>
  </si>
  <si>
    <t>204:232962</t>
  </si>
  <si>
    <t>204:233298</t>
  </si>
  <si>
    <t>204:232974</t>
  </si>
  <si>
    <t>204:233000</t>
  </si>
  <si>
    <t>204:233051</t>
  </si>
  <si>
    <t>300:58640</t>
  </si>
  <si>
    <t>300:58933</t>
  </si>
  <si>
    <t>300:58929</t>
  </si>
  <si>
    <t>300:58619</t>
  </si>
  <si>
    <t>204:668</t>
  </si>
  <si>
    <t>204:687</t>
  </si>
  <si>
    <t>204:654</t>
  </si>
  <si>
    <t>204:941</t>
  </si>
  <si>
    <t>204:673</t>
  </si>
  <si>
    <t>204:233017</t>
  </si>
  <si>
    <t>300:58636</t>
  </si>
  <si>
    <t>204:233023</t>
  </si>
  <si>
    <t>204:180</t>
  </si>
  <si>
    <t>204:192</t>
  </si>
  <si>
    <t>204:167</t>
  </si>
  <si>
    <t>204:486</t>
  </si>
  <si>
    <t>204:233289</t>
  </si>
  <si>
    <t>204:233280</t>
  </si>
  <si>
    <t>244-11</t>
  </si>
  <si>
    <t>204:169</t>
  </si>
  <si>
    <t>311-11</t>
  </si>
  <si>
    <t>313-11</t>
  </si>
  <si>
    <t>315-11</t>
  </si>
  <si>
    <t>204:475</t>
  </si>
  <si>
    <t>300:22862</t>
  </si>
  <si>
    <t>precipType</t>
  </si>
  <si>
    <t>rain</t>
  </si>
  <si>
    <t>Mostly Cloudy</t>
  </si>
  <si>
    <t>partly-cloudy-night</t>
  </si>
  <si>
    <t>Drizzle</t>
  </si>
  <si>
    <t>Time (US/Mountain)</t>
  </si>
  <si>
    <t>Source</t>
  </si>
  <si>
    <t>Employee Identifier</t>
  </si>
  <si>
    <t>Employee Last Name</t>
  </si>
  <si>
    <t>rtdc.l.rtdc.4027:itc</t>
  </si>
  <si>
    <t>STARKS</t>
  </si>
  <si>
    <t>Early arrival</t>
  </si>
  <si>
    <t>Form C</t>
  </si>
  <si>
    <t>Pena 4S STOP, cleared shortly</t>
  </si>
  <si>
    <t>40th 4S STOP, cleared shortly</t>
  </si>
  <si>
    <t>101-12</t>
  </si>
  <si>
    <t>111-12</t>
  </si>
  <si>
    <t>113-12</t>
  </si>
  <si>
    <t>800-12</t>
  </si>
  <si>
    <t>801-12</t>
  </si>
  <si>
    <t>rtdc.l.rtdc.4032:itc</t>
  </si>
  <si>
    <t>112-12</t>
  </si>
  <si>
    <t>803-12</t>
  </si>
  <si>
    <t>120-12</t>
  </si>
  <si>
    <t>805-12</t>
  </si>
  <si>
    <t>806-12</t>
  </si>
  <si>
    <t>807-12</t>
  </si>
  <si>
    <t>122-12</t>
  </si>
  <si>
    <t>124-12</t>
  </si>
  <si>
    <t>808-12</t>
  </si>
  <si>
    <t>TEMPORARY SPEED RESTRICTION</t>
  </si>
  <si>
    <t>133-12</t>
  </si>
  <si>
    <t>809-12</t>
  </si>
  <si>
    <t>810-12</t>
  </si>
  <si>
    <t>812-12</t>
  </si>
  <si>
    <t>149-12</t>
  </si>
  <si>
    <t>142-12</t>
  </si>
  <si>
    <t>146-12</t>
  </si>
  <si>
    <t>155-12</t>
  </si>
  <si>
    <t>150-12</t>
  </si>
  <si>
    <t>152-12</t>
  </si>
  <si>
    <t>817-12</t>
  </si>
  <si>
    <t>158-12</t>
  </si>
  <si>
    <t>154-12</t>
  </si>
  <si>
    <t>166-12</t>
  </si>
  <si>
    <t>171-12</t>
  </si>
  <si>
    <t>173-12</t>
  </si>
  <si>
    <t>180-12</t>
  </si>
  <si>
    <t>825-12</t>
  </si>
  <si>
    <t>184-12</t>
  </si>
  <si>
    <t>197-12</t>
  </si>
  <si>
    <t>826-12</t>
  </si>
  <si>
    <t>828-12</t>
  </si>
  <si>
    <t>199-12</t>
  </si>
  <si>
    <t>194-12</t>
  </si>
  <si>
    <t>209-12</t>
  </si>
  <si>
    <t>832-12</t>
  </si>
  <si>
    <t>835-12</t>
  </si>
  <si>
    <t>225-12</t>
  </si>
  <si>
    <t>224-12</t>
  </si>
  <si>
    <t>228-12</t>
  </si>
  <si>
    <t>908-12</t>
  </si>
  <si>
    <t>238-12</t>
  </si>
  <si>
    <t>Reactive Warning (1)</t>
  </si>
  <si>
    <t>204:759</t>
  </si>
  <si>
    <t>204:233247</t>
  </si>
  <si>
    <t>102-12</t>
  </si>
  <si>
    <t>204:232633</t>
  </si>
  <si>
    <t>204:161</t>
  </si>
  <si>
    <t>103-12</t>
  </si>
  <si>
    <t>204:650</t>
  </si>
  <si>
    <t>204:233360</t>
  </si>
  <si>
    <t>104-12</t>
  </si>
  <si>
    <t>204:232717</t>
  </si>
  <si>
    <t>105-12</t>
  </si>
  <si>
    <t>204:737</t>
  </si>
  <si>
    <t>204:233299</t>
  </si>
  <si>
    <t>106-12</t>
  </si>
  <si>
    <t>204:232662</t>
  </si>
  <si>
    <t>107-12</t>
  </si>
  <si>
    <t>108-12</t>
  </si>
  <si>
    <t>204:232998</t>
  </si>
  <si>
    <t>109-12</t>
  </si>
  <si>
    <t>110-12</t>
  </si>
  <si>
    <t>204:19130</t>
  </si>
  <si>
    <t>204:233287</t>
  </si>
  <si>
    <t>114-12</t>
  </si>
  <si>
    <t>204:232963</t>
  </si>
  <si>
    <t>204:176</t>
  </si>
  <si>
    <t>115-12</t>
  </si>
  <si>
    <t>204:768</t>
  </si>
  <si>
    <t>116-12</t>
  </si>
  <si>
    <t>117-12</t>
  </si>
  <si>
    <t>118-12</t>
  </si>
  <si>
    <t>119-12</t>
  </si>
  <si>
    <t>204:713</t>
  </si>
  <si>
    <t>121-12</t>
  </si>
  <si>
    <t>204:233326</t>
  </si>
  <si>
    <t>123-12</t>
  </si>
  <si>
    <t>204:233308</t>
  </si>
  <si>
    <t>204:232989</t>
  </si>
  <si>
    <t>125-12</t>
  </si>
  <si>
    <t>126-12</t>
  </si>
  <si>
    <t>204:233005</t>
  </si>
  <si>
    <t>127-12</t>
  </si>
  <si>
    <t>128-12</t>
  </si>
  <si>
    <t>129-12</t>
  </si>
  <si>
    <t>130-12</t>
  </si>
  <si>
    <t>131-12</t>
  </si>
  <si>
    <t>204:233278</t>
  </si>
  <si>
    <t>132-12</t>
  </si>
  <si>
    <t>134-12</t>
  </si>
  <si>
    <t>204:232719</t>
  </si>
  <si>
    <t>135-12</t>
  </si>
  <si>
    <t>204:233304</t>
  </si>
  <si>
    <t>136-12</t>
  </si>
  <si>
    <t>137-12</t>
  </si>
  <si>
    <t>204:233303</t>
  </si>
  <si>
    <t>138-12</t>
  </si>
  <si>
    <t>204:232986</t>
  </si>
  <si>
    <t>139-12</t>
  </si>
  <si>
    <t>140-12</t>
  </si>
  <si>
    <t>204:60536</t>
  </si>
  <si>
    <t>204:36791</t>
  </si>
  <si>
    <t>141-12</t>
  </si>
  <si>
    <t>204:233355</t>
  </si>
  <si>
    <t>204:60382</t>
  </si>
  <si>
    <t>204:36761</t>
  </si>
  <si>
    <t>143-12</t>
  </si>
  <si>
    <t>204:462</t>
  </si>
  <si>
    <t>144-12</t>
  </si>
  <si>
    <t>204:232960</t>
  </si>
  <si>
    <t>145-12</t>
  </si>
  <si>
    <t>204:435</t>
  </si>
  <si>
    <t>147-12</t>
  </si>
  <si>
    <t>204:233317</t>
  </si>
  <si>
    <t>148-12</t>
  </si>
  <si>
    <t>204:233004</t>
  </si>
  <si>
    <t>204:238</t>
  </si>
  <si>
    <t>151-12</t>
  </si>
  <si>
    <t>204:233332</t>
  </si>
  <si>
    <t>153-12</t>
  </si>
  <si>
    <t>204:60821</t>
  </si>
  <si>
    <t>204:36787</t>
  </si>
  <si>
    <t>204:493</t>
  </si>
  <si>
    <t>156-12</t>
  </si>
  <si>
    <t>204:232928</t>
  </si>
  <si>
    <t>204:64151</t>
  </si>
  <si>
    <t>204:36799</t>
  </si>
  <si>
    <t>204:185</t>
  </si>
  <si>
    <t>157-12</t>
  </si>
  <si>
    <t>204:482</t>
  </si>
  <si>
    <t>204:232950</t>
  </si>
  <si>
    <t>159-12</t>
  </si>
  <si>
    <t>160-12</t>
  </si>
  <si>
    <t>204:60362</t>
  </si>
  <si>
    <t>161-12</t>
  </si>
  <si>
    <t>204:446</t>
  </si>
  <si>
    <t>162-12</t>
  </si>
  <si>
    <t>163-12</t>
  </si>
  <si>
    <t>204:560</t>
  </si>
  <si>
    <t>164-12</t>
  </si>
  <si>
    <t>204:64159</t>
  </si>
  <si>
    <t>204:36794</t>
  </si>
  <si>
    <t>165-12</t>
  </si>
  <si>
    <t>204:489</t>
  </si>
  <si>
    <t>204:233264</t>
  </si>
  <si>
    <t>167-12</t>
  </si>
  <si>
    <t>168-12</t>
  </si>
  <si>
    <t>204:64137</t>
  </si>
  <si>
    <t>204:36770</t>
  </si>
  <si>
    <t>204:123</t>
  </si>
  <si>
    <t>169-12</t>
  </si>
  <si>
    <t>170-12</t>
  </si>
  <si>
    <t>172-12</t>
  </si>
  <si>
    <t>204:64169</t>
  </si>
  <si>
    <t>204:36765</t>
  </si>
  <si>
    <t>204:233257</t>
  </si>
  <si>
    <t>174-12</t>
  </si>
  <si>
    <t>204:232946</t>
  </si>
  <si>
    <t>204:64149</t>
  </si>
  <si>
    <t>175-12</t>
  </si>
  <si>
    <t>204:233383</t>
  </si>
  <si>
    <t>176-12</t>
  </si>
  <si>
    <t>204:233087</t>
  </si>
  <si>
    <t>177-12</t>
  </si>
  <si>
    <t>178-12</t>
  </si>
  <si>
    <t>179-12</t>
  </si>
  <si>
    <t>204:205</t>
  </si>
  <si>
    <t>181-12</t>
  </si>
  <si>
    <t>182-12</t>
  </si>
  <si>
    <t>183-12</t>
  </si>
  <si>
    <t>204:232981</t>
  </si>
  <si>
    <t>204:305</t>
  </si>
  <si>
    <t>185-12</t>
  </si>
  <si>
    <t>187-12</t>
  </si>
  <si>
    <t>204:1507</t>
  </si>
  <si>
    <t>188-12</t>
  </si>
  <si>
    <t>204:172</t>
  </si>
  <si>
    <t>189-12</t>
  </si>
  <si>
    <t>190-12</t>
  </si>
  <si>
    <t>191-12</t>
  </si>
  <si>
    <t>192-12</t>
  </si>
  <si>
    <t>193-12</t>
  </si>
  <si>
    <t>204:515</t>
  </si>
  <si>
    <t>195-12</t>
  </si>
  <si>
    <t>196-12</t>
  </si>
  <si>
    <t>204:18287</t>
  </si>
  <si>
    <t>204:577</t>
  </si>
  <si>
    <t>204:233170</t>
  </si>
  <si>
    <t>198-12</t>
  </si>
  <si>
    <t>204:232863</t>
  </si>
  <si>
    <t>204:129</t>
  </si>
  <si>
    <t>204:233336</t>
  </si>
  <si>
    <t>201-12</t>
  </si>
  <si>
    <t>202-12</t>
  </si>
  <si>
    <t>203-12</t>
  </si>
  <si>
    <t>204:233315</t>
  </si>
  <si>
    <t>204-12</t>
  </si>
  <si>
    <t>204:233021</t>
  </si>
  <si>
    <t>205-12</t>
  </si>
  <si>
    <t>206-12</t>
  </si>
  <si>
    <t>207-12</t>
  </si>
  <si>
    <t>204:522</t>
  </si>
  <si>
    <t>204:233285</t>
  </si>
  <si>
    <t>208-12</t>
  </si>
  <si>
    <t>204:216</t>
  </si>
  <si>
    <t>210-12</t>
  </si>
  <si>
    <t>211-12</t>
  </si>
  <si>
    <t>204:233306</t>
  </si>
  <si>
    <t>212-12</t>
  </si>
  <si>
    <t>213-12</t>
  </si>
  <si>
    <t>214-12</t>
  </si>
  <si>
    <t>215-12</t>
  </si>
  <si>
    <t>204:233340</t>
  </si>
  <si>
    <t>216-12</t>
  </si>
  <si>
    <t>217-12</t>
  </si>
  <si>
    <t>218-12</t>
  </si>
  <si>
    <t>219-12</t>
  </si>
  <si>
    <t>220-12</t>
  </si>
  <si>
    <t>221-12</t>
  </si>
  <si>
    <t>222-12</t>
  </si>
  <si>
    <t>204:198</t>
  </si>
  <si>
    <t>223-12</t>
  </si>
  <si>
    <t>226-12</t>
  </si>
  <si>
    <t>204:233008</t>
  </si>
  <si>
    <t>227-12</t>
  </si>
  <si>
    <t>204:10019</t>
  </si>
  <si>
    <t>229-12</t>
  </si>
  <si>
    <t>230-12</t>
  </si>
  <si>
    <t>204:42838</t>
  </si>
  <si>
    <t>231-12</t>
  </si>
  <si>
    <t>232-12</t>
  </si>
  <si>
    <t>233-12</t>
  </si>
  <si>
    <t>204:415</t>
  </si>
  <si>
    <t>204:233268</t>
  </si>
  <si>
    <t>234-12</t>
  </si>
  <si>
    <t>204:232952</t>
  </si>
  <si>
    <t>235-12</t>
  </si>
  <si>
    <t>236-12</t>
  </si>
  <si>
    <t>237-12</t>
  </si>
  <si>
    <t>204:233288</t>
  </si>
  <si>
    <t>239-12</t>
  </si>
  <si>
    <t>240-12</t>
  </si>
  <si>
    <t>204:127</t>
  </si>
  <si>
    <t>241-12</t>
  </si>
  <si>
    <t>204:488</t>
  </si>
  <si>
    <t>242-12</t>
  </si>
  <si>
    <t>243-12</t>
  </si>
  <si>
    <t>244-12</t>
  </si>
  <si>
    <t>303-12</t>
  </si>
  <si>
    <t>204:531</t>
  </si>
  <si>
    <t>204:5002</t>
  </si>
  <si>
    <t>305-12</t>
  </si>
  <si>
    <t>300:23086</t>
  </si>
  <si>
    <t>307-12</t>
  </si>
  <si>
    <t>309-12</t>
  </si>
  <si>
    <t>204:480</t>
  </si>
  <si>
    <t>300:22822</t>
  </si>
  <si>
    <t>311-12</t>
  </si>
  <si>
    <t>300:23017</t>
  </si>
  <si>
    <t>313-12</t>
  </si>
  <si>
    <t>300:22265</t>
  </si>
  <si>
    <t>315-12</t>
  </si>
  <si>
    <t>300:23109</t>
  </si>
  <si>
    <t>300:58647</t>
  </si>
  <si>
    <t>204:661</t>
  </si>
  <si>
    <t>204:920</t>
  </si>
  <si>
    <t>300:58961</t>
  </si>
  <si>
    <t>802-12</t>
  </si>
  <si>
    <t>204:642</t>
  </si>
  <si>
    <t>204:888</t>
  </si>
  <si>
    <t>300:59003</t>
  </si>
  <si>
    <t>804-12</t>
  </si>
  <si>
    <t>300:58681</t>
  </si>
  <si>
    <t>204:691</t>
  </si>
  <si>
    <t>204:934</t>
  </si>
  <si>
    <t>300:58624</t>
  </si>
  <si>
    <t>300:58702</t>
  </si>
  <si>
    <t>204:636</t>
  </si>
  <si>
    <t>204:976</t>
  </si>
  <si>
    <t>300:58975</t>
  </si>
  <si>
    <t>300:58655</t>
  </si>
  <si>
    <t>204:643</t>
  </si>
  <si>
    <t>300:58997</t>
  </si>
  <si>
    <t>300:58685</t>
  </si>
  <si>
    <t>204:766</t>
  </si>
  <si>
    <t>811-12</t>
  </si>
  <si>
    <t>204:955</t>
  </si>
  <si>
    <t>300:58954</t>
  </si>
  <si>
    <t>300:57766</t>
  </si>
  <si>
    <t>813-12</t>
  </si>
  <si>
    <t>204:985</t>
  </si>
  <si>
    <t>300:58978</t>
  </si>
  <si>
    <t>814-12</t>
  </si>
  <si>
    <t>204:649</t>
  </si>
  <si>
    <t>815-12</t>
  </si>
  <si>
    <t>204:946</t>
  </si>
  <si>
    <t>816-12</t>
  </si>
  <si>
    <t>300:58658</t>
  </si>
  <si>
    <t>204:953</t>
  </si>
  <si>
    <t>818-12</t>
  </si>
  <si>
    <t>204:652</t>
  </si>
  <si>
    <t>819-12</t>
  </si>
  <si>
    <t>204:979</t>
  </si>
  <si>
    <t>820-12</t>
  </si>
  <si>
    <t>204:626</t>
  </si>
  <si>
    <t>821-12</t>
  </si>
  <si>
    <t>204:929</t>
  </si>
  <si>
    <t>300:58926</t>
  </si>
  <si>
    <t>822-12</t>
  </si>
  <si>
    <t>300:58608</t>
  </si>
  <si>
    <t>823-12</t>
  </si>
  <si>
    <t>204:967</t>
  </si>
  <si>
    <t>300:58928</t>
  </si>
  <si>
    <t>824-12</t>
  </si>
  <si>
    <t>204:969</t>
  </si>
  <si>
    <t>300:58611</t>
  </si>
  <si>
    <t>204:720</t>
  </si>
  <si>
    <t>827-12</t>
  </si>
  <si>
    <t>204:922</t>
  </si>
  <si>
    <t>204:680</t>
  </si>
  <si>
    <t>829-12</t>
  </si>
  <si>
    <t>204:1028</t>
  </si>
  <si>
    <t>830-12</t>
  </si>
  <si>
    <t>300:58617</t>
  </si>
  <si>
    <t>831-12</t>
  </si>
  <si>
    <t>833-12</t>
  </si>
  <si>
    <t>204:972</t>
  </si>
  <si>
    <t>300:58924</t>
  </si>
  <si>
    <t>834-12</t>
  </si>
  <si>
    <t>300:58613</t>
  </si>
  <si>
    <t>204:656</t>
  </si>
  <si>
    <t>204:971</t>
  </si>
  <si>
    <t>836-12</t>
  </si>
  <si>
    <t>300:57810</t>
  </si>
  <si>
    <t>837-12</t>
  </si>
  <si>
    <t>838-12</t>
  </si>
  <si>
    <t>839-12</t>
  </si>
  <si>
    <t>300:58931</t>
  </si>
  <si>
    <t>840-12</t>
  </si>
  <si>
    <t>204:677</t>
  </si>
  <si>
    <t>841-12</t>
  </si>
  <si>
    <t>204:964</t>
  </si>
  <si>
    <t>842-12</t>
  </si>
  <si>
    <t>843-12</t>
  </si>
  <si>
    <t>844-12</t>
  </si>
  <si>
    <t>204:682</t>
  </si>
  <si>
    <t>845-12</t>
  </si>
  <si>
    <t>204:965</t>
  </si>
  <si>
    <t>847-12</t>
  </si>
  <si>
    <t>204:978</t>
  </si>
  <si>
    <t>904-12</t>
  </si>
  <si>
    <t>300:25131</t>
  </si>
  <si>
    <t>300:24834</t>
  </si>
  <si>
    <t>906-12</t>
  </si>
  <si>
    <t>300:28782</t>
  </si>
  <si>
    <t>300:31888</t>
  </si>
  <si>
    <t>Light Rain</t>
  </si>
  <si>
    <t>Summary for DUS 2016-09-12: Light rain starting in the evening.</t>
  </si>
  <si>
    <t>RICHARDSON</t>
  </si>
  <si>
    <t>SPECTOR</t>
  </si>
  <si>
    <t>ROCHA</t>
  </si>
  <si>
    <t>BROWN</t>
  </si>
  <si>
    <t>BERLING</t>
  </si>
  <si>
    <t>ISHMAEL</t>
  </si>
  <si>
    <t>186-12</t>
  </si>
  <si>
    <t>HAITHCOX</t>
  </si>
  <si>
    <t>200-12</t>
  </si>
  <si>
    <t>MAHAN</t>
  </si>
  <si>
    <t>SMITH</t>
  </si>
  <si>
    <t>YANAI</t>
  </si>
  <si>
    <t>CRAYTON</t>
  </si>
  <si>
    <t>DUS 2N was STOP because 20N was STOP</t>
  </si>
  <si>
    <t>Mechanical fault - wheel tach slide detected</t>
  </si>
  <si>
    <t>Pena 2N STOP, cleared shortly</t>
  </si>
  <si>
    <t>Quebec XING malfunction</t>
  </si>
  <si>
    <t>Onboard in-route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</si>
</sst>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7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0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CM270"/>
  <sheetViews>
    <sheetView tabSelected="1" workbookViewId="0">
      <selection activeCell="V14" sqref="V14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41" bestFit="1" customWidth="1"/>
    <col min="19" max="19" width="7.7109375" style="23" customWidth="1"/>
    <col min="20" max="20" width="3.85546875" customWidth="1"/>
    <col min="21" max="21" width="5" style="161" customWidth="1"/>
    <col min="22" max="22" width="5.7109375" style="104" customWidth="1"/>
    <col min="23" max="23" width="3.85546875" style="22" customWidth="1"/>
    <col min="24" max="24" width="5.28515625" style="166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26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116</v>
      </c>
      <c r="J1" s="43"/>
      <c r="K1" s="30"/>
      <c r="L1" s="30"/>
      <c r="M1" s="42"/>
      <c r="N1" s="43"/>
      <c r="O1" s="2"/>
      <c r="P1" s="2"/>
      <c r="R1" s="40" t="s">
        <v>117</v>
      </c>
      <c r="S1" s="43"/>
      <c r="T1" s="30"/>
      <c r="U1" s="157"/>
      <c r="V1" s="42"/>
      <c r="W1" s="43"/>
      <c r="X1" s="161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42625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42625</v>
      </c>
      <c r="S2" s="79"/>
      <c r="T2" s="80"/>
      <c r="U2" s="158"/>
      <c r="V2" s="102" t="s">
        <v>8</v>
      </c>
      <c r="W2" s="82"/>
      <c r="X2" s="164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59"/>
      <c r="V3" s="44" t="s">
        <v>11</v>
      </c>
      <c r="W3" s="45" t="s">
        <v>12</v>
      </c>
      <c r="X3" s="165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47</v>
      </c>
      <c r="T4" s="46"/>
      <c r="U4" s="160"/>
      <c r="V4" s="47" t="s">
        <v>15</v>
      </c>
      <c r="W4" s="45" t="s">
        <v>15</v>
      </c>
      <c r="X4" s="165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COUNTIFS($N$13:$N$9413,"&gt;0",$AG$13:$AG$9413,I1)</f>
        <v>129</v>
      </c>
      <c r="K5" s="46"/>
      <c r="L5" s="46"/>
      <c r="M5" s="47">
        <f>AVERAGEIFS($N$13:$N$9413,$AG$13:$AG$9413,I1)</f>
        <v>39.474806202017852</v>
      </c>
      <c r="N5" s="45">
        <f t="array" ref="N5">MIN(IF($AG$13:$AG$9413=I1,IF(ISNUMBER($N$13:$N$9413),IF($N$13:$N$9413&gt;0,$N$13:$N$9413))))</f>
        <v>34.533333338331431</v>
      </c>
      <c r="O5" s="3">
        <f t="array" ref="O5">MAX(IF($AG$13:$AG$9413=I1,IF(ISNUMBER($N$13:$N$9413),IF($N$13:$N$9413&gt;0,$N$13:$N$9413))))</f>
        <v>51.033333339728415</v>
      </c>
      <c r="P5" s="2"/>
      <c r="R5" s="87" t="s">
        <v>17</v>
      </c>
      <c r="S5" s="57">
        <f>COUNTIFS($N$13:$N$9413,"&gt;0",$AG$13:$AG$9413,R1)</f>
        <v>47</v>
      </c>
      <c r="T5" s="46"/>
      <c r="U5" s="160"/>
      <c r="V5" s="47">
        <f>AVERAGEIFS($N$13:$N$9413,$AG$13:$AG$9413,R1)</f>
        <v>15.104964539096592</v>
      </c>
      <c r="W5" s="45">
        <f t="array" ref="W5">MIN(IF($AG$13:$AG$9413=R1,IF(ISNUMBER($N$13:$N$9413),IF($N$13:$N$9413&gt;0,$N$13:$N$9413))))</f>
        <v>12.849999996833503</v>
      </c>
      <c r="X5" s="165">
        <f t="array" ref="X5">MAX(IF($AG$13:$AG$9413=R1,IF(ISNUMBER($N$13:$N$9413),IF($N$13:$N$9413&gt;0,$N$13:$N$9413))))</f>
        <v>22.600000002421439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COUNT($O$13:$O$174)</f>
        <v>0</v>
      </c>
      <c r="K6" s="46"/>
      <c r="L6" s="46"/>
      <c r="M6" s="47">
        <f>IFERROR(AVERAGE($O$13:$O$174),0)</f>
        <v>0</v>
      </c>
      <c r="N6" s="45">
        <f>MIN($O$13:$O$174)</f>
        <v>0</v>
      </c>
      <c r="O6" s="3">
        <f>MAX($O$13:$O$174)</f>
        <v>0</v>
      </c>
      <c r="P6" s="2"/>
      <c r="R6" s="88" t="s">
        <v>43</v>
      </c>
      <c r="S6" s="57">
        <f>COUNT($O$13:$O$174)</f>
        <v>0</v>
      </c>
      <c r="T6" s="46"/>
      <c r="U6" s="160"/>
      <c r="V6" s="47">
        <f>IFERROR(AVERAGE($O$13:$O$174),0)</f>
        <v>0</v>
      </c>
      <c r="W6" s="45">
        <f>MIN($O$13:$O$174)</f>
        <v>0</v>
      </c>
      <c r="X6" s="165">
        <f>MAX($O$13:$O$174)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COUNTIFS($P$13:$P$9413,"&gt;0",$AG$13:$AG$9413,I1)</f>
        <v>15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COUNTIFS($P$13:$P$9413,"&gt;0",$AG$13:$AG$9413,R1)</f>
        <v>0</v>
      </c>
      <c r="T7" s="46"/>
      <c r="U7" s="160"/>
      <c r="V7" s="47" t="s">
        <v>15</v>
      </c>
      <c r="W7" s="45" t="s">
        <v>15</v>
      </c>
      <c r="X7" s="165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129</v>
      </c>
      <c r="K8" s="46"/>
      <c r="L8" s="46"/>
      <c r="M8" s="47">
        <f>M5</f>
        <v>39.474806202017852</v>
      </c>
      <c r="N8" s="45">
        <f>N5</f>
        <v>34.533333338331431</v>
      </c>
      <c r="O8" s="3">
        <f>O5</f>
        <v>51.033333339728415</v>
      </c>
      <c r="P8" s="2"/>
      <c r="R8" s="87" t="s">
        <v>16</v>
      </c>
      <c r="S8" s="57">
        <f>S5</f>
        <v>47</v>
      </c>
      <c r="T8" s="46"/>
      <c r="U8" s="160"/>
      <c r="V8" s="47">
        <f>V5</f>
        <v>15.104964539096592</v>
      </c>
      <c r="W8" s="45">
        <f>W5</f>
        <v>12.849999996833503</v>
      </c>
      <c r="X8" s="165">
        <f>X5</f>
        <v>22.600000002421439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0.89583333333333337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1</v>
      </c>
      <c r="T9" s="48"/>
      <c r="U9" s="157"/>
      <c r="V9" s="90"/>
      <c r="W9" s="43"/>
      <c r="X9" s="154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61"/>
      <c r="V10" s="103"/>
      <c r="W10" s="22"/>
      <c r="X10" s="166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5" t="str">
        <f>"Eagle P3 System Performance - "&amp;TEXT(Variables!A2,"yyyy-mm-dd")</f>
        <v>Eagle P3 System Performance - 2016-09-12</v>
      </c>
      <c r="B11" s="17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S11" s="72">
        <f>AVERAGE(S13:S118)</f>
        <v>0.94276094276094291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62" t="s">
        <v>71</v>
      </c>
      <c r="V12" s="105" t="s">
        <v>45</v>
      </c>
      <c r="W12" s="53" t="s">
        <v>23</v>
      </c>
      <c r="X12" s="167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90</v>
      </c>
      <c r="AE12" s="98" t="s">
        <v>97</v>
      </c>
      <c r="AF12" s="95" t="s">
        <v>102</v>
      </c>
      <c r="AG12" s="4" t="s">
        <v>118</v>
      </c>
      <c r="AH12" s="101" t="s">
        <v>120</v>
      </c>
      <c r="AI12" s="133" t="s">
        <v>166</v>
      </c>
      <c r="AJ12" s="53" t="s">
        <v>167</v>
      </c>
      <c r="AK12" s="53" t="s">
        <v>139</v>
      </c>
      <c r="AL12" s="53" t="s">
        <v>168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hidden="1" x14ac:dyDescent="0.25">
      <c r="A13" s="39" t="s">
        <v>373</v>
      </c>
      <c r="B13" s="7">
        <v>4031</v>
      </c>
      <c r="C13" s="24" t="s">
        <v>108</v>
      </c>
      <c r="D13" s="24" t="s">
        <v>422</v>
      </c>
      <c r="E13" s="15">
        <v>42625.132905092592</v>
      </c>
      <c r="F13" s="15">
        <v>42625.135613425926</v>
      </c>
      <c r="G13" s="7">
        <v>2</v>
      </c>
      <c r="H13" s="15" t="s">
        <v>423</v>
      </c>
      <c r="I13" s="15">
        <v>42625.161099537036</v>
      </c>
      <c r="J13" s="7">
        <v>2</v>
      </c>
      <c r="K13" s="121" t="str">
        <f t="shared" ref="K13:K76" si="0">IF(ISEVEN(B13),(B13-1)&amp;"/"&amp;B13,B13&amp;"/"&amp;(B13+1))</f>
        <v>4031/4032</v>
      </c>
      <c r="L13" s="24" t="str">
        <f>VLOOKUP(A13,'Trips&amp;Operators'!$C$1:$E$10000,3,FALSE)</f>
        <v>KILLION</v>
      </c>
      <c r="M13" s="6">
        <f t="shared" ref="M13:M76" si="1">I13-F13</f>
        <v>2.548611110978527E-2</v>
      </c>
      <c r="N13" s="7">
        <f t="shared" ref="N13:N22" si="2">24*60*SUM($M13:$M13)</f>
        <v>36.699999998090789</v>
      </c>
      <c r="O13" s="7"/>
      <c r="P13" s="7"/>
      <c r="Q13" s="25"/>
      <c r="R13" s="25"/>
      <c r="S13" s="37">
        <f t="shared" ref="S13:S51" si="3">SUM(U13:U13)/IF(AG13="EC",12,1)</f>
        <v>1</v>
      </c>
      <c r="T13" s="52" t="str">
        <f t="shared" ref="T13:T76" si="4">IF(ISEVEN(LEFT(AD13,4)),"Southbound","NorthBound")</f>
        <v>NorthBound</v>
      </c>
      <c r="U13" s="16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https://search-rtdc-monitor-bjffxe2xuh6vdkpspy63sjmuny.us-east-1.es.amazonaws.com/_plugin/kibana/#/discover/Steve-Slow-Train-Analysis-(2080s-and-2083s)?_g=(refreshInterval:(display:Off,section:0,value:0),time:(from:'2016-09-12 02:11:23-0600',mode:absolute,to:'2016-09-12 04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3" s="54" t="str">
        <f t="shared" ref="W13:W76" si="6">IF(AA13&lt;IF(AG13="EC",23,5.65),"Y","N")</f>
        <v>N</v>
      </c>
      <c r="X13" s="168" t="e">
        <f t="shared" ref="X13:X21" si="7">VALUE(LEFT(AD13,4))-VALUE(LEFT(AD12,4))</f>
        <v>#VALUE!</v>
      </c>
      <c r="Y13" s="69">
        <f t="shared" ref="Y13:Y76" si="8">RIGHT(D13,LEN(D13)-4)/10000</f>
        <v>7.5899999999999995E-2</v>
      </c>
      <c r="Z13" s="69">
        <f t="shared" ref="Z13:Z76" si="9">RIGHT(H13,LEN(H13)-4)/10000</f>
        <v>23.3247</v>
      </c>
      <c r="AA13" s="69">
        <f t="shared" ref="AA13:AA76" si="10">ABS(Z13-Y13)</f>
        <v>23.248799999999999</v>
      </c>
      <c r="AB13" s="66" t="str">
        <f>VLOOKUP(A13,Enforcements!$C$7:$K$21,8,0)</f>
        <v>Speed (6)</v>
      </c>
      <c r="AC13" s="62" t="str">
        <f>VLOOKUP(A13,Enforcements!$C$7:$E$21,3,0)</f>
        <v>PERMANENT SPEED RESTRICTION</v>
      </c>
      <c r="AD13" s="63" t="str">
        <f t="shared" ref="AD13:AD76" si="11">IF(LEN(A13)=6,"0"&amp;A13,A13)</f>
        <v>0101-12</v>
      </c>
      <c r="AE13" s="99" t="str">
        <f t="shared" ref="AE13:AE76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13" s="96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/stypes="app*4031*20160912*" /stext=" 09:.+((SYSTEM_STATE.+slice.+state.+changed )|(ment ac)|(system.+state.+changed )|(\|lc)|(penalty)|(\[timeout)|(PRM\|1\|D)|(kpr)|(kdp))" /e /r /s</v>
      </c>
      <c r="AG13" s="1" t="str">
        <f t="shared" ref="AG13:AG76" si="14">IFERROR(IF(VALUE(LEFT(AD13,2))&lt;=2,"EC",IF(OR(VALUE(LEFT(AD13,2))=8,VALUE(LEFT(AD13,2))=18),"NW","Other")),"Other")</f>
        <v>EC</v>
      </c>
      <c r="AH13" s="100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101-12 --locoid 4031 --swversion DE.1.0.7.0 --startMP 204:759 --initTime 2016-09-12T03:11:23 --startdatetime 2016-09-12T03:15:17 --delay 2 --endMP 204:233247 --enddatetime 2016-09-12T03:51:59 --enforcementcount 2 &gt;&gt;C:\Users\stu\Documents\GitHub\eaglep3-reporting\EC\2016-09-12-refined-times.txt</v>
      </c>
      <c r="AI13" s="13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{"issue":{"subject":"","project_id":79,"tracker_id":40,"status_id":1,"priority_id":2,"assigned_to_id":23,"start_date":"2016-09-12","description":"","custom_fields":[{"id":1,"name":"Subdivision","value":"EC"},{"id":4,"name":"Milepost","value":"23.2488"},{"id":17,"name":"Train ID","value":"101-12"},{"id":16,"name":"Locomotive ID","value":"4031"},{"id":130,"name":"Impact","value":""},{"id":150,"name":"Time of Event (Mountain Time)","value":"03:51:59"},{"id":151,"name":"Denver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424</v>
      </c>
      <c r="B14" s="7">
        <v>4028</v>
      </c>
      <c r="C14" s="24" t="s">
        <v>108</v>
      </c>
      <c r="D14" s="24" t="s">
        <v>425</v>
      </c>
      <c r="E14" s="15">
        <v>42625.168553240743</v>
      </c>
      <c r="F14" s="15">
        <v>42625.174618055556</v>
      </c>
      <c r="G14" s="7">
        <v>1</v>
      </c>
      <c r="H14" s="15" t="s">
        <v>426</v>
      </c>
      <c r="I14" s="15">
        <v>42625.201180555552</v>
      </c>
      <c r="J14" s="7">
        <v>2</v>
      </c>
      <c r="K14" s="121" t="str">
        <f t="shared" si="0"/>
        <v>4027/4028</v>
      </c>
      <c r="L14" s="24" t="str">
        <f>VLOOKUP(A14,'Trips&amp;Operators'!$C$1:$E$10000,3,FALSE)</f>
        <v>KILLION</v>
      </c>
      <c r="M14" s="6">
        <f t="shared" si="1"/>
        <v>2.6562499995634425E-2</v>
      </c>
      <c r="N14" s="7">
        <f t="shared" si="2"/>
        <v>38.249999993713573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6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03:02:43-0600',mode:absolute,to:'2016-09-12 05:49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4" s="54" t="str">
        <f t="shared" si="6"/>
        <v>N</v>
      </c>
      <c r="X14" s="168">
        <f t="shared" si="7"/>
        <v>1</v>
      </c>
      <c r="Y14" s="69">
        <f t="shared" si="8"/>
        <v>23.263300000000001</v>
      </c>
      <c r="Z14" s="69">
        <f t="shared" si="9"/>
        <v>1.61E-2</v>
      </c>
      <c r="AA14" s="69">
        <f t="shared" si="10"/>
        <v>23.247199999999999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 t="shared" si="11"/>
        <v>0102-12</v>
      </c>
      <c r="AE14" s="99" t="str">
        <f t="shared" si="12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14" s="96" t="str">
        <f t="shared" si="13"/>
        <v>"C:\Program Files (x86)\AstroGrep\AstroGrep.exe" /spath="%USERPROFILE%\AppData\Local\Temp\OnboardLogs" /stypes="app*4028*20160912*"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0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102-12 --locoid 4028 --swversion DE.1.0.7.0 --startMP 204:232633 --initTime 2016-09-12T04:02:43 --startdatetime 2016-09-12T04:11:27 --delay 1 --endMP 204:161 --enddatetime 2016-09-12T04:49:42 --enforcementcount 2 &gt;&gt;C:\Users\stu\Documents\GitHub\eaglep3-reporting\EC\2016-09-12-refined-times.txt</v>
      </c>
      <c r="AI14" s="134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{"issue":{"subject":"","project_id":79,"tracker_id":40,"status_id":1,"priority_id":2,"assigned_to_id":23,"start_date":"2016-09-12","description":"","custom_fields":[{"id":1,"name":"Subdivision","value":"EC"},{"id":4,"name":"Milepost","value":"23.2472"},{"id":17,"name":"Train ID","value":"102-12"},{"id":16,"name":"Locomotive ID","value":"4028"},{"id":130,"name":"Impact","value":""},{"id":150,"name":"Time of Event (Mountain Time)","value":"04:49:42"},{"id":151,"name":"Denver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hidden="1" x14ac:dyDescent="0.25">
      <c r="A15" s="39" t="s">
        <v>427</v>
      </c>
      <c r="B15" s="7">
        <v>4038</v>
      </c>
      <c r="C15" s="24" t="s">
        <v>108</v>
      </c>
      <c r="D15" s="24" t="s">
        <v>428</v>
      </c>
      <c r="E15" s="15">
        <v>42625.152199074073</v>
      </c>
      <c r="F15" s="15">
        <v>42625.156585648147</v>
      </c>
      <c r="G15" s="7">
        <v>1</v>
      </c>
      <c r="H15" s="15" t="s">
        <v>429</v>
      </c>
      <c r="I15" s="15">
        <v>42625.181909722225</v>
      </c>
      <c r="J15" s="7">
        <v>2</v>
      </c>
      <c r="K15" s="121" t="str">
        <f t="shared" si="0"/>
        <v>4037/4038</v>
      </c>
      <c r="L15" s="24" t="str">
        <f>VLOOKUP(A15,'Trips&amp;Operators'!$C$1:$E$10000,3,FALSE)</f>
        <v>ACKERMAN</v>
      </c>
      <c r="M15" s="6">
        <f t="shared" si="1"/>
        <v>2.5324074078525882E-2</v>
      </c>
      <c r="N15" s="7">
        <f t="shared" si="2"/>
        <v>36.46666667307727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6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02:39:10-0600',mode:absolute,to:'2016-09-12 05:21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5" s="54" t="str">
        <f t="shared" si="6"/>
        <v>N</v>
      </c>
      <c r="X15" s="168">
        <f t="shared" si="7"/>
        <v>1</v>
      </c>
      <c r="Y15" s="69">
        <f t="shared" si="8"/>
        <v>6.5000000000000002E-2</v>
      </c>
      <c r="Z15" s="69">
        <f t="shared" si="9"/>
        <v>23.335999999999999</v>
      </c>
      <c r="AA15" s="69">
        <f t="shared" si="10"/>
        <v>23.270999999999997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 t="shared" si="11"/>
        <v>0103-12</v>
      </c>
      <c r="AE15" s="99" t="str">
        <f t="shared" si="12"/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15" s="96" t="str">
        <f t="shared" si="13"/>
        <v>"C:\Program Files (x86)\AstroGrep\AstroGrep.exe" /spath="%USERPROFILE%\AppData\Local\Temp\OnboardLogs" /stypes="app*4038*20160912*"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0" t="str">
        <f t="shared" si="17"/>
        <v>"%USERPROFILE%\Documents\GitHub\eaglep3\Utilities\RefineRTDCRunTimes.py" --tripid 103-12 --locoid 4038 --swversion DE.1.0.7.0 --startMP 204:650 --initTime 2016-09-12T03:39:10 --startdatetime 2016-09-12T03:45:29 --delay 1 --endMP 204:233360 --enddatetime 2016-09-12T04:21:57 --enforcementcount 2 &gt;&gt;C:\Users\stu\Documents\GitHub\eaglep3-reporting\EC\2016-09-12-refined-times.txt</v>
      </c>
      <c r="AI15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{"issue":{"subject":"","project_id":79,"tracker_id":40,"status_id":1,"priority_id":2,"assigned_to_id":23,"start_date":"2016-09-12","description":"","custom_fields":[{"id":1,"name":"Subdivision","value":"EC"},{"id":4,"name":"Milepost","value":"23.271"},{"id":17,"name":"Train ID","value":"103-12"},{"id":16,"name":"Locomotive ID","value":"4038"},{"id":130,"name":"Impact","value":""},{"id":150,"name":"Time of Event (Mountain Time)","value":"04:21:57"},{"id":151,"name":"Denver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hidden="1" x14ac:dyDescent="0.25">
      <c r="A16" s="39" t="s">
        <v>430</v>
      </c>
      <c r="B16" s="7">
        <v>4010</v>
      </c>
      <c r="C16" s="24" t="s">
        <v>108</v>
      </c>
      <c r="D16" s="24" t="s">
        <v>431</v>
      </c>
      <c r="E16" s="15">
        <v>42625.190300925926</v>
      </c>
      <c r="F16" s="15">
        <v>42625.195393518516</v>
      </c>
      <c r="G16" s="7">
        <v>2</v>
      </c>
      <c r="H16" s="15" t="s">
        <v>245</v>
      </c>
      <c r="I16" s="15">
        <v>42625.223958333336</v>
      </c>
      <c r="J16" s="7">
        <v>2</v>
      </c>
      <c r="K16" s="121" t="str">
        <f t="shared" si="0"/>
        <v>4009/4010</v>
      </c>
      <c r="L16" s="24" t="str">
        <f>VLOOKUP(A16,'Trips&amp;Operators'!$C$1:$E$10000,3,FALSE)</f>
        <v>ACKERMAN</v>
      </c>
      <c r="M16" s="6">
        <f t="shared" si="1"/>
        <v>2.8564814820128959E-2</v>
      </c>
      <c r="N16" s="7">
        <f t="shared" si="2"/>
        <v>41.1333333409857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6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03:34:02-0600',mode:absolute,to:'2016-09-12 06:22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6" s="54" t="str">
        <f t="shared" si="6"/>
        <v>N</v>
      </c>
      <c r="X16" s="168">
        <f t="shared" si="7"/>
        <v>1</v>
      </c>
      <c r="Y16" s="69">
        <f t="shared" si="8"/>
        <v>23.271699999999999</v>
      </c>
      <c r="Z16" s="69">
        <f t="shared" si="9"/>
        <v>1.34E-2</v>
      </c>
      <c r="AA16" s="69">
        <f t="shared" si="10"/>
        <v>23.258299999999998</v>
      </c>
      <c r="AB16" s="66" t="e">
        <f>VLOOKUP(A16,Enforcements!$C$7:$K$21,8,0)</f>
        <v>#N/A</v>
      </c>
      <c r="AC16" s="62" t="e">
        <f>VLOOKUP(A16,Enforcements!$C$7:$E$21,3,0)</f>
        <v>#N/A</v>
      </c>
      <c r="AD16" s="63" t="str">
        <f t="shared" si="11"/>
        <v>0104-12</v>
      </c>
      <c r="AE16" s="99" t="str">
        <f t="shared" si="12"/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16" s="96" t="str">
        <f t="shared" si="13"/>
        <v>"C:\Program Files (x86)\AstroGrep\AstroGrep.exe" /spath="%USERPROFILE%\AppData\Local\Temp\OnboardLogs" /stypes="app*4010*20160912*"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0" t="str">
        <f t="shared" si="17"/>
        <v>"%USERPROFILE%\Documents\GitHub\eaglep3\Utilities\RefineRTDCRunTimes.py" --tripid 104-12 --locoid 4010 --swversion DE.1.0.7.0 --startMP 204:232717 --initTime 2016-09-12T04:34:02 --startdatetime 2016-09-12T04:41:22 --delay 2 --endMP 204:134 --enddatetime 2016-09-12T05:22:30 --enforcementcount 2 &gt;&gt;C:\Users\stu\Documents\GitHub\eaglep3-reporting\EC\2016-09-12-refined-times.txt</v>
      </c>
      <c r="AI16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{"issue":{"subject":"","project_id":79,"tracker_id":40,"status_id":1,"priority_id":2,"assigned_to_id":23,"start_date":"2016-09-12","description":"","custom_fields":[{"id":1,"name":"Subdivision","value":"EC"},{"id":4,"name":"Milepost","value":"23.2583"},{"id":17,"name":"Train ID","value":"104-12"},{"id":16,"name":"Locomotive ID","value":"4010"},{"id":130,"name":"Impact","value":""},{"id":150,"name":"Time of Event (Mountain Time)","value":"05:22:30"},{"id":151,"name":"Denver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hidden="1" x14ac:dyDescent="0.25">
      <c r="A17" s="39" t="s">
        <v>432</v>
      </c>
      <c r="B17" s="7">
        <v>4014</v>
      </c>
      <c r="C17" s="24" t="s">
        <v>108</v>
      </c>
      <c r="D17" s="24" t="s">
        <v>433</v>
      </c>
      <c r="E17" s="15">
        <v>42625.172303240739</v>
      </c>
      <c r="F17" s="15">
        <v>42625.17728009259</v>
      </c>
      <c r="G17" s="7">
        <v>2</v>
      </c>
      <c r="H17" s="15" t="s">
        <v>434</v>
      </c>
      <c r="I17" s="15">
        <v>42625.203414351854</v>
      </c>
      <c r="J17" s="7">
        <v>2</v>
      </c>
      <c r="K17" s="121" t="str">
        <f t="shared" si="0"/>
        <v>4013/4014</v>
      </c>
      <c r="L17" s="24" t="str">
        <f>VLOOKUP(A17,'Trips&amp;Operators'!$C$1:$E$10000,3,FALSE)</f>
        <v>RICHARDSON</v>
      </c>
      <c r="M17" s="6">
        <f t="shared" si="1"/>
        <v>2.6134259263926651E-2</v>
      </c>
      <c r="N17" s="7">
        <f t="shared" si="2"/>
        <v>37.633333340054378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6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03:08:07-0600',mode:absolute,to:'2016-09-12 05:52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7" s="54" t="str">
        <f t="shared" si="6"/>
        <v>N</v>
      </c>
      <c r="X17" s="168">
        <f t="shared" si="7"/>
        <v>1</v>
      </c>
      <c r="Y17" s="69">
        <f t="shared" si="8"/>
        <v>7.3700000000000002E-2</v>
      </c>
      <c r="Z17" s="69">
        <f t="shared" si="9"/>
        <v>23.329899999999999</v>
      </c>
      <c r="AA17" s="69">
        <f t="shared" si="10"/>
        <v>23.2562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 t="shared" si="11"/>
        <v>0105-12</v>
      </c>
      <c r="AE17" s="99" t="str">
        <f t="shared" si="12"/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17" s="96" t="str">
        <f t="shared" si="13"/>
        <v>"C:\Program Files (x86)\AstroGrep\AstroGrep.exe" /spath="%USERPROFILE%\AppData\Local\Temp\OnboardLogs" /stypes="app*4014*20160912*"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0" t="str">
        <f t="shared" si="17"/>
        <v>"%USERPROFILE%\Documents\GitHub\eaglep3\Utilities\RefineRTDCRunTimes.py" --tripid 105-12 --locoid 4014 --swversion DE.1.0.7.0 --startMP 204:737 --initTime 2016-09-12T04:08:07 --startdatetime 2016-09-12T04:15:17 --delay 2 --endMP 204:233299 --enddatetime 2016-09-12T04:52:55 --enforcementcount 2 &gt;&gt;C:\Users\stu\Documents\GitHub\eaglep3-reporting\EC\2016-09-12-refined-times.txt</v>
      </c>
      <c r="AI17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{"issue":{"subject":"","project_id":79,"tracker_id":40,"status_id":1,"priority_id":2,"assigned_to_id":23,"start_date":"2016-09-12","description":"","custom_fields":[{"id":1,"name":"Subdivision","value":"EC"},{"id":4,"name":"Milepost","value":"23.2562"},{"id":17,"name":"Train ID","value":"105-12"},{"id":16,"name":"Locomotive ID","value":"4014"},{"id":130,"name":"Impact","value":""},{"id":150,"name":"Time of Event (Mountain Time)","value":"04:52:55"},{"id":151,"name":"Denver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hidden="1" x14ac:dyDescent="0.25">
      <c r="A18" s="39" t="s">
        <v>435</v>
      </c>
      <c r="B18" s="7">
        <v>4015</v>
      </c>
      <c r="C18" s="24" t="s">
        <v>108</v>
      </c>
      <c r="D18" s="24" t="s">
        <v>436</v>
      </c>
      <c r="E18" s="15">
        <v>42625.206493055557</v>
      </c>
      <c r="F18" s="15">
        <v>42625.216157407405</v>
      </c>
      <c r="G18" s="7">
        <v>2</v>
      </c>
      <c r="H18" s="15" t="s">
        <v>235</v>
      </c>
      <c r="I18" s="15">
        <v>42625.243564814817</v>
      </c>
      <c r="J18" s="7">
        <v>2</v>
      </c>
      <c r="K18" s="121" t="str">
        <f t="shared" si="0"/>
        <v>4015/4016</v>
      </c>
      <c r="L18" s="24" t="str">
        <f>VLOOKUP(A18,'Trips&amp;Operators'!$C$1:$E$10000,3,FALSE)</f>
        <v>RICHARDSON</v>
      </c>
      <c r="M18" s="6">
        <f t="shared" si="1"/>
        <v>2.7407407411374152E-2</v>
      </c>
      <c r="N18" s="7">
        <f t="shared" si="2"/>
        <v>39.466666672378778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6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03:57:21-0600',mode:absolute,to:'2016-09-12 06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8" s="54" t="str">
        <f t="shared" si="6"/>
        <v>N</v>
      </c>
      <c r="X18" s="168">
        <f t="shared" si="7"/>
        <v>1</v>
      </c>
      <c r="Y18" s="69">
        <f t="shared" si="8"/>
        <v>23.266200000000001</v>
      </c>
      <c r="Z18" s="69">
        <f t="shared" si="9"/>
        <v>1.4999999999999999E-2</v>
      </c>
      <c r="AA18" s="69">
        <f t="shared" si="10"/>
        <v>23.251200000000001</v>
      </c>
      <c r="AB18" s="66" t="e">
        <f>VLOOKUP(A18,Enforcements!$C$7:$K$21,8,0)</f>
        <v>#N/A</v>
      </c>
      <c r="AC18" s="62" t="e">
        <f>VLOOKUP(A18,Enforcements!$C$7:$E$21,3,0)</f>
        <v>#N/A</v>
      </c>
      <c r="AD18" s="63" t="str">
        <f t="shared" si="11"/>
        <v>0106-12</v>
      </c>
      <c r="AE18" s="99" t="str">
        <f t="shared" si="12"/>
        <v>aws s3 cp s3://rtdc.mdm.uploadarchive/RTDC4015/2016-09-12/ "%USERPROFILE%\AppData\Local\Temp\OnboardLogs"\RTDC4015\2016-09-12 --recursive &amp; "%USERPROFILE%\Documents\GitHub\mrs-test-scripts\Headless Mode &amp; Sideloading\WalkAndUnGZ.bat" "%USERPROFILE%\AppData\Local\Temp\OnboardLogs"\RTDC4015\2016-09-12 &amp; aws s3 cp s3://rtdc.mdm.uploadarchive/RTDC4015/2016-09-13/ "%USERPROFILE%\AppData\Local\Temp\OnboardLogs"\RTDC4015\2016-09-13 --recursive &amp; "%USERPROFILE%\Documents\GitHub\mrs-test-scripts\Headless Mode &amp; Sideloading\WalkAndUnGZ.bat" "%USERPROFILE%\AppData\Local\Temp\OnboardLogs"\RTDC4015\2016-09-13</v>
      </c>
      <c r="AF18" s="96" t="str">
        <f t="shared" si="13"/>
        <v>"C:\Program Files (x86)\AstroGrep\AstroGrep.exe" /spath="%USERPROFILE%\AppData\Local\Temp\OnboardLogs" /stypes="app*4015*20160912*"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0" t="str">
        <f t="shared" si="17"/>
        <v>"%USERPROFILE%\Documents\GitHub\eaglep3\Utilities\RefineRTDCRunTimes.py" --tripid 106-12 --locoid 4015 --swversion DE.1.0.7.0 --startMP 204:232662 --initTime 2016-09-12T04:57:21 --startdatetime 2016-09-12T05:11:16 --delay 2 --endMP 204:150 --enddatetime 2016-09-12T05:50:44 --enforcementcount 2 &gt;&gt;C:\Users\stu\Documents\GitHub\eaglep3-reporting\EC\2016-09-12-refined-times.txt</v>
      </c>
      <c r="AI18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{"issue":{"subject":"","project_id":79,"tracker_id":40,"status_id":1,"priority_id":2,"assigned_to_id":23,"start_date":"2016-09-12","description":"","custom_fields":[{"id":1,"name":"Subdivision","value":"EC"},{"id":4,"name":"Milepost","value":"23.2512"},{"id":17,"name":"Train ID","value":"106-12"},{"id":16,"name":"Locomotive ID","value":"4015"},{"id":130,"name":"Impact","value":""},{"id":150,"name":"Time of Event (Mountain Time)","value":"05:50:44"},{"id":151,"name":"Denver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hidden="1" x14ac:dyDescent="0.25">
      <c r="A19" s="39" t="s">
        <v>437</v>
      </c>
      <c r="B19" s="7">
        <v>4002</v>
      </c>
      <c r="C19" s="24" t="s">
        <v>108</v>
      </c>
      <c r="D19" s="24" t="s">
        <v>241</v>
      </c>
      <c r="E19" s="15">
        <v>42625.181273148148</v>
      </c>
      <c r="F19" s="15">
        <v>42625.187673611108</v>
      </c>
      <c r="G19" s="7">
        <v>1</v>
      </c>
      <c r="H19" s="15" t="s">
        <v>270</v>
      </c>
      <c r="I19" s="15">
        <v>42625.213217592594</v>
      </c>
      <c r="J19" s="7">
        <v>2</v>
      </c>
      <c r="K19" s="121" t="str">
        <f t="shared" si="0"/>
        <v>4001/4002</v>
      </c>
      <c r="L19" s="24" t="str">
        <f>VLOOKUP(A19,'Trips&amp;Operators'!$C$1:$E$10000,3,FALSE)</f>
        <v>SPECTOR</v>
      </c>
      <c r="M19" s="6">
        <f t="shared" si="1"/>
        <v>2.5543981486407574E-2</v>
      </c>
      <c r="N19" s="7">
        <f t="shared" si="2"/>
        <v>36.783333340426907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6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03:21:02-0600',mode:absolute,to:'2016-09-12 06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9" s="54" t="str">
        <f t="shared" si="6"/>
        <v>N</v>
      </c>
      <c r="X19" s="168">
        <f t="shared" si="7"/>
        <v>1</v>
      </c>
      <c r="Y19" s="69">
        <f t="shared" si="8"/>
        <v>4.4699999999999997E-2</v>
      </c>
      <c r="Z19" s="69">
        <f t="shared" si="9"/>
        <v>23.3323</v>
      </c>
      <c r="AA19" s="69">
        <f t="shared" si="10"/>
        <v>23.287600000000001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 t="shared" si="11"/>
        <v>0107-12</v>
      </c>
      <c r="AE19" s="99" t="str">
        <f t="shared" si="12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19" s="96" t="str">
        <f t="shared" si="13"/>
        <v>"C:\Program Files (x86)\AstroGrep\AstroGrep.exe" /spath="%USERPROFILE%\AppData\Local\Temp\OnboardLogs" /stypes="app*4002*20160912*"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0" t="str">
        <f t="shared" si="17"/>
        <v>"%USERPROFILE%\Documents\GitHub\eaglep3\Utilities\RefineRTDCRunTimes.py" --tripid 107-12 --locoid 4002 --swversion DE.1.0.7.0 --startMP 204:447 --initTime 2016-09-12T04:21:02 --startdatetime 2016-09-12T04:30:15 --delay 1 --endMP 204:233323 --enddatetime 2016-09-12T05:07:02 --enforcementcount 2 &gt;&gt;C:\Users\stu\Documents\GitHub\eaglep3-reporting\EC\2016-09-12-refined-times.txt</v>
      </c>
      <c r="AI19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{"issue":{"subject":"","project_id":79,"tracker_id":40,"status_id":1,"priority_id":2,"assigned_to_id":23,"start_date":"2016-09-12","description":"","custom_fields":[{"id":1,"name":"Subdivision","value":"EC"},{"id":4,"name":"Milepost","value":"23.2876"},{"id":17,"name":"Train ID","value":"107-12"},{"id":16,"name":"Locomotive ID","value":"4002"},{"id":130,"name":"Impact","value":""},{"id":150,"name":"Time of Event (Mountain Time)","value":"05:07:02"},{"id":151,"name":"Denver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hidden="1" x14ac:dyDescent="0.25">
      <c r="A20" s="39" t="s">
        <v>438</v>
      </c>
      <c r="B20" s="7">
        <v>4001</v>
      </c>
      <c r="C20" s="24" t="s">
        <v>108</v>
      </c>
      <c r="D20" s="24" t="s">
        <v>439</v>
      </c>
      <c r="E20" s="15">
        <v>42625.219953703701</v>
      </c>
      <c r="F20" s="15">
        <v>42625.226585648146</v>
      </c>
      <c r="G20" s="7">
        <v>1</v>
      </c>
      <c r="H20" s="15" t="s">
        <v>232</v>
      </c>
      <c r="I20" s="15">
        <v>42625.25445601852</v>
      </c>
      <c r="J20" s="7">
        <v>2</v>
      </c>
      <c r="K20" s="121" t="str">
        <f t="shared" si="0"/>
        <v>4001/4002</v>
      </c>
      <c r="L20" s="24" t="str">
        <f>VLOOKUP(A20,'Trips&amp;Operators'!$C$1:$E$10000,3,FALSE)</f>
        <v>SPECTOR</v>
      </c>
      <c r="M20" s="6">
        <f t="shared" si="1"/>
        <v>2.7870370373420883E-2</v>
      </c>
      <c r="N20" s="7">
        <f t="shared" si="2"/>
        <v>40.133333337726071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6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04:16:44-0600',mode:absolute,to:'2016-09-12 07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20" s="54" t="str">
        <f t="shared" si="6"/>
        <v>N</v>
      </c>
      <c r="X20" s="168">
        <f t="shared" si="7"/>
        <v>1</v>
      </c>
      <c r="Y20" s="69">
        <f t="shared" si="8"/>
        <v>23.299800000000001</v>
      </c>
      <c r="Z20" s="69">
        <f t="shared" si="9"/>
        <v>1.47E-2</v>
      </c>
      <c r="AA20" s="69">
        <f t="shared" si="10"/>
        <v>23.2851</v>
      </c>
      <c r="AB20" s="66" t="e">
        <f>VLOOKUP(A20,Enforcements!$C$7:$K$21,8,0)</f>
        <v>#N/A</v>
      </c>
      <c r="AC20" s="62" t="e">
        <f>VLOOKUP(A20,Enforcements!$C$7:$E$21,3,0)</f>
        <v>#N/A</v>
      </c>
      <c r="AD20" s="63" t="str">
        <f t="shared" si="11"/>
        <v>0108-12</v>
      </c>
      <c r="AE20" s="99" t="str">
        <f t="shared" si="12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20" s="96" t="str">
        <f t="shared" si="13"/>
        <v>"C:\Program Files (x86)\AstroGrep\AstroGrep.exe" /spath="%USERPROFILE%\AppData\Local\Temp\OnboardLogs" /stypes="app*4001*20160912*"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0" t="str">
        <f t="shared" si="17"/>
        <v>"%USERPROFILE%\Documents\GitHub\eaglep3\Utilities\RefineRTDCRunTimes.py" --tripid 108-12 --locoid 4001 --swversion DE.1.0.7.0 --startMP 204:232998 --initTime 2016-09-12T05:16:44 --startdatetime 2016-09-12T05:26:17 --delay 1 --endMP 204:147 --enddatetime 2016-09-12T06:06:25 --enforcementcount 2 &gt;&gt;C:\Users\stu\Documents\GitHub\eaglep3-reporting\EC\2016-09-12-refined-times.txt</v>
      </c>
      <c r="AI20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{"issue":{"subject":"","project_id":79,"tracker_id":40,"status_id":1,"priority_id":2,"assigned_to_id":23,"start_date":"2016-09-12","description":"","custom_fields":[{"id":1,"name":"Subdivision","value":"EC"},{"id":4,"name":"Milepost","value":"23.2851"},{"id":17,"name":"Train ID","value":"108-12"},{"id":16,"name":"Locomotive ID","value":"4001"},{"id":130,"name":"Impact","value":""},{"id":150,"name":"Time of Event (Mountain Time)","value":"06:06:25"},{"id":151,"name":"Denver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hidden="1" x14ac:dyDescent="0.25">
      <c r="A21" s="39" t="s">
        <v>440</v>
      </c>
      <c r="B21" s="7">
        <v>4042</v>
      </c>
      <c r="C21" s="24" t="s">
        <v>108</v>
      </c>
      <c r="D21" s="24" t="s">
        <v>239</v>
      </c>
      <c r="E21" s="15">
        <v>42625.195462962962</v>
      </c>
      <c r="F21" s="15">
        <v>42625.198229166665</v>
      </c>
      <c r="G21" s="7">
        <v>1</v>
      </c>
      <c r="H21" s="15" t="s">
        <v>236</v>
      </c>
      <c r="I21" s="15">
        <v>42625.222372685188</v>
      </c>
      <c r="J21" s="7">
        <v>2</v>
      </c>
      <c r="K21" s="121" t="str">
        <f t="shared" si="0"/>
        <v>4041/4042</v>
      </c>
      <c r="L21" s="24" t="str">
        <f>VLOOKUP(A21,'Trips&amp;Operators'!$C$1:$E$10000,3,FALSE)</f>
        <v>YORK</v>
      </c>
      <c r="M21" s="6">
        <f t="shared" si="1"/>
        <v>2.4143518523487728E-2</v>
      </c>
      <c r="N21" s="7">
        <f t="shared" si="2"/>
        <v>34.766666673822328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6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03:41:28-0600',mode:absolute,to:'2016-09-12 06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1" s="54" t="str">
        <f t="shared" si="6"/>
        <v>N</v>
      </c>
      <c r="X21" s="168">
        <f t="shared" si="7"/>
        <v>1</v>
      </c>
      <c r="Y21" s="69">
        <f t="shared" si="8"/>
        <v>4.5699999999999998E-2</v>
      </c>
      <c r="Z21" s="69">
        <f t="shared" si="9"/>
        <v>23.3291</v>
      </c>
      <c r="AA21" s="69">
        <f t="shared" si="10"/>
        <v>23.2834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 t="shared" si="11"/>
        <v>0109-12</v>
      </c>
      <c r="AE21" s="99" t="str">
        <f t="shared" si="12"/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21" s="96" t="str">
        <f t="shared" si="13"/>
        <v>"C:\Program Files (x86)\AstroGrep\AstroGrep.exe" /spath="%USERPROFILE%\AppData\Local\Temp\OnboardLogs" /stypes="app*4042*20160912*"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0" t="str">
        <f t="shared" si="17"/>
        <v>"%USERPROFILE%\Documents\GitHub\eaglep3\Utilities\RefineRTDCRunTimes.py" --tripid 109-12 --locoid 4042 --swversion DE.1.0.7.0 --startMP 204:457 --initTime 2016-09-12T04:41:28 --startdatetime 2016-09-12T04:45:27 --delay 1 --endMP 204:233291 --enddatetime 2016-09-12T05:20:13 --enforcementcount 2 &gt;&gt;C:\Users\stu\Documents\GitHub\eaglep3-reporting\EC\2016-09-12-refined-times.txt</v>
      </c>
      <c r="AI21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{"issue":{"subject":"","project_id":79,"tracker_id":40,"status_id":1,"priority_id":2,"assigned_to_id":23,"start_date":"2016-09-12","description":"","custom_fields":[{"id":1,"name":"Subdivision","value":"EC"},{"id":4,"name":"Milepost","value":"23.2834"},{"id":17,"name":"Train ID","value":"109-12"},{"id":16,"name":"Locomotive ID","value":"4042"},{"id":130,"name":"Impact","value":""},{"id":150,"name":"Time of Event (Mountain Time)","value":"05:20:13"},{"id":151,"name":"Denver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hidden="1" x14ac:dyDescent="0.25">
      <c r="A22" s="39" t="s">
        <v>441</v>
      </c>
      <c r="B22" s="7">
        <v>4041</v>
      </c>
      <c r="C22" s="24" t="s">
        <v>108</v>
      </c>
      <c r="D22" s="24" t="s">
        <v>293</v>
      </c>
      <c r="E22" s="15">
        <v>42625.223773148151</v>
      </c>
      <c r="F22" s="15">
        <v>42625.237314814818</v>
      </c>
      <c r="G22" s="7">
        <v>1</v>
      </c>
      <c r="H22" s="15" t="s">
        <v>229</v>
      </c>
      <c r="I22" s="15">
        <v>42625.263912037037</v>
      </c>
      <c r="J22" s="7">
        <v>2</v>
      </c>
      <c r="K22" s="121" t="str">
        <f t="shared" si="0"/>
        <v>4041/4042</v>
      </c>
      <c r="L22" s="24" t="str">
        <f>VLOOKUP(A22,'Trips&amp;Operators'!$C$1:$E$10000,3,FALSE)</f>
        <v>YORK</v>
      </c>
      <c r="M22" s="6">
        <f t="shared" si="1"/>
        <v>2.6597222218697425E-2</v>
      </c>
      <c r="N22" s="7">
        <f t="shared" si="2"/>
        <v>38.299999994924292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6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04:22:14-0600',mode:absolute,to:'2016-09-12 07:20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2" s="54" t="str">
        <f t="shared" si="6"/>
        <v>N</v>
      </c>
      <c r="X22" s="168">
        <f t="shared" ref="X22:X26" si="19">VALUE(LEFT(AD22,4))-VALUE(LEFT(AD21,4))</f>
        <v>1</v>
      </c>
      <c r="Y22" s="69">
        <f t="shared" si="8"/>
        <v>23.297999999999998</v>
      </c>
      <c r="Z22" s="69">
        <f t="shared" si="9"/>
        <v>1.5800000000000002E-2</v>
      </c>
      <c r="AA22" s="69">
        <f t="shared" si="10"/>
        <v>23.2822</v>
      </c>
      <c r="AB22" s="66" t="e">
        <f>VLOOKUP(A22,Enforcements!$C$7:$K$21,8,0)</f>
        <v>#N/A</v>
      </c>
      <c r="AC22" s="62" t="e">
        <f>VLOOKUP(A22,Enforcements!$C$7:$E$21,3,0)</f>
        <v>#N/A</v>
      </c>
      <c r="AD22" s="63" t="str">
        <f t="shared" si="11"/>
        <v>0110-12</v>
      </c>
      <c r="AE22" s="99" t="str">
        <f t="shared" si="12"/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22" s="96" t="str">
        <f t="shared" si="13"/>
        <v>"C:\Program Files (x86)\AstroGrep\AstroGrep.exe" /spath="%USERPROFILE%\AppData\Local\Temp\OnboardLogs" /stypes="app*4041*20160912*"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0" t="str">
        <f t="shared" si="17"/>
        <v>"%USERPROFILE%\Documents\GitHub\eaglep3\Utilities\RefineRTDCRunTimes.py" --tripid 110-12 --locoid 4041 --swversion DE.1.0.7.0 --startMP 204:232980 --initTime 2016-09-12T05:22:14 --startdatetime 2016-09-12T05:41:44 --delay 1 --endMP 204:158 --enddatetime 2016-09-12T06:20:02 --enforcementcount 2 &gt;&gt;C:\Users\stu\Documents\GitHub\eaglep3-reporting\EC\2016-09-12-refined-times.txt</v>
      </c>
      <c r="AI22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{"issue":{"subject":"","project_id":79,"tracker_id":40,"status_id":1,"priority_id":2,"assigned_to_id":23,"start_date":"2016-09-12","description":"","custom_fields":[{"id":1,"name":"Subdivision","value":"EC"},{"id":4,"name":"Milepost","value":"23.2822"},{"id":17,"name":"Train ID","value":"110-12"},{"id":16,"name":"Locomotive ID","value":"4041"},{"id":130,"name":"Impact","value":""},{"id":150,"name":"Time of Event (Mountain Time)","value":"06:20:02"},{"id":151,"name":"Denver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hidden="1" x14ac:dyDescent="0.25">
      <c r="A23" s="39" t="s">
        <v>374</v>
      </c>
      <c r="B23" s="7">
        <v>4031</v>
      </c>
      <c r="C23" s="24" t="s">
        <v>108</v>
      </c>
      <c r="D23" s="24" t="s">
        <v>442</v>
      </c>
      <c r="E23" s="15">
        <v>42625.212511574071</v>
      </c>
      <c r="F23" s="15">
        <v>42625.213645833333</v>
      </c>
      <c r="G23" s="7">
        <v>1</v>
      </c>
      <c r="H23" s="15" t="s">
        <v>443</v>
      </c>
      <c r="I23" s="15">
        <v>42625.235092592593</v>
      </c>
      <c r="J23" s="7">
        <v>2</v>
      </c>
      <c r="K23" s="121" t="str">
        <f t="shared" si="0"/>
        <v>4031/4032</v>
      </c>
      <c r="L23" s="24" t="str">
        <f>VLOOKUP(A23,'Trips&amp;Operators'!$C$1:$E$10000,3,FALSE)</f>
        <v>STARKS</v>
      </c>
      <c r="M23" s="6">
        <f t="shared" si="1"/>
        <v>2.1446759259561077E-2</v>
      </c>
      <c r="N23" s="7"/>
      <c r="O23" s="7"/>
      <c r="P23" s="7">
        <f>24*60*SUM($M23:$M23)</f>
        <v>30.883333333767951</v>
      </c>
      <c r="Q23" s="25"/>
      <c r="R23" s="25" t="s">
        <v>751</v>
      </c>
      <c r="S23" s="37">
        <f t="shared" si="3"/>
        <v>1</v>
      </c>
      <c r="T23" s="52" t="str">
        <f t="shared" si="4"/>
        <v>NorthBound</v>
      </c>
      <c r="U23" s="16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04:06:01-0600',mode:absolute,to:'2016-09-12 06:38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3" s="54" t="str">
        <f t="shared" si="6"/>
        <v>Y</v>
      </c>
      <c r="X23" s="168">
        <f t="shared" si="19"/>
        <v>1</v>
      </c>
      <c r="Y23" s="69">
        <f t="shared" si="8"/>
        <v>1.913</v>
      </c>
      <c r="Z23" s="69">
        <f t="shared" si="9"/>
        <v>23.328700000000001</v>
      </c>
      <c r="AA23" s="69">
        <f t="shared" si="10"/>
        <v>21.415700000000001</v>
      </c>
      <c r="AB23" s="66" t="e">
        <f>VLOOKUP(A23,Enforcements!$C$7:$K$21,8,0)</f>
        <v>#N/A</v>
      </c>
      <c r="AC23" s="62" t="e">
        <f>VLOOKUP(A23,Enforcements!$C$7:$E$21,3,0)</f>
        <v>#N/A</v>
      </c>
      <c r="AD23" s="63" t="str">
        <f t="shared" si="11"/>
        <v>0111-12</v>
      </c>
      <c r="AE23" s="99" t="str">
        <f t="shared" si="12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23" s="96" t="str">
        <f t="shared" si="13"/>
        <v>"C:\Program Files (x86)\AstroGrep\AstroGrep.exe" /spath="%USERPROFILE%\AppData\Local\Temp\OnboardLogs" /stypes="app*4031*20160912*"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0" t="str">
        <f t="shared" si="17"/>
        <v>"%USERPROFILE%\Documents\GitHub\eaglep3\Utilities\RefineRTDCRunTimes.py" --tripid 111-12 --locoid 4031 --swversion DE.1.0.7.0 --startMP 204:19130 --initTime 2016-09-12T05:06:01 --startdatetime 2016-09-12T05:07:39 --delay 1 --endMP 204:233287 --enddatetime 2016-09-12T05:38:32 --enforcementcount 2 &gt;&gt;C:\Users\stu\Documents\GitHub\eaglep3-reporting\EC\2016-09-12-refined-times.txt</v>
      </c>
      <c r="AI23" s="134" t="str">
        <f t="shared" si="18"/>
        <v>echo {"issue":{"subject":"DUS 2N was STOP because 20N was STOP","project_id":79,"tracker_id":40,"status_id":1,"priority_id":2,"assigned_to_id":23,"start_date":"2016-09-12","description":"","custom_fields":[{"id":1,"name":"Subdivision","value":"EC"},{"id":4,"name":"Milepost","value":"21.4157"},{"id":17,"name":"Train ID","value":"111-12"},{"id":16,"name":"Locomotive ID","value":"4031"},{"id":130,"name":"Impact","value":""},{"id":150,"name":"Time of Event (Mountain Time)","value":"05:38:32"},{"id":151,"name":"Denver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hidden="1" x14ac:dyDescent="0.25">
      <c r="A24" s="39" t="s">
        <v>379</v>
      </c>
      <c r="B24" s="7">
        <v>4032</v>
      </c>
      <c r="C24" s="24" t="s">
        <v>108</v>
      </c>
      <c r="D24" s="24" t="s">
        <v>295</v>
      </c>
      <c r="E24" s="15">
        <v>42625.244155092594</v>
      </c>
      <c r="F24" s="15">
        <v>42625.247442129628</v>
      </c>
      <c r="G24" s="7">
        <v>2</v>
      </c>
      <c r="H24" s="15" t="s">
        <v>224</v>
      </c>
      <c r="I24" s="15">
        <v>42625.274375000001</v>
      </c>
      <c r="J24" s="7">
        <v>2</v>
      </c>
      <c r="K24" s="121" t="str">
        <f t="shared" si="0"/>
        <v>4031/4032</v>
      </c>
      <c r="L24" s="24" t="str">
        <f>VLOOKUP(A24,'Trips&amp;Operators'!$C$1:$E$10000,3,FALSE)</f>
        <v>STARKS</v>
      </c>
      <c r="M24" s="6">
        <f t="shared" si="1"/>
        <v>2.6932870372547768E-2</v>
      </c>
      <c r="N24" s="7">
        <f t="shared" ref="N24:N51" si="20">24*60*SUM($M24:$M24)</f>
        <v>38.783333336468786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6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04:51:35-0600',mode:absolute,to:'2016-09-12 07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24" s="54" t="str">
        <f t="shared" si="6"/>
        <v>N</v>
      </c>
      <c r="X24" s="168">
        <f t="shared" si="19"/>
        <v>1</v>
      </c>
      <c r="Y24" s="69">
        <f t="shared" si="8"/>
        <v>23.298500000000001</v>
      </c>
      <c r="Z24" s="69">
        <f t="shared" si="9"/>
        <v>1.6E-2</v>
      </c>
      <c r="AA24" s="69">
        <f t="shared" si="10"/>
        <v>23.282500000000002</v>
      </c>
      <c r="AB24" s="66" t="str">
        <f>VLOOKUP(A24,Enforcements!$C$7:$K$21,8,0)</f>
        <v>Speed (6)</v>
      </c>
      <c r="AC24" s="62" t="str">
        <f>VLOOKUP(A24,Enforcements!$C$7:$E$21,3,0)</f>
        <v>PERMANENT SPEED RESTRICTION</v>
      </c>
      <c r="AD24" s="63" t="str">
        <f t="shared" si="11"/>
        <v>0112-12</v>
      </c>
      <c r="AE24" s="99" t="str">
        <f t="shared" si="12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24" s="96" t="str">
        <f t="shared" si="13"/>
        <v>"C:\Program Files (x86)\AstroGrep\AstroGrep.exe" /spath="%USERPROFILE%\AppData\Local\Temp\OnboardLogs" /stypes="app*4032*20160912*"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0" t="str">
        <f t="shared" si="17"/>
        <v>"%USERPROFILE%\Documents\GitHub\eaglep3\Utilities\RefineRTDCRunTimes.py" --tripid 112-12 --locoid 4032 --swversion DE.1.0.7.0 --startMP 204:232985 --initTime 2016-09-12T05:51:35 --startdatetime 2016-09-12T05:56:19 --delay 2 --endMP 204:160 --enddatetime 2016-09-12T06:35:06 --enforcementcount 2 &gt;&gt;C:\Users\stu\Documents\GitHub\eaglep3-reporting\EC\2016-09-12-refined-times.txt</v>
      </c>
      <c r="AI24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{"issue":{"subject":"","project_id":79,"tracker_id":40,"status_id":1,"priority_id":2,"assigned_to_id":23,"start_date":"2016-09-12","description":"","custom_fields":[{"id":1,"name":"Subdivision","value":"EC"},{"id":4,"name":"Milepost","value":"23.2825"},{"id":17,"name":"Train ID","value":"112-12"},{"id":16,"name":"Locomotive ID","value":"4032"},{"id":130,"name":"Impact","value":""},{"id":150,"name":"Time of Event (Mountain Time)","value":"06:35:06"},{"id":151,"name":"Denver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hidden="1" x14ac:dyDescent="0.25">
      <c r="A25" s="39" t="s">
        <v>375</v>
      </c>
      <c r="B25" s="7">
        <v>4027</v>
      </c>
      <c r="C25" s="24" t="s">
        <v>108</v>
      </c>
      <c r="D25" s="24" t="s">
        <v>307</v>
      </c>
      <c r="E25" s="15">
        <v>42625.203761574077</v>
      </c>
      <c r="F25" s="15">
        <v>42625.219097222223</v>
      </c>
      <c r="G25" s="7">
        <v>1</v>
      </c>
      <c r="H25" s="15" t="s">
        <v>434</v>
      </c>
      <c r="I25" s="15">
        <v>42625.245370370372</v>
      </c>
      <c r="J25" s="7">
        <v>2</v>
      </c>
      <c r="K25" s="121" t="str">
        <f t="shared" si="0"/>
        <v>4027/4028</v>
      </c>
      <c r="L25" s="24" t="str">
        <f>VLOOKUP(A25,'Trips&amp;Operators'!$C$1:$E$10000,3,FALSE)</f>
        <v>KILLION</v>
      </c>
      <c r="M25" s="6">
        <f t="shared" si="1"/>
        <v>2.6273148148902692E-2</v>
      </c>
      <c r="N25" s="7">
        <f t="shared" si="20"/>
        <v>37.833333334419876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6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03:53:25-0600',mode:absolute,to:'2016-09-12 06:53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25" s="54" t="str">
        <f t="shared" si="6"/>
        <v>N</v>
      </c>
      <c r="X25" s="168">
        <f t="shared" si="19"/>
        <v>1</v>
      </c>
      <c r="Y25" s="69">
        <f t="shared" si="8"/>
        <v>4.6899999999999997E-2</v>
      </c>
      <c r="Z25" s="69">
        <f t="shared" si="9"/>
        <v>23.329899999999999</v>
      </c>
      <c r="AA25" s="69">
        <f t="shared" si="10"/>
        <v>23.282999999999998</v>
      </c>
      <c r="AB25" s="66" t="str">
        <f>VLOOKUP(A25,Enforcements!$C$7:$K$21,8,0)</f>
        <v>Bulletin (2)</v>
      </c>
      <c r="AC25" s="62" t="str">
        <f>VLOOKUP(A25,Enforcements!$C$7:$E$21,3,0)</f>
        <v>GRADE CROSSING</v>
      </c>
      <c r="AD25" s="63" t="str">
        <f t="shared" si="11"/>
        <v>0113-12</v>
      </c>
      <c r="AE25" s="99" t="str">
        <f t="shared" si="12"/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25" s="96" t="str">
        <f t="shared" si="13"/>
        <v>"C:\Program Files (x86)\AstroGrep\AstroGrep.exe" /spath="%USERPROFILE%\AppData\Local\Temp\OnboardLogs" /stypes="app*4027*20160912*"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0" t="str">
        <f t="shared" si="17"/>
        <v>"%USERPROFILE%\Documents\GitHub\eaglep3\Utilities\RefineRTDCRunTimes.py" --tripid 113-12 --locoid 4027 --swversion DE.1.0.7.0 --startMP 204:469 --initTime 2016-09-12T04:53:25 --startdatetime 2016-09-12T05:15:30 --delay 1 --endMP 204:233299 --enddatetime 2016-09-12T05:53:20 --enforcementcount 2 &gt;&gt;C:\Users\stu\Documents\GitHub\eaglep3-reporting\EC\2016-09-12-refined-times.txt</v>
      </c>
      <c r="AI25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{"issue":{"subject":"","project_id":79,"tracker_id":40,"status_id":1,"priority_id":2,"assigned_to_id":23,"start_date":"2016-09-12","description":"","custom_fields":[{"id":1,"name":"Subdivision","value":"EC"},{"id":4,"name":"Milepost","value":"23.283"},{"id":17,"name":"Train ID","value":"113-12"},{"id":16,"name":"Locomotive ID","value":"4027"},{"id":130,"name":"Impact","value":""},{"id":150,"name":"Time of Event (Mountain Time)","value":"05:53:20"},{"id":151,"name":"Denver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444</v>
      </c>
      <c r="B26" s="7">
        <v>4028</v>
      </c>
      <c r="C26" s="24" t="s">
        <v>108</v>
      </c>
      <c r="D26" s="24" t="s">
        <v>445</v>
      </c>
      <c r="E26" s="15">
        <v>42625.250474537039</v>
      </c>
      <c r="F26" s="15">
        <v>42625.257800925923</v>
      </c>
      <c r="G26" s="7">
        <v>1</v>
      </c>
      <c r="H26" s="15" t="s">
        <v>446</v>
      </c>
      <c r="I26" s="15">
        <v>42625.28465277778</v>
      </c>
      <c r="J26" s="7">
        <v>2</v>
      </c>
      <c r="K26" s="121" t="str">
        <f t="shared" si="0"/>
        <v>4027/4028</v>
      </c>
      <c r="L26" s="24" t="str">
        <f>VLOOKUP(A26,'Trips&amp;Operators'!$C$1:$E$10000,3,FALSE)</f>
        <v>KILLION</v>
      </c>
      <c r="M26" s="6">
        <f t="shared" si="1"/>
        <v>2.6851851856918074E-2</v>
      </c>
      <c r="N26" s="7">
        <f t="shared" si="20"/>
        <v>38.666666673962027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6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05:00:41-0600',mode:absolute,to:'2016-09-12 07:49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26" s="54" t="str">
        <f t="shared" si="6"/>
        <v>N</v>
      </c>
      <c r="X26" s="168">
        <f t="shared" si="19"/>
        <v>1</v>
      </c>
      <c r="Y26" s="69">
        <f t="shared" si="8"/>
        <v>23.296299999999999</v>
      </c>
      <c r="Z26" s="69">
        <f t="shared" si="9"/>
        <v>1.7600000000000001E-2</v>
      </c>
      <c r="AA26" s="69">
        <f t="shared" si="10"/>
        <v>23.278699999999997</v>
      </c>
      <c r="AB26" s="66" t="e">
        <f>VLOOKUP(A26,Enforcements!$C$7:$K$21,8,0)</f>
        <v>#N/A</v>
      </c>
      <c r="AC26" s="62" t="e">
        <f>VLOOKUP(A26,Enforcements!$C$7:$E$21,3,0)</f>
        <v>#N/A</v>
      </c>
      <c r="AD26" s="63" t="str">
        <f t="shared" si="11"/>
        <v>0114-12</v>
      </c>
      <c r="AE26" s="99" t="str">
        <f t="shared" si="12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26" s="96" t="str">
        <f t="shared" si="13"/>
        <v>"C:\Program Files (x86)\AstroGrep\AstroGrep.exe" /spath="%USERPROFILE%\AppData\Local\Temp\OnboardLogs" /stypes="app*4028*20160912*"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0" t="str">
        <f t="shared" si="17"/>
        <v>"%USERPROFILE%\Documents\GitHub\eaglep3\Utilities\RefineRTDCRunTimes.py" --tripid 114-12 --locoid 4028 --swversion DE.1.0.7.0 --startMP 204:232963 --initTime 2016-09-12T06:00:41 --startdatetime 2016-09-12T06:11:14 --delay 1 --endMP 204:176 --enddatetime 2016-09-12T06:49:54 --enforcementcount 2 &gt;&gt;C:\Users\stu\Documents\GitHub\eaglep3-reporting\EC\2016-09-12-refined-times.txt</v>
      </c>
      <c r="AI26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{"issue":{"subject":"","project_id":79,"tracker_id":40,"status_id":1,"priority_id":2,"assigned_to_id":23,"start_date":"2016-09-12","description":"","custom_fields":[{"id":1,"name":"Subdivision","value":"EC"},{"id":4,"name":"Milepost","value":"23.2787"},{"id":17,"name":"Train ID","value":"114-12"},{"id":16,"name":"Locomotive ID","value":"4028"},{"id":130,"name":"Impact","value":""},{"id":150,"name":"Time of Event (Mountain Time)","value":"06:49:54"},{"id":151,"name":"Denver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hidden="1" x14ac:dyDescent="0.25">
      <c r="A27" s="39" t="s">
        <v>447</v>
      </c>
      <c r="B27" s="7">
        <v>4038</v>
      </c>
      <c r="C27" s="24" t="s">
        <v>108</v>
      </c>
      <c r="D27" s="24" t="s">
        <v>448</v>
      </c>
      <c r="E27" s="15">
        <v>42625.226759259262</v>
      </c>
      <c r="F27" s="15">
        <v>42625.229386574072</v>
      </c>
      <c r="G27" s="7">
        <v>3</v>
      </c>
      <c r="H27" s="15" t="s">
        <v>443</v>
      </c>
      <c r="I27" s="15">
        <v>42625.254745370374</v>
      </c>
      <c r="J27" s="7">
        <v>2</v>
      </c>
      <c r="K27" s="121" t="str">
        <f t="shared" si="0"/>
        <v>4037/4038</v>
      </c>
      <c r="L27" s="24" t="str">
        <f>VLOOKUP(A27,'Trips&amp;Operators'!$C$1:$E$10000,3,FALSE)</f>
        <v>MALAVE</v>
      </c>
      <c r="M27" s="6">
        <f t="shared" si="1"/>
        <v>2.5358796301588882E-2</v>
      </c>
      <c r="N27" s="7">
        <f t="shared" si="20"/>
        <v>36.51666667428799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6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04:26:32-0600',mode:absolute,to:'2016-09-12 07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27" s="54" t="str">
        <f t="shared" si="6"/>
        <v>N</v>
      </c>
      <c r="X27" s="168">
        <f t="shared" ref="X27:X58" si="21">VALUE(LEFT(AD27,4))-VALUE(LEFT(AD26,4))</f>
        <v>1</v>
      </c>
      <c r="Y27" s="69">
        <f t="shared" si="8"/>
        <v>7.6799999999999993E-2</v>
      </c>
      <c r="Z27" s="69">
        <f t="shared" si="9"/>
        <v>23.328700000000001</v>
      </c>
      <c r="AA27" s="69">
        <f t="shared" si="10"/>
        <v>23.251900000000003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 t="shared" si="11"/>
        <v>0115-12</v>
      </c>
      <c r="AE27" s="99" t="str">
        <f t="shared" si="12"/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27" s="96" t="str">
        <f t="shared" si="13"/>
        <v>"C:\Program Files (x86)\AstroGrep\AstroGrep.exe" /spath="%USERPROFILE%\AppData\Local\Temp\OnboardLogs" /stypes="app*4038*20160912*"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0" t="str">
        <f t="shared" si="17"/>
        <v>"%USERPROFILE%\Documents\GitHub\eaglep3\Utilities\RefineRTDCRunTimes.py" --tripid 115-12 --locoid 4038 --swversion DE.1.0.7.0 --startMP 204:768 --initTime 2016-09-12T05:26:32 --startdatetime 2016-09-12T05:30:19 --delay 3 --endMP 204:233287 --enddatetime 2016-09-12T06:06:50 --enforcementcount 2 &gt;&gt;C:\Users\stu\Documents\GitHub\eaglep3-reporting\EC\2016-09-12-refined-times.txt</v>
      </c>
      <c r="AI27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{"issue":{"subject":"","project_id":79,"tracker_id":40,"status_id":1,"priority_id":2,"assigned_to_id":23,"start_date":"2016-09-12","description":"","custom_fields":[{"id":1,"name":"Subdivision","value":"EC"},{"id":4,"name":"Milepost","value":"23.2519"},{"id":17,"name":"Train ID","value":"115-12"},{"id":16,"name":"Locomotive ID","value":"4038"},{"id":130,"name":"Impact","value":""},{"id":150,"name":"Time of Event (Mountain Time)","value":"06:06:50"},{"id":151,"name":"Denver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hidden="1" x14ac:dyDescent="0.25">
      <c r="A28" s="39" t="s">
        <v>449</v>
      </c>
      <c r="B28" s="7">
        <v>4037</v>
      </c>
      <c r="C28" s="24" t="s">
        <v>108</v>
      </c>
      <c r="D28" s="24" t="s">
        <v>326</v>
      </c>
      <c r="E28" s="15">
        <v>42625.263240740744</v>
      </c>
      <c r="F28" s="15">
        <v>42625.268217592595</v>
      </c>
      <c r="G28" s="7">
        <v>1</v>
      </c>
      <c r="H28" s="15" t="s">
        <v>224</v>
      </c>
      <c r="I28" s="15">
        <v>42625.295694444445</v>
      </c>
      <c r="J28" s="7">
        <v>2</v>
      </c>
      <c r="K28" s="121" t="str">
        <f t="shared" si="0"/>
        <v>4037/4038</v>
      </c>
      <c r="L28" s="24" t="str">
        <f>VLOOKUP(A28,'Trips&amp;Operators'!$C$1:$E$10000,3,FALSE)</f>
        <v>MALAVE</v>
      </c>
      <c r="M28" s="6">
        <f t="shared" si="1"/>
        <v>2.7476851850224193E-2</v>
      </c>
      <c r="N28" s="7">
        <f t="shared" si="20"/>
        <v>39.566666664322838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6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05:19:04-0600',mode:absolute,to:'2016-09-12 08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28" s="54" t="str">
        <f t="shared" si="6"/>
        <v>N</v>
      </c>
      <c r="X28" s="168">
        <f t="shared" si="21"/>
        <v>1</v>
      </c>
      <c r="Y28" s="69">
        <f t="shared" si="8"/>
        <v>23.296600000000002</v>
      </c>
      <c r="Z28" s="69">
        <f t="shared" si="9"/>
        <v>1.6E-2</v>
      </c>
      <c r="AA28" s="69">
        <f t="shared" si="10"/>
        <v>23.280600000000003</v>
      </c>
      <c r="AB28" s="66" t="e">
        <f>VLOOKUP(A28,Enforcements!$C$7:$K$21,8,0)</f>
        <v>#N/A</v>
      </c>
      <c r="AC28" s="62" t="e">
        <f>VLOOKUP(A28,Enforcements!$C$7:$E$21,3,0)</f>
        <v>#N/A</v>
      </c>
      <c r="AD28" s="63" t="str">
        <f t="shared" si="11"/>
        <v>0116-12</v>
      </c>
      <c r="AE28" s="99" t="str">
        <f t="shared" si="12"/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AF28" s="96" t="str">
        <f t="shared" si="13"/>
        <v>"C:\Program Files (x86)\AstroGrep\AstroGrep.exe" /spath="%USERPROFILE%\AppData\Local\Temp\OnboardLogs" /stypes="app*4037*20160912*"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0" t="str">
        <f t="shared" si="17"/>
        <v>"%USERPROFILE%\Documents\GitHub\eaglep3\Utilities\RefineRTDCRunTimes.py" --tripid 116-12 --locoid 4037 --swversion DE.1.0.7.0 --startMP 204:232966 --initTime 2016-09-12T06:19:04 --startdatetime 2016-09-12T06:26:14 --delay 1 --endMP 204:160 --enddatetime 2016-09-12T07:05:48 --enforcementcount 2 &gt;&gt;C:\Users\stu\Documents\GitHub\eaglep3-reporting\EC\2016-09-12-refined-times.txt</v>
      </c>
      <c r="AI28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{"issue":{"subject":"","project_id":79,"tracker_id":40,"status_id":1,"priority_id":2,"assigned_to_id":23,"start_date":"2016-09-12","description":"","custom_fields":[{"id":1,"name":"Subdivision","value":"EC"},{"id":4,"name":"Milepost","value":"23.2806"},{"id":17,"name":"Train ID","value":"116-12"},{"id":16,"name":"Locomotive ID","value":"4037"},{"id":130,"name":"Impact","value":""},{"id":150,"name":"Time of Event (Mountain Time)","value":"07:05:48"},{"id":151,"name":"Denver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hidden="1" x14ac:dyDescent="0.25">
      <c r="A29" s="39" t="s">
        <v>450</v>
      </c>
      <c r="B29" s="7">
        <v>4009</v>
      </c>
      <c r="C29" s="24" t="s">
        <v>108</v>
      </c>
      <c r="D29" s="24" t="s">
        <v>242</v>
      </c>
      <c r="E29" s="15">
        <v>42625.233657407407</v>
      </c>
      <c r="F29" s="15">
        <v>42625.23982638889</v>
      </c>
      <c r="G29" s="7">
        <v>1</v>
      </c>
      <c r="H29" s="15" t="s">
        <v>349</v>
      </c>
      <c r="I29" s="15">
        <v>42625.264618055553</v>
      </c>
      <c r="J29" s="7">
        <v>2</v>
      </c>
      <c r="K29" s="121" t="str">
        <f t="shared" si="0"/>
        <v>4009/4010</v>
      </c>
      <c r="L29" s="24" t="str">
        <f>VLOOKUP(A29,'Trips&amp;Operators'!$C$1:$E$10000,3,FALSE)</f>
        <v>ACKERMAN</v>
      </c>
      <c r="M29" s="6">
        <f t="shared" si="1"/>
        <v>2.4791666663077194E-2</v>
      </c>
      <c r="N29" s="7">
        <f t="shared" si="20"/>
        <v>35.69999999483116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6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04:36:28-0600',mode:absolute,to:'2016-09-12 07:21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9" s="54" t="str">
        <f t="shared" si="6"/>
        <v>N</v>
      </c>
      <c r="X29" s="168">
        <f t="shared" si="21"/>
        <v>1</v>
      </c>
      <c r="Y29" s="69">
        <f t="shared" si="8"/>
        <v>4.3700000000000003E-2</v>
      </c>
      <c r="Z29" s="69">
        <f t="shared" si="9"/>
        <v>23.328900000000001</v>
      </c>
      <c r="AA29" s="69">
        <f t="shared" si="10"/>
        <v>23.2852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 t="shared" si="11"/>
        <v>0117-12</v>
      </c>
      <c r="AE29" s="99" t="str">
        <f t="shared" si="12"/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29" s="96" t="str">
        <f t="shared" si="13"/>
        <v>"C:\Program Files (x86)\AstroGrep\AstroGrep.exe" /spath="%USERPROFILE%\AppData\Local\Temp\OnboardLogs" /stypes="app*4009*20160912*"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0" t="str">
        <f t="shared" si="17"/>
        <v>"%USERPROFILE%\Documents\GitHub\eaglep3\Utilities\RefineRTDCRunTimes.py" --tripid 117-12 --locoid 4009 --swversion DE.1.0.7.0 --startMP 204:437 --initTime 2016-09-12T05:36:28 --startdatetime 2016-09-12T05:45:21 --delay 1 --endMP 204:233289 --enddatetime 2016-09-12T06:21:03 --enforcementcount 2 &gt;&gt;C:\Users\stu\Documents\GitHub\eaglep3-reporting\EC\2016-09-12-refined-times.txt</v>
      </c>
      <c r="AI29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{"issue":{"subject":"","project_id":79,"tracker_id":40,"status_id":1,"priority_id":2,"assigned_to_id":23,"start_date":"2016-09-12","description":"","custom_fields":[{"id":1,"name":"Subdivision","value":"EC"},{"id":4,"name":"Milepost","value":"23.2852"},{"id":17,"name":"Train ID","value":"117-12"},{"id":16,"name":"Locomotive ID","value":"4009"},{"id":130,"name":"Impact","value":""},{"id":150,"name":"Time of Event (Mountain Time)","value":"06:21:03"},{"id":151,"name":"Denver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hidden="1" x14ac:dyDescent="0.25">
      <c r="A30" s="39" t="s">
        <v>451</v>
      </c>
      <c r="B30" s="7">
        <v>4010</v>
      </c>
      <c r="C30" s="24" t="s">
        <v>108</v>
      </c>
      <c r="D30" s="24" t="s">
        <v>290</v>
      </c>
      <c r="E30" s="15">
        <v>42625.27175925926</v>
      </c>
      <c r="F30" s="15">
        <v>42625.278668981482</v>
      </c>
      <c r="G30" s="7">
        <v>1</v>
      </c>
      <c r="H30" s="15" t="s">
        <v>131</v>
      </c>
      <c r="I30" s="15">
        <v>42625.307453703703</v>
      </c>
      <c r="J30" s="7">
        <v>2</v>
      </c>
      <c r="K30" s="121" t="str">
        <f t="shared" si="0"/>
        <v>4009/4010</v>
      </c>
      <c r="L30" s="24" t="str">
        <f>VLOOKUP(A30,'Trips&amp;Operators'!$C$1:$E$10000,3,FALSE)</f>
        <v>ACKERMAN</v>
      </c>
      <c r="M30" s="6">
        <f t="shared" si="1"/>
        <v>2.8784722220734693E-2</v>
      </c>
      <c r="N30" s="7">
        <f t="shared" si="20"/>
        <v>41.449999997857958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6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05:31:20-0600',mode:absolute,to:'2016-09-12 08:22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30" s="54" t="str">
        <f t="shared" si="6"/>
        <v>N</v>
      </c>
      <c r="X30" s="168">
        <f t="shared" si="21"/>
        <v>1</v>
      </c>
      <c r="Y30" s="69">
        <f t="shared" si="8"/>
        <v>23.2988</v>
      </c>
      <c r="Z30" s="69">
        <f t="shared" si="9"/>
        <v>1.54E-2</v>
      </c>
      <c r="AA30" s="69">
        <f t="shared" si="10"/>
        <v>23.2834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 t="shared" si="11"/>
        <v>0118-12</v>
      </c>
      <c r="AE30" s="99" t="str">
        <f t="shared" si="12"/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30" s="96" t="str">
        <f t="shared" si="13"/>
        <v>"C:\Program Files (x86)\AstroGrep\AstroGrep.exe" /spath="%USERPROFILE%\AppData\Local\Temp\OnboardLogs" /stypes="app*4010*20160912*"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0" t="str">
        <f t="shared" si="17"/>
        <v>"%USERPROFILE%\Documents\GitHub\eaglep3\Utilities\RefineRTDCRunTimes.py" --tripid 118-12 --locoid 4010 --swversion DE.1.0.7.0 --startMP 204:232988 --initTime 2016-09-12T06:31:20 --startdatetime 2016-09-12T06:41:17 --delay 1 --endMP 204:154 --enddatetime 2016-09-12T07:22:44 --enforcementcount 2 &gt;&gt;C:\Users\stu\Documents\GitHub\eaglep3-reporting\EC\2016-09-12-refined-times.txt</v>
      </c>
      <c r="AI30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{"issue":{"subject":"","project_id":79,"tracker_id":40,"status_id":1,"priority_id":2,"assigned_to_id":23,"start_date":"2016-09-12","description":"","custom_fields":[{"id":1,"name":"Subdivision","value":"EC"},{"id":4,"name":"Milepost","value":"23.2834"},{"id":17,"name":"Train ID","value":"118-12"},{"id":16,"name":"Locomotive ID","value":"4010"},{"id":130,"name":"Impact","value":""},{"id":150,"name":"Time of Event (Mountain Time)","value":"07:22:44"},{"id":151,"name":"Denver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hidden="1" x14ac:dyDescent="0.25">
      <c r="A31" s="39" t="s">
        <v>452</v>
      </c>
      <c r="B31" s="7">
        <v>4014</v>
      </c>
      <c r="C31" s="24" t="s">
        <v>108</v>
      </c>
      <c r="D31" s="24" t="s">
        <v>453</v>
      </c>
      <c r="E31" s="15">
        <v>42625.24690972222</v>
      </c>
      <c r="F31" s="15">
        <v>42625.250185185185</v>
      </c>
      <c r="G31" s="7">
        <v>1</v>
      </c>
      <c r="H31" s="15" t="s">
        <v>223</v>
      </c>
      <c r="I31" s="15">
        <v>42625.276145833333</v>
      </c>
      <c r="J31" s="7">
        <v>2</v>
      </c>
      <c r="K31" s="121" t="str">
        <f t="shared" si="0"/>
        <v>4013/4014</v>
      </c>
      <c r="L31" s="24" t="str">
        <f>VLOOKUP(A31,'Trips&amp;Operators'!$C$1:$E$10000,3,FALSE)</f>
        <v>RICHARDSON</v>
      </c>
      <c r="M31" s="6">
        <f t="shared" si="1"/>
        <v>2.5960648148611654E-2</v>
      </c>
      <c r="N31" s="7">
        <f t="shared" si="20"/>
        <v>37.383333334000781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6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04:55:33-0600',mode:absolute,to:'2016-09-12 07:37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31" s="54" t="str">
        <f t="shared" si="6"/>
        <v>N</v>
      </c>
      <c r="X31" s="168">
        <f t="shared" si="21"/>
        <v>1</v>
      </c>
      <c r="Y31" s="69">
        <f t="shared" si="8"/>
        <v>7.1300000000000002E-2</v>
      </c>
      <c r="Z31" s="69">
        <f t="shared" si="9"/>
        <v>23.331399999999999</v>
      </c>
      <c r="AA31" s="69">
        <f t="shared" si="10"/>
        <v>23.260099999999998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 t="shared" si="11"/>
        <v>0119-12</v>
      </c>
      <c r="AE31" s="99" t="str">
        <f t="shared" si="12"/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31" s="96" t="str">
        <f t="shared" si="13"/>
        <v>"C:\Program Files (x86)\AstroGrep\AstroGrep.exe" /spath="%USERPROFILE%\AppData\Local\Temp\OnboardLogs" /stypes="app*4014*20160912*"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0" t="str">
        <f t="shared" si="17"/>
        <v>"%USERPROFILE%\Documents\GitHub\eaglep3\Utilities\RefineRTDCRunTimes.py" --tripid 119-12 --locoid 4014 --swversion DE.1.0.7.0 --startMP 204:713 --initTime 2016-09-12T05:55:33 --startdatetime 2016-09-12T06:00:16 --delay 1 --endMP 204:233314 --enddatetime 2016-09-12T06:37:39 --enforcementcount 2 &gt;&gt;C:\Users\stu\Documents\GitHub\eaglep3-reporting\EC\2016-09-12-refined-times.txt</v>
      </c>
      <c r="AI31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{"issue":{"subject":"","project_id":79,"tracker_id":40,"status_id":1,"priority_id":2,"assigned_to_id":23,"start_date":"2016-09-12","description":"","custom_fields":[{"id":1,"name":"Subdivision","value":"EC"},{"id":4,"name":"Milepost","value":"23.2601"},{"id":17,"name":"Train ID","value":"119-12"},{"id":16,"name":"Locomotive ID","value":"4014"},{"id":130,"name":"Impact","value":""},{"id":150,"name":"Time of Event (Mountain Time)","value":"06:37:39"},{"id":151,"name":"Denver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hidden="1" x14ac:dyDescent="0.25">
      <c r="A32" s="39" t="s">
        <v>381</v>
      </c>
      <c r="B32" s="7">
        <v>4013</v>
      </c>
      <c r="C32" s="24" t="s">
        <v>108</v>
      </c>
      <c r="D32" s="24" t="s">
        <v>238</v>
      </c>
      <c r="E32" s="15">
        <v>42625.281539351854</v>
      </c>
      <c r="F32" s="15">
        <v>42625.290231481478</v>
      </c>
      <c r="G32" s="7">
        <v>4</v>
      </c>
      <c r="H32" s="15" t="s">
        <v>232</v>
      </c>
      <c r="I32" s="15">
        <v>42625.321273148147</v>
      </c>
      <c r="J32" s="7">
        <v>2</v>
      </c>
      <c r="K32" s="121" t="str">
        <f t="shared" si="0"/>
        <v>4013/4014</v>
      </c>
      <c r="L32" s="24" t="str">
        <f>VLOOKUP(A32,'Trips&amp;Operators'!$C$1:$E$10000,3,FALSE)</f>
        <v>RICHARDSON</v>
      </c>
      <c r="M32" s="6">
        <f t="shared" si="1"/>
        <v>3.104166666889796E-2</v>
      </c>
      <c r="N32" s="7">
        <f t="shared" si="20"/>
        <v>44.700000003213063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6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05:45:25-0600',mode:absolute,to:'2016-09-12 08:42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32" s="54" t="str">
        <f t="shared" si="6"/>
        <v>N</v>
      </c>
      <c r="X32" s="168">
        <f t="shared" si="21"/>
        <v>1</v>
      </c>
      <c r="Y32" s="69">
        <f t="shared" si="8"/>
        <v>23.299600000000002</v>
      </c>
      <c r="Z32" s="69">
        <f t="shared" si="9"/>
        <v>1.47E-2</v>
      </c>
      <c r="AA32" s="69">
        <f t="shared" si="10"/>
        <v>23.2849</v>
      </c>
      <c r="AB32" s="66" t="str">
        <f>VLOOKUP(A32,Enforcements!$C$7:$K$21,8,0)</f>
        <v>Speed (6)</v>
      </c>
      <c r="AC32" s="62" t="str">
        <f>VLOOKUP(A32,Enforcements!$C$7:$E$21,3,0)</f>
        <v>PERMANENT SPEED RESTRICTION</v>
      </c>
      <c r="AD32" s="63" t="str">
        <f t="shared" si="11"/>
        <v>0120-12</v>
      </c>
      <c r="AE32" s="99" t="str">
        <f t="shared" si="12"/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32" s="96" t="str">
        <f t="shared" si="13"/>
        <v>"C:\Program Files (x86)\AstroGrep\AstroGrep.exe" /spath="%USERPROFILE%\AppData\Local\Temp\OnboardLogs" /stypes="app*4013*20160912*"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0" t="str">
        <f t="shared" si="17"/>
        <v>"%USERPROFILE%\Documents\GitHub\eaglep3\Utilities\RefineRTDCRunTimes.py" --tripid 120-12 --locoid 4013 --swversion DE.1.0.7.0 --startMP 204:232996 --initTime 2016-09-12T06:45:25 --startdatetime 2016-09-12T06:57:56 --delay 4 --endMP 204:147 --enddatetime 2016-09-12T07:42:38 --enforcementcount 2 &gt;&gt;C:\Users\stu\Documents\GitHub\eaglep3-reporting\EC\2016-09-12-refined-times.txt</v>
      </c>
      <c r="AI32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{"issue":{"subject":"","project_id":79,"tracker_id":40,"status_id":1,"priority_id":2,"assigned_to_id":23,"start_date":"2016-09-12","description":"","custom_fields":[{"id":1,"name":"Subdivision","value":"EC"},{"id":4,"name":"Milepost","value":"23.2849"},{"id":17,"name":"Train ID","value":"120-12"},{"id":16,"name":"Locomotive ID","value":"4013"},{"id":130,"name":"Impact","value":""},{"id":150,"name":"Time of Event (Mountain Time)","value":"07:42:38"},{"id":151,"name":"Denver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hidden="1" x14ac:dyDescent="0.25">
      <c r="A33" s="39" t="s">
        <v>454</v>
      </c>
      <c r="B33" s="7">
        <v>4002</v>
      </c>
      <c r="C33" s="24" t="s">
        <v>108</v>
      </c>
      <c r="D33" s="24" t="s">
        <v>310</v>
      </c>
      <c r="E33" s="15">
        <v>42625.258831018517</v>
      </c>
      <c r="F33" s="15">
        <v>42625.260740740741</v>
      </c>
      <c r="G33" s="7">
        <v>1</v>
      </c>
      <c r="H33" s="15" t="s">
        <v>455</v>
      </c>
      <c r="I33" s="15">
        <v>42625.285613425927</v>
      </c>
      <c r="J33" s="7">
        <v>2</v>
      </c>
      <c r="K33" s="121" t="str">
        <f t="shared" si="0"/>
        <v>4001/4002</v>
      </c>
      <c r="L33" s="24" t="str">
        <f>VLOOKUP(A33,'Trips&amp;Operators'!$C$1:$E$10000,3,FALSE)</f>
        <v>SPECTOR</v>
      </c>
      <c r="M33" s="6">
        <f t="shared" si="1"/>
        <v>2.4872685185982846E-2</v>
      </c>
      <c r="N33" s="7">
        <f t="shared" si="20"/>
        <v>35.816666667815298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6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05:12:43-0600',mode:absolute,to:'2016-09-12 07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33" s="54" t="str">
        <f t="shared" si="6"/>
        <v>N</v>
      </c>
      <c r="X33" s="168">
        <f t="shared" si="21"/>
        <v>1</v>
      </c>
      <c r="Y33" s="69">
        <f t="shared" si="8"/>
        <v>4.4400000000000002E-2</v>
      </c>
      <c r="Z33" s="69">
        <f t="shared" si="9"/>
        <v>23.332599999999999</v>
      </c>
      <c r="AA33" s="69">
        <f t="shared" si="10"/>
        <v>23.2882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 t="shared" si="11"/>
        <v>0121-12</v>
      </c>
      <c r="AE33" s="99" t="str">
        <f t="shared" si="12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33" s="96" t="str">
        <f t="shared" si="13"/>
        <v>"C:\Program Files (x86)\AstroGrep\AstroGrep.exe" /spath="%USERPROFILE%\AppData\Local\Temp\OnboardLogs" /stypes="app*4002*20160912*" /stext=" 12:.+((SYSTEM_STATE.+slice.+state.+changed )|(ment ac)|(system.+state.+changed )|(\|lc)|(penalty)|(\[timeout)|(PRM\|1\|D)|(kpr)|(kdp))" /e /r /s</v>
      </c>
      <c r="AG33" s="1" t="str">
        <f t="shared" si="14"/>
        <v>EC</v>
      </c>
      <c r="AH33" s="100" t="str">
        <f t="shared" si="17"/>
        <v>"%USERPROFILE%\Documents\GitHub\eaglep3\Utilities\RefineRTDCRunTimes.py" --tripid 121-12 --locoid 4002 --swversion DE.1.0.7.0 --startMP 204:444 --initTime 2016-09-12T06:12:43 --startdatetime 2016-09-12T06:15:28 --delay 1 --endMP 204:233326 --enddatetime 2016-09-12T06:51:17 --enforcementcount 2 &gt;&gt;C:\Users\stu\Documents\GitHub\eaglep3-reporting\EC\2016-09-12-refined-times.txt</v>
      </c>
      <c r="AI33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{"issue":{"subject":"","project_id":79,"tracker_id":40,"status_id":1,"priority_id":2,"assigned_to_id":23,"start_date":"2016-09-12","description":"","custom_fields":[{"id":1,"name":"Subdivision","value":"EC"},{"id":4,"name":"Milepost","value":"23.2882"},{"id":17,"name":"Train ID","value":"121-12"},{"id":16,"name":"Locomotive ID","value":"4002"},{"id":130,"name":"Impact","value":""},{"id":150,"name":"Time of Event (Mountain Time)","value":"06:51:17"},{"id":151,"name":"Denver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hidden="1" x14ac:dyDescent="0.25">
      <c r="A34" s="39" t="s">
        <v>385</v>
      </c>
      <c r="B34" s="7">
        <v>4001</v>
      </c>
      <c r="C34" s="24" t="s">
        <v>108</v>
      </c>
      <c r="D34" s="24" t="s">
        <v>231</v>
      </c>
      <c r="E34" s="15">
        <v>42625.29241898148</v>
      </c>
      <c r="F34" s="15">
        <v>42625.299479166664</v>
      </c>
      <c r="G34" s="7">
        <v>1</v>
      </c>
      <c r="H34" s="15" t="s">
        <v>264</v>
      </c>
      <c r="I34" s="15">
        <v>42625.327222222222</v>
      </c>
      <c r="J34" s="7">
        <v>2</v>
      </c>
      <c r="K34" s="121" t="str">
        <f t="shared" si="0"/>
        <v>4001/4002</v>
      </c>
      <c r="L34" s="24" t="str">
        <f>VLOOKUP(A34,'Trips&amp;Operators'!$C$1:$E$10000,3,FALSE)</f>
        <v>SPECTOR</v>
      </c>
      <c r="M34" s="6">
        <f t="shared" si="1"/>
        <v>2.7743055557948537E-2</v>
      </c>
      <c r="N34" s="7">
        <f t="shared" si="20"/>
        <v>39.950000003445894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6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06:01:05-0600',mode:absolute,to:'2016-09-12 08:51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34" s="54" t="str">
        <f t="shared" si="6"/>
        <v>N</v>
      </c>
      <c r="X34" s="168">
        <f t="shared" si="21"/>
        <v>1</v>
      </c>
      <c r="Y34" s="69">
        <f t="shared" si="8"/>
        <v>23.298999999999999</v>
      </c>
      <c r="Z34" s="69">
        <f t="shared" si="9"/>
        <v>1.3599999999999999E-2</v>
      </c>
      <c r="AA34" s="69">
        <f t="shared" si="10"/>
        <v>23.285399999999999</v>
      </c>
      <c r="AB34" s="66" t="str">
        <f>VLOOKUP(A34,Enforcements!$C$7:$K$21,8,0)</f>
        <v>Bulletin (2)</v>
      </c>
      <c r="AC34" s="62" t="str">
        <f>VLOOKUP(A34,Enforcements!$C$7:$E$21,3,0)</f>
        <v>GRADE CROSSING</v>
      </c>
      <c r="AD34" s="63" t="str">
        <f t="shared" si="11"/>
        <v>0122-12</v>
      </c>
      <c r="AE34" s="99" t="str">
        <f t="shared" si="12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34" s="96" t="str">
        <f t="shared" si="13"/>
        <v>"C:\Program Files (x86)\AstroGrep\AstroGrep.exe" /spath="%USERPROFILE%\AppData\Local\Temp\OnboardLogs" /stypes="app*4001*20160912*"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0" t="str">
        <f t="shared" si="17"/>
        <v>"%USERPROFILE%\Documents\GitHub\eaglep3\Utilities\RefineRTDCRunTimes.py" --tripid 122-12 --locoid 4001 --swversion DE.1.0.7.0 --startMP 204:232990 --initTime 2016-09-12T07:01:05 --startdatetime 2016-09-12T07:11:15 --delay 1 --endMP 204:136 --enddatetime 2016-09-12T07:51:12 --enforcementcount 2 &gt;&gt;C:\Users\stu\Documents\GitHub\eaglep3-reporting\EC\2016-09-12-refined-times.txt</v>
      </c>
      <c r="AI34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{"issue":{"subject":"","project_id":79,"tracker_id":40,"status_id":1,"priority_id":2,"assigned_to_id":23,"start_date":"2016-09-12","description":"","custom_fields":[{"id":1,"name":"Subdivision","value":"EC"},{"id":4,"name":"Milepost","value":"23.2854"},{"id":17,"name":"Train ID","value":"122-12"},{"id":16,"name":"Locomotive ID","value":"4001"},{"id":130,"name":"Impact","value":""},{"id":150,"name":"Time of Event (Mountain Time)","value":"07:51:12"},{"id":151,"name":"Denver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hidden="1" x14ac:dyDescent="0.25">
      <c r="A35" s="39" t="s">
        <v>456</v>
      </c>
      <c r="B35" s="7">
        <v>4042</v>
      </c>
      <c r="C35" s="24" t="s">
        <v>108</v>
      </c>
      <c r="D35" s="24" t="s">
        <v>260</v>
      </c>
      <c r="E35" s="15">
        <v>42625.265844907408</v>
      </c>
      <c r="F35" s="15">
        <v>42625.27140046296</v>
      </c>
      <c r="G35" s="7">
        <v>6</v>
      </c>
      <c r="H35" s="15" t="s">
        <v>457</v>
      </c>
      <c r="I35" s="15">
        <v>42625.296886574077</v>
      </c>
      <c r="J35" s="7">
        <v>2</v>
      </c>
      <c r="K35" s="121" t="str">
        <f t="shared" si="0"/>
        <v>4041/4042</v>
      </c>
      <c r="L35" s="24" t="str">
        <f>VLOOKUP(A35,'Trips&amp;Operators'!$C$1:$E$10000,3,FALSE)</f>
        <v>YORK</v>
      </c>
      <c r="M35" s="6">
        <f t="shared" si="1"/>
        <v>2.5486111117061228E-2</v>
      </c>
      <c r="N35" s="7">
        <f t="shared" si="20"/>
        <v>36.700000008568168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6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05:22:49-0600',mode:absolute,to:'2016-09-12 08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35" s="54" t="str">
        <f t="shared" si="6"/>
        <v>N</v>
      </c>
      <c r="X35" s="168">
        <f t="shared" si="21"/>
        <v>1</v>
      </c>
      <c r="Y35" s="69">
        <f t="shared" si="8"/>
        <v>4.58E-2</v>
      </c>
      <c r="Z35" s="69">
        <f t="shared" si="9"/>
        <v>23.3308</v>
      </c>
      <c r="AA35" s="69">
        <f t="shared" si="10"/>
        <v>23.285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 t="shared" si="11"/>
        <v>0123-12</v>
      </c>
      <c r="AE35" s="99" t="str">
        <f t="shared" si="12"/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35" s="96" t="str">
        <f t="shared" si="13"/>
        <v>"C:\Program Files (x86)\AstroGrep\AstroGrep.exe" /spath="%USERPROFILE%\AppData\Local\Temp\OnboardLogs" /stypes="app*4042*20160912*"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0" t="str">
        <f t="shared" si="17"/>
        <v>"%USERPROFILE%\Documents\GitHub\eaglep3\Utilities\RefineRTDCRunTimes.py" --tripid 123-12 --locoid 4042 --swversion DE.1.0.7.0 --startMP 204:458 --initTime 2016-09-12T06:22:49 --startdatetime 2016-09-12T06:30:49 --delay 6 --endMP 204:233308 --enddatetime 2016-09-12T07:07:31 --enforcementcount 2 &gt;&gt;C:\Users\stu\Documents\GitHub\eaglep3-reporting\EC\2016-09-12-refined-times.txt</v>
      </c>
      <c r="AI35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{"issue":{"subject":"","project_id":79,"tracker_id":40,"status_id":1,"priority_id":2,"assigned_to_id":23,"start_date":"2016-09-12","description":"","custom_fields":[{"id":1,"name":"Subdivision","value":"EC"},{"id":4,"name":"Milepost","value":"23.285"},{"id":17,"name":"Train ID","value":"123-12"},{"id":16,"name":"Locomotive ID","value":"4042"},{"id":130,"name":"Impact","value":""},{"id":150,"name":"Time of Event (Mountain Time)","value":"07:07:31"},{"id":151,"name":"Denver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hidden="1" x14ac:dyDescent="0.25">
      <c r="A36" s="39" t="s">
        <v>386</v>
      </c>
      <c r="B36" s="7">
        <v>4041</v>
      </c>
      <c r="C36" s="24" t="s">
        <v>108</v>
      </c>
      <c r="D36" s="24" t="s">
        <v>458</v>
      </c>
      <c r="E36" s="15">
        <v>42625.29855324074</v>
      </c>
      <c r="F36" s="15">
        <v>42625.310069444444</v>
      </c>
      <c r="G36" s="7">
        <v>1</v>
      </c>
      <c r="H36" s="15" t="s">
        <v>237</v>
      </c>
      <c r="I36" s="15">
        <v>42625.336423611108</v>
      </c>
      <c r="J36" s="7">
        <v>2</v>
      </c>
      <c r="K36" s="121" t="str">
        <f t="shared" si="0"/>
        <v>4041/4042</v>
      </c>
      <c r="L36" s="24" t="str">
        <f>VLOOKUP(A36,'Trips&amp;Operators'!$C$1:$E$10000,3,FALSE)</f>
        <v>YORK</v>
      </c>
      <c r="M36" s="6">
        <f t="shared" si="1"/>
        <v>2.6354166664532386E-2</v>
      </c>
      <c r="N36" s="7">
        <f t="shared" si="20"/>
        <v>37.949999996926636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6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06:09:55-0600',mode:absolute,to:'2016-09-12 09:04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36" s="54" t="str">
        <f t="shared" si="6"/>
        <v>N</v>
      </c>
      <c r="X36" s="168">
        <f t="shared" si="21"/>
        <v>1</v>
      </c>
      <c r="Y36" s="69">
        <f t="shared" si="8"/>
        <v>23.2989</v>
      </c>
      <c r="Z36" s="69">
        <f t="shared" si="9"/>
        <v>1.52E-2</v>
      </c>
      <c r="AA36" s="69">
        <f t="shared" si="10"/>
        <v>23.2837</v>
      </c>
      <c r="AB36" s="66" t="e">
        <f>VLOOKUP(A36,Enforcements!$C$7:$K$21,8,0)</f>
        <v>#N/A</v>
      </c>
      <c r="AC36" s="62" t="e">
        <f>VLOOKUP(A36,Enforcements!$C$7:$E$21,3,0)</f>
        <v>#N/A</v>
      </c>
      <c r="AD36" s="63" t="str">
        <f t="shared" si="11"/>
        <v>0124-12</v>
      </c>
      <c r="AE36" s="99" t="str">
        <f t="shared" si="12"/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36" s="96" t="str">
        <f t="shared" si="13"/>
        <v>"C:\Program Files (x86)\AstroGrep\AstroGrep.exe" /spath="%USERPROFILE%\AppData\Local\Temp\OnboardLogs" /stypes="app*4041*20160912*"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0" t="str">
        <f t="shared" si="17"/>
        <v>"%USERPROFILE%\Documents\GitHub\eaglep3\Utilities\RefineRTDCRunTimes.py" --tripid 124-12 --locoid 4041 --swversion DE.1.0.7.0 --startMP 204:232989 --initTime 2016-09-12T07:09:55 --startdatetime 2016-09-12T07:26:30 --delay 1 --endMP 204:152 --enddatetime 2016-09-12T08:04:27 --enforcementcount 2 &gt;&gt;C:\Users\stu\Documents\GitHub\eaglep3-reporting\EC\2016-09-12-refined-times.txt</v>
      </c>
      <c r="AI36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{"issue":{"subject":"","project_id":79,"tracker_id":40,"status_id":1,"priority_id":2,"assigned_to_id":23,"start_date":"2016-09-12","description":"","custom_fields":[{"id":1,"name":"Subdivision","value":"EC"},{"id":4,"name":"Milepost","value":"23.2837"},{"id":17,"name":"Train ID","value":"124-12"},{"id":16,"name":"Locomotive ID","value":"4041"},{"id":130,"name":"Impact","value":""},{"id":150,"name":"Time of Event (Mountain Time)","value":"08:04:27"},{"id":151,"name":"Denver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hidden="1" x14ac:dyDescent="0.25">
      <c r="A37" s="39" t="s">
        <v>459</v>
      </c>
      <c r="B37" s="7">
        <v>4031</v>
      </c>
      <c r="C37" s="24" t="s">
        <v>108</v>
      </c>
      <c r="D37" s="24" t="s">
        <v>248</v>
      </c>
      <c r="E37" s="15">
        <v>42625.277766203704</v>
      </c>
      <c r="F37" s="15">
        <v>42625.281493055554</v>
      </c>
      <c r="G37" s="7">
        <v>1</v>
      </c>
      <c r="H37" s="15" t="s">
        <v>313</v>
      </c>
      <c r="I37" s="15">
        <v>42625.306516203702</v>
      </c>
      <c r="J37" s="7">
        <v>2</v>
      </c>
      <c r="K37" s="121" t="str">
        <f t="shared" si="0"/>
        <v>4031/4032</v>
      </c>
      <c r="L37" s="24" t="str">
        <f>VLOOKUP(A37,'Trips&amp;Operators'!$C$1:$E$10000,3,FALSE)</f>
        <v>STARKS</v>
      </c>
      <c r="M37" s="6">
        <f t="shared" si="1"/>
        <v>2.5023148147738539E-2</v>
      </c>
      <c r="N37" s="7">
        <f t="shared" si="20"/>
        <v>36.033333332743496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6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05:39:59-0600',mode:absolute,to:'2016-09-12 08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37" s="54" t="str">
        <f t="shared" si="6"/>
        <v>N</v>
      </c>
      <c r="X37" s="168">
        <f t="shared" si="21"/>
        <v>1</v>
      </c>
      <c r="Y37" s="69">
        <f t="shared" si="8"/>
        <v>4.5499999999999999E-2</v>
      </c>
      <c r="Z37" s="69">
        <f t="shared" si="9"/>
        <v>23.331800000000001</v>
      </c>
      <c r="AA37" s="69">
        <f t="shared" si="10"/>
        <v>23.286300000000001</v>
      </c>
      <c r="AB37" s="66" t="e">
        <f>VLOOKUP(A37,Enforcements!$C$7:$K$21,8,0)</f>
        <v>#N/A</v>
      </c>
      <c r="AC37" s="62" t="e">
        <f>VLOOKUP(A37,Enforcements!$C$7:$E$21,3,0)</f>
        <v>#N/A</v>
      </c>
      <c r="AD37" s="63" t="str">
        <f t="shared" si="11"/>
        <v>0125-12</v>
      </c>
      <c r="AE37" s="99" t="str">
        <f t="shared" si="12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37" s="96" t="str">
        <f t="shared" si="13"/>
        <v>"C:\Program Files (x86)\AstroGrep\AstroGrep.exe" /spath="%USERPROFILE%\AppData\Local\Temp\OnboardLogs" /stypes="app*4031*20160912*"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0" t="str">
        <f t="shared" si="17"/>
        <v>"%USERPROFILE%\Documents\GitHub\eaglep3\Utilities\RefineRTDCRunTimes.py" --tripid 125-12 --locoid 4031 --swversion DE.1.0.7.0 --startMP 204:455 --initTime 2016-09-12T06:39:59 --startdatetime 2016-09-12T06:45:21 --delay 1 --endMP 204:233318 --enddatetime 2016-09-12T07:21:23 --enforcementcount 2 &gt;&gt;C:\Users\stu\Documents\GitHub\eaglep3-reporting\EC\2016-09-12-refined-times.txt</v>
      </c>
      <c r="AI37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{"issue":{"subject":"","project_id":79,"tracker_id":40,"status_id":1,"priority_id":2,"assigned_to_id":23,"start_date":"2016-09-12","description":"","custom_fields":[{"id":1,"name":"Subdivision","value":"EC"},{"id":4,"name":"Milepost","value":"23.2863"},{"id":17,"name":"Train ID","value":"125-12"},{"id":16,"name":"Locomotive ID","value":"4031"},{"id":130,"name":"Impact","value":""},{"id":150,"name":"Time of Event (Mountain Time)","value":"07:21:23"},{"id":151,"name":"Denver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hidden="1" x14ac:dyDescent="0.25">
      <c r="A38" s="39" t="s">
        <v>460</v>
      </c>
      <c r="B38" s="7">
        <v>4032</v>
      </c>
      <c r="C38" s="24" t="s">
        <v>108</v>
      </c>
      <c r="D38" s="24" t="s">
        <v>461</v>
      </c>
      <c r="E38" s="15">
        <v>42625.315694444442</v>
      </c>
      <c r="F38" s="15">
        <v>42625.3203125</v>
      </c>
      <c r="G38" s="7">
        <v>6</v>
      </c>
      <c r="H38" s="15" t="s">
        <v>264</v>
      </c>
      <c r="I38" s="15">
        <v>42625.347708333335</v>
      </c>
      <c r="J38" s="7">
        <v>2</v>
      </c>
      <c r="K38" s="121" t="str">
        <f t="shared" si="0"/>
        <v>4031/4032</v>
      </c>
      <c r="L38" s="24" t="str">
        <f>VLOOKUP(A38,'Trips&amp;Operators'!$C$1:$E$10000,3,FALSE)</f>
        <v>STARKS</v>
      </c>
      <c r="M38" s="6">
        <f t="shared" si="1"/>
        <v>2.7395833334594499E-2</v>
      </c>
      <c r="N38" s="7">
        <f t="shared" si="20"/>
        <v>39.450000001816079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6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06:34:36-0600',mode:absolute,to:'2016-09-12 09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38" s="54" t="str">
        <f t="shared" si="6"/>
        <v>N</v>
      </c>
      <c r="X38" s="168">
        <f t="shared" si="21"/>
        <v>1</v>
      </c>
      <c r="Y38" s="69">
        <f t="shared" si="8"/>
        <v>23.3005</v>
      </c>
      <c r="Z38" s="69">
        <f t="shared" si="9"/>
        <v>1.3599999999999999E-2</v>
      </c>
      <c r="AA38" s="69">
        <f t="shared" si="10"/>
        <v>23.286899999999999</v>
      </c>
      <c r="AB38" s="66" t="e">
        <f>VLOOKUP(A38,Enforcements!$C$7:$K$21,8,0)</f>
        <v>#N/A</v>
      </c>
      <c r="AC38" s="62" t="e">
        <f>VLOOKUP(A38,Enforcements!$C$7:$E$21,3,0)</f>
        <v>#N/A</v>
      </c>
      <c r="AD38" s="63" t="str">
        <f t="shared" si="11"/>
        <v>0126-12</v>
      </c>
      <c r="AE38" s="99" t="str">
        <f t="shared" si="12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38" s="96" t="str">
        <f t="shared" si="13"/>
        <v>"C:\Program Files (x86)\AstroGrep\AstroGrep.exe" /spath="%USERPROFILE%\AppData\Local\Temp\OnboardLogs" /stypes="app*4032*20160912*"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0" t="str">
        <f t="shared" si="17"/>
        <v>"%USERPROFILE%\Documents\GitHub\eaglep3\Utilities\RefineRTDCRunTimes.py" --tripid 126-12 --locoid 4032 --swversion DE.1.0.7.0 --startMP 204:233005 --initTime 2016-09-12T07:34:36 --startdatetime 2016-09-12T07:41:15 --delay 6 --endMP 204:136 --enddatetime 2016-09-12T08:20:42 --enforcementcount 2 &gt;&gt;C:\Users\stu\Documents\GitHub\eaglep3-reporting\EC\2016-09-12-refined-times.txt</v>
      </c>
      <c r="AI38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{"issue":{"subject":"","project_id":79,"tracker_id":40,"status_id":1,"priority_id":2,"assigned_to_id":23,"start_date":"2016-09-12","description":"","custom_fields":[{"id":1,"name":"Subdivision","value":"EC"},{"id":4,"name":"Milepost","value":"23.2869"},{"id":17,"name":"Train ID","value":"126-12"},{"id":16,"name":"Locomotive ID","value":"4032"},{"id":130,"name":"Impact","value":""},{"id":150,"name":"Time of Event (Mountain Time)","value":"08:20:42"},{"id":151,"name":"Denver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ht="16.5" hidden="1" customHeight="1" x14ac:dyDescent="0.25">
      <c r="A39" s="39" t="s">
        <v>462</v>
      </c>
      <c r="B39" s="7">
        <v>4027</v>
      </c>
      <c r="C39" s="24" t="s">
        <v>108</v>
      </c>
      <c r="D39" s="24" t="s">
        <v>324</v>
      </c>
      <c r="E39" s="15">
        <v>42625.285856481481</v>
      </c>
      <c r="F39" s="15">
        <v>42625.292083333334</v>
      </c>
      <c r="G39" s="7">
        <v>1</v>
      </c>
      <c r="H39" s="15" t="s">
        <v>329</v>
      </c>
      <c r="I39" s="15">
        <v>42625.31695601852</v>
      </c>
      <c r="J39" s="7">
        <v>2</v>
      </c>
      <c r="K39" s="121" t="str">
        <f t="shared" si="0"/>
        <v>4027/4028</v>
      </c>
      <c r="L39" s="24" t="str">
        <f>VLOOKUP(A39,'Trips&amp;Operators'!$C$1:$E$10000,3,FALSE)</f>
        <v>KILLION</v>
      </c>
      <c r="M39" s="6">
        <f t="shared" si="1"/>
        <v>2.4872685185982846E-2</v>
      </c>
      <c r="N39" s="7">
        <f t="shared" si="20"/>
        <v>35.816666667815298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6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05:51:38-0600',mode:absolute,to:'2016-09-12 08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39" s="54" t="str">
        <f t="shared" si="6"/>
        <v>N</v>
      </c>
      <c r="X39" s="168">
        <f t="shared" si="21"/>
        <v>1</v>
      </c>
      <c r="Y39" s="69">
        <f t="shared" si="8"/>
        <v>4.9099999999999998E-2</v>
      </c>
      <c r="Z39" s="69">
        <f t="shared" si="9"/>
        <v>23.329799999999999</v>
      </c>
      <c r="AA39" s="69">
        <f t="shared" si="10"/>
        <v>23.2807</v>
      </c>
      <c r="AB39" s="66" t="e">
        <f>VLOOKUP(A39,Enforcements!$C$7:$K$21,8,0)</f>
        <v>#N/A</v>
      </c>
      <c r="AC39" s="62" t="e">
        <f>VLOOKUP(A39,Enforcements!$C$7:$E$21,3,0)</f>
        <v>#N/A</v>
      </c>
      <c r="AD39" s="63" t="str">
        <f t="shared" si="11"/>
        <v>0127-12</v>
      </c>
      <c r="AE39" s="99" t="str">
        <f t="shared" si="12"/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39" s="96" t="str">
        <f t="shared" si="13"/>
        <v>"C:\Program Files (x86)\AstroGrep\AstroGrep.exe" /spath="%USERPROFILE%\AppData\Local\Temp\OnboardLogs" /stypes="app*4027*20160912*"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0" t="str">
        <f t="shared" si="17"/>
        <v>"%USERPROFILE%\Documents\GitHub\eaglep3\Utilities\RefineRTDCRunTimes.py" --tripid 127-12 --locoid 4027 --swversion DE.1.0.7.0 --startMP 204:491 --initTime 2016-09-12T06:51:38 --startdatetime 2016-09-12T07:00:36 --delay 1 --endMP 204:233298 --enddatetime 2016-09-12T07:36:25 --enforcementcount 2 &gt;&gt;C:\Users\stu\Documents\GitHub\eaglep3-reporting\EC\2016-09-12-refined-times.txt</v>
      </c>
      <c r="AI39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{"issue":{"subject":"","project_id":79,"tracker_id":40,"status_id":1,"priority_id":2,"assigned_to_id":23,"start_date":"2016-09-12","description":"","custom_fields":[{"id":1,"name":"Subdivision","value":"EC"},{"id":4,"name":"Milepost","value":"23.2807"},{"id":17,"name":"Train ID","value":"127-12"},{"id":16,"name":"Locomotive ID","value":"4027"},{"id":130,"name":"Impact","value":""},{"id":150,"name":"Time of Event (Mountain Time)","value":"07:36:25"},{"id":151,"name":"Denver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463</v>
      </c>
      <c r="B40" s="7">
        <v>4028</v>
      </c>
      <c r="C40" s="24" t="s">
        <v>108</v>
      </c>
      <c r="D40" s="24" t="s">
        <v>458</v>
      </c>
      <c r="E40" s="15">
        <v>42625.323009259257</v>
      </c>
      <c r="F40" s="15">
        <v>42625.330740740741</v>
      </c>
      <c r="G40" s="7">
        <v>1</v>
      </c>
      <c r="H40" s="15" t="s">
        <v>229</v>
      </c>
      <c r="I40" s="15">
        <v>42625.358553240738</v>
      </c>
      <c r="J40" s="7">
        <v>2</v>
      </c>
      <c r="K40" s="121" t="str">
        <f t="shared" si="0"/>
        <v>4027/4028</v>
      </c>
      <c r="L40" s="24" t="str">
        <f>VLOOKUP(A40,'Trips&amp;Operators'!$C$1:$E$10000,3,FALSE)</f>
        <v>KILLION</v>
      </c>
      <c r="M40" s="6">
        <f t="shared" si="1"/>
        <v>2.7812499996798579E-2</v>
      </c>
      <c r="N40" s="7">
        <f t="shared" si="20"/>
        <v>40.049999995389953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6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06:45:08-0600',mode:absolute,to:'2016-09-12 09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40" s="54" t="str">
        <f t="shared" si="6"/>
        <v>N</v>
      </c>
      <c r="X40" s="168">
        <f t="shared" si="21"/>
        <v>1</v>
      </c>
      <c r="Y40" s="69">
        <f t="shared" si="8"/>
        <v>23.2989</v>
      </c>
      <c r="Z40" s="69">
        <f t="shared" si="9"/>
        <v>1.5800000000000002E-2</v>
      </c>
      <c r="AA40" s="69">
        <f t="shared" si="10"/>
        <v>23.283100000000001</v>
      </c>
      <c r="AB40" s="66" t="e">
        <f>VLOOKUP(A40,Enforcements!$C$7:$K$21,8,0)</f>
        <v>#N/A</v>
      </c>
      <c r="AC40" s="62" t="e">
        <f>VLOOKUP(A40,Enforcements!$C$7:$E$21,3,0)</f>
        <v>#N/A</v>
      </c>
      <c r="AD40" s="63" t="str">
        <f t="shared" si="11"/>
        <v>0128-12</v>
      </c>
      <c r="AE40" s="99" t="str">
        <f t="shared" si="12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40" s="96" t="str">
        <f t="shared" si="13"/>
        <v>"C:\Program Files (x86)\AstroGrep\AstroGrep.exe" /spath="%USERPROFILE%\AppData\Local\Temp\OnboardLogs" /stypes="app*4028*20160912*"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0" t="str">
        <f t="shared" si="17"/>
        <v>"%USERPROFILE%\Documents\GitHub\eaglep3\Utilities\RefineRTDCRunTimes.py" --tripid 128-12 --locoid 4028 --swversion DE.1.0.7.0 --startMP 204:232989 --initTime 2016-09-12T07:45:08 --startdatetime 2016-09-12T07:56:16 --delay 1 --endMP 204:158 --enddatetime 2016-09-12T08:36:19 --enforcementcount 2 &gt;&gt;C:\Users\stu\Documents\GitHub\eaglep3-reporting\EC\2016-09-12-refined-times.txt</v>
      </c>
      <c r="AI40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{"issue":{"subject":"","project_id":79,"tracker_id":40,"status_id":1,"priority_id":2,"assigned_to_id":23,"start_date":"2016-09-12","description":"","custom_fields":[{"id":1,"name":"Subdivision","value":"EC"},{"id":4,"name":"Milepost","value":"23.2831"},{"id":17,"name":"Train ID","value":"128-12"},{"id":16,"name":"Locomotive ID","value":"4028"},{"id":130,"name":"Impact","value":""},{"id":150,"name":"Time of Event (Mountain Time)","value":"08:36:19"},{"id":151,"name":"Denver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31" customFormat="1" hidden="1" x14ac:dyDescent="0.25">
      <c r="A41" s="39" t="s">
        <v>464</v>
      </c>
      <c r="B41" s="7">
        <v>4038</v>
      </c>
      <c r="C41" s="24" t="s">
        <v>108</v>
      </c>
      <c r="D41" s="24" t="s">
        <v>227</v>
      </c>
      <c r="E41" s="15">
        <v>42625.300462962965</v>
      </c>
      <c r="F41" s="15">
        <v>42625.302303240744</v>
      </c>
      <c r="G41" s="7">
        <v>1</v>
      </c>
      <c r="H41" s="15" t="s">
        <v>350</v>
      </c>
      <c r="I41" s="15">
        <v>42625.327037037037</v>
      </c>
      <c r="J41" s="7">
        <v>2</v>
      </c>
      <c r="K41" s="121" t="str">
        <f t="shared" si="0"/>
        <v>4037/4038</v>
      </c>
      <c r="L41" s="24" t="str">
        <f>VLOOKUP(A41,'Trips&amp;Operators'!$C$1:$E$10000,3,FALSE)</f>
        <v>MALAVE</v>
      </c>
      <c r="M41" s="6">
        <f t="shared" si="1"/>
        <v>2.4733796293730848E-2</v>
      </c>
      <c r="N41" s="7">
        <f t="shared" si="20"/>
        <v>35.61666666297242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6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06:12:40-0600',mode:absolute,to:'2016-09-12 08:50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41" s="54" t="str">
        <f t="shared" si="6"/>
        <v>N</v>
      </c>
      <c r="X41" s="168">
        <f t="shared" si="21"/>
        <v>1</v>
      </c>
      <c r="Y41" s="69">
        <f t="shared" si="8"/>
        <v>4.7100000000000003E-2</v>
      </c>
      <c r="Z41" s="69">
        <f t="shared" si="9"/>
        <v>23.327999999999999</v>
      </c>
      <c r="AA41" s="69">
        <f t="shared" si="10"/>
        <v>23.280899999999999</v>
      </c>
      <c r="AB41" s="66" t="e">
        <f>VLOOKUP(A41,Enforcements!$C$7:$K$21,8,0)</f>
        <v>#N/A</v>
      </c>
      <c r="AC41" s="62" t="e">
        <f>VLOOKUP(A41,Enforcements!$C$7:$E$21,3,0)</f>
        <v>#N/A</v>
      </c>
      <c r="AD41" s="63" t="str">
        <f t="shared" si="11"/>
        <v>0129-12</v>
      </c>
      <c r="AE41" s="99" t="str">
        <f t="shared" si="12"/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41" s="96" t="str">
        <f t="shared" si="13"/>
        <v>"C:\Program Files (x86)\AstroGrep\AstroGrep.exe" /spath="%USERPROFILE%\AppData\Local\Temp\OnboardLogs" /stypes="app*4038*20160912*"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0" t="str">
        <f t="shared" si="17"/>
        <v>"%USERPROFILE%\Documents\GitHub\eaglep3\Utilities\RefineRTDCRunTimes.py" --tripid 129-12 --locoid 4038 --swversion DE.1.0.7.0 --startMP 204:471 --initTime 2016-09-12T07:12:40 --startdatetime 2016-09-12T07:15:19 --delay 1 --endMP 204:233280 --enddatetime 2016-09-12T07:50:56 --enforcementcount 2 &gt;&gt;C:\Users\stu\Documents\GitHub\eaglep3-reporting\EC\2016-09-12-refined-times.txt</v>
      </c>
      <c r="AI41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{"issue":{"subject":"","project_id":79,"tracker_id":40,"status_id":1,"priority_id":2,"assigned_to_id":23,"start_date":"2016-09-12","description":"","custom_fields":[{"id":1,"name":"Subdivision","value":"EC"},{"id":4,"name":"Milepost","value":"23.2809"},{"id":17,"name":"Train ID","value":"129-12"},{"id":16,"name":"Locomotive ID","value":"4038"},{"id":130,"name":"Impact","value":""},{"id":150,"name":"Time of Event (Mountain Time)","value":"07:50:56"},{"id":151,"name":"Denver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hidden="1" x14ac:dyDescent="0.25">
      <c r="A42" s="39" t="s">
        <v>465</v>
      </c>
      <c r="B42" s="7">
        <v>4037</v>
      </c>
      <c r="C42" s="24" t="s">
        <v>108</v>
      </c>
      <c r="D42" s="24" t="s">
        <v>445</v>
      </c>
      <c r="E42" s="15">
        <v>42625.33898148148</v>
      </c>
      <c r="F42" s="15">
        <v>42625.341238425928</v>
      </c>
      <c r="G42" s="7">
        <v>3</v>
      </c>
      <c r="H42" s="15" t="s">
        <v>347</v>
      </c>
      <c r="I42" s="15">
        <v>42625.37027777778</v>
      </c>
      <c r="J42" s="7">
        <v>2</v>
      </c>
      <c r="K42" s="121" t="str">
        <f t="shared" si="0"/>
        <v>4037/4038</v>
      </c>
      <c r="L42" s="24" t="str">
        <f>VLOOKUP(A42,'Trips&amp;Operators'!$C$1:$E$10000,3,FALSE)</f>
        <v>MALAVE</v>
      </c>
      <c r="M42" s="6">
        <f t="shared" si="1"/>
        <v>2.9039351851679385E-2</v>
      </c>
      <c r="N42" s="7">
        <f t="shared" si="20"/>
        <v>41.816666666418314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6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07:08:08-0600',mode:absolute,to:'2016-09-12 09:53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42" s="54" t="str">
        <f t="shared" si="6"/>
        <v>N</v>
      </c>
      <c r="X42" s="168">
        <f t="shared" si="21"/>
        <v>1</v>
      </c>
      <c r="Y42" s="69">
        <f t="shared" si="8"/>
        <v>23.296299999999999</v>
      </c>
      <c r="Z42" s="69">
        <f t="shared" si="9"/>
        <v>1.67E-2</v>
      </c>
      <c r="AA42" s="69">
        <f t="shared" si="10"/>
        <v>23.279599999999999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 t="shared" si="11"/>
        <v>0130-12</v>
      </c>
      <c r="AE42" s="99" t="str">
        <f t="shared" si="12"/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AF42" s="96" t="str">
        <f t="shared" si="13"/>
        <v>"C:\Program Files (x86)\AstroGrep\AstroGrep.exe" /spath="%USERPROFILE%\AppData\Local\Temp\OnboardLogs" /stypes="app*4037*20160912*"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0" t="str">
        <f t="shared" si="17"/>
        <v>"%USERPROFILE%\Documents\GitHub\eaglep3\Utilities\RefineRTDCRunTimes.py" --tripid 130-12 --locoid 4037 --swversion DE.1.0.7.0 --startMP 204:232963 --initTime 2016-09-12T08:08:08 --startdatetime 2016-09-12T08:11:23 --delay 3 --endMP 204:167 --enddatetime 2016-09-12T08:53:12 --enforcementcount 2 &gt;&gt;C:\Users\stu\Documents\GitHub\eaglep3-reporting\EC\2016-09-12-refined-times.txt</v>
      </c>
      <c r="AI42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{"issue":{"subject":"","project_id":79,"tracker_id":40,"status_id":1,"priority_id":2,"assigned_to_id":23,"start_date":"2016-09-12","description":"","custom_fields":[{"id":1,"name":"Subdivision","value":"EC"},{"id":4,"name":"Milepost","value":"23.2796"},{"id":17,"name":"Train ID","value":"130-12"},{"id":16,"name":"Locomotive ID","value":"4037"},{"id":130,"name":"Impact","value":""},{"id":150,"name":"Time of Event (Mountain Time)","value":"08:53:12"},{"id":151,"name":"Denver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hidden="1" x14ac:dyDescent="0.25">
      <c r="A43" s="39" t="s">
        <v>466</v>
      </c>
      <c r="B43" s="7">
        <v>4009</v>
      </c>
      <c r="C43" s="24" t="s">
        <v>108</v>
      </c>
      <c r="D43" s="24" t="s">
        <v>239</v>
      </c>
      <c r="E43" s="15">
        <v>42625.309247685182</v>
      </c>
      <c r="F43" s="15">
        <v>42625.312731481485</v>
      </c>
      <c r="G43" s="7">
        <v>1</v>
      </c>
      <c r="H43" s="15" t="s">
        <v>467</v>
      </c>
      <c r="I43" s="15">
        <v>42625.338460648149</v>
      </c>
      <c r="J43" s="7">
        <v>2</v>
      </c>
      <c r="K43" s="121" t="str">
        <f t="shared" si="0"/>
        <v>4009/4010</v>
      </c>
      <c r="L43" s="24" t="str">
        <f>VLOOKUP(A43,'Trips&amp;Operators'!$C$1:$E$10000,3,FALSE)</f>
        <v>ACKERMAN</v>
      </c>
      <c r="M43" s="6">
        <f t="shared" si="1"/>
        <v>2.5729166663950309E-2</v>
      </c>
      <c r="N43" s="7">
        <f t="shared" si="20"/>
        <v>37.049999996088445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6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06:25:19-0600',mode:absolute,to:'2016-09-12 09:07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43" s="54" t="str">
        <f t="shared" si="6"/>
        <v>N</v>
      </c>
      <c r="X43" s="168">
        <f t="shared" si="21"/>
        <v>1</v>
      </c>
      <c r="Y43" s="69">
        <f t="shared" si="8"/>
        <v>4.5699999999999998E-2</v>
      </c>
      <c r="Z43" s="69">
        <f t="shared" si="9"/>
        <v>23.3278</v>
      </c>
      <c r="AA43" s="69">
        <f t="shared" si="10"/>
        <v>23.2821</v>
      </c>
      <c r="AB43" s="66" t="e">
        <f>VLOOKUP(A43,Enforcements!$C$7:$K$21,8,0)</f>
        <v>#N/A</v>
      </c>
      <c r="AC43" s="62" t="e">
        <f>VLOOKUP(A43,Enforcements!$C$7:$E$21,3,0)</f>
        <v>#N/A</v>
      </c>
      <c r="AD43" s="63" t="str">
        <f t="shared" si="11"/>
        <v>0131-12</v>
      </c>
      <c r="AE43" s="99" t="str">
        <f t="shared" si="12"/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43" s="96" t="str">
        <f t="shared" si="13"/>
        <v>"C:\Program Files (x86)\AstroGrep\AstroGrep.exe" /spath="%USERPROFILE%\AppData\Local\Temp\OnboardLogs" /stypes="app*4009*20160912*"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0" t="str">
        <f t="shared" si="17"/>
        <v>"%USERPROFILE%\Documents\GitHub\eaglep3\Utilities\RefineRTDCRunTimes.py" --tripid 131-12 --locoid 4009 --swversion DE.1.0.7.0 --startMP 204:457 --initTime 2016-09-12T07:25:19 --startdatetime 2016-09-12T07:30:20 --delay 1 --endMP 204:233278 --enddatetime 2016-09-12T08:07:23 --enforcementcount 2 &gt;&gt;C:\Users\stu\Documents\GitHub\eaglep3-reporting\EC\2016-09-12-refined-times.txt</v>
      </c>
      <c r="AI43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{"issue":{"subject":"","project_id":79,"tracker_id":40,"status_id":1,"priority_id":2,"assigned_to_id":23,"start_date":"2016-09-12","description":"","custom_fields":[{"id":1,"name":"Subdivision","value":"EC"},{"id":4,"name":"Milepost","value":"23.2821"},{"id":17,"name":"Train ID","value":"131-12"},{"id":16,"name":"Locomotive ID","value":"4009"},{"id":130,"name":"Impact","value":""},{"id":150,"name":"Time of Event (Mountain Time)","value":"08:07:23"},{"id":151,"name":"Denver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hidden="1" x14ac:dyDescent="0.25">
      <c r="A44" s="39" t="s">
        <v>468</v>
      </c>
      <c r="B44" s="7">
        <v>4010</v>
      </c>
      <c r="C44" s="24" t="s">
        <v>108</v>
      </c>
      <c r="D44" s="24" t="s">
        <v>330</v>
      </c>
      <c r="E44" s="15">
        <v>42625.345509259256</v>
      </c>
      <c r="F44" s="15">
        <v>42625.351631944446</v>
      </c>
      <c r="G44" s="7">
        <v>1</v>
      </c>
      <c r="H44" s="15" t="s">
        <v>235</v>
      </c>
      <c r="I44" s="15">
        <v>42625.379374999997</v>
      </c>
      <c r="J44" s="7">
        <v>2</v>
      </c>
      <c r="K44" s="121" t="str">
        <f t="shared" si="0"/>
        <v>4009/4010</v>
      </c>
      <c r="L44" s="24" t="str">
        <f>VLOOKUP(A44,'Trips&amp;Operators'!$C$1:$E$10000,3,FALSE)</f>
        <v>ACKERMAN</v>
      </c>
      <c r="M44" s="6">
        <f t="shared" si="1"/>
        <v>2.774305555067258E-2</v>
      </c>
      <c r="N44" s="7">
        <f t="shared" si="20"/>
        <v>39.949999992968515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6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07:17:32-0600',mode:absolute,to:'2016-09-12 10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44" s="54" t="str">
        <f t="shared" si="6"/>
        <v>N</v>
      </c>
      <c r="X44" s="168">
        <f t="shared" si="21"/>
        <v>1</v>
      </c>
      <c r="Y44" s="69">
        <f t="shared" si="8"/>
        <v>23.2974</v>
      </c>
      <c r="Z44" s="69">
        <f t="shared" si="9"/>
        <v>1.4999999999999999E-2</v>
      </c>
      <c r="AA44" s="69">
        <f t="shared" si="10"/>
        <v>23.282399999999999</v>
      </c>
      <c r="AB44" s="66" t="e">
        <f>VLOOKUP(A44,Enforcements!$C$7:$K$21,8,0)</f>
        <v>#N/A</v>
      </c>
      <c r="AC44" s="62" t="e">
        <f>VLOOKUP(A44,Enforcements!$C$7:$E$21,3,0)</f>
        <v>#N/A</v>
      </c>
      <c r="AD44" s="63" t="str">
        <f t="shared" si="11"/>
        <v>0132-12</v>
      </c>
      <c r="AE44" s="99" t="str">
        <f t="shared" si="12"/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44" s="96" t="str">
        <f t="shared" si="13"/>
        <v>"C:\Program Files (x86)\AstroGrep\AstroGrep.exe" /spath="%USERPROFILE%\AppData\Local\Temp\OnboardLogs" /stypes="app*4010*20160912*" /stext=" 15:.+((SYSTEM_STATE.+slice.+state.+changed )|(ment ac)|(system.+state.+changed )|(\|lc)|(penalty)|(\[timeout)|(PRM\|1\|D)|(kpr)|(kdp))" /e /r /s</v>
      </c>
      <c r="AG44" s="1" t="str">
        <f t="shared" si="14"/>
        <v>EC</v>
      </c>
      <c r="AH44" s="100" t="str">
        <f t="shared" si="17"/>
        <v>"%USERPROFILE%\Documents\GitHub\eaglep3\Utilities\RefineRTDCRunTimes.py" --tripid 132-12 --locoid 4010 --swversion DE.1.0.7.0 --startMP 204:232974 --initTime 2016-09-12T08:17:32 --startdatetime 2016-09-12T08:26:21 --delay 1 --endMP 204:150 --enddatetime 2016-09-12T09:06:18 --enforcementcount 2 &gt;&gt;C:\Users\stu\Documents\GitHub\eaglep3-reporting\EC\2016-09-12-refined-times.txt</v>
      </c>
      <c r="AI44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{"issue":{"subject":"","project_id":79,"tracker_id":40,"status_id":1,"priority_id":2,"assigned_to_id":23,"start_date":"2016-09-12","description":"","custom_fields":[{"id":1,"name":"Subdivision","value":"EC"},{"id":4,"name":"Milepost","value":"23.2824"},{"id":17,"name":"Train ID","value":"132-12"},{"id":16,"name":"Locomotive ID","value":"4010"},{"id":130,"name":"Impact","value":""},{"id":150,"name":"Time of Event (Mountain Time)","value":"09:06:18"},{"id":151,"name":"Denver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hidden="1" x14ac:dyDescent="0.25">
      <c r="A45" s="39" t="s">
        <v>389</v>
      </c>
      <c r="B45" s="7">
        <v>4014</v>
      </c>
      <c r="C45" s="24" t="s">
        <v>108</v>
      </c>
      <c r="D45" s="24" t="s">
        <v>246</v>
      </c>
      <c r="E45" s="15">
        <v>42625.322650462964</v>
      </c>
      <c r="F45" s="15">
        <v>42625.324386574073</v>
      </c>
      <c r="G45" s="7">
        <v>1</v>
      </c>
      <c r="H45" s="15" t="s">
        <v>332</v>
      </c>
      <c r="I45" s="15">
        <v>42625.350740740738</v>
      </c>
      <c r="J45" s="7">
        <v>2</v>
      </c>
      <c r="K45" s="121" t="str">
        <f t="shared" si="0"/>
        <v>4013/4014</v>
      </c>
      <c r="L45" s="24" t="str">
        <f>VLOOKUP(A45,'Trips&amp;Operators'!$C$1:$E$10000,3,FALSE)</f>
        <v>RICHARDSON</v>
      </c>
      <c r="M45" s="6">
        <f t="shared" si="1"/>
        <v>2.6354166664532386E-2</v>
      </c>
      <c r="N45" s="7">
        <f t="shared" si="20"/>
        <v>37.949999996926636</v>
      </c>
      <c r="O45" s="7"/>
      <c r="P45" s="7"/>
      <c r="Q45" s="25"/>
      <c r="R45" s="25"/>
      <c r="S45" s="37">
        <f t="shared" si="3"/>
        <v>1</v>
      </c>
      <c r="T45" s="52" t="str">
        <f t="shared" si="4"/>
        <v>NorthBound</v>
      </c>
      <c r="U45" s="16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06:44:37-0600',mode:absolute,to:'2016-09-12 09:25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45" s="54" t="str">
        <f t="shared" si="6"/>
        <v>N</v>
      </c>
      <c r="X45" s="168">
        <f t="shared" si="21"/>
        <v>1</v>
      </c>
      <c r="Y45" s="69">
        <f t="shared" si="8"/>
        <v>4.5100000000000001E-2</v>
      </c>
      <c r="Z45" s="69">
        <f t="shared" si="9"/>
        <v>23.305099999999999</v>
      </c>
      <c r="AA45" s="69">
        <f t="shared" si="10"/>
        <v>23.259999999999998</v>
      </c>
      <c r="AB45" s="66" t="str">
        <f>VLOOKUP(A45,Enforcements!$C$7:$K$21,8,0)</f>
        <v>Bulletin (2)</v>
      </c>
      <c r="AC45" s="62" t="str">
        <f>VLOOKUP(A45,Enforcements!$C$7:$E$21,3,0)</f>
        <v>GRADE CROSSING</v>
      </c>
      <c r="AD45" s="63" t="str">
        <f t="shared" si="11"/>
        <v>0133-12</v>
      </c>
      <c r="AE45" s="99" t="str">
        <f t="shared" si="12"/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45" s="96" t="str">
        <f t="shared" si="13"/>
        <v>"C:\Program Files (x86)\AstroGrep\AstroGrep.exe" /spath="%USERPROFILE%\AppData\Local\Temp\OnboardLogs" /stypes="app*4014*20160912*" /stext=" 14:.+((SYSTEM_STATE.+slice.+state.+changed )|(ment ac)|(system.+state.+changed )|(\|lc)|(penalty)|(\[timeout)|(PRM\|1\|D)|(kpr)|(kdp))" /e /r /s</v>
      </c>
      <c r="AG45" s="1" t="str">
        <f t="shared" si="14"/>
        <v>EC</v>
      </c>
      <c r="AH45" s="100" t="str">
        <f t="shared" si="17"/>
        <v>"%USERPROFILE%\Documents\GitHub\eaglep3\Utilities\RefineRTDCRunTimes.py" --tripid 133-12 --locoid 4014 --swversion DE.1.0.7.0 --startMP 204:451 --initTime 2016-09-12T07:44:37 --startdatetime 2016-09-12T07:47:07 --delay 1 --endMP 204:233051 --enddatetime 2016-09-12T08:25:04 --enforcementcount 2 &gt;&gt;C:\Users\stu\Documents\GitHub\eaglep3-reporting\EC\2016-09-12-refined-times.txt</v>
      </c>
      <c r="AI45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{"issue":{"subject":"","project_id":79,"tracker_id":40,"status_id":1,"priority_id":2,"assigned_to_id":23,"start_date":"2016-09-12","description":"","custom_fields":[{"id":1,"name":"Subdivision","value":"EC"},{"id":4,"name":"Milepost","value":"23.26"},{"id":17,"name":"Train ID","value":"133-12"},{"id":16,"name":"Locomotive ID","value":"4014"},{"id":130,"name":"Impact","value":""},{"id":150,"name":"Time of Event (Mountain Time)","value":"08:25:04"},{"id":151,"name":"Denver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hidden="1" x14ac:dyDescent="0.25">
      <c r="A46" s="39" t="s">
        <v>469</v>
      </c>
      <c r="B46" s="7">
        <v>4013</v>
      </c>
      <c r="C46" s="24" t="s">
        <v>108</v>
      </c>
      <c r="D46" s="24" t="s">
        <v>470</v>
      </c>
      <c r="E46" s="15">
        <v>42625.357893518521</v>
      </c>
      <c r="F46" s="15">
        <v>42625.396134259259</v>
      </c>
      <c r="G46" s="7">
        <v>2</v>
      </c>
      <c r="H46" s="15" t="s">
        <v>247</v>
      </c>
      <c r="I46" s="15">
        <v>42625.429629629631</v>
      </c>
      <c r="J46" s="7">
        <v>2</v>
      </c>
      <c r="K46" s="121" t="str">
        <f t="shared" si="0"/>
        <v>4013/4014</v>
      </c>
      <c r="L46" s="24" t="str">
        <f>VLOOKUP(A46,'Trips&amp;Operators'!$C$1:$E$10000,3,FALSE)</f>
        <v>RICHARDSON</v>
      </c>
      <c r="M46" s="6">
        <f t="shared" si="1"/>
        <v>3.3495370371383615E-2</v>
      </c>
      <c r="N46" s="7">
        <f t="shared" si="20"/>
        <v>48.233333334792405</v>
      </c>
      <c r="O46" s="7"/>
      <c r="P46" s="7"/>
      <c r="Q46" s="25"/>
      <c r="R46" s="25"/>
      <c r="S46" s="37">
        <f t="shared" si="3"/>
        <v>1</v>
      </c>
      <c r="T46" s="52" t="str">
        <f t="shared" si="4"/>
        <v>Southbound</v>
      </c>
      <c r="U46" s="16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07:35:22-0600',mode:absolute,to:'2016-09-12 11:18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46" s="54" t="str">
        <f t="shared" si="6"/>
        <v>N</v>
      </c>
      <c r="X46" s="168">
        <f t="shared" si="21"/>
        <v>1</v>
      </c>
      <c r="Y46" s="69">
        <f t="shared" si="8"/>
        <v>23.271899999999999</v>
      </c>
      <c r="Z46" s="69">
        <f t="shared" si="9"/>
        <v>1.5599999999999999E-2</v>
      </c>
      <c r="AA46" s="69">
        <f t="shared" si="10"/>
        <v>23.2563</v>
      </c>
      <c r="AB46" s="66" t="e">
        <f>VLOOKUP(A46,Enforcements!$C$7:$K$21,8,0)</f>
        <v>#N/A</v>
      </c>
      <c r="AC46" s="62" t="e">
        <f>VLOOKUP(A46,Enforcements!$C$7:$E$21,3,0)</f>
        <v>#N/A</v>
      </c>
      <c r="AD46" s="63" t="str">
        <f t="shared" si="11"/>
        <v>0134-12</v>
      </c>
      <c r="AE46" s="99" t="str">
        <f t="shared" si="12"/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46" s="96" t="str">
        <f t="shared" si="13"/>
        <v>"C:\Program Files (x86)\AstroGrep\AstroGrep.exe" /spath="%USERPROFILE%\AppData\Local\Temp\OnboardLogs" /stypes="app*4013*20160912*" /stext=" 16:.+((SYSTEM_STATE.+slice.+state.+changed )|(ment ac)|(system.+state.+changed )|(\|lc)|(penalty)|(\[timeout)|(PRM\|1\|D)|(kpr)|(kdp))" /e /r /s</v>
      </c>
      <c r="AG46" s="1" t="str">
        <f t="shared" si="14"/>
        <v>EC</v>
      </c>
      <c r="AH46" s="100" t="str">
        <f t="shared" si="17"/>
        <v>"%USERPROFILE%\Documents\GitHub\eaglep3\Utilities\RefineRTDCRunTimes.py" --tripid 134-12 --locoid 4013 --swversion DE.1.0.7.0 --startMP 204:232719 --initTime 2016-09-12T08:35:22 --startdatetime 2016-09-12T09:30:26 --delay 2 --endMP 204:156 --enddatetime 2016-09-12T10:18:40 --enforcementcount 2 &gt;&gt;C:\Users\stu\Documents\GitHub\eaglep3-reporting\EC\2016-09-12-refined-times.txt</v>
      </c>
      <c r="AI46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{"issue":{"subject":"","project_id":79,"tracker_id":40,"status_id":1,"priority_id":2,"assigned_to_id":23,"start_date":"2016-09-12","description":"","custom_fields":[{"id":1,"name":"Subdivision","value":"EC"},{"id":4,"name":"Milepost","value":"23.2563"},{"id":17,"name":"Train ID","value":"134-12"},{"id":16,"name":"Locomotive ID","value":"4013"},{"id":130,"name":"Impact","value":""},{"id":150,"name":"Time of Event (Mountain Time)","value":"10:18:40"},{"id":151,"name":"Denver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hidden="1" x14ac:dyDescent="0.25">
      <c r="A47" s="39" t="s">
        <v>471</v>
      </c>
      <c r="B47" s="7">
        <v>4002</v>
      </c>
      <c r="C47" s="24" t="s">
        <v>108</v>
      </c>
      <c r="D47" s="24" t="s">
        <v>233</v>
      </c>
      <c r="E47" s="15">
        <v>42625.329583333332</v>
      </c>
      <c r="F47" s="15">
        <v>42625.333819444444</v>
      </c>
      <c r="G47" s="7">
        <v>1</v>
      </c>
      <c r="H47" s="15" t="s">
        <v>472</v>
      </c>
      <c r="I47" s="15">
        <v>42625.359861111108</v>
      </c>
      <c r="J47" s="7">
        <v>2</v>
      </c>
      <c r="K47" s="121" t="str">
        <f t="shared" si="0"/>
        <v>4001/4002</v>
      </c>
      <c r="L47" s="24" t="str">
        <f>VLOOKUP(A47,'Trips&amp;Operators'!$C$1:$E$10000,3,FALSE)</f>
        <v>SPECTOR</v>
      </c>
      <c r="M47" s="6">
        <f t="shared" si="1"/>
        <v>2.6041666664241347E-2</v>
      </c>
      <c r="N47" s="7">
        <f t="shared" si="20"/>
        <v>37.49999999650754</v>
      </c>
      <c r="O47" s="7"/>
      <c r="P47" s="7"/>
      <c r="Q47" s="25"/>
      <c r="R47" s="25"/>
      <c r="S47" s="37">
        <f t="shared" si="3"/>
        <v>1</v>
      </c>
      <c r="T47" s="52" t="str">
        <f t="shared" si="4"/>
        <v>NorthBound</v>
      </c>
      <c r="U47" s="16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06:54:36-0600',mode:absolute,to:'2016-09-12 09:38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47" s="54" t="str">
        <f t="shared" si="6"/>
        <v>N</v>
      </c>
      <c r="X47" s="168">
        <f t="shared" si="21"/>
        <v>1</v>
      </c>
      <c r="Y47" s="69">
        <f t="shared" si="8"/>
        <v>4.53E-2</v>
      </c>
      <c r="Z47" s="69">
        <f t="shared" si="9"/>
        <v>23.330400000000001</v>
      </c>
      <c r="AA47" s="69">
        <f t="shared" si="10"/>
        <v>23.2851</v>
      </c>
      <c r="AB47" s="66" t="e">
        <f>VLOOKUP(A47,Enforcements!$C$7:$K$21,8,0)</f>
        <v>#N/A</v>
      </c>
      <c r="AC47" s="62" t="e">
        <f>VLOOKUP(A47,Enforcements!$C$7:$E$21,3,0)</f>
        <v>#N/A</v>
      </c>
      <c r="AD47" s="63" t="str">
        <f t="shared" si="11"/>
        <v>0135-12</v>
      </c>
      <c r="AE47" s="99" t="str">
        <f t="shared" si="12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47" s="96" t="str">
        <f t="shared" si="13"/>
        <v>"C:\Program Files (x86)\AstroGrep\AstroGrep.exe" /spath="%USERPROFILE%\AppData\Local\Temp\OnboardLogs" /stypes="app*4002*20160912*" /stext=" 14:.+((SYSTEM_STATE.+slice.+state.+changed )|(ment ac)|(system.+state.+changed )|(\|lc)|(penalty)|(\[timeout)|(PRM\|1\|D)|(kpr)|(kdp))" /e /r /s</v>
      </c>
      <c r="AG47" s="1" t="str">
        <f t="shared" si="14"/>
        <v>EC</v>
      </c>
      <c r="AH47" s="100" t="str">
        <f t="shared" si="17"/>
        <v>"%USERPROFILE%\Documents\GitHub\eaglep3\Utilities\RefineRTDCRunTimes.py" --tripid 135-12 --locoid 4002 --swversion DE.1.0.7.0 --startMP 204:453 --initTime 2016-09-12T07:54:36 --startdatetime 2016-09-12T08:00:42 --delay 1 --endMP 204:233304 --enddatetime 2016-09-12T08:38:12 --enforcementcount 2 &gt;&gt;C:\Users\stu\Documents\GitHub\eaglep3-reporting\EC\2016-09-12-refined-times.txt</v>
      </c>
      <c r="AI47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{"issue":{"subject":"","project_id":79,"tracker_id":40,"status_id":1,"priority_id":2,"assigned_to_id":23,"start_date":"2016-09-12","description":"","custom_fields":[{"id":1,"name":"Subdivision","value":"EC"},{"id":4,"name":"Milepost","value":"23.2851"},{"id":17,"name":"Train ID","value":"135-12"},{"id":16,"name":"Locomotive ID","value":"4002"},{"id":130,"name":"Impact","value":""},{"id":150,"name":"Time of Event (Mountain Time)","value":"08:38:12"},{"id":151,"name":"Denver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hidden="1" x14ac:dyDescent="0.25">
      <c r="A48" s="39" t="s">
        <v>473</v>
      </c>
      <c r="B48" s="7">
        <v>4001</v>
      </c>
      <c r="C48" s="24" t="s">
        <v>108</v>
      </c>
      <c r="D48" s="24" t="s">
        <v>262</v>
      </c>
      <c r="E48" s="15">
        <v>42625.369768518518</v>
      </c>
      <c r="F48" s="15">
        <v>42625.372430555559</v>
      </c>
      <c r="G48" s="7">
        <v>1</v>
      </c>
      <c r="H48" s="15" t="s">
        <v>426</v>
      </c>
      <c r="I48" s="15">
        <v>42625.399039351854</v>
      </c>
      <c r="J48" s="7">
        <v>2</v>
      </c>
      <c r="K48" s="121" t="str">
        <f t="shared" si="0"/>
        <v>4001/4002</v>
      </c>
      <c r="L48" s="24" t="str">
        <f>VLOOKUP(A48,'Trips&amp;Operators'!$C$1:$E$10000,3,FALSE)</f>
        <v>SPECTOR</v>
      </c>
      <c r="M48" s="6">
        <f t="shared" si="1"/>
        <v>2.6608796295477077E-2</v>
      </c>
      <c r="N48" s="7">
        <f t="shared" si="20"/>
        <v>38.316666665486991</v>
      </c>
      <c r="O48" s="7"/>
      <c r="P48" s="7"/>
      <c r="Q48" s="25"/>
      <c r="R48" s="25"/>
      <c r="S48" s="37">
        <f t="shared" si="3"/>
        <v>1</v>
      </c>
      <c r="T48" s="52" t="str">
        <f t="shared" si="4"/>
        <v>Southbound</v>
      </c>
      <c r="U48" s="16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07:52:28-0600',mode:absolute,to:'2016-09-12 10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48" s="54" t="str">
        <f t="shared" si="6"/>
        <v>N</v>
      </c>
      <c r="X48" s="168">
        <f t="shared" si="21"/>
        <v>1</v>
      </c>
      <c r="Y48" s="69">
        <f t="shared" si="8"/>
        <v>23.299299999999999</v>
      </c>
      <c r="Z48" s="69">
        <f t="shared" si="9"/>
        <v>1.61E-2</v>
      </c>
      <c r="AA48" s="69">
        <f t="shared" si="10"/>
        <v>23.283199999999997</v>
      </c>
      <c r="AB48" s="66" t="e">
        <f>VLOOKUP(A48,Enforcements!$C$7:$K$21,8,0)</f>
        <v>#N/A</v>
      </c>
      <c r="AC48" s="62" t="e">
        <f>VLOOKUP(A48,Enforcements!$C$7:$E$21,3,0)</f>
        <v>#N/A</v>
      </c>
      <c r="AD48" s="63" t="str">
        <f t="shared" si="11"/>
        <v>0136-12</v>
      </c>
      <c r="AE48" s="99" t="str">
        <f t="shared" si="12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48" s="96" t="str">
        <f t="shared" si="13"/>
        <v>"C:\Program Files (x86)\AstroGrep\AstroGrep.exe" /spath="%USERPROFILE%\AppData\Local\Temp\OnboardLogs" /stypes="app*4001*20160912*" /stext=" 15:.+((SYSTEM_STATE.+slice.+state.+changed )|(ment ac)|(system.+state.+changed )|(\|lc)|(penalty)|(\[timeout)|(PRM\|1\|D)|(kpr)|(kdp))" /e /r /s</v>
      </c>
      <c r="AG48" s="1" t="str">
        <f t="shared" si="14"/>
        <v>EC</v>
      </c>
      <c r="AH48" s="100" t="str">
        <f t="shared" si="17"/>
        <v>"%USERPROFILE%\Documents\GitHub\eaglep3\Utilities\RefineRTDCRunTimes.py" --tripid 136-12 --locoid 4001 --swversion DE.1.0.7.0 --startMP 204:232993 --initTime 2016-09-12T08:52:28 --startdatetime 2016-09-12T08:56:18 --delay 1 --endMP 204:161 --enddatetime 2016-09-12T09:34:37 --enforcementcount 2 &gt;&gt;C:\Users\stu\Documents\GitHub\eaglep3-reporting\EC\2016-09-12-refined-times.txt</v>
      </c>
      <c r="AI48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{"issue":{"subject":"","project_id":79,"tracker_id":40,"status_id":1,"priority_id":2,"assigned_to_id":23,"start_date":"2016-09-12","description":"","custom_fields":[{"id":1,"name":"Subdivision","value":"EC"},{"id":4,"name":"Milepost","value":"23.2832"},{"id":17,"name":"Train ID","value":"136-12"},{"id":16,"name":"Locomotive ID","value":"4001"},{"id":130,"name":"Impact","value":""},{"id":150,"name":"Time of Event (Mountain Time)","value":"09:34:37"},{"id":151,"name":"Denver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hidden="1" x14ac:dyDescent="0.25">
      <c r="A49" s="39" t="s">
        <v>474</v>
      </c>
      <c r="B49" s="7">
        <v>4042</v>
      </c>
      <c r="C49" s="24" t="s">
        <v>108</v>
      </c>
      <c r="D49" s="24" t="s">
        <v>275</v>
      </c>
      <c r="E49" s="15">
        <v>42625.33834490741</v>
      </c>
      <c r="F49" s="15">
        <v>42625.344085648147</v>
      </c>
      <c r="G49" s="7">
        <v>1</v>
      </c>
      <c r="H49" s="15" t="s">
        <v>475</v>
      </c>
      <c r="I49" s="15">
        <v>42625.368067129632</v>
      </c>
      <c r="J49" s="7">
        <v>2</v>
      </c>
      <c r="K49" s="121" t="str">
        <f t="shared" si="0"/>
        <v>4041/4042</v>
      </c>
      <c r="L49" s="24" t="str">
        <f>VLOOKUP(A49,'Trips&amp;Operators'!$C$1:$E$10000,3,FALSE)</f>
        <v>YORK</v>
      </c>
      <c r="M49" s="6">
        <f t="shared" si="1"/>
        <v>2.3981481484952383E-2</v>
      </c>
      <c r="N49" s="7">
        <f t="shared" si="20"/>
        <v>34.533333338331431</v>
      </c>
      <c r="O49" s="7"/>
      <c r="P49" s="7"/>
      <c r="Q49" s="25"/>
      <c r="R49" s="25"/>
      <c r="S49" s="37">
        <f t="shared" si="3"/>
        <v>1</v>
      </c>
      <c r="T49" s="52" t="str">
        <f t="shared" si="4"/>
        <v>NorthBound</v>
      </c>
      <c r="U49" s="16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07:07:13-0600',mode:absolute,to:'2016-09-12 09:50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49" s="54" t="str">
        <f t="shared" si="6"/>
        <v>N</v>
      </c>
      <c r="X49" s="168">
        <f t="shared" si="21"/>
        <v>1</v>
      </c>
      <c r="Y49" s="69">
        <f t="shared" si="8"/>
        <v>4.5999999999999999E-2</v>
      </c>
      <c r="Z49" s="69">
        <f t="shared" si="9"/>
        <v>23.330300000000001</v>
      </c>
      <c r="AA49" s="69">
        <f t="shared" si="10"/>
        <v>23.284300000000002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 t="shared" si="11"/>
        <v>0137-12</v>
      </c>
      <c r="AE49" s="99" t="str">
        <f t="shared" si="12"/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49" s="96" t="str">
        <f t="shared" si="13"/>
        <v>"C:\Program Files (x86)\AstroGrep\AstroGrep.exe" /spath="%USERPROFILE%\AppData\Local\Temp\OnboardLogs" /stypes="app*4042*20160912*" /stext=" 14:.+((SYSTEM_STATE.+slice.+state.+changed )|(ment ac)|(system.+state.+changed )|(\|lc)|(penalty)|(\[timeout)|(PRM\|1\|D)|(kpr)|(kdp))" /e /r /s</v>
      </c>
      <c r="AG49" s="1" t="str">
        <f t="shared" si="14"/>
        <v>EC</v>
      </c>
      <c r="AH49" s="100" t="str">
        <f t="shared" si="17"/>
        <v>"%USERPROFILE%\Documents\GitHub\eaglep3\Utilities\RefineRTDCRunTimes.py" --tripid 137-12 --locoid 4042 --swversion DE.1.0.7.0 --startMP 204:460 --initTime 2016-09-12T08:07:13 --startdatetime 2016-09-12T08:15:29 --delay 1 --endMP 204:233303 --enddatetime 2016-09-12T08:50:01 --enforcementcount 2 &gt;&gt;C:\Users\stu\Documents\GitHub\eaglep3-reporting\EC\2016-09-12-refined-times.txt</v>
      </c>
      <c r="AI49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{"issue":{"subject":"","project_id":79,"tracker_id":40,"status_id":1,"priority_id":2,"assigned_to_id":23,"start_date":"2016-09-12","description":"","custom_fields":[{"id":1,"name":"Subdivision","value":"EC"},{"id":4,"name":"Milepost","value":"23.2843"},{"id":17,"name":"Train ID","value":"137-12"},{"id":16,"name":"Locomotive ID","value":"4042"},{"id":130,"name":"Impact","value":""},{"id":150,"name":"Time of Event (Mountain Time)","value":"08:50:01"},{"id":151,"name":"Denver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hidden="1" x14ac:dyDescent="0.25">
      <c r="A50" s="39" t="s">
        <v>476</v>
      </c>
      <c r="B50" s="7">
        <v>4041</v>
      </c>
      <c r="C50" s="24" t="s">
        <v>108</v>
      </c>
      <c r="D50" s="24" t="s">
        <v>477</v>
      </c>
      <c r="E50" s="15">
        <v>42625.369756944441</v>
      </c>
      <c r="F50" s="15">
        <v>42625.383310185185</v>
      </c>
      <c r="G50" s="7">
        <v>0</v>
      </c>
      <c r="H50" s="15" t="s">
        <v>131</v>
      </c>
      <c r="I50" s="15">
        <v>42625.410555555558</v>
      </c>
      <c r="J50" s="7">
        <v>2</v>
      </c>
      <c r="K50" s="121" t="str">
        <f t="shared" si="0"/>
        <v>4041/4042</v>
      </c>
      <c r="L50" s="24" t="str">
        <f>VLOOKUP(A50,'Trips&amp;Operators'!$C$1:$E$10000,3,FALSE)</f>
        <v>YORK</v>
      </c>
      <c r="M50" s="6">
        <f t="shared" si="1"/>
        <v>2.7245370372838806E-2</v>
      </c>
      <c r="N50" s="7">
        <f t="shared" si="20"/>
        <v>39.233333336887881</v>
      </c>
      <c r="O50" s="7"/>
      <c r="P50" s="7"/>
      <c r="Q50" s="25"/>
      <c r="R50" s="25"/>
      <c r="S50" s="37">
        <f t="shared" si="3"/>
        <v>1</v>
      </c>
      <c r="T50" s="52" t="str">
        <f t="shared" si="4"/>
        <v>Southbound</v>
      </c>
      <c r="U50" s="16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07:52:27-0600',mode:absolute,to:'2016-09-12 10:51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50" s="54" t="str">
        <f t="shared" si="6"/>
        <v>N</v>
      </c>
      <c r="X50" s="168">
        <f t="shared" si="21"/>
        <v>1</v>
      </c>
      <c r="Y50" s="69">
        <f t="shared" si="8"/>
        <v>23.2986</v>
      </c>
      <c r="Z50" s="69">
        <f t="shared" si="9"/>
        <v>1.54E-2</v>
      </c>
      <c r="AA50" s="69">
        <f t="shared" si="10"/>
        <v>23.283200000000001</v>
      </c>
      <c r="AB50" s="66" t="e">
        <f>VLOOKUP(A50,Enforcements!$C$7:$K$21,8,0)</f>
        <v>#N/A</v>
      </c>
      <c r="AC50" s="62" t="e">
        <f>VLOOKUP(A50,Enforcements!$C$7:$E$21,3,0)</f>
        <v>#N/A</v>
      </c>
      <c r="AD50" s="63" t="str">
        <f t="shared" si="11"/>
        <v>0138-12</v>
      </c>
      <c r="AE50" s="99" t="str">
        <f t="shared" si="12"/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50" s="96" t="str">
        <f t="shared" si="13"/>
        <v>"C:\Program Files (x86)\AstroGrep\AstroGrep.exe" /spath="%USERPROFILE%\AppData\Local\Temp\OnboardLogs" /stypes="app*4041*20160912*" /stext=" 15:.+((SYSTEM_STATE.+slice.+state.+changed )|(ment ac)|(system.+state.+changed )|(\|lc)|(penalty)|(\[timeout)|(PRM\|1\|D)|(kpr)|(kdp))" /e /r /s</v>
      </c>
      <c r="AG50" s="1" t="str">
        <f t="shared" si="14"/>
        <v>EC</v>
      </c>
      <c r="AH50" s="100" t="str">
        <f t="shared" si="17"/>
        <v>"%USERPROFILE%\Documents\GitHub\eaglep3\Utilities\RefineRTDCRunTimes.py" --tripid 138-12 --locoid 4041 --swversion DE.1.0.7.0 --startMP 204:232986 --initTime 2016-09-12T08:52:27 --startdatetime 2016-09-12T09:11:58 --delay 0 --endMP 204:154 --enddatetime 2016-09-12T09:51:12 --enforcementcount 2 &gt;&gt;C:\Users\stu\Documents\GitHub\eaglep3-reporting\EC\2016-09-12-refined-times.txt</v>
      </c>
      <c r="AI50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{"issue":{"subject":"","project_id":79,"tracker_id":40,"status_id":1,"priority_id":2,"assigned_to_id":23,"start_date":"2016-09-12","description":"","custom_fields":[{"id":1,"name":"Subdivision","value":"EC"},{"id":4,"name":"Milepost","value":"23.2832"},{"id":17,"name":"Train ID","value":"138-12"},{"id":16,"name":"Locomotive ID","value":"4041"},{"id":130,"name":"Impact","value":""},{"id":150,"name":"Time of Event (Mountain Time)","value":"09:51:12"},{"id":151,"name":"Denver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hidden="1" x14ac:dyDescent="0.25">
      <c r="A51" s="39" t="s">
        <v>478</v>
      </c>
      <c r="B51" s="7">
        <v>4031</v>
      </c>
      <c r="C51" s="24" t="s">
        <v>108</v>
      </c>
      <c r="D51" s="24" t="s">
        <v>248</v>
      </c>
      <c r="E51" s="15">
        <v>42625.350034722222</v>
      </c>
      <c r="F51" s="15">
        <v>42625.354328703703</v>
      </c>
      <c r="G51" s="7">
        <v>1</v>
      </c>
      <c r="H51" s="15" t="s">
        <v>266</v>
      </c>
      <c r="I51" s="15">
        <v>42625.379976851851</v>
      </c>
      <c r="J51" s="7">
        <v>2</v>
      </c>
      <c r="K51" s="121" t="str">
        <f t="shared" si="0"/>
        <v>4031/4032</v>
      </c>
      <c r="L51" s="24" t="str">
        <f>VLOOKUP(A51,'Trips&amp;Operators'!$C$1:$E$10000,3,FALSE)</f>
        <v>STARKS</v>
      </c>
      <c r="M51" s="6">
        <f t="shared" si="1"/>
        <v>2.5648148148320615E-2</v>
      </c>
      <c r="N51" s="7">
        <f t="shared" si="20"/>
        <v>36.933333333581686</v>
      </c>
      <c r="O51" s="7"/>
      <c r="P51" s="7"/>
      <c r="Q51" s="25"/>
      <c r="R51" s="25"/>
      <c r="S51" s="37">
        <f t="shared" si="3"/>
        <v>1</v>
      </c>
      <c r="T51" s="52" t="str">
        <f t="shared" si="4"/>
        <v>NorthBound</v>
      </c>
      <c r="U51" s="16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07:24:03-0600',mode:absolute,to:'2016-09-12 10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51" s="54" t="str">
        <f t="shared" si="6"/>
        <v>N</v>
      </c>
      <c r="X51" s="168">
        <f t="shared" si="21"/>
        <v>1</v>
      </c>
      <c r="Y51" s="69">
        <f t="shared" si="8"/>
        <v>4.5499999999999999E-2</v>
      </c>
      <c r="Z51" s="69">
        <f t="shared" si="9"/>
        <v>23.332100000000001</v>
      </c>
      <c r="AA51" s="69">
        <f t="shared" si="10"/>
        <v>23.2866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 t="shared" si="11"/>
        <v>0139-12</v>
      </c>
      <c r="AE51" s="99" t="str">
        <f t="shared" si="12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51" s="96" t="str">
        <f t="shared" si="13"/>
        <v>"C:\Program Files (x86)\AstroGrep\AstroGrep.exe" /spath="%USERPROFILE%\AppData\Local\Temp\OnboardLogs" /stypes="app*4031*20160912*" /stext=" 15:.+((SYSTEM_STATE.+slice.+state.+changed )|(ment ac)|(system.+state.+changed )|(\|lc)|(penalty)|(\[timeout)|(PRM\|1\|D)|(kpr)|(kdp))" /e /r /s</v>
      </c>
      <c r="AG51" s="1" t="str">
        <f t="shared" si="14"/>
        <v>EC</v>
      </c>
      <c r="AH51" s="100" t="str">
        <f t="shared" si="17"/>
        <v>"%USERPROFILE%\Documents\GitHub\eaglep3\Utilities\RefineRTDCRunTimes.py" --tripid 139-12 --locoid 4031 --swversion DE.1.0.7.0 --startMP 204:455 --initTime 2016-09-12T08:24:03 --startdatetime 2016-09-12T08:30:14 --delay 1 --endMP 204:233321 --enddatetime 2016-09-12T09:07:10 --enforcementcount 2 &gt;&gt;C:\Users\stu\Documents\GitHub\eaglep3-reporting\EC\2016-09-12-refined-times.txt</v>
      </c>
      <c r="AI51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{"issue":{"subject":"","project_id":79,"tracker_id":40,"status_id":1,"priority_id":2,"assigned_to_id":23,"start_date":"2016-09-12","description":"","custom_fields":[{"id":1,"name":"Subdivision","value":"EC"},{"id":4,"name":"Milepost","value":"23.2866"},{"id":17,"name":"Train ID","value":"139-12"},{"id":16,"name":"Locomotive ID","value":"4031"},{"id":130,"name":"Impact","value":""},{"id":150,"name":"Time of Event (Mountain Time)","value":"09:07:10"},{"id":151,"name":"Denver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hidden="1" x14ac:dyDescent="0.25">
      <c r="A52" s="39" t="s">
        <v>479</v>
      </c>
      <c r="B52" s="7">
        <v>4032</v>
      </c>
      <c r="C52" s="24" t="s">
        <v>108</v>
      </c>
      <c r="D52" s="24" t="s">
        <v>439</v>
      </c>
      <c r="E52" s="15">
        <v>42625.390601851854</v>
      </c>
      <c r="F52" s="15">
        <v>42625.393229166664</v>
      </c>
      <c r="G52" s="7">
        <v>1</v>
      </c>
      <c r="H52" s="15" t="s">
        <v>480</v>
      </c>
      <c r="I52" s="15">
        <v>42625.412928240738</v>
      </c>
      <c r="J52" s="7">
        <v>2</v>
      </c>
      <c r="K52" s="121" t="str">
        <f t="shared" si="0"/>
        <v>4031/4032</v>
      </c>
      <c r="L52" s="24" t="str">
        <f>VLOOKUP(A52,'Trips&amp;Operators'!$C$1:$E$10000,3,FALSE)</f>
        <v>STARKS</v>
      </c>
      <c r="M52" s="6">
        <f t="shared" si="1"/>
        <v>1.9699074073287193E-2</v>
      </c>
      <c r="N52" s="7"/>
      <c r="O52" s="7"/>
      <c r="P52" s="7">
        <f>24*60*SUM($M52:$M53)</f>
        <v>37.400000004563481</v>
      </c>
      <c r="Q52" s="25"/>
      <c r="R52" s="25" t="s">
        <v>754</v>
      </c>
      <c r="S52" s="37">
        <f>SUM(U52:U53)/IF(AG52="EC",12,1)</f>
        <v>0.58333333333333337</v>
      </c>
      <c r="T52" s="52" t="str">
        <f t="shared" si="4"/>
        <v>Southbound</v>
      </c>
      <c r="U52" s="16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4</v>
      </c>
      <c r="V5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08:22:28-0600',mode:absolute,to:'2016-09-12 10:54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52" s="54" t="str">
        <f t="shared" si="6"/>
        <v>Y</v>
      </c>
      <c r="X52" s="168">
        <f t="shared" si="21"/>
        <v>1</v>
      </c>
      <c r="Y52" s="69">
        <f t="shared" si="8"/>
        <v>23.299800000000001</v>
      </c>
      <c r="Z52" s="69">
        <f t="shared" si="9"/>
        <v>6.0536000000000003</v>
      </c>
      <c r="AA52" s="69">
        <f t="shared" si="10"/>
        <v>17.246200000000002</v>
      </c>
      <c r="AB52" s="66" t="e">
        <f>VLOOKUP(A52,Enforcements!$C$7:$K$21,8,0)</f>
        <v>#N/A</v>
      </c>
      <c r="AC52" s="62" t="e">
        <f>VLOOKUP(A52,Enforcements!$C$7:$E$21,3,0)</f>
        <v>#N/A</v>
      </c>
      <c r="AD52" s="63" t="str">
        <f t="shared" si="11"/>
        <v>0140-12</v>
      </c>
      <c r="AE52" s="99" t="str">
        <f t="shared" si="12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52" s="96" t="str">
        <f t="shared" si="13"/>
        <v>"C:\Program Files (x86)\AstroGrep\AstroGrep.exe" /spath="%USERPROFILE%\AppData\Local\Temp\OnboardLogs" /stypes="app*4032*20160912*" /stext=" 15:.+((SYSTEM_STATE.+slice.+state.+changed )|(ment ac)|(system.+state.+changed )|(\|lc)|(penalty)|(\[timeout)|(PRM\|1\|D)|(kpr)|(kdp))" /e /r /s</v>
      </c>
      <c r="AG52" s="1" t="str">
        <f t="shared" si="14"/>
        <v>EC</v>
      </c>
      <c r="AH52" s="100" t="str">
        <f t="shared" si="17"/>
        <v>"%USERPROFILE%\Documents\GitHub\eaglep3\Utilities\RefineRTDCRunTimes.py" --tripid 140-12 --locoid 4032 --swversion DE.1.0.7.0 --startMP 204:232998 --initTime 2016-09-12T09:22:28 --startdatetime 2016-09-12T09:26:15 --delay 1 --endMP 204:60536 --enddatetime 2016-09-12T09:54:37 --enforcementcount 2 &gt;&gt;C:\Users\stu\Documents\GitHub\eaglep3-reporting\EC\2016-09-12-refined-times.txt</v>
      </c>
      <c r="AI52" s="134" t="str">
        <f t="shared" si="18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malfunction","project_id":79,"tracker_id":40,"status_id":1,"priority_id":2,"assigned_to_id":23,"start_date":"2016-09-12","description":"","custom_fields":[{"id":1,"name":"Subdivision","value":"EC"},{"id":4,"name":"Milepost","value":"17.2462"},{"id":17,"name":"Train ID","value":"140-12"},{"id":16,"name":"Locomotive ID","value":"4032"},{"id":130,"name":"Impact","value":""},{"id":150,"name":"Time of Event (Mountain Time)","value":"09:54:37"},{"id":151,"name":"Denver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hidden="1" x14ac:dyDescent="0.25">
      <c r="A53" s="39" t="s">
        <v>479</v>
      </c>
      <c r="B53" s="7">
        <v>4032</v>
      </c>
      <c r="C53" s="24" t="s">
        <v>108</v>
      </c>
      <c r="D53" s="24" t="s">
        <v>481</v>
      </c>
      <c r="E53" s="15">
        <v>42625.418993055559</v>
      </c>
      <c r="F53" s="15">
        <v>42625.420312499999</v>
      </c>
      <c r="G53" s="7">
        <v>1</v>
      </c>
      <c r="H53" s="15" t="s">
        <v>232</v>
      </c>
      <c r="I53" s="15">
        <v>42625.426585648151</v>
      </c>
      <c r="J53" s="7">
        <v>2</v>
      </c>
      <c r="K53" s="121" t="str">
        <f t="shared" si="0"/>
        <v>4031/4032</v>
      </c>
      <c r="L53" s="24" t="str">
        <f>VLOOKUP(A53,'Trips&amp;Operators'!$C$1:$E$10000,3,FALSE)</f>
        <v>STARKS</v>
      </c>
      <c r="M53" s="6">
        <f t="shared" si="1"/>
        <v>6.2731481521041133E-3</v>
      </c>
      <c r="N53" s="7"/>
      <c r="O53" s="7"/>
      <c r="P53" s="7"/>
      <c r="Q53" s="25"/>
      <c r="R53" s="25"/>
      <c r="S53" s="37"/>
      <c r="T53" s="52" t="str">
        <f t="shared" si="4"/>
        <v>Southbound</v>
      </c>
      <c r="U53" s="16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3</v>
      </c>
      <c r="V5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09:03:21-0600',mode:absolute,to:'2016-09-12 11:14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53" s="54" t="str">
        <f t="shared" si="6"/>
        <v>Y</v>
      </c>
      <c r="X53" s="168">
        <f t="shared" si="21"/>
        <v>0</v>
      </c>
      <c r="Y53" s="69">
        <f t="shared" si="8"/>
        <v>3.6791</v>
      </c>
      <c r="Z53" s="69">
        <f t="shared" si="9"/>
        <v>1.47E-2</v>
      </c>
      <c r="AA53" s="69">
        <f t="shared" si="10"/>
        <v>3.6644000000000001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 t="shared" si="11"/>
        <v>0140-12</v>
      </c>
      <c r="AE53" s="99" t="str">
        <f t="shared" si="12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53" s="96" t="str">
        <f t="shared" si="13"/>
        <v>"C:\Program Files (x86)\AstroGrep\AstroGrep.exe" /spath="%USERPROFILE%\AppData\Local\Temp\OnboardLogs" /stypes="app*4032*20160912*" /stext=" 16:.+((SYSTEM_STATE.+slice.+state.+changed )|(ment ac)|(system.+state.+changed )|(\|lc)|(penalty)|(\[timeout)|(PRM\|1\|D)|(kpr)|(kdp))" /e /r /s</v>
      </c>
      <c r="AG53" s="1" t="str">
        <f t="shared" si="14"/>
        <v>EC</v>
      </c>
      <c r="AH53" s="100" t="str">
        <f t="shared" si="17"/>
        <v>"%USERPROFILE%\Documents\GitHub\eaglep3\Utilities\RefineRTDCRunTimes.py" --tripid 140-12 --locoid 4032 --swversion DE.1.0.7.0 --startMP 204:36791 --initTime 2016-09-12T10:03:21 --startdatetime 2016-09-12T10:05:15 --delay 1 --endMP 204:147 --enddatetime 2016-09-12T10:14:17 --enforcementcount 2 &gt;&gt;C:\Users\stu\Documents\GitHub\eaglep3-reporting\EC\2016-09-12-refined-times.txt</v>
      </c>
      <c r="AI53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{"issue":{"subject":"","project_id":79,"tracker_id":40,"status_id":1,"priority_id":2,"assigned_to_id":23,"start_date":"2016-09-12","description":"","custom_fields":[{"id":1,"name":"Subdivision","value":"EC"},{"id":4,"name":"Milepost","value":"3.6644"},{"id":17,"name":"Train ID","value":"140-12"},{"id":16,"name":"Locomotive ID","value":"4032"},{"id":130,"name":"Impact","value":""},{"id":150,"name":"Time of Event (Mountain Time)","value":"10:14:17"},{"id":151,"name":"Denver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hidden="1" x14ac:dyDescent="0.25">
      <c r="A54" s="39" t="s">
        <v>482</v>
      </c>
      <c r="B54" s="7">
        <v>4027</v>
      </c>
      <c r="C54" s="24" t="s">
        <v>108</v>
      </c>
      <c r="D54" s="24" t="s">
        <v>227</v>
      </c>
      <c r="E54" s="15">
        <v>42625.361701388887</v>
      </c>
      <c r="F54" s="15">
        <v>42625.36478009259</v>
      </c>
      <c r="G54" s="7">
        <v>1</v>
      </c>
      <c r="H54" s="15" t="s">
        <v>483</v>
      </c>
      <c r="I54" s="15">
        <v>42625.38958333333</v>
      </c>
      <c r="J54" s="7">
        <v>2</v>
      </c>
      <c r="K54" s="121" t="str">
        <f t="shared" si="0"/>
        <v>4027/4028</v>
      </c>
      <c r="L54" s="24" t="str">
        <f>VLOOKUP(A54,'Trips&amp;Operators'!$C$1:$E$10000,3,FALSE)</f>
        <v>KILLION</v>
      </c>
      <c r="M54" s="6">
        <f t="shared" si="1"/>
        <v>2.4803240739856847E-2</v>
      </c>
      <c r="N54" s="7">
        <f>24*60*SUM($M54:$M54)</f>
        <v>35.716666665393859</v>
      </c>
      <c r="O54" s="7"/>
      <c r="P54" s="7"/>
      <c r="Q54" s="25"/>
      <c r="R54" s="25"/>
      <c r="S54" s="37">
        <f>SUM(U54:U54)/IF(AG54="EC",12,1)</f>
        <v>1</v>
      </c>
      <c r="T54" s="52" t="str">
        <f t="shared" si="4"/>
        <v>NorthBound</v>
      </c>
      <c r="U54" s="16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07:40:51-0600',mode:absolute,to:'2016-09-12 10:21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54" s="54" t="str">
        <f t="shared" si="6"/>
        <v>N</v>
      </c>
      <c r="X54" s="168">
        <f t="shared" si="21"/>
        <v>1</v>
      </c>
      <c r="Y54" s="69">
        <f t="shared" si="8"/>
        <v>4.7100000000000003E-2</v>
      </c>
      <c r="Z54" s="69">
        <f t="shared" si="9"/>
        <v>23.3355</v>
      </c>
      <c r="AA54" s="69">
        <f t="shared" si="10"/>
        <v>23.288399999999999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 t="shared" si="11"/>
        <v>0141-12</v>
      </c>
      <c r="AE54" s="99" t="str">
        <f t="shared" si="12"/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54" s="96" t="str">
        <f t="shared" si="13"/>
        <v>"C:\Program Files (x86)\AstroGrep\AstroGrep.exe" /spath="%USERPROFILE%\AppData\Local\Temp\OnboardLogs" /stypes="app*4027*20160912*" /stext=" 15:.+((SYSTEM_STATE.+slice.+state.+changed )|(ment ac)|(system.+state.+changed )|(\|lc)|(penalty)|(\[timeout)|(PRM\|1\|D)|(kpr)|(kdp))" /e /r /s</v>
      </c>
      <c r="AG54" s="1" t="str">
        <f t="shared" si="14"/>
        <v>EC</v>
      </c>
      <c r="AH54" s="100" t="str">
        <f t="shared" si="17"/>
        <v>"%USERPROFILE%\Documents\GitHub\eaglep3\Utilities\RefineRTDCRunTimes.py" --tripid 141-12 --locoid 4027 --swversion DE.1.0.7.0 --startMP 204:471 --initTime 2016-09-12T08:40:51 --startdatetime 2016-09-12T08:45:17 --delay 1 --endMP 204:233355 --enddatetime 2016-09-12T09:21:00 --enforcementcount 2 &gt;&gt;C:\Users\stu\Documents\GitHub\eaglep3-reporting\EC\2016-09-12-refined-times.txt</v>
      </c>
      <c r="AI54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{"issue":{"subject":"","project_id":79,"tracker_id":40,"status_id":1,"priority_id":2,"assigned_to_id":23,"start_date":"2016-09-12","description":"","custom_fields":[{"id":1,"name":"Subdivision","value":"EC"},{"id":4,"name":"Milepost","value":"23.2884"},{"id":17,"name":"Train ID","value":"141-12"},{"id":16,"name":"Locomotive ID","value":"4027"},{"id":130,"name":"Impact","value":""},{"id":150,"name":"Time of Event (Mountain Time)","value":"09:21:00"},{"id":151,"name":"Denver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394</v>
      </c>
      <c r="B55" s="7">
        <v>4028</v>
      </c>
      <c r="C55" s="24" t="s">
        <v>108</v>
      </c>
      <c r="D55" s="24" t="s">
        <v>289</v>
      </c>
      <c r="E55" s="15">
        <v>42625.395960648151</v>
      </c>
      <c r="F55" s="15">
        <v>42625.403912037036</v>
      </c>
      <c r="G55" s="7">
        <v>1</v>
      </c>
      <c r="H55" s="15" t="s">
        <v>484</v>
      </c>
      <c r="I55" s="15">
        <v>42625.422766203701</v>
      </c>
      <c r="J55" s="7">
        <v>2</v>
      </c>
      <c r="K55" s="121" t="str">
        <f t="shared" si="0"/>
        <v>4027/4028</v>
      </c>
      <c r="L55" s="24" t="str">
        <f>VLOOKUP(A55,'Trips&amp;Operators'!$C$1:$E$10000,3,FALSE)</f>
        <v>KILLION</v>
      </c>
      <c r="M55" s="6">
        <f t="shared" si="1"/>
        <v>1.8854166664823424E-2</v>
      </c>
      <c r="N55" s="7"/>
      <c r="O55" s="7"/>
      <c r="P55" s="7">
        <f>24*60*SUM($M55:$M56)</f>
        <v>36.766666659386829</v>
      </c>
      <c r="Q55" s="25"/>
      <c r="R55" s="25" t="s">
        <v>754</v>
      </c>
      <c r="S55" s="37">
        <f>SUM(U55:U56)/IF(AG55="EC",12,1)</f>
        <v>0.58333333333333337</v>
      </c>
      <c r="T55" s="52" t="str">
        <f t="shared" si="4"/>
        <v>Southbound</v>
      </c>
      <c r="U55" s="16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4</v>
      </c>
      <c r="V5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08:30:11-0600',mode:absolute,to:'2016-09-12 11:08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55" s="54" t="str">
        <f t="shared" si="6"/>
        <v>Y</v>
      </c>
      <c r="X55" s="168">
        <f t="shared" si="21"/>
        <v>1</v>
      </c>
      <c r="Y55" s="69">
        <f t="shared" si="8"/>
        <v>23.297799999999999</v>
      </c>
      <c r="Z55" s="69">
        <f t="shared" si="9"/>
        <v>6.0381999999999998</v>
      </c>
      <c r="AA55" s="69">
        <f t="shared" si="10"/>
        <v>17.259599999999999</v>
      </c>
      <c r="AB55" s="66" t="e">
        <f>VLOOKUP(A55,Enforcements!$C$7:$K$21,8,0)</f>
        <v>#N/A</v>
      </c>
      <c r="AC55" s="62" t="e">
        <f>VLOOKUP(A55,Enforcements!$C$7:$E$21,3,0)</f>
        <v>#N/A</v>
      </c>
      <c r="AD55" s="63" t="str">
        <f t="shared" si="11"/>
        <v>0142-12</v>
      </c>
      <c r="AE55" s="99" t="str">
        <f t="shared" si="12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55" s="96" t="str">
        <f t="shared" si="13"/>
        <v>"C:\Program Files (x86)\AstroGrep\AstroGrep.exe" /spath="%USERPROFILE%\AppData\Local\Temp\OnboardLogs" /stypes="app*4028*20160912*" /stext=" 16:.+((SYSTEM_STATE.+slice.+state.+changed )|(ment ac)|(system.+state.+changed )|(\|lc)|(penalty)|(\[timeout)|(PRM\|1\|D)|(kpr)|(kdp))" /e /r /s</v>
      </c>
      <c r="AG55" s="1" t="str">
        <f t="shared" si="14"/>
        <v>EC</v>
      </c>
      <c r="AH55" s="100" t="str">
        <f t="shared" si="17"/>
        <v>"%USERPROFILE%\Documents\GitHub\eaglep3\Utilities\RefineRTDCRunTimes.py" --tripid 142-12 --locoid 4028 --swversion DE.1.0.7.0 --startMP 204:232978 --initTime 2016-09-12T09:30:11 --startdatetime 2016-09-12T09:41:38 --delay 1 --endMP 204:60382 --enddatetime 2016-09-12T10:08:47 --enforcementcount 2 &gt;&gt;C:\Users\stu\Documents\GitHub\eaglep3-reporting\EC\2016-09-12-refined-times.txt</v>
      </c>
      <c r="AI55" s="134" t="str">
        <f t="shared" si="18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malfunction","project_id":79,"tracker_id":40,"status_id":1,"priority_id":2,"assigned_to_id":23,"start_date":"2016-09-12","description":"","custom_fields":[{"id":1,"name":"Subdivision","value":"EC"},{"id":4,"name":"Milepost","value":"17.2596"},{"id":17,"name":"Train ID","value":"142-12"},{"id":16,"name":"Locomotive ID","value":"4028"},{"id":130,"name":"Impact","value":""},{"id":150,"name":"Time of Event (Mountain Time)","value":"10:08:47"},{"id":151,"name":"Denver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394</v>
      </c>
      <c r="B56" s="7">
        <v>4028</v>
      </c>
      <c r="C56" s="24" t="s">
        <v>108</v>
      </c>
      <c r="D56" s="24" t="s">
        <v>485</v>
      </c>
      <c r="E56" s="15">
        <v>42625.426307870373</v>
      </c>
      <c r="F56" s="15">
        <v>42625.427291666667</v>
      </c>
      <c r="G56" s="7">
        <v>0</v>
      </c>
      <c r="H56" s="15" t="s">
        <v>446</v>
      </c>
      <c r="I56" s="15">
        <v>42625.433969907404</v>
      </c>
      <c r="J56" s="7">
        <v>2</v>
      </c>
      <c r="K56" s="121" t="str">
        <f t="shared" si="0"/>
        <v>4027/4028</v>
      </c>
      <c r="L56" s="24" t="str">
        <f>VLOOKUP(A56,'Trips&amp;Operators'!$C$1:$E$10000,3,FALSE)</f>
        <v>KILLION</v>
      </c>
      <c r="M56" s="6">
        <f t="shared" si="1"/>
        <v>6.6782407375285402E-3</v>
      </c>
      <c r="N56" s="7"/>
      <c r="O56" s="7"/>
      <c r="P56" s="7"/>
      <c r="Q56" s="25"/>
      <c r="R56" s="25"/>
      <c r="S56" s="37"/>
      <c r="T56" s="52" t="str">
        <f t="shared" si="4"/>
        <v>Southbound</v>
      </c>
      <c r="U56" s="16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3</v>
      </c>
      <c r="V5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09:13:53-0600',mode:absolute,to:'2016-09-12 11:24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56" s="54" t="str">
        <f t="shared" si="6"/>
        <v>Y</v>
      </c>
      <c r="X56" s="168">
        <f t="shared" si="21"/>
        <v>0</v>
      </c>
      <c r="Y56" s="69">
        <f t="shared" si="8"/>
        <v>3.6760999999999999</v>
      </c>
      <c r="Z56" s="69">
        <f t="shared" si="9"/>
        <v>1.7600000000000001E-2</v>
      </c>
      <c r="AA56" s="69">
        <f t="shared" si="10"/>
        <v>3.6585000000000001</v>
      </c>
      <c r="AB56" s="66" t="e">
        <f>VLOOKUP(A56,Enforcements!$C$7:$K$21,8,0)</f>
        <v>#N/A</v>
      </c>
      <c r="AC56" s="62" t="e">
        <f>VLOOKUP(A56,Enforcements!$C$7:$E$21,3,0)</f>
        <v>#N/A</v>
      </c>
      <c r="AD56" s="63" t="str">
        <f t="shared" si="11"/>
        <v>0142-12</v>
      </c>
      <c r="AE56" s="99" t="str">
        <f t="shared" si="12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56" s="96" t="str">
        <f t="shared" si="13"/>
        <v>"C:\Program Files (x86)\AstroGrep\AstroGrep.exe" /spath="%USERPROFILE%\AppData\Local\Temp\OnboardLogs" /stypes="app*4028*20160912*" /stext=" 16:.+((SYSTEM_STATE.+slice.+state.+changed )|(ment ac)|(system.+state.+changed )|(\|lc)|(penalty)|(\[timeout)|(PRM\|1\|D)|(kpr)|(kdp))" /e /r /s</v>
      </c>
      <c r="AG56" s="1" t="str">
        <f t="shared" si="14"/>
        <v>EC</v>
      </c>
      <c r="AH56" s="100" t="str">
        <f t="shared" si="17"/>
        <v>"%USERPROFILE%\Documents\GitHub\eaglep3\Utilities\RefineRTDCRunTimes.py" --tripid 142-12 --locoid 4028 --swversion DE.1.0.7.0 --startMP 204:36761 --initTime 2016-09-12T10:13:53 --startdatetime 2016-09-12T10:15:18 --delay 0 --endMP 204:176 --enddatetime 2016-09-12T10:24:55 --enforcementcount 2 &gt;&gt;C:\Users\stu\Documents\GitHub\eaglep3-reporting\EC\2016-09-12-refined-times.txt</v>
      </c>
      <c r="AI56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{"issue":{"subject":"","project_id":79,"tracker_id":40,"status_id":1,"priority_id":2,"assigned_to_id":23,"start_date":"2016-09-12","description":"","custom_fields":[{"id":1,"name":"Subdivision","value":"EC"},{"id":4,"name":"Milepost","value":"3.6585"},{"id":17,"name":"Train ID","value":"142-12"},{"id":16,"name":"Locomotive ID","value":"4028"},{"id":130,"name":"Impact","value":""},{"id":150,"name":"Time of Event (Mountain Time)","value":"10:24:55"},{"id":151,"name":"Denver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hidden="1" x14ac:dyDescent="0.25">
      <c r="A57" s="39" t="s">
        <v>486</v>
      </c>
      <c r="B57" s="7">
        <v>4038</v>
      </c>
      <c r="C57" s="24" t="s">
        <v>108</v>
      </c>
      <c r="D57" s="24" t="s">
        <v>487</v>
      </c>
      <c r="E57" s="15">
        <v>42625.373981481483</v>
      </c>
      <c r="F57" s="15">
        <v>42625.375196759262</v>
      </c>
      <c r="G57" s="7">
        <v>1</v>
      </c>
      <c r="H57" s="15" t="s">
        <v>329</v>
      </c>
      <c r="I57" s="15">
        <v>42625.401516203703</v>
      </c>
      <c r="J57" s="7">
        <v>2</v>
      </c>
      <c r="K57" s="121" t="str">
        <f t="shared" si="0"/>
        <v>4037/4038</v>
      </c>
      <c r="L57" s="24" t="str">
        <f>VLOOKUP(A57,'Trips&amp;Operators'!$C$1:$E$10000,3,FALSE)</f>
        <v>MALAVE</v>
      </c>
      <c r="M57" s="6">
        <f t="shared" si="1"/>
        <v>2.6319444441469386E-2</v>
      </c>
      <c r="N57" s="7">
        <f t="shared" ref="N57:N67" si="22">24*60*SUM($M57:$M57)</f>
        <v>37.899999995715916</v>
      </c>
      <c r="O57" s="7"/>
      <c r="P57" s="7"/>
      <c r="Q57" s="25"/>
      <c r="R57" s="25"/>
      <c r="S57" s="37">
        <f t="shared" ref="S57:S67" si="23">SUM(U57:U57)/IF(AG57="EC",12,1)</f>
        <v>1</v>
      </c>
      <c r="T57" s="52" t="str">
        <f t="shared" si="4"/>
        <v>NorthBound</v>
      </c>
      <c r="U57" s="16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07:58:32-0600',mode:absolute,to:'2016-09-12 10:38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57" s="54" t="str">
        <f t="shared" si="6"/>
        <v>N</v>
      </c>
      <c r="X57" s="168">
        <f t="shared" si="21"/>
        <v>1</v>
      </c>
      <c r="Y57" s="69">
        <f t="shared" si="8"/>
        <v>4.6199999999999998E-2</v>
      </c>
      <c r="Z57" s="69">
        <f t="shared" si="9"/>
        <v>23.329799999999999</v>
      </c>
      <c r="AA57" s="69">
        <f t="shared" si="10"/>
        <v>23.2836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 t="shared" si="11"/>
        <v>0143-12</v>
      </c>
      <c r="AE57" s="99" t="str">
        <f t="shared" si="12"/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57" s="96" t="str">
        <f t="shared" si="13"/>
        <v>"C:\Program Files (x86)\AstroGrep\AstroGrep.exe" /spath="%USERPROFILE%\AppData\Local\Temp\OnboardLogs" /stypes="app*4038*20160912*" /stext=" 15:.+((SYSTEM_STATE.+slice.+state.+changed )|(ment ac)|(system.+state.+changed )|(\|lc)|(penalty)|(\[timeout)|(PRM\|1\|D)|(kpr)|(kdp))" /e /r /s</v>
      </c>
      <c r="AG57" s="1" t="str">
        <f t="shared" si="14"/>
        <v>EC</v>
      </c>
      <c r="AH57" s="100" t="str">
        <f t="shared" si="17"/>
        <v>"%USERPROFILE%\Documents\GitHub\eaglep3\Utilities\RefineRTDCRunTimes.py" --tripid 143-12 --locoid 4038 --swversion DE.1.0.7.0 --startMP 204:462 --initTime 2016-09-12T08:58:32 --startdatetime 2016-09-12T09:00:17 --delay 1 --endMP 204:233298 --enddatetime 2016-09-12T09:38:11 --enforcementcount 2 &gt;&gt;C:\Users\stu\Documents\GitHub\eaglep3-reporting\EC\2016-09-12-refined-times.txt</v>
      </c>
      <c r="AI57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{"issue":{"subject":"","project_id":79,"tracker_id":40,"status_id":1,"priority_id":2,"assigned_to_id":23,"start_date":"2016-09-12","description":"","custom_fields":[{"id":1,"name":"Subdivision","value":"EC"},{"id":4,"name":"Milepost","value":"23.2836"},{"id":17,"name":"Train ID","value":"143-12"},{"id":16,"name":"Locomotive ID","value":"4038"},{"id":130,"name":"Impact","value":""},{"id":150,"name":"Time of Event (Mountain Time)","value":"09:38:11"},{"id":151,"name":"Denver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hidden="1" x14ac:dyDescent="0.25">
      <c r="A58" s="39" t="s">
        <v>488</v>
      </c>
      <c r="B58" s="7">
        <v>4037</v>
      </c>
      <c r="C58" s="24" t="s">
        <v>108</v>
      </c>
      <c r="D58" s="24" t="s">
        <v>489</v>
      </c>
      <c r="E58" s="15">
        <v>42625.411840277775</v>
      </c>
      <c r="F58" s="15">
        <v>42625.414259259262</v>
      </c>
      <c r="G58" s="7">
        <v>3</v>
      </c>
      <c r="H58" s="15" t="s">
        <v>347</v>
      </c>
      <c r="I58" s="15">
        <v>42625.443067129629</v>
      </c>
      <c r="J58" s="7">
        <v>2</v>
      </c>
      <c r="K58" s="121" t="str">
        <f t="shared" si="0"/>
        <v>4037/4038</v>
      </c>
      <c r="L58" s="24" t="str">
        <f>VLOOKUP(A58,'Trips&amp;Operators'!$C$1:$E$10000,3,FALSE)</f>
        <v>MALAVE</v>
      </c>
      <c r="M58" s="6">
        <f t="shared" si="1"/>
        <v>2.880787036701804E-2</v>
      </c>
      <c r="N58" s="7">
        <f t="shared" si="22"/>
        <v>41.483333328505978</v>
      </c>
      <c r="O58" s="7"/>
      <c r="P58" s="7"/>
      <c r="Q58" s="25"/>
      <c r="R58" s="25"/>
      <c r="S58" s="37">
        <f t="shared" si="23"/>
        <v>1</v>
      </c>
      <c r="T58" s="52" t="str">
        <f t="shared" si="4"/>
        <v>Southbound</v>
      </c>
      <c r="U58" s="16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08:53:03-0600',mode:absolute,to:'2016-09-12 11:38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58" s="54" t="str">
        <f t="shared" si="6"/>
        <v>N</v>
      </c>
      <c r="X58" s="168">
        <f t="shared" si="21"/>
        <v>1</v>
      </c>
      <c r="Y58" s="69">
        <f t="shared" si="8"/>
        <v>23.295999999999999</v>
      </c>
      <c r="Z58" s="69">
        <f t="shared" si="9"/>
        <v>1.67E-2</v>
      </c>
      <c r="AA58" s="69">
        <f t="shared" si="10"/>
        <v>23.279299999999999</v>
      </c>
      <c r="AB58" s="66" t="e">
        <f>VLOOKUP(A58,Enforcements!$C$7:$K$21,8,0)</f>
        <v>#N/A</v>
      </c>
      <c r="AC58" s="62" t="e">
        <f>VLOOKUP(A58,Enforcements!$C$7:$E$21,3,0)</f>
        <v>#N/A</v>
      </c>
      <c r="AD58" s="63" t="str">
        <f t="shared" si="11"/>
        <v>0144-12</v>
      </c>
      <c r="AE58" s="99" t="str">
        <f t="shared" si="12"/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AF58" s="96" t="str">
        <f t="shared" si="13"/>
        <v>"C:\Program Files (x86)\AstroGrep\AstroGrep.exe" /spath="%USERPROFILE%\AppData\Local\Temp\OnboardLogs" /stypes="app*4037*20160912*" /stext=" 16:.+((SYSTEM_STATE.+slice.+state.+changed )|(ment ac)|(system.+state.+changed )|(\|lc)|(penalty)|(\[timeout)|(PRM\|1\|D)|(kpr)|(kdp))" /e /r /s</v>
      </c>
      <c r="AG58" s="1" t="str">
        <f t="shared" si="14"/>
        <v>EC</v>
      </c>
      <c r="AH58" s="100" t="str">
        <f t="shared" si="17"/>
        <v>"%USERPROFILE%\Documents\GitHub\eaglep3\Utilities\RefineRTDCRunTimes.py" --tripid 144-12 --locoid 4037 --swversion DE.1.0.7.0 --startMP 204:232960 --initTime 2016-09-12T09:53:03 --startdatetime 2016-09-12T09:56:32 --delay 3 --endMP 204:167 --enddatetime 2016-09-12T10:38:01 --enforcementcount 2 &gt;&gt;C:\Users\stu\Documents\GitHub\eaglep3-reporting\EC\2016-09-12-refined-times.txt</v>
      </c>
      <c r="AI58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{"issue":{"subject":"","project_id":79,"tracker_id":40,"status_id":1,"priority_id":2,"assigned_to_id":23,"start_date":"2016-09-12","description":"","custom_fields":[{"id":1,"name":"Subdivision","value":"EC"},{"id":4,"name":"Milepost","value":"23.2793"},{"id":17,"name":"Train ID","value":"144-12"},{"id":16,"name":"Locomotive ID","value":"4037"},{"id":130,"name":"Impact","value":""},{"id":150,"name":"Time of Event (Mountain Time)","value":"10:38:01"},{"id":151,"name":"Denver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hidden="1" x14ac:dyDescent="0.25">
      <c r="A59" s="39" t="s">
        <v>490</v>
      </c>
      <c r="B59" s="7">
        <v>4009</v>
      </c>
      <c r="C59" s="24" t="s">
        <v>108</v>
      </c>
      <c r="D59" s="24" t="s">
        <v>491</v>
      </c>
      <c r="E59" s="15">
        <v>42625.381273148145</v>
      </c>
      <c r="F59" s="15">
        <v>42625.385625000003</v>
      </c>
      <c r="G59" s="7">
        <v>1</v>
      </c>
      <c r="H59" s="15" t="s">
        <v>258</v>
      </c>
      <c r="I59" s="15">
        <v>42625.410219907404</v>
      </c>
      <c r="J59" s="7">
        <v>2</v>
      </c>
      <c r="K59" s="121" t="str">
        <f t="shared" si="0"/>
        <v>4009/4010</v>
      </c>
      <c r="L59" s="24" t="str">
        <f>VLOOKUP(A59,'Trips&amp;Operators'!$C$1:$E$10000,3,FALSE)</f>
        <v>ACKERMAN</v>
      </c>
      <c r="M59" s="6">
        <f t="shared" si="1"/>
        <v>2.4594907401478849E-2</v>
      </c>
      <c r="N59" s="7">
        <f t="shared" si="22"/>
        <v>35.416666658129543</v>
      </c>
      <c r="O59" s="7"/>
      <c r="P59" s="7"/>
      <c r="Q59" s="25"/>
      <c r="R59" s="25"/>
      <c r="S59" s="37">
        <f t="shared" si="23"/>
        <v>1</v>
      </c>
      <c r="T59" s="52" t="str">
        <f t="shared" si="4"/>
        <v>NorthBound</v>
      </c>
      <c r="U59" s="16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08:09:02-0600',mode:absolute,to:'2016-09-12 10:50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59" s="54" t="str">
        <f t="shared" si="6"/>
        <v>N</v>
      </c>
      <c r="X59" s="168">
        <f t="shared" ref="X59:X90" si="24">VALUE(LEFT(AD59,4))-VALUE(LEFT(AD58,4))</f>
        <v>1</v>
      </c>
      <c r="Y59" s="69">
        <f t="shared" si="8"/>
        <v>4.3499999999999997E-2</v>
      </c>
      <c r="Z59" s="69">
        <f t="shared" si="9"/>
        <v>23.3293</v>
      </c>
      <c r="AA59" s="69">
        <f t="shared" si="10"/>
        <v>23.285799999999998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 t="shared" si="11"/>
        <v>0145-12</v>
      </c>
      <c r="AE59" s="99" t="str">
        <f t="shared" si="12"/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59" s="96" t="str">
        <f t="shared" si="13"/>
        <v>"C:\Program Files (x86)\AstroGrep\AstroGrep.exe" /spath="%USERPROFILE%\AppData\Local\Temp\OnboardLogs" /stypes="app*4009*20160912*" /stext=" 15:.+((SYSTEM_STATE.+slice.+state.+changed )|(ment ac)|(system.+state.+changed )|(\|lc)|(penalty)|(\[timeout)|(PRM\|1\|D)|(kpr)|(kdp))" /e /r /s</v>
      </c>
      <c r="AG59" s="1" t="str">
        <f t="shared" si="14"/>
        <v>EC</v>
      </c>
      <c r="AH59" s="100" t="str">
        <f t="shared" si="17"/>
        <v>"%USERPROFILE%\Documents\GitHub\eaglep3\Utilities\RefineRTDCRunTimes.py" --tripid 145-12 --locoid 4009 --swversion DE.1.0.7.0 --startMP 204:435 --initTime 2016-09-12T09:09:02 --startdatetime 2016-09-12T09:15:18 --delay 1 --endMP 204:233293 --enddatetime 2016-09-12T09:50:43 --enforcementcount 2 &gt;&gt;C:\Users\stu\Documents\GitHub\eaglep3-reporting\EC\2016-09-12-refined-times.txt</v>
      </c>
      <c r="AI59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{"issue":{"subject":"","project_id":79,"tracker_id":40,"status_id":1,"priority_id":2,"assigned_to_id":23,"start_date":"2016-09-12","description":"","custom_fields":[{"id":1,"name":"Subdivision","value":"EC"},{"id":4,"name":"Milepost","value":"23.2858"},{"id":17,"name":"Train ID","value":"145-12"},{"id":16,"name":"Locomotive ID","value":"4009"},{"id":130,"name":"Impact","value":""},{"id":150,"name":"Time of Event (Mountain Time)","value":"09:50:43"},{"id":151,"name":"Denver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hidden="1" x14ac:dyDescent="0.25">
      <c r="A60" s="39" t="s">
        <v>395</v>
      </c>
      <c r="B60" s="7">
        <v>4010</v>
      </c>
      <c r="C60" s="24" t="s">
        <v>108</v>
      </c>
      <c r="D60" s="24" t="s">
        <v>265</v>
      </c>
      <c r="E60" s="15">
        <v>42625.418425925927</v>
      </c>
      <c r="F60" s="15">
        <v>42625.424525462964</v>
      </c>
      <c r="G60" s="7">
        <v>2</v>
      </c>
      <c r="H60" s="15" t="s">
        <v>222</v>
      </c>
      <c r="I60" s="15">
        <v>42625.455740740741</v>
      </c>
      <c r="J60" s="7">
        <v>2</v>
      </c>
      <c r="K60" s="121" t="str">
        <f t="shared" si="0"/>
        <v>4009/4010</v>
      </c>
      <c r="L60" s="24" t="str">
        <f>VLOOKUP(A60,'Trips&amp;Operators'!$C$1:$E$10000,3,FALSE)</f>
        <v>ACKERMAN</v>
      </c>
      <c r="M60" s="6">
        <f t="shared" si="1"/>
        <v>3.1215277776937E-2</v>
      </c>
      <c r="N60" s="7">
        <f t="shared" si="22"/>
        <v>44.949999998789281</v>
      </c>
      <c r="O60" s="7"/>
      <c r="P60" s="7"/>
      <c r="Q60" s="25"/>
      <c r="R60" s="25"/>
      <c r="S60" s="37">
        <f t="shared" si="23"/>
        <v>1</v>
      </c>
      <c r="T60" s="52" t="str">
        <f t="shared" si="4"/>
        <v>Southbound</v>
      </c>
      <c r="U60" s="16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09:02:32-0600',mode:absolute,to:'2016-09-12 11:56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60" s="54" t="str">
        <f t="shared" si="6"/>
        <v>N</v>
      </c>
      <c r="X60" s="168">
        <f t="shared" si="24"/>
        <v>1</v>
      </c>
      <c r="Y60" s="69">
        <f t="shared" si="8"/>
        <v>23.296900000000001</v>
      </c>
      <c r="Z60" s="69">
        <f t="shared" si="9"/>
        <v>1.49E-2</v>
      </c>
      <c r="AA60" s="69">
        <f t="shared" si="10"/>
        <v>23.282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 t="shared" si="11"/>
        <v>0146-12</v>
      </c>
      <c r="AE60" s="99" t="str">
        <f t="shared" si="12"/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60" s="96" t="str">
        <f t="shared" si="13"/>
        <v>"C:\Program Files (x86)\AstroGrep\AstroGrep.exe" /spath="%USERPROFILE%\AppData\Local\Temp\OnboardLogs" /stypes="app*4010*20160912*" /stext=" 16:.+((SYSTEM_STATE.+slice.+state.+changed )|(ment ac)|(system.+state.+changed )|(\|lc)|(penalty)|(\[timeout)|(PRM\|1\|D)|(kpr)|(kdp))" /e /r /s</v>
      </c>
      <c r="AG60" s="1" t="str">
        <f t="shared" si="14"/>
        <v>EC</v>
      </c>
      <c r="AH60" s="100" t="str">
        <f t="shared" si="17"/>
        <v>"%USERPROFILE%\Documents\GitHub\eaglep3\Utilities\RefineRTDCRunTimes.py" --tripid 146-12 --locoid 4010 --swversion DE.1.0.7.0 --startMP 204:232969 --initTime 2016-09-12T10:02:32 --startdatetime 2016-09-12T10:11:19 --delay 2 --endMP 204:149 --enddatetime 2016-09-12T10:56:16 --enforcementcount 2 &gt;&gt;C:\Users\stu\Documents\GitHub\eaglep3-reporting\EC\2016-09-12-refined-times.txt</v>
      </c>
      <c r="AI60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{"issue":{"subject":"","project_id":79,"tracker_id":40,"status_id":1,"priority_id":2,"assigned_to_id":23,"start_date":"2016-09-12","description":"","custom_fields":[{"id":1,"name":"Subdivision","value":"EC"},{"id":4,"name":"Milepost","value":"23.282"},{"id":17,"name":"Train ID","value":"146-12"},{"id":16,"name":"Locomotive ID","value":"4010"},{"id":130,"name":"Impact","value":""},{"id":150,"name":"Time of Event (Mountain Time)","value":"10:56:16"},{"id":151,"name":"Denver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hidden="1" x14ac:dyDescent="0.25">
      <c r="A61" s="39" t="s">
        <v>492</v>
      </c>
      <c r="B61" s="7">
        <v>4014</v>
      </c>
      <c r="C61" s="24" t="s">
        <v>108</v>
      </c>
      <c r="D61" s="24" t="s">
        <v>267</v>
      </c>
      <c r="E61" s="15">
        <v>42625.393506944441</v>
      </c>
      <c r="F61" s="15">
        <v>42625.436759259261</v>
      </c>
      <c r="G61" s="7">
        <v>1</v>
      </c>
      <c r="H61" s="15" t="s">
        <v>493</v>
      </c>
      <c r="I61" s="15">
        <v>42625.467546296299</v>
      </c>
      <c r="J61" s="7">
        <v>2</v>
      </c>
      <c r="K61" s="121" t="str">
        <f t="shared" si="0"/>
        <v>4013/4014</v>
      </c>
      <c r="L61" s="24" t="str">
        <f>VLOOKUP(A61,'Trips&amp;Operators'!$C$1:$E$10000,3,FALSE)</f>
        <v>RICHARDSON</v>
      </c>
      <c r="M61" s="6">
        <f t="shared" si="1"/>
        <v>3.0787037037953269E-2</v>
      </c>
      <c r="N61" s="7">
        <f t="shared" si="22"/>
        <v>44.333333334652707</v>
      </c>
      <c r="O61" s="7"/>
      <c r="P61" s="7"/>
      <c r="Q61" s="25"/>
      <c r="R61" s="25"/>
      <c r="S61" s="37">
        <f t="shared" si="23"/>
        <v>1</v>
      </c>
      <c r="T61" s="52" t="str">
        <f t="shared" si="4"/>
        <v>NorthBound</v>
      </c>
      <c r="U61" s="16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08:26:39-0600',mode:absolute,to:'2016-09-12 12:13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61" s="54" t="str">
        <f t="shared" si="6"/>
        <v>N</v>
      </c>
      <c r="X61" s="168">
        <f t="shared" si="24"/>
        <v>1</v>
      </c>
      <c r="Y61" s="69">
        <f t="shared" si="8"/>
        <v>4.6699999999999998E-2</v>
      </c>
      <c r="Z61" s="69">
        <f t="shared" si="9"/>
        <v>23.331700000000001</v>
      </c>
      <c r="AA61" s="69">
        <f t="shared" si="10"/>
        <v>23.285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 t="shared" si="11"/>
        <v>0147-12</v>
      </c>
      <c r="AE61" s="99" t="str">
        <f t="shared" si="12"/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61" s="96" t="str">
        <f t="shared" si="13"/>
        <v>"C:\Program Files (x86)\AstroGrep\AstroGrep.exe" /spath="%USERPROFILE%\AppData\Local\Temp\OnboardLogs" /stypes="app*4014*20160912*" /stext=" 17:.+((SYSTEM_STATE.+slice.+state.+changed )|(ment ac)|(system.+state.+changed )|(\|lc)|(penalty)|(\[timeout)|(PRM\|1\|D)|(kpr)|(kdp))" /e /r /s</v>
      </c>
      <c r="AG61" s="1" t="str">
        <f t="shared" si="14"/>
        <v>EC</v>
      </c>
      <c r="AH61" s="100" t="str">
        <f t="shared" si="17"/>
        <v>"%USERPROFILE%\Documents\GitHub\eaglep3\Utilities\RefineRTDCRunTimes.py" --tripid 147-12 --locoid 4014 --swversion DE.1.0.7.0 --startMP 204:467 --initTime 2016-09-12T09:26:39 --startdatetime 2016-09-12T10:28:56 --delay 1 --endMP 204:233317 --enddatetime 2016-09-12T11:13:16 --enforcementcount 2 &gt;&gt;C:\Users\stu\Documents\GitHub\eaglep3-reporting\EC\2016-09-12-refined-times.txt</v>
      </c>
      <c r="AI61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{"issue":{"subject":"","project_id":79,"tracker_id":40,"status_id":1,"priority_id":2,"assigned_to_id":23,"start_date":"2016-09-12","description":"","custom_fields":[{"id":1,"name":"Subdivision","value":"EC"},{"id":4,"name":"Milepost","value":"23.285"},{"id":17,"name":"Train ID","value":"147-12"},{"id":16,"name":"Locomotive ID","value":"4014"},{"id":130,"name":"Impact","value":""},{"id":150,"name":"Time of Event (Mountain Time)","value":"11:13:16"},{"id":151,"name":"Denver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hidden="1" x14ac:dyDescent="0.25">
      <c r="A62" s="39" t="s">
        <v>494</v>
      </c>
      <c r="B62" s="7">
        <v>4013</v>
      </c>
      <c r="C62" s="24" t="s">
        <v>108</v>
      </c>
      <c r="D62" s="24" t="s">
        <v>495</v>
      </c>
      <c r="E62" s="15">
        <v>42625.434837962966</v>
      </c>
      <c r="F62" s="15">
        <v>42625.436759259261</v>
      </c>
      <c r="G62" s="7">
        <v>1</v>
      </c>
      <c r="H62" s="15" t="s">
        <v>237</v>
      </c>
      <c r="I62" s="15">
        <v>42625.467546296299</v>
      </c>
      <c r="J62" s="7">
        <v>2</v>
      </c>
      <c r="K62" s="121" t="str">
        <f t="shared" si="0"/>
        <v>4013/4014</v>
      </c>
      <c r="L62" s="24" t="str">
        <f>VLOOKUP(A62,'Trips&amp;Operators'!$C$1:$E$10000,3,FALSE)</f>
        <v>RICHARDSON</v>
      </c>
      <c r="M62" s="6">
        <f t="shared" si="1"/>
        <v>3.0787037037953269E-2</v>
      </c>
      <c r="N62" s="7">
        <f t="shared" si="22"/>
        <v>44.333333334652707</v>
      </c>
      <c r="O62" s="7"/>
      <c r="P62" s="7"/>
      <c r="Q62" s="25"/>
      <c r="R62" s="25"/>
      <c r="S62" s="37">
        <f t="shared" si="23"/>
        <v>1</v>
      </c>
      <c r="T62" s="52" t="str">
        <f t="shared" si="4"/>
        <v>Southbound</v>
      </c>
      <c r="U62" s="16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09:26:10-0600',mode:absolute,to:'2016-09-12 12:13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62" s="54" t="str">
        <f t="shared" si="6"/>
        <v>N</v>
      </c>
      <c r="X62" s="168">
        <f t="shared" si="24"/>
        <v>1</v>
      </c>
      <c r="Y62" s="69">
        <f t="shared" si="8"/>
        <v>23.3004</v>
      </c>
      <c r="Z62" s="69">
        <f t="shared" si="9"/>
        <v>1.52E-2</v>
      </c>
      <c r="AA62" s="69">
        <f t="shared" si="10"/>
        <v>23.2852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 t="shared" si="11"/>
        <v>0148-12</v>
      </c>
      <c r="AE62" s="99" t="str">
        <f t="shared" si="12"/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62" s="96" t="str">
        <f t="shared" si="13"/>
        <v>"C:\Program Files (x86)\AstroGrep\AstroGrep.exe" /spath="%USERPROFILE%\AppData\Local\Temp\OnboardLogs" /stypes="app*4013*20160912*" /stext=" 17:.+((SYSTEM_STATE.+slice.+state.+changed )|(ment ac)|(system.+state.+changed )|(\|lc)|(penalty)|(\[timeout)|(PRM\|1\|D)|(kpr)|(kdp))" /e /r /s</v>
      </c>
      <c r="AG62" s="1" t="str">
        <f t="shared" si="14"/>
        <v>EC</v>
      </c>
      <c r="AH62" s="100" t="str">
        <f t="shared" si="17"/>
        <v>"%USERPROFILE%\Documents\GitHub\eaglep3\Utilities\RefineRTDCRunTimes.py" --tripid 148-12 --locoid 4013 --swversion DE.1.0.7.0 --startMP 204:233004 --initTime 2016-09-12T10:26:10 --startdatetime 2016-09-12T10:28:56 --delay 1 --endMP 204:152 --enddatetime 2016-09-12T11:13:16 --enforcementcount 2 &gt;&gt;C:\Users\stu\Documents\GitHub\eaglep3-reporting\EC\2016-09-12-refined-times.txt</v>
      </c>
      <c r="AI62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{"issue":{"subject":"","project_id":79,"tracker_id":40,"status_id":1,"priority_id":2,"assigned_to_id":23,"start_date":"2016-09-12","description":"","custom_fields":[{"id":1,"name":"Subdivision","value":"EC"},{"id":4,"name":"Milepost","value":"23.2852"},{"id":17,"name":"Train ID","value":"148-12"},{"id":16,"name":"Locomotive ID","value":"4013"},{"id":130,"name":"Impact","value":""},{"id":150,"name":"Time of Event (Mountain Time)","value":"11:13:16"},{"id":151,"name":"Denver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hidden="1" x14ac:dyDescent="0.25">
      <c r="A63" s="39" t="s">
        <v>393</v>
      </c>
      <c r="B63" s="7">
        <v>4002</v>
      </c>
      <c r="C63" s="24" t="s">
        <v>108</v>
      </c>
      <c r="D63" s="24" t="s">
        <v>259</v>
      </c>
      <c r="E63" s="15">
        <v>42625.402800925927</v>
      </c>
      <c r="F63" s="15">
        <v>42625.4065162037</v>
      </c>
      <c r="G63" s="7">
        <v>1</v>
      </c>
      <c r="H63" s="15" t="s">
        <v>243</v>
      </c>
      <c r="I63" s="15">
        <v>42625.435648148145</v>
      </c>
      <c r="J63" s="7">
        <v>2</v>
      </c>
      <c r="K63" s="121" t="str">
        <f t="shared" si="0"/>
        <v>4001/4002</v>
      </c>
      <c r="L63" s="24" t="str">
        <f>VLOOKUP(A63,'Trips&amp;Operators'!$C$1:$E$10000,3,FALSE)</f>
        <v>SPECTOR</v>
      </c>
      <c r="M63" s="6">
        <f t="shared" si="1"/>
        <v>2.9131944444088731E-2</v>
      </c>
      <c r="N63" s="7">
        <f t="shared" si="22"/>
        <v>41.949999999487773</v>
      </c>
      <c r="O63" s="7"/>
      <c r="P63" s="7"/>
      <c r="Q63" s="25"/>
      <c r="R63" s="25"/>
      <c r="S63" s="37">
        <f t="shared" si="23"/>
        <v>1</v>
      </c>
      <c r="T63" s="52" t="str">
        <f t="shared" si="4"/>
        <v>NorthBound</v>
      </c>
      <c r="U63" s="16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08:40:02-0600',mode:absolute,to:'2016-09-12 11:27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63" s="54" t="str">
        <f t="shared" si="6"/>
        <v>N</v>
      </c>
      <c r="X63" s="168">
        <f t="shared" si="24"/>
        <v>1</v>
      </c>
      <c r="Y63" s="69">
        <f t="shared" si="8"/>
        <v>4.7300000000000002E-2</v>
      </c>
      <c r="Z63" s="69">
        <f t="shared" si="9"/>
        <v>23.329699999999999</v>
      </c>
      <c r="AA63" s="69">
        <f t="shared" si="10"/>
        <v>23.282399999999999</v>
      </c>
      <c r="AB63" s="66" t="str">
        <f>VLOOKUP(A63,Enforcements!$C$7:$K$21,8,0)</f>
        <v>Speed (6)</v>
      </c>
      <c r="AC63" s="62" t="str">
        <f>VLOOKUP(A63,Enforcements!$C$7:$E$21,3,0)</f>
        <v>PERMANENT SPEED RESTRICTION</v>
      </c>
      <c r="AD63" s="63" t="str">
        <f t="shared" si="11"/>
        <v>0149-12</v>
      </c>
      <c r="AE63" s="99" t="str">
        <f t="shared" si="12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63" s="96" t="str">
        <f t="shared" si="13"/>
        <v>"C:\Program Files (x86)\AstroGrep\AstroGrep.exe" /spath="%USERPROFILE%\AppData\Local\Temp\OnboardLogs" /stypes="app*4002*20160912*" /stext=" 16:.+((SYSTEM_STATE.+slice.+state.+changed )|(ment ac)|(system.+state.+changed )|(\|lc)|(penalty)|(\[timeout)|(PRM\|1\|D)|(kpr)|(kdp))" /e /r /s</v>
      </c>
      <c r="AG63" s="1" t="str">
        <f t="shared" si="14"/>
        <v>EC</v>
      </c>
      <c r="AH63" s="100" t="str">
        <f t="shared" si="17"/>
        <v>"%USERPROFILE%\Documents\GitHub\eaglep3\Utilities\RefineRTDCRunTimes.py" --tripid 149-12 --locoid 4002 --swversion DE.1.0.7.0 --startMP 204:473 --initTime 2016-09-12T09:40:02 --startdatetime 2016-09-12T09:45:23 --delay 1 --endMP 204:233297 --enddatetime 2016-09-12T10:27:20 --enforcementcount 2 &gt;&gt;C:\Users\stu\Documents\GitHub\eaglep3-reporting\EC\2016-09-12-refined-times.txt</v>
      </c>
      <c r="AI63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{"issue":{"subject":"","project_id":79,"tracker_id":40,"status_id":1,"priority_id":2,"assigned_to_id":23,"start_date":"2016-09-12","description":"","custom_fields":[{"id":1,"name":"Subdivision","value":"EC"},{"id":4,"name":"Milepost","value":"23.2824"},{"id":17,"name":"Train ID","value":"149-12"},{"id":16,"name":"Locomotive ID","value":"4002"},{"id":130,"name":"Impact","value":""},{"id":150,"name":"Time of Event (Mountain Time)","value":"10:27:20"},{"id":151,"name":"Denver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hidden="1" x14ac:dyDescent="0.25">
      <c r="A64" s="39" t="s">
        <v>397</v>
      </c>
      <c r="B64" s="7">
        <v>4001</v>
      </c>
      <c r="C64" s="24" t="s">
        <v>108</v>
      </c>
      <c r="D64" s="24" t="s">
        <v>290</v>
      </c>
      <c r="E64" s="15">
        <v>42625.442685185182</v>
      </c>
      <c r="F64" s="15">
        <v>42625.445428240739</v>
      </c>
      <c r="G64" s="7">
        <v>1</v>
      </c>
      <c r="H64" s="15" t="s">
        <v>496</v>
      </c>
      <c r="I64" s="15">
        <v>42625.473645833335</v>
      </c>
      <c r="J64" s="7">
        <v>2</v>
      </c>
      <c r="K64" s="121" t="str">
        <f t="shared" si="0"/>
        <v>4001/4002</v>
      </c>
      <c r="L64" s="24" t="str">
        <f>VLOOKUP(A64,'Trips&amp;Operators'!$C$1:$E$10000,3,FALSE)</f>
        <v>SPECTOR</v>
      </c>
      <c r="M64" s="6">
        <f t="shared" si="1"/>
        <v>2.8217592596774921E-2</v>
      </c>
      <c r="N64" s="7">
        <f t="shared" si="22"/>
        <v>40.633333339355886</v>
      </c>
      <c r="O64" s="7"/>
      <c r="P64" s="7"/>
      <c r="Q64" s="25"/>
      <c r="R64" s="25"/>
      <c r="S64" s="37">
        <f t="shared" si="23"/>
        <v>1</v>
      </c>
      <c r="T64" s="52" t="str">
        <f t="shared" si="4"/>
        <v>Southbound</v>
      </c>
      <c r="U64" s="16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09:37:28-0600',mode:absolute,to:'2016-09-12 12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64" s="54" t="str">
        <f t="shared" si="6"/>
        <v>N</v>
      </c>
      <c r="X64" s="168">
        <f t="shared" si="24"/>
        <v>1</v>
      </c>
      <c r="Y64" s="69">
        <f t="shared" si="8"/>
        <v>23.2988</v>
      </c>
      <c r="Z64" s="69">
        <f t="shared" si="9"/>
        <v>2.3800000000000002E-2</v>
      </c>
      <c r="AA64" s="69">
        <f t="shared" si="10"/>
        <v>23.274999999999999</v>
      </c>
      <c r="AB64" s="66" t="e">
        <f>VLOOKUP(A64,Enforcements!$C$7:$K$21,8,0)</f>
        <v>#N/A</v>
      </c>
      <c r="AC64" s="62" t="e">
        <f>VLOOKUP(A64,Enforcements!$C$7:$E$21,3,0)</f>
        <v>#N/A</v>
      </c>
      <c r="AD64" s="63" t="str">
        <f t="shared" si="11"/>
        <v>0150-12</v>
      </c>
      <c r="AE64" s="99" t="str">
        <f t="shared" si="12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64" s="96" t="str">
        <f t="shared" si="13"/>
        <v>"C:\Program Files (x86)\AstroGrep\AstroGrep.exe" /spath="%USERPROFILE%\AppData\Local\Temp\OnboardLogs" /stypes="app*4001*20160912*" /stext=" 17:.+((SYSTEM_STATE.+slice.+state.+changed )|(ment ac)|(system.+state.+changed )|(\|lc)|(penalty)|(\[timeout)|(PRM\|1\|D)|(kpr)|(kdp))" /e /r /s</v>
      </c>
      <c r="AG64" s="1" t="str">
        <f t="shared" si="14"/>
        <v>EC</v>
      </c>
      <c r="AH64" s="100" t="str">
        <f t="shared" si="17"/>
        <v>"%USERPROFILE%\Documents\GitHub\eaglep3\Utilities\RefineRTDCRunTimes.py" --tripid 150-12 --locoid 4001 --swversion DE.1.0.7.0 --startMP 204:232988 --initTime 2016-09-12T10:37:28 --startdatetime 2016-09-12T10:41:25 --delay 1 --endMP 204:238 --enddatetime 2016-09-12T11:22:03 --enforcementcount 2 &gt;&gt;C:\Users\stu\Documents\GitHub\eaglep3-reporting\EC\2016-09-12-refined-times.txt</v>
      </c>
      <c r="AI64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{"issue":{"subject":"","project_id":79,"tracker_id":40,"status_id":1,"priority_id":2,"assigned_to_id":23,"start_date":"2016-09-12","description":"","custom_fields":[{"id":1,"name":"Subdivision","value":"EC"},{"id":4,"name":"Milepost","value":"23.275"},{"id":17,"name":"Train ID","value":"150-12"},{"id":16,"name":"Locomotive ID","value":"4001"},{"id":130,"name":"Impact","value":""},{"id":150,"name":"Time of Event (Mountain Time)","value":"11:22:03"},{"id":151,"name":"Denver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hidden="1" x14ac:dyDescent="0.25">
      <c r="A65" s="39" t="s">
        <v>497</v>
      </c>
      <c r="B65" s="7">
        <v>4042</v>
      </c>
      <c r="C65" s="24" t="s">
        <v>108</v>
      </c>
      <c r="D65" s="24" t="s">
        <v>244</v>
      </c>
      <c r="E65" s="15">
        <v>42625.41233796296</v>
      </c>
      <c r="F65" s="15">
        <v>42625.417187500003</v>
      </c>
      <c r="G65" s="7">
        <v>1</v>
      </c>
      <c r="H65" s="15" t="s">
        <v>498</v>
      </c>
      <c r="I65" s="15">
        <v>42625.447569444441</v>
      </c>
      <c r="J65" s="7">
        <v>2</v>
      </c>
      <c r="K65" s="121" t="str">
        <f t="shared" si="0"/>
        <v>4041/4042</v>
      </c>
      <c r="L65" s="24" t="str">
        <f>VLOOKUP(A65,'Trips&amp;Operators'!$C$1:$E$10000,3,FALSE)</f>
        <v>YORK</v>
      </c>
      <c r="M65" s="6">
        <f t="shared" si="1"/>
        <v>3.0381944437976927E-2</v>
      </c>
      <c r="N65" s="7">
        <f t="shared" si="22"/>
        <v>43.749999990686774</v>
      </c>
      <c r="O65" s="7"/>
      <c r="P65" s="7"/>
      <c r="Q65" s="25"/>
      <c r="R65" s="25"/>
      <c r="S65" s="37">
        <f t="shared" si="23"/>
        <v>1</v>
      </c>
      <c r="T65" s="52" t="str">
        <f t="shared" si="4"/>
        <v>NorthBound</v>
      </c>
      <c r="U65" s="16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08:53:46-0600',mode:absolute,to:'2016-09-12 11:44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65" s="54" t="str">
        <f t="shared" si="6"/>
        <v>N</v>
      </c>
      <c r="X65" s="168">
        <f t="shared" si="24"/>
        <v>1</v>
      </c>
      <c r="Y65" s="69">
        <f t="shared" si="8"/>
        <v>4.6600000000000003E-2</v>
      </c>
      <c r="Z65" s="69">
        <f t="shared" si="9"/>
        <v>23.333200000000001</v>
      </c>
      <c r="AA65" s="69">
        <f t="shared" si="10"/>
        <v>23.2866</v>
      </c>
      <c r="AB65" s="66" t="e">
        <f>VLOOKUP(A65,Enforcements!$C$7:$K$21,8,0)</f>
        <v>#N/A</v>
      </c>
      <c r="AC65" s="62" t="e">
        <f>VLOOKUP(A65,Enforcements!$C$7:$E$21,3,0)</f>
        <v>#N/A</v>
      </c>
      <c r="AD65" s="63" t="str">
        <f t="shared" si="11"/>
        <v>0151-12</v>
      </c>
      <c r="AE65" s="99" t="str">
        <f t="shared" si="12"/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65" s="96" t="str">
        <f t="shared" si="13"/>
        <v>"C:\Program Files (x86)\AstroGrep\AstroGrep.exe" /spath="%USERPROFILE%\AppData\Local\Temp\OnboardLogs" /stypes="app*4042*20160912*" /stext=" 16:.+((SYSTEM_STATE.+slice.+state.+changed )|(ment ac)|(system.+state.+changed )|(\|lc)|(penalty)|(\[timeout)|(PRM\|1\|D)|(kpr)|(kdp))" /e /r /s</v>
      </c>
      <c r="AG65" s="1" t="str">
        <f t="shared" si="14"/>
        <v>EC</v>
      </c>
      <c r="AH65" s="100" t="str">
        <f t="shared" si="17"/>
        <v>"%USERPROFILE%\Documents\GitHub\eaglep3\Utilities\RefineRTDCRunTimes.py" --tripid 151-12 --locoid 4042 --swversion DE.1.0.7.0 --startMP 204:466 --initTime 2016-09-12T09:53:46 --startdatetime 2016-09-12T10:00:45 --delay 1 --endMP 204:233332 --enddatetime 2016-09-12T10:44:30 --enforcementcount 2 &gt;&gt;C:\Users\stu\Documents\GitHub\eaglep3-reporting\EC\2016-09-12-refined-times.txt</v>
      </c>
      <c r="AI65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{"issue":{"subject":"","project_id":79,"tracker_id":40,"status_id":1,"priority_id":2,"assigned_to_id":23,"start_date":"2016-09-12","description":"","custom_fields":[{"id":1,"name":"Subdivision","value":"EC"},{"id":4,"name":"Milepost","value":"23.2866"},{"id":17,"name":"Train ID","value":"151-12"},{"id":16,"name":"Locomotive ID","value":"4042"},{"id":130,"name":"Impact","value":""},{"id":150,"name":"Time of Event (Mountain Time)","value":"10:44:30"},{"id":151,"name":"Denver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hidden="1" x14ac:dyDescent="0.25">
      <c r="A66" s="39" t="s">
        <v>398</v>
      </c>
      <c r="B66" s="7">
        <v>4041</v>
      </c>
      <c r="C66" s="24" t="s">
        <v>108</v>
      </c>
      <c r="D66" s="24" t="s">
        <v>262</v>
      </c>
      <c r="E66" s="15">
        <v>42625.449155092596</v>
      </c>
      <c r="F66" s="15">
        <v>42625.456111111111</v>
      </c>
      <c r="G66" s="7">
        <v>1</v>
      </c>
      <c r="H66" s="15" t="s">
        <v>224</v>
      </c>
      <c r="I66" s="15">
        <v>42625.484386574077</v>
      </c>
      <c r="J66" s="7">
        <v>2</v>
      </c>
      <c r="K66" s="121" t="str">
        <f t="shared" si="0"/>
        <v>4041/4042</v>
      </c>
      <c r="L66" s="24" t="str">
        <f>VLOOKUP(A66,'Trips&amp;Operators'!$C$1:$E$10000,3,FALSE)</f>
        <v>YORK</v>
      </c>
      <c r="M66" s="6">
        <f t="shared" si="1"/>
        <v>2.8275462966121268E-2</v>
      </c>
      <c r="N66" s="7">
        <f t="shared" si="22"/>
        <v>40.716666671214625</v>
      </c>
      <c r="O66" s="7"/>
      <c r="P66" s="7"/>
      <c r="Q66" s="25"/>
      <c r="R66" s="25"/>
      <c r="S66" s="37">
        <f t="shared" si="23"/>
        <v>1</v>
      </c>
      <c r="T66" s="52" t="str">
        <f t="shared" si="4"/>
        <v>Southbound</v>
      </c>
      <c r="U66" s="16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09:46:47-0600',mode:absolute,to:'2016-09-12 12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66" s="54" t="str">
        <f t="shared" si="6"/>
        <v>N</v>
      </c>
      <c r="X66" s="168">
        <f t="shared" si="24"/>
        <v>1</v>
      </c>
      <c r="Y66" s="69">
        <f t="shared" si="8"/>
        <v>23.299299999999999</v>
      </c>
      <c r="Z66" s="69">
        <f t="shared" si="9"/>
        <v>1.6E-2</v>
      </c>
      <c r="AA66" s="69">
        <f t="shared" si="10"/>
        <v>23.283300000000001</v>
      </c>
      <c r="AB66" s="66" t="str">
        <f>VLOOKUP(A66,Enforcements!$C$7:$K$21,8,0)</f>
        <v>Bulletin (2)</v>
      </c>
      <c r="AC66" s="62" t="str">
        <f>VLOOKUP(A66,Enforcements!$C$7:$E$21,3,0)</f>
        <v>GRADE CROSSING</v>
      </c>
      <c r="AD66" s="63" t="str">
        <f t="shared" si="11"/>
        <v>0152-12</v>
      </c>
      <c r="AE66" s="99" t="str">
        <f t="shared" si="12"/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66" s="96" t="str">
        <f t="shared" si="13"/>
        <v>"C:\Program Files (x86)\AstroGrep\AstroGrep.exe" /spath="%USERPROFILE%\AppData\Local\Temp\OnboardLogs" /stypes="app*4041*20160912*" /stext=" 17:.+((SYSTEM_STATE.+slice.+state.+changed )|(ment ac)|(system.+state.+changed )|(\|lc)|(penalty)|(\[timeout)|(PRM\|1\|D)|(kpr)|(kdp))" /e /r /s</v>
      </c>
      <c r="AG66" s="1" t="str">
        <f t="shared" si="14"/>
        <v>EC</v>
      </c>
      <c r="AH66" s="100" t="str">
        <f t="shared" si="17"/>
        <v>"%USERPROFILE%\Documents\GitHub\eaglep3\Utilities\RefineRTDCRunTimes.py" --tripid 152-12 --locoid 4041 --swversion DE.1.0.7.0 --startMP 204:232993 --initTime 2016-09-12T10:46:47 --startdatetime 2016-09-12T10:56:48 --delay 1 --endMP 204:160 --enddatetime 2016-09-12T11:37:31 --enforcementcount 2 &gt;&gt;C:\Users\stu\Documents\GitHub\eaglep3-reporting\EC\2016-09-12-refined-times.txt</v>
      </c>
      <c r="AI66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{"issue":{"subject":"","project_id":79,"tracker_id":40,"status_id":1,"priority_id":2,"assigned_to_id":23,"start_date":"2016-09-12","description":"","custom_fields":[{"id":1,"name":"Subdivision","value":"EC"},{"id":4,"name":"Milepost","value":"23.2833"},{"id":17,"name":"Train ID","value":"152-12"},{"id":16,"name":"Locomotive ID","value":"4041"},{"id":130,"name":"Impact","value":""},{"id":150,"name":"Time of Event (Mountain Time)","value":"11:37:31"},{"id":151,"name":"Denver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hidden="1" x14ac:dyDescent="0.25">
      <c r="A67" s="39" t="s">
        <v>499</v>
      </c>
      <c r="B67" s="7">
        <v>4031</v>
      </c>
      <c r="C67" s="24" t="s">
        <v>108</v>
      </c>
      <c r="D67" s="24" t="s">
        <v>246</v>
      </c>
      <c r="E67" s="15">
        <v>42625.427557870367</v>
      </c>
      <c r="F67" s="15">
        <v>42625.428726851853</v>
      </c>
      <c r="G67" s="7">
        <v>1</v>
      </c>
      <c r="H67" s="15" t="s">
        <v>236</v>
      </c>
      <c r="I67" s="15">
        <v>42625.45416666667</v>
      </c>
      <c r="J67" s="7">
        <v>2</v>
      </c>
      <c r="K67" s="121" t="str">
        <f t="shared" si="0"/>
        <v>4031/4032</v>
      </c>
      <c r="L67" s="24" t="str">
        <f>VLOOKUP(A67,'Trips&amp;Operators'!$C$1:$E$10000,3,FALSE)</f>
        <v>STARKS</v>
      </c>
      <c r="M67" s="6">
        <f t="shared" si="1"/>
        <v>2.5439814817218576E-2</v>
      </c>
      <c r="N67" s="7">
        <f t="shared" si="22"/>
        <v>36.633333336794749</v>
      </c>
      <c r="O67" s="7"/>
      <c r="P67" s="7"/>
      <c r="Q67" s="25"/>
      <c r="R67" s="25"/>
      <c r="S67" s="37">
        <f t="shared" si="23"/>
        <v>1</v>
      </c>
      <c r="T67" s="52" t="str">
        <f t="shared" si="4"/>
        <v>NorthBound</v>
      </c>
      <c r="U67" s="16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09:15:41-0600',mode:absolute,to:'2016-09-12 11:54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67" s="54" t="str">
        <f t="shared" si="6"/>
        <v>N</v>
      </c>
      <c r="X67" s="168">
        <f t="shared" si="24"/>
        <v>1</v>
      </c>
      <c r="Y67" s="69">
        <f t="shared" si="8"/>
        <v>4.5100000000000001E-2</v>
      </c>
      <c r="Z67" s="69">
        <f t="shared" si="9"/>
        <v>23.3291</v>
      </c>
      <c r="AA67" s="69">
        <f t="shared" si="10"/>
        <v>23.283999999999999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 t="shared" si="11"/>
        <v>0153-12</v>
      </c>
      <c r="AE67" s="99" t="str">
        <f t="shared" si="12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67" s="96" t="str">
        <f t="shared" si="13"/>
        <v>"C:\Program Files (x86)\AstroGrep\AstroGrep.exe" /spath="%USERPROFILE%\AppData\Local\Temp\OnboardLogs" /stypes="app*4031*20160912*" /stext=" 16:.+((SYSTEM_STATE.+slice.+state.+changed )|(ment ac)|(system.+state.+changed )|(\|lc)|(penalty)|(\[timeout)|(PRM\|1\|D)|(kpr)|(kdp))" /e /r /s</v>
      </c>
      <c r="AG67" s="1" t="str">
        <f t="shared" si="14"/>
        <v>EC</v>
      </c>
      <c r="AH67" s="100" t="str">
        <f t="shared" si="17"/>
        <v>"%USERPROFILE%\Documents\GitHub\eaglep3\Utilities\RefineRTDCRunTimes.py" --tripid 153-12 --locoid 4031 --swversion DE.1.0.7.0 --startMP 204:451 --initTime 2016-09-12T10:15:41 --startdatetime 2016-09-12T10:17:22 --delay 1 --endMP 204:233291 --enddatetime 2016-09-12T10:54:00 --enforcementcount 2 &gt;&gt;C:\Users\stu\Documents\GitHub\eaglep3-reporting\EC\2016-09-12-refined-times.txt</v>
      </c>
      <c r="AI67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{"issue":{"subject":"","project_id":79,"tracker_id":40,"status_id":1,"priority_id":2,"assigned_to_id":23,"start_date":"2016-09-12","description":"","custom_fields":[{"id":1,"name":"Subdivision","value":"EC"},{"id":4,"name":"Milepost","value":"23.284"},{"id":17,"name":"Train ID","value":"153-12"},{"id":16,"name":"Locomotive ID","value":"4031"},{"id":130,"name":"Impact","value":""},{"id":150,"name":"Time of Event (Mountain Time)","value":"10:54:00"},{"id":151,"name":"Denver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hidden="1" x14ac:dyDescent="0.25">
      <c r="A68" s="39" t="s">
        <v>401</v>
      </c>
      <c r="B68" s="7">
        <v>4032</v>
      </c>
      <c r="C68" s="24" t="s">
        <v>108</v>
      </c>
      <c r="D68" s="24" t="s">
        <v>265</v>
      </c>
      <c r="E68" s="15">
        <v>42625.464143518519</v>
      </c>
      <c r="F68" s="15">
        <v>42625.466134259259</v>
      </c>
      <c r="G68" s="7">
        <v>1</v>
      </c>
      <c r="H68" s="15" t="s">
        <v>500</v>
      </c>
      <c r="I68" s="15">
        <v>42625.488310185188</v>
      </c>
      <c r="J68" s="7">
        <v>2</v>
      </c>
      <c r="K68" s="121" t="str">
        <f t="shared" si="0"/>
        <v>4031/4032</v>
      </c>
      <c r="L68" s="24" t="str">
        <f>VLOOKUP(A68,'Trips&amp;Operators'!$C$1:$E$10000,3,FALSE)</f>
        <v>STARKS</v>
      </c>
      <c r="M68" s="6">
        <f t="shared" si="1"/>
        <v>2.2175925929332152E-2</v>
      </c>
      <c r="N68" s="7"/>
      <c r="O68" s="7"/>
      <c r="P68" s="7">
        <f>24*60*SUM($M68:$M69)</f>
        <v>41.366666665999219</v>
      </c>
      <c r="Q68" s="25"/>
      <c r="R68" s="25" t="s">
        <v>754</v>
      </c>
      <c r="S68" s="37">
        <f>SUM(U68:U69)/IF(AG68="EC",12,1)</f>
        <v>0.58333333333333337</v>
      </c>
      <c r="T68" s="52" t="str">
        <f t="shared" si="4"/>
        <v>Southbound</v>
      </c>
      <c r="U68" s="16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4</v>
      </c>
      <c r="V6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10:08:22-0600',mode:absolute,to:'2016-09-12 12:43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68" s="54" t="str">
        <f t="shared" si="6"/>
        <v>Y</v>
      </c>
      <c r="X68" s="168">
        <f t="shared" si="24"/>
        <v>1</v>
      </c>
      <c r="Y68" s="69">
        <f t="shared" si="8"/>
        <v>23.296900000000001</v>
      </c>
      <c r="Z68" s="69">
        <f t="shared" si="9"/>
        <v>6.0820999999999996</v>
      </c>
      <c r="AA68" s="69">
        <f t="shared" si="10"/>
        <v>17.2148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 t="shared" si="11"/>
        <v>0154-12</v>
      </c>
      <c r="AE68" s="99" t="str">
        <f t="shared" si="12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68" s="96" t="str">
        <f t="shared" si="13"/>
        <v>"C:\Program Files (x86)\AstroGrep\AstroGrep.exe" /spath="%USERPROFILE%\AppData\Local\Temp\OnboardLogs" /stypes="app*4032*20160912*" /stext=" 17:.+((SYSTEM_STATE.+slice.+state.+changed )|(ment ac)|(system.+state.+changed )|(\|lc)|(penalty)|(\[timeout)|(PRM\|1\|D)|(kpr)|(kdp))" /e /r /s</v>
      </c>
      <c r="AG68" s="1" t="str">
        <f t="shared" si="14"/>
        <v>EC</v>
      </c>
      <c r="AH68" s="100" t="str">
        <f t="shared" si="17"/>
        <v>"%USERPROFILE%\Documents\GitHub\eaglep3\Utilities\RefineRTDCRunTimes.py" --tripid 154-12 --locoid 4032 --swversion DE.1.0.7.0 --startMP 204:232969 --initTime 2016-09-12T11:08:22 --startdatetime 2016-09-12T11:11:14 --delay 1 --endMP 204:60821 --enddatetime 2016-09-12T11:43:10 --enforcementcount 2 &gt;&gt;C:\Users\stu\Documents\GitHub\eaglep3-reporting\EC\2016-09-12-refined-times.txt</v>
      </c>
      <c r="AI68" s="134" t="str">
        <f t="shared" si="18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malfunction","project_id":79,"tracker_id":40,"status_id":1,"priority_id":2,"assigned_to_id":23,"start_date":"2016-09-12","description":"","custom_fields":[{"id":1,"name":"Subdivision","value":"EC"},{"id":4,"name":"Milepost","value":"17.2148"},{"id":17,"name":"Train ID","value":"154-12"},{"id":16,"name":"Locomotive ID","value":"4032"},{"id":130,"name":"Impact","value":""},{"id":150,"name":"Time of Event (Mountain Time)","value":"11:43:10"},{"id":151,"name":"Denver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hidden="1" x14ac:dyDescent="0.25">
      <c r="A69" s="39" t="s">
        <v>401</v>
      </c>
      <c r="B69" s="7">
        <v>4032</v>
      </c>
      <c r="C69" s="24" t="s">
        <v>108</v>
      </c>
      <c r="D69" s="24" t="s">
        <v>501</v>
      </c>
      <c r="E69" s="15">
        <v>42625.492905092593</v>
      </c>
      <c r="F69" s="15">
        <v>42625.493969907409</v>
      </c>
      <c r="G69" s="7">
        <v>1</v>
      </c>
      <c r="H69" s="15" t="s">
        <v>347</v>
      </c>
      <c r="I69" s="15">
        <v>42625.500520833331</v>
      </c>
      <c r="J69" s="7">
        <v>2</v>
      </c>
      <c r="K69" s="121" t="str">
        <f t="shared" si="0"/>
        <v>4031/4032</v>
      </c>
      <c r="L69" s="24" t="str">
        <f>VLOOKUP(A69,'Trips&amp;Operators'!$C$1:$E$10000,3,FALSE)</f>
        <v>STARKS</v>
      </c>
      <c r="M69" s="6">
        <f t="shared" si="1"/>
        <v>6.5509259220561944E-3</v>
      </c>
      <c r="N69" s="7"/>
      <c r="O69" s="7"/>
      <c r="P69" s="7"/>
      <c r="Q69" s="25"/>
      <c r="R69" s="25"/>
      <c r="S69" s="37"/>
      <c r="T69" s="52" t="str">
        <f t="shared" si="4"/>
        <v>Southbound</v>
      </c>
      <c r="U69" s="16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3</v>
      </c>
      <c r="V6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10:49:47-0600',mode:absolute,to:'2016-09-12 13:00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69" s="54" t="str">
        <f t="shared" si="6"/>
        <v>Y</v>
      </c>
      <c r="X69" s="168">
        <f t="shared" si="24"/>
        <v>0</v>
      </c>
      <c r="Y69" s="69">
        <f t="shared" si="8"/>
        <v>3.6787000000000001</v>
      </c>
      <c r="Z69" s="69">
        <f t="shared" si="9"/>
        <v>1.67E-2</v>
      </c>
      <c r="AA69" s="69">
        <f t="shared" si="10"/>
        <v>3.6619999999999999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 t="shared" si="11"/>
        <v>0154-12</v>
      </c>
      <c r="AE69" s="99" t="str">
        <f t="shared" si="12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69" s="96" t="str">
        <f t="shared" si="13"/>
        <v>"C:\Program Files (x86)\AstroGrep\AstroGrep.exe" /spath="%USERPROFILE%\AppData\Local\Temp\OnboardLogs" /stypes="app*4032*20160912*" /stext=" 18:.+((SYSTEM_STATE.+slice.+state.+changed )|(ment ac)|(system.+state.+changed )|(\|lc)|(penalty)|(\[timeout)|(PRM\|1\|D)|(kpr)|(kdp))" /e /r /s</v>
      </c>
      <c r="AG69" s="1" t="str">
        <f t="shared" si="14"/>
        <v>EC</v>
      </c>
      <c r="AH69" s="100" t="str">
        <f t="shared" si="17"/>
        <v>"%USERPROFILE%\Documents\GitHub\eaglep3\Utilities\RefineRTDCRunTimes.py" --tripid 154-12 --locoid 4032 --swversion DE.1.0.7.0 --startMP 204:36787 --initTime 2016-09-12T11:49:47 --startdatetime 2016-09-12T11:51:19 --delay 1 --endMP 204:167 --enddatetime 2016-09-12T12:00:45 --enforcementcount 2 &gt;&gt;C:\Users\stu\Documents\GitHub\eaglep3-reporting\EC\2016-09-12-refined-times.txt</v>
      </c>
      <c r="AI69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{"issue":{"subject":"","project_id":79,"tracker_id":40,"status_id":1,"priority_id":2,"assigned_to_id":23,"start_date":"2016-09-12","description":"","custom_fields":[{"id":1,"name":"Subdivision","value":"EC"},{"id":4,"name":"Milepost","value":"3.662"},{"id":17,"name":"Train ID","value":"154-12"},{"id":16,"name":"Locomotive ID","value":"4032"},{"id":130,"name":"Impact","value":""},{"id":150,"name":"Time of Event (Mountain Time)","value":"12:00:45"},{"id":151,"name":"Denver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hidden="1" x14ac:dyDescent="0.25">
      <c r="A70" s="39" t="s">
        <v>396</v>
      </c>
      <c r="B70" s="7">
        <v>4027</v>
      </c>
      <c r="C70" s="24" t="s">
        <v>108</v>
      </c>
      <c r="D70" s="24" t="s">
        <v>502</v>
      </c>
      <c r="E70" s="15">
        <v>42625.436921296299</v>
      </c>
      <c r="F70" s="15">
        <v>42625.438472222224</v>
      </c>
      <c r="G70" s="7">
        <v>1</v>
      </c>
      <c r="H70" s="15" t="s">
        <v>423</v>
      </c>
      <c r="I70" s="15">
        <v>42625.465381944443</v>
      </c>
      <c r="J70" s="7">
        <v>2</v>
      </c>
      <c r="K70" s="121" t="str">
        <f t="shared" si="0"/>
        <v>4027/4028</v>
      </c>
      <c r="L70" s="24" t="str">
        <f>VLOOKUP(A70,'Trips&amp;Operators'!$C$1:$E$10000,3,FALSE)</f>
        <v>DAVIS</v>
      </c>
      <c r="M70" s="6">
        <f t="shared" si="1"/>
        <v>2.6909722218988463E-2</v>
      </c>
      <c r="N70" s="7">
        <f>24*60*SUM($M70:$M70)</f>
        <v>38.749999995343387</v>
      </c>
      <c r="O70" s="7"/>
      <c r="P70" s="7"/>
      <c r="Q70" s="25"/>
      <c r="R70" s="25"/>
      <c r="S70" s="37">
        <f>SUM(U70:U70)/IF(AG70="EC",12,1)</f>
        <v>1</v>
      </c>
      <c r="T70" s="52" t="str">
        <f t="shared" si="4"/>
        <v>NorthBound</v>
      </c>
      <c r="U70" s="16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09:29:10-0600',mode:absolute,to:'2016-09-12 12:10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70" s="54" t="str">
        <f t="shared" si="6"/>
        <v>N</v>
      </c>
      <c r="X70" s="168">
        <f t="shared" si="24"/>
        <v>1</v>
      </c>
      <c r="Y70" s="69">
        <f t="shared" si="8"/>
        <v>4.9299999999999997E-2</v>
      </c>
      <c r="Z70" s="69">
        <f t="shared" si="9"/>
        <v>23.3247</v>
      </c>
      <c r="AA70" s="69">
        <f t="shared" si="10"/>
        <v>23.275400000000001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 t="shared" si="11"/>
        <v>0155-12</v>
      </c>
      <c r="AE70" s="99" t="str">
        <f t="shared" si="12"/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70" s="96" t="str">
        <f t="shared" si="13"/>
        <v>"C:\Program Files (x86)\AstroGrep\AstroGrep.exe" /spath="%USERPROFILE%\AppData\Local\Temp\OnboardLogs" /stypes="app*4027*20160912*" /stext=" 17:.+((SYSTEM_STATE.+slice.+state.+changed )|(ment ac)|(system.+state.+changed )|(\|lc)|(penalty)|(\[timeout)|(PRM\|1\|D)|(kpr)|(kdp))" /e /r /s</v>
      </c>
      <c r="AG70" s="1" t="str">
        <f t="shared" si="14"/>
        <v>EC</v>
      </c>
      <c r="AH70" s="100" t="str">
        <f t="shared" si="17"/>
        <v>"%USERPROFILE%\Documents\GitHub\eaglep3\Utilities\RefineRTDCRunTimes.py" --tripid 155-12 --locoid 4027 --swversion DE.1.0.7.0 --startMP 204:493 --initTime 2016-09-12T10:29:10 --startdatetime 2016-09-12T10:31:24 --delay 1 --endMP 204:233247 --enddatetime 2016-09-12T11:10:09 --enforcementcount 2 &gt;&gt;C:\Users\stu\Documents\GitHub\eaglep3-reporting\EC\2016-09-12-refined-times.txt</v>
      </c>
      <c r="AI70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{"issue":{"subject":"","project_id":79,"tracker_id":40,"status_id":1,"priority_id":2,"assigned_to_id":23,"start_date":"2016-09-12","description":"","custom_fields":[{"id":1,"name":"Subdivision","value":"EC"},{"id":4,"name":"Milepost","value":"23.2754"},{"id":17,"name":"Train ID","value":"155-12"},{"id":16,"name":"Locomotive ID","value":"4027"},{"id":130,"name":"Impact","value":""},{"id":150,"name":"Time of Event (Mountain Time)","value":"11:10:09"},{"id":151,"name":"Denver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503</v>
      </c>
      <c r="B71" s="7">
        <v>4028</v>
      </c>
      <c r="C71" s="24" t="s">
        <v>108</v>
      </c>
      <c r="D71" s="24" t="s">
        <v>504</v>
      </c>
      <c r="E71" s="15">
        <v>42625.471539351849</v>
      </c>
      <c r="F71" s="15">
        <v>42625.477500000001</v>
      </c>
      <c r="G71" s="7">
        <v>2</v>
      </c>
      <c r="H71" s="15" t="s">
        <v>505</v>
      </c>
      <c r="I71" s="15">
        <v>42625.497071759259</v>
      </c>
      <c r="J71" s="7">
        <v>2</v>
      </c>
      <c r="K71" s="121" t="str">
        <f t="shared" si="0"/>
        <v>4027/4028</v>
      </c>
      <c r="L71" s="24" t="str">
        <f>VLOOKUP(A71,'Trips&amp;Operators'!$C$1:$E$10000,3,FALSE)</f>
        <v>DAVIS</v>
      </c>
      <c r="M71" s="6">
        <f t="shared" si="1"/>
        <v>1.9571759257814847E-2</v>
      </c>
      <c r="N71" s="7"/>
      <c r="O71" s="7"/>
      <c r="P71" s="7">
        <f>24*60*SUM($M71:$M72)</f>
        <v>38.533333330415189</v>
      </c>
      <c r="Q71" s="25"/>
      <c r="R71" s="25" t="s">
        <v>754</v>
      </c>
      <c r="S71" s="37">
        <f>SUM(U71:U72)/IF(AG71="EC",12,1)</f>
        <v>0.5</v>
      </c>
      <c r="T71" s="52" t="str">
        <f t="shared" si="4"/>
        <v>Southbound</v>
      </c>
      <c r="U71" s="16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3</v>
      </c>
      <c r="V7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10:19:01-0600',mode:absolute,to:'2016-09-12 12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71" s="54" t="str">
        <f t="shared" si="6"/>
        <v>Y</v>
      </c>
      <c r="X71" s="168">
        <f t="shared" si="24"/>
        <v>1</v>
      </c>
      <c r="Y71" s="69">
        <f t="shared" si="8"/>
        <v>23.2928</v>
      </c>
      <c r="Z71" s="69">
        <f t="shared" si="9"/>
        <v>6.4150999999999998</v>
      </c>
      <c r="AA71" s="69">
        <f t="shared" si="10"/>
        <v>16.877700000000001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 t="shared" si="11"/>
        <v>0156-12</v>
      </c>
      <c r="AE71" s="99" t="str">
        <f t="shared" si="12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71" s="96" t="str">
        <f t="shared" si="13"/>
        <v>"C:\Program Files (x86)\AstroGrep\AstroGrep.exe" /spath="%USERPROFILE%\AppData\Local\Temp\OnboardLogs" /stypes="app*4028*20160912*" /stext=" 17:.+((SYSTEM_STATE.+slice.+state.+changed )|(ment ac)|(system.+state.+changed )|(\|lc)|(penalty)|(\[timeout)|(PRM\|1\|D)|(kpr)|(kdp))" /e /r /s</v>
      </c>
      <c r="AG71" s="1" t="str">
        <f t="shared" si="14"/>
        <v>EC</v>
      </c>
      <c r="AH71" s="100" t="str">
        <f t="shared" si="17"/>
        <v>"%USERPROFILE%\Documents\GitHub\eaglep3\Utilities\RefineRTDCRunTimes.py" --tripid 156-12 --locoid 4028 --swversion DE.1.0.7.0 --startMP 204:232928 --initTime 2016-09-12T11:19:01 --startdatetime 2016-09-12T11:27:36 --delay 2 --endMP 204:64151 --enddatetime 2016-09-12T11:55:47 --enforcementcount 2 &gt;&gt;C:\Users\stu\Documents\GitHub\eaglep3-reporting\EC\2016-09-12-refined-times.txt</v>
      </c>
      <c r="AI71" s="134" t="str">
        <f t="shared" si="18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malfunction","project_id":79,"tracker_id":40,"status_id":1,"priority_id":2,"assigned_to_id":23,"start_date":"2016-09-12","description":"","custom_fields":[{"id":1,"name":"Subdivision","value":"EC"},{"id":4,"name":"Milepost","value":"16.8777"},{"id":17,"name":"Train ID","value":"156-12"},{"id":16,"name":"Locomotive ID","value":"4028"},{"id":130,"name":"Impact","value":""},{"id":150,"name":"Time of Event (Mountain Time)","value":"11:55:47"},{"id":151,"name":"Denver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503</v>
      </c>
      <c r="B72" s="7">
        <v>4028</v>
      </c>
      <c r="C72" s="24" t="s">
        <v>108</v>
      </c>
      <c r="D72" s="24" t="s">
        <v>506</v>
      </c>
      <c r="E72" s="15">
        <v>42625.503657407404</v>
      </c>
      <c r="F72" s="15">
        <v>42625.504629629628</v>
      </c>
      <c r="G72" s="7">
        <v>0</v>
      </c>
      <c r="H72" s="15" t="s">
        <v>507</v>
      </c>
      <c r="I72" s="15">
        <v>42625.511817129627</v>
      </c>
      <c r="J72" s="7">
        <v>2</v>
      </c>
      <c r="K72" s="121" t="str">
        <f t="shared" si="0"/>
        <v>4027/4028</v>
      </c>
      <c r="L72" s="24" t="str">
        <f>VLOOKUP(A72,'Trips&amp;Operators'!$C$1:$E$10000,3,FALSE)</f>
        <v>DAVIS</v>
      </c>
      <c r="M72" s="6">
        <f t="shared" si="1"/>
        <v>7.1874999994179234E-3</v>
      </c>
      <c r="N72" s="7"/>
      <c r="O72" s="7"/>
      <c r="P72" s="7"/>
      <c r="Q72" s="25"/>
      <c r="R72" s="25"/>
      <c r="S72" s="37"/>
      <c r="T72" s="52" t="str">
        <f t="shared" si="4"/>
        <v>Southbound</v>
      </c>
      <c r="U72" s="16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3</v>
      </c>
      <c r="V7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11:05:16-0600',mode:absolute,to:'2016-09-12 13:17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72" s="54" t="str">
        <f t="shared" si="6"/>
        <v>Y</v>
      </c>
      <c r="X72" s="168">
        <f t="shared" si="24"/>
        <v>0</v>
      </c>
      <c r="Y72" s="69">
        <f t="shared" si="8"/>
        <v>3.6798999999999999</v>
      </c>
      <c r="Z72" s="69">
        <f t="shared" si="9"/>
        <v>1.8499999999999999E-2</v>
      </c>
      <c r="AA72" s="69">
        <f t="shared" si="10"/>
        <v>3.6614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 t="shared" si="11"/>
        <v>0156-12</v>
      </c>
      <c r="AE72" s="99" t="str">
        <f t="shared" si="12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72" s="96" t="str">
        <f t="shared" si="13"/>
        <v>"C:\Program Files (x86)\AstroGrep\AstroGrep.exe" /spath="%USERPROFILE%\AppData\Local\Temp\OnboardLogs" /stypes="app*4028*20160912*" /stext=" 18:.+((SYSTEM_STATE.+slice.+state.+changed )|(ment ac)|(system.+state.+changed )|(\|lc)|(penalty)|(\[timeout)|(PRM\|1\|D)|(kpr)|(kdp))" /e /r /s</v>
      </c>
      <c r="AG72" s="1" t="str">
        <f t="shared" si="14"/>
        <v>EC</v>
      </c>
      <c r="AH72" s="100" t="str">
        <f t="shared" si="17"/>
        <v>"%USERPROFILE%\Documents\GitHub\eaglep3\Utilities\RefineRTDCRunTimes.py" --tripid 156-12 --locoid 4028 --swversion DE.1.0.7.0 --startMP 204:36799 --initTime 2016-09-12T12:05:16 --startdatetime 2016-09-12T12:06:40 --delay 0 --endMP 204:185 --enddatetime 2016-09-12T12:17:01 --enforcementcount 2 &gt;&gt;C:\Users\stu\Documents\GitHub\eaglep3-reporting\EC\2016-09-12-refined-times.txt</v>
      </c>
      <c r="AI72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{"issue":{"subject":"","project_id":79,"tracker_id":40,"status_id":1,"priority_id":2,"assigned_to_id":23,"start_date":"2016-09-12","description":"","custom_fields":[{"id":1,"name":"Subdivision","value":"EC"},{"id":4,"name":"Milepost","value":"3.6614"},{"id":17,"name":"Train ID","value":"156-12"},{"id":16,"name":"Locomotive ID","value":"4028"},{"id":130,"name":"Impact","value":""},{"id":150,"name":"Time of Event (Mountain Time)","value":"12:17:01"},{"id":151,"name":"Denver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hidden="1" x14ac:dyDescent="0.25">
      <c r="A73" s="39" t="s">
        <v>508</v>
      </c>
      <c r="B73" s="7">
        <v>4038</v>
      </c>
      <c r="C73" s="24" t="s">
        <v>108</v>
      </c>
      <c r="D73" s="24" t="s">
        <v>509</v>
      </c>
      <c r="E73" s="15">
        <v>42625.446435185186</v>
      </c>
      <c r="F73" s="15">
        <v>42625.448113425926</v>
      </c>
      <c r="G73" s="7">
        <v>1</v>
      </c>
      <c r="H73" s="15" t="s">
        <v>350</v>
      </c>
      <c r="I73" s="15">
        <v>42625.473483796297</v>
      </c>
      <c r="J73" s="7">
        <v>2</v>
      </c>
      <c r="K73" s="121" t="str">
        <f t="shared" si="0"/>
        <v>4037/4038</v>
      </c>
      <c r="L73" s="24" t="str">
        <f>VLOOKUP(A73,'Trips&amp;Operators'!$C$1:$E$10000,3,FALSE)</f>
        <v>MALAVE</v>
      </c>
      <c r="M73" s="6">
        <f t="shared" si="1"/>
        <v>2.5370370371092577E-2</v>
      </c>
      <c r="N73" s="7">
        <f>24*60*SUM($M73:$M73)</f>
        <v>36.53333333437331</v>
      </c>
      <c r="O73" s="7"/>
      <c r="P73" s="7"/>
      <c r="Q73" s="25"/>
      <c r="R73" s="25"/>
      <c r="S73" s="37">
        <f t="shared" ref="S73:S79" si="25">SUM(U73:U73)/IF(AG73="EC",12,1)</f>
        <v>1</v>
      </c>
      <c r="T73" s="52" t="str">
        <f t="shared" si="4"/>
        <v>NorthBound</v>
      </c>
      <c r="U73" s="16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09:42:52-0600',mode:absolute,to:'2016-09-12 12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73" s="54" t="str">
        <f t="shared" si="6"/>
        <v>N</v>
      </c>
      <c r="X73" s="168">
        <f t="shared" si="24"/>
        <v>1</v>
      </c>
      <c r="Y73" s="69">
        <f t="shared" si="8"/>
        <v>4.82E-2</v>
      </c>
      <c r="Z73" s="69">
        <f t="shared" si="9"/>
        <v>23.327999999999999</v>
      </c>
      <c r="AA73" s="69">
        <f t="shared" si="10"/>
        <v>23.279799999999998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 t="shared" si="11"/>
        <v>0157-12</v>
      </c>
      <c r="AE73" s="99" t="str">
        <f t="shared" si="12"/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73" s="96" t="str">
        <f t="shared" si="13"/>
        <v>"C:\Program Files (x86)\AstroGrep\AstroGrep.exe" /spath="%USERPROFILE%\AppData\Local\Temp\OnboardLogs" /stypes="app*4038*20160912*" /stext=" 17:.+((SYSTEM_STATE.+slice.+state.+changed )|(ment ac)|(system.+state.+changed )|(\|lc)|(penalty)|(\[timeout)|(PRM\|1\|D)|(kpr)|(kdp))" /e /r /s</v>
      </c>
      <c r="AG73" s="1" t="str">
        <f t="shared" si="14"/>
        <v>EC</v>
      </c>
      <c r="AH73" s="100" t="str">
        <f t="shared" si="17"/>
        <v>"%USERPROFILE%\Documents\GitHub\eaglep3\Utilities\RefineRTDCRunTimes.py" --tripid 157-12 --locoid 4038 --swversion DE.1.0.7.0 --startMP 204:482 --initTime 2016-09-12T10:42:52 --startdatetime 2016-09-12T10:45:17 --delay 1 --endMP 204:233280 --enddatetime 2016-09-12T11:21:49 --enforcementcount 2 &gt;&gt;C:\Users\stu\Documents\GitHub\eaglep3-reporting\EC\2016-09-12-refined-times.txt</v>
      </c>
      <c r="AI73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{"issue":{"subject":"","project_id":79,"tracker_id":40,"status_id":1,"priority_id":2,"assigned_to_id":23,"start_date":"2016-09-12","description":"","custom_fields":[{"id":1,"name":"Subdivision","value":"EC"},{"id":4,"name":"Milepost","value":"23.2798"},{"id":17,"name":"Train ID","value":"157-12"},{"id":16,"name":"Locomotive ID","value":"4038"},{"id":130,"name":"Impact","value":""},{"id":150,"name":"Time of Event (Mountain Time)","value":"11:21:49"},{"id":151,"name":"Denver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hidden="1" x14ac:dyDescent="0.25">
      <c r="A74" s="39" t="s">
        <v>400</v>
      </c>
      <c r="B74" s="7">
        <v>4037</v>
      </c>
      <c r="C74" s="24" t="s">
        <v>108</v>
      </c>
      <c r="D74" s="24" t="s">
        <v>510</v>
      </c>
      <c r="E74" s="15">
        <v>42625.484039351853</v>
      </c>
      <c r="F74" s="15">
        <v>42625.487824074073</v>
      </c>
      <c r="G74" s="7">
        <v>5</v>
      </c>
      <c r="H74" s="15" t="s">
        <v>347</v>
      </c>
      <c r="I74" s="15">
        <v>42625.519606481481</v>
      </c>
      <c r="J74" s="7">
        <v>2</v>
      </c>
      <c r="K74" s="121" t="str">
        <f t="shared" si="0"/>
        <v>4037/4038</v>
      </c>
      <c r="L74" s="24" t="str">
        <f>VLOOKUP(A74,'Trips&amp;Operators'!$C$1:$E$10000,3,FALSE)</f>
        <v>MALAVE</v>
      </c>
      <c r="M74" s="6">
        <f t="shared" si="1"/>
        <v>3.178240740817273E-2</v>
      </c>
      <c r="N74" s="7">
        <f>24*60*SUM($M74:$M74)</f>
        <v>45.766666667768732</v>
      </c>
      <c r="O74" s="7"/>
      <c r="P74" s="7"/>
      <c r="Q74" s="25"/>
      <c r="R74" s="25"/>
      <c r="S74" s="37">
        <f t="shared" si="25"/>
        <v>1</v>
      </c>
      <c r="T74" s="52" t="str">
        <f t="shared" si="4"/>
        <v>Southbound</v>
      </c>
      <c r="U74" s="16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10:37:01-0600',mode:absolute,to:'2016-09-12 13:28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74" s="54" t="str">
        <f t="shared" si="6"/>
        <v>N</v>
      </c>
      <c r="X74" s="168">
        <f t="shared" si="24"/>
        <v>1</v>
      </c>
      <c r="Y74" s="69">
        <f t="shared" si="8"/>
        <v>23.295000000000002</v>
      </c>
      <c r="Z74" s="69">
        <f t="shared" si="9"/>
        <v>1.67E-2</v>
      </c>
      <c r="AA74" s="69">
        <f t="shared" si="10"/>
        <v>23.278300000000002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 t="shared" si="11"/>
        <v>0158-12</v>
      </c>
      <c r="AE74" s="99" t="str">
        <f t="shared" si="12"/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AF74" s="96" t="str">
        <f t="shared" si="13"/>
        <v>"C:\Program Files (x86)\AstroGrep\AstroGrep.exe" /spath="%USERPROFILE%\AppData\Local\Temp\OnboardLogs" /stypes="app*4037*20160912*" /stext=" 18:.+((SYSTEM_STATE.+slice.+state.+changed )|(ment ac)|(system.+state.+changed )|(\|lc)|(penalty)|(\[timeout)|(PRM\|1\|D)|(kpr)|(kdp))" /e /r /s</v>
      </c>
      <c r="AG74" s="1" t="str">
        <f t="shared" si="14"/>
        <v>EC</v>
      </c>
      <c r="AH74" s="100" t="str">
        <f t="shared" si="17"/>
        <v>"%USERPROFILE%\Documents\GitHub\eaglep3\Utilities\RefineRTDCRunTimes.py" --tripid 158-12 --locoid 4037 --swversion DE.1.0.7.0 --startMP 204:232950 --initTime 2016-09-12T11:37:01 --startdatetime 2016-09-12T11:42:28 --delay 5 --endMP 204:167 --enddatetime 2016-09-12T12:28:14 --enforcementcount 2 &gt;&gt;C:\Users\stu\Documents\GitHub\eaglep3-reporting\EC\2016-09-12-refined-times.txt</v>
      </c>
      <c r="AI74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{"issue":{"subject":"","project_id":79,"tracker_id":40,"status_id":1,"priority_id":2,"assigned_to_id":23,"start_date":"2016-09-12","description":"","custom_fields":[{"id":1,"name":"Subdivision","value":"EC"},{"id":4,"name":"Milepost","value":"23.2783"},{"id":17,"name":"Train ID","value":"158-12"},{"id":16,"name":"Locomotive ID","value":"4037"},{"id":130,"name":"Impact","value":""},{"id":150,"name":"Time of Event (Mountain Time)","value":"12:28:14"},{"id":151,"name":"Denver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hidden="1" x14ac:dyDescent="0.25">
      <c r="A75" s="39" t="s">
        <v>511</v>
      </c>
      <c r="B75" s="7">
        <v>4009</v>
      </c>
      <c r="C75" s="24" t="s">
        <v>108</v>
      </c>
      <c r="D75" s="24" t="s">
        <v>261</v>
      </c>
      <c r="E75" s="15">
        <v>42625.457870370374</v>
      </c>
      <c r="F75" s="15">
        <v>42625.460543981484</v>
      </c>
      <c r="G75" s="7">
        <v>2</v>
      </c>
      <c r="H75" s="15" t="s">
        <v>472</v>
      </c>
      <c r="I75" s="15">
        <v>42625.485682870371</v>
      </c>
      <c r="J75" s="7">
        <v>2</v>
      </c>
      <c r="K75" s="121" t="str">
        <f t="shared" si="0"/>
        <v>4009/4010</v>
      </c>
      <c r="L75" s="24" t="str">
        <f>VLOOKUP(A75,'Trips&amp;Operators'!$C$1:$E$10000,3,FALSE)</f>
        <v>STEWART</v>
      </c>
      <c r="M75" s="6">
        <f t="shared" si="1"/>
        <v>2.5138888886431232E-2</v>
      </c>
      <c r="N75" s="7">
        <f>24*60*SUM($M75:$M75)</f>
        <v>36.199999996460974</v>
      </c>
      <c r="O75" s="7"/>
      <c r="P75" s="7"/>
      <c r="Q75" s="25"/>
      <c r="R75" s="25"/>
      <c r="S75" s="37">
        <f t="shared" si="25"/>
        <v>1</v>
      </c>
      <c r="T75" s="52" t="str">
        <f t="shared" si="4"/>
        <v>NorthBound</v>
      </c>
      <c r="U75" s="16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09:59:20-0600',mode:absolute,to:'2016-09-12 12:39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75" s="54" t="str">
        <f t="shared" si="6"/>
        <v>N</v>
      </c>
      <c r="X75" s="168">
        <f t="shared" si="24"/>
        <v>1</v>
      </c>
      <c r="Y75" s="69">
        <f t="shared" si="8"/>
        <v>4.6399999999999997E-2</v>
      </c>
      <c r="Z75" s="69">
        <f t="shared" si="9"/>
        <v>23.330400000000001</v>
      </c>
      <c r="AA75" s="69">
        <f t="shared" si="10"/>
        <v>23.284000000000002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 t="shared" si="11"/>
        <v>0159-12</v>
      </c>
      <c r="AE75" s="99" t="str">
        <f t="shared" si="12"/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75" s="96" t="str">
        <f t="shared" si="13"/>
        <v>"C:\Program Files (x86)\AstroGrep\AstroGrep.exe" /spath="%USERPROFILE%\AppData\Local\Temp\OnboardLogs" /stypes="app*4009*20160912*" /stext=" 17:.+((SYSTEM_STATE.+slice.+state.+changed )|(ment ac)|(system.+state.+changed )|(\|lc)|(penalty)|(\[timeout)|(PRM\|1\|D)|(kpr)|(kdp))" /e /r /s</v>
      </c>
      <c r="AG75" s="1" t="str">
        <f t="shared" si="14"/>
        <v>EC</v>
      </c>
      <c r="AH75" s="100" t="str">
        <f t="shared" si="17"/>
        <v>"%USERPROFILE%\Documents\GitHub\eaglep3\Utilities\RefineRTDCRunTimes.py" --tripid 159-12 --locoid 4009 --swversion DE.1.0.7.0 --startMP 204:464 --initTime 2016-09-12T10:59:20 --startdatetime 2016-09-12T11:03:11 --delay 2 --endMP 204:233304 --enddatetime 2016-09-12T11:39:23 --enforcementcount 2 &gt;&gt;C:\Users\stu\Documents\GitHub\eaglep3-reporting\EC\2016-09-12-refined-times.txt</v>
      </c>
      <c r="AI75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{"issue":{"subject":"","project_id":79,"tracker_id":40,"status_id":1,"priority_id":2,"assigned_to_id":23,"start_date":"2016-09-12","description":"","custom_fields":[{"id":1,"name":"Subdivision","value":"EC"},{"id":4,"name":"Milepost","value":"23.284"},{"id":17,"name":"Train ID","value":"159-12"},{"id":16,"name":"Locomotive ID","value":"4009"},{"id":130,"name":"Impact","value":""},{"id":150,"name":"Time of Event (Mountain Time)","value":"11:39:23"},{"id":151,"name":"Denver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hidden="1" x14ac:dyDescent="0.25">
      <c r="A76" s="39" t="s">
        <v>512</v>
      </c>
      <c r="B76" s="7">
        <v>4010</v>
      </c>
      <c r="C76" s="24" t="s">
        <v>108</v>
      </c>
      <c r="D76" s="24" t="s">
        <v>228</v>
      </c>
      <c r="E76" s="15">
        <v>42625.495995370373</v>
      </c>
      <c r="F76" s="15">
        <v>42625.498611111114</v>
      </c>
      <c r="G76" s="7">
        <v>1</v>
      </c>
      <c r="H76" s="15" t="s">
        <v>513</v>
      </c>
      <c r="I76" s="15">
        <v>42625.520648148151</v>
      </c>
      <c r="J76" s="7">
        <v>2</v>
      </c>
      <c r="K76" s="121" t="str">
        <f t="shared" si="0"/>
        <v>4009/4010</v>
      </c>
      <c r="L76" s="24" t="str">
        <f>VLOOKUP(A76,'Trips&amp;Operators'!$C$1:$E$10000,3,FALSE)</f>
        <v>STEWART</v>
      </c>
      <c r="M76" s="6">
        <f t="shared" si="1"/>
        <v>2.2037037037080154E-2</v>
      </c>
      <c r="N76" s="7"/>
      <c r="O76" s="7"/>
      <c r="P76" s="7">
        <f>24*60*SUM($M76:$M76)</f>
        <v>31.733333333395422</v>
      </c>
      <c r="Q76" s="25"/>
      <c r="R76" s="25" t="s">
        <v>754</v>
      </c>
      <c r="S76" s="37">
        <f t="shared" si="25"/>
        <v>0.33333333333333331</v>
      </c>
      <c r="T76" s="52" t="str">
        <f t="shared" si="4"/>
        <v>Southbound</v>
      </c>
      <c r="U76" s="16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4</v>
      </c>
      <c r="V7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10:54:14-0600',mode:absolute,to:'2016-09-12 13:29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76" s="54" t="str">
        <f t="shared" si="6"/>
        <v>Y</v>
      </c>
      <c r="X76" s="168">
        <f t="shared" si="24"/>
        <v>1</v>
      </c>
      <c r="Y76" s="69">
        <f t="shared" si="8"/>
        <v>23.299099999999999</v>
      </c>
      <c r="Z76" s="69">
        <f t="shared" si="9"/>
        <v>6.0362</v>
      </c>
      <c r="AA76" s="69">
        <f t="shared" si="10"/>
        <v>17.262899999999998</v>
      </c>
      <c r="AB76" s="66" t="e">
        <f>VLOOKUP(A76,Enforcements!$C$7:$K$21,8,0)</f>
        <v>#N/A</v>
      </c>
      <c r="AC76" s="62" t="e">
        <f>VLOOKUP(A76,Enforcements!$C$7:$E$21,3,0)</f>
        <v>#N/A</v>
      </c>
      <c r="AD76" s="63" t="str">
        <f t="shared" si="11"/>
        <v>0160-12</v>
      </c>
      <c r="AE76" s="99" t="str">
        <f t="shared" si="12"/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76" s="96" t="str">
        <f t="shared" si="13"/>
        <v>"C:\Program Files (x86)\AstroGrep\AstroGrep.exe" /spath="%USERPROFILE%\AppData\Local\Temp\OnboardLogs" /stypes="app*4010*20160912*" /stext=" 18:.+((SYSTEM_STATE.+slice.+state.+changed )|(ment ac)|(system.+state.+changed )|(\|lc)|(penalty)|(\[timeout)|(PRM\|1\|D)|(kpr)|(kdp))" /e /r /s</v>
      </c>
      <c r="AG76" s="1" t="str">
        <f t="shared" si="14"/>
        <v>EC</v>
      </c>
      <c r="AH76" s="100" t="str">
        <f t="shared" si="17"/>
        <v>"%USERPROFILE%\Documents\GitHub\eaglep3\Utilities\RefineRTDCRunTimes.py" --tripid 160-12 --locoid 4010 --swversion DE.1.0.7.0 --startMP 204:232991 --initTime 2016-09-12T11:54:14 --startdatetime 2016-09-12T11:58:00 --delay 1 --endMP 204:60362 --enddatetime 2016-09-12T12:29:44 --enforcementcount 2 &gt;&gt;C:\Users\stu\Documents\GitHub\eaglep3-reporting\EC\2016-09-12-refined-times.txt</v>
      </c>
      <c r="AI76" s="134" t="str">
        <f t="shared" si="18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malfunction","project_id":79,"tracker_id":40,"status_id":1,"priority_id":2,"assigned_to_id":23,"start_date":"2016-09-12","description":"","custom_fields":[{"id":1,"name":"Subdivision","value":"EC"},{"id":4,"name":"Milepost","value":"17.2629"},{"id":17,"name":"Train ID","value":"160-12"},{"id":16,"name":"Locomotive ID","value":"4010"},{"id":130,"name":"Impact","value":""},{"id":150,"name":"Time of Event (Mountain Time)","value":"12:29:44"},{"id":151,"name":"Denver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hidden="1" x14ac:dyDescent="0.25">
      <c r="A77" s="39" t="s">
        <v>514</v>
      </c>
      <c r="B77" s="7">
        <v>4014</v>
      </c>
      <c r="C77" s="24" t="s">
        <v>108</v>
      </c>
      <c r="D77" s="24" t="s">
        <v>515</v>
      </c>
      <c r="E77" s="15">
        <v>42625.469351851854</v>
      </c>
      <c r="F77" s="15">
        <v>42625.471643518518</v>
      </c>
      <c r="G77" s="7">
        <v>1</v>
      </c>
      <c r="H77" s="15" t="s">
        <v>273</v>
      </c>
      <c r="I77" s="15">
        <v>42625.496354166666</v>
      </c>
      <c r="J77" s="7">
        <v>2</v>
      </c>
      <c r="K77" s="121" t="str">
        <f t="shared" ref="K77:K142" si="26">IF(ISEVEN(B77),(B77-1)&amp;"/"&amp;B77,B77&amp;"/"&amp;(B77+1))</f>
        <v>4013/4014</v>
      </c>
      <c r="L77" s="24" t="str">
        <f>VLOOKUP(A77,'Trips&amp;Operators'!$C$1:$E$10000,3,FALSE)</f>
        <v>BARTLETT</v>
      </c>
      <c r="M77" s="6">
        <f t="shared" ref="M77:M142" si="27">I77-F77</f>
        <v>2.47106481474475E-2</v>
      </c>
      <c r="N77" s="7">
        <f>24*60*SUM($M77:$M77)</f>
        <v>35.583333332324401</v>
      </c>
      <c r="O77" s="7"/>
      <c r="P77" s="7"/>
      <c r="Q77" s="25"/>
      <c r="R77" s="25"/>
      <c r="S77" s="37">
        <f t="shared" si="25"/>
        <v>1</v>
      </c>
      <c r="T77" s="52" t="str">
        <f t="shared" ref="T77:T142" si="28">IF(ISEVEN(LEFT(AD77,4)),"Southbound","NorthBound")</f>
        <v>NorthBound</v>
      </c>
      <c r="U77" s="16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42" si="29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https://search-rtdc-monitor-bjffxe2xuh6vdkpspy63sjmuny.us-east-1.es.amazonaws.com/_plugin/kibana/#/discover/Steve-Slow-Train-Analysis-(2080s-and-2083s)?_g=(refreshInterval:(display:Off,section:0,value:0),time:(from:'2016-09-12 10:15:52-0600',mode:absolute,to:'2016-09-12 12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77" s="54" t="str">
        <f t="shared" ref="W77:W142" si="30">IF(AA77&lt;IF(AG77="EC",23,5.65),"Y","N")</f>
        <v>N</v>
      </c>
      <c r="X77" s="168">
        <f t="shared" si="24"/>
        <v>1</v>
      </c>
      <c r="Y77" s="69">
        <f t="shared" ref="Y77:Y142" si="31">RIGHT(D77,LEN(D77)-4)/10000</f>
        <v>4.4600000000000001E-2</v>
      </c>
      <c r="Z77" s="69">
        <f t="shared" ref="Z77:Z142" si="32">RIGHT(H77,LEN(H77)-4)/10000</f>
        <v>23.329499999999999</v>
      </c>
      <c r="AA77" s="69">
        <f t="shared" ref="AA77:AA142" si="33">ABS(Z77-Y77)</f>
        <v>23.2849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 t="shared" ref="AD77:AD142" si="34">IF(LEN(A77)=6,"0"&amp;A77,A77)</f>
        <v>0161-12</v>
      </c>
      <c r="AE77" s="99" t="str">
        <f t="shared" ref="AE77:AE142" si="35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77" s="96" t="str">
        <f t="shared" ref="AF77:AF142" si="36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/stypes="app*4014*20160912*" /stext=" 17:.+((SYSTEM_STATE.+slice.+state.+changed )|(ment ac)|(system.+state.+changed )|(\|lc)|(penalty)|(\[timeout)|(PRM\|1\|D)|(kpr)|(kdp))" /e /r /s</v>
      </c>
      <c r="AG77" s="1" t="str">
        <f t="shared" ref="AG77:AG142" si="37">IFERROR(IF(VALUE(LEFT(AD77,2))&lt;=2,"EC",IF(OR(VALUE(LEFT(AD77,2))=8,VALUE(LEFT(AD77,2))=18),"NW","Other")),"Other")</f>
        <v>EC</v>
      </c>
      <c r="AH77" s="100" t="str">
        <f t="shared" ref="AH77:AH142" si="38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161-12 --locoid 4014 --swversion DE.1.0.7.0 --startMP 204:446 --initTime 2016-09-12T11:15:52 --startdatetime 2016-09-12T11:19:10 --delay 1 --endMP 204:233295 --enddatetime 2016-09-12T11:54:45 --enforcementcount 2 &gt;&gt;C:\Users\stu\Documents\GitHub\eaglep3-reporting\EC\2016-09-12-refined-times.txt</v>
      </c>
      <c r="AI77" s="134" t="str">
        <f t="shared" ref="AI77:AI142" si="39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AA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{"issue":{"subject":"","project_id":79,"tracker_id":40,"status_id":1,"priority_id":2,"assigned_to_id":23,"start_date":"2016-09-12","description":"","custom_fields":[{"id":1,"name":"Subdivision","value":"EC"},{"id":4,"name":"Milepost","value":"23.2849"},{"id":17,"name":"Train ID","value":"161-12"},{"id":16,"name":"Locomotive ID","value":"4014"},{"id":130,"name":"Impact","value":""},{"id":150,"name":"Time of Event (Mountain Time)","value":"11:54:45"},{"id":151,"name":"Denver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hidden="1" x14ac:dyDescent="0.25">
      <c r="A78" s="39" t="s">
        <v>516</v>
      </c>
      <c r="B78" s="7">
        <v>4013</v>
      </c>
      <c r="C78" s="24" t="s">
        <v>108</v>
      </c>
      <c r="D78" s="24" t="s">
        <v>293</v>
      </c>
      <c r="E78" s="15">
        <v>42625.498761574076</v>
      </c>
      <c r="F78" s="15">
        <v>42625.509189814817</v>
      </c>
      <c r="G78" s="7">
        <v>1</v>
      </c>
      <c r="H78" s="15" t="s">
        <v>224</v>
      </c>
      <c r="I78" s="15">
        <v>42625.541909722226</v>
      </c>
      <c r="J78" s="7">
        <v>2</v>
      </c>
      <c r="K78" s="121" t="str">
        <f t="shared" si="26"/>
        <v>4013/4014</v>
      </c>
      <c r="L78" s="24" t="str">
        <f>VLOOKUP(A78,'Trips&amp;Operators'!$C$1:$E$10000,3,FALSE)</f>
        <v>BARTLETT</v>
      </c>
      <c r="M78" s="6">
        <f t="shared" si="27"/>
        <v>3.2719907409045845E-2</v>
      </c>
      <c r="N78" s="7">
        <f>24*60*SUM($M78:$M78)</f>
        <v>47.116666669026017</v>
      </c>
      <c r="O78" s="7"/>
      <c r="P78" s="7"/>
      <c r="Q78" s="25"/>
      <c r="R78" s="25"/>
      <c r="S78" s="37">
        <f t="shared" si="25"/>
        <v>1</v>
      </c>
      <c r="T78" s="52" t="str">
        <f t="shared" si="28"/>
        <v>Southbound</v>
      </c>
      <c r="U78" s="16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10:58:13-0600',mode:absolute,to:'2016-09-12 14:00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78" s="54" t="str">
        <f t="shared" si="30"/>
        <v>N</v>
      </c>
      <c r="X78" s="168">
        <f t="shared" si="24"/>
        <v>1</v>
      </c>
      <c r="Y78" s="69">
        <f t="shared" si="31"/>
        <v>23.297999999999998</v>
      </c>
      <c r="Z78" s="69">
        <f t="shared" si="32"/>
        <v>1.6E-2</v>
      </c>
      <c r="AA78" s="69">
        <f t="shared" si="33"/>
        <v>23.282</v>
      </c>
      <c r="AB78" s="66" t="e">
        <f>VLOOKUP(A78,Enforcements!$C$7:$K$21,8,0)</f>
        <v>#N/A</v>
      </c>
      <c r="AC78" s="62" t="e">
        <f>VLOOKUP(A78,Enforcements!$C$7:$E$21,3,0)</f>
        <v>#N/A</v>
      </c>
      <c r="AD78" s="63" t="str">
        <f t="shared" si="34"/>
        <v>0162-12</v>
      </c>
      <c r="AE78" s="99" t="str">
        <f t="shared" si="35"/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78" s="96" t="str">
        <f t="shared" si="36"/>
        <v>"C:\Program Files (x86)\AstroGrep\AstroGrep.exe" /spath="%USERPROFILE%\AppData\Local\Temp\OnboardLogs" /stypes="app*4013*20160912*" /stext=" 19:.+((SYSTEM_STATE.+slice.+state.+changed )|(ment ac)|(system.+state.+changed )|(\|lc)|(penalty)|(\[timeout)|(PRM\|1\|D)|(kpr)|(kdp))" /e /r /s</v>
      </c>
      <c r="AG78" s="1" t="str">
        <f t="shared" si="37"/>
        <v>EC</v>
      </c>
      <c r="AH78" s="100" t="str">
        <f t="shared" si="38"/>
        <v>"%USERPROFILE%\Documents\GitHub\eaglep3\Utilities\RefineRTDCRunTimes.py" --tripid 162-12 --locoid 4013 --swversion DE.1.0.7.0 --startMP 204:232980 --initTime 2016-09-12T11:58:13 --startdatetime 2016-09-12T12:13:14 --delay 1 --endMP 204:160 --enddatetime 2016-09-12T13:00:21 --enforcementcount 2 &gt;&gt;C:\Users\stu\Documents\GitHub\eaglep3-reporting\EC\2016-09-12-refined-times.txt</v>
      </c>
      <c r="AI78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{"issue":{"subject":"","project_id":79,"tracker_id":40,"status_id":1,"priority_id":2,"assigned_to_id":23,"start_date":"2016-09-12","description":"","custom_fields":[{"id":1,"name":"Subdivision","value":"EC"},{"id":4,"name":"Milepost","value":"23.282"},{"id":17,"name":"Train ID","value":"162-12"},{"id":16,"name":"Locomotive ID","value":"4013"},{"id":130,"name":"Impact","value":""},{"id":150,"name":"Time of Event (Mountain Time)","value":"13:00:21"},{"id":151,"name":"Denver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hidden="1" x14ac:dyDescent="0.25">
      <c r="A79" s="39" t="s">
        <v>517</v>
      </c>
      <c r="B79" s="7">
        <v>4002</v>
      </c>
      <c r="C79" s="24" t="s">
        <v>108</v>
      </c>
      <c r="D79" s="24" t="s">
        <v>518</v>
      </c>
      <c r="E79" s="15">
        <v>42625.47556712963</v>
      </c>
      <c r="F79" s="15">
        <v>42625.479537037034</v>
      </c>
      <c r="G79" s="7">
        <v>1</v>
      </c>
      <c r="H79" s="15" t="s">
        <v>223</v>
      </c>
      <c r="I79" s="15">
        <v>42625.510011574072</v>
      </c>
      <c r="J79" s="7">
        <v>2</v>
      </c>
      <c r="K79" s="121" t="str">
        <f t="shared" si="26"/>
        <v>4001/4002</v>
      </c>
      <c r="L79" s="24" t="str">
        <f>VLOOKUP(A79,'Trips&amp;Operators'!$C$1:$E$10000,3,FALSE)</f>
        <v>BROWN</v>
      </c>
      <c r="M79" s="6">
        <f t="shared" si="27"/>
        <v>3.047453703766223E-2</v>
      </c>
      <c r="N79" s="7">
        <f>24*60*SUM($M79:$M79)</f>
        <v>43.883333334233612</v>
      </c>
      <c r="O79" s="7"/>
      <c r="P79" s="7"/>
      <c r="Q79" s="25"/>
      <c r="R79" s="25"/>
      <c r="S79" s="37">
        <f t="shared" si="25"/>
        <v>1</v>
      </c>
      <c r="T79" s="52" t="str">
        <f t="shared" si="28"/>
        <v>NorthBound</v>
      </c>
      <c r="U79" s="16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10:24:49-0600',mode:absolute,to:'2016-09-12 13:14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79" s="54" t="str">
        <f t="shared" si="30"/>
        <v>N</v>
      </c>
      <c r="X79" s="168">
        <f t="shared" si="24"/>
        <v>1</v>
      </c>
      <c r="Y79" s="69">
        <f t="shared" si="31"/>
        <v>5.6000000000000001E-2</v>
      </c>
      <c r="Z79" s="69">
        <f t="shared" si="32"/>
        <v>23.331399999999999</v>
      </c>
      <c r="AA79" s="69">
        <f t="shared" si="33"/>
        <v>23.275399999999998</v>
      </c>
      <c r="AB79" s="66" t="e">
        <f>VLOOKUP(A79,Enforcements!$C$7:$K$21,8,0)</f>
        <v>#N/A</v>
      </c>
      <c r="AC79" s="62" t="e">
        <f>VLOOKUP(A79,Enforcements!$C$7:$E$21,3,0)</f>
        <v>#N/A</v>
      </c>
      <c r="AD79" s="63" t="str">
        <f t="shared" si="34"/>
        <v>0163-12</v>
      </c>
      <c r="AE79" s="99" t="str">
        <f t="shared" si="35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79" s="96" t="str">
        <f t="shared" si="36"/>
        <v>"C:\Program Files (x86)\AstroGrep\AstroGrep.exe" /spath="%USERPROFILE%\AppData\Local\Temp\OnboardLogs" /stypes="app*4002*20160912*" /stext=" 18:.+((SYSTEM_STATE.+slice.+state.+changed )|(ment ac)|(system.+state.+changed )|(\|lc)|(penalty)|(\[timeout)|(PRM\|1\|D)|(kpr)|(kdp))" /e /r /s</v>
      </c>
      <c r="AG79" s="1" t="str">
        <f t="shared" si="37"/>
        <v>EC</v>
      </c>
      <c r="AH79" s="100" t="str">
        <f t="shared" si="38"/>
        <v>"%USERPROFILE%\Documents\GitHub\eaglep3\Utilities\RefineRTDCRunTimes.py" --tripid 163-12 --locoid 4002 --swversion DE.1.0.7.0 --startMP 204:560 --initTime 2016-09-12T11:24:49 --startdatetime 2016-09-12T11:30:32 --delay 1 --endMP 204:233314 --enddatetime 2016-09-12T12:14:25 --enforcementcount 2 &gt;&gt;C:\Users\stu\Documents\GitHub\eaglep3-reporting\EC\2016-09-12-refined-times.txt</v>
      </c>
      <c r="AI79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{"issue":{"subject":"","project_id":79,"tracker_id":40,"status_id":1,"priority_id":2,"assigned_to_id":23,"start_date":"2016-09-12","description":"","custom_fields":[{"id":1,"name":"Subdivision","value":"EC"},{"id":4,"name":"Milepost","value":"23.2754"},{"id":17,"name":"Train ID","value":"163-12"},{"id":16,"name":"Locomotive ID","value":"4002"},{"id":130,"name":"Impact","value":""},{"id":150,"name":"Time of Event (Mountain Time)","value":"12:14:25"},{"id":151,"name":"Denver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hidden="1" x14ac:dyDescent="0.25">
      <c r="A80" s="39" t="s">
        <v>519</v>
      </c>
      <c r="B80" s="7">
        <v>4001</v>
      </c>
      <c r="C80" s="24" t="s">
        <v>108</v>
      </c>
      <c r="D80" s="24" t="s">
        <v>292</v>
      </c>
      <c r="E80" s="15">
        <v>42625.514999999999</v>
      </c>
      <c r="F80" s="15">
        <v>42625.518217592595</v>
      </c>
      <c r="G80" s="7">
        <v>2</v>
      </c>
      <c r="H80" s="15" t="s">
        <v>520</v>
      </c>
      <c r="I80" s="15">
        <v>42625.534629629627</v>
      </c>
      <c r="J80" s="7">
        <v>2</v>
      </c>
      <c r="K80" s="121" t="str">
        <f t="shared" si="26"/>
        <v>4001/4002</v>
      </c>
      <c r="L80" s="24" t="str">
        <f>VLOOKUP(A80,'Trips&amp;Operators'!$C$1:$E$10000,3,FALSE)</f>
        <v>BROWN</v>
      </c>
      <c r="M80" s="6">
        <f t="shared" si="27"/>
        <v>1.6412037031841464E-2</v>
      </c>
      <c r="N80" s="7"/>
      <c r="O80" s="7"/>
      <c r="P80" s="7">
        <f>24*60*SUM($M80:$M81)</f>
        <v>33.466666652821004</v>
      </c>
      <c r="Q80" s="25"/>
      <c r="R80" s="25" t="s">
        <v>754</v>
      </c>
      <c r="S80" s="37">
        <f>SUM(U80:U81)/IF(AG80="EC",12,1)</f>
        <v>0.5</v>
      </c>
      <c r="T80" s="52" t="str">
        <f t="shared" si="28"/>
        <v>Southbound</v>
      </c>
      <c r="U80" s="16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3</v>
      </c>
      <c r="V80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11:21:36-0600',mode:absolute,to:'2016-09-12 13:49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80" s="54" t="str">
        <f t="shared" si="30"/>
        <v>Y</v>
      </c>
      <c r="X80" s="168">
        <f t="shared" si="24"/>
        <v>1</v>
      </c>
      <c r="Y80" s="69">
        <f t="shared" si="31"/>
        <v>23.300599999999999</v>
      </c>
      <c r="Z80" s="69">
        <f t="shared" si="32"/>
        <v>6.4158999999999997</v>
      </c>
      <c r="AA80" s="69">
        <f t="shared" si="33"/>
        <v>16.884699999999999</v>
      </c>
      <c r="AB80" s="66" t="e">
        <f>VLOOKUP(A80,Enforcements!$C$7:$K$21,8,0)</f>
        <v>#N/A</v>
      </c>
      <c r="AC80" s="62" t="e">
        <f>VLOOKUP(A80,Enforcements!$C$7:$E$21,3,0)</f>
        <v>#N/A</v>
      </c>
      <c r="AD80" s="63" t="str">
        <f t="shared" si="34"/>
        <v>0164-12</v>
      </c>
      <c r="AE80" s="99" t="str">
        <f t="shared" si="35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80" s="96" t="str">
        <f t="shared" si="36"/>
        <v>"C:\Program Files (x86)\AstroGrep\AstroGrep.exe" /spath="%USERPROFILE%\AppData\Local\Temp\OnboardLogs" /stypes="app*4001*20160912*" /stext=" 18:.+((SYSTEM_STATE.+slice.+state.+changed )|(ment ac)|(system.+state.+changed )|(\|lc)|(penalty)|(\[timeout)|(PRM\|1\|D)|(kpr)|(kdp))" /e /r /s</v>
      </c>
      <c r="AG80" s="1" t="str">
        <f t="shared" si="37"/>
        <v>EC</v>
      </c>
      <c r="AH80" s="100" t="str">
        <f t="shared" si="38"/>
        <v>"%USERPROFILE%\Documents\GitHub\eaglep3\Utilities\RefineRTDCRunTimes.py" --tripid 164-12 --locoid 4001 --swversion DE.1.0.7.0 --startMP 204:233006 --initTime 2016-09-12T12:21:36 --startdatetime 2016-09-12T12:26:14 --delay 2 --endMP 204:64159 --enddatetime 2016-09-12T12:49:52 --enforcementcount 2 &gt;&gt;C:\Users\stu\Documents\GitHub\eaglep3-reporting\EC\2016-09-12-refined-times.txt</v>
      </c>
      <c r="AI80" s="134" t="str">
        <f t="shared" si="39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malfunction","project_id":79,"tracker_id":40,"status_id":1,"priority_id":2,"assigned_to_id":23,"start_date":"2016-09-12","description":"","custom_fields":[{"id":1,"name":"Subdivision","value":"EC"},{"id":4,"name":"Milepost","value":"16.8847"},{"id":17,"name":"Train ID","value":"164-12"},{"id":16,"name":"Locomotive ID","value":"4001"},{"id":130,"name":"Impact","value":""},{"id":150,"name":"Time of Event (Mountain Time)","value":"12:49:52"},{"id":151,"name":"Denver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hidden="1" x14ac:dyDescent="0.25">
      <c r="A81" s="39" t="s">
        <v>519</v>
      </c>
      <c r="B81" s="7">
        <v>4001</v>
      </c>
      <c r="C81" s="24" t="s">
        <v>108</v>
      </c>
      <c r="D81" s="24" t="s">
        <v>521</v>
      </c>
      <c r="E81" s="15">
        <v>42625.541064814817</v>
      </c>
      <c r="F81" s="15">
        <v>42625.541932870372</v>
      </c>
      <c r="G81" s="7">
        <v>0</v>
      </c>
      <c r="H81" s="15" t="s">
        <v>237</v>
      </c>
      <c r="I81" s="15">
        <v>42625.548761574071</v>
      </c>
      <c r="J81" s="7">
        <v>2</v>
      </c>
      <c r="K81" s="121" t="str">
        <f t="shared" si="26"/>
        <v>4001/4002</v>
      </c>
      <c r="L81" s="24" t="str">
        <f>VLOOKUP(A81,'Trips&amp;Operators'!$C$1:$E$10000,3,FALSE)</f>
        <v>BROWN</v>
      </c>
      <c r="M81" s="6">
        <f t="shared" si="27"/>
        <v>6.8287036992842332E-3</v>
      </c>
      <c r="N81" s="7"/>
      <c r="O81" s="7"/>
      <c r="P81" s="7"/>
      <c r="Q81" s="25"/>
      <c r="R81" s="25"/>
      <c r="S81" s="37"/>
      <c r="T81" s="52" t="str">
        <f t="shared" si="28"/>
        <v>Southbound</v>
      </c>
      <c r="U81" s="16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3</v>
      </c>
      <c r="V81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11:59:08-0600',mode:absolute,to:'2016-09-12 14:10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81" s="54" t="str">
        <f t="shared" si="30"/>
        <v>Y</v>
      </c>
      <c r="X81" s="168">
        <f t="shared" si="24"/>
        <v>0</v>
      </c>
      <c r="Y81" s="69">
        <f t="shared" si="31"/>
        <v>3.6793999999999998</v>
      </c>
      <c r="Z81" s="69">
        <f t="shared" si="32"/>
        <v>1.52E-2</v>
      </c>
      <c r="AA81" s="69">
        <f t="shared" si="33"/>
        <v>3.6641999999999997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 t="shared" si="34"/>
        <v>0164-12</v>
      </c>
      <c r="AE81" s="99" t="str">
        <f t="shared" si="35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81" s="96" t="str">
        <f t="shared" si="36"/>
        <v>"C:\Program Files (x86)\AstroGrep\AstroGrep.exe" /spath="%USERPROFILE%\AppData\Local\Temp\OnboardLogs" /stypes="app*4001*20160912*" /stext=" 19:.+((SYSTEM_STATE.+slice.+state.+changed )|(ment ac)|(system.+state.+changed )|(\|lc)|(penalty)|(\[timeout)|(PRM\|1\|D)|(kpr)|(kdp))" /e /r /s</v>
      </c>
      <c r="AG81" s="1" t="str">
        <f t="shared" si="37"/>
        <v>EC</v>
      </c>
      <c r="AH81" s="100" t="str">
        <f t="shared" si="38"/>
        <v>"%USERPROFILE%\Documents\GitHub\eaglep3\Utilities\RefineRTDCRunTimes.py" --tripid 164-12 --locoid 4001 --swversion DE.1.0.7.0 --startMP 204:36794 --initTime 2016-09-12T12:59:08 --startdatetime 2016-09-12T13:00:23 --delay 0 --endMP 204:152 --enddatetime 2016-09-12T13:10:13 --enforcementcount 2 &gt;&gt;C:\Users\stu\Documents\GitHub\eaglep3-reporting\EC\2016-09-12-refined-times.txt</v>
      </c>
      <c r="AI81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{"issue":{"subject":"","project_id":79,"tracker_id":40,"status_id":1,"priority_id":2,"assigned_to_id":23,"start_date":"2016-09-12","description":"","custom_fields":[{"id":1,"name":"Subdivision","value":"EC"},{"id":4,"name":"Milepost","value":"3.6642"},{"id":17,"name":"Train ID","value":"164-12"},{"id":16,"name":"Locomotive ID","value":"4001"},{"id":130,"name":"Impact","value":""},{"id":150,"name":"Time of Event (Mountain Time)","value":"13:10:13"},{"id":151,"name":"Denver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hidden="1" x14ac:dyDescent="0.25">
      <c r="A82" s="39" t="s">
        <v>522</v>
      </c>
      <c r="B82" s="7">
        <v>4042</v>
      </c>
      <c r="C82" s="24" t="s">
        <v>108</v>
      </c>
      <c r="D82" s="24" t="s">
        <v>523</v>
      </c>
      <c r="E82" s="15">
        <v>42625.487060185187</v>
      </c>
      <c r="F82" s="15">
        <v>42625.491990740738</v>
      </c>
      <c r="G82" s="7">
        <v>5</v>
      </c>
      <c r="H82" s="15" t="s">
        <v>524</v>
      </c>
      <c r="I82" s="15">
        <v>42625.520555555559</v>
      </c>
      <c r="J82" s="7">
        <v>2</v>
      </c>
      <c r="K82" s="121" t="str">
        <f t="shared" si="26"/>
        <v>4041/4042</v>
      </c>
      <c r="L82" s="24" t="str">
        <f>VLOOKUP(A82,'Trips&amp;Operators'!$C$1:$E$10000,3,FALSE)</f>
        <v>CLARK</v>
      </c>
      <c r="M82" s="6">
        <f t="shared" si="27"/>
        <v>2.8564814820128959E-2</v>
      </c>
      <c r="N82" s="7">
        <f>24*60*SUM($M82:$M82)</f>
        <v>41.1333333409857</v>
      </c>
      <c r="O82" s="7"/>
      <c r="P82" s="7"/>
      <c r="Q82" s="25"/>
      <c r="R82" s="25"/>
      <c r="S82" s="37">
        <f>SUM(U82:U82)/IF(AG82="EC",12,1)</f>
        <v>1</v>
      </c>
      <c r="T82" s="52" t="str">
        <f t="shared" si="28"/>
        <v>NorthBound</v>
      </c>
      <c r="U82" s="16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10:41:22-0600',mode:absolute,to:'2016-09-12 13:29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82" s="54" t="str">
        <f t="shared" si="30"/>
        <v>N</v>
      </c>
      <c r="X82" s="168">
        <f t="shared" si="24"/>
        <v>1</v>
      </c>
      <c r="Y82" s="69">
        <f t="shared" si="31"/>
        <v>4.8899999999999999E-2</v>
      </c>
      <c r="Z82" s="69">
        <f t="shared" si="32"/>
        <v>23.3264</v>
      </c>
      <c r="AA82" s="69">
        <f t="shared" si="33"/>
        <v>23.2775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 t="shared" si="34"/>
        <v>0165-12</v>
      </c>
      <c r="AE82" s="99" t="str">
        <f t="shared" si="35"/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82" s="96" t="str">
        <f t="shared" si="36"/>
        <v>"C:\Program Files (x86)\AstroGrep\AstroGrep.exe" /spath="%USERPROFILE%\AppData\Local\Temp\OnboardLogs" /stypes="app*4042*20160912*" /stext=" 18:.+((SYSTEM_STATE.+slice.+state.+changed )|(ment ac)|(system.+state.+changed )|(\|lc)|(penalty)|(\[timeout)|(PRM\|1\|D)|(kpr)|(kdp))" /e /r /s</v>
      </c>
      <c r="AG82" s="1" t="str">
        <f t="shared" si="37"/>
        <v>EC</v>
      </c>
      <c r="AH82" s="100" t="str">
        <f t="shared" si="38"/>
        <v>"%USERPROFILE%\Documents\GitHub\eaglep3\Utilities\RefineRTDCRunTimes.py" --tripid 165-12 --locoid 4042 --swversion DE.1.0.7.0 --startMP 204:489 --initTime 2016-09-12T11:41:22 --startdatetime 2016-09-12T11:48:28 --delay 5 --endMP 204:233264 --enddatetime 2016-09-12T12:29:36 --enforcementcount 2 &gt;&gt;C:\Users\stu\Documents\GitHub\eaglep3-reporting\EC\2016-09-12-refined-times.txt</v>
      </c>
      <c r="AI82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{"issue":{"subject":"","project_id":79,"tracker_id":40,"status_id":1,"priority_id":2,"assigned_to_id":23,"start_date":"2016-09-12","description":"","custom_fields":[{"id":1,"name":"Subdivision","value":"EC"},{"id":4,"name":"Milepost","value":"23.2775"},{"id":17,"name":"Train ID","value":"165-12"},{"id":16,"name":"Locomotive ID","value":"4042"},{"id":130,"name":"Impact","value":""},{"id":150,"name":"Time of Event (Mountain Time)","value":"12:29:36"},{"id":151,"name":"Denver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hidden="1" x14ac:dyDescent="0.25">
      <c r="A83" s="39" t="s">
        <v>402</v>
      </c>
      <c r="B83" s="7">
        <v>4041</v>
      </c>
      <c r="C83" s="24" t="s">
        <v>108</v>
      </c>
      <c r="D83" s="24" t="s">
        <v>510</v>
      </c>
      <c r="E83" s="15">
        <v>42625.524571759262</v>
      </c>
      <c r="F83" s="15">
        <v>42625.528854166667</v>
      </c>
      <c r="G83" s="7">
        <v>1</v>
      </c>
      <c r="H83" s="15" t="s">
        <v>235</v>
      </c>
      <c r="I83" s="15">
        <v>42625.557372685187</v>
      </c>
      <c r="J83" s="7">
        <v>2</v>
      </c>
      <c r="K83" s="121" t="str">
        <f t="shared" si="26"/>
        <v>4041/4042</v>
      </c>
      <c r="L83" s="24" t="str">
        <f>VLOOKUP(A83,'Trips&amp;Operators'!$C$1:$E$10000,3,FALSE)</f>
        <v>CLARK</v>
      </c>
      <c r="M83" s="6">
        <f t="shared" si="27"/>
        <v>2.8518518520286307E-2</v>
      </c>
      <c r="N83" s="7">
        <f>24*60*SUM($M83:$M83)</f>
        <v>41.066666669212282</v>
      </c>
      <c r="O83" s="7"/>
      <c r="P83" s="7"/>
      <c r="Q83" s="25"/>
      <c r="R83" s="25"/>
      <c r="S83" s="37">
        <f>SUM(U83:U83)/IF(AG83="EC",12,1)</f>
        <v>1</v>
      </c>
      <c r="T83" s="52" t="str">
        <f t="shared" si="28"/>
        <v>Southbound</v>
      </c>
      <c r="U83" s="16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11:35:23-0600',mode:absolute,to:'2016-09-12 14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83" s="54" t="str">
        <f t="shared" si="30"/>
        <v>N</v>
      </c>
      <c r="X83" s="168">
        <f t="shared" si="24"/>
        <v>1</v>
      </c>
      <c r="Y83" s="69">
        <f t="shared" si="31"/>
        <v>23.295000000000002</v>
      </c>
      <c r="Z83" s="69">
        <f t="shared" si="32"/>
        <v>1.4999999999999999E-2</v>
      </c>
      <c r="AA83" s="69">
        <f t="shared" si="33"/>
        <v>23.28</v>
      </c>
      <c r="AB83" s="66" t="str">
        <f>VLOOKUP(A83,Enforcements!$C$7:$K$21,8,0)</f>
        <v>Bulletin (2)</v>
      </c>
      <c r="AC83" s="62" t="str">
        <f>VLOOKUP(A83,Enforcements!$C$7:$E$21,3,0)</f>
        <v>GRADE CROSSING</v>
      </c>
      <c r="AD83" s="63" t="str">
        <f t="shared" si="34"/>
        <v>0166-12</v>
      </c>
      <c r="AE83" s="99" t="str">
        <f t="shared" si="35"/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83" s="96" t="str">
        <f t="shared" si="36"/>
        <v>"C:\Program Files (x86)\AstroGrep\AstroGrep.exe" /spath="%USERPROFILE%\AppData\Local\Temp\OnboardLogs" /stypes="app*4041*20160912*" /stext=" 19:.+((SYSTEM_STATE.+slice.+state.+changed )|(ment ac)|(system.+state.+changed )|(\|lc)|(penalty)|(\[timeout)|(PRM\|1\|D)|(kpr)|(kdp))" /e /r /s</v>
      </c>
      <c r="AG83" s="1" t="str">
        <f t="shared" si="37"/>
        <v>EC</v>
      </c>
      <c r="AH83" s="100" t="str">
        <f t="shared" si="38"/>
        <v>"%USERPROFILE%\Documents\GitHub\eaglep3\Utilities\RefineRTDCRunTimes.py" --tripid 166-12 --locoid 4041 --swversion DE.1.0.7.0 --startMP 204:232950 --initTime 2016-09-12T12:35:23 --startdatetime 2016-09-12T12:41:33 --delay 1 --endMP 204:150 --enddatetime 2016-09-12T13:22:37 --enforcementcount 2 &gt;&gt;C:\Users\stu\Documents\GitHub\eaglep3-reporting\EC\2016-09-12-refined-times.txt</v>
      </c>
      <c r="AI83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{"issue":{"subject":"","project_id":79,"tracker_id":40,"status_id":1,"priority_id":2,"assigned_to_id":23,"start_date":"2016-09-12","description":"","custom_fields":[{"id":1,"name":"Subdivision","value":"EC"},{"id":4,"name":"Milepost","value":"23.28"},{"id":17,"name":"Train ID","value":"166-12"},{"id":16,"name":"Locomotive ID","value":"4041"},{"id":130,"name":"Impact","value":""},{"id":150,"name":"Time of Event (Mountain Time)","value":"13:22:37"},{"id":151,"name":"Denver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hidden="1" x14ac:dyDescent="0.25">
      <c r="A84" s="39" t="s">
        <v>525</v>
      </c>
      <c r="B84" s="7">
        <v>4031</v>
      </c>
      <c r="C84" s="24" t="s">
        <v>108</v>
      </c>
      <c r="D84" s="24" t="s">
        <v>324</v>
      </c>
      <c r="E84" s="15">
        <v>42625.502962962964</v>
      </c>
      <c r="F84" s="15">
        <v>42625.505439814813</v>
      </c>
      <c r="G84" s="7">
        <v>1</v>
      </c>
      <c r="H84" s="15" t="s">
        <v>250</v>
      </c>
      <c r="I84" s="15">
        <v>42625.531331018516</v>
      </c>
      <c r="J84" s="7">
        <v>2</v>
      </c>
      <c r="K84" s="121" t="str">
        <f t="shared" si="26"/>
        <v>4031/4032</v>
      </c>
      <c r="L84" s="24" t="str">
        <f>VLOOKUP(A84,'Trips&amp;Operators'!$C$1:$E$10000,3,FALSE)</f>
        <v>OUN</v>
      </c>
      <c r="M84" s="6">
        <f t="shared" si="27"/>
        <v>2.5891203702485655E-2</v>
      </c>
      <c r="N84" s="7">
        <f>24*60*SUM($M84:$M84)</f>
        <v>37.283333331579342</v>
      </c>
      <c r="O84" s="7"/>
      <c r="P84" s="7"/>
      <c r="Q84" s="25"/>
      <c r="R84" s="25"/>
      <c r="S84" s="37">
        <f>SUM(U84:U84)/IF(AG84="EC",12,1)</f>
        <v>1</v>
      </c>
      <c r="T84" s="52" t="str">
        <f t="shared" si="28"/>
        <v>NorthBound</v>
      </c>
      <c r="U84" s="16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11:04:16-0600',mode:absolute,to:'2016-09-12 13:45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84" s="54" t="str">
        <f t="shared" si="30"/>
        <v>N</v>
      </c>
      <c r="X84" s="168">
        <f t="shared" si="24"/>
        <v>1</v>
      </c>
      <c r="Y84" s="69">
        <f t="shared" si="31"/>
        <v>4.9099999999999998E-2</v>
      </c>
      <c r="Z84" s="69">
        <f t="shared" si="32"/>
        <v>23.331199999999999</v>
      </c>
      <c r="AA84" s="69">
        <f t="shared" si="33"/>
        <v>23.2821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 t="shared" si="34"/>
        <v>0167-12</v>
      </c>
      <c r="AE84" s="99" t="str">
        <f t="shared" si="35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84" s="96" t="str">
        <f t="shared" si="36"/>
        <v>"C:\Program Files (x86)\AstroGrep\AstroGrep.exe" /spath="%USERPROFILE%\AppData\Local\Temp\OnboardLogs" /stypes="app*4031*20160912*" /stext=" 18:.+((SYSTEM_STATE.+slice.+state.+changed )|(ment ac)|(system.+state.+changed )|(\|lc)|(penalty)|(\[timeout)|(PRM\|1\|D)|(kpr)|(kdp))" /e /r /s</v>
      </c>
      <c r="AG84" s="1" t="str">
        <f t="shared" si="37"/>
        <v>EC</v>
      </c>
      <c r="AH84" s="100" t="str">
        <f t="shared" si="38"/>
        <v>"%USERPROFILE%\Documents\GitHub\eaglep3\Utilities\RefineRTDCRunTimes.py" --tripid 167-12 --locoid 4031 --swversion DE.1.0.7.0 --startMP 204:491 --initTime 2016-09-12T12:04:16 --startdatetime 2016-09-12T12:07:50 --delay 1 --endMP 204:233312 --enddatetime 2016-09-12T12:45:07 --enforcementcount 2 &gt;&gt;C:\Users\stu\Documents\GitHub\eaglep3-reporting\EC\2016-09-12-refined-times.txt</v>
      </c>
      <c r="AI84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{"issue":{"subject":"","project_id":79,"tracker_id":40,"status_id":1,"priority_id":2,"assigned_to_id":23,"start_date":"2016-09-12","description":"","custom_fields":[{"id":1,"name":"Subdivision","value":"EC"},{"id":4,"name":"Milepost","value":"23.2821"},{"id":17,"name":"Train ID","value":"167-12"},{"id":16,"name":"Locomotive ID","value":"4031"},{"id":130,"name":"Impact","value":""},{"id":150,"name":"Time of Event (Mountain Time)","value":"12:45:07"},{"id":151,"name":"Denver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hidden="1" x14ac:dyDescent="0.25">
      <c r="A85" s="39" t="s">
        <v>526</v>
      </c>
      <c r="B85" s="7">
        <v>4032</v>
      </c>
      <c r="C85" s="24" t="s">
        <v>108</v>
      </c>
      <c r="D85" s="24" t="s">
        <v>238</v>
      </c>
      <c r="E85" s="15">
        <v>42625.535451388889</v>
      </c>
      <c r="F85" s="15">
        <v>42625.539270833331</v>
      </c>
      <c r="G85" s="7">
        <v>1</v>
      </c>
      <c r="H85" s="15" t="s">
        <v>527</v>
      </c>
      <c r="I85" s="15">
        <v>42625.555428240739</v>
      </c>
      <c r="J85" s="7">
        <v>2</v>
      </c>
      <c r="K85" s="121" t="str">
        <f t="shared" si="26"/>
        <v>4031/4032</v>
      </c>
      <c r="L85" s="24" t="str">
        <f>VLOOKUP(A85,'Trips&amp;Operators'!$C$1:$E$10000,3,FALSE)</f>
        <v>OUN</v>
      </c>
      <c r="M85" s="6">
        <f t="shared" si="27"/>
        <v>1.615740740817273E-2</v>
      </c>
      <c r="N85" s="7"/>
      <c r="O85" s="7"/>
      <c r="P85" s="7">
        <f>24*60*SUM($M85:$M86)</f>
        <v>33.116666665300727</v>
      </c>
      <c r="Q85" s="25"/>
      <c r="R85" s="25" t="s">
        <v>754</v>
      </c>
      <c r="S85" s="37">
        <f>SUM(U85:U86)/IF(AG85="EC",12,1)</f>
        <v>0.5</v>
      </c>
      <c r="T85" s="52" t="str">
        <f t="shared" si="28"/>
        <v>Southbound</v>
      </c>
      <c r="U85" s="16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3</v>
      </c>
      <c r="V85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11:51:03-0600',mode:absolute,to:'2016-09-12 14:19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85" s="54" t="str">
        <f t="shared" si="30"/>
        <v>Y</v>
      </c>
      <c r="X85" s="168">
        <f t="shared" si="24"/>
        <v>1</v>
      </c>
      <c r="Y85" s="69">
        <f t="shared" si="31"/>
        <v>23.299600000000002</v>
      </c>
      <c r="Z85" s="69">
        <f t="shared" si="32"/>
        <v>6.4137000000000004</v>
      </c>
      <c r="AA85" s="69">
        <f t="shared" si="33"/>
        <v>16.885899999999999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 t="shared" si="34"/>
        <v>0168-12</v>
      </c>
      <c r="AE85" s="99" t="str">
        <f t="shared" si="35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85" s="96" t="str">
        <f t="shared" si="36"/>
        <v>"C:\Program Files (x86)\AstroGrep\AstroGrep.exe" /spath="%USERPROFILE%\AppData\Local\Temp\OnboardLogs" /stypes="app*4032*20160912*" /stext=" 19:.+((SYSTEM_STATE.+slice.+state.+changed )|(ment ac)|(system.+state.+changed )|(\|lc)|(penalty)|(\[timeout)|(PRM\|1\|D)|(kpr)|(kdp))" /e /r /s</v>
      </c>
      <c r="AG85" s="1" t="str">
        <f t="shared" si="37"/>
        <v>EC</v>
      </c>
      <c r="AH85" s="100" t="str">
        <f t="shared" si="38"/>
        <v>"%USERPROFILE%\Documents\GitHub\eaglep3\Utilities\RefineRTDCRunTimes.py" --tripid 168-12 --locoid 4032 --swversion DE.1.0.7.0 --startMP 204:232996 --initTime 2016-09-12T12:51:03 --startdatetime 2016-09-12T12:56:33 --delay 1 --endMP 204:64137 --enddatetime 2016-09-12T13:19:49 --enforcementcount 2 &gt;&gt;C:\Users\stu\Documents\GitHub\eaglep3-reporting\EC\2016-09-12-refined-times.txt</v>
      </c>
      <c r="AI85" s="134" t="str">
        <f t="shared" si="39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malfunction","project_id":79,"tracker_id":40,"status_id":1,"priority_id":2,"assigned_to_id":23,"start_date":"2016-09-12","description":"","custom_fields":[{"id":1,"name":"Subdivision","value":"EC"},{"id":4,"name":"Milepost","value":"16.8859"},{"id":17,"name":"Train ID","value":"168-12"},{"id":16,"name":"Locomotive ID","value":"4032"},{"id":130,"name":"Impact","value":""},{"id":150,"name":"Time of Event (Mountain Time)","value":"13:19:49"},{"id":151,"name":"Denver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hidden="1" x14ac:dyDescent="0.25">
      <c r="A86" s="39" t="s">
        <v>526</v>
      </c>
      <c r="B86" s="7">
        <v>4032</v>
      </c>
      <c r="C86" s="24" t="s">
        <v>108</v>
      </c>
      <c r="D86" s="24" t="s">
        <v>528</v>
      </c>
      <c r="E86" s="15">
        <v>42625.561597222222</v>
      </c>
      <c r="F86" s="15">
        <v>42625.562476851854</v>
      </c>
      <c r="G86" s="7">
        <v>0</v>
      </c>
      <c r="H86" s="15" t="s">
        <v>529</v>
      </c>
      <c r="I86" s="15">
        <v>42625.56931712963</v>
      </c>
      <c r="J86" s="7">
        <v>2</v>
      </c>
      <c r="K86" s="121" t="str">
        <f t="shared" si="26"/>
        <v>4031/4032</v>
      </c>
      <c r="L86" s="24" t="str">
        <f>VLOOKUP(A86,'Trips&amp;Operators'!$C$1:$E$10000,3,FALSE)</f>
        <v>OUN</v>
      </c>
      <c r="M86" s="6">
        <f t="shared" si="27"/>
        <v>6.8402777760638855E-3</v>
      </c>
      <c r="N86" s="7"/>
      <c r="O86" s="7"/>
      <c r="P86" s="7"/>
      <c r="Q86" s="25"/>
      <c r="R86" s="25"/>
      <c r="S86" s="37"/>
      <c r="T86" s="52" t="str">
        <f t="shared" si="28"/>
        <v>Southbound</v>
      </c>
      <c r="U86" s="16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3</v>
      </c>
      <c r="V86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12:28:42-0600',mode:absolute,to:'2016-09-12 14:39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86" s="54" t="str">
        <f t="shared" si="30"/>
        <v>Y</v>
      </c>
      <c r="X86" s="168">
        <f t="shared" si="24"/>
        <v>0</v>
      </c>
      <c r="Y86" s="69">
        <f t="shared" si="31"/>
        <v>3.677</v>
      </c>
      <c r="Z86" s="69">
        <f t="shared" si="32"/>
        <v>1.23E-2</v>
      </c>
      <c r="AA86" s="69">
        <f t="shared" si="33"/>
        <v>3.6646999999999998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 t="shared" si="34"/>
        <v>0168-12</v>
      </c>
      <c r="AE86" s="99" t="str">
        <f t="shared" si="35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86" s="96" t="str">
        <f t="shared" si="36"/>
        <v>"C:\Program Files (x86)\AstroGrep\AstroGrep.exe" /spath="%USERPROFILE%\AppData\Local\Temp\OnboardLogs" /stypes="app*4032*20160912*" /stext=" 19:.+((SYSTEM_STATE.+slice.+state.+changed )|(ment ac)|(system.+state.+changed )|(\|lc)|(penalty)|(\[timeout)|(PRM\|1\|D)|(kpr)|(kdp))" /e /r /s</v>
      </c>
      <c r="AG86" s="1" t="str">
        <f t="shared" si="37"/>
        <v>EC</v>
      </c>
      <c r="AH86" s="100" t="str">
        <f t="shared" si="38"/>
        <v>"%USERPROFILE%\Documents\GitHub\eaglep3\Utilities\RefineRTDCRunTimes.py" --tripid 168-12 --locoid 4032 --swversion DE.1.0.7.0 --startMP 204:36770 --initTime 2016-09-12T13:28:42 --startdatetime 2016-09-12T13:29:58 --delay 0 --endMP 204:123 --enddatetime 2016-09-12T13:39:49 --enforcementcount 2 &gt;&gt;C:\Users\stu\Documents\GitHub\eaglep3-reporting\EC\2016-09-12-refined-times.txt</v>
      </c>
      <c r="AI86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{"issue":{"subject":"","project_id":79,"tracker_id":40,"status_id":1,"priority_id":2,"assigned_to_id":23,"start_date":"2016-09-12","description":"","custom_fields":[{"id":1,"name":"Subdivision","value":"EC"},{"id":4,"name":"Milepost","value":"3.6647"},{"id":17,"name":"Train ID","value":"168-12"},{"id":16,"name":"Locomotive ID","value":"4032"},{"id":130,"name":"Impact","value":""},{"id":150,"name":"Time of Event (Mountain Time)","value":"13:39:49"},{"id":151,"name":"Denver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hidden="1" x14ac:dyDescent="0.25">
      <c r="A87" s="39" t="s">
        <v>530</v>
      </c>
      <c r="B87" s="7">
        <v>4027</v>
      </c>
      <c r="C87" s="24" t="s">
        <v>108</v>
      </c>
      <c r="D87" s="24" t="s">
        <v>260</v>
      </c>
      <c r="E87" s="15">
        <v>42625.515590277777</v>
      </c>
      <c r="F87" s="15">
        <v>42625.517314814817</v>
      </c>
      <c r="G87" s="7">
        <v>1</v>
      </c>
      <c r="H87" s="15" t="s">
        <v>327</v>
      </c>
      <c r="I87" s="15">
        <v>42625.543738425928</v>
      </c>
      <c r="J87" s="7">
        <v>2</v>
      </c>
      <c r="K87" s="121" t="str">
        <f t="shared" si="26"/>
        <v>4027/4028</v>
      </c>
      <c r="L87" s="24" t="str">
        <f>VLOOKUP(A87,'Trips&amp;Operators'!$C$1:$E$10000,3,FALSE)</f>
        <v>BERLING</v>
      </c>
      <c r="M87" s="6">
        <f t="shared" si="27"/>
        <v>2.6423611110658385E-2</v>
      </c>
      <c r="N87" s="7">
        <f>24*60*SUM($M87:$M87)</f>
        <v>38.049999999348074</v>
      </c>
      <c r="O87" s="7"/>
      <c r="P87" s="7"/>
      <c r="Q87" s="25"/>
      <c r="R87" s="25"/>
      <c r="S87" s="37">
        <f>SUM(U87:U87)/IF(AG87="EC",12,1)</f>
        <v>1</v>
      </c>
      <c r="T87" s="52" t="str">
        <f t="shared" si="28"/>
        <v>NorthBound</v>
      </c>
      <c r="U87" s="16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11:22:27-0600',mode:absolute,to:'2016-09-12 14:02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87" s="54" t="str">
        <f t="shared" si="30"/>
        <v>N</v>
      </c>
      <c r="X87" s="168">
        <f t="shared" si="24"/>
        <v>1</v>
      </c>
      <c r="Y87" s="69">
        <f t="shared" si="31"/>
        <v>4.58E-2</v>
      </c>
      <c r="Z87" s="69">
        <f t="shared" si="32"/>
        <v>23.3261</v>
      </c>
      <c r="AA87" s="69">
        <f t="shared" si="33"/>
        <v>23.2803</v>
      </c>
      <c r="AB87" s="66" t="e">
        <f>VLOOKUP(A87,Enforcements!$C$7:$K$21,8,0)</f>
        <v>#N/A</v>
      </c>
      <c r="AC87" s="62" t="e">
        <f>VLOOKUP(A87,Enforcements!$C$7:$E$21,3,0)</f>
        <v>#N/A</v>
      </c>
      <c r="AD87" s="63" t="str">
        <f t="shared" si="34"/>
        <v>0169-12</v>
      </c>
      <c r="AE87" s="99" t="str">
        <f t="shared" si="35"/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87" s="96" t="str">
        <f t="shared" si="36"/>
        <v>"C:\Program Files (x86)\AstroGrep\AstroGrep.exe" /spath="%USERPROFILE%\AppData\Local\Temp\OnboardLogs" /stypes="app*4027*20160912*" /stext=" 19:.+((SYSTEM_STATE.+slice.+state.+changed )|(ment ac)|(system.+state.+changed )|(\|lc)|(penalty)|(\[timeout)|(PRM\|1\|D)|(kpr)|(kdp))" /e /r /s</v>
      </c>
      <c r="AG87" s="1" t="str">
        <f t="shared" si="37"/>
        <v>EC</v>
      </c>
      <c r="AH87" s="100" t="str">
        <f t="shared" si="38"/>
        <v>"%USERPROFILE%\Documents\GitHub\eaglep3\Utilities\RefineRTDCRunTimes.py" --tripid 169-12 --locoid 4027 --swversion DE.1.0.7.0 --startMP 204:458 --initTime 2016-09-12T12:22:27 --startdatetime 2016-09-12T12:24:56 --delay 1 --endMP 204:233261 --enddatetime 2016-09-12T13:02:59 --enforcementcount 2 &gt;&gt;C:\Users\stu\Documents\GitHub\eaglep3-reporting\EC\2016-09-12-refined-times.txt</v>
      </c>
      <c r="AI87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{"issue":{"subject":"","project_id":79,"tracker_id":40,"status_id":1,"priority_id":2,"assigned_to_id":23,"start_date":"2016-09-12","description":"","custom_fields":[{"id":1,"name":"Subdivision","value":"EC"},{"id":4,"name":"Milepost","value":"23.2803"},{"id":17,"name":"Train ID","value":"169-12"},{"id":16,"name":"Locomotive ID","value":"4027"},{"id":130,"name":"Impact","value":""},{"id":150,"name":"Time of Event (Mountain Time)","value":"13:02:59"},{"id":151,"name":"Denver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531</v>
      </c>
      <c r="B88" s="7">
        <v>4028</v>
      </c>
      <c r="C88" s="24" t="s">
        <v>108</v>
      </c>
      <c r="D88" s="24" t="s">
        <v>323</v>
      </c>
      <c r="E88" s="15">
        <v>42625.545995370368</v>
      </c>
      <c r="F88" s="15">
        <v>42625.549432870372</v>
      </c>
      <c r="G88" s="7">
        <v>1</v>
      </c>
      <c r="H88" s="15" t="s">
        <v>232</v>
      </c>
      <c r="I88" s="15">
        <v>42625.576886574076</v>
      </c>
      <c r="J88" s="7">
        <v>2</v>
      </c>
      <c r="K88" s="121" t="str">
        <f t="shared" si="26"/>
        <v>4027/4028</v>
      </c>
      <c r="L88" s="24" t="str">
        <f>VLOOKUP(A88,'Trips&amp;Operators'!$C$1:$E$10000,3,FALSE)</f>
        <v>BERLING</v>
      </c>
      <c r="M88" s="6">
        <f t="shared" si="27"/>
        <v>2.7453703703940846E-2</v>
      </c>
      <c r="N88" s="7">
        <f>24*60*SUM($M88:$M88)</f>
        <v>39.533333333674818</v>
      </c>
      <c r="O88" s="7"/>
      <c r="P88" s="7"/>
      <c r="Q88" s="25"/>
      <c r="R88" s="25"/>
      <c r="S88" s="37">
        <f>SUM(U88:U88)/IF(AG88="EC",12,1)</f>
        <v>1</v>
      </c>
      <c r="T88" s="52" t="str">
        <f t="shared" si="28"/>
        <v>Southbound</v>
      </c>
      <c r="U88" s="16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12:06:14-0600',mode:absolute,to:'2016-09-12 14:50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88" s="54" t="str">
        <f t="shared" si="30"/>
        <v>N</v>
      </c>
      <c r="X88" s="168">
        <f t="shared" si="24"/>
        <v>1</v>
      </c>
      <c r="Y88" s="69">
        <f t="shared" si="31"/>
        <v>23.296700000000001</v>
      </c>
      <c r="Z88" s="69">
        <f t="shared" si="32"/>
        <v>1.47E-2</v>
      </c>
      <c r="AA88" s="69">
        <f t="shared" si="33"/>
        <v>23.282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 t="shared" si="34"/>
        <v>0170-12</v>
      </c>
      <c r="AE88" s="99" t="str">
        <f t="shared" si="35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88" s="96" t="str">
        <f t="shared" si="36"/>
        <v>"C:\Program Files (x86)\AstroGrep\AstroGrep.exe" /spath="%USERPROFILE%\AppData\Local\Temp\OnboardLogs" /stypes="app*4028*20160912*" /stext=" 19:.+((SYSTEM_STATE.+slice.+state.+changed )|(ment ac)|(system.+state.+changed )|(\|lc)|(penalty)|(\[timeout)|(PRM\|1\|D)|(kpr)|(kdp))" /e /r /s</v>
      </c>
      <c r="AG88" s="1" t="str">
        <f t="shared" si="37"/>
        <v>EC</v>
      </c>
      <c r="AH88" s="100" t="str">
        <f t="shared" si="38"/>
        <v>"%USERPROFILE%\Documents\GitHub\eaglep3\Utilities\RefineRTDCRunTimes.py" --tripid 170-12 --locoid 4028 --swversion DE.1.0.7.0 --startMP 204:232967 --initTime 2016-09-12T13:06:14 --startdatetime 2016-09-12T13:11:11 --delay 1 --endMP 204:147 --enddatetime 2016-09-12T13:50:43 --enforcementcount 2 &gt;&gt;C:\Users\stu\Documents\GitHub\eaglep3-reporting\EC\2016-09-12-refined-times.txt</v>
      </c>
      <c r="AI88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{"issue":{"subject":"","project_id":79,"tracker_id":40,"status_id":1,"priority_id":2,"assigned_to_id":23,"start_date":"2016-09-12","description":"","custom_fields":[{"id":1,"name":"Subdivision","value":"EC"},{"id":4,"name":"Milepost","value":"23.282"},{"id":17,"name":"Train ID","value":"170-12"},{"id":16,"name":"Locomotive ID","value":"4028"},{"id":130,"name":"Impact","value":""},{"id":150,"name":"Time of Event (Mountain Time)","value":"13:50:43"},{"id":151,"name":"Denver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hidden="1" x14ac:dyDescent="0.25">
      <c r="A89" s="39" t="s">
        <v>403</v>
      </c>
      <c r="B89" s="7">
        <v>4038</v>
      </c>
      <c r="C89" s="24" t="s">
        <v>108</v>
      </c>
      <c r="D89" s="24" t="s">
        <v>261</v>
      </c>
      <c r="E89" s="15">
        <v>42625.521238425928</v>
      </c>
      <c r="F89" s="15">
        <v>42625.524710648147</v>
      </c>
      <c r="G89" s="7">
        <v>1</v>
      </c>
      <c r="H89" s="15" t="s">
        <v>258</v>
      </c>
      <c r="I89" s="15">
        <v>42625.553425925929</v>
      </c>
      <c r="J89" s="7">
        <v>2</v>
      </c>
      <c r="K89" s="121" t="str">
        <f t="shared" si="26"/>
        <v>4037/4038</v>
      </c>
      <c r="L89" s="24" t="str">
        <f>VLOOKUP(A89,'Trips&amp;Operators'!$C$1:$E$10000,3,FALSE)</f>
        <v>SHOOK</v>
      </c>
      <c r="M89" s="6">
        <f t="shared" si="27"/>
        <v>2.8715277781884652E-2</v>
      </c>
      <c r="N89" s="7">
        <f>24*60*SUM($M89:$M89)</f>
        <v>41.350000005913898</v>
      </c>
      <c r="O89" s="7"/>
      <c r="P89" s="7"/>
      <c r="Q89" s="25"/>
      <c r="R89" s="25"/>
      <c r="S89" s="37">
        <f>SUM(U89:U89)/IF(AG89="EC",12,1)</f>
        <v>1</v>
      </c>
      <c r="T89" s="52" t="str">
        <f t="shared" si="28"/>
        <v>NorthBound</v>
      </c>
      <c r="U89" s="16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11:30:35-0600',mode:absolute,to:'2016-09-12 14:16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89" s="54" t="str">
        <f t="shared" si="30"/>
        <v>N</v>
      </c>
      <c r="X89" s="168">
        <f t="shared" si="24"/>
        <v>1</v>
      </c>
      <c r="Y89" s="69">
        <f t="shared" si="31"/>
        <v>4.6399999999999997E-2</v>
      </c>
      <c r="Z89" s="69">
        <f t="shared" si="32"/>
        <v>23.3293</v>
      </c>
      <c r="AA89" s="69">
        <f t="shared" si="33"/>
        <v>23.282900000000001</v>
      </c>
      <c r="AB89" s="66" t="e">
        <f>VLOOKUP(A89,Enforcements!$C$7:$K$21,8,0)</f>
        <v>#N/A</v>
      </c>
      <c r="AC89" s="62" t="e">
        <f>VLOOKUP(A89,Enforcements!$C$7:$E$21,3,0)</f>
        <v>#N/A</v>
      </c>
      <c r="AD89" s="63" t="str">
        <f t="shared" si="34"/>
        <v>0171-12</v>
      </c>
      <c r="AE89" s="99" t="str">
        <f t="shared" si="35"/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89" s="96" t="str">
        <f t="shared" si="36"/>
        <v>"C:\Program Files (x86)\AstroGrep\AstroGrep.exe" /spath="%USERPROFILE%\AppData\Local\Temp\OnboardLogs" /stypes="app*4038*20160912*" /stext=" 19:.+((SYSTEM_STATE.+slice.+state.+changed )|(ment ac)|(system.+state.+changed )|(\|lc)|(penalty)|(\[timeout)|(PRM\|1\|D)|(kpr)|(kdp))" /e /r /s</v>
      </c>
      <c r="AG89" s="1" t="str">
        <f t="shared" si="37"/>
        <v>EC</v>
      </c>
      <c r="AH89" s="100" t="str">
        <f t="shared" si="38"/>
        <v>"%USERPROFILE%\Documents\GitHub\eaglep3\Utilities\RefineRTDCRunTimes.py" --tripid 171-12 --locoid 4038 --swversion DE.1.0.7.0 --startMP 204:464 --initTime 2016-09-12T12:30:35 --startdatetime 2016-09-12T12:35:35 --delay 1 --endMP 204:233293 --enddatetime 2016-09-12T13:16:56 --enforcementcount 2 &gt;&gt;C:\Users\stu\Documents\GitHub\eaglep3-reporting\EC\2016-09-12-refined-times.txt</v>
      </c>
      <c r="AI89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{"issue":{"subject":"","project_id":79,"tracker_id":40,"status_id":1,"priority_id":2,"assigned_to_id":23,"start_date":"2016-09-12","description":"","custom_fields":[{"id":1,"name":"Subdivision","value":"EC"},{"id":4,"name":"Milepost","value":"23.2829"},{"id":17,"name":"Train ID","value":"171-12"},{"id":16,"name":"Locomotive ID","value":"4038"},{"id":130,"name":"Impact","value":""},{"id":150,"name":"Time of Event (Mountain Time)","value":"13:16:56"},{"id":151,"name":"Denver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hidden="1" x14ac:dyDescent="0.25">
      <c r="A90" s="39" t="s">
        <v>532</v>
      </c>
      <c r="B90" s="7">
        <v>4037</v>
      </c>
      <c r="C90" s="24" t="s">
        <v>108</v>
      </c>
      <c r="D90" s="24" t="s">
        <v>489</v>
      </c>
      <c r="E90" s="15">
        <v>42625.55736111111</v>
      </c>
      <c r="F90" s="15">
        <v>42625.559884259259</v>
      </c>
      <c r="G90" s="7">
        <v>1</v>
      </c>
      <c r="H90" s="15" t="s">
        <v>533</v>
      </c>
      <c r="I90" s="15">
        <v>42625.576354166667</v>
      </c>
      <c r="J90" s="7">
        <v>2</v>
      </c>
      <c r="K90" s="121" t="str">
        <f t="shared" si="26"/>
        <v>4037/4038</v>
      </c>
      <c r="L90" s="24" t="str">
        <f>VLOOKUP(A90,'Trips&amp;Operators'!$C$1:$E$10000,3,FALSE)</f>
        <v>SHOOK</v>
      </c>
      <c r="M90" s="6">
        <f t="shared" si="27"/>
        <v>1.6469907408463769E-2</v>
      </c>
      <c r="N90" s="7"/>
      <c r="O90" s="7"/>
      <c r="P90" s="7">
        <f>24*60*SUM($M90:$M91)</f>
        <v>32.916666670935228</v>
      </c>
      <c r="Q90" s="25"/>
      <c r="R90" s="25" t="s">
        <v>754</v>
      </c>
      <c r="S90" s="37">
        <f>SUM(U90:U91)/IF(AG90="EC",12,1)</f>
        <v>0.5</v>
      </c>
      <c r="T90" s="52" t="str">
        <f t="shared" si="28"/>
        <v>Southbound</v>
      </c>
      <c r="U90" s="16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3</v>
      </c>
      <c r="V90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12:22:36-0600',mode:absolute,to:'2016-09-12 14:49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90" s="54" t="str">
        <f t="shared" si="30"/>
        <v>Y</v>
      </c>
      <c r="X90" s="168">
        <f t="shared" si="24"/>
        <v>1</v>
      </c>
      <c r="Y90" s="69">
        <f t="shared" si="31"/>
        <v>23.295999999999999</v>
      </c>
      <c r="Z90" s="69">
        <f t="shared" si="32"/>
        <v>6.4169</v>
      </c>
      <c r="AA90" s="69">
        <f t="shared" si="33"/>
        <v>16.879100000000001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 t="shared" si="34"/>
        <v>0172-12</v>
      </c>
      <c r="AE90" s="99" t="str">
        <f t="shared" si="35"/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AF90" s="96" t="str">
        <f t="shared" si="36"/>
        <v>"C:\Program Files (x86)\AstroGrep\AstroGrep.exe" /spath="%USERPROFILE%\AppData\Local\Temp\OnboardLogs" /stypes="app*4037*20160912*" /stext=" 19:.+((SYSTEM_STATE.+slice.+state.+changed )|(ment ac)|(system.+state.+changed )|(\|lc)|(penalty)|(\[timeout)|(PRM\|1\|D)|(kpr)|(kdp))" /e /r /s</v>
      </c>
      <c r="AG90" s="1" t="str">
        <f t="shared" si="37"/>
        <v>EC</v>
      </c>
      <c r="AH90" s="100" t="str">
        <f t="shared" si="38"/>
        <v>"%USERPROFILE%\Documents\GitHub\eaglep3\Utilities\RefineRTDCRunTimes.py" --tripid 172-12 --locoid 4037 --swversion DE.1.0.7.0 --startMP 204:232960 --initTime 2016-09-12T13:22:36 --startdatetime 2016-09-12T13:26:14 --delay 1 --endMP 204:64169 --enddatetime 2016-09-12T13:49:57 --enforcementcount 2 &gt;&gt;C:\Users\stu\Documents\GitHub\eaglep3-reporting\EC\2016-09-12-refined-times.txt</v>
      </c>
      <c r="AI90" s="134" t="str">
        <f t="shared" si="39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malfunction","project_id":79,"tracker_id":40,"status_id":1,"priority_id":2,"assigned_to_id":23,"start_date":"2016-09-12","description":"","custom_fields":[{"id":1,"name":"Subdivision","value":"EC"},{"id":4,"name":"Milepost","value":"16.8791"},{"id":17,"name":"Train ID","value":"172-12"},{"id":16,"name":"Locomotive ID","value":"4037"},{"id":130,"name":"Impact","value":""},{"id":150,"name":"Time of Event (Mountain Time)","value":"13:49:57"},{"id":151,"name":"Denver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hidden="1" x14ac:dyDescent="0.25">
      <c r="A91" s="39" t="s">
        <v>532</v>
      </c>
      <c r="B91" s="7">
        <v>4037</v>
      </c>
      <c r="C91" s="24" t="s">
        <v>108</v>
      </c>
      <c r="D91" s="24" t="s">
        <v>534</v>
      </c>
      <c r="E91" s="15">
        <v>42625.583136574074</v>
      </c>
      <c r="F91" s="15">
        <v>42625.584189814814</v>
      </c>
      <c r="G91" s="7">
        <v>1</v>
      </c>
      <c r="H91" s="15" t="s">
        <v>232</v>
      </c>
      <c r="I91" s="15">
        <v>42625.590578703705</v>
      </c>
      <c r="J91" s="7">
        <v>2</v>
      </c>
      <c r="K91" s="121" t="str">
        <f t="shared" si="26"/>
        <v>4037/4038</v>
      </c>
      <c r="L91" s="24" t="str">
        <f>VLOOKUP(A91,'Trips&amp;Operators'!$C$1:$E$10000,3,FALSE)</f>
        <v>SHOOK</v>
      </c>
      <c r="M91" s="6">
        <f t="shared" si="27"/>
        <v>6.3888888907968067E-3</v>
      </c>
      <c r="N91" s="7"/>
      <c r="O91" s="7"/>
      <c r="P91" s="7"/>
      <c r="Q91" s="25"/>
      <c r="R91" s="25"/>
      <c r="S91" s="37"/>
      <c r="T91" s="52" t="str">
        <f t="shared" si="28"/>
        <v>Southbound</v>
      </c>
      <c r="U91" s="16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3</v>
      </c>
      <c r="V91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12:59:43-0600',mode:absolute,to:'2016-09-12 15:10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91" s="54" t="str">
        <f t="shared" si="30"/>
        <v>Y</v>
      </c>
      <c r="X91" s="168">
        <f t="shared" ref="X91:X124" si="40">VALUE(LEFT(AD91,4))-VALUE(LEFT(AD90,4))</f>
        <v>0</v>
      </c>
      <c r="Y91" s="69">
        <f t="shared" si="31"/>
        <v>3.6764999999999999</v>
      </c>
      <c r="Z91" s="69">
        <f t="shared" si="32"/>
        <v>1.47E-2</v>
      </c>
      <c r="AA91" s="69">
        <f t="shared" si="33"/>
        <v>3.6617999999999999</v>
      </c>
      <c r="AB91" s="66" t="e">
        <f>VLOOKUP(A91,Enforcements!$C$7:$K$21,8,0)</f>
        <v>#N/A</v>
      </c>
      <c r="AC91" s="62" t="e">
        <f>VLOOKUP(A91,Enforcements!$C$7:$E$21,3,0)</f>
        <v>#N/A</v>
      </c>
      <c r="AD91" s="63" t="str">
        <f t="shared" si="34"/>
        <v>0172-12</v>
      </c>
      <c r="AE91" s="99" t="str">
        <f t="shared" si="35"/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AF91" s="96" t="str">
        <f t="shared" si="36"/>
        <v>"C:\Program Files (x86)\AstroGrep\AstroGrep.exe" /spath="%USERPROFILE%\AppData\Local\Temp\OnboardLogs" /stypes="app*4037*20160912*" /stext=" 20:.+((SYSTEM_STATE.+slice.+state.+changed )|(ment ac)|(system.+state.+changed )|(\|lc)|(penalty)|(\[timeout)|(PRM\|1\|D)|(kpr)|(kdp))" /e /r /s</v>
      </c>
      <c r="AG91" s="1" t="str">
        <f t="shared" si="37"/>
        <v>EC</v>
      </c>
      <c r="AH91" s="100" t="str">
        <f t="shared" si="38"/>
        <v>"%USERPROFILE%\Documents\GitHub\eaglep3\Utilities\RefineRTDCRunTimes.py" --tripid 172-12 --locoid 4037 --swversion DE.1.0.7.0 --startMP 204:36765 --initTime 2016-09-12T13:59:43 --startdatetime 2016-09-12T14:01:14 --delay 1 --endMP 204:147 --enddatetime 2016-09-12T14:10:26 --enforcementcount 2 &gt;&gt;C:\Users\stu\Documents\GitHub\eaglep3-reporting\EC\2016-09-12-refined-times.txt</v>
      </c>
      <c r="AI91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{"issue":{"subject":"","project_id":79,"tracker_id":40,"status_id":1,"priority_id":2,"assigned_to_id":23,"start_date":"2016-09-12","description":"","custom_fields":[{"id":1,"name":"Subdivision","value":"EC"},{"id":4,"name":"Milepost","value":"3.6618"},{"id":17,"name":"Train ID","value":"172-12"},{"id":16,"name":"Locomotive ID","value":"4037"},{"id":130,"name":"Impact","value":""},{"id":150,"name":"Time of Event (Mountain Time)","value":"14:10:26"},{"id":151,"name":"Denver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hidden="1" x14ac:dyDescent="0.25">
      <c r="A92" s="39" t="s">
        <v>404</v>
      </c>
      <c r="B92" s="7">
        <v>4009</v>
      </c>
      <c r="C92" s="24" t="s">
        <v>108</v>
      </c>
      <c r="D92" s="24" t="s">
        <v>515</v>
      </c>
      <c r="E92" s="15">
        <v>42625.533807870372</v>
      </c>
      <c r="F92" s="15">
        <v>42625.535462962966</v>
      </c>
      <c r="G92" s="7">
        <v>1</v>
      </c>
      <c r="H92" s="15" t="s">
        <v>535</v>
      </c>
      <c r="I92" s="15">
        <v>42625.564016203702</v>
      </c>
      <c r="J92" s="7">
        <v>2</v>
      </c>
      <c r="K92" s="121" t="str">
        <f t="shared" si="26"/>
        <v>4009/4010</v>
      </c>
      <c r="L92" s="24" t="str">
        <f>VLOOKUP(A92,'Trips&amp;Operators'!$C$1:$E$10000,3,FALSE)</f>
        <v>STEWART</v>
      </c>
      <c r="M92" s="6">
        <f t="shared" si="27"/>
        <v>2.8553240736073349E-2</v>
      </c>
      <c r="N92" s="7">
        <f>24*60*SUM($M92:$M92)</f>
        <v>41.116666659945622</v>
      </c>
      <c r="O92" s="7"/>
      <c r="P92" s="7"/>
      <c r="Q92" s="25"/>
      <c r="R92" s="25"/>
      <c r="S92" s="37">
        <f t="shared" ref="S92:S125" si="41">SUM(U92:U92)/IF(AG92="EC",12,1)</f>
        <v>1</v>
      </c>
      <c r="T92" s="52" t="str">
        <f t="shared" si="28"/>
        <v>NorthBound</v>
      </c>
      <c r="U92" s="16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11:48:41-0600',mode:absolute,to:'2016-09-12 14:32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92" s="54" t="str">
        <f t="shared" si="30"/>
        <v>N</v>
      </c>
      <c r="X92" s="168">
        <f t="shared" si="40"/>
        <v>1</v>
      </c>
      <c r="Y92" s="69">
        <f t="shared" si="31"/>
        <v>4.4600000000000001E-2</v>
      </c>
      <c r="Z92" s="69">
        <f t="shared" si="32"/>
        <v>23.325700000000001</v>
      </c>
      <c r="AA92" s="69">
        <f t="shared" si="33"/>
        <v>23.281100000000002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 t="shared" si="34"/>
        <v>0173-12</v>
      </c>
      <c r="AE92" s="99" t="str">
        <f t="shared" si="35"/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92" s="96" t="str">
        <f t="shared" si="36"/>
        <v>"C:\Program Files (x86)\AstroGrep\AstroGrep.exe" /spath="%USERPROFILE%\AppData\Local\Temp\OnboardLogs" /stypes="app*4009*20160912*" /stext=" 19:.+((SYSTEM_STATE.+slice.+state.+changed )|(ment ac)|(system.+state.+changed )|(\|lc)|(penalty)|(\[timeout)|(PRM\|1\|D)|(kpr)|(kdp))" /e /r /s</v>
      </c>
      <c r="AG92" s="1" t="str">
        <f t="shared" si="37"/>
        <v>EC</v>
      </c>
      <c r="AH92" s="100" t="str">
        <f t="shared" si="38"/>
        <v>"%USERPROFILE%\Documents\GitHub\eaglep3\Utilities\RefineRTDCRunTimes.py" --tripid 173-12 --locoid 4009 --swversion DE.1.0.7.0 --startMP 204:446 --initTime 2016-09-12T12:48:41 --startdatetime 2016-09-12T12:51:04 --delay 1 --endMP 204:233257 --enddatetime 2016-09-12T13:32:11 --enforcementcount 2 &gt;&gt;C:\Users\stu\Documents\GitHub\eaglep3-reporting\EC\2016-09-12-refined-times.txt</v>
      </c>
      <c r="AI92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{"issue":{"subject":"","project_id":79,"tracker_id":40,"status_id":1,"priority_id":2,"assigned_to_id":23,"start_date":"2016-09-12","description":"","custom_fields":[{"id":1,"name":"Subdivision","value":"EC"},{"id":4,"name":"Milepost","value":"23.2811"},{"id":17,"name":"Train ID","value":"173-12"},{"id":16,"name":"Locomotive ID","value":"4009"},{"id":130,"name":"Impact","value":""},{"id":150,"name":"Time of Event (Mountain Time)","value":"13:32:11"},{"id":151,"name":"Denver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hidden="1" x14ac:dyDescent="0.25">
      <c r="A93" s="39" t="s">
        <v>536</v>
      </c>
      <c r="B93" s="7">
        <v>4010</v>
      </c>
      <c r="C93" s="24" t="s">
        <v>108</v>
      </c>
      <c r="D93" s="24" t="s">
        <v>537</v>
      </c>
      <c r="E93" s="15">
        <v>42625.567974537036</v>
      </c>
      <c r="F93" s="15">
        <v>42625.570381944446</v>
      </c>
      <c r="G93" s="7">
        <v>1</v>
      </c>
      <c r="H93" s="15" t="s">
        <v>538</v>
      </c>
      <c r="I93" s="15">
        <v>42625.593298611115</v>
      </c>
      <c r="J93" s="7">
        <v>2</v>
      </c>
      <c r="K93" s="121" t="str">
        <f t="shared" si="26"/>
        <v>4009/4010</v>
      </c>
      <c r="L93" s="24" t="str">
        <f>VLOOKUP(A93,'Trips&amp;Operators'!$C$1:$E$10000,3,FALSE)</f>
        <v>STEWART</v>
      </c>
      <c r="M93" s="6">
        <f t="shared" si="27"/>
        <v>2.2916666668606922E-2</v>
      </c>
      <c r="N93" s="7"/>
      <c r="O93" s="7"/>
      <c r="P93" s="7">
        <f>24*60*SUM($M93:$M93)</f>
        <v>33.000000002793968</v>
      </c>
      <c r="Q93" s="25"/>
      <c r="R93" s="25" t="s">
        <v>754</v>
      </c>
      <c r="S93" s="37">
        <f t="shared" si="41"/>
        <v>0.25</v>
      </c>
      <c r="T93" s="52" t="str">
        <f t="shared" si="28"/>
        <v>Southbound</v>
      </c>
      <c r="U93" s="16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3</v>
      </c>
      <c r="V93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12:37:53-0600',mode:absolute,to:'2016-09-12 15:14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93" s="54" t="str">
        <f t="shared" si="30"/>
        <v>Y</v>
      </c>
      <c r="X93" s="168">
        <f t="shared" si="40"/>
        <v>1</v>
      </c>
      <c r="Y93" s="69">
        <f t="shared" si="31"/>
        <v>23.294599999999999</v>
      </c>
      <c r="Z93" s="69">
        <f t="shared" si="32"/>
        <v>6.4149000000000003</v>
      </c>
      <c r="AA93" s="69">
        <f t="shared" si="33"/>
        <v>16.8797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 t="shared" si="34"/>
        <v>0174-12</v>
      </c>
      <c r="AE93" s="99" t="str">
        <f t="shared" si="35"/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93" s="96" t="str">
        <f t="shared" si="36"/>
        <v>"C:\Program Files (x86)\AstroGrep\AstroGrep.exe" /spath="%USERPROFILE%\AppData\Local\Temp\OnboardLogs" /stypes="app*4010*20160912*" /stext=" 20:.+((SYSTEM_STATE.+slice.+state.+changed )|(ment ac)|(system.+state.+changed )|(\|lc)|(penalty)|(\[timeout)|(PRM\|1\|D)|(kpr)|(kdp))" /e /r /s</v>
      </c>
      <c r="AG93" s="1" t="str">
        <f t="shared" si="37"/>
        <v>EC</v>
      </c>
      <c r="AH93" s="100" t="str">
        <f t="shared" si="38"/>
        <v>"%USERPROFILE%\Documents\GitHub\eaglep3\Utilities\RefineRTDCRunTimes.py" --tripid 174-12 --locoid 4010 --swversion DE.1.0.7.0 --startMP 204:232946 --initTime 2016-09-12T13:37:53 --startdatetime 2016-09-12T13:41:21 --delay 1 --endMP 204:64149 --enddatetime 2016-09-12T14:14:21 --enforcementcount 2 &gt;&gt;C:\Users\stu\Documents\GitHub\eaglep3-reporting\EC\2016-09-12-refined-times.txt</v>
      </c>
      <c r="AI93" s="134" t="str">
        <f t="shared" si="39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malfunction","project_id":79,"tracker_id":40,"status_id":1,"priority_id":2,"assigned_to_id":23,"start_date":"2016-09-12","description":"","custom_fields":[{"id":1,"name":"Subdivision","value":"EC"},{"id":4,"name":"Milepost","value":"16.8797"},{"id":17,"name":"Train ID","value":"174-12"},{"id":16,"name":"Locomotive ID","value":"4010"},{"id":130,"name":"Impact","value":""},{"id":150,"name":"Time of Event (Mountain Time)","value":"14:14:21"},{"id":151,"name":"Denver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1" customFormat="1" hidden="1" x14ac:dyDescent="0.25">
      <c r="A94" s="39" t="s">
        <v>539</v>
      </c>
      <c r="B94" s="7">
        <v>4014</v>
      </c>
      <c r="C94" s="24" t="s">
        <v>108</v>
      </c>
      <c r="D94" s="24" t="s">
        <v>233</v>
      </c>
      <c r="E94" s="15">
        <v>42625.543240740742</v>
      </c>
      <c r="F94" s="15">
        <v>42625.544525462959</v>
      </c>
      <c r="G94" s="7">
        <v>1</v>
      </c>
      <c r="H94" s="15" t="s">
        <v>540</v>
      </c>
      <c r="I94" s="15">
        <v>42625.574756944443</v>
      </c>
      <c r="J94" s="7">
        <v>2</v>
      </c>
      <c r="K94" s="121" t="str">
        <f t="shared" si="26"/>
        <v>4013/4014</v>
      </c>
      <c r="L94" s="24" t="str">
        <f>VLOOKUP(A94,'Trips&amp;Operators'!$C$1:$E$10000,3,FALSE)</f>
        <v>BARTLETT</v>
      </c>
      <c r="M94" s="6">
        <f t="shared" si="27"/>
        <v>3.0231481483497191E-2</v>
      </c>
      <c r="N94" s="7">
        <f t="shared" ref="N94:P114" si="42">24*60*SUM($M94:$M94)</f>
        <v>43.533333336235955</v>
      </c>
      <c r="O94" s="7"/>
      <c r="P94" s="7"/>
      <c r="Q94" s="25"/>
      <c r="R94" s="25"/>
      <c r="S94" s="37">
        <f t="shared" si="41"/>
        <v>1</v>
      </c>
      <c r="T94" s="52" t="str">
        <f t="shared" si="28"/>
        <v>NorthBound</v>
      </c>
      <c r="U94" s="16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12:02:16-0600',mode:absolute,to:'2016-09-12 14:47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94" s="54" t="str">
        <f t="shared" si="30"/>
        <v>N</v>
      </c>
      <c r="X94" s="168">
        <f t="shared" si="40"/>
        <v>1</v>
      </c>
      <c r="Y94" s="69">
        <f t="shared" si="31"/>
        <v>4.53E-2</v>
      </c>
      <c r="Z94" s="69">
        <f t="shared" si="32"/>
        <v>23.3383</v>
      </c>
      <c r="AA94" s="69">
        <f t="shared" si="33"/>
        <v>23.292999999999999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 t="shared" si="34"/>
        <v>0175-12</v>
      </c>
      <c r="AE94" s="99" t="str">
        <f t="shared" si="35"/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94" s="96" t="str">
        <f t="shared" si="36"/>
        <v>"C:\Program Files (x86)\AstroGrep\AstroGrep.exe" /spath="%USERPROFILE%\AppData\Local\Temp\OnboardLogs" /stypes="app*4014*20160912*" /stext=" 19:.+((SYSTEM_STATE.+slice.+state.+changed )|(ment ac)|(system.+state.+changed )|(\|lc)|(penalty)|(\[timeout)|(PRM\|1\|D)|(kpr)|(kdp))" /e /r /s</v>
      </c>
      <c r="AG94" s="1" t="str">
        <f t="shared" si="37"/>
        <v>EC</v>
      </c>
      <c r="AH94" s="100" t="str">
        <f t="shared" si="38"/>
        <v>"%USERPROFILE%\Documents\GitHub\eaglep3\Utilities\RefineRTDCRunTimes.py" --tripid 175-12 --locoid 4014 --swversion DE.1.0.7.0 --startMP 204:453 --initTime 2016-09-12T13:02:16 --startdatetime 2016-09-12T13:04:07 --delay 1 --endMP 204:233383 --enddatetime 2016-09-12T13:47:39 --enforcementcount 2 &gt;&gt;C:\Users\stu\Documents\GitHub\eaglep3-reporting\EC\2016-09-12-refined-times.txt</v>
      </c>
      <c r="AI94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{"issue":{"subject":"","project_id":79,"tracker_id":40,"status_id":1,"priority_id":2,"assigned_to_id":23,"start_date":"2016-09-12","description":"","custom_fields":[{"id":1,"name":"Subdivision","value":"EC"},{"id":4,"name":"Milepost","value":"23.293"},{"id":17,"name":"Train ID","value":"175-12"},{"id":16,"name":"Locomotive ID","value":"4014"},{"id":130,"name":"Impact","value":""},{"id":150,"name":"Time of Event (Mountain Time)","value":"13:47:39"},{"id":151,"name":"Denver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1" customFormat="1" hidden="1" x14ac:dyDescent="0.25">
      <c r="A95" s="39" t="s">
        <v>541</v>
      </c>
      <c r="B95" s="7">
        <v>4013</v>
      </c>
      <c r="C95" s="24" t="s">
        <v>108</v>
      </c>
      <c r="D95" s="24" t="s">
        <v>542</v>
      </c>
      <c r="E95" s="15">
        <v>42625.579710648148</v>
      </c>
      <c r="F95" s="15">
        <v>42625.581504629627</v>
      </c>
      <c r="G95" s="7">
        <v>1</v>
      </c>
      <c r="H95" s="15" t="s">
        <v>264</v>
      </c>
      <c r="I95" s="15">
        <v>42625.616944444446</v>
      </c>
      <c r="J95" s="7">
        <v>2</v>
      </c>
      <c r="K95" s="121" t="str">
        <f t="shared" si="26"/>
        <v>4013/4014</v>
      </c>
      <c r="L95" s="24" t="str">
        <f>VLOOKUP(A95,'Trips&amp;Operators'!$C$1:$E$10000,3,FALSE)</f>
        <v>BARTLETT</v>
      </c>
      <c r="M95" s="6">
        <f t="shared" si="27"/>
        <v>3.5439814819255844E-2</v>
      </c>
      <c r="N95" s="7">
        <f t="shared" si="42"/>
        <v>51.033333339728415</v>
      </c>
      <c r="O95" s="7"/>
      <c r="P95" s="7"/>
      <c r="Q95" s="25"/>
      <c r="R95" s="25"/>
      <c r="S95" s="37">
        <f t="shared" si="41"/>
        <v>1</v>
      </c>
      <c r="T95" s="52" t="str">
        <f t="shared" si="28"/>
        <v>Southbound</v>
      </c>
      <c r="U95" s="16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12:54:47-0600',mode:absolute,to:'2016-09-12 15:48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95" s="54" t="str">
        <f t="shared" si="30"/>
        <v>N</v>
      </c>
      <c r="X95" s="168">
        <f t="shared" si="40"/>
        <v>1</v>
      </c>
      <c r="Y95" s="69">
        <f t="shared" si="31"/>
        <v>23.308700000000002</v>
      </c>
      <c r="Z95" s="69">
        <f t="shared" si="32"/>
        <v>1.3599999999999999E-2</v>
      </c>
      <c r="AA95" s="69">
        <f t="shared" si="33"/>
        <v>23.295100000000001</v>
      </c>
      <c r="AB95" s="66" t="e">
        <f>VLOOKUP(A95,Enforcements!$C$7:$K$21,8,0)</f>
        <v>#N/A</v>
      </c>
      <c r="AC95" s="62" t="e">
        <f>VLOOKUP(A95,Enforcements!$C$7:$E$21,3,0)</f>
        <v>#N/A</v>
      </c>
      <c r="AD95" s="63" t="str">
        <f t="shared" si="34"/>
        <v>0176-12</v>
      </c>
      <c r="AE95" s="99" t="str">
        <f t="shared" si="35"/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95" s="96" t="str">
        <f t="shared" si="36"/>
        <v>"C:\Program Files (x86)\AstroGrep\AstroGrep.exe" /spath="%USERPROFILE%\AppData\Local\Temp\OnboardLogs" /stypes="app*4013*20160912*" /stext=" 20:.+((SYSTEM_STATE.+slice.+state.+changed )|(ment ac)|(system.+state.+changed )|(\|lc)|(penalty)|(\[timeout)|(PRM\|1\|D)|(kpr)|(kdp))" /e /r /s</v>
      </c>
      <c r="AG95" s="1" t="str">
        <f t="shared" si="37"/>
        <v>EC</v>
      </c>
      <c r="AH95" s="100" t="str">
        <f t="shared" si="38"/>
        <v>"%USERPROFILE%\Documents\GitHub\eaglep3\Utilities\RefineRTDCRunTimes.py" --tripid 176-12 --locoid 4013 --swversion DE.1.0.7.0 --startMP 204:233087 --initTime 2016-09-12T13:54:47 --startdatetime 2016-09-12T13:57:22 --delay 1 --endMP 204:136 --enddatetime 2016-09-12T14:48:24 --enforcementcount 2 &gt;&gt;C:\Users\stu\Documents\GitHub\eaglep3-reporting\EC\2016-09-12-refined-times.txt</v>
      </c>
      <c r="AI95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{"issue":{"subject":"","project_id":79,"tracker_id":40,"status_id":1,"priority_id":2,"assigned_to_id":23,"start_date":"2016-09-12","description":"","custom_fields":[{"id":1,"name":"Subdivision","value":"EC"},{"id":4,"name":"Milepost","value":"23.2951"},{"id":17,"name":"Train ID","value":"176-12"},{"id":16,"name":"Locomotive ID","value":"4013"},{"id":130,"name":"Impact","value":""},{"id":150,"name":"Time of Event (Mountain Time)","value":"14:48:24"},{"id":151,"name":"Denver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1" customFormat="1" hidden="1" x14ac:dyDescent="0.25">
      <c r="A96" s="39" t="s">
        <v>543</v>
      </c>
      <c r="B96" s="7">
        <v>4002</v>
      </c>
      <c r="C96" s="24" t="s">
        <v>108</v>
      </c>
      <c r="D96" s="24" t="s">
        <v>356</v>
      </c>
      <c r="E96" s="15">
        <v>42625.550046296295</v>
      </c>
      <c r="F96" s="15">
        <v>42625.552314814813</v>
      </c>
      <c r="G96" s="7">
        <v>1</v>
      </c>
      <c r="H96" s="15" t="s">
        <v>230</v>
      </c>
      <c r="I96" s="15">
        <v>42625.58425925926</v>
      </c>
      <c r="J96" s="7">
        <v>2</v>
      </c>
      <c r="K96" s="121" t="str">
        <f t="shared" si="26"/>
        <v>4001/4002</v>
      </c>
      <c r="L96" s="24" t="str">
        <f>VLOOKUP(A96,'Trips&amp;Operators'!$C$1:$E$10000,3,FALSE)</f>
        <v>BROWN</v>
      </c>
      <c r="M96" s="6">
        <f t="shared" si="27"/>
        <v>3.1944444446708076E-2</v>
      </c>
      <c r="N96" s="7">
        <f t="shared" si="42"/>
        <v>46.000000003259629</v>
      </c>
      <c r="O96" s="7"/>
      <c r="P96" s="7"/>
      <c r="Q96" s="25"/>
      <c r="R96" s="25"/>
      <c r="S96" s="37">
        <f t="shared" si="41"/>
        <v>1</v>
      </c>
      <c r="T96" s="52" t="str">
        <f t="shared" si="28"/>
        <v>NorthBound</v>
      </c>
      <c r="U96" s="16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12:12:04-0600',mode:absolute,to:'2016-09-12 15:01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96" s="54" t="str">
        <f t="shared" si="30"/>
        <v>N</v>
      </c>
      <c r="X96" s="168">
        <f t="shared" si="40"/>
        <v>1</v>
      </c>
      <c r="Y96" s="69">
        <f t="shared" si="31"/>
        <v>4.7500000000000001E-2</v>
      </c>
      <c r="Z96" s="69">
        <f t="shared" si="32"/>
        <v>23.330500000000001</v>
      </c>
      <c r="AA96" s="69">
        <f t="shared" si="33"/>
        <v>23.283000000000001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 t="shared" si="34"/>
        <v>0177-12</v>
      </c>
      <c r="AE96" s="99" t="str">
        <f t="shared" si="35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96" s="96" t="str">
        <f t="shared" si="36"/>
        <v>"C:\Program Files (x86)\AstroGrep\AstroGrep.exe" /spath="%USERPROFILE%\AppData\Local\Temp\OnboardLogs" /stypes="app*4002*20160912*" /stext=" 20:.+((SYSTEM_STATE.+slice.+state.+changed )|(ment ac)|(system.+state.+changed )|(\|lc)|(penalty)|(\[timeout)|(PRM\|1\|D)|(kpr)|(kdp))" /e /r /s</v>
      </c>
      <c r="AG96" s="1" t="str">
        <f t="shared" si="37"/>
        <v>EC</v>
      </c>
      <c r="AH96" s="100" t="str">
        <f t="shared" si="38"/>
        <v>"%USERPROFILE%\Documents\GitHub\eaglep3\Utilities\RefineRTDCRunTimes.py" --tripid 177-12 --locoid 4002 --swversion DE.1.0.7.0 --startMP 204:475 --initTime 2016-09-12T13:12:04 --startdatetime 2016-09-12T13:15:20 --delay 1 --endMP 204:233305 --enddatetime 2016-09-12T14:01:20 --enforcementcount 2 &gt;&gt;C:\Users\stu\Documents\GitHub\eaglep3-reporting\EC\2016-09-12-refined-times.txt</v>
      </c>
      <c r="AI96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{"issue":{"subject":"","project_id":79,"tracker_id":40,"status_id":1,"priority_id":2,"assigned_to_id":23,"start_date":"2016-09-12","description":"","custom_fields":[{"id":1,"name":"Subdivision","value":"EC"},{"id":4,"name":"Milepost","value":"23.283"},{"id":17,"name":"Train ID","value":"177-12"},{"id":16,"name":"Locomotive ID","value":"4002"},{"id":130,"name":"Impact","value":""},{"id":150,"name":"Time of Event (Mountain Time)","value":"14:01:20"},{"id":151,"name":"Denver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1" customFormat="1" hidden="1" x14ac:dyDescent="0.25">
      <c r="A97" s="39" t="s">
        <v>544</v>
      </c>
      <c r="B97" s="7">
        <v>4001</v>
      </c>
      <c r="C97" s="24" t="s">
        <v>108</v>
      </c>
      <c r="D97" s="24" t="s">
        <v>225</v>
      </c>
      <c r="E97" s="15">
        <v>42625.586736111109</v>
      </c>
      <c r="F97" s="15">
        <v>42625.591203703705</v>
      </c>
      <c r="G97" s="7">
        <v>1</v>
      </c>
      <c r="H97" s="15" t="s">
        <v>235</v>
      </c>
      <c r="I97" s="15">
        <v>42625.620729166665</v>
      </c>
      <c r="J97" s="7">
        <v>2</v>
      </c>
      <c r="K97" s="121" t="str">
        <f t="shared" si="26"/>
        <v>4001/4002</v>
      </c>
      <c r="L97" s="24" t="str">
        <f>VLOOKUP(A97,'Trips&amp;Operators'!$C$1:$E$10000,3,FALSE)</f>
        <v>BROWN</v>
      </c>
      <c r="M97" s="6">
        <f t="shared" si="27"/>
        <v>2.9525462960009463E-2</v>
      </c>
      <c r="N97" s="7">
        <f t="shared" si="42"/>
        <v>42.516666662413627</v>
      </c>
      <c r="O97" s="7"/>
      <c r="P97" s="7"/>
      <c r="Q97" s="25"/>
      <c r="R97" s="25"/>
      <c r="S97" s="37">
        <f t="shared" si="41"/>
        <v>1</v>
      </c>
      <c r="T97" s="52" t="str">
        <f t="shared" si="28"/>
        <v>Southbound</v>
      </c>
      <c r="U97" s="16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13:04:54-0600',mode:absolute,to:'2016-09-12 15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97" s="54" t="str">
        <f t="shared" si="30"/>
        <v>N</v>
      </c>
      <c r="X97" s="168">
        <f t="shared" si="40"/>
        <v>1</v>
      </c>
      <c r="Y97" s="69">
        <f t="shared" si="31"/>
        <v>23.298200000000001</v>
      </c>
      <c r="Z97" s="69">
        <f t="shared" si="32"/>
        <v>1.4999999999999999E-2</v>
      </c>
      <c r="AA97" s="69">
        <f t="shared" si="33"/>
        <v>23.283200000000001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 t="shared" si="34"/>
        <v>0178-12</v>
      </c>
      <c r="AE97" s="99" t="str">
        <f t="shared" si="35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97" s="96" t="str">
        <f t="shared" si="36"/>
        <v>"C:\Program Files (x86)\AstroGrep\AstroGrep.exe" /spath="%USERPROFILE%\AppData\Local\Temp\OnboardLogs" /stypes="app*4001*20160912*" /stext=" 20:.+((SYSTEM_STATE.+slice.+state.+changed )|(ment ac)|(system.+state.+changed )|(\|lc)|(penalty)|(\[timeout)|(PRM\|1\|D)|(kpr)|(kdp))" /e /r /s</v>
      </c>
      <c r="AG97" s="1" t="str">
        <f t="shared" si="37"/>
        <v>EC</v>
      </c>
      <c r="AH97" s="100" t="str">
        <f t="shared" si="38"/>
        <v>"%USERPROFILE%\Documents\GitHub\eaglep3\Utilities\RefineRTDCRunTimes.py" --tripid 178-12 --locoid 4001 --swversion DE.1.0.7.0 --startMP 204:232982 --initTime 2016-09-12T14:04:54 --startdatetime 2016-09-12T14:11:20 --delay 1 --endMP 204:150 --enddatetime 2016-09-12T14:53:51 --enforcementcount 2 &gt;&gt;C:\Users\stu\Documents\GitHub\eaglep3-reporting\EC\2016-09-12-refined-times.txt</v>
      </c>
      <c r="AI97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{"issue":{"subject":"","project_id":79,"tracker_id":40,"status_id":1,"priority_id":2,"assigned_to_id":23,"start_date":"2016-09-12","description":"","custom_fields":[{"id":1,"name":"Subdivision","value":"EC"},{"id":4,"name":"Milepost","value":"23.2832"},{"id":17,"name":"Train ID","value":"178-12"},{"id":16,"name":"Locomotive ID","value":"4001"},{"id":130,"name":"Impact","value":""},{"id":150,"name":"Time of Event (Mountain Time)","value":"14:53:51"},{"id":151,"name":"Denver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1" customFormat="1" hidden="1" x14ac:dyDescent="0.25">
      <c r="A98" s="39" t="s">
        <v>545</v>
      </c>
      <c r="B98" s="7">
        <v>4042</v>
      </c>
      <c r="C98" s="24" t="s">
        <v>108</v>
      </c>
      <c r="D98" s="24" t="s">
        <v>275</v>
      </c>
      <c r="E98" s="15">
        <v>42625.559340277781</v>
      </c>
      <c r="F98" s="15">
        <v>42625.562789351854</v>
      </c>
      <c r="G98" s="7">
        <v>1</v>
      </c>
      <c r="H98" s="15" t="s">
        <v>467</v>
      </c>
      <c r="I98" s="15">
        <v>42625.595277777778</v>
      </c>
      <c r="J98" s="7">
        <v>2</v>
      </c>
      <c r="K98" s="121" t="str">
        <f t="shared" si="26"/>
        <v>4041/4042</v>
      </c>
      <c r="L98" s="24" t="str">
        <f>VLOOKUP(A98,'Trips&amp;Operators'!$C$1:$E$10000,3,FALSE)</f>
        <v>CLARK</v>
      </c>
      <c r="M98" s="6">
        <f t="shared" si="27"/>
        <v>3.2488425924384501E-2</v>
      </c>
      <c r="N98" s="7">
        <f t="shared" si="42"/>
        <v>46.783333331113681</v>
      </c>
      <c r="O98" s="7"/>
      <c r="P98" s="7"/>
      <c r="Q98" s="25"/>
      <c r="R98" s="25"/>
      <c r="S98" s="37">
        <f t="shared" si="41"/>
        <v>1</v>
      </c>
      <c r="T98" s="52" t="str">
        <f t="shared" si="28"/>
        <v>NorthBound</v>
      </c>
      <c r="U98" s="16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12:25:27-0600',mode:absolute,to:'2016-09-12 15:17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98" s="54" t="str">
        <f t="shared" si="30"/>
        <v>N</v>
      </c>
      <c r="X98" s="168">
        <f t="shared" si="40"/>
        <v>1</v>
      </c>
      <c r="Y98" s="69">
        <f t="shared" si="31"/>
        <v>4.5999999999999999E-2</v>
      </c>
      <c r="Z98" s="69">
        <f t="shared" si="32"/>
        <v>23.3278</v>
      </c>
      <c r="AA98" s="69">
        <f t="shared" si="33"/>
        <v>23.2818</v>
      </c>
      <c r="AB98" s="66" t="e">
        <f>VLOOKUP(A98,Enforcements!$C$7:$K$21,8,0)</f>
        <v>#N/A</v>
      </c>
      <c r="AC98" s="62" t="e">
        <f>VLOOKUP(A98,Enforcements!$C$7:$E$21,3,0)</f>
        <v>#N/A</v>
      </c>
      <c r="AD98" s="63" t="str">
        <f t="shared" si="34"/>
        <v>0179-12</v>
      </c>
      <c r="AE98" s="99" t="str">
        <f t="shared" si="35"/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98" s="96" t="str">
        <f t="shared" si="36"/>
        <v>"C:\Program Files (x86)\AstroGrep\AstroGrep.exe" /spath="%USERPROFILE%\AppData\Local\Temp\OnboardLogs" /stypes="app*4042*20160912*" /stext=" 20:.+((SYSTEM_STATE.+slice.+state.+changed )|(ment ac)|(system.+state.+changed )|(\|lc)|(penalty)|(\[timeout)|(PRM\|1\|D)|(kpr)|(kdp))" /e /r /s</v>
      </c>
      <c r="AG98" s="1" t="str">
        <f t="shared" si="37"/>
        <v>EC</v>
      </c>
      <c r="AH98" s="100" t="str">
        <f t="shared" si="38"/>
        <v>"%USERPROFILE%\Documents\GitHub\eaglep3\Utilities\RefineRTDCRunTimes.py" --tripid 179-12 --locoid 4042 --swversion DE.1.0.7.0 --startMP 204:460 --initTime 2016-09-12T13:25:27 --startdatetime 2016-09-12T13:30:25 --delay 1 --endMP 204:233278 --enddatetime 2016-09-12T14:17:12 --enforcementcount 2 &gt;&gt;C:\Users\stu\Documents\GitHub\eaglep3-reporting\EC\2016-09-12-refined-times.txt</v>
      </c>
      <c r="AI98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{"issue":{"subject":"","project_id":79,"tracker_id":40,"status_id":1,"priority_id":2,"assigned_to_id":23,"start_date":"2016-09-12","description":"","custom_fields":[{"id":1,"name":"Subdivision","value":"EC"},{"id":4,"name":"Milepost","value":"23.2818"},{"id":17,"name":"Train ID","value":"179-12"},{"id":16,"name":"Locomotive ID","value":"4042"},{"id":130,"name":"Impact","value":""},{"id":150,"name":"Time of Event (Mountain Time)","value":"14:17:12"},{"id":151,"name":"Denver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hidden="1" x14ac:dyDescent="0.25">
      <c r="A99" s="39" t="s">
        <v>405</v>
      </c>
      <c r="B99" s="7">
        <v>4041</v>
      </c>
      <c r="C99" s="24" t="s">
        <v>108</v>
      </c>
      <c r="D99" s="24" t="s">
        <v>489</v>
      </c>
      <c r="E99" s="15">
        <v>42625.599560185183</v>
      </c>
      <c r="F99" s="15">
        <v>42625.601793981485</v>
      </c>
      <c r="G99" s="7">
        <v>1</v>
      </c>
      <c r="H99" s="15" t="s">
        <v>546</v>
      </c>
      <c r="I99" s="15">
        <v>42625.634594907409</v>
      </c>
      <c r="J99" s="7">
        <v>2</v>
      </c>
      <c r="K99" s="121" t="str">
        <f t="shared" si="26"/>
        <v>4041/4042</v>
      </c>
      <c r="L99" s="24" t="str">
        <f>VLOOKUP(A99,'Trips&amp;Operators'!$C$1:$E$10000,3,FALSE)</f>
        <v>CLARK</v>
      </c>
      <c r="M99" s="6">
        <f t="shared" si="27"/>
        <v>3.2800925924675539E-2</v>
      </c>
      <c r="N99" s="7">
        <f t="shared" si="42"/>
        <v>47.233333331532776</v>
      </c>
      <c r="O99" s="7"/>
      <c r="P99" s="7"/>
      <c r="Q99" s="25"/>
      <c r="R99" s="25"/>
      <c r="S99" s="37">
        <f t="shared" si="41"/>
        <v>1</v>
      </c>
      <c r="T99" s="52" t="str">
        <f t="shared" si="28"/>
        <v>Southbound</v>
      </c>
      <c r="U99" s="16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13:23:22-0600',mode:absolute,to:'2016-09-12 16:13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99" s="54" t="str">
        <f t="shared" si="30"/>
        <v>N</v>
      </c>
      <c r="X99" s="168">
        <f t="shared" si="40"/>
        <v>1</v>
      </c>
      <c r="Y99" s="69">
        <f t="shared" si="31"/>
        <v>23.295999999999999</v>
      </c>
      <c r="Z99" s="69">
        <f t="shared" si="32"/>
        <v>2.0500000000000001E-2</v>
      </c>
      <c r="AA99" s="69">
        <f t="shared" si="33"/>
        <v>23.275500000000001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 t="shared" si="34"/>
        <v>0180-12</v>
      </c>
      <c r="AE99" s="99" t="str">
        <f t="shared" si="35"/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99" s="96" t="str">
        <f t="shared" si="36"/>
        <v>"C:\Program Files (x86)\AstroGrep\AstroGrep.exe" /spath="%USERPROFILE%\AppData\Local\Temp\OnboardLogs" /stypes="app*4041*20160912*" /stext=" 21:.+((SYSTEM_STATE.+slice.+state.+changed )|(ment ac)|(system.+state.+changed )|(\|lc)|(penalty)|(\[timeout)|(PRM\|1\|D)|(kpr)|(kdp))" /e /r /s</v>
      </c>
      <c r="AG99" s="1" t="str">
        <f t="shared" si="37"/>
        <v>EC</v>
      </c>
      <c r="AH99" s="100" t="str">
        <f t="shared" si="38"/>
        <v>"%USERPROFILE%\Documents\GitHub\eaglep3\Utilities\RefineRTDCRunTimes.py" --tripid 180-12 --locoid 4041 --swversion DE.1.0.7.0 --startMP 204:232960 --initTime 2016-09-12T14:23:22 --startdatetime 2016-09-12T14:26:35 --delay 1 --endMP 204:205 --enddatetime 2016-09-12T15:13:49 --enforcementcount 2 &gt;&gt;C:\Users\stu\Documents\GitHub\eaglep3-reporting\EC\2016-09-12-refined-times.txt</v>
      </c>
      <c r="AI99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{"issue":{"subject":"","project_id":79,"tracker_id":40,"status_id":1,"priority_id":2,"assigned_to_id":23,"start_date":"2016-09-12","description":"","custom_fields":[{"id":1,"name":"Subdivision","value":"EC"},{"id":4,"name":"Milepost","value":"23.2755"},{"id":17,"name":"Train ID","value":"180-12"},{"id":16,"name":"Locomotive ID","value":"4041"},{"id":130,"name":"Impact","value":""},{"id":150,"name":"Time of Event (Mountain Time)","value":"15:13:49"},{"id":151,"name":"Denver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hidden="1" x14ac:dyDescent="0.25">
      <c r="A100" s="39" t="s">
        <v>547</v>
      </c>
      <c r="B100" s="7">
        <v>4031</v>
      </c>
      <c r="C100" s="24" t="s">
        <v>108</v>
      </c>
      <c r="D100" s="24" t="s">
        <v>275</v>
      </c>
      <c r="E100" s="15">
        <v>42625.570949074077</v>
      </c>
      <c r="F100" s="15">
        <v>42625.573194444441</v>
      </c>
      <c r="G100" s="7">
        <v>1</v>
      </c>
      <c r="H100" s="15" t="s">
        <v>434</v>
      </c>
      <c r="I100" s="15">
        <v>42625.601134259261</v>
      </c>
      <c r="J100" s="7">
        <v>2</v>
      </c>
      <c r="K100" s="121" t="str">
        <f t="shared" si="26"/>
        <v>4031/4032</v>
      </c>
      <c r="L100" s="24" t="str">
        <f>VLOOKUP(A100,'Trips&amp;Operators'!$C$1:$E$10000,3,FALSE)</f>
        <v>OUN</v>
      </c>
      <c r="M100" s="6">
        <f t="shared" si="27"/>
        <v>2.7939814819546882E-2</v>
      </c>
      <c r="N100" s="7">
        <f t="shared" si="42"/>
        <v>40.23333334014751</v>
      </c>
      <c r="O100" s="7"/>
      <c r="P100" s="7"/>
      <c r="Q100" s="25"/>
      <c r="R100" s="25"/>
      <c r="S100" s="37">
        <f t="shared" si="41"/>
        <v>1</v>
      </c>
      <c r="T100" s="52" t="str">
        <f t="shared" si="28"/>
        <v>NorthBound</v>
      </c>
      <c r="U100" s="16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12:42:10-0600',mode:absolute,to:'2016-09-12 15:25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00" s="54" t="str">
        <f t="shared" si="30"/>
        <v>N</v>
      </c>
      <c r="X100" s="168">
        <f t="shared" si="40"/>
        <v>1</v>
      </c>
      <c r="Y100" s="69">
        <f t="shared" si="31"/>
        <v>4.5999999999999999E-2</v>
      </c>
      <c r="Z100" s="69">
        <f t="shared" si="32"/>
        <v>23.329899999999999</v>
      </c>
      <c r="AA100" s="69">
        <f t="shared" si="33"/>
        <v>23.283899999999999</v>
      </c>
      <c r="AB100" s="66" t="e">
        <f>VLOOKUP(A100,Enforcements!$C$7:$K$21,8,0)</f>
        <v>#N/A</v>
      </c>
      <c r="AC100" s="62" t="e">
        <f>VLOOKUP(A100,Enforcements!$C$7:$E$21,3,0)</f>
        <v>#N/A</v>
      </c>
      <c r="AD100" s="63" t="str">
        <f t="shared" si="34"/>
        <v>0181-12</v>
      </c>
      <c r="AE100" s="99" t="str">
        <f t="shared" si="35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100" s="96" t="str">
        <f t="shared" si="36"/>
        <v>"C:\Program Files (x86)\AstroGrep\AstroGrep.exe" /spath="%USERPROFILE%\AppData\Local\Temp\OnboardLogs" /stypes="app*4031*20160912*" /stext=" 20:.+((SYSTEM_STATE.+slice.+state.+changed )|(ment ac)|(system.+state.+changed )|(\|lc)|(penalty)|(\[timeout)|(PRM\|1\|D)|(kpr)|(kdp))" /e /r /s</v>
      </c>
      <c r="AG100" s="1" t="str">
        <f t="shared" si="37"/>
        <v>EC</v>
      </c>
      <c r="AH100" s="100" t="str">
        <f t="shared" si="38"/>
        <v>"%USERPROFILE%\Documents\GitHub\eaglep3\Utilities\RefineRTDCRunTimes.py" --tripid 181-12 --locoid 4031 --swversion DE.1.0.7.0 --startMP 204:460 --initTime 2016-09-12T13:42:10 --startdatetime 2016-09-12T13:45:24 --delay 1 --endMP 204:233299 --enddatetime 2016-09-12T14:25:38 --enforcementcount 2 &gt;&gt;C:\Users\stu\Documents\GitHub\eaglep3-reporting\EC\2016-09-12-refined-times.txt</v>
      </c>
      <c r="AI100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{"issue":{"subject":"","project_id":79,"tracker_id":40,"status_id":1,"priority_id":2,"assigned_to_id":23,"start_date":"2016-09-12","description":"","custom_fields":[{"id":1,"name":"Subdivision","value":"EC"},{"id":4,"name":"Milepost","value":"23.2839"},{"id":17,"name":"Train ID","value":"181-12"},{"id":16,"name":"Locomotive ID","value":"4031"},{"id":130,"name":"Impact","value":""},{"id":150,"name":"Time of Event (Mountain Time)","value":"14:25:38"},{"id":151,"name":"Denver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hidden="1" x14ac:dyDescent="0.25">
      <c r="A101" s="39" t="s">
        <v>548</v>
      </c>
      <c r="B101" s="7">
        <v>4032</v>
      </c>
      <c r="C101" s="24" t="s">
        <v>108</v>
      </c>
      <c r="D101" s="24" t="s">
        <v>308</v>
      </c>
      <c r="E101" s="15">
        <v>42625.608136574076</v>
      </c>
      <c r="F101" s="15">
        <v>42625.612962962965</v>
      </c>
      <c r="G101" s="7">
        <v>1</v>
      </c>
      <c r="H101" s="15" t="s">
        <v>235</v>
      </c>
      <c r="I101" s="15">
        <v>42625.639351851853</v>
      </c>
      <c r="J101" s="7">
        <v>2</v>
      </c>
      <c r="K101" s="121" t="str">
        <f t="shared" si="26"/>
        <v>4031/4032</v>
      </c>
      <c r="L101" s="24" t="str">
        <f>VLOOKUP(A101,'Trips&amp;Operators'!$C$1:$E$10000,3,FALSE)</f>
        <v>OUN</v>
      </c>
      <c r="M101" s="6">
        <f t="shared" si="27"/>
        <v>2.6388888887595385E-2</v>
      </c>
      <c r="N101" s="7">
        <f t="shared" si="42"/>
        <v>37.999999998137355</v>
      </c>
      <c r="O101" s="7"/>
      <c r="P101" s="7"/>
      <c r="Q101" s="25"/>
      <c r="R101" s="25"/>
      <c r="S101" s="37">
        <f t="shared" si="41"/>
        <v>1</v>
      </c>
      <c r="T101" s="52" t="str">
        <f t="shared" si="28"/>
        <v>Southbound</v>
      </c>
      <c r="U101" s="16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13:35:43-0600',mode:absolute,to:'2016-09-12 16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01" s="54" t="str">
        <f t="shared" si="30"/>
        <v>N</v>
      </c>
      <c r="X101" s="168">
        <f t="shared" si="40"/>
        <v>1</v>
      </c>
      <c r="Y101" s="69">
        <f t="shared" si="31"/>
        <v>23.2971</v>
      </c>
      <c r="Z101" s="69">
        <f t="shared" si="32"/>
        <v>1.4999999999999999E-2</v>
      </c>
      <c r="AA101" s="69">
        <f t="shared" si="33"/>
        <v>23.2821</v>
      </c>
      <c r="AB101" s="66" t="e">
        <f>VLOOKUP(A101,Enforcements!$C$7:$K$21,8,0)</f>
        <v>#N/A</v>
      </c>
      <c r="AC101" s="62" t="e">
        <f>VLOOKUP(A101,Enforcements!$C$7:$E$21,3,0)</f>
        <v>#N/A</v>
      </c>
      <c r="AD101" s="63" t="str">
        <f t="shared" si="34"/>
        <v>0182-12</v>
      </c>
      <c r="AE101" s="99" t="str">
        <f t="shared" si="35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101" s="96" t="str">
        <f t="shared" si="36"/>
        <v>"C:\Program Files (x86)\AstroGrep\AstroGrep.exe" /spath="%USERPROFILE%\AppData\Local\Temp\OnboardLogs" /stypes="app*4032*20160912*" /stext=" 21:.+((SYSTEM_STATE.+slice.+state.+changed )|(ment ac)|(system.+state.+changed )|(\|lc)|(penalty)|(\[timeout)|(PRM\|1\|D)|(kpr)|(kdp))" /e /r /s</v>
      </c>
      <c r="AG101" s="1" t="str">
        <f t="shared" si="37"/>
        <v>EC</v>
      </c>
      <c r="AH101" s="100" t="str">
        <f t="shared" si="38"/>
        <v>"%USERPROFILE%\Documents\GitHub\eaglep3\Utilities\RefineRTDCRunTimes.py" --tripid 182-12 --locoid 4032 --swversion DE.1.0.7.0 --startMP 204:232971 --initTime 2016-09-12T14:35:43 --startdatetime 2016-09-12T14:42:40 --delay 1 --endMP 204:150 --enddatetime 2016-09-12T15:20:40 --enforcementcount 2 &gt;&gt;C:\Users\stu\Documents\GitHub\eaglep3-reporting\EC\2016-09-12-refined-times.txt</v>
      </c>
      <c r="AI101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{"issue":{"subject":"","project_id":79,"tracker_id":40,"status_id":1,"priority_id":2,"assigned_to_id":23,"start_date":"2016-09-12","description":"","custom_fields":[{"id":1,"name":"Subdivision","value":"EC"},{"id":4,"name":"Milepost","value":"23.2821"},{"id":17,"name":"Train ID","value":"182-12"},{"id":16,"name":"Locomotive ID","value":"4032"},{"id":130,"name":"Impact","value":""},{"id":150,"name":"Time of Event (Mountain Time)","value":"15:20:40"},{"id":151,"name":"Denver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hidden="1" x14ac:dyDescent="0.25">
      <c r="A102" s="39" t="s">
        <v>549</v>
      </c>
      <c r="B102" s="7">
        <v>4027</v>
      </c>
      <c r="C102" s="24" t="s">
        <v>108</v>
      </c>
      <c r="D102" s="24" t="s">
        <v>307</v>
      </c>
      <c r="E102" s="15">
        <v>42625.578923611109</v>
      </c>
      <c r="F102" s="15">
        <v>42625.583831018521</v>
      </c>
      <c r="G102" s="7">
        <v>3</v>
      </c>
      <c r="H102" s="15" t="s">
        <v>472</v>
      </c>
      <c r="I102" s="15">
        <v>42625.612928240742</v>
      </c>
      <c r="J102" s="7">
        <v>2</v>
      </c>
      <c r="K102" s="121" t="str">
        <f t="shared" si="26"/>
        <v>4027/4028</v>
      </c>
      <c r="L102" s="24" t="str">
        <f>VLOOKUP(A102,'Trips&amp;Operators'!$C$1:$E$10000,3,FALSE)</f>
        <v>BERLING</v>
      </c>
      <c r="M102" s="6">
        <f t="shared" si="27"/>
        <v>2.9097222221025731E-2</v>
      </c>
      <c r="N102" s="7">
        <f t="shared" si="42"/>
        <v>41.899999998277053</v>
      </c>
      <c r="O102" s="7"/>
      <c r="P102" s="7"/>
      <c r="Q102" s="25"/>
      <c r="R102" s="25"/>
      <c r="S102" s="37">
        <f t="shared" si="41"/>
        <v>1</v>
      </c>
      <c r="T102" s="52" t="str">
        <f t="shared" si="28"/>
        <v>NorthBound</v>
      </c>
      <c r="U102" s="16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12:53:39-0600',mode:absolute,to:'2016-09-12 15:42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02" s="54" t="str">
        <f t="shared" si="30"/>
        <v>N</v>
      </c>
      <c r="X102" s="168">
        <f t="shared" si="40"/>
        <v>1</v>
      </c>
      <c r="Y102" s="69">
        <f t="shared" si="31"/>
        <v>4.6899999999999997E-2</v>
      </c>
      <c r="Z102" s="69">
        <f t="shared" si="32"/>
        <v>23.330400000000001</v>
      </c>
      <c r="AA102" s="69">
        <f t="shared" si="33"/>
        <v>23.2835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 t="shared" si="34"/>
        <v>0183-12</v>
      </c>
      <c r="AE102" s="99" t="str">
        <f t="shared" si="35"/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102" s="96" t="str">
        <f t="shared" si="36"/>
        <v>"C:\Program Files (x86)\AstroGrep\AstroGrep.exe" /spath="%USERPROFILE%\AppData\Local\Temp\OnboardLogs" /stypes="app*4027*20160912*" /stext=" 20:.+((SYSTEM_STATE.+slice.+state.+changed )|(ment ac)|(system.+state.+changed )|(\|lc)|(penalty)|(\[timeout)|(PRM\|1\|D)|(kpr)|(kdp))" /e /r /s</v>
      </c>
      <c r="AG102" s="1" t="str">
        <f t="shared" si="37"/>
        <v>EC</v>
      </c>
      <c r="AH102" s="100" t="str">
        <f t="shared" si="38"/>
        <v>"%USERPROFILE%\Documents\GitHub\eaglep3\Utilities\RefineRTDCRunTimes.py" --tripid 183-12 --locoid 4027 --swversion DE.1.0.7.0 --startMP 204:469 --initTime 2016-09-12T13:53:39 --startdatetime 2016-09-12T14:00:43 --delay 3 --endMP 204:233304 --enddatetime 2016-09-12T14:42:37 --enforcementcount 2 &gt;&gt;C:\Users\stu\Documents\GitHub\eaglep3-reporting\EC\2016-09-12-refined-times.txt</v>
      </c>
      <c r="AI102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{"issue":{"subject":"","project_id":79,"tracker_id":40,"status_id":1,"priority_id":2,"assigned_to_id":23,"start_date":"2016-09-12","description":"","custom_fields":[{"id":1,"name":"Subdivision","value":"EC"},{"id":4,"name":"Milepost","value":"23.2835"},{"id":17,"name":"Train ID","value":"183-12"},{"id":16,"name":"Locomotive ID","value":"4027"},{"id":130,"name":"Impact","value":""},{"id":150,"name":"Time of Event (Mountain Time)","value":"14:42:37"},{"id":151,"name":"Denver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407</v>
      </c>
      <c r="B103" s="7">
        <v>4028</v>
      </c>
      <c r="C103" s="24" t="s">
        <v>108</v>
      </c>
      <c r="D103" s="24" t="s">
        <v>550</v>
      </c>
      <c r="E103" s="15">
        <v>42625.617731481485</v>
      </c>
      <c r="F103" s="15">
        <v>42625.622407407405</v>
      </c>
      <c r="G103" s="7">
        <v>6</v>
      </c>
      <c r="H103" s="15" t="s">
        <v>551</v>
      </c>
      <c r="I103" s="15">
        <v>42625.651736111111</v>
      </c>
      <c r="J103" s="7">
        <v>2</v>
      </c>
      <c r="K103" s="121" t="str">
        <f t="shared" si="26"/>
        <v>4027/4028</v>
      </c>
      <c r="L103" s="24" t="str">
        <f>VLOOKUP(A103,'Trips&amp;Operators'!$C$1:$E$10000,3,FALSE)</f>
        <v>BERLING</v>
      </c>
      <c r="M103" s="6">
        <f t="shared" si="27"/>
        <v>2.9328703705687076E-2</v>
      </c>
      <c r="N103" s="7">
        <f t="shared" si="42"/>
        <v>42.233333336189389</v>
      </c>
      <c r="O103" s="7"/>
      <c r="P103" s="7"/>
      <c r="Q103" s="25"/>
      <c r="R103" s="25"/>
      <c r="S103" s="37">
        <f t="shared" si="41"/>
        <v>1</v>
      </c>
      <c r="T103" s="52" t="str">
        <f t="shared" si="28"/>
        <v>Southbound</v>
      </c>
      <c r="U103" s="16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13:49:32-0600',mode:absolute,to:'2016-09-12 16:38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03" s="54" t="str">
        <f t="shared" si="30"/>
        <v>N</v>
      </c>
      <c r="X103" s="168">
        <f t="shared" si="40"/>
        <v>1</v>
      </c>
      <c r="Y103" s="69">
        <f t="shared" si="31"/>
        <v>23.298100000000002</v>
      </c>
      <c r="Z103" s="69">
        <f t="shared" si="32"/>
        <v>3.0499999999999999E-2</v>
      </c>
      <c r="AA103" s="69">
        <f t="shared" si="33"/>
        <v>23.267600000000002</v>
      </c>
      <c r="AB103" s="66" t="e">
        <f>VLOOKUP(A103,Enforcements!$C$7:$K$21,8,0)</f>
        <v>#N/A</v>
      </c>
      <c r="AC103" s="62" t="e">
        <f>VLOOKUP(A103,Enforcements!$C$7:$E$21,3,0)</f>
        <v>#N/A</v>
      </c>
      <c r="AD103" s="63" t="str">
        <f t="shared" si="34"/>
        <v>0184-12</v>
      </c>
      <c r="AE103" s="99" t="str">
        <f t="shared" si="35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103" s="96" t="str">
        <f t="shared" si="36"/>
        <v>"C:\Program Files (x86)\AstroGrep\AstroGrep.exe" /spath="%USERPROFILE%\AppData\Local\Temp\OnboardLogs" /stypes="app*4028*20160912*" /stext=" 21:.+((SYSTEM_STATE.+slice.+state.+changed )|(ment ac)|(system.+state.+changed )|(\|lc)|(penalty)|(\[timeout)|(PRM\|1\|D)|(kpr)|(kdp))" /e /r /s</v>
      </c>
      <c r="AG103" s="1" t="str">
        <f t="shared" si="37"/>
        <v>EC</v>
      </c>
      <c r="AH103" s="100" t="str">
        <f t="shared" si="38"/>
        <v>"%USERPROFILE%\Documents\GitHub\eaglep3\Utilities\RefineRTDCRunTimes.py" --tripid 184-12 --locoid 4028 --swversion DE.1.0.7.0 --startMP 204:232981 --initTime 2016-09-12T14:49:32 --startdatetime 2016-09-12T14:56:16 --delay 6 --endMP 204:305 --enddatetime 2016-09-12T15:38:30 --enforcementcount 2 &gt;&gt;C:\Users\stu\Documents\GitHub\eaglep3-reporting\EC\2016-09-12-refined-times.txt</v>
      </c>
      <c r="AI103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{"issue":{"subject":"","project_id":79,"tracker_id":40,"status_id":1,"priority_id":2,"assigned_to_id":23,"start_date":"2016-09-12","description":"","custom_fields":[{"id":1,"name":"Subdivision","value":"EC"},{"id":4,"name":"Milepost","value":"23.2676"},{"id":17,"name":"Train ID","value":"184-12"},{"id":16,"name":"Locomotive ID","value":"4028"},{"id":130,"name":"Impact","value":""},{"id":150,"name":"Time of Event (Mountain Time)","value":"15:38:30"},{"id":151,"name":"Denver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hidden="1" x14ac:dyDescent="0.25">
      <c r="A104" s="39" t="s">
        <v>552</v>
      </c>
      <c r="B104" s="7">
        <v>4038</v>
      </c>
      <c r="C104" s="24" t="s">
        <v>108</v>
      </c>
      <c r="D104" s="24" t="s">
        <v>275</v>
      </c>
      <c r="E104" s="15">
        <v>42625.592048611114</v>
      </c>
      <c r="F104" s="15">
        <v>42625.593993055554</v>
      </c>
      <c r="G104" s="7">
        <v>1</v>
      </c>
      <c r="H104" s="15" t="s">
        <v>483</v>
      </c>
      <c r="I104" s="15">
        <v>42625.620856481481</v>
      </c>
      <c r="J104" s="7">
        <v>2</v>
      </c>
      <c r="K104" s="121" t="str">
        <f t="shared" si="26"/>
        <v>4037/4038</v>
      </c>
      <c r="L104" s="24" t="str">
        <f>VLOOKUP(A104,'Trips&amp;Operators'!$C$1:$E$10000,3,FALSE)</f>
        <v>SHOOK</v>
      </c>
      <c r="M104" s="6">
        <f t="shared" si="27"/>
        <v>2.6863425926421769E-2</v>
      </c>
      <c r="N104" s="7">
        <f t="shared" si="42"/>
        <v>38.683333334047347</v>
      </c>
      <c r="O104" s="7"/>
      <c r="P104" s="7"/>
      <c r="Q104" s="25"/>
      <c r="R104" s="25"/>
      <c r="S104" s="37">
        <f t="shared" si="41"/>
        <v>1</v>
      </c>
      <c r="T104" s="52" t="str">
        <f t="shared" si="28"/>
        <v>NorthBound</v>
      </c>
      <c r="U104" s="16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13:12:33-0600',mode:absolute,to:'2016-09-12 15:54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04" s="54" t="str">
        <f t="shared" si="30"/>
        <v>N</v>
      </c>
      <c r="X104" s="168">
        <f t="shared" si="40"/>
        <v>1</v>
      </c>
      <c r="Y104" s="69">
        <f t="shared" si="31"/>
        <v>4.5999999999999999E-2</v>
      </c>
      <c r="Z104" s="69">
        <f t="shared" si="32"/>
        <v>23.3355</v>
      </c>
      <c r="AA104" s="69">
        <f t="shared" si="33"/>
        <v>23.2895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 t="shared" si="34"/>
        <v>0185-12</v>
      </c>
      <c r="AE104" s="99" t="str">
        <f t="shared" si="35"/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104" s="96" t="str">
        <f t="shared" si="36"/>
        <v>"C:\Program Files (x86)\AstroGrep\AstroGrep.exe" /spath="%USERPROFILE%\AppData\Local\Temp\OnboardLogs" /stypes="app*4038*20160912*" /stext=" 20:.+((SYSTEM_STATE.+slice.+state.+changed )|(ment ac)|(system.+state.+changed )|(\|lc)|(penalty)|(\[timeout)|(PRM\|1\|D)|(kpr)|(kdp))" /e /r /s</v>
      </c>
      <c r="AG104" s="1" t="str">
        <f t="shared" si="37"/>
        <v>EC</v>
      </c>
      <c r="AH104" s="100" t="str">
        <f t="shared" si="38"/>
        <v>"%USERPROFILE%\Documents\GitHub\eaglep3\Utilities\RefineRTDCRunTimes.py" --tripid 185-12 --locoid 4038 --swversion DE.1.0.7.0 --startMP 204:460 --initTime 2016-09-12T14:12:33 --startdatetime 2016-09-12T14:15:21 --delay 1 --endMP 204:233355 --enddatetime 2016-09-12T14:54:02 --enforcementcount 2 &gt;&gt;C:\Users\stu\Documents\GitHub\eaglep3-reporting\EC\2016-09-12-refined-times.txt</v>
      </c>
      <c r="AI104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{"issue":{"subject":"","project_id":79,"tracker_id":40,"status_id":1,"priority_id":2,"assigned_to_id":23,"start_date":"2016-09-12","description":"","custom_fields":[{"id":1,"name":"Subdivision","value":"EC"},{"id":4,"name":"Milepost","value":"23.2895"},{"id":17,"name":"Train ID","value":"185-12"},{"id":16,"name":"Locomotive ID","value":"4038"},{"id":130,"name":"Impact","value":""},{"id":150,"name":"Time of Event (Mountain Time)","value":"14:54:02"},{"id":151,"name":"Denver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hidden="1" x14ac:dyDescent="0.25">
      <c r="A105" s="39" t="s">
        <v>744</v>
      </c>
      <c r="B105" s="7">
        <v>4037</v>
      </c>
      <c r="C105" s="24" t="s">
        <v>108</v>
      </c>
      <c r="D105" s="24" t="s">
        <v>275</v>
      </c>
      <c r="E105" s="15">
        <v>42625.592048611114</v>
      </c>
      <c r="F105" s="15">
        <v>42625.626006944447</v>
      </c>
      <c r="G105" s="7">
        <v>1</v>
      </c>
      <c r="H105" s="15" t="s">
        <v>483</v>
      </c>
      <c r="I105" s="15">
        <v>42625.628194444442</v>
      </c>
      <c r="J105" s="7">
        <v>2</v>
      </c>
      <c r="K105" s="121" t="str">
        <f t="shared" ref="K105" si="43">IF(ISEVEN(B105),(B105-1)&amp;"/"&amp;B105,B105&amp;"/"&amp;(B105+1))</f>
        <v>4037/4038</v>
      </c>
      <c r="L105" s="24" t="str">
        <f>VLOOKUP(A105,'Trips&amp;Operators'!$C$1:$E$10000,3,FALSE)</f>
        <v>SHOOK</v>
      </c>
      <c r="M105" s="6">
        <f t="shared" ref="M105" si="44">I105-F105</f>
        <v>2.1874999947613105E-3</v>
      </c>
      <c r="N105" s="7"/>
      <c r="O105" s="7"/>
      <c r="P105" s="7">
        <f t="shared" si="42"/>
        <v>3.1499999924562871</v>
      </c>
      <c r="Q105" s="25"/>
      <c r="R105" s="25" t="s">
        <v>755</v>
      </c>
      <c r="S105" s="37">
        <f t="shared" ref="S105" si="45">SUM(U105:U105)/IF(AG105="EC",12,1)</f>
        <v>0</v>
      </c>
      <c r="T105" s="52" t="str">
        <f t="shared" ref="T105" si="46">IF(ISEVEN(LEFT(AD105,4)),"Southbound","NorthBound")</f>
        <v>Southbound</v>
      </c>
      <c r="U105" s="16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0</v>
      </c>
      <c r="V105" s="106" t="str">
        <f t="shared" ref="V105" si="47">"https://search-rtdc-monitor-bjffxe2xuh6vdkpspy63sjmuny.us-east-1.es.amazonaws.com/_plugin/kibana/#/discover/Steve-Slow-Train-Analysis-(2080s-and-2083s)?_g=(refreshInterval:(display:Off,section:0,value:0),time:(from:'"&amp;TEXT(E105-1/24,"yyyy-MM-DD hh:mm:ss")&amp;"-0600',mode:absolute,to:'"&amp;TEXT(I105+1/24,"yyyy-MM-DD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105&amp;"%22')),sort:!(Time,asc))"</f>
        <v>https://search-rtdc-monitor-bjffxe2xuh6vdkpspy63sjmuny.us-east-1.es.amazonaws.com/_plugin/kibana/#/discover/Steve-Slow-Train-Analysis-(2080s-and-2083s)?_g=(refreshInterval:(display:Off,section:0,value:0),time:(from:'2016-09-12 13:12:33-0600',mode:absolute,to:'2016-09-12 16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05" s="54" t="str">
        <f t="shared" ref="W105" si="48">IF(AA105&lt;IF(AG105="EC",23,5.65),"Y","N")</f>
        <v>N</v>
      </c>
      <c r="X105" s="168">
        <f t="shared" si="40"/>
        <v>1</v>
      </c>
      <c r="Y105" s="69">
        <f t="shared" ref="Y105" si="49">RIGHT(D105,LEN(D105)-4)/10000</f>
        <v>4.5999999999999999E-2</v>
      </c>
      <c r="Z105" s="69">
        <f t="shared" ref="Z105" si="50">RIGHT(H105,LEN(H105)-4)/10000</f>
        <v>23.3355</v>
      </c>
      <c r="AA105" s="69">
        <f t="shared" ref="AA105" si="51">ABS(Z105-Y105)</f>
        <v>23.2895</v>
      </c>
      <c r="AB105" s="66" t="e">
        <f>VLOOKUP(A105,Enforcements!$C$7:$K$21,8,0)</f>
        <v>#N/A</v>
      </c>
      <c r="AC105" s="62" t="e">
        <f>VLOOKUP(A105,Enforcements!$C$7:$E$21,3,0)</f>
        <v>#N/A</v>
      </c>
      <c r="AD105" s="63" t="str">
        <f t="shared" ref="AD105" si="52">IF(LEN(A105)=6,"0"&amp;A105,A105)</f>
        <v>0186-12</v>
      </c>
      <c r="AE105" s="99" t="str">
        <f t="shared" ref="AE105" si="53">"aws s3 cp "&amp;s3_bucket&amp;"/RTDC"&amp;B105&amp;"/"&amp;TEXT(F105,"YYYY-MM-DD")&amp;"/ "&amp;search_path&amp;"\RTDC"&amp;B105&amp;"\"&amp;TEXT(F105,"YYYY-MM-DD")&amp;" --recursive &amp; """&amp;walkandungz&amp;""" "&amp;search_path&amp;"\RTDC"&amp;B105&amp;"\"&amp;TEXT(F105,"YYYY-MM-DD")
&amp;" &amp; "&amp;"aws s3 cp "&amp;s3_bucket&amp;"/RTDC"&amp;B105&amp;"/"&amp;TEXT(F105+1,"YYYY-MM-DD")&amp;"/ "&amp;search_path&amp;"\RTDC"&amp;B105&amp;"\"&amp;TEXT(F105+1,"YYYY-MM-DD")&amp;" --recursive &amp; """&amp;walkandungz&amp;""" "&amp;search_path&amp;"\RTDC"&amp;B105&amp;"\"&amp;TEXT(F105+1,"YYYY-MM-DD")</f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AF105" s="96" t="str">
        <f t="shared" ref="AF105" si="54"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/stypes="app*4037*20160912*" /stext=" 21:.+((SYSTEM_STATE.+slice.+state.+changed )|(ment ac)|(system.+state.+changed )|(\|lc)|(penalty)|(\[timeout)|(PRM\|1\|D)|(kpr)|(kdp))" /e /r /s</v>
      </c>
      <c r="AG105" s="1" t="str">
        <f t="shared" ref="AG105" si="55">IFERROR(IF(VALUE(LEFT(AD105,2))&lt;=2,"EC",IF(OR(VALUE(LEFT(AD105,2))=8,VALUE(LEFT(AD105,2))=18),"NW","Other")),"Other")</f>
        <v>EC</v>
      </c>
      <c r="AH105" s="100" t="str">
        <f t="shared" ref="AH105" si="56">refinertdcruntimes&amp;" --tripid "&amp;A105&amp;" --locoid "&amp;B105&amp;" --swversion "&amp;C105&amp;" --startMP "&amp;D105&amp;" --initTime "&amp;TEXT(E105,"yyyy-mm-ddTHH:MM:SS")&amp;" --startdatetime "&amp;TEXT(F105,"yyyy-mm-ddTHH:MM:SS")&amp;" --delay "&amp;G105&amp;" --endMP "&amp;H105&amp;" --enddatetime "&amp;TEXT(I105,"yyyy-mm-ddTHH:MM:SS")&amp;" --enforcementcount "&amp;J105&amp;IF(outputrefinedruntimes," &gt;&gt;"&amp;RefinedRTDCRunTimesOutputFile,"")</f>
        <v>"%USERPROFILE%\Documents\GitHub\eaglep3\Utilities\RefineRTDCRunTimes.py" --tripid 186-12 --locoid 4037 --swversion DE.1.0.7.0 --startMP 204:460 --initTime 2016-09-12T14:12:33 --startdatetime 2016-09-12T15:01:27 --delay 1 --endMP 204:233355 --enddatetime 2016-09-12T15:04:36 --enforcementcount 2 &gt;&gt;C:\Users\stu\Documents\GitHub\eaglep3-reporting\EC\2016-09-12-refined-times.txt</v>
      </c>
      <c r="AI105" s="134" t="str">
        <f t="shared" ref="AI105" si="57">"echo {""issue"":{""subject"":"""&amp;R105&amp;""",""project_id"":79,""tracker_id"":40,""status_id"":"&amp;redmine_status&amp;",""priority_id"":"&amp;redmine_priority&amp;",""assigned_to_id"":"&amp;redmine_assignee&amp;",""start_date"":"""&amp;TEXT(I105,"YYYY-mm-dd")&amp;""",""description"":"""&amp;AJ105&amp;""",""custom_fields"":[{""id"":1,""name"":""Subdivision"",""value"":"""&amp;AG105&amp;"""},{""id"":4,""name"":""Milepost"",""value"":"""&amp;AA105&amp;"""},{""id"":17,""name"":""Train ID"",""value"":"""&amp;A105&amp;"""},{""id"":16,""name"":""Locomotive ID"",""value"":"""&amp;B105&amp;"""},{""id"":130,""name"":""Impact"",""value"":"""&amp;AK105&amp;"""},{""id"":150,""name"":""Time of Event (Mountain Time)"",""value"":"""&amp;TEXT(I105,"hh:mm:ss")&amp;"""},{""id"":151,""name"":""Denver Issue ID"",""value"":"""&amp;"""},{""id"":178,""name"":""Operational Impact"",""value"":"""&amp;redmine_op_impact&amp;"""},{""id"":179,""name"":""Denver Segment Assigned"",""value"":"""&amp;AL105&amp;"""}]}}"&amp;"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failure","project_id":79,"tracker_id":40,"status_id":1,"priority_id":2,"assigned_to_id":23,"start_date":"2016-09-12","description":"","custom_fields":[{"id":1,"name":"Subdivision","value":"EC"},{"id":4,"name":"Milepost","value":"23.2895"},{"id":17,"name":"Train ID","value":"186-12"},{"id":16,"name":"Locomotive ID","value":"4037"},{"id":130,"name":"Impact","value":""},{"id":150,"name":"Time of Event (Mountain Time)","value":"15:04:36"},{"id":151,"name":"Denver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hidden="1" x14ac:dyDescent="0.25">
      <c r="A106" s="39" t="s">
        <v>553</v>
      </c>
      <c r="B106" s="7">
        <v>4016</v>
      </c>
      <c r="C106" s="24" t="s">
        <v>108</v>
      </c>
      <c r="D106" s="24" t="s">
        <v>554</v>
      </c>
      <c r="E106" s="15">
        <v>42625.602951388886</v>
      </c>
      <c r="F106" s="15">
        <v>42625.605208333334</v>
      </c>
      <c r="G106" s="7">
        <v>1</v>
      </c>
      <c r="H106" s="15" t="s">
        <v>493</v>
      </c>
      <c r="I106" s="15">
        <v>42625.631377314814</v>
      </c>
      <c r="J106" s="7">
        <v>2</v>
      </c>
      <c r="K106" s="121" t="str">
        <f t="shared" si="26"/>
        <v>4015/4016</v>
      </c>
      <c r="L106" s="24" t="str">
        <f>VLOOKUP(A106,'Trips&amp;Operators'!$C$1:$E$10000,3,FALSE)</f>
        <v>ISHMAEL</v>
      </c>
      <c r="M106" s="6">
        <f t="shared" si="27"/>
        <v>2.6168981479713693E-2</v>
      </c>
      <c r="N106" s="7">
        <f t="shared" si="42"/>
        <v>37.683333330787718</v>
      </c>
      <c r="O106" s="7"/>
      <c r="P106" s="7"/>
      <c r="Q106" s="25"/>
      <c r="R106" s="25"/>
      <c r="S106" s="37">
        <f t="shared" si="41"/>
        <v>1</v>
      </c>
      <c r="T106" s="52" t="str">
        <f t="shared" si="28"/>
        <v>NorthBound</v>
      </c>
      <c r="U106" s="16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13:28:15-0600',mode:absolute,to:'2016-09-12 16:09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06" s="54" t="str">
        <f t="shared" si="30"/>
        <v>N</v>
      </c>
      <c r="X106" s="168">
        <f t="shared" si="40"/>
        <v>1</v>
      </c>
      <c r="Y106" s="69">
        <f t="shared" si="31"/>
        <v>0.1507</v>
      </c>
      <c r="Z106" s="69">
        <f t="shared" si="32"/>
        <v>23.331700000000001</v>
      </c>
      <c r="AA106" s="69">
        <f t="shared" si="33"/>
        <v>23.181000000000001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 t="shared" si="34"/>
        <v>0187-12</v>
      </c>
      <c r="AE106" s="99" t="str">
        <f t="shared" si="35"/>
        <v>aws s3 cp s3://rtdc.mdm.uploadarchive/RTDC4016/2016-09-12/ "%USERPROFILE%\AppData\Local\Temp\OnboardLogs"\RTDC4016\2016-09-12 --recursive &amp; "%USERPROFILE%\Documents\GitHub\mrs-test-scripts\Headless Mode &amp; Sideloading\WalkAndUnGZ.bat" "%USERPROFILE%\AppData\Local\Temp\OnboardLogs"\RTDC4016\2016-09-12 &amp; aws s3 cp s3://rtdc.mdm.uploadarchive/RTDC4016/2016-09-13/ "%USERPROFILE%\AppData\Local\Temp\OnboardLogs"\RTDC4016\2016-09-13 --recursive &amp; "%USERPROFILE%\Documents\GitHub\mrs-test-scripts\Headless Mode &amp; Sideloading\WalkAndUnGZ.bat" "%USERPROFILE%\AppData\Local\Temp\OnboardLogs"\RTDC4016\2016-09-13</v>
      </c>
      <c r="AF106" s="96" t="str">
        <f t="shared" si="36"/>
        <v>"C:\Program Files (x86)\AstroGrep\AstroGrep.exe" /spath="%USERPROFILE%\AppData\Local\Temp\OnboardLogs" /stypes="app*4016*20160912*" /stext=" 21:.+((SYSTEM_STATE.+slice.+state.+changed )|(ment ac)|(system.+state.+changed )|(\|lc)|(penalty)|(\[timeout)|(PRM\|1\|D)|(kpr)|(kdp))" /e /r /s</v>
      </c>
      <c r="AG106" s="1" t="str">
        <f t="shared" si="37"/>
        <v>EC</v>
      </c>
      <c r="AH106" s="100" t="str">
        <f t="shared" si="38"/>
        <v>"%USERPROFILE%\Documents\GitHub\eaglep3\Utilities\RefineRTDCRunTimes.py" --tripid 187-12 --locoid 4016 --swversion DE.1.0.7.0 --startMP 204:1507 --initTime 2016-09-12T14:28:15 --startdatetime 2016-09-12T14:31:30 --delay 1 --endMP 204:233317 --enddatetime 2016-09-12T15:09:11 --enforcementcount 2 &gt;&gt;C:\Users\stu\Documents\GitHub\eaglep3-reporting\EC\2016-09-12-refined-times.txt</v>
      </c>
      <c r="AI106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{"issue":{"subject":"","project_id":79,"tracker_id":40,"status_id":1,"priority_id":2,"assigned_to_id":23,"start_date":"2016-09-12","description":"","custom_fields":[{"id":1,"name":"Subdivision","value":"EC"},{"id":4,"name":"Milepost","value":"23.181"},{"id":17,"name":"Train ID","value":"187-12"},{"id":16,"name":"Locomotive ID","value":"4016"},{"id":130,"name":"Impact","value":""},{"id":150,"name":"Time of Event (Mountain Time)","value":"15:09:11"},{"id":151,"name":"Denver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hidden="1" x14ac:dyDescent="0.25">
      <c r="A107" s="39" t="s">
        <v>555</v>
      </c>
      <c r="B107" s="7">
        <v>4015</v>
      </c>
      <c r="C107" s="24" t="s">
        <v>108</v>
      </c>
      <c r="D107" s="24" t="s">
        <v>331</v>
      </c>
      <c r="E107" s="15">
        <v>42625.639004629629</v>
      </c>
      <c r="F107" s="15">
        <v>42625.643275462964</v>
      </c>
      <c r="G107" s="7">
        <v>1</v>
      </c>
      <c r="H107" s="15" t="s">
        <v>556</v>
      </c>
      <c r="I107" s="15">
        <v>42625.672627314816</v>
      </c>
      <c r="J107" s="7">
        <v>2</v>
      </c>
      <c r="K107" s="121" t="str">
        <f t="shared" si="26"/>
        <v>4015/4016</v>
      </c>
      <c r="L107" s="24" t="str">
        <f>VLOOKUP(A107,'Trips&amp;Operators'!$C$1:$E$10000,3,FALSE)</f>
        <v>ISHMAEL</v>
      </c>
      <c r="M107" s="6">
        <f t="shared" si="27"/>
        <v>2.9351851851970423E-2</v>
      </c>
      <c r="N107" s="7">
        <f t="shared" si="42"/>
        <v>42.266666666837409</v>
      </c>
      <c r="O107" s="7"/>
      <c r="P107" s="7"/>
      <c r="Q107" s="25"/>
      <c r="R107" s="25"/>
      <c r="S107" s="37">
        <f t="shared" si="41"/>
        <v>1</v>
      </c>
      <c r="T107" s="52" t="str">
        <f t="shared" si="28"/>
        <v>Southbound</v>
      </c>
      <c r="U107" s="16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14:20:10-0600',mode:absolute,to:'2016-09-12 17:08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07" s="54" t="str">
        <f t="shared" si="30"/>
        <v>N</v>
      </c>
      <c r="X107" s="168">
        <f t="shared" si="40"/>
        <v>1</v>
      </c>
      <c r="Y107" s="69">
        <f t="shared" si="31"/>
        <v>23.3</v>
      </c>
      <c r="Z107" s="69">
        <f t="shared" si="32"/>
        <v>1.72E-2</v>
      </c>
      <c r="AA107" s="69">
        <f t="shared" si="33"/>
        <v>23.282800000000002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 t="shared" si="34"/>
        <v>0188-12</v>
      </c>
      <c r="AE107" s="99" t="str">
        <f t="shared" si="35"/>
        <v>aws s3 cp s3://rtdc.mdm.uploadarchive/RTDC4015/2016-09-12/ "%USERPROFILE%\AppData\Local\Temp\OnboardLogs"\RTDC4015\2016-09-12 --recursive &amp; "%USERPROFILE%\Documents\GitHub\mrs-test-scripts\Headless Mode &amp; Sideloading\WalkAndUnGZ.bat" "%USERPROFILE%\AppData\Local\Temp\OnboardLogs"\RTDC4015\2016-09-12 &amp; aws s3 cp s3://rtdc.mdm.uploadarchive/RTDC4015/2016-09-13/ "%USERPROFILE%\AppData\Local\Temp\OnboardLogs"\RTDC4015\2016-09-13 --recursive &amp; "%USERPROFILE%\Documents\GitHub\mrs-test-scripts\Headless Mode &amp; Sideloading\WalkAndUnGZ.bat" "%USERPROFILE%\AppData\Local\Temp\OnboardLogs"\RTDC4015\2016-09-13</v>
      </c>
      <c r="AF107" s="96" t="str">
        <f t="shared" si="36"/>
        <v>"C:\Program Files (x86)\AstroGrep\AstroGrep.exe" /spath="%USERPROFILE%\AppData\Local\Temp\OnboardLogs" /stypes="app*4015*20160912*" /stext=" 22:.+((SYSTEM_STATE.+slice.+state.+changed )|(ment ac)|(system.+state.+changed )|(\|lc)|(penalty)|(\[timeout)|(PRM\|1\|D)|(kpr)|(kdp))" /e /r /s</v>
      </c>
      <c r="AG107" s="1" t="str">
        <f t="shared" si="37"/>
        <v>EC</v>
      </c>
      <c r="AH107" s="100" t="str">
        <f t="shared" si="38"/>
        <v>"%USERPROFILE%\Documents\GitHub\eaglep3\Utilities\RefineRTDCRunTimes.py" --tripid 188-12 --locoid 4015 --swversion DE.1.0.7.0 --startMP 204:233000 --initTime 2016-09-12T15:20:10 --startdatetime 2016-09-12T15:26:19 --delay 1 --endMP 204:172 --enddatetime 2016-09-12T16:08:35 --enforcementcount 2 &gt;&gt;C:\Users\stu\Documents\GitHub\eaglep3-reporting\EC\2016-09-12-refined-times.txt</v>
      </c>
      <c r="AI107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{"issue":{"subject":"","project_id":79,"tracker_id":40,"status_id":1,"priority_id":2,"assigned_to_id":23,"start_date":"2016-09-12","description":"","custom_fields":[{"id":1,"name":"Subdivision","value":"EC"},{"id":4,"name":"Milepost","value":"23.2828"},{"id":17,"name":"Train ID","value":"188-12"},{"id":16,"name":"Locomotive ID","value":"4015"},{"id":130,"name":"Impact","value":""},{"id":150,"name":"Time of Event (Mountain Time)","value":"16:08:35"},{"id":151,"name":"Denver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hidden="1" x14ac:dyDescent="0.25">
      <c r="A108" s="39" t="s">
        <v>557</v>
      </c>
      <c r="B108" s="7">
        <v>4014</v>
      </c>
      <c r="C108" s="24" t="s">
        <v>108</v>
      </c>
      <c r="D108" s="24" t="s">
        <v>248</v>
      </c>
      <c r="E108" s="15">
        <v>42625.618819444448</v>
      </c>
      <c r="F108" s="15">
        <v>42625.620648148149</v>
      </c>
      <c r="G108" s="7">
        <v>1</v>
      </c>
      <c r="H108" s="15" t="s">
        <v>322</v>
      </c>
      <c r="I108" s="15">
        <v>42625.649502314816</v>
      </c>
      <c r="J108" s="7">
        <v>2</v>
      </c>
      <c r="K108" s="121" t="str">
        <f t="shared" si="26"/>
        <v>4013/4014</v>
      </c>
      <c r="L108" s="24" t="str">
        <f>VLOOKUP(A108,'Trips&amp;Operators'!$C$1:$E$10000,3,FALSE)</f>
        <v>BARTLETT</v>
      </c>
      <c r="M108" s="6">
        <f t="shared" si="27"/>
        <v>2.8854166666860692E-2</v>
      </c>
      <c r="N108" s="7">
        <f t="shared" si="42"/>
        <v>41.550000000279397</v>
      </c>
      <c r="O108" s="7"/>
      <c r="P108" s="7"/>
      <c r="Q108" s="25"/>
      <c r="R108" s="25"/>
      <c r="S108" s="37">
        <f t="shared" si="41"/>
        <v>1</v>
      </c>
      <c r="T108" s="52" t="str">
        <f t="shared" si="28"/>
        <v>NorthBound</v>
      </c>
      <c r="U108" s="16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13:51:06-0600',mode:absolute,to:'2016-09-12 16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08" s="54" t="str">
        <f t="shared" si="30"/>
        <v>N</v>
      </c>
      <c r="X108" s="168">
        <f t="shared" si="40"/>
        <v>1</v>
      </c>
      <c r="Y108" s="69">
        <f t="shared" si="31"/>
        <v>4.5499999999999999E-2</v>
      </c>
      <c r="Z108" s="69">
        <f t="shared" si="32"/>
        <v>23.328399999999998</v>
      </c>
      <c r="AA108" s="69">
        <f t="shared" si="33"/>
        <v>23.282899999999998</v>
      </c>
      <c r="AB108" s="66" t="e">
        <f>VLOOKUP(A108,Enforcements!$C$7:$K$21,8,0)</f>
        <v>#N/A</v>
      </c>
      <c r="AC108" s="62" t="e">
        <f>VLOOKUP(A108,Enforcements!$C$7:$E$21,3,0)</f>
        <v>#N/A</v>
      </c>
      <c r="AD108" s="63" t="str">
        <f t="shared" si="34"/>
        <v>0189-12</v>
      </c>
      <c r="AE108" s="99" t="str">
        <f t="shared" si="35"/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108" s="96" t="str">
        <f t="shared" si="36"/>
        <v>"C:\Program Files (x86)\AstroGrep\AstroGrep.exe" /spath="%USERPROFILE%\AppData\Local\Temp\OnboardLogs" /stypes="app*4014*20160912*" /stext=" 21:.+((SYSTEM_STATE.+slice.+state.+changed )|(ment ac)|(system.+state.+changed )|(\|lc)|(penalty)|(\[timeout)|(PRM\|1\|D)|(kpr)|(kdp))" /e /r /s</v>
      </c>
      <c r="AG108" s="1" t="str">
        <f t="shared" si="37"/>
        <v>EC</v>
      </c>
      <c r="AH108" s="100" t="str">
        <f t="shared" si="38"/>
        <v>"%USERPROFILE%\Documents\GitHub\eaglep3\Utilities\RefineRTDCRunTimes.py" --tripid 189-12 --locoid 4014 --swversion DE.1.0.7.0 --startMP 204:455 --initTime 2016-09-12T14:51:06 --startdatetime 2016-09-12T14:53:44 --delay 1 --endMP 204:233284 --enddatetime 2016-09-12T15:35:17 --enforcementcount 2 &gt;&gt;C:\Users\stu\Documents\GitHub\eaglep3-reporting\EC\2016-09-12-refined-times.txt</v>
      </c>
      <c r="AI108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{"issue":{"subject":"","project_id":79,"tracker_id":40,"status_id":1,"priority_id":2,"assigned_to_id":23,"start_date":"2016-09-12","description":"","custom_fields":[{"id":1,"name":"Subdivision","value":"EC"},{"id":4,"name":"Milepost","value":"23.2829"},{"id":17,"name":"Train ID","value":"189-12"},{"id":16,"name":"Locomotive ID","value":"4014"},{"id":130,"name":"Impact","value":""},{"id":150,"name":"Time of Event (Mountain Time)","value":"15:35:17"},{"id":151,"name":"Denver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hidden="1" x14ac:dyDescent="0.25">
      <c r="A109" s="39" t="s">
        <v>558</v>
      </c>
      <c r="B109" s="7">
        <v>4013</v>
      </c>
      <c r="C109" s="24" t="s">
        <v>108</v>
      </c>
      <c r="D109" s="24" t="s">
        <v>311</v>
      </c>
      <c r="E109" s="15">
        <v>42625.65221064815</v>
      </c>
      <c r="F109" s="15">
        <v>42625.654004629629</v>
      </c>
      <c r="G109" s="7">
        <v>2</v>
      </c>
      <c r="H109" s="15" t="s">
        <v>131</v>
      </c>
      <c r="I109" s="15">
        <v>42625.68409722222</v>
      </c>
      <c r="J109" s="7">
        <v>2</v>
      </c>
      <c r="K109" s="121" t="str">
        <f t="shared" si="26"/>
        <v>4013/4014</v>
      </c>
      <c r="L109" s="24" t="str">
        <f>VLOOKUP(A109,'Trips&amp;Operators'!$C$1:$E$10000,3,FALSE)</f>
        <v>BARTLETT</v>
      </c>
      <c r="M109" s="6">
        <f t="shared" si="27"/>
        <v>3.0092592591245193E-2</v>
      </c>
      <c r="N109" s="7">
        <f t="shared" si="42"/>
        <v>43.333333331393078</v>
      </c>
      <c r="O109" s="7"/>
      <c r="P109" s="7"/>
      <c r="Q109" s="25"/>
      <c r="R109" s="25"/>
      <c r="S109" s="37">
        <f t="shared" si="41"/>
        <v>1</v>
      </c>
      <c r="T109" s="52" t="str">
        <f t="shared" si="28"/>
        <v>Southbound</v>
      </c>
      <c r="U109" s="16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14:39:11-0600',mode:absolute,to:'2016-09-12 17:25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09" s="54" t="str">
        <f t="shared" si="30"/>
        <v>N</v>
      </c>
      <c r="X109" s="168">
        <f t="shared" si="40"/>
        <v>1</v>
      </c>
      <c r="Y109" s="69">
        <f t="shared" si="31"/>
        <v>23.2957</v>
      </c>
      <c r="Z109" s="69">
        <f t="shared" si="32"/>
        <v>1.54E-2</v>
      </c>
      <c r="AA109" s="69">
        <f t="shared" si="33"/>
        <v>23.2803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 t="shared" si="34"/>
        <v>0190-12</v>
      </c>
      <c r="AE109" s="99" t="str">
        <f t="shared" si="35"/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109" s="96" t="str">
        <f t="shared" si="36"/>
        <v>"C:\Program Files (x86)\AstroGrep\AstroGrep.exe" /spath="%USERPROFILE%\AppData\Local\Temp\OnboardLogs" /stypes="app*4013*20160912*" /stext=" 22:.+((SYSTEM_STATE.+slice.+state.+changed )|(ment ac)|(system.+state.+changed )|(\|lc)|(penalty)|(\[timeout)|(PRM\|1\|D)|(kpr)|(kdp))" /e /r /s</v>
      </c>
      <c r="AG109" s="1" t="str">
        <f t="shared" si="37"/>
        <v>EC</v>
      </c>
      <c r="AH109" s="100" t="str">
        <f t="shared" si="38"/>
        <v>"%USERPROFILE%\Documents\GitHub\eaglep3\Utilities\RefineRTDCRunTimes.py" --tripid 190-12 --locoid 4013 --swversion DE.1.0.7.0 --startMP 204:232957 --initTime 2016-09-12T15:39:11 --startdatetime 2016-09-12T15:41:46 --delay 2 --endMP 204:154 --enddatetime 2016-09-12T16:25:06 --enforcementcount 2 &gt;&gt;C:\Users\stu\Documents\GitHub\eaglep3-reporting\EC\2016-09-12-refined-times.txt</v>
      </c>
      <c r="AI109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{"issue":{"subject":"","project_id":79,"tracker_id":40,"status_id":1,"priority_id":2,"assigned_to_id":23,"start_date":"2016-09-12","description":"","custom_fields":[{"id":1,"name":"Subdivision","value":"EC"},{"id":4,"name":"Milepost","value":"23.2803"},{"id":17,"name":"Train ID","value":"190-12"},{"id":16,"name":"Locomotive ID","value":"4013"},{"id":130,"name":"Impact","value":""},{"id":150,"name":"Time of Event (Mountain Time)","value":"16:25:06"},{"id":151,"name":"Denver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hidden="1" x14ac:dyDescent="0.25">
      <c r="A110" s="39" t="s">
        <v>559</v>
      </c>
      <c r="B110" s="7">
        <v>4002</v>
      </c>
      <c r="C110" s="24" t="s">
        <v>108</v>
      </c>
      <c r="D110" s="24" t="s">
        <v>260</v>
      </c>
      <c r="E110" s="15">
        <v>42625.621666666666</v>
      </c>
      <c r="F110" s="15">
        <v>42625.625219907408</v>
      </c>
      <c r="G110" s="7">
        <v>1</v>
      </c>
      <c r="H110" s="15" t="s">
        <v>223</v>
      </c>
      <c r="I110" s="15">
        <v>42625.65216435185</v>
      </c>
      <c r="J110" s="7">
        <v>2</v>
      </c>
      <c r="K110" s="121" t="str">
        <f t="shared" si="26"/>
        <v>4001/4002</v>
      </c>
      <c r="L110" s="24" t="str">
        <f>VLOOKUP(A110,'Trips&amp;Operators'!$C$1:$E$10000,3,FALSE)</f>
        <v>BROWN</v>
      </c>
      <c r="M110" s="6">
        <f t="shared" si="27"/>
        <v>2.6944444442051463E-2</v>
      </c>
      <c r="N110" s="7">
        <f t="shared" si="42"/>
        <v>38.799999996554106</v>
      </c>
      <c r="O110" s="7"/>
      <c r="P110" s="7"/>
      <c r="Q110" s="25"/>
      <c r="R110" s="25"/>
      <c r="S110" s="37">
        <f t="shared" si="41"/>
        <v>1</v>
      </c>
      <c r="T110" s="52" t="str">
        <f t="shared" si="28"/>
        <v>NorthBound</v>
      </c>
      <c r="U110" s="16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13:55:12-0600',mode:absolute,to:'2016-09-12 16:39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10" s="54" t="str">
        <f t="shared" si="30"/>
        <v>N</v>
      </c>
      <c r="X110" s="168">
        <f t="shared" si="40"/>
        <v>1</v>
      </c>
      <c r="Y110" s="69">
        <f t="shared" si="31"/>
        <v>4.58E-2</v>
      </c>
      <c r="Z110" s="69">
        <f t="shared" si="32"/>
        <v>23.331399999999999</v>
      </c>
      <c r="AA110" s="69">
        <f t="shared" si="33"/>
        <v>23.285599999999999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 t="shared" si="34"/>
        <v>0191-12</v>
      </c>
      <c r="AE110" s="99" t="str">
        <f t="shared" si="35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110" s="96" t="str">
        <f t="shared" si="36"/>
        <v>"C:\Program Files (x86)\AstroGrep\AstroGrep.exe" /spath="%USERPROFILE%\AppData\Local\Temp\OnboardLogs" /stypes="app*4002*20160912*" /stext=" 21:.+((SYSTEM_STATE.+slice.+state.+changed )|(ment ac)|(system.+state.+changed )|(\|lc)|(penalty)|(\[timeout)|(PRM\|1\|D)|(kpr)|(kdp))" /e /r /s</v>
      </c>
      <c r="AG110" s="1" t="str">
        <f t="shared" si="37"/>
        <v>EC</v>
      </c>
      <c r="AH110" s="100" t="str">
        <f t="shared" si="38"/>
        <v>"%USERPROFILE%\Documents\GitHub\eaglep3\Utilities\RefineRTDCRunTimes.py" --tripid 191-12 --locoid 4002 --swversion DE.1.0.7.0 --startMP 204:458 --initTime 2016-09-12T14:55:12 --startdatetime 2016-09-12T15:00:19 --delay 1 --endMP 204:233314 --enddatetime 2016-09-12T15:39:07 --enforcementcount 2 &gt;&gt;C:\Users\stu\Documents\GitHub\eaglep3-reporting\EC\2016-09-12-refined-times.txt</v>
      </c>
      <c r="AI110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{"issue":{"subject":"","project_id":79,"tracker_id":40,"status_id":1,"priority_id":2,"assigned_to_id":23,"start_date":"2016-09-12","description":"","custom_fields":[{"id":1,"name":"Subdivision","value":"EC"},{"id":4,"name":"Milepost","value":"23.2856"},{"id":17,"name":"Train ID","value":"191-12"},{"id":16,"name":"Locomotive ID","value":"4002"},{"id":130,"name":"Impact","value":""},{"id":150,"name":"Time of Event (Mountain Time)","value":"15:39:07"},{"id":151,"name":"Denver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hidden="1" x14ac:dyDescent="0.25">
      <c r="A111" s="39" t="s">
        <v>560</v>
      </c>
      <c r="B111" s="7">
        <v>4001</v>
      </c>
      <c r="C111" s="24" t="s">
        <v>108</v>
      </c>
      <c r="D111" s="24" t="s">
        <v>342</v>
      </c>
      <c r="E111" s="15">
        <v>42625.658333333333</v>
      </c>
      <c r="F111" s="15">
        <v>42625.664189814815</v>
      </c>
      <c r="G111" s="7">
        <v>1</v>
      </c>
      <c r="H111" s="15" t="s">
        <v>269</v>
      </c>
      <c r="I111" s="15">
        <v>42625.692187499997</v>
      </c>
      <c r="J111" s="7">
        <v>2</v>
      </c>
      <c r="K111" s="121" t="str">
        <f t="shared" si="26"/>
        <v>4001/4002</v>
      </c>
      <c r="L111" s="24" t="str">
        <f>VLOOKUP(A111,'Trips&amp;Operators'!$C$1:$E$10000,3,FALSE)</f>
        <v>BROWN</v>
      </c>
      <c r="M111" s="6">
        <f t="shared" si="27"/>
        <v>2.7997685181617271E-2</v>
      </c>
      <c r="N111" s="7">
        <f t="shared" si="42"/>
        <v>40.31666666152887</v>
      </c>
      <c r="O111" s="7"/>
      <c r="P111" s="7"/>
      <c r="Q111" s="25"/>
      <c r="R111" s="25"/>
      <c r="S111" s="37">
        <f t="shared" si="41"/>
        <v>1</v>
      </c>
      <c r="T111" s="52" t="str">
        <f t="shared" si="28"/>
        <v>Southbound</v>
      </c>
      <c r="U111" s="16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14:48:00-0600',mode:absolute,to:'2016-09-12 17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11" s="54" t="str">
        <f t="shared" si="30"/>
        <v>N</v>
      </c>
      <c r="X111" s="168">
        <f t="shared" si="40"/>
        <v>1</v>
      </c>
      <c r="Y111" s="69">
        <f t="shared" si="31"/>
        <v>23.3017</v>
      </c>
      <c r="Z111" s="69">
        <f t="shared" si="32"/>
        <v>1.41E-2</v>
      </c>
      <c r="AA111" s="69">
        <f t="shared" si="33"/>
        <v>23.287600000000001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 t="shared" si="34"/>
        <v>0192-12</v>
      </c>
      <c r="AE111" s="99" t="str">
        <f t="shared" si="35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111" s="96" t="str">
        <f t="shared" si="36"/>
        <v>"C:\Program Files (x86)\AstroGrep\AstroGrep.exe" /spath="%USERPROFILE%\AppData\Local\Temp\OnboardLogs" /stypes="app*4001*20160912*" /stext=" 22:.+((SYSTEM_STATE.+slice.+state.+changed )|(ment ac)|(system.+state.+changed )|(\|lc)|(penalty)|(\[timeout)|(PRM\|1\|D)|(kpr)|(kdp))" /e /r /s</v>
      </c>
      <c r="AG111" s="1" t="str">
        <f t="shared" si="37"/>
        <v>EC</v>
      </c>
      <c r="AH111" s="100" t="str">
        <f t="shared" si="38"/>
        <v>"%USERPROFILE%\Documents\GitHub\eaglep3\Utilities\RefineRTDCRunTimes.py" --tripid 192-12 --locoid 4001 --swversion DE.1.0.7.0 --startMP 204:233017 --initTime 2016-09-12T15:48:00 --startdatetime 2016-09-12T15:56:26 --delay 1 --endMP 204:141 --enddatetime 2016-09-12T16:36:45 --enforcementcount 2 &gt;&gt;C:\Users\stu\Documents\GitHub\eaglep3-reporting\EC\2016-09-12-refined-times.txt</v>
      </c>
      <c r="AI111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{"issue":{"subject":"","project_id":79,"tracker_id":40,"status_id":1,"priority_id":2,"assigned_to_id":23,"start_date":"2016-09-12","description":"","custom_fields":[{"id":1,"name":"Subdivision","value":"EC"},{"id":4,"name":"Milepost","value":"23.2876"},{"id":17,"name":"Train ID","value":"192-12"},{"id":16,"name":"Locomotive ID","value":"4001"},{"id":130,"name":"Impact","value":""},{"id":150,"name":"Time of Event (Mountain Time)","value":"16:36:45"},{"id":151,"name":"Denver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hidden="1" x14ac:dyDescent="0.25">
      <c r="A112" s="39" t="s">
        <v>561</v>
      </c>
      <c r="B112" s="7">
        <v>4042</v>
      </c>
      <c r="C112" s="24" t="s">
        <v>108</v>
      </c>
      <c r="D112" s="24" t="s">
        <v>562</v>
      </c>
      <c r="E112" s="15">
        <v>42625.635937500003</v>
      </c>
      <c r="F112" s="15">
        <v>42625.637870370374</v>
      </c>
      <c r="G112" s="7">
        <v>1</v>
      </c>
      <c r="H112" s="15" t="s">
        <v>258</v>
      </c>
      <c r="I112" s="15">
        <v>42625.663287037038</v>
      </c>
      <c r="J112" s="7">
        <v>2</v>
      </c>
      <c r="K112" s="121" t="str">
        <f t="shared" si="26"/>
        <v>4041/4042</v>
      </c>
      <c r="L112" s="24" t="str">
        <f>VLOOKUP(A112,'Trips&amp;Operators'!$C$1:$E$10000,3,FALSE)</f>
        <v>CLARK</v>
      </c>
      <c r="M112" s="6">
        <f t="shared" si="27"/>
        <v>2.5416666663659271E-2</v>
      </c>
      <c r="N112" s="7">
        <f t="shared" si="42"/>
        <v>36.59999999566935</v>
      </c>
      <c r="O112" s="7"/>
      <c r="P112" s="7"/>
      <c r="Q112" s="25"/>
      <c r="R112" s="25"/>
      <c r="S112" s="37">
        <f t="shared" si="41"/>
        <v>1</v>
      </c>
      <c r="T112" s="52" t="str">
        <f t="shared" si="28"/>
        <v>NorthBound</v>
      </c>
      <c r="U112" s="16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14:15:45-0600',mode:absolute,to:'2016-09-12 16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12" s="54" t="str">
        <f t="shared" si="30"/>
        <v>N</v>
      </c>
      <c r="X112" s="168">
        <f t="shared" si="40"/>
        <v>1</v>
      </c>
      <c r="Y112" s="69">
        <f t="shared" si="31"/>
        <v>5.1499999999999997E-2</v>
      </c>
      <c r="Z112" s="69">
        <f t="shared" si="32"/>
        <v>23.3293</v>
      </c>
      <c r="AA112" s="69">
        <f t="shared" si="33"/>
        <v>23.277799999999999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 t="shared" si="34"/>
        <v>0193-12</v>
      </c>
      <c r="AE112" s="99" t="str">
        <f t="shared" si="35"/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112" s="96" t="str">
        <f t="shared" si="36"/>
        <v>"C:\Program Files (x86)\AstroGrep\AstroGrep.exe" /spath="%USERPROFILE%\AppData\Local\Temp\OnboardLogs" /stypes="app*4042*20160912*" /stext=" 21:.+((SYSTEM_STATE.+slice.+state.+changed )|(ment ac)|(system.+state.+changed )|(\|lc)|(penalty)|(\[timeout)|(PRM\|1\|D)|(kpr)|(kdp))" /e /r /s</v>
      </c>
      <c r="AG112" s="1" t="str">
        <f t="shared" si="37"/>
        <v>EC</v>
      </c>
      <c r="AH112" s="100" t="str">
        <f t="shared" si="38"/>
        <v>"%USERPROFILE%\Documents\GitHub\eaglep3\Utilities\RefineRTDCRunTimes.py" --tripid 193-12 --locoid 4042 --swversion DE.1.0.7.0 --startMP 204:515 --initTime 2016-09-12T15:15:45 --startdatetime 2016-09-12T15:18:32 --delay 1 --endMP 204:233293 --enddatetime 2016-09-12T15:55:08 --enforcementcount 2 &gt;&gt;C:\Users\stu\Documents\GitHub\eaglep3-reporting\EC\2016-09-12-refined-times.txt</v>
      </c>
      <c r="AI112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{"issue":{"subject":"","project_id":79,"tracker_id":40,"status_id":1,"priority_id":2,"assigned_to_id":23,"start_date":"2016-09-12","description":"","custom_fields":[{"id":1,"name":"Subdivision","value":"EC"},{"id":4,"name":"Milepost","value":"23.2778"},{"id":17,"name":"Train ID","value":"193-12"},{"id":16,"name":"Locomotive ID","value":"4042"},{"id":130,"name":"Impact","value":""},{"id":150,"name":"Time of Event (Mountain Time)","value":"15:55:08"},{"id":151,"name":"Denver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hidden="1" x14ac:dyDescent="0.25">
      <c r="A113" s="39" t="s">
        <v>412</v>
      </c>
      <c r="B113" s="7">
        <v>4041</v>
      </c>
      <c r="C113" s="24" t="s">
        <v>108</v>
      </c>
      <c r="D113" s="24" t="s">
        <v>263</v>
      </c>
      <c r="E113" s="15">
        <v>42625.672361111108</v>
      </c>
      <c r="F113" s="15">
        <v>42625.674513888887</v>
      </c>
      <c r="G113" s="7">
        <v>1</v>
      </c>
      <c r="H113" s="15" t="s">
        <v>346</v>
      </c>
      <c r="I113" s="15">
        <v>42625.704930555556</v>
      </c>
      <c r="J113" s="7">
        <v>2</v>
      </c>
      <c r="K113" s="121" t="str">
        <f t="shared" si="26"/>
        <v>4041/4042</v>
      </c>
      <c r="L113" s="24" t="str">
        <f>VLOOKUP(A113,'Trips&amp;Operators'!$C$1:$E$10000,3,FALSE)</f>
        <v>CLARK</v>
      </c>
      <c r="M113" s="6">
        <f t="shared" si="27"/>
        <v>3.0416666668315884E-2</v>
      </c>
      <c r="N113" s="7">
        <f t="shared" si="42"/>
        <v>43.800000002374873</v>
      </c>
      <c r="O113" s="7"/>
      <c r="P113" s="7"/>
      <c r="Q113" s="25"/>
      <c r="R113" s="25"/>
      <c r="S113" s="37">
        <f t="shared" si="41"/>
        <v>1</v>
      </c>
      <c r="T113" s="52" t="str">
        <f t="shared" si="28"/>
        <v>Southbound</v>
      </c>
      <c r="U113" s="16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15:08:12-0600',mode:absolute,to:'2016-09-12 17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13" s="54" t="str">
        <f t="shared" si="30"/>
        <v>N</v>
      </c>
      <c r="X113" s="168">
        <f t="shared" si="40"/>
        <v>1</v>
      </c>
      <c r="Y113" s="69">
        <f t="shared" si="31"/>
        <v>23.298400000000001</v>
      </c>
      <c r="Z113" s="69">
        <f t="shared" si="32"/>
        <v>1.9199999999999998E-2</v>
      </c>
      <c r="AA113" s="69">
        <f t="shared" si="33"/>
        <v>23.279199999999999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 t="shared" si="34"/>
        <v>0194-12</v>
      </c>
      <c r="AE113" s="99" t="str">
        <f t="shared" si="35"/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113" s="96" t="str">
        <f t="shared" si="36"/>
        <v>"C:\Program Files (x86)\AstroGrep\AstroGrep.exe" /spath="%USERPROFILE%\AppData\Local\Temp\OnboardLogs" /stypes="app*4041*20160912*" /stext=" 22:.+((SYSTEM_STATE.+slice.+state.+changed )|(ment ac)|(system.+state.+changed )|(\|lc)|(penalty)|(\[timeout)|(PRM\|1\|D)|(kpr)|(kdp))" /e /r /s</v>
      </c>
      <c r="AG113" s="1" t="str">
        <f t="shared" si="37"/>
        <v>EC</v>
      </c>
      <c r="AH113" s="100" t="str">
        <f t="shared" si="38"/>
        <v>"%USERPROFILE%\Documents\GitHub\eaglep3\Utilities\RefineRTDCRunTimes.py" --tripid 194-12 --locoid 4041 --swversion DE.1.0.7.0 --startMP 204:232984 --initTime 2016-09-12T16:08:12 --startdatetime 2016-09-12T16:11:18 --delay 1 --endMP 204:192 --enddatetime 2016-09-12T16:55:06 --enforcementcount 2 &gt;&gt;C:\Users\stu\Documents\GitHub\eaglep3-reporting\EC\2016-09-12-refined-times.txt</v>
      </c>
      <c r="AI113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{"issue":{"subject":"","project_id":79,"tracker_id":40,"status_id":1,"priority_id":2,"assigned_to_id":23,"start_date":"2016-09-12","description":"","custom_fields":[{"id":1,"name":"Subdivision","value":"EC"},{"id":4,"name":"Milepost","value":"23.2792"},{"id":17,"name":"Train ID","value":"194-12"},{"id":16,"name":"Locomotive ID","value":"4041"},{"id":130,"name":"Impact","value":""},{"id":150,"name":"Time of Event (Mountain Time)","value":"16:55:06"},{"id":151,"name":"Denver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hidden="1" x14ac:dyDescent="0.25">
      <c r="A114" s="39" t="s">
        <v>563</v>
      </c>
      <c r="B114" s="7">
        <v>4031</v>
      </c>
      <c r="C114" s="24" t="s">
        <v>108</v>
      </c>
      <c r="D114" s="24" t="s">
        <v>312</v>
      </c>
      <c r="E114" s="15">
        <v>42625.642696759256</v>
      </c>
      <c r="F114" s="15">
        <v>42625.646180555559</v>
      </c>
      <c r="G114" s="7">
        <v>1</v>
      </c>
      <c r="H114" s="15" t="s">
        <v>223</v>
      </c>
      <c r="I114" s="15">
        <v>42625.671249999999</v>
      </c>
      <c r="J114" s="7">
        <v>2</v>
      </c>
      <c r="K114" s="121" t="str">
        <f t="shared" si="26"/>
        <v>4031/4032</v>
      </c>
      <c r="L114" s="24" t="str">
        <f>VLOOKUP(A114,'Trips&amp;Operators'!$C$1:$E$10000,3,FALSE)</f>
        <v>OUN</v>
      </c>
      <c r="M114" s="6">
        <f t="shared" si="27"/>
        <v>2.5069444440305233E-2</v>
      </c>
      <c r="N114" s="7">
        <f t="shared" si="42"/>
        <v>36.099999994039536</v>
      </c>
      <c r="O114" s="7"/>
      <c r="P114" s="7"/>
      <c r="Q114" s="25"/>
      <c r="R114" s="25"/>
      <c r="S114" s="37">
        <f t="shared" si="41"/>
        <v>1</v>
      </c>
      <c r="T114" s="52" t="str">
        <f t="shared" si="28"/>
        <v>NorthBound</v>
      </c>
      <c r="U114" s="16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14:25:29-0600',mode:absolute,to:'2016-09-12 17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14" s="54" t="str">
        <f t="shared" si="30"/>
        <v>N</v>
      </c>
      <c r="X114" s="168">
        <f t="shared" si="40"/>
        <v>1</v>
      </c>
      <c r="Y114" s="69">
        <f t="shared" si="31"/>
        <v>4.4900000000000002E-2</v>
      </c>
      <c r="Z114" s="69">
        <f t="shared" si="32"/>
        <v>23.331399999999999</v>
      </c>
      <c r="AA114" s="69">
        <f t="shared" si="33"/>
        <v>23.2865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 t="shared" si="34"/>
        <v>0195-12</v>
      </c>
      <c r="AE114" s="99" t="str">
        <f t="shared" si="35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114" s="96" t="str">
        <f t="shared" si="36"/>
        <v>"C:\Program Files (x86)\AstroGrep\AstroGrep.exe" /spath="%USERPROFILE%\AppData\Local\Temp\OnboardLogs" /stypes="app*4031*20160912*" /stext=" 22:.+((SYSTEM_STATE.+slice.+state.+changed )|(ment ac)|(system.+state.+changed )|(\|lc)|(penalty)|(\[timeout)|(PRM\|1\|D)|(kpr)|(kdp))" /e /r /s</v>
      </c>
      <c r="AG114" s="1" t="str">
        <f t="shared" si="37"/>
        <v>EC</v>
      </c>
      <c r="AH114" s="100" t="str">
        <f t="shared" si="38"/>
        <v>"%USERPROFILE%\Documents\GitHub\eaglep3\Utilities\RefineRTDCRunTimes.py" --tripid 195-12 --locoid 4031 --swversion DE.1.0.7.0 --startMP 204:449 --initTime 2016-09-12T15:25:29 --startdatetime 2016-09-12T15:30:30 --delay 1 --endMP 204:233314 --enddatetime 2016-09-12T16:06:36 --enforcementcount 2 &gt;&gt;C:\Users\stu\Documents\GitHub\eaglep3-reporting\EC\2016-09-12-refined-times.txt</v>
      </c>
      <c r="AI114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{"issue":{"subject":"","project_id":79,"tracker_id":40,"status_id":1,"priority_id":2,"assigned_to_id":23,"start_date":"2016-09-12","description":"","custom_fields":[{"id":1,"name":"Subdivision","value":"EC"},{"id":4,"name":"Milepost","value":"23.2865"},{"id":17,"name":"Train ID","value":"195-12"},{"id":16,"name":"Locomotive ID","value":"4031"},{"id":130,"name":"Impact","value":""},{"id":150,"name":"Time of Event (Mountain Time)","value":"16:06:36"},{"id":151,"name":"Denver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hidden="1" x14ac:dyDescent="0.25">
      <c r="A115" s="39" t="s">
        <v>564</v>
      </c>
      <c r="B115" s="7">
        <v>4032</v>
      </c>
      <c r="C115" s="24" t="s">
        <v>108</v>
      </c>
      <c r="D115" s="24" t="s">
        <v>331</v>
      </c>
      <c r="E115" s="15">
        <v>42625.678599537037</v>
      </c>
      <c r="F115" s="15">
        <v>42625.684976851851</v>
      </c>
      <c r="G115" s="7">
        <v>1</v>
      </c>
      <c r="H115" s="15" t="s">
        <v>565</v>
      </c>
      <c r="I115" s="15">
        <v>42625.708645833336</v>
      </c>
      <c r="J115" s="7">
        <v>2</v>
      </c>
      <c r="K115" s="121" t="str">
        <f t="shared" si="26"/>
        <v>4031/4032</v>
      </c>
      <c r="L115" s="24" t="str">
        <f>VLOOKUP(A115,'Trips&amp;Operators'!$C$1:$E$10000,3,FALSE)</f>
        <v>OUN</v>
      </c>
      <c r="M115" s="6">
        <f t="shared" si="27"/>
        <v>2.3668981484661344E-2</v>
      </c>
      <c r="N115" s="7"/>
      <c r="O115" s="7"/>
      <c r="P115" s="7">
        <f>24*60*SUM($M115:$M115)</f>
        <v>34.083333337912336</v>
      </c>
      <c r="Q115" s="25"/>
      <c r="R115" s="25" t="s">
        <v>182</v>
      </c>
      <c r="S115" s="37">
        <f t="shared" si="41"/>
        <v>1</v>
      </c>
      <c r="T115" s="52" t="str">
        <f t="shared" si="28"/>
        <v>Southbound</v>
      </c>
      <c r="U115" s="16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15:17:11-0600',mode:absolute,to:'2016-09-12 18:00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15" s="54" t="str">
        <f t="shared" si="30"/>
        <v>Y</v>
      </c>
      <c r="X115" s="168">
        <f t="shared" si="40"/>
        <v>1</v>
      </c>
      <c r="Y115" s="69">
        <f t="shared" si="31"/>
        <v>23.3</v>
      </c>
      <c r="Z115" s="69">
        <f t="shared" si="32"/>
        <v>1.8287</v>
      </c>
      <c r="AA115" s="69">
        <f t="shared" si="33"/>
        <v>21.471299999999999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 t="shared" si="34"/>
        <v>0196-12</v>
      </c>
      <c r="AE115" s="99" t="str">
        <f t="shared" si="35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115" s="96" t="str">
        <f t="shared" si="36"/>
        <v>"C:\Program Files (x86)\AstroGrep\AstroGrep.exe" /spath="%USERPROFILE%\AppData\Local\Temp\OnboardLogs" /stypes="app*4032*20160912*" /stext=" 23:.+((SYSTEM_STATE.+slice.+state.+changed )|(ment ac)|(system.+state.+changed )|(\|lc)|(penalty)|(\[timeout)|(PRM\|1\|D)|(kpr)|(kdp))" /e /r /s</v>
      </c>
      <c r="AG115" s="1" t="str">
        <f t="shared" si="37"/>
        <v>EC</v>
      </c>
      <c r="AH115" s="100" t="str">
        <f t="shared" si="38"/>
        <v>"%USERPROFILE%\Documents\GitHub\eaglep3\Utilities\RefineRTDCRunTimes.py" --tripid 196-12 --locoid 4032 --swversion DE.1.0.7.0 --startMP 204:233000 --initTime 2016-09-12T16:17:11 --startdatetime 2016-09-12T16:26:22 --delay 1 --endMP 204:18287 --enddatetime 2016-09-12T17:00:27 --enforcementcount 2 &gt;&gt;C:\Users\stu\Documents\GitHub\eaglep3-reporting\EC\2016-09-12-refined-times.txt</v>
      </c>
      <c r="AI115" s="134" t="str">
        <f t="shared" si="39"/>
        <v>echo {"issue":{"subject":"Wi-MAX outage","project_id":79,"tracker_id":40,"status_id":1,"priority_id":2,"assigned_to_id":23,"start_date":"2016-09-12","description":"","custom_fields":[{"id":1,"name":"Subdivision","value":"EC"},{"id":4,"name":"Milepost","value":"21.4713"},{"id":17,"name":"Train ID","value":"196-12"},{"id":16,"name":"Locomotive ID","value":"4032"},{"id":130,"name":"Impact","value":"Unexpected Cut-Out or Disengaged"},{"id":150,"name":"Time of Event (Mountain Time)","value":"17:00:27"},{"id":151,"name":"Denver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15" s="55"/>
      <c r="AK115" s="55" t="s">
        <v>148</v>
      </c>
      <c r="AL115" s="55" t="s">
        <v>147</v>
      </c>
    </row>
    <row r="116" spans="1:38" s="23" customFormat="1" hidden="1" x14ac:dyDescent="0.25">
      <c r="A116" s="39" t="s">
        <v>408</v>
      </c>
      <c r="B116" s="7">
        <v>4027</v>
      </c>
      <c r="C116" s="24" t="s">
        <v>108</v>
      </c>
      <c r="D116" s="24" t="s">
        <v>566</v>
      </c>
      <c r="E116" s="15">
        <v>42625.654108796298</v>
      </c>
      <c r="F116" s="15">
        <v>42625.656736111108</v>
      </c>
      <c r="G116" s="7">
        <v>1</v>
      </c>
      <c r="H116" s="15" t="s">
        <v>567</v>
      </c>
      <c r="I116" s="15">
        <v>42625.683576388888</v>
      </c>
      <c r="J116" s="7">
        <v>2</v>
      </c>
      <c r="K116" s="121" t="str">
        <f t="shared" si="26"/>
        <v>4027/4028</v>
      </c>
      <c r="L116" s="24" t="str">
        <f>VLOOKUP(A116,'Trips&amp;Operators'!$C$1:$E$10000,3,FALSE)</f>
        <v>BERLING</v>
      </c>
      <c r="M116" s="6">
        <f t="shared" si="27"/>
        <v>2.6840277780138422E-2</v>
      </c>
      <c r="N116" s="7">
        <f t="shared" ref="N116:N146" si="58">24*60*SUM($M116:$M116)</f>
        <v>38.650000003399327</v>
      </c>
      <c r="O116" s="7"/>
      <c r="P116" s="7"/>
      <c r="Q116" s="25"/>
      <c r="R116" s="25"/>
      <c r="S116" s="37">
        <f t="shared" si="41"/>
        <v>1</v>
      </c>
      <c r="T116" s="52" t="str">
        <f t="shared" si="28"/>
        <v>NorthBound</v>
      </c>
      <c r="U116" s="16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14:41:55-0600',mode:absolute,to:'2016-09-12 17:24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16" s="54" t="str">
        <f t="shared" si="30"/>
        <v>N</v>
      </c>
      <c r="X116" s="168">
        <f t="shared" si="40"/>
        <v>1</v>
      </c>
      <c r="Y116" s="69">
        <f t="shared" si="31"/>
        <v>5.7700000000000001E-2</v>
      </c>
      <c r="Z116" s="69">
        <f t="shared" si="32"/>
        <v>23.317</v>
      </c>
      <c r="AA116" s="69">
        <f t="shared" si="33"/>
        <v>23.2593</v>
      </c>
      <c r="AB116" s="66" t="str">
        <f>VLOOKUP(A116,Enforcements!$C$7:$K$21,8,0)</f>
        <v>Speed (6)</v>
      </c>
      <c r="AC116" s="62" t="str">
        <f>VLOOKUP(A116,Enforcements!$C$7:$E$21,3,0)</f>
        <v>PERMANENT SPEED RESTRICTION</v>
      </c>
      <c r="AD116" s="63" t="str">
        <f t="shared" si="34"/>
        <v>0197-12</v>
      </c>
      <c r="AE116" s="99" t="str">
        <f t="shared" si="35"/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116" s="96" t="str">
        <f t="shared" si="36"/>
        <v>"C:\Program Files (x86)\AstroGrep\AstroGrep.exe" /spath="%USERPROFILE%\AppData\Local\Temp\OnboardLogs" /stypes="app*4027*20160912*" /stext=" 22:.+((SYSTEM_STATE.+slice.+state.+changed )|(ment ac)|(system.+state.+changed )|(\|lc)|(penalty)|(\[timeout)|(PRM\|1\|D)|(kpr)|(kdp))" /e /r /s</v>
      </c>
      <c r="AG116" s="1" t="str">
        <f t="shared" si="37"/>
        <v>EC</v>
      </c>
      <c r="AH116" s="100" t="str">
        <f t="shared" si="38"/>
        <v>"%USERPROFILE%\Documents\GitHub\eaglep3\Utilities\RefineRTDCRunTimes.py" --tripid 197-12 --locoid 4027 --swversion DE.1.0.7.0 --startMP 204:577 --initTime 2016-09-12T15:41:55 --startdatetime 2016-09-12T15:45:42 --delay 1 --endMP 204:233170 --enddatetime 2016-09-12T16:24:21 --enforcementcount 2 &gt;&gt;C:\Users\stu\Documents\GitHub\eaglep3-reporting\EC\2016-09-12-refined-times.txt</v>
      </c>
      <c r="AI116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{"issue":{"subject":"","project_id":79,"tracker_id":40,"status_id":1,"priority_id":2,"assigned_to_id":23,"start_date":"2016-09-12","description":"","custom_fields":[{"id":1,"name":"Subdivision","value":"EC"},{"id":4,"name":"Milepost","value":"23.2593"},{"id":17,"name":"Train ID","value":"197-12"},{"id":16,"name":"Locomotive ID","value":"4027"},{"id":130,"name":"Impact","value":""},{"id":150,"name":"Time of Event (Mountain Time)","value":"16:24:21"},{"id":151,"name":"Denver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568</v>
      </c>
      <c r="B117" s="7">
        <v>4028</v>
      </c>
      <c r="C117" s="24" t="s">
        <v>108</v>
      </c>
      <c r="D117" s="24" t="s">
        <v>569</v>
      </c>
      <c r="E117" s="15">
        <v>42625.685960648145</v>
      </c>
      <c r="F117" s="15">
        <v>42625.695613425924</v>
      </c>
      <c r="G117" s="7">
        <v>1</v>
      </c>
      <c r="H117" s="15" t="s">
        <v>570</v>
      </c>
      <c r="I117" s="15">
        <v>42625.725405092591</v>
      </c>
      <c r="J117" s="7">
        <v>2</v>
      </c>
      <c r="K117" s="121" t="str">
        <f t="shared" si="26"/>
        <v>4027/4028</v>
      </c>
      <c r="L117" s="24" t="str">
        <f>VLOOKUP(A117,'Trips&amp;Operators'!$C$1:$E$10000,3,FALSE)</f>
        <v>BERLING</v>
      </c>
      <c r="M117" s="6">
        <f t="shared" si="27"/>
        <v>2.9791666667733807E-2</v>
      </c>
      <c r="N117" s="7">
        <f t="shared" si="58"/>
        <v>42.900000001536682</v>
      </c>
      <c r="O117" s="7"/>
      <c r="P117" s="7"/>
      <c r="Q117" s="25"/>
      <c r="R117" s="25"/>
      <c r="S117" s="37">
        <f t="shared" si="41"/>
        <v>1</v>
      </c>
      <c r="T117" s="52" t="str">
        <f t="shared" si="28"/>
        <v>Southbound</v>
      </c>
      <c r="U117" s="16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15:27:47-0600',mode:absolute,to:'2016-09-12 18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17" s="54" t="str">
        <f t="shared" si="30"/>
        <v>N</v>
      </c>
      <c r="X117" s="168">
        <f t="shared" si="40"/>
        <v>1</v>
      </c>
      <c r="Y117" s="69">
        <f t="shared" si="31"/>
        <v>23.286300000000001</v>
      </c>
      <c r="Z117" s="69">
        <f t="shared" si="32"/>
        <v>1.29E-2</v>
      </c>
      <c r="AA117" s="69">
        <f t="shared" si="33"/>
        <v>23.273400000000002</v>
      </c>
      <c r="AB117" s="66" t="e">
        <f>VLOOKUP(A117,Enforcements!$C$7:$K$21,8,0)</f>
        <v>#N/A</v>
      </c>
      <c r="AC117" s="62" t="e">
        <f>VLOOKUP(A117,Enforcements!$C$7:$E$21,3,0)</f>
        <v>#N/A</v>
      </c>
      <c r="AD117" s="63" t="str">
        <f t="shared" si="34"/>
        <v>0198-12</v>
      </c>
      <c r="AE117" s="99" t="str">
        <f t="shared" si="35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117" s="96" t="str">
        <f t="shared" si="36"/>
        <v>"C:\Program Files (x86)\AstroGrep\AstroGrep.exe" /spath="%USERPROFILE%\AppData\Local\Temp\OnboardLogs" /stypes="app*4028*20160912*" /stext=" 23:.+((SYSTEM_STATE.+slice.+state.+changed )|(ment ac)|(system.+state.+changed )|(\|lc)|(penalty)|(\[timeout)|(PRM\|1\|D)|(kpr)|(kdp))" /e /r /s</v>
      </c>
      <c r="AG117" s="1" t="str">
        <f t="shared" si="37"/>
        <v>EC</v>
      </c>
      <c r="AH117" s="100" t="str">
        <f t="shared" si="38"/>
        <v>"%USERPROFILE%\Documents\GitHub\eaglep3\Utilities\RefineRTDCRunTimes.py" --tripid 198-12 --locoid 4028 --swversion DE.1.0.7.0 --startMP 204:232863 --initTime 2016-09-12T16:27:47 --startdatetime 2016-09-12T16:41:41 --delay 1 --endMP 204:129 --enddatetime 2016-09-12T17:24:35 --enforcementcount 2 &gt;&gt;C:\Users\stu\Documents\GitHub\eaglep3-reporting\EC\2016-09-12-refined-times.txt</v>
      </c>
      <c r="AI117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{"issue":{"subject":"","project_id":79,"tracker_id":40,"status_id":1,"priority_id":2,"assigned_to_id":23,"start_date":"2016-09-12","description":"","custom_fields":[{"id":1,"name":"Subdivision","value":"EC"},{"id":4,"name":"Milepost","value":"23.2734"},{"id":17,"name":"Train ID","value":"198-12"},{"id":16,"name":"Locomotive ID","value":"4028"},{"id":130,"name":"Impact","value":""},{"id":150,"name":"Time of Event (Mountain Time)","value":"17:24:35"},{"id":151,"name":"Denver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hidden="1" x14ac:dyDescent="0.25">
      <c r="A118" s="39" t="s">
        <v>411</v>
      </c>
      <c r="B118" s="7">
        <v>4038</v>
      </c>
      <c r="C118" s="24" t="s">
        <v>108</v>
      </c>
      <c r="D118" s="24" t="s">
        <v>487</v>
      </c>
      <c r="E118" s="15">
        <v>42625.661909722221</v>
      </c>
      <c r="F118" s="15">
        <v>42625.666886574072</v>
      </c>
      <c r="G118" s="7">
        <v>1</v>
      </c>
      <c r="H118" s="15" t="s">
        <v>571</v>
      </c>
      <c r="I118" s="15">
        <v>42625.692164351851</v>
      </c>
      <c r="J118" s="7">
        <v>2</v>
      </c>
      <c r="K118" s="121" t="str">
        <f t="shared" si="26"/>
        <v>4037/4038</v>
      </c>
      <c r="L118" s="24" t="str">
        <f>VLOOKUP(A118,'Trips&amp;Operators'!$C$1:$E$10000,3,FALSE)</f>
        <v>SHOOK</v>
      </c>
      <c r="M118" s="6">
        <f t="shared" si="27"/>
        <v>2.527777777868323E-2</v>
      </c>
      <c r="N118" s="7">
        <f t="shared" si="58"/>
        <v>36.400000001303852</v>
      </c>
      <c r="O118" s="7"/>
      <c r="P118" s="7"/>
      <c r="Q118" s="25"/>
      <c r="R118" s="25"/>
      <c r="S118" s="37">
        <f t="shared" si="41"/>
        <v>1</v>
      </c>
      <c r="T118" s="52" t="str">
        <f t="shared" si="28"/>
        <v>NorthBound</v>
      </c>
      <c r="U118" s="16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14:53:09-0600',mode:absolute,to:'2016-09-12 17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18" s="54" t="str">
        <f t="shared" si="30"/>
        <v>N</v>
      </c>
      <c r="X118" s="168">
        <f t="shared" si="40"/>
        <v>1</v>
      </c>
      <c r="Y118" s="69">
        <f t="shared" si="31"/>
        <v>4.6199999999999998E-2</v>
      </c>
      <c r="Z118" s="69">
        <f t="shared" si="32"/>
        <v>23.333600000000001</v>
      </c>
      <c r="AA118" s="69">
        <f t="shared" si="33"/>
        <v>23.287400000000002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 t="shared" si="34"/>
        <v>0199-12</v>
      </c>
      <c r="AE118" s="99" t="str">
        <f t="shared" si="35"/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118" s="96" t="str">
        <f t="shared" si="36"/>
        <v>"C:\Program Files (x86)\AstroGrep\AstroGrep.exe" /spath="%USERPROFILE%\AppData\Local\Temp\OnboardLogs" /stypes="app*4038*20160912*" /stext=" 22:.+((SYSTEM_STATE.+slice.+state.+changed )|(ment ac)|(system.+state.+changed )|(\|lc)|(penalty)|(\[timeout)|(PRM\|1\|D)|(kpr)|(kdp))" /e /r /s</v>
      </c>
      <c r="AG118" s="1" t="str">
        <f t="shared" si="37"/>
        <v>EC</v>
      </c>
      <c r="AH118" s="100" t="str">
        <f t="shared" si="38"/>
        <v>"%USERPROFILE%\Documents\GitHub\eaglep3\Utilities\RefineRTDCRunTimes.py" --tripid 199-12 --locoid 4038 --swversion DE.1.0.7.0 --startMP 204:462 --initTime 2016-09-12T15:53:09 --startdatetime 2016-09-12T16:00:19 --delay 1 --endMP 204:233336 --enddatetime 2016-09-12T16:36:43 --enforcementcount 2 &gt;&gt;C:\Users\stu\Documents\GitHub\eaglep3-reporting\EC\2016-09-12-refined-times.txt</v>
      </c>
      <c r="AI118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{"issue":{"subject":"","project_id":79,"tracker_id":40,"status_id":1,"priority_id":2,"assigned_to_id":23,"start_date":"2016-09-12","description":"","custom_fields":[{"id":1,"name":"Subdivision","value":"EC"},{"id":4,"name":"Milepost","value":"23.2874"},{"id":17,"name":"Train ID","value":"199-12"},{"id":16,"name":"Locomotive ID","value":"4038"},{"id":130,"name":"Impact","value":""},{"id":150,"name":"Time of Event (Mountain Time)","value":"16:36:43"},{"id":151,"name":"Denver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hidden="1" x14ac:dyDescent="0.25">
      <c r="A119" s="39" t="s">
        <v>746</v>
      </c>
      <c r="B119" s="7">
        <v>4037</v>
      </c>
      <c r="C119" s="24" t="s">
        <v>108</v>
      </c>
      <c r="D119" s="24" t="s">
        <v>487</v>
      </c>
      <c r="E119" s="15">
        <v>42625.661909722221</v>
      </c>
      <c r="F119" s="15">
        <v>42625.699212962965</v>
      </c>
      <c r="G119" s="7">
        <v>1</v>
      </c>
      <c r="H119" s="15" t="s">
        <v>571</v>
      </c>
      <c r="I119" s="15">
        <v>42625.69939814815</v>
      </c>
      <c r="J119" s="7">
        <v>2</v>
      </c>
      <c r="K119" s="121" t="str">
        <f t="shared" ref="K119" si="59">IF(ISEVEN(B119),(B119-1)&amp;"/"&amp;B119,B119&amp;"/"&amp;(B119+1))</f>
        <v>4037/4038</v>
      </c>
      <c r="L119" s="24" t="str">
        <f>VLOOKUP(A119,'Trips&amp;Operators'!$C$1:$E$10000,3,FALSE)</f>
        <v>SHOOK</v>
      </c>
      <c r="M119" s="6">
        <f t="shared" ref="M119" si="60">I119-F119</f>
        <v>1.8518518481869251E-4</v>
      </c>
      <c r="N119" s="7"/>
      <c r="O119" s="7"/>
      <c r="P119" s="7">
        <v>1</v>
      </c>
      <c r="Q119" s="25"/>
      <c r="R119" s="25" t="s">
        <v>755</v>
      </c>
      <c r="S119" s="37">
        <f t="shared" ref="S119" si="61">SUM(U119:U119)/IF(AG119="EC",12,1)</f>
        <v>0</v>
      </c>
      <c r="T119" s="52" t="str">
        <f t="shared" ref="T119" si="62">IF(ISEVEN(LEFT(AD119,4)),"Southbound","NorthBound")</f>
        <v>Southbound</v>
      </c>
      <c r="U119" s="16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0</v>
      </c>
      <c r="V119" s="106" t="str">
        <f t="shared" ref="V119" si="63">"https://search-rtdc-monitor-bjffxe2xuh6vdkpspy63sjmuny.us-east-1.es.amazonaws.com/_plugin/kibana/#/discover/Steve-Slow-Train-Analysis-(2080s-and-2083s)?_g=(refreshInterval:(display:Off,section:0,value:0),time:(from:'"&amp;TEXT(E119-1/24,"yyyy-MM-DD hh:mm:ss")&amp;"-0600',mode:absolute,to:'"&amp;TEXT(I119+1/24,"yyyy-MM-DD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119&amp;"%22')),sort:!(Time,asc))"</f>
        <v>https://search-rtdc-monitor-bjffxe2xuh6vdkpspy63sjmuny.us-east-1.es.amazonaws.com/_plugin/kibana/#/discover/Steve-Slow-Train-Analysis-(2080s-and-2083s)?_g=(refreshInterval:(display:Off,section:0,value:0),time:(from:'2016-09-12 14:53:09-0600',mode:absolute,to:'2016-09-12 17:47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19" s="54" t="str">
        <f t="shared" ref="W119" si="64">IF(AA119&lt;IF(AG119="EC",23,5.65),"Y","N")</f>
        <v>N</v>
      </c>
      <c r="X119" s="168">
        <f t="shared" ref="X119:X120" si="65">VALUE(LEFT(AD119,4))-VALUE(LEFT(AD118,4))</f>
        <v>1</v>
      </c>
      <c r="Y119" s="69">
        <f t="shared" ref="Y119" si="66">RIGHT(D119,LEN(D119)-4)/10000</f>
        <v>4.6199999999999998E-2</v>
      </c>
      <c r="Z119" s="69">
        <f t="shared" ref="Z119" si="67">RIGHT(H119,LEN(H119)-4)/10000</f>
        <v>23.333600000000001</v>
      </c>
      <c r="AA119" s="69">
        <f t="shared" ref="AA119" si="68">ABS(Z119-Y119)</f>
        <v>23.287400000000002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 t="shared" ref="AD119" si="69">IF(LEN(A119)=6,"0"&amp;A119,A119)</f>
        <v>0200-12</v>
      </c>
      <c r="AE119" s="99" t="str">
        <f t="shared" ref="AE119" si="70">"aws s3 cp "&amp;s3_bucket&amp;"/RTDC"&amp;B119&amp;"/"&amp;TEXT(F119,"YYYY-MM-DD")&amp;"/ "&amp;search_path&amp;"\RTDC"&amp;B119&amp;"\"&amp;TEXT(F119,"YYYY-MM-DD")&amp;" --recursive &amp; """&amp;walkandungz&amp;""" "&amp;search_path&amp;"\RTDC"&amp;B119&amp;"\"&amp;TEXT(F119,"YYYY-MM-DD")
&amp;" &amp; "&amp;"aws s3 cp "&amp;s3_bucket&amp;"/RTDC"&amp;B119&amp;"/"&amp;TEXT(F119+1,"YYYY-MM-DD")&amp;"/ "&amp;search_path&amp;"\RTDC"&amp;B119&amp;"\"&amp;TEXT(F119+1,"YYYY-MM-DD")&amp;" --recursive &amp; """&amp;walkandungz&amp;""" "&amp;search_path&amp;"\RTDC"&amp;B119&amp;"\"&amp;TEXT(F119+1,"YYYY-MM-DD")</f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AF119" s="96" t="str">
        <f t="shared" ref="AF119" si="71"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/stypes="app*4037*20160912*" /stext=" 22:.+((SYSTEM_STATE.+slice.+state.+changed )|(ment ac)|(system.+state.+changed )|(\|lc)|(penalty)|(\[timeout)|(PRM\|1\|D)|(kpr)|(kdp))" /e /r /s</v>
      </c>
      <c r="AG119" s="1" t="str">
        <f t="shared" ref="AG119" si="72">IFERROR(IF(VALUE(LEFT(AD119,2))&lt;=2,"EC",IF(OR(VALUE(LEFT(AD119,2))=8,VALUE(LEFT(AD119,2))=18),"NW","Other")),"Other")</f>
        <v>EC</v>
      </c>
      <c r="AH119" s="100" t="str">
        <f t="shared" ref="AH119" si="73">refinertdcruntimes&amp;" --tripid "&amp;A119&amp;" --locoid "&amp;B119&amp;" --swversion "&amp;C119&amp;" --startMP "&amp;D119&amp;" --initTime "&amp;TEXT(E119,"yyyy-mm-ddTHH:MM:SS")&amp;" --startdatetime "&amp;TEXT(F119,"yyyy-mm-ddTHH:MM:SS")&amp;" --delay "&amp;G119&amp;" --endMP "&amp;H119&amp;" --enddatetime "&amp;TEXT(I119,"yyyy-mm-ddTHH:MM:SS")&amp;" --enforcementcount "&amp;J119&amp;IF(outputrefinedruntimes," &gt;&gt;"&amp;RefinedRTDCRunTimesOutputFile,"")</f>
        <v>"%USERPROFILE%\Documents\GitHub\eaglep3\Utilities\RefineRTDCRunTimes.py" --tripid 200-12 --locoid 4037 --swversion DE.1.0.7.0 --startMP 204:462 --initTime 2016-09-12T15:53:09 --startdatetime 2016-09-12T16:46:52 --delay 1 --endMP 204:233336 --enddatetime 2016-09-12T16:47:08 --enforcementcount 2 &gt;&gt;C:\Users\stu\Documents\GitHub\eaglep3-reporting\EC\2016-09-12-refined-times.txt</v>
      </c>
      <c r="AI119" s="134" t="str">
        <f t="shared" ref="AI119" si="74">"echo {""issue"":{""subject"":"""&amp;R119&amp;""",""project_id"":79,""tracker_id"":40,""status_id"":"&amp;redmine_status&amp;",""priority_id"":"&amp;redmine_priority&amp;",""assigned_to_id"":"&amp;redmine_assignee&amp;",""start_date"":"""&amp;TEXT(I119,"YYYY-mm-dd")&amp;""",""description"":"""&amp;AJ119&amp;""",""custom_fields"":[{""id"":1,""name"":""Subdivision"",""value"":"""&amp;AG119&amp;"""},{""id"":4,""name"":""Milepost"",""value"":"""&amp;AA119&amp;"""},{""id"":17,""name"":""Train ID"",""value"":"""&amp;A119&amp;"""},{""id"":16,""name"":""Locomotive ID"",""value"":"""&amp;B119&amp;"""},{""id"":130,""name"":""Impact"",""value"":"""&amp;AK119&amp;"""},{""id"":150,""name"":""Time of Event (Mountain Time)"",""value"":"""&amp;TEXT(I119,"hh:mm:ss")&amp;"""},{""id"":151,""name"":""Denver Issue ID"",""value"":"""&amp;"""},{""id"":178,""name"":""Operational Impact"",""value"":"""&amp;redmine_op_impact&amp;"""},{""id"":179,""name"":""Denver Segment Assigned"",""value"":"""&amp;AL119&amp;"""}]}}"&amp;"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failure","project_id":79,"tracker_id":40,"status_id":1,"priority_id":2,"assigned_to_id":23,"start_date":"2016-09-12","description":"","custom_fields":[{"id":1,"name":"Subdivision","value":"EC"},{"id":4,"name":"Milepost","value":"23.2874"},{"id":17,"name":"Train ID","value":"200-12"},{"id":16,"name":"Locomotive ID","value":"4037"},{"id":130,"name":"Impact","value":""},{"id":150,"name":"Time of Event (Mountain Time)","value":"16:47:08"},{"id":151,"name":"Denver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hidden="1" x14ac:dyDescent="0.25">
      <c r="A120" s="39" t="s">
        <v>572</v>
      </c>
      <c r="B120" s="7">
        <v>4016</v>
      </c>
      <c r="C120" s="24" t="s">
        <v>108</v>
      </c>
      <c r="D120" s="24" t="s">
        <v>244</v>
      </c>
      <c r="E120" s="15">
        <v>42625.675625000003</v>
      </c>
      <c r="F120" s="15">
        <v>42625.67765046296</v>
      </c>
      <c r="G120" s="7">
        <v>1</v>
      </c>
      <c r="H120" s="15" t="s">
        <v>309</v>
      </c>
      <c r="I120" s="15">
        <v>42625.703333333331</v>
      </c>
      <c r="J120" s="7">
        <v>2</v>
      </c>
      <c r="K120" s="121" t="str">
        <f t="shared" si="26"/>
        <v>4015/4016</v>
      </c>
      <c r="L120" s="24" t="str">
        <f>VLOOKUP(A120,'Trips&amp;Operators'!$C$1:$E$10000,3,FALSE)</f>
        <v>STEWART</v>
      </c>
      <c r="M120" s="6">
        <f t="shared" si="27"/>
        <v>2.5682870371383615E-2</v>
      </c>
      <c r="N120" s="7">
        <f t="shared" si="58"/>
        <v>36.983333334792405</v>
      </c>
      <c r="O120" s="7"/>
      <c r="P120" s="7"/>
      <c r="Q120" s="25"/>
      <c r="R120" s="25"/>
      <c r="S120" s="37">
        <f t="shared" si="41"/>
        <v>1</v>
      </c>
      <c r="T120" s="52" t="str">
        <f t="shared" si="28"/>
        <v>NorthBound</v>
      </c>
      <c r="U120" s="16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15:12:54-0600',mode:absolute,to:'2016-09-12 17:52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20" s="54" t="str">
        <f t="shared" si="30"/>
        <v>N</v>
      </c>
      <c r="X120" s="168">
        <f t="shared" si="65"/>
        <v>1</v>
      </c>
      <c r="Y120" s="69">
        <f t="shared" si="31"/>
        <v>4.6600000000000003E-2</v>
      </c>
      <c r="Z120" s="69">
        <f t="shared" si="32"/>
        <v>23.331099999999999</v>
      </c>
      <c r="AA120" s="69">
        <f t="shared" si="33"/>
        <v>23.284499999999998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 t="shared" si="34"/>
        <v>0201-12</v>
      </c>
      <c r="AE120" s="99" t="str">
        <f t="shared" si="35"/>
        <v>aws s3 cp s3://rtdc.mdm.uploadarchive/RTDC4016/2016-09-12/ "%USERPROFILE%\AppData\Local\Temp\OnboardLogs"\RTDC4016\2016-09-12 --recursive &amp; "%USERPROFILE%\Documents\GitHub\mrs-test-scripts\Headless Mode &amp; Sideloading\WalkAndUnGZ.bat" "%USERPROFILE%\AppData\Local\Temp\OnboardLogs"\RTDC4016\2016-09-12 &amp; aws s3 cp s3://rtdc.mdm.uploadarchive/RTDC4016/2016-09-13/ "%USERPROFILE%\AppData\Local\Temp\OnboardLogs"\RTDC4016\2016-09-13 --recursive &amp; "%USERPROFILE%\Documents\GitHub\mrs-test-scripts\Headless Mode &amp; Sideloading\WalkAndUnGZ.bat" "%USERPROFILE%\AppData\Local\Temp\OnboardLogs"\RTDC4016\2016-09-13</v>
      </c>
      <c r="AF120" s="96" t="str">
        <f t="shared" si="36"/>
        <v>"C:\Program Files (x86)\AstroGrep\AstroGrep.exe" /spath="%USERPROFILE%\AppData\Local\Temp\OnboardLogs" /stypes="app*4016*20160912*" /stext=" 22:.+((SYSTEM_STATE.+slice.+state.+changed )|(ment ac)|(system.+state.+changed )|(\|lc)|(penalty)|(\[timeout)|(PRM\|1\|D)|(kpr)|(kdp))" /e /r /s</v>
      </c>
      <c r="AG120" s="1" t="str">
        <f t="shared" si="37"/>
        <v>EC</v>
      </c>
      <c r="AH120" s="100" t="str">
        <f t="shared" si="38"/>
        <v>"%USERPROFILE%\Documents\GitHub\eaglep3\Utilities\RefineRTDCRunTimes.py" --tripid 201-12 --locoid 4016 --swversion DE.1.0.7.0 --startMP 204:466 --initTime 2016-09-12T16:12:54 --startdatetime 2016-09-12T16:15:49 --delay 1 --endMP 204:233311 --enddatetime 2016-09-12T16:52:48 --enforcementcount 2 &gt;&gt;C:\Users\stu\Documents\GitHub\eaglep3-reporting\EC\2016-09-12-refined-times.txt</v>
      </c>
      <c r="AI120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{"issue":{"subject":"","project_id":79,"tracker_id":40,"status_id":1,"priority_id":2,"assigned_to_id":23,"start_date":"2016-09-12","description":"","custom_fields":[{"id":1,"name":"Subdivision","value":"EC"},{"id":4,"name":"Milepost","value":"23.2845"},{"id":17,"name":"Train ID","value":"201-12"},{"id":16,"name":"Locomotive ID","value":"4016"},{"id":130,"name":"Impact","value":""},{"id":150,"name":"Time of Event (Mountain Time)","value":"16:52:48"},{"id":151,"name":"Denver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hidden="1" x14ac:dyDescent="0.25">
      <c r="A121" s="39" t="s">
        <v>573</v>
      </c>
      <c r="B121" s="7">
        <v>4015</v>
      </c>
      <c r="C121" s="24" t="s">
        <v>108</v>
      </c>
      <c r="D121" s="24" t="s">
        <v>294</v>
      </c>
      <c r="E121" s="15">
        <v>42625.713391203702</v>
      </c>
      <c r="F121" s="15">
        <v>42625.716215277775</v>
      </c>
      <c r="G121" s="7">
        <v>2</v>
      </c>
      <c r="H121" s="15" t="s">
        <v>347</v>
      </c>
      <c r="I121" s="15">
        <v>42625.743969907409</v>
      </c>
      <c r="J121" s="7">
        <v>2</v>
      </c>
      <c r="K121" s="121" t="str">
        <f t="shared" si="26"/>
        <v>4015/4016</v>
      </c>
      <c r="L121" s="24" t="str">
        <f>VLOOKUP(A121,'Trips&amp;Operators'!$C$1:$E$10000,3,FALSE)</f>
        <v>STEWART</v>
      </c>
      <c r="M121" s="6">
        <f t="shared" si="27"/>
        <v>2.775462963472819E-2</v>
      </c>
      <c r="N121" s="7">
        <f t="shared" si="58"/>
        <v>39.966666674008593</v>
      </c>
      <c r="O121" s="7"/>
      <c r="P121" s="7"/>
      <c r="Q121" s="25"/>
      <c r="R121" s="25"/>
      <c r="S121" s="37">
        <f t="shared" si="41"/>
        <v>1</v>
      </c>
      <c r="T121" s="52" t="str">
        <f t="shared" si="28"/>
        <v>Southbound</v>
      </c>
      <c r="U121" s="16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16:07:17-0600',mode:absolute,to:'2016-09-12 18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21" s="54" t="str">
        <f t="shared" si="30"/>
        <v>N</v>
      </c>
      <c r="X121" s="168">
        <f t="shared" si="40"/>
        <v>1</v>
      </c>
      <c r="Y121" s="69">
        <f t="shared" si="31"/>
        <v>23.299399999999999</v>
      </c>
      <c r="Z121" s="69">
        <f t="shared" si="32"/>
        <v>1.67E-2</v>
      </c>
      <c r="AA121" s="69">
        <f t="shared" si="33"/>
        <v>23.282699999999998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 t="shared" si="34"/>
        <v>0202-12</v>
      </c>
      <c r="AE121" s="99" t="str">
        <f t="shared" si="35"/>
        <v>aws s3 cp s3://rtdc.mdm.uploadarchive/RTDC4015/2016-09-12/ "%USERPROFILE%\AppData\Local\Temp\OnboardLogs"\RTDC4015\2016-09-12 --recursive &amp; "%USERPROFILE%\Documents\GitHub\mrs-test-scripts\Headless Mode &amp; Sideloading\WalkAndUnGZ.bat" "%USERPROFILE%\AppData\Local\Temp\OnboardLogs"\RTDC4015\2016-09-12 &amp; aws s3 cp s3://rtdc.mdm.uploadarchive/RTDC4015/2016-09-13/ "%USERPROFILE%\AppData\Local\Temp\OnboardLogs"\RTDC4015\2016-09-13 --recursive &amp; "%USERPROFILE%\Documents\GitHub\mrs-test-scripts\Headless Mode &amp; Sideloading\WalkAndUnGZ.bat" "%USERPROFILE%\AppData\Local\Temp\OnboardLogs"\RTDC4015\2016-09-13</v>
      </c>
      <c r="AF121" s="96" t="str">
        <f t="shared" si="36"/>
        <v>"C:\Program Files (x86)\AstroGrep\AstroGrep.exe" /spath="%USERPROFILE%\AppData\Local\Temp\OnboardLogs" /stypes="app*4015*20160912*" /stext=" 23:.+((SYSTEM_STATE.+slice.+state.+changed )|(ment ac)|(system.+state.+changed )|(\|lc)|(penalty)|(\[timeout)|(PRM\|1\|D)|(kpr)|(kdp))" /e /r /s</v>
      </c>
      <c r="AG121" s="1" t="str">
        <f t="shared" si="37"/>
        <v>EC</v>
      </c>
      <c r="AH121" s="100" t="str">
        <f t="shared" si="38"/>
        <v>"%USERPROFILE%\Documents\GitHub\eaglep3\Utilities\RefineRTDCRunTimes.py" --tripid 202-12 --locoid 4015 --swversion DE.1.0.7.0 --startMP 204:232994 --initTime 2016-09-12T17:07:17 --startdatetime 2016-09-12T17:11:21 --delay 2 --endMP 204:167 --enddatetime 2016-09-12T17:51:19 --enforcementcount 2 &gt;&gt;C:\Users\stu\Documents\GitHub\eaglep3-reporting\EC\2016-09-12-refined-times.txt</v>
      </c>
      <c r="AI121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{"issue":{"subject":"","project_id":79,"tracker_id":40,"status_id":1,"priority_id":2,"assigned_to_id":23,"start_date":"2016-09-12","description":"","custom_fields":[{"id":1,"name":"Subdivision","value":"EC"},{"id":4,"name":"Milepost","value":"23.2827"},{"id":17,"name":"Train ID","value":"202-12"},{"id":16,"name":"Locomotive ID","value":"4015"},{"id":130,"name":"Impact","value":""},{"id":150,"name":"Time of Event (Mountain Time)","value":"17:51:19"},{"id":151,"name":"Denver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hidden="1" x14ac:dyDescent="0.25">
      <c r="A122" s="39" t="s">
        <v>574</v>
      </c>
      <c r="B122" s="7">
        <v>4014</v>
      </c>
      <c r="C122" s="24" t="s">
        <v>108</v>
      </c>
      <c r="D122" s="24" t="s">
        <v>267</v>
      </c>
      <c r="E122" s="15">
        <v>42625.685439814813</v>
      </c>
      <c r="F122" s="15">
        <v>42625.6878125</v>
      </c>
      <c r="G122" s="7">
        <v>1</v>
      </c>
      <c r="H122" s="15" t="s">
        <v>575</v>
      </c>
      <c r="I122" s="15">
        <v>42625.714039351849</v>
      </c>
      <c r="J122" s="7">
        <v>2</v>
      </c>
      <c r="K122" s="121" t="str">
        <f t="shared" si="26"/>
        <v>4013/4014</v>
      </c>
      <c r="L122" s="24" t="str">
        <f>VLOOKUP(A122,'Trips&amp;Operators'!$C$1:$E$10000,3,FALSE)</f>
        <v>BARTLETT</v>
      </c>
      <c r="M122" s="6">
        <f t="shared" si="27"/>
        <v>2.622685184906004E-2</v>
      </c>
      <c r="N122" s="7">
        <f t="shared" si="58"/>
        <v>37.766666662646458</v>
      </c>
      <c r="O122" s="7"/>
      <c r="P122" s="7"/>
      <c r="Q122" s="25"/>
      <c r="R122" s="25"/>
      <c r="S122" s="37">
        <f t="shared" si="41"/>
        <v>1</v>
      </c>
      <c r="T122" s="52" t="str">
        <f t="shared" si="28"/>
        <v>NorthBound</v>
      </c>
      <c r="U122" s="16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15:27:02-0600',mode:absolute,to:'2016-09-12 18:08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22" s="54" t="str">
        <f t="shared" si="30"/>
        <v>N</v>
      </c>
      <c r="X122" s="168">
        <f t="shared" si="40"/>
        <v>1</v>
      </c>
      <c r="Y122" s="69">
        <f t="shared" si="31"/>
        <v>4.6699999999999998E-2</v>
      </c>
      <c r="Z122" s="69">
        <f t="shared" si="32"/>
        <v>23.331499999999998</v>
      </c>
      <c r="AA122" s="69">
        <f t="shared" si="33"/>
        <v>23.284799999999997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 t="shared" si="34"/>
        <v>0203-12</v>
      </c>
      <c r="AE122" s="99" t="str">
        <f t="shared" si="35"/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122" s="96" t="str">
        <f t="shared" si="36"/>
        <v>"C:\Program Files (x86)\AstroGrep\AstroGrep.exe" /spath="%USERPROFILE%\AppData\Local\Temp\OnboardLogs" /stypes="app*4014*20160912*" /stext=" 23:.+((SYSTEM_STATE.+slice.+state.+changed )|(ment ac)|(system.+state.+changed )|(\|lc)|(penalty)|(\[timeout)|(PRM\|1\|D)|(kpr)|(kdp))" /e /r /s</v>
      </c>
      <c r="AG122" s="1" t="str">
        <f t="shared" si="37"/>
        <v>EC</v>
      </c>
      <c r="AH122" s="100" t="str">
        <f t="shared" si="38"/>
        <v>"%USERPROFILE%\Documents\GitHub\eaglep3\Utilities\RefineRTDCRunTimes.py" --tripid 203-12 --locoid 4014 --swversion DE.1.0.7.0 --startMP 204:467 --initTime 2016-09-12T16:27:02 --startdatetime 2016-09-12T16:30:27 --delay 1 --endMP 204:233315 --enddatetime 2016-09-12T17:08:13 --enforcementcount 2 &gt;&gt;C:\Users\stu\Documents\GitHub\eaglep3-reporting\EC\2016-09-12-refined-times.txt</v>
      </c>
      <c r="AI122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{"issue":{"subject":"","project_id":79,"tracker_id":40,"status_id":1,"priority_id":2,"assigned_to_id":23,"start_date":"2016-09-12","description":"","custom_fields":[{"id":1,"name":"Subdivision","value":"EC"},{"id":4,"name":"Milepost","value":"23.2848"},{"id":17,"name":"Train ID","value":"203-12"},{"id":16,"name":"Locomotive ID","value":"4014"},{"id":130,"name":"Impact","value":""},{"id":150,"name":"Time of Event (Mountain Time)","value":"17:08:13"},{"id":151,"name":"Denver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hidden="1" x14ac:dyDescent="0.25">
      <c r="A123" s="39" t="s">
        <v>576</v>
      </c>
      <c r="B123" s="7">
        <v>4013</v>
      </c>
      <c r="C123" s="24" t="s">
        <v>108</v>
      </c>
      <c r="D123" s="24" t="s">
        <v>577</v>
      </c>
      <c r="E123" s="15">
        <v>42625.715787037036</v>
      </c>
      <c r="F123" s="15">
        <v>42625.726967592593</v>
      </c>
      <c r="G123" s="7">
        <v>1</v>
      </c>
      <c r="H123" s="15" t="s">
        <v>226</v>
      </c>
      <c r="I123" s="15">
        <v>42625.755011574074</v>
      </c>
      <c r="J123" s="7">
        <v>2</v>
      </c>
      <c r="K123" s="121" t="str">
        <f t="shared" si="26"/>
        <v>4013/4014</v>
      </c>
      <c r="L123" s="24" t="str">
        <f>VLOOKUP(A123,'Trips&amp;Operators'!$C$1:$E$10000,3,FALSE)</f>
        <v>BARTLETT</v>
      </c>
      <c r="M123" s="6">
        <f t="shared" si="27"/>
        <v>2.8043981481459923E-2</v>
      </c>
      <c r="N123" s="7">
        <f t="shared" si="58"/>
        <v>40.383333333302289</v>
      </c>
      <c r="O123" s="7"/>
      <c r="P123" s="7"/>
      <c r="Q123" s="25"/>
      <c r="R123" s="25"/>
      <c r="S123" s="37">
        <f t="shared" si="41"/>
        <v>1</v>
      </c>
      <c r="T123" s="52" t="str">
        <f t="shared" si="28"/>
        <v>Southbound</v>
      </c>
      <c r="U123" s="16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16:10:44-0600',mode:absolute,to:'2016-09-12 19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23" s="54" t="str">
        <f t="shared" si="30"/>
        <v>N</v>
      </c>
      <c r="X123" s="168">
        <f t="shared" si="40"/>
        <v>1</v>
      </c>
      <c r="Y123" s="69">
        <f t="shared" si="31"/>
        <v>23.302099999999999</v>
      </c>
      <c r="Z123" s="69">
        <f t="shared" si="32"/>
        <v>1.6299999999999999E-2</v>
      </c>
      <c r="AA123" s="69">
        <f t="shared" si="33"/>
        <v>23.285799999999998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 t="shared" si="34"/>
        <v>0204-12</v>
      </c>
      <c r="AE123" s="99" t="str">
        <f t="shared" si="35"/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123" s="96" t="str">
        <f t="shared" si="36"/>
        <v>"C:\Program Files (x86)\AstroGrep\AstroGrep.exe" /spath="%USERPROFILE%\AppData\Local\Temp\OnboardLogs" /stypes="app*4013*20160913*" /stext=" 00:.+((SYSTEM_STATE.+slice.+state.+changed )|(ment ac)|(system.+state.+changed )|(\|lc)|(penalty)|(\[timeout)|(PRM\|1\|D)|(kpr)|(kdp))" /e /r /s</v>
      </c>
      <c r="AG123" s="1" t="str">
        <f t="shared" si="37"/>
        <v>EC</v>
      </c>
      <c r="AH123" s="100" t="str">
        <f t="shared" si="38"/>
        <v>"%USERPROFILE%\Documents\GitHub\eaglep3\Utilities\RefineRTDCRunTimes.py" --tripid 204-12 --locoid 4013 --swversion DE.1.0.7.0 --startMP 204:233021 --initTime 2016-09-12T17:10:44 --startdatetime 2016-09-12T17:26:50 --delay 1 --endMP 204:163 --enddatetime 2016-09-12T18:07:13 --enforcementcount 2 &gt;&gt;C:\Users\stu\Documents\GitHub\eaglep3-reporting\EC\2016-09-12-refined-times.txt</v>
      </c>
      <c r="AI123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{"issue":{"subject":"","project_id":79,"tracker_id":40,"status_id":1,"priority_id":2,"assigned_to_id":23,"start_date":"2016-09-12","description":"","custom_fields":[{"id":1,"name":"Subdivision","value":"EC"},{"id":4,"name":"Milepost","value":"23.2858"},{"id":17,"name":"Train ID","value":"204-12"},{"id":16,"name":"Locomotive ID","value":"4013"},{"id":130,"name":"Impact","value":""},{"id":150,"name":"Time of Event (Mountain Time)","value":"18:07:13"},{"id":151,"name":"Denver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hidden="1" x14ac:dyDescent="0.25">
      <c r="A124" s="39" t="s">
        <v>578</v>
      </c>
      <c r="B124" s="7">
        <v>4002</v>
      </c>
      <c r="C124" s="24" t="s">
        <v>108</v>
      </c>
      <c r="D124" s="24" t="s">
        <v>515</v>
      </c>
      <c r="E124" s="15">
        <v>42625.694398148145</v>
      </c>
      <c r="F124" s="15">
        <v>42625.69809027778</v>
      </c>
      <c r="G124" s="7">
        <v>1</v>
      </c>
      <c r="H124" s="15" t="s">
        <v>273</v>
      </c>
      <c r="I124" s="15">
        <v>42625.722534722219</v>
      </c>
      <c r="J124" s="7">
        <v>2</v>
      </c>
      <c r="K124" s="121" t="str">
        <f t="shared" si="26"/>
        <v>4001/4002</v>
      </c>
      <c r="L124" s="24" t="str">
        <f>VLOOKUP(A124,'Trips&amp;Operators'!$C$1:$E$10000,3,FALSE)</f>
        <v>BROWN</v>
      </c>
      <c r="M124" s="6">
        <f t="shared" si="27"/>
        <v>2.4444444439723156E-2</v>
      </c>
      <c r="N124" s="7">
        <f t="shared" si="58"/>
        <v>35.199999993201345</v>
      </c>
      <c r="O124" s="7"/>
      <c r="P124" s="7"/>
      <c r="Q124" s="25"/>
      <c r="R124" s="25"/>
      <c r="S124" s="37">
        <f t="shared" si="41"/>
        <v>1</v>
      </c>
      <c r="T124" s="52" t="str">
        <f t="shared" si="28"/>
        <v>NorthBound</v>
      </c>
      <c r="U124" s="16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15:39:56-0600',mode:absolute,to:'2016-09-12 18:20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24" s="54" t="str">
        <f t="shared" si="30"/>
        <v>N</v>
      </c>
      <c r="X124" s="168">
        <f t="shared" si="40"/>
        <v>1</v>
      </c>
      <c r="Y124" s="69">
        <f t="shared" si="31"/>
        <v>4.4600000000000001E-2</v>
      </c>
      <c r="Z124" s="69">
        <f t="shared" si="32"/>
        <v>23.329499999999999</v>
      </c>
      <c r="AA124" s="69">
        <f t="shared" si="33"/>
        <v>23.2849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 t="shared" si="34"/>
        <v>0205-12</v>
      </c>
      <c r="AE124" s="99" t="str">
        <f t="shared" si="35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124" s="96" t="str">
        <f t="shared" si="36"/>
        <v>"C:\Program Files (x86)\AstroGrep\AstroGrep.exe" /spath="%USERPROFILE%\AppData\Local\Temp\OnboardLogs" /stypes="app*4002*20160912*" /stext=" 23:.+((SYSTEM_STATE.+slice.+state.+changed )|(ment ac)|(system.+state.+changed )|(\|lc)|(penalty)|(\[timeout)|(PRM\|1\|D)|(kpr)|(kdp))" /e /r /s</v>
      </c>
      <c r="AG124" s="1" t="str">
        <f t="shared" si="37"/>
        <v>EC</v>
      </c>
      <c r="AH124" s="100" t="str">
        <f t="shared" si="38"/>
        <v>"%USERPROFILE%\Documents\GitHub\eaglep3\Utilities\RefineRTDCRunTimes.py" --tripid 205-12 --locoid 4002 --swversion DE.1.0.7.0 --startMP 204:446 --initTime 2016-09-12T16:39:56 --startdatetime 2016-09-12T16:45:15 --delay 1 --endMP 204:233295 --enddatetime 2016-09-12T17:20:27 --enforcementcount 2 &gt;&gt;C:\Users\stu\Documents\GitHub\eaglep3-reporting\EC\2016-09-12-refined-times.txt</v>
      </c>
      <c r="AI124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{"issue":{"subject":"","project_id":79,"tracker_id":40,"status_id":1,"priority_id":2,"assigned_to_id":23,"start_date":"2016-09-12","description":"","custom_fields":[{"id":1,"name":"Subdivision","value":"EC"},{"id":4,"name":"Milepost","value":"23.2849"},{"id":17,"name":"Train ID","value":"205-12"},{"id":16,"name":"Locomotive ID","value":"4002"},{"id":130,"name":"Impact","value":""},{"id":150,"name":"Time of Event (Mountain Time)","value":"17:20:27"},{"id":151,"name":"Denver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hidden="1" x14ac:dyDescent="0.25">
      <c r="A125" s="39" t="s">
        <v>579</v>
      </c>
      <c r="B125" s="7">
        <v>4001</v>
      </c>
      <c r="C125" s="24" t="s">
        <v>108</v>
      </c>
      <c r="D125" s="24" t="s">
        <v>290</v>
      </c>
      <c r="E125" s="15">
        <v>42625.727627314816</v>
      </c>
      <c r="F125" s="15">
        <v>42625.73715277778</v>
      </c>
      <c r="G125" s="7">
        <v>1</v>
      </c>
      <c r="H125" s="15" t="s">
        <v>232</v>
      </c>
      <c r="I125" s="15">
        <v>42625.765636574077</v>
      </c>
      <c r="J125" s="7">
        <v>2</v>
      </c>
      <c r="K125" s="121" t="str">
        <f t="shared" si="26"/>
        <v>4001/4002</v>
      </c>
      <c r="L125" s="24" t="str">
        <f>VLOOKUP(A125,'Trips&amp;Operators'!$C$1:$E$10000,3,FALSE)</f>
        <v>BROWN</v>
      </c>
      <c r="M125" s="6">
        <f t="shared" si="27"/>
        <v>2.8483796297223307E-2</v>
      </c>
      <c r="N125" s="7">
        <f t="shared" si="58"/>
        <v>41.016666668001562</v>
      </c>
      <c r="O125" s="7"/>
      <c r="P125" s="7"/>
      <c r="Q125" s="25"/>
      <c r="R125" s="25"/>
      <c r="S125" s="37">
        <f t="shared" si="41"/>
        <v>1</v>
      </c>
      <c r="T125" s="52" t="str">
        <f t="shared" si="28"/>
        <v>Southbound</v>
      </c>
      <c r="U125" s="16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16:27:47-0600',mode:absolute,to:'2016-09-12 19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25" s="54" t="str">
        <f t="shared" si="30"/>
        <v>N</v>
      </c>
      <c r="X125" s="168">
        <f t="shared" ref="X125:X156" si="75">VALUE(LEFT(AD125,4))-VALUE(LEFT(AD124,4))</f>
        <v>1</v>
      </c>
      <c r="Y125" s="69">
        <f t="shared" si="31"/>
        <v>23.2988</v>
      </c>
      <c r="Z125" s="69">
        <f t="shared" si="32"/>
        <v>1.47E-2</v>
      </c>
      <c r="AA125" s="69">
        <f t="shared" si="33"/>
        <v>23.284099999999999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 t="shared" si="34"/>
        <v>0206-12</v>
      </c>
      <c r="AE125" s="99" t="str">
        <f t="shared" si="35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125" s="96" t="str">
        <f t="shared" si="36"/>
        <v>"C:\Program Files (x86)\AstroGrep\AstroGrep.exe" /spath="%USERPROFILE%\AppData\Local\Temp\OnboardLogs" /stypes="app*4001*20160913*" /stext=" 00:.+((SYSTEM_STATE.+slice.+state.+changed )|(ment ac)|(system.+state.+changed )|(\|lc)|(penalty)|(\[timeout)|(PRM\|1\|D)|(kpr)|(kdp))" /e /r /s</v>
      </c>
      <c r="AG125" s="1" t="str">
        <f t="shared" si="37"/>
        <v>EC</v>
      </c>
      <c r="AH125" s="100" t="str">
        <f t="shared" si="38"/>
        <v>"%USERPROFILE%\Documents\GitHub\eaglep3\Utilities\RefineRTDCRunTimes.py" --tripid 206-12 --locoid 4001 --swversion DE.1.0.7.0 --startMP 204:232988 --initTime 2016-09-12T17:27:47 --startdatetime 2016-09-12T17:41:30 --delay 1 --endMP 204:147 --enddatetime 2016-09-12T18:22:31 --enforcementcount 2 &gt;&gt;C:\Users\stu\Documents\GitHub\eaglep3-reporting\EC\2016-09-12-refined-times.txt</v>
      </c>
      <c r="AI125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{"issue":{"subject":"","project_id":79,"tracker_id":40,"status_id":1,"priority_id":2,"assigned_to_id":23,"start_date":"2016-09-12","description":"","custom_fields":[{"id":1,"name":"Subdivision","value":"EC"},{"id":4,"name":"Milepost","value":"23.2841"},{"id":17,"name":"Train ID","value":"206-12"},{"id":16,"name":"Locomotive ID","value":"4001"},{"id":130,"name":"Impact","value":""},{"id":150,"name":"Time of Event (Mountain Time)","value":"18:22:31"},{"id":151,"name":"Denver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hidden="1" x14ac:dyDescent="0.25">
      <c r="A126" s="39" t="s">
        <v>580</v>
      </c>
      <c r="B126" s="7">
        <v>4042</v>
      </c>
      <c r="C126" s="24" t="s">
        <v>108</v>
      </c>
      <c r="D126" s="24" t="s">
        <v>581</v>
      </c>
      <c r="E126" s="15">
        <v>42625.70616898148</v>
      </c>
      <c r="F126" s="15">
        <v>42625.708506944444</v>
      </c>
      <c r="G126" s="7">
        <v>1</v>
      </c>
      <c r="H126" s="15" t="s">
        <v>582</v>
      </c>
      <c r="I126" s="15">
        <v>42625.735451388886</v>
      </c>
      <c r="J126" s="7">
        <v>2</v>
      </c>
      <c r="K126" s="121" t="str">
        <f t="shared" si="26"/>
        <v>4041/4042</v>
      </c>
      <c r="L126" s="24" t="str">
        <f>VLOOKUP(A126,'Trips&amp;Operators'!$C$1:$E$10000,3,FALSE)</f>
        <v>CLARK</v>
      </c>
      <c r="M126" s="6">
        <f t="shared" si="27"/>
        <v>2.6944444442051463E-2</v>
      </c>
      <c r="N126" s="7">
        <f t="shared" si="58"/>
        <v>38.799999996554106</v>
      </c>
      <c r="O126" s="7"/>
      <c r="P126" s="7"/>
      <c r="Q126" s="25"/>
      <c r="R126" s="25"/>
      <c r="S126" s="37">
        <f t="shared" ref="S126:S157" si="76">SUM(U126:U126)/IF(AG126="EC",12,1)</f>
        <v>1</v>
      </c>
      <c r="T126" s="52" t="str">
        <f t="shared" si="28"/>
        <v>NorthBound</v>
      </c>
      <c r="U126" s="16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15:56:53-0600',mode:absolute,to:'2016-09-12 18:39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26" s="54" t="str">
        <f t="shared" si="30"/>
        <v>N</v>
      </c>
      <c r="X126" s="168">
        <f t="shared" si="75"/>
        <v>1</v>
      </c>
      <c r="Y126" s="69">
        <f t="shared" si="31"/>
        <v>5.2200000000000003E-2</v>
      </c>
      <c r="Z126" s="69">
        <f t="shared" si="32"/>
        <v>23.328499999999998</v>
      </c>
      <c r="AA126" s="69">
        <f t="shared" si="33"/>
        <v>23.276299999999999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 t="shared" si="34"/>
        <v>0207-12</v>
      </c>
      <c r="AE126" s="99" t="str">
        <f t="shared" si="35"/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126" s="96" t="str">
        <f t="shared" si="36"/>
        <v>"C:\Program Files (x86)\AstroGrep\AstroGrep.exe" /spath="%USERPROFILE%\AppData\Local\Temp\OnboardLogs" /stypes="app*4042*20160912*" /stext=" 23:.+((SYSTEM_STATE.+slice.+state.+changed )|(ment ac)|(system.+state.+changed )|(\|lc)|(penalty)|(\[timeout)|(PRM\|1\|D)|(kpr)|(kdp))" /e /r /s</v>
      </c>
      <c r="AG126" s="1" t="str">
        <f t="shared" si="37"/>
        <v>EC</v>
      </c>
      <c r="AH126" s="100" t="str">
        <f t="shared" si="38"/>
        <v>"%USERPROFILE%\Documents\GitHub\eaglep3\Utilities\RefineRTDCRunTimes.py" --tripid 207-12 --locoid 4042 --swversion DE.1.0.7.0 --startMP 204:522 --initTime 2016-09-12T16:56:53 --startdatetime 2016-09-12T17:00:15 --delay 1 --endMP 204:233285 --enddatetime 2016-09-12T17:39:03 --enforcementcount 2 &gt;&gt;C:\Users\stu\Documents\GitHub\eaglep3-reporting\EC\2016-09-12-refined-times.txt</v>
      </c>
      <c r="AI126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{"issue":{"subject":"","project_id":79,"tracker_id":40,"status_id":1,"priority_id":2,"assigned_to_id":23,"start_date":"2016-09-12","description":"","custom_fields":[{"id":1,"name":"Subdivision","value":"EC"},{"id":4,"name":"Milepost","value":"23.2763"},{"id":17,"name":"Train ID","value":"207-12"},{"id":16,"name":"Locomotive ID","value":"4042"},{"id":130,"name":"Impact","value":""},{"id":150,"name":"Time of Event (Mountain Time)","value":"17:39:03"},{"id":151,"name":"Denver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hidden="1" x14ac:dyDescent="0.25">
      <c r="A127" s="39" t="s">
        <v>583</v>
      </c>
      <c r="B127" s="7">
        <v>4041</v>
      </c>
      <c r="C127" s="24" t="s">
        <v>108</v>
      </c>
      <c r="D127" s="24" t="s">
        <v>328</v>
      </c>
      <c r="E127" s="15">
        <v>42625.742037037038</v>
      </c>
      <c r="F127" s="15">
        <v>42625.747418981482</v>
      </c>
      <c r="G127" s="7">
        <v>1</v>
      </c>
      <c r="H127" s="15" t="s">
        <v>584</v>
      </c>
      <c r="I127" s="15">
        <v>42625.77820601852</v>
      </c>
      <c r="J127" s="7">
        <v>2</v>
      </c>
      <c r="K127" s="121" t="str">
        <f t="shared" si="26"/>
        <v>4041/4042</v>
      </c>
      <c r="L127" s="24" t="str">
        <f>VLOOKUP(A127,'Trips&amp;Operators'!$C$1:$E$10000,3,FALSE)</f>
        <v>CLARK</v>
      </c>
      <c r="M127" s="6">
        <f t="shared" si="27"/>
        <v>3.0787037037953269E-2</v>
      </c>
      <c r="N127" s="7">
        <f t="shared" si="58"/>
        <v>44.333333334652707</v>
      </c>
      <c r="O127" s="7"/>
      <c r="P127" s="7"/>
      <c r="Q127" s="25"/>
      <c r="R127" s="25"/>
      <c r="S127" s="37">
        <f t="shared" si="76"/>
        <v>1</v>
      </c>
      <c r="T127" s="52" t="str">
        <f t="shared" si="28"/>
        <v>Southbound</v>
      </c>
      <c r="U127" s="16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16:48:32-0600',mode:absolute,to:'2016-09-12 19:40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27" s="54" t="str">
        <f t="shared" si="30"/>
        <v>N</v>
      </c>
      <c r="X127" s="168">
        <f t="shared" si="75"/>
        <v>1</v>
      </c>
      <c r="Y127" s="69">
        <f t="shared" si="31"/>
        <v>23.296199999999999</v>
      </c>
      <c r="Z127" s="69">
        <f t="shared" si="32"/>
        <v>2.1600000000000001E-2</v>
      </c>
      <c r="AA127" s="69">
        <f t="shared" si="33"/>
        <v>23.2746</v>
      </c>
      <c r="AB127" s="66" t="e">
        <f>VLOOKUP(A127,Enforcements!$C$7:$K$21,8,0)</f>
        <v>#N/A</v>
      </c>
      <c r="AC127" s="62" t="e">
        <f>VLOOKUP(A127,Enforcements!$C$7:$E$21,3,0)</f>
        <v>#N/A</v>
      </c>
      <c r="AD127" s="63" t="str">
        <f t="shared" si="34"/>
        <v>0208-12</v>
      </c>
      <c r="AE127" s="99" t="str">
        <f t="shared" si="35"/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127" s="96" t="str">
        <f t="shared" si="36"/>
        <v>"C:\Program Files (x86)\AstroGrep\AstroGrep.exe" /spath="%USERPROFILE%\AppData\Local\Temp\OnboardLogs" /stypes="app*4041*20160913*" /stext=" 00:.+((SYSTEM_STATE.+slice.+state.+changed )|(ment ac)|(system.+state.+changed )|(\|lc)|(penalty)|(\[timeout)|(PRM\|1\|D)|(kpr)|(kdp))" /e /r /s</v>
      </c>
      <c r="AG127" s="1" t="str">
        <f t="shared" si="37"/>
        <v>EC</v>
      </c>
      <c r="AH127" s="100" t="str">
        <f t="shared" si="38"/>
        <v>"%USERPROFILE%\Documents\GitHub\eaglep3\Utilities\RefineRTDCRunTimes.py" --tripid 208-12 --locoid 4041 --swversion DE.1.0.7.0 --startMP 204:232962 --initTime 2016-09-12T17:48:32 --startdatetime 2016-09-12T17:56:17 --delay 1 --endMP 204:216 --enddatetime 2016-09-12T18:40:37 --enforcementcount 2 &gt;&gt;C:\Users\stu\Documents\GitHub\eaglep3-reporting\EC\2016-09-12-refined-times.txt</v>
      </c>
      <c r="AI127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{"issue":{"subject":"","project_id":79,"tracker_id":40,"status_id":1,"priority_id":2,"assigned_to_id":23,"start_date":"2016-09-12","description":"","custom_fields":[{"id":1,"name":"Subdivision","value":"EC"},{"id":4,"name":"Milepost","value":"23.2746"},{"id":17,"name":"Train ID","value":"208-12"},{"id":16,"name":"Locomotive ID","value":"4041"},{"id":130,"name":"Impact","value":""},{"id":150,"name":"Time of Event (Mountain Time)","value":"18:40:37"},{"id":151,"name":"Denver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hidden="1" x14ac:dyDescent="0.25">
      <c r="A128" s="39" t="s">
        <v>413</v>
      </c>
      <c r="B128" s="7">
        <v>4031</v>
      </c>
      <c r="C128" s="24" t="s">
        <v>108</v>
      </c>
      <c r="D128" s="24" t="s">
        <v>509</v>
      </c>
      <c r="E128" s="15">
        <v>42625.716261574074</v>
      </c>
      <c r="F128" s="15">
        <v>42625.719097222223</v>
      </c>
      <c r="G128" s="7">
        <v>2</v>
      </c>
      <c r="H128" s="15" t="s">
        <v>243</v>
      </c>
      <c r="I128" s="15">
        <v>42625.745868055557</v>
      </c>
      <c r="J128" s="7">
        <v>2</v>
      </c>
      <c r="K128" s="121" t="str">
        <f t="shared" si="26"/>
        <v>4031/4032</v>
      </c>
      <c r="L128" s="24" t="str">
        <f>VLOOKUP(A128,'Trips&amp;Operators'!$C$1:$E$10000,3,FALSE)</f>
        <v>DELGADO</v>
      </c>
      <c r="M128" s="6">
        <f t="shared" si="27"/>
        <v>2.6770833334012423E-2</v>
      </c>
      <c r="N128" s="7">
        <f t="shared" si="58"/>
        <v>38.550000000977889</v>
      </c>
      <c r="O128" s="7"/>
      <c r="P128" s="7"/>
      <c r="Q128" s="25"/>
      <c r="R128" s="25"/>
      <c r="S128" s="37">
        <f t="shared" si="76"/>
        <v>1</v>
      </c>
      <c r="T128" s="52" t="str">
        <f t="shared" si="28"/>
        <v>NorthBound</v>
      </c>
      <c r="U128" s="16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16:11:25-0600',mode:absolute,to:'2016-09-12 18:54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28" s="54" t="str">
        <f t="shared" si="30"/>
        <v>N</v>
      </c>
      <c r="X128" s="168">
        <f t="shared" si="75"/>
        <v>1</v>
      </c>
      <c r="Y128" s="69">
        <f t="shared" si="31"/>
        <v>4.82E-2</v>
      </c>
      <c r="Z128" s="69">
        <f t="shared" si="32"/>
        <v>23.329699999999999</v>
      </c>
      <c r="AA128" s="69">
        <f t="shared" si="33"/>
        <v>23.281499999999998</v>
      </c>
      <c r="AB128" s="66" t="str">
        <f>VLOOKUP(A128,Enforcements!$C$7:$K$21,8,0)</f>
        <v>Speed (6)</v>
      </c>
      <c r="AC128" s="62" t="str">
        <f>VLOOKUP(A128,Enforcements!$C$7:$E$21,3,0)</f>
        <v>PERMANENT SPEED RESTRICTION</v>
      </c>
      <c r="AD128" s="63" t="str">
        <f t="shared" si="34"/>
        <v>0209-12</v>
      </c>
      <c r="AE128" s="99" t="str">
        <f t="shared" si="35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128" s="96" t="str">
        <f t="shared" si="36"/>
        <v>"C:\Program Files (x86)\AstroGrep\AstroGrep.exe" /spath="%USERPROFILE%\AppData\Local\Temp\OnboardLogs" /stypes="app*4031*20160912*" /stext=" 23:.+((SYSTEM_STATE.+slice.+state.+changed )|(ment ac)|(system.+state.+changed )|(\|lc)|(penalty)|(\[timeout)|(PRM\|1\|D)|(kpr)|(kdp))" /e /r /s</v>
      </c>
      <c r="AG128" s="1" t="str">
        <f t="shared" si="37"/>
        <v>EC</v>
      </c>
      <c r="AH128" s="100" t="str">
        <f t="shared" si="38"/>
        <v>"%USERPROFILE%\Documents\GitHub\eaglep3\Utilities\RefineRTDCRunTimes.py" --tripid 209-12 --locoid 4031 --swversion DE.1.0.7.0 --startMP 204:482 --initTime 2016-09-12T17:11:25 --startdatetime 2016-09-12T17:15:30 --delay 2 --endMP 204:233297 --enddatetime 2016-09-12T17:54:03 --enforcementcount 2 &gt;&gt;C:\Users\stu\Documents\GitHub\eaglep3-reporting\EC\2016-09-12-refined-times.txt</v>
      </c>
      <c r="AI128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{"issue":{"subject":"","project_id":79,"tracker_id":40,"status_id":1,"priority_id":2,"assigned_to_id":23,"start_date":"2016-09-12","description":"","custom_fields":[{"id":1,"name":"Subdivision","value":"EC"},{"id":4,"name":"Milepost","value":"23.2815"},{"id":17,"name":"Train ID","value":"209-12"},{"id":16,"name":"Locomotive ID","value":"4031"},{"id":130,"name":"Impact","value":""},{"id":150,"name":"Time of Event (Mountain Time)","value":"17:54:03"},{"id":151,"name":"Denver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hidden="1" x14ac:dyDescent="0.25">
      <c r="A129" s="39" t="s">
        <v>585</v>
      </c>
      <c r="B129" s="7">
        <v>4032</v>
      </c>
      <c r="C129" s="24" t="s">
        <v>108</v>
      </c>
      <c r="D129" s="24" t="s">
        <v>265</v>
      </c>
      <c r="E129" s="15">
        <v>42625.74931712963</v>
      </c>
      <c r="F129" s="15">
        <v>42625.757893518516</v>
      </c>
      <c r="G129" s="7">
        <v>1</v>
      </c>
      <c r="H129" s="15" t="s">
        <v>352</v>
      </c>
      <c r="I129" s="15">
        <v>42625.786145833335</v>
      </c>
      <c r="J129" s="7">
        <v>2</v>
      </c>
      <c r="K129" s="121" t="str">
        <f t="shared" si="26"/>
        <v>4031/4032</v>
      </c>
      <c r="L129" s="24" t="str">
        <f>VLOOKUP(A129,'Trips&amp;Operators'!$C$1:$E$10000,3,FALSE)</f>
        <v>DELGADO</v>
      </c>
      <c r="M129" s="6">
        <f t="shared" si="27"/>
        <v>2.825231481983792E-2</v>
      </c>
      <c r="N129" s="7">
        <f t="shared" si="58"/>
        <v>40.683333340566605</v>
      </c>
      <c r="O129" s="7"/>
      <c r="P129" s="7"/>
      <c r="Q129" s="25"/>
      <c r="R129" s="25"/>
      <c r="S129" s="37">
        <f t="shared" si="76"/>
        <v>1</v>
      </c>
      <c r="T129" s="52" t="str">
        <f t="shared" si="28"/>
        <v>Southbound</v>
      </c>
      <c r="U129" s="16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16:59:01-0600',mode:absolute,to:'2016-09-12 19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29" s="54" t="str">
        <f t="shared" si="30"/>
        <v>N</v>
      </c>
      <c r="X129" s="168">
        <f t="shared" si="75"/>
        <v>1</v>
      </c>
      <c r="Y129" s="69">
        <f t="shared" si="31"/>
        <v>23.296900000000001</v>
      </c>
      <c r="Z129" s="69">
        <f t="shared" si="32"/>
        <v>1.6899999999999998E-2</v>
      </c>
      <c r="AA129" s="69">
        <f t="shared" si="33"/>
        <v>23.28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 t="shared" si="34"/>
        <v>0210-12</v>
      </c>
      <c r="AE129" s="99" t="str">
        <f t="shared" si="35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129" s="96" t="str">
        <f t="shared" si="36"/>
        <v>"C:\Program Files (x86)\AstroGrep\AstroGrep.exe" /spath="%USERPROFILE%\AppData\Local\Temp\OnboardLogs" /stypes="app*4032*20160913*" /stext=" 00:.+((SYSTEM_STATE.+slice.+state.+changed )|(ment ac)|(system.+state.+changed )|(\|lc)|(penalty)|(\[timeout)|(PRM\|1\|D)|(kpr)|(kdp))" /e /r /s</v>
      </c>
      <c r="AG129" s="1" t="str">
        <f t="shared" si="37"/>
        <v>EC</v>
      </c>
      <c r="AH129" s="100" t="str">
        <f t="shared" si="38"/>
        <v>"%USERPROFILE%\Documents\GitHub\eaglep3\Utilities\RefineRTDCRunTimes.py" --tripid 210-12 --locoid 4032 --swversion DE.1.0.7.0 --startMP 204:232969 --initTime 2016-09-12T17:59:01 --startdatetime 2016-09-12T18:11:22 --delay 1 --endMP 204:169 --enddatetime 2016-09-12T18:52:03 --enforcementcount 2 &gt;&gt;C:\Users\stu\Documents\GitHub\eaglep3-reporting\EC\2016-09-12-refined-times.txt</v>
      </c>
      <c r="AI129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{"issue":{"subject":"","project_id":79,"tracker_id":40,"status_id":1,"priority_id":2,"assigned_to_id":23,"start_date":"2016-09-12","description":"","custom_fields":[{"id":1,"name":"Subdivision","value":"EC"},{"id":4,"name":"Milepost","value":"23.28"},{"id":17,"name":"Train ID","value":"210-12"},{"id":16,"name":"Locomotive ID","value":"4032"},{"id":130,"name":"Impact","value":""},{"id":150,"name":"Time of Event (Mountain Time)","value":"18:52:03"},{"id":151,"name":"Denver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hidden="1" x14ac:dyDescent="0.25">
      <c r="A130" s="39" t="s">
        <v>586</v>
      </c>
      <c r="B130" s="7">
        <v>4027</v>
      </c>
      <c r="C130" s="24" t="s">
        <v>108</v>
      </c>
      <c r="D130" s="24" t="s">
        <v>246</v>
      </c>
      <c r="E130" s="15">
        <v>42625.727048611108</v>
      </c>
      <c r="F130" s="15">
        <v>42625.732349537036</v>
      </c>
      <c r="G130" s="7">
        <v>1</v>
      </c>
      <c r="H130" s="15" t="s">
        <v>587</v>
      </c>
      <c r="I130" s="15">
        <v>42625.757418981484</v>
      </c>
      <c r="J130" s="7">
        <v>2</v>
      </c>
      <c r="K130" s="121" t="str">
        <f t="shared" si="26"/>
        <v>4027/4028</v>
      </c>
      <c r="L130" s="24" t="str">
        <f>VLOOKUP(A130,'Trips&amp;Operators'!$C$1:$E$10000,3,FALSE)</f>
        <v>OUN</v>
      </c>
      <c r="M130" s="6">
        <f t="shared" si="27"/>
        <v>2.5069444447581191E-2</v>
      </c>
      <c r="N130" s="7">
        <f t="shared" si="58"/>
        <v>36.100000004516914</v>
      </c>
      <c r="O130" s="7"/>
      <c r="P130" s="7"/>
      <c r="Q130" s="25"/>
      <c r="R130" s="25"/>
      <c r="S130" s="37">
        <f t="shared" si="76"/>
        <v>1</v>
      </c>
      <c r="T130" s="52" t="str">
        <f t="shared" si="28"/>
        <v>NorthBound</v>
      </c>
      <c r="U130" s="16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16:26:57-0600',mode:absolute,to:'2016-09-12 19:10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30" s="54" t="str">
        <f t="shared" si="30"/>
        <v>N</v>
      </c>
      <c r="X130" s="168">
        <f t="shared" si="75"/>
        <v>1</v>
      </c>
      <c r="Y130" s="69">
        <f t="shared" si="31"/>
        <v>4.5100000000000001E-2</v>
      </c>
      <c r="Z130" s="69">
        <f t="shared" si="32"/>
        <v>23.3306</v>
      </c>
      <c r="AA130" s="69">
        <f t="shared" si="33"/>
        <v>23.285499999999999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 t="shared" si="34"/>
        <v>0211-12</v>
      </c>
      <c r="AE130" s="99" t="str">
        <f t="shared" si="35"/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130" s="96" t="str">
        <f t="shared" si="36"/>
        <v>"C:\Program Files (x86)\AstroGrep\AstroGrep.exe" /spath="%USERPROFILE%\AppData\Local\Temp\OnboardLogs" /stypes="app*4027*20160913*" /stext=" 00:.+((SYSTEM_STATE.+slice.+state.+changed )|(ment ac)|(system.+state.+changed )|(\|lc)|(penalty)|(\[timeout)|(PRM\|1\|D)|(kpr)|(kdp))" /e /r /s</v>
      </c>
      <c r="AG130" s="1" t="str">
        <f t="shared" si="37"/>
        <v>EC</v>
      </c>
      <c r="AH130" s="100" t="str">
        <f t="shared" si="38"/>
        <v>"%USERPROFILE%\Documents\GitHub\eaglep3\Utilities\RefineRTDCRunTimes.py" --tripid 211-12 --locoid 4027 --swversion DE.1.0.7.0 --startMP 204:451 --initTime 2016-09-12T17:26:57 --startdatetime 2016-09-12T17:34:35 --delay 1 --endMP 204:233306 --enddatetime 2016-09-12T18:10:41 --enforcementcount 2 &gt;&gt;C:\Users\stu\Documents\GitHub\eaglep3-reporting\EC\2016-09-12-refined-times.txt</v>
      </c>
      <c r="AI130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{"issue":{"subject":"","project_id":79,"tracker_id":40,"status_id":1,"priority_id":2,"assigned_to_id":23,"start_date":"2016-09-12","description":"","custom_fields":[{"id":1,"name":"Subdivision","value":"EC"},{"id":4,"name":"Milepost","value":"23.2855"},{"id":17,"name":"Train ID","value":"211-12"},{"id":16,"name":"Locomotive ID","value":"4027"},{"id":130,"name":"Impact","value":""},{"id":150,"name":"Time of Event (Mountain Time)","value":"18:10:41"},{"id":151,"name":"Denver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s="23" customFormat="1" x14ac:dyDescent="0.25">
      <c r="A131" s="39" t="s">
        <v>588</v>
      </c>
      <c r="B131" s="7">
        <v>4028</v>
      </c>
      <c r="C131" s="24" t="s">
        <v>108</v>
      </c>
      <c r="D131" s="24" t="s">
        <v>331</v>
      </c>
      <c r="E131" s="15">
        <v>42625.765150462961</v>
      </c>
      <c r="F131" s="15">
        <v>42625.768460648149</v>
      </c>
      <c r="G131" s="7">
        <v>1</v>
      </c>
      <c r="H131" s="15" t="s">
        <v>235</v>
      </c>
      <c r="I131" s="15">
        <v>42625.795011574075</v>
      </c>
      <c r="J131" s="7">
        <v>2</v>
      </c>
      <c r="K131" s="121" t="str">
        <f t="shared" si="26"/>
        <v>4027/4028</v>
      </c>
      <c r="L131" s="24" t="str">
        <f>VLOOKUP(A131,'Trips&amp;Operators'!$C$1:$E$10000,3,FALSE)</f>
        <v>OUN</v>
      </c>
      <c r="M131" s="6">
        <f t="shared" si="27"/>
        <v>2.6550925926130731E-2</v>
      </c>
      <c r="N131" s="7">
        <f t="shared" si="58"/>
        <v>38.233333333628252</v>
      </c>
      <c r="O131" s="7"/>
      <c r="P131" s="7"/>
      <c r="Q131" s="25"/>
      <c r="R131" s="25"/>
      <c r="S131" s="37">
        <f t="shared" si="76"/>
        <v>1</v>
      </c>
      <c r="T131" s="52" t="str">
        <f t="shared" si="28"/>
        <v>Southbound</v>
      </c>
      <c r="U131" s="16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17:21:49-0600',mode:absolute,to:'2016-09-12 20:04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31" s="54" t="str">
        <f t="shared" si="30"/>
        <v>N</v>
      </c>
      <c r="X131" s="168">
        <f t="shared" si="75"/>
        <v>1</v>
      </c>
      <c r="Y131" s="69">
        <f t="shared" si="31"/>
        <v>23.3</v>
      </c>
      <c r="Z131" s="69">
        <f t="shared" si="32"/>
        <v>1.4999999999999999E-2</v>
      </c>
      <c r="AA131" s="69">
        <f t="shared" si="33"/>
        <v>23.285</v>
      </c>
      <c r="AB131" s="66" t="e">
        <f>VLOOKUP(A131,Enforcements!$C$7:$K$21,8,0)</f>
        <v>#N/A</v>
      </c>
      <c r="AC131" s="62" t="e">
        <f>VLOOKUP(A131,Enforcements!$C$7:$E$21,3,0)</f>
        <v>#N/A</v>
      </c>
      <c r="AD131" s="63" t="str">
        <f t="shared" si="34"/>
        <v>0212-12</v>
      </c>
      <c r="AE131" s="99" t="str">
        <f t="shared" si="35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131" s="96" t="str">
        <f t="shared" si="36"/>
        <v>"C:\Program Files (x86)\AstroGrep\AstroGrep.exe" /spath="%USERPROFILE%\AppData\Local\Temp\OnboardLogs" /stypes="app*4028*20160913*" /stext=" 01:.+((SYSTEM_STATE.+slice.+state.+changed )|(ment ac)|(system.+state.+changed )|(\|lc)|(penalty)|(\[timeout)|(PRM\|1\|D)|(kpr)|(kdp))" /e /r /s</v>
      </c>
      <c r="AG131" s="1" t="str">
        <f t="shared" si="37"/>
        <v>EC</v>
      </c>
      <c r="AH131" s="100" t="str">
        <f t="shared" si="38"/>
        <v>"%USERPROFILE%\Documents\GitHub\eaglep3\Utilities\RefineRTDCRunTimes.py" --tripid 212-12 --locoid 4028 --swversion DE.1.0.7.0 --startMP 204:233000 --initTime 2016-09-12T18:21:49 --startdatetime 2016-09-12T18:26:35 --delay 1 --endMP 204:150 --enddatetime 2016-09-12T19:04:49 --enforcementcount 2 &gt;&gt;C:\Users\stu\Documents\GitHub\eaglep3-reporting\EC\2016-09-12-refined-times.txt</v>
      </c>
      <c r="AI131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{"issue":{"subject":"","project_id":79,"tracker_id":40,"status_id":1,"priority_id":2,"assigned_to_id":23,"start_date":"2016-09-12","description":"","custom_fields":[{"id":1,"name":"Subdivision","value":"EC"},{"id":4,"name":"Milepost","value":"23.285"},{"id":17,"name":"Train ID","value":"212-12"},{"id":16,"name":"Locomotive ID","value":"4028"},{"id":130,"name":"Impact","value":""},{"id":150,"name":"Time of Event (Mountain Time)","value":"19:04:49"},{"id":151,"name":"Denver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hidden="1" x14ac:dyDescent="0.25">
      <c r="A132" s="39" t="s">
        <v>589</v>
      </c>
      <c r="B132" s="7">
        <v>4009</v>
      </c>
      <c r="C132" s="24" t="s">
        <v>108</v>
      </c>
      <c r="D132" s="24" t="s">
        <v>487</v>
      </c>
      <c r="E132" s="15">
        <v>42625.732812499999</v>
      </c>
      <c r="F132" s="15">
        <v>42625.739907407406</v>
      </c>
      <c r="G132" s="7">
        <v>2</v>
      </c>
      <c r="H132" s="15" t="s">
        <v>475</v>
      </c>
      <c r="I132" s="15">
        <v>42625.765868055554</v>
      </c>
      <c r="J132" s="7">
        <v>2</v>
      </c>
      <c r="K132" s="121" t="str">
        <f t="shared" si="26"/>
        <v>4009/4010</v>
      </c>
      <c r="L132" s="24" t="str">
        <f>VLOOKUP(A132,'Trips&amp;Operators'!$C$1:$E$10000,3,FALSE)</f>
        <v>MAHAN</v>
      </c>
      <c r="M132" s="6">
        <f t="shared" si="27"/>
        <v>2.5960648148611654E-2</v>
      </c>
      <c r="N132" s="7">
        <f t="shared" si="58"/>
        <v>37.383333334000781</v>
      </c>
      <c r="O132" s="7"/>
      <c r="P132" s="7"/>
      <c r="Q132" s="25"/>
      <c r="R132" s="25"/>
      <c r="S132" s="37">
        <f t="shared" si="76"/>
        <v>1</v>
      </c>
      <c r="T132" s="52" t="str">
        <f t="shared" si="28"/>
        <v>NorthBound</v>
      </c>
      <c r="U132" s="16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16:35:15-0600',mode:absolute,to:'2016-09-12 19:22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32" s="54" t="str">
        <f t="shared" si="30"/>
        <v>N</v>
      </c>
      <c r="X132" s="168">
        <f t="shared" si="75"/>
        <v>1</v>
      </c>
      <c r="Y132" s="69">
        <f t="shared" si="31"/>
        <v>4.6199999999999998E-2</v>
      </c>
      <c r="Z132" s="69">
        <f t="shared" si="32"/>
        <v>23.330300000000001</v>
      </c>
      <c r="AA132" s="69">
        <f t="shared" si="33"/>
        <v>23.284100000000002</v>
      </c>
      <c r="AB132" s="66" t="e">
        <f>VLOOKUP(A132,Enforcements!$C$7:$K$21,8,0)</f>
        <v>#N/A</v>
      </c>
      <c r="AC132" s="62" t="e">
        <f>VLOOKUP(A132,Enforcements!$C$7:$E$21,3,0)</f>
        <v>#N/A</v>
      </c>
      <c r="AD132" s="63" t="str">
        <f t="shared" si="34"/>
        <v>0213-12</v>
      </c>
      <c r="AE132" s="99" t="str">
        <f t="shared" si="35"/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132" s="96" t="str">
        <f t="shared" si="36"/>
        <v>"C:\Program Files (x86)\AstroGrep\AstroGrep.exe" /spath="%USERPROFILE%\AppData\Local\Temp\OnboardLogs" /stypes="app*4009*20160913*" /stext=" 00:.+((SYSTEM_STATE.+slice.+state.+changed )|(ment ac)|(system.+state.+changed )|(\|lc)|(penalty)|(\[timeout)|(PRM\|1\|D)|(kpr)|(kdp))" /e /r /s</v>
      </c>
      <c r="AG132" s="1" t="str">
        <f t="shared" si="37"/>
        <v>EC</v>
      </c>
      <c r="AH132" s="100" t="str">
        <f t="shared" si="38"/>
        <v>"%USERPROFILE%\Documents\GitHub\eaglep3\Utilities\RefineRTDCRunTimes.py" --tripid 213-12 --locoid 4009 --swversion DE.1.0.7.0 --startMP 204:462 --initTime 2016-09-12T17:35:15 --startdatetime 2016-09-12T17:45:28 --delay 2 --endMP 204:233303 --enddatetime 2016-09-12T18:22:51 --enforcementcount 2 &gt;&gt;C:\Users\stu\Documents\GitHub\eaglep3-reporting\EC\2016-09-12-refined-times.txt</v>
      </c>
      <c r="AI132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{"issue":{"subject":"","project_id":79,"tracker_id":40,"status_id":1,"priority_id":2,"assigned_to_id":23,"start_date":"2016-09-12","description":"","custom_fields":[{"id":1,"name":"Subdivision","value":"EC"},{"id":4,"name":"Milepost","value":"23.2841"},{"id":17,"name":"Train ID","value":"213-12"},{"id":16,"name":"Locomotive ID","value":"4009"},{"id":130,"name":"Impact","value":""},{"id":150,"name":"Time of Event (Mountain Time)","value":"18:22:51"},{"id":151,"name":"Denver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hidden="1" x14ac:dyDescent="0.25">
      <c r="A133" s="39" t="s">
        <v>590</v>
      </c>
      <c r="B133" s="7">
        <v>4010</v>
      </c>
      <c r="C133" s="24" t="s">
        <v>108</v>
      </c>
      <c r="D133" s="24" t="s">
        <v>477</v>
      </c>
      <c r="E133" s="15">
        <v>42625.769166666665</v>
      </c>
      <c r="F133" s="15">
        <v>42625.779004629629</v>
      </c>
      <c r="G133" s="7">
        <v>1</v>
      </c>
      <c r="H133" s="15" t="s">
        <v>232</v>
      </c>
      <c r="I133" s="15">
        <v>42625.806481481479</v>
      </c>
      <c r="J133" s="7">
        <v>2</v>
      </c>
      <c r="K133" s="121" t="str">
        <f t="shared" si="26"/>
        <v>4009/4010</v>
      </c>
      <c r="L133" s="24" t="str">
        <f>VLOOKUP(A133,'Trips&amp;Operators'!$C$1:$E$10000,3,FALSE)</f>
        <v>CRAYTON</v>
      </c>
      <c r="M133" s="6">
        <f t="shared" si="27"/>
        <v>2.7476851850224193E-2</v>
      </c>
      <c r="N133" s="7">
        <f t="shared" si="58"/>
        <v>39.566666664322838</v>
      </c>
      <c r="O133" s="7"/>
      <c r="P133" s="7"/>
      <c r="Q133" s="25"/>
      <c r="R133" s="25"/>
      <c r="S133" s="37">
        <f t="shared" si="76"/>
        <v>1</v>
      </c>
      <c r="T133" s="52" t="str">
        <f t="shared" si="28"/>
        <v>Southbound</v>
      </c>
      <c r="U133" s="16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17:27:36-0600',mode:absolute,to:'2016-09-12 20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33" s="54" t="str">
        <f t="shared" si="30"/>
        <v>N</v>
      </c>
      <c r="X133" s="168">
        <f t="shared" si="75"/>
        <v>1</v>
      </c>
      <c r="Y133" s="69">
        <f t="shared" si="31"/>
        <v>23.2986</v>
      </c>
      <c r="Z133" s="69">
        <f t="shared" si="32"/>
        <v>1.47E-2</v>
      </c>
      <c r="AA133" s="69">
        <f t="shared" si="33"/>
        <v>23.283899999999999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 t="shared" si="34"/>
        <v>0214-12</v>
      </c>
      <c r="AE133" s="99" t="str">
        <f t="shared" si="35"/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133" s="96" t="str">
        <f t="shared" si="36"/>
        <v>"C:\Program Files (x86)\AstroGrep\AstroGrep.exe" /spath="%USERPROFILE%\AppData\Local\Temp\OnboardLogs" /stypes="app*4010*20160913*" /stext=" 01:.+((SYSTEM_STATE.+slice.+state.+changed )|(ment ac)|(system.+state.+changed )|(\|lc)|(penalty)|(\[timeout)|(PRM\|1\|D)|(kpr)|(kdp))" /e /r /s</v>
      </c>
      <c r="AG133" s="1" t="str">
        <f t="shared" si="37"/>
        <v>EC</v>
      </c>
      <c r="AH133" s="100" t="str">
        <f t="shared" si="38"/>
        <v>"%USERPROFILE%\Documents\GitHub\eaglep3\Utilities\RefineRTDCRunTimes.py" --tripid 214-12 --locoid 4010 --swversion DE.1.0.7.0 --startMP 204:232986 --initTime 2016-09-12T18:27:36 --startdatetime 2016-09-12T18:41:46 --delay 1 --endMP 204:147 --enddatetime 2016-09-12T19:21:20 --enforcementcount 2 &gt;&gt;C:\Users\stu\Documents\GitHub\eaglep3-reporting\EC\2016-09-12-refined-times.txt</v>
      </c>
      <c r="AI133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{"issue":{"subject":"","project_id":79,"tracker_id":40,"status_id":1,"priority_id":2,"assigned_to_id":23,"start_date":"2016-09-12","description":"","custom_fields":[{"id":1,"name":"Subdivision","value":"EC"},{"id":4,"name":"Milepost","value":"23.2839"},{"id":17,"name":"Train ID","value":"214-12"},{"id":16,"name":"Locomotive ID","value":"4010"},{"id":130,"name":"Impact","value":""},{"id":150,"name":"Time of Event (Mountain Time)","value":"19:21:20"},{"id":151,"name":"Denver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s="23" customFormat="1" hidden="1" x14ac:dyDescent="0.25">
      <c r="A134" s="39" t="s">
        <v>591</v>
      </c>
      <c r="B134" s="7">
        <v>4016</v>
      </c>
      <c r="C134" s="24" t="s">
        <v>108</v>
      </c>
      <c r="D134" s="24" t="s">
        <v>248</v>
      </c>
      <c r="E134" s="15">
        <v>42625.745416666665</v>
      </c>
      <c r="F134" s="15">
        <v>42625.750208333331</v>
      </c>
      <c r="G134" s="7">
        <v>1</v>
      </c>
      <c r="H134" s="15" t="s">
        <v>592</v>
      </c>
      <c r="I134" s="15">
        <v>42625.775312500002</v>
      </c>
      <c r="J134" s="7">
        <v>2</v>
      </c>
      <c r="K134" s="121" t="str">
        <f t="shared" si="26"/>
        <v>4015/4016</v>
      </c>
      <c r="L134" s="24" t="str">
        <f>VLOOKUP(A134,'Trips&amp;Operators'!$C$1:$E$10000,3,FALSE)</f>
        <v>SHOOK</v>
      </c>
      <c r="M134" s="6">
        <f t="shared" si="27"/>
        <v>2.510416667064419E-2</v>
      </c>
      <c r="N134" s="7">
        <f t="shared" si="58"/>
        <v>36.150000005727634</v>
      </c>
      <c r="O134" s="7"/>
      <c r="P134" s="7"/>
      <c r="Q134" s="25"/>
      <c r="R134" s="25"/>
      <c r="S134" s="37">
        <f t="shared" si="76"/>
        <v>1</v>
      </c>
      <c r="T134" s="52" t="str">
        <f t="shared" si="28"/>
        <v>NorthBound</v>
      </c>
      <c r="U134" s="16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16:53:24-0600',mode:absolute,to:'2016-09-12 19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34" s="54" t="str">
        <f t="shared" si="30"/>
        <v>N</v>
      </c>
      <c r="X134" s="168">
        <f t="shared" si="75"/>
        <v>1</v>
      </c>
      <c r="Y134" s="69">
        <f t="shared" si="31"/>
        <v>4.5499999999999999E-2</v>
      </c>
      <c r="Z134" s="69">
        <f t="shared" si="32"/>
        <v>23.334</v>
      </c>
      <c r="AA134" s="69">
        <f t="shared" si="33"/>
        <v>23.288499999999999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 t="shared" si="34"/>
        <v>0215-12</v>
      </c>
      <c r="AE134" s="99" t="str">
        <f t="shared" si="35"/>
        <v>aws s3 cp s3://rtdc.mdm.uploadarchive/RTDC4016/2016-09-12/ "%USERPROFILE%\AppData\Local\Temp\OnboardLogs"\RTDC4016\2016-09-12 --recursive &amp; "%USERPROFILE%\Documents\GitHub\mrs-test-scripts\Headless Mode &amp; Sideloading\WalkAndUnGZ.bat" "%USERPROFILE%\AppData\Local\Temp\OnboardLogs"\RTDC4016\2016-09-12 &amp; aws s3 cp s3://rtdc.mdm.uploadarchive/RTDC4016/2016-09-13/ "%USERPROFILE%\AppData\Local\Temp\OnboardLogs"\RTDC4016\2016-09-13 --recursive &amp; "%USERPROFILE%\Documents\GitHub\mrs-test-scripts\Headless Mode &amp; Sideloading\WalkAndUnGZ.bat" "%USERPROFILE%\AppData\Local\Temp\OnboardLogs"\RTDC4016\2016-09-13</v>
      </c>
      <c r="AF134" s="96" t="str">
        <f t="shared" si="36"/>
        <v>"C:\Program Files (x86)\AstroGrep\AstroGrep.exe" /spath="%USERPROFILE%\AppData\Local\Temp\OnboardLogs" /stypes="app*4016*20160913*" /stext=" 00:.+((SYSTEM_STATE.+slice.+state.+changed )|(ment ac)|(system.+state.+changed )|(\|lc)|(penalty)|(\[timeout)|(PRM\|1\|D)|(kpr)|(kdp))" /e /r /s</v>
      </c>
      <c r="AG134" s="1" t="str">
        <f t="shared" si="37"/>
        <v>EC</v>
      </c>
      <c r="AH134" s="100" t="str">
        <f t="shared" si="38"/>
        <v>"%USERPROFILE%\Documents\GitHub\eaglep3\Utilities\RefineRTDCRunTimes.py" --tripid 215-12 --locoid 4016 --swversion DE.1.0.7.0 --startMP 204:455 --initTime 2016-09-12T17:53:24 --startdatetime 2016-09-12T18:00:18 --delay 1 --endMP 204:233340 --enddatetime 2016-09-12T18:36:27 --enforcementcount 2 &gt;&gt;C:\Users\stu\Documents\GitHub\eaglep3-reporting\EC\2016-09-12-refined-times.txt</v>
      </c>
      <c r="AI134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{"issue":{"subject":"","project_id":79,"tracker_id":40,"status_id":1,"priority_id":2,"assigned_to_id":23,"start_date":"2016-09-12","description":"","custom_fields":[{"id":1,"name":"Subdivision","value":"EC"},{"id":4,"name":"Milepost","value":"23.2885"},{"id":17,"name":"Train ID","value":"215-12"},{"id":16,"name":"Locomotive ID","value":"4016"},{"id":130,"name":"Impact","value":""},{"id":150,"name":"Time of Event (Mountain Time)","value":"18:36:27"},{"id":151,"name":"Denver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hidden="1" x14ac:dyDescent="0.25">
      <c r="A135" s="39" t="s">
        <v>593</v>
      </c>
      <c r="B135" s="7">
        <v>4015</v>
      </c>
      <c r="C135" s="24" t="s">
        <v>108</v>
      </c>
      <c r="D135" s="24" t="s">
        <v>344</v>
      </c>
      <c r="E135" s="15">
        <v>42625.783148148148</v>
      </c>
      <c r="F135" s="15">
        <v>42625.789085648146</v>
      </c>
      <c r="G135" s="7">
        <v>1</v>
      </c>
      <c r="H135" s="15" t="s">
        <v>232</v>
      </c>
      <c r="I135" s="15">
        <v>42625.815243055556</v>
      </c>
      <c r="J135" s="7">
        <v>2</v>
      </c>
      <c r="K135" s="121" t="str">
        <f t="shared" si="26"/>
        <v>4015/4016</v>
      </c>
      <c r="L135" s="24" t="str">
        <f>VLOOKUP(A135,'Trips&amp;Operators'!$C$1:$E$10000,3,FALSE)</f>
        <v>SHOOK</v>
      </c>
      <c r="M135" s="6">
        <f t="shared" si="27"/>
        <v>2.6157407410209998E-2</v>
      </c>
      <c r="N135" s="7">
        <f t="shared" si="58"/>
        <v>37.666666670702398</v>
      </c>
      <c r="O135" s="7"/>
      <c r="P135" s="7"/>
      <c r="Q135" s="25"/>
      <c r="R135" s="25"/>
      <c r="S135" s="37">
        <f t="shared" si="76"/>
        <v>1</v>
      </c>
      <c r="T135" s="52" t="str">
        <f t="shared" si="28"/>
        <v>Southbound</v>
      </c>
      <c r="U135" s="16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17:47:44-0600',mode:absolute,to:'2016-09-12 20:33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35" s="54" t="str">
        <f t="shared" si="30"/>
        <v>N</v>
      </c>
      <c r="X135" s="168">
        <f t="shared" si="75"/>
        <v>1</v>
      </c>
      <c r="Y135" s="69">
        <f t="shared" si="31"/>
        <v>23.302299999999999</v>
      </c>
      <c r="Z135" s="69">
        <f t="shared" si="32"/>
        <v>1.47E-2</v>
      </c>
      <c r="AA135" s="69">
        <f t="shared" si="33"/>
        <v>23.287599999999998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 t="shared" si="34"/>
        <v>0216-12</v>
      </c>
      <c r="AE135" s="99" t="str">
        <f t="shared" si="35"/>
        <v>aws s3 cp s3://rtdc.mdm.uploadarchive/RTDC4015/2016-09-12/ "%USERPROFILE%\AppData\Local\Temp\OnboardLogs"\RTDC4015\2016-09-12 --recursive &amp; "%USERPROFILE%\Documents\GitHub\mrs-test-scripts\Headless Mode &amp; Sideloading\WalkAndUnGZ.bat" "%USERPROFILE%\AppData\Local\Temp\OnboardLogs"\RTDC4015\2016-09-12 &amp; aws s3 cp s3://rtdc.mdm.uploadarchive/RTDC4015/2016-09-13/ "%USERPROFILE%\AppData\Local\Temp\OnboardLogs"\RTDC4015\2016-09-13 --recursive &amp; "%USERPROFILE%\Documents\GitHub\mrs-test-scripts\Headless Mode &amp; Sideloading\WalkAndUnGZ.bat" "%USERPROFILE%\AppData\Local\Temp\OnboardLogs"\RTDC4015\2016-09-13</v>
      </c>
      <c r="AF135" s="96" t="str">
        <f t="shared" si="36"/>
        <v>"C:\Program Files (x86)\AstroGrep\AstroGrep.exe" /spath="%USERPROFILE%\AppData\Local\Temp\OnboardLogs" /stypes="app*4015*20160913*" /stext=" 01:.+((SYSTEM_STATE.+slice.+state.+changed )|(ment ac)|(system.+state.+changed )|(\|lc)|(penalty)|(\[timeout)|(PRM\|1\|D)|(kpr)|(kdp))" /e /r /s</v>
      </c>
      <c r="AG135" s="1" t="str">
        <f t="shared" si="37"/>
        <v>EC</v>
      </c>
      <c r="AH135" s="100" t="str">
        <f t="shared" si="38"/>
        <v>"%USERPROFILE%\Documents\GitHub\eaglep3\Utilities\RefineRTDCRunTimes.py" --tripid 216-12 --locoid 4015 --swversion DE.1.0.7.0 --startMP 204:233023 --initTime 2016-09-12T18:47:44 --startdatetime 2016-09-12T18:56:17 --delay 1 --endMP 204:147 --enddatetime 2016-09-12T19:33:57 --enforcementcount 2 &gt;&gt;C:\Users\stu\Documents\GitHub\eaglep3-reporting\EC\2016-09-12-refined-times.txt</v>
      </c>
      <c r="AI135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{"issue":{"subject":"","project_id":79,"tracker_id":40,"status_id":1,"priority_id":2,"assigned_to_id":23,"start_date":"2016-09-12","description":"","custom_fields":[{"id":1,"name":"Subdivision","value":"EC"},{"id":4,"name":"Milepost","value":"23.2876"},{"id":17,"name":"Train ID","value":"216-12"},{"id":16,"name":"Locomotive ID","value":"4015"},{"id":130,"name":"Impact","value":""},{"id":150,"name":"Time of Event (Mountain Time)","value":"19:33:57"},{"id":151,"name":"Denver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hidden="1" x14ac:dyDescent="0.25">
      <c r="A136" s="39" t="s">
        <v>594</v>
      </c>
      <c r="B136" s="7">
        <v>4014</v>
      </c>
      <c r="C136" s="24" t="s">
        <v>108</v>
      </c>
      <c r="D136" s="24" t="s">
        <v>307</v>
      </c>
      <c r="E136" s="15">
        <v>42625.759988425925</v>
      </c>
      <c r="F136" s="15">
        <v>42625.761064814818</v>
      </c>
      <c r="G136" s="7">
        <v>1</v>
      </c>
      <c r="H136" s="15" t="s">
        <v>243</v>
      </c>
      <c r="I136" s="15">
        <v>42625.786400462966</v>
      </c>
      <c r="J136" s="7">
        <v>2</v>
      </c>
      <c r="K136" s="121" t="str">
        <f t="shared" si="26"/>
        <v>4013/4014</v>
      </c>
      <c r="L136" s="24" t="str">
        <f>VLOOKUP(A136,'Trips&amp;Operators'!$C$1:$E$10000,3,FALSE)</f>
        <v>CHANDLER</v>
      </c>
      <c r="M136" s="6">
        <f t="shared" si="27"/>
        <v>2.5335648148029577E-2</v>
      </c>
      <c r="N136" s="7">
        <f t="shared" si="58"/>
        <v>36.483333333162591</v>
      </c>
      <c r="O136" s="7"/>
      <c r="P136" s="7"/>
      <c r="Q136" s="25"/>
      <c r="R136" s="25"/>
      <c r="S136" s="37">
        <f t="shared" si="76"/>
        <v>1</v>
      </c>
      <c r="T136" s="52" t="str">
        <f t="shared" si="28"/>
        <v>NorthBound</v>
      </c>
      <c r="U136" s="16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17:14:23-0600',mode:absolute,to:'2016-09-12 19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36" s="54" t="str">
        <f t="shared" si="30"/>
        <v>N</v>
      </c>
      <c r="X136" s="168">
        <f t="shared" si="75"/>
        <v>1</v>
      </c>
      <c r="Y136" s="69">
        <f t="shared" si="31"/>
        <v>4.6899999999999997E-2</v>
      </c>
      <c r="Z136" s="69">
        <f t="shared" si="32"/>
        <v>23.329699999999999</v>
      </c>
      <c r="AA136" s="69">
        <f t="shared" si="33"/>
        <v>23.282799999999998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 t="shared" si="34"/>
        <v>0217-12</v>
      </c>
      <c r="AE136" s="99" t="str">
        <f t="shared" si="35"/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136" s="96" t="str">
        <f t="shared" si="36"/>
        <v>"C:\Program Files (x86)\AstroGrep\AstroGrep.exe" /spath="%USERPROFILE%\AppData\Local\Temp\OnboardLogs" /stypes="app*4014*20160913*" /stext=" 00:.+((SYSTEM_STATE.+slice.+state.+changed )|(ment ac)|(system.+state.+changed )|(\|lc)|(penalty)|(\[timeout)|(PRM\|1\|D)|(kpr)|(kdp))" /e /r /s</v>
      </c>
      <c r="AG136" s="1" t="str">
        <f t="shared" si="37"/>
        <v>EC</v>
      </c>
      <c r="AH136" s="100" t="str">
        <f t="shared" si="38"/>
        <v>"%USERPROFILE%\Documents\GitHub\eaglep3\Utilities\RefineRTDCRunTimes.py" --tripid 217-12 --locoid 4014 --swversion DE.1.0.7.0 --startMP 204:469 --initTime 2016-09-12T18:14:23 --startdatetime 2016-09-12T18:15:56 --delay 1 --endMP 204:233297 --enddatetime 2016-09-12T18:52:25 --enforcementcount 2 &gt;&gt;C:\Users\stu\Documents\GitHub\eaglep3-reporting\EC\2016-09-12-refined-times.txt</v>
      </c>
      <c r="AI136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{"issue":{"subject":"","project_id":79,"tracker_id":40,"status_id":1,"priority_id":2,"assigned_to_id":23,"start_date":"2016-09-12","description":"","custom_fields":[{"id":1,"name":"Subdivision","value":"EC"},{"id":4,"name":"Milepost","value":"23.2828"},{"id":17,"name":"Train ID","value":"217-12"},{"id":16,"name":"Locomotive ID","value":"4014"},{"id":130,"name":"Impact","value":""},{"id":150,"name":"Time of Event (Mountain Time)","value":"18:52:25"},{"id":151,"name":"Denver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hidden="1" x14ac:dyDescent="0.25">
      <c r="A137" s="39" t="s">
        <v>595</v>
      </c>
      <c r="B137" s="7">
        <v>4013</v>
      </c>
      <c r="C137" s="24" t="s">
        <v>108</v>
      </c>
      <c r="D137" s="24" t="s">
        <v>308</v>
      </c>
      <c r="E137" s="15">
        <v>42625.795983796299</v>
      </c>
      <c r="F137" s="15">
        <v>42625.799560185187</v>
      </c>
      <c r="G137" s="7">
        <v>1</v>
      </c>
      <c r="H137" s="15" t="s">
        <v>237</v>
      </c>
      <c r="I137" s="15">
        <v>42625.827743055554</v>
      </c>
      <c r="J137" s="7">
        <v>2</v>
      </c>
      <c r="K137" s="121" t="str">
        <f t="shared" si="26"/>
        <v>4013/4014</v>
      </c>
      <c r="L137" s="24" t="str">
        <f>VLOOKUP(A137,'Trips&amp;Operators'!$C$1:$E$10000,3,FALSE)</f>
        <v>CHANDLER</v>
      </c>
      <c r="M137" s="6">
        <f t="shared" si="27"/>
        <v>2.8182870366435964E-2</v>
      </c>
      <c r="N137" s="7">
        <f t="shared" si="58"/>
        <v>40.583333327667788</v>
      </c>
      <c r="O137" s="7"/>
      <c r="P137" s="7"/>
      <c r="Q137" s="25"/>
      <c r="R137" s="25"/>
      <c r="S137" s="37">
        <f t="shared" si="76"/>
        <v>1</v>
      </c>
      <c r="T137" s="52" t="str">
        <f t="shared" si="28"/>
        <v>Southbound</v>
      </c>
      <c r="U137" s="16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18:06:13-0600',mode:absolute,to:'2016-09-12 20:51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37" s="54" t="str">
        <f t="shared" si="30"/>
        <v>N</v>
      </c>
      <c r="X137" s="168">
        <f t="shared" si="75"/>
        <v>1</v>
      </c>
      <c r="Y137" s="69">
        <f t="shared" si="31"/>
        <v>23.2971</v>
      </c>
      <c r="Z137" s="69">
        <f t="shared" si="32"/>
        <v>1.52E-2</v>
      </c>
      <c r="AA137" s="69">
        <f t="shared" si="33"/>
        <v>23.2819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 t="shared" si="34"/>
        <v>0218-12</v>
      </c>
      <c r="AE137" s="99" t="str">
        <f t="shared" si="35"/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137" s="96" t="str">
        <f t="shared" si="36"/>
        <v>"C:\Program Files (x86)\AstroGrep\AstroGrep.exe" /spath="%USERPROFILE%\AppData\Local\Temp\OnboardLogs" /stypes="app*4013*20160913*" /stext=" 01:.+((SYSTEM_STATE.+slice.+state.+changed )|(ment ac)|(system.+state.+changed )|(\|lc)|(penalty)|(\[timeout)|(PRM\|1\|D)|(kpr)|(kdp))" /e /r /s</v>
      </c>
      <c r="AG137" s="1" t="str">
        <f t="shared" si="37"/>
        <v>EC</v>
      </c>
      <c r="AH137" s="100" t="str">
        <f t="shared" si="38"/>
        <v>"%USERPROFILE%\Documents\GitHub\eaglep3\Utilities\RefineRTDCRunTimes.py" --tripid 218-12 --locoid 4013 --swversion DE.1.0.7.0 --startMP 204:232971 --initTime 2016-09-12T19:06:13 --startdatetime 2016-09-12T19:11:22 --delay 1 --endMP 204:152 --enddatetime 2016-09-12T19:51:57 --enforcementcount 2 &gt;&gt;C:\Users\stu\Documents\GitHub\eaglep3-reporting\EC\2016-09-12-refined-times.txt</v>
      </c>
      <c r="AI137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{"issue":{"subject":"","project_id":79,"tracker_id":40,"status_id":1,"priority_id":2,"assigned_to_id":23,"start_date":"2016-09-12","description":"","custom_fields":[{"id":1,"name":"Subdivision","value":"EC"},{"id":4,"name":"Milepost","value":"23.2819"},{"id":17,"name":"Train ID","value":"218-12"},{"id":16,"name":"Locomotive ID","value":"4013"},{"id":130,"name":"Impact","value":""},{"id":150,"name":"Time of Event (Mountain Time)","value":"19:51:57"},{"id":151,"name":"Denver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hidden="1" x14ac:dyDescent="0.25">
      <c r="A138" s="39" t="s">
        <v>596</v>
      </c>
      <c r="B138" s="7">
        <v>4002</v>
      </c>
      <c r="C138" s="24" t="s">
        <v>108</v>
      </c>
      <c r="D138" s="24" t="s">
        <v>275</v>
      </c>
      <c r="E138" s="15">
        <v>42625.768275462964</v>
      </c>
      <c r="F138" s="15">
        <v>42625.771041666667</v>
      </c>
      <c r="G138" s="7">
        <v>1</v>
      </c>
      <c r="H138" s="15" t="s">
        <v>234</v>
      </c>
      <c r="I138" s="15">
        <v>42625.795717592591</v>
      </c>
      <c r="J138" s="7">
        <v>2</v>
      </c>
      <c r="K138" s="121" t="str">
        <f t="shared" si="26"/>
        <v>4001/4002</v>
      </c>
      <c r="L138" s="24" t="str">
        <f>VLOOKUP(A138,'Trips&amp;Operators'!$C$1:$E$10000,3,FALSE)</f>
        <v>YANAI</v>
      </c>
      <c r="M138" s="6">
        <f t="shared" si="27"/>
        <v>2.4675925924384501E-2</v>
      </c>
      <c r="N138" s="7">
        <f t="shared" si="58"/>
        <v>35.533333331113681</v>
      </c>
      <c r="O138" s="7"/>
      <c r="P138" s="7"/>
      <c r="Q138" s="25"/>
      <c r="R138" s="25"/>
      <c r="S138" s="37">
        <f t="shared" si="76"/>
        <v>1</v>
      </c>
      <c r="T138" s="52" t="str">
        <f t="shared" si="28"/>
        <v>NorthBound</v>
      </c>
      <c r="U138" s="16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17:26:19-0600',mode:absolute,to:'2016-09-12 20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38" s="54" t="str">
        <f t="shared" si="30"/>
        <v>N</v>
      </c>
      <c r="X138" s="168">
        <f t="shared" si="75"/>
        <v>1</v>
      </c>
      <c r="Y138" s="69">
        <f t="shared" si="31"/>
        <v>4.5999999999999999E-2</v>
      </c>
      <c r="Z138" s="69">
        <f t="shared" si="32"/>
        <v>23.330200000000001</v>
      </c>
      <c r="AA138" s="69">
        <f t="shared" si="33"/>
        <v>23.284200000000002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 t="shared" si="34"/>
        <v>0219-12</v>
      </c>
      <c r="AE138" s="99" t="str">
        <f t="shared" si="35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138" s="96" t="str">
        <f t="shared" si="36"/>
        <v>"C:\Program Files (x86)\AstroGrep\AstroGrep.exe" /spath="%USERPROFILE%\AppData\Local\Temp\OnboardLogs" /stypes="app*4002*20160913*" /stext=" 01:.+((SYSTEM_STATE.+slice.+state.+changed )|(ment ac)|(system.+state.+changed )|(\|lc)|(penalty)|(\[timeout)|(PRM\|1\|D)|(kpr)|(kdp))" /e /r /s</v>
      </c>
      <c r="AG138" s="1" t="str">
        <f t="shared" si="37"/>
        <v>EC</v>
      </c>
      <c r="AH138" s="100" t="str">
        <f t="shared" si="38"/>
        <v>"%USERPROFILE%\Documents\GitHub\eaglep3\Utilities\RefineRTDCRunTimes.py" --tripid 219-12 --locoid 4002 --swversion DE.1.0.7.0 --startMP 204:460 --initTime 2016-09-12T18:26:19 --startdatetime 2016-09-12T18:30:18 --delay 1 --endMP 204:233302 --enddatetime 2016-09-12T19:05:50 --enforcementcount 2 &gt;&gt;C:\Users\stu\Documents\GitHub\eaglep3-reporting\EC\2016-09-12-refined-times.txt</v>
      </c>
      <c r="AI138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{"issue":{"subject":"","project_id":79,"tracker_id":40,"status_id":1,"priority_id":2,"assigned_to_id":23,"start_date":"2016-09-12","description":"","custom_fields":[{"id":1,"name":"Subdivision","value":"EC"},{"id":4,"name":"Milepost","value":"23.2842"},{"id":17,"name":"Train ID","value":"219-12"},{"id":16,"name":"Locomotive ID","value":"4002"},{"id":130,"name":"Impact","value":""},{"id":150,"name":"Time of Event (Mountain Time)","value":"19:05:50"},{"id":151,"name":"Denver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hidden="1" x14ac:dyDescent="0.25">
      <c r="A139" s="39" t="s">
        <v>597</v>
      </c>
      <c r="B139" s="7">
        <v>4001</v>
      </c>
      <c r="C139" s="24" t="s">
        <v>108</v>
      </c>
      <c r="D139" s="24" t="s">
        <v>294</v>
      </c>
      <c r="E139" s="15">
        <v>42625.806030092594</v>
      </c>
      <c r="F139" s="15">
        <v>42625.809884259259</v>
      </c>
      <c r="G139" s="7">
        <v>2</v>
      </c>
      <c r="H139" s="15" t="s">
        <v>229</v>
      </c>
      <c r="I139" s="15">
        <v>42625.836712962962</v>
      </c>
      <c r="J139" s="7">
        <v>2</v>
      </c>
      <c r="K139" s="121" t="str">
        <f t="shared" si="26"/>
        <v>4001/4002</v>
      </c>
      <c r="L139" s="24" t="str">
        <f>VLOOKUP(A139,'Trips&amp;Operators'!$C$1:$E$10000,3,FALSE)</f>
        <v>YANAI</v>
      </c>
      <c r="M139" s="6">
        <f t="shared" si="27"/>
        <v>2.6828703703358769E-2</v>
      </c>
      <c r="N139" s="7">
        <f t="shared" si="58"/>
        <v>38.633333332836628</v>
      </c>
      <c r="O139" s="7"/>
      <c r="P139" s="7"/>
      <c r="Q139" s="25"/>
      <c r="R139" s="25"/>
      <c r="S139" s="37">
        <f t="shared" si="76"/>
        <v>1</v>
      </c>
      <c r="T139" s="52" t="str">
        <f t="shared" si="28"/>
        <v>Southbound</v>
      </c>
      <c r="U139" s="16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18:20:41-0600',mode:absolute,to:'2016-09-12 21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39" s="54" t="str">
        <f t="shared" si="30"/>
        <v>N</v>
      </c>
      <c r="X139" s="168">
        <f t="shared" si="75"/>
        <v>1</v>
      </c>
      <c r="Y139" s="69">
        <f t="shared" si="31"/>
        <v>23.299399999999999</v>
      </c>
      <c r="Z139" s="69">
        <f t="shared" si="32"/>
        <v>1.5800000000000002E-2</v>
      </c>
      <c r="AA139" s="69">
        <f t="shared" si="33"/>
        <v>23.2836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 t="shared" si="34"/>
        <v>0220-12</v>
      </c>
      <c r="AE139" s="99" t="str">
        <f t="shared" si="35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139" s="96" t="str">
        <f t="shared" si="36"/>
        <v>"C:\Program Files (x86)\AstroGrep\AstroGrep.exe" /spath="%USERPROFILE%\AppData\Local\Temp\OnboardLogs" /stypes="app*4001*20160913*" /stext=" 02:.+((SYSTEM_STATE.+slice.+state.+changed )|(ment ac)|(system.+state.+changed )|(\|lc)|(penalty)|(\[timeout)|(PRM\|1\|D)|(kpr)|(kdp))" /e /r /s</v>
      </c>
      <c r="AG139" s="1" t="str">
        <f t="shared" si="37"/>
        <v>EC</v>
      </c>
      <c r="AH139" s="100" t="str">
        <f t="shared" si="38"/>
        <v>"%USERPROFILE%\Documents\GitHub\eaglep3\Utilities\RefineRTDCRunTimes.py" --tripid 220-12 --locoid 4001 --swversion DE.1.0.7.0 --startMP 204:232994 --initTime 2016-09-12T19:20:41 --startdatetime 2016-09-12T19:26:14 --delay 2 --endMP 204:158 --enddatetime 2016-09-12T20:04:52 --enforcementcount 2 &gt;&gt;C:\Users\stu\Documents\GitHub\eaglep3-reporting\EC\2016-09-12-refined-times.txt</v>
      </c>
      <c r="AI139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{"issue":{"subject":"","project_id":79,"tracker_id":40,"status_id":1,"priority_id":2,"assigned_to_id":23,"start_date":"2016-09-12","description":"","custom_fields":[{"id":1,"name":"Subdivision","value":"EC"},{"id":4,"name":"Milepost","value":"23.2836"},{"id":17,"name":"Train ID","value":"220-12"},{"id":16,"name":"Locomotive ID","value":"4001"},{"id":130,"name":"Impact","value":""},{"id":150,"name":"Time of Event (Mountain Time)","value":"20:04:52"},{"id":151,"name":"Denver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hidden="1" x14ac:dyDescent="0.25">
      <c r="A140" s="39" t="s">
        <v>598</v>
      </c>
      <c r="B140" s="7">
        <v>4031</v>
      </c>
      <c r="C140" s="24" t="s">
        <v>108</v>
      </c>
      <c r="D140" s="24" t="s">
        <v>227</v>
      </c>
      <c r="E140" s="15">
        <v>42625.787604166668</v>
      </c>
      <c r="F140" s="15">
        <v>42625.791932870372</v>
      </c>
      <c r="G140" s="7">
        <v>1</v>
      </c>
      <c r="H140" s="15" t="s">
        <v>236</v>
      </c>
      <c r="I140" s="15">
        <v>42625.818935185183</v>
      </c>
      <c r="J140" s="7">
        <v>2</v>
      </c>
      <c r="K140" s="121" t="str">
        <f t="shared" si="26"/>
        <v>4031/4032</v>
      </c>
      <c r="L140" s="24" t="str">
        <f>VLOOKUP(A140,'Trips&amp;Operators'!$C$1:$E$10000,3,FALSE)</f>
        <v>DELGADO</v>
      </c>
      <c r="M140" s="6">
        <f t="shared" si="27"/>
        <v>2.700231481139781E-2</v>
      </c>
      <c r="N140" s="7">
        <f t="shared" si="58"/>
        <v>38.883333328412846</v>
      </c>
      <c r="O140" s="7"/>
      <c r="P140" s="7"/>
      <c r="Q140" s="25"/>
      <c r="R140" s="25"/>
      <c r="S140" s="37">
        <f t="shared" si="76"/>
        <v>1</v>
      </c>
      <c r="T140" s="52" t="str">
        <f t="shared" si="28"/>
        <v>NorthBound</v>
      </c>
      <c r="U140" s="16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17:54:09-0600',mode:absolute,to:'2016-09-12 20:39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40" s="54" t="str">
        <f t="shared" si="30"/>
        <v>N</v>
      </c>
      <c r="X140" s="168">
        <f t="shared" si="75"/>
        <v>1</v>
      </c>
      <c r="Y140" s="69">
        <f t="shared" si="31"/>
        <v>4.7100000000000003E-2</v>
      </c>
      <c r="Z140" s="69">
        <f t="shared" si="32"/>
        <v>23.3291</v>
      </c>
      <c r="AA140" s="69">
        <f t="shared" si="33"/>
        <v>23.282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 t="shared" si="34"/>
        <v>0221-12</v>
      </c>
      <c r="AE140" s="99" t="str">
        <f t="shared" si="35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140" s="96" t="str">
        <f t="shared" si="36"/>
        <v>"C:\Program Files (x86)\AstroGrep\AstroGrep.exe" /spath="%USERPROFILE%\AppData\Local\Temp\OnboardLogs" /stypes="app*4031*20160913*" /stext=" 01:.+((SYSTEM_STATE.+slice.+state.+changed )|(ment ac)|(system.+state.+changed )|(\|lc)|(penalty)|(\[timeout)|(PRM\|1\|D)|(kpr)|(kdp))" /e /r /s</v>
      </c>
      <c r="AG140" s="1" t="str">
        <f t="shared" si="37"/>
        <v>EC</v>
      </c>
      <c r="AH140" s="100" t="str">
        <f t="shared" si="38"/>
        <v>"%USERPROFILE%\Documents\GitHub\eaglep3\Utilities\RefineRTDCRunTimes.py" --tripid 221-12 --locoid 4031 --swversion DE.1.0.7.0 --startMP 204:471 --initTime 2016-09-12T18:54:09 --startdatetime 2016-09-12T19:00:23 --delay 1 --endMP 204:233291 --enddatetime 2016-09-12T19:39:16 --enforcementcount 2 &gt;&gt;C:\Users\stu\Documents\GitHub\eaglep3-reporting\EC\2016-09-12-refined-times.txt</v>
      </c>
      <c r="AI140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{"issue":{"subject":"","project_id":79,"tracker_id":40,"status_id":1,"priority_id":2,"assigned_to_id":23,"start_date":"2016-09-12","description":"","custom_fields":[{"id":1,"name":"Subdivision","value":"EC"},{"id":4,"name":"Milepost","value":"23.282"},{"id":17,"name":"Train ID","value":"221-12"},{"id":16,"name":"Locomotive ID","value":"4031"},{"id":130,"name":"Impact","value":""},{"id":150,"name":"Time of Event (Mountain Time)","value":"19:39:16"},{"id":151,"name":"Denver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hidden="1" x14ac:dyDescent="0.25">
      <c r="A141" s="39" t="s">
        <v>599</v>
      </c>
      <c r="B141" s="7">
        <v>4032</v>
      </c>
      <c r="C141" s="24" t="s">
        <v>108</v>
      </c>
      <c r="D141" s="24" t="s">
        <v>325</v>
      </c>
      <c r="E141" s="15">
        <v>42625.823645833334</v>
      </c>
      <c r="F141" s="15">
        <v>42625.83079861111</v>
      </c>
      <c r="G141" s="7">
        <v>1</v>
      </c>
      <c r="H141" s="15" t="s">
        <v>600</v>
      </c>
      <c r="I141" s="15">
        <v>42625.862557870372</v>
      </c>
      <c r="J141" s="7">
        <v>2</v>
      </c>
      <c r="K141" s="121" t="str">
        <f t="shared" si="26"/>
        <v>4031/4032</v>
      </c>
      <c r="L141" s="24" t="str">
        <f>VLOOKUP(A141,'Trips&amp;Operators'!$C$1:$E$10000,3,FALSE)</f>
        <v>DELGADO</v>
      </c>
      <c r="M141" s="6">
        <f t="shared" si="27"/>
        <v>3.1759259261889383E-2</v>
      </c>
      <c r="N141" s="7">
        <f t="shared" si="58"/>
        <v>45.733333337120712</v>
      </c>
      <c r="O141" s="7"/>
      <c r="P141" s="7"/>
      <c r="Q141" s="25"/>
      <c r="R141" s="25"/>
      <c r="S141" s="37">
        <f t="shared" si="76"/>
        <v>1</v>
      </c>
      <c r="T141" s="52" t="str">
        <f t="shared" si="28"/>
        <v>Southbound</v>
      </c>
      <c r="U141" s="16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18:46:03-0600',mode:absolute,to:'2016-09-12 21:42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41" s="54" t="str">
        <f t="shared" si="30"/>
        <v>N</v>
      </c>
      <c r="X141" s="168">
        <f t="shared" si="75"/>
        <v>1</v>
      </c>
      <c r="Y141" s="69">
        <f t="shared" si="31"/>
        <v>23.296800000000001</v>
      </c>
      <c r="Z141" s="69">
        <f t="shared" si="32"/>
        <v>1.9800000000000002E-2</v>
      </c>
      <c r="AA141" s="69">
        <f t="shared" si="33"/>
        <v>23.277000000000001</v>
      </c>
      <c r="AB141" s="66" t="e">
        <f>VLOOKUP(A141,Enforcements!$C$7:$K$21,8,0)</f>
        <v>#N/A</v>
      </c>
      <c r="AC141" s="62" t="e">
        <f>VLOOKUP(A141,Enforcements!$C$7:$E$21,3,0)</f>
        <v>#N/A</v>
      </c>
      <c r="AD141" s="63" t="str">
        <f t="shared" si="34"/>
        <v>0222-12</v>
      </c>
      <c r="AE141" s="99" t="str">
        <f t="shared" si="35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141" s="96" t="str">
        <f t="shared" si="36"/>
        <v>"C:\Program Files (x86)\AstroGrep\AstroGrep.exe" /spath="%USERPROFILE%\AppData\Local\Temp\OnboardLogs" /stypes="app*4032*20160913*" /stext=" 02:.+((SYSTEM_STATE.+slice.+state.+changed )|(ment ac)|(system.+state.+changed )|(\|lc)|(penalty)|(\[timeout)|(PRM\|1\|D)|(kpr)|(kdp))" /e /r /s</v>
      </c>
      <c r="AG141" s="1" t="str">
        <f t="shared" si="37"/>
        <v>EC</v>
      </c>
      <c r="AH141" s="100" t="str">
        <f t="shared" si="38"/>
        <v>"%USERPROFILE%\Documents\GitHub\eaglep3\Utilities\RefineRTDCRunTimes.py" --tripid 222-12 --locoid 4032 --swversion DE.1.0.7.0 --startMP 204:232968 --initTime 2016-09-12T19:46:03 --startdatetime 2016-09-12T19:56:21 --delay 1 --endMP 204:198 --enddatetime 2016-09-12T20:42:05 --enforcementcount 2 &gt;&gt;C:\Users\stu\Documents\GitHub\eaglep3-reporting\EC\2016-09-12-refined-times.txt</v>
      </c>
      <c r="AI141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{"issue":{"subject":"","project_id":79,"tracker_id":40,"status_id":1,"priority_id":2,"assigned_to_id":23,"start_date":"2016-09-12","description":"","custom_fields":[{"id":1,"name":"Subdivision","value":"EC"},{"id":4,"name":"Milepost","value":"23.277"},{"id":17,"name":"Train ID","value":"222-12"},{"id":16,"name":"Locomotive ID","value":"4032"},{"id":130,"name":"Impact","value":""},{"id":150,"name":"Time of Event (Mountain Time)","value":"20:42:05"},{"id":151,"name":"Denver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hidden="1" x14ac:dyDescent="0.25">
      <c r="A142" s="39" t="s">
        <v>601</v>
      </c>
      <c r="B142" s="7">
        <v>4009</v>
      </c>
      <c r="C142" s="24" t="s">
        <v>108</v>
      </c>
      <c r="D142" s="24" t="s">
        <v>227</v>
      </c>
      <c r="E142" s="15">
        <v>42625.813715277778</v>
      </c>
      <c r="F142" s="15">
        <v>42625.816261574073</v>
      </c>
      <c r="G142" s="7">
        <v>1</v>
      </c>
      <c r="H142" s="15" t="s">
        <v>236</v>
      </c>
      <c r="I142" s="15">
        <v>42625.841724537036</v>
      </c>
      <c r="J142" s="7">
        <v>2</v>
      </c>
      <c r="K142" s="121" t="str">
        <f t="shared" si="26"/>
        <v>4009/4010</v>
      </c>
      <c r="L142" s="24" t="str">
        <f>VLOOKUP(A142,'Trips&amp;Operators'!$C$1:$E$10000,3,FALSE)</f>
        <v>MAHAN</v>
      </c>
      <c r="M142" s="6">
        <f t="shared" si="27"/>
        <v>2.5462962963501923E-2</v>
      </c>
      <c r="N142" s="7">
        <f t="shared" si="58"/>
        <v>36.666666667442769</v>
      </c>
      <c r="O142" s="7"/>
      <c r="P142" s="7"/>
      <c r="Q142" s="25"/>
      <c r="R142" s="25"/>
      <c r="S142" s="37">
        <f t="shared" si="76"/>
        <v>1</v>
      </c>
      <c r="T142" s="52" t="str">
        <f t="shared" si="28"/>
        <v>NorthBound</v>
      </c>
      <c r="U142" s="16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18:31:45-0600',mode:absolute,to:'2016-09-12 21:12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42" s="54" t="str">
        <f t="shared" si="30"/>
        <v>N</v>
      </c>
      <c r="X142" s="168">
        <f t="shared" si="75"/>
        <v>1</v>
      </c>
      <c r="Y142" s="69">
        <f t="shared" si="31"/>
        <v>4.7100000000000003E-2</v>
      </c>
      <c r="Z142" s="69">
        <f t="shared" si="32"/>
        <v>23.3291</v>
      </c>
      <c r="AA142" s="69">
        <f t="shared" si="33"/>
        <v>23.282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 t="shared" si="34"/>
        <v>0223-12</v>
      </c>
      <c r="AE142" s="99" t="str">
        <f t="shared" si="35"/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142" s="96" t="str">
        <f t="shared" si="36"/>
        <v>"C:\Program Files (x86)\AstroGrep\AstroGrep.exe" /spath="%USERPROFILE%\AppData\Local\Temp\OnboardLogs" /stypes="app*4009*20160913*" /stext=" 02:.+((SYSTEM_STATE.+slice.+state.+changed )|(ment ac)|(system.+state.+changed )|(\|lc)|(penalty)|(\[timeout)|(PRM\|1\|D)|(kpr)|(kdp))" /e /r /s</v>
      </c>
      <c r="AG142" s="1" t="str">
        <f t="shared" si="37"/>
        <v>EC</v>
      </c>
      <c r="AH142" s="100" t="str">
        <f t="shared" si="38"/>
        <v>"%USERPROFILE%\Documents\GitHub\eaglep3\Utilities\RefineRTDCRunTimes.py" --tripid 223-12 --locoid 4009 --swversion DE.1.0.7.0 --startMP 204:471 --initTime 2016-09-12T19:31:45 --startdatetime 2016-09-12T19:35:25 --delay 1 --endMP 204:233291 --enddatetime 2016-09-12T20:12:05 --enforcementcount 2 &gt;&gt;C:\Users\stu\Documents\GitHub\eaglep3-reporting\EC\2016-09-12-refined-times.txt</v>
      </c>
      <c r="AI142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{"issue":{"subject":"","project_id":79,"tracker_id":40,"status_id":1,"priority_id":2,"assigned_to_id":23,"start_date":"2016-09-12","description":"","custom_fields":[{"id":1,"name":"Subdivision","value":"EC"},{"id":4,"name":"Milepost","value":"23.282"},{"id":17,"name":"Train ID","value":"223-12"},{"id":16,"name":"Locomotive ID","value":"4009"},{"id":130,"name":"Impact","value":""},{"id":150,"name":"Time of Event (Mountain Time)","value":"20:12:05"},{"id":151,"name":"Denver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hidden="1" x14ac:dyDescent="0.25">
      <c r="A143" s="39" t="s">
        <v>417</v>
      </c>
      <c r="B143" s="7">
        <v>4010</v>
      </c>
      <c r="C143" s="24" t="s">
        <v>108</v>
      </c>
      <c r="D143" s="24" t="s">
        <v>330</v>
      </c>
      <c r="E143" s="15">
        <v>42625.843761574077</v>
      </c>
      <c r="F143" s="15">
        <v>42625.851736111108</v>
      </c>
      <c r="G143" s="7">
        <v>1</v>
      </c>
      <c r="H143" s="15" t="s">
        <v>240</v>
      </c>
      <c r="I143" s="15">
        <v>42625.880023148151</v>
      </c>
      <c r="J143" s="7">
        <v>2</v>
      </c>
      <c r="K143" s="121" t="str">
        <f t="shared" ref="K143:K206" si="77">IF(ISEVEN(B143),(B143-1)&amp;"/"&amp;B143,B143&amp;"/"&amp;(B143+1))</f>
        <v>4009/4010</v>
      </c>
      <c r="L143" s="24" t="str">
        <f>VLOOKUP(A143,'Trips&amp;Operators'!$C$1:$E$10000,3,FALSE)</f>
        <v>MAHAN</v>
      </c>
      <c r="M143" s="6">
        <f t="shared" ref="M143:M206" si="78">I143-F143</f>
        <v>2.828703704290092E-2</v>
      </c>
      <c r="N143" s="7">
        <f t="shared" si="58"/>
        <v>40.733333341777325</v>
      </c>
      <c r="O143" s="7"/>
      <c r="P143" s="7"/>
      <c r="Q143" s="25"/>
      <c r="R143" s="25"/>
      <c r="S143" s="37">
        <f t="shared" si="76"/>
        <v>1</v>
      </c>
      <c r="T143" s="52" t="str">
        <f t="shared" ref="T143:T206" si="79">IF(ISEVEN(LEFT(AD143,4)),"Southbound","NorthBound")</f>
        <v>Southbound</v>
      </c>
      <c r="U143" s="16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ref="V143:V206" si="80">"https://search-rtdc-monitor-bjffxe2xuh6vdkpspy63sjmuny.us-east-1.es.amazonaws.com/_plugin/kibana/#/discover/Steve-Slow-Train-Analysis-(2080s-and-2083s)?_g=(refreshInterval:(display:Off,section:0,value:0),time:(from:'"&amp;TEXT(E143-1/24,"yyyy-MM-DD hh:mm:ss")&amp;"-0600',mode:absolute,to:'"&amp;TEXT(I143+1/24,"yyyy-MM-DD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https://search-rtdc-monitor-bjffxe2xuh6vdkpspy63sjmuny.us-east-1.es.amazonaws.com/_plugin/kibana/#/discover/Steve-Slow-Train-Analysis-(2080s-and-2083s)?_g=(refreshInterval:(display:Off,section:0,value:0),time:(from:'2016-09-12 19:15:01-0600',mode:absolute,to:'2016-09-12 22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43" s="54" t="str">
        <f t="shared" ref="W143:W206" si="81">IF(AA143&lt;IF(AG143="EC",23,5.65),"Y","N")</f>
        <v>N</v>
      </c>
      <c r="X143" s="168">
        <f t="shared" si="75"/>
        <v>1</v>
      </c>
      <c r="Y143" s="69">
        <f t="shared" ref="Y143:Y206" si="82">RIGHT(D143,LEN(D143)-4)/10000</f>
        <v>23.2974</v>
      </c>
      <c r="Z143" s="69">
        <f t="shared" ref="Z143:Z206" si="83">RIGHT(H143,LEN(H143)-4)/10000</f>
        <v>1.4500000000000001E-2</v>
      </c>
      <c r="AA143" s="69">
        <f t="shared" ref="AA143:AA206" si="84">ABS(Z143-Y143)</f>
        <v>23.282899999999998</v>
      </c>
      <c r="AB143" s="66" t="str">
        <f>VLOOKUP(A143,Enforcements!$C$7:$K$21,8,0)</f>
        <v>Bulletin (2)</v>
      </c>
      <c r="AC143" s="62" t="str">
        <f>VLOOKUP(A143,Enforcements!$C$7:$E$21,3,0)</f>
        <v>GRADE CROSSING</v>
      </c>
      <c r="AD143" s="63" t="str">
        <f t="shared" ref="AD143:AD206" si="85">IF(LEN(A143)=6,"0"&amp;A143,A143)</f>
        <v>0224-12</v>
      </c>
      <c r="AE143" s="99" t="str">
        <f t="shared" ref="AE143:AE206" si="86">"aws s3 cp "&amp;s3_bucket&amp;"/RTDC"&amp;B143&amp;"/"&amp;TEXT(F143,"YYYY-MM-DD")&amp;"/ "&amp;search_path&amp;"\RTDC"&amp;B143&amp;"\"&amp;TEXT(F143,"YYYY-MM-DD")&amp;" --recursive &amp; """&amp;walkandungz&amp;""" "&amp;search_path&amp;"\RTDC"&amp;B143&amp;"\"&amp;TEXT(F143,"YYYY-MM-DD")
&amp;" &amp; "&amp;"aws s3 cp "&amp;s3_bucket&amp;"/RTDC"&amp;B143&amp;"/"&amp;TEXT(F143+1,"YYYY-MM-DD")&amp;"/ "&amp;search_path&amp;"\RTDC"&amp;B143&amp;"\"&amp;TEXT(F143+1,"YYYY-MM-DD")&amp;" --recursive &amp; """&amp;walkandungz&amp;""" "&amp;search_path&amp;"\RTDC"&amp;B143&amp;"\"&amp;TEXT(F143+1,"YYYY-MM-DD")</f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143" s="96" t="str">
        <f t="shared" ref="AF143:AF206" si="87"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/stypes="app*4010*20160913*" /stext=" 03:.+((SYSTEM_STATE.+slice.+state.+changed )|(ment ac)|(system.+state.+changed )|(\|lc)|(penalty)|(\[timeout)|(PRM\|1\|D)|(kpr)|(kdp))" /e /r /s</v>
      </c>
      <c r="AG143" s="1" t="str">
        <f t="shared" ref="AG143:AG206" si="88">IFERROR(IF(VALUE(LEFT(AD143,2))&lt;=2,"EC",IF(OR(VALUE(LEFT(AD143,2))=8,VALUE(LEFT(AD143,2))=18),"NW","Other")),"Other")</f>
        <v>EC</v>
      </c>
      <c r="AH143" s="100" t="str">
        <f t="shared" ref="AH143:AH206" si="89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224-12 --locoid 4010 --swversion DE.1.0.7.0 --startMP 204:232974 --initTime 2016-09-12T20:15:01 --startdatetime 2016-09-12T20:26:30 --delay 1 --endMP 204:145 --enddatetime 2016-09-12T21:07:14 --enforcementcount 2 &gt;&gt;C:\Users\stu\Documents\GitHub\eaglep3-reporting\EC\2016-09-12-refined-times.txt</v>
      </c>
      <c r="AI143" s="134" t="str">
        <f t="shared" ref="AI143:AI206" si="90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AA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{"issue":{"subject":"","project_id":79,"tracker_id":40,"status_id":1,"priority_id":2,"assigned_to_id":23,"start_date":"2016-09-12","description":"","custom_fields":[{"id":1,"name":"Subdivision","value":"EC"},{"id":4,"name":"Milepost","value":"23.2829"},{"id":17,"name":"Train ID","value":"224-12"},{"id":16,"name":"Locomotive ID","value":"4010"},{"id":130,"name":"Impact","value":""},{"id":150,"name":"Time of Event (Mountain Time)","value":"21:07:14"},{"id":151,"name":"Denver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hidden="1" x14ac:dyDescent="0.25">
      <c r="A144" s="39" t="s">
        <v>416</v>
      </c>
      <c r="B144" s="7">
        <v>4014</v>
      </c>
      <c r="C144" s="24" t="s">
        <v>108</v>
      </c>
      <c r="D144" s="24" t="s">
        <v>487</v>
      </c>
      <c r="E144" s="15">
        <v>42625.832557870373</v>
      </c>
      <c r="F144" s="15">
        <v>42625.833761574075</v>
      </c>
      <c r="G144" s="7">
        <v>1</v>
      </c>
      <c r="H144" s="15" t="s">
        <v>250</v>
      </c>
      <c r="I144" s="15">
        <v>42625.859710648147</v>
      </c>
      <c r="J144" s="7">
        <v>2</v>
      </c>
      <c r="K144" s="121" t="str">
        <f t="shared" si="77"/>
        <v>4013/4014</v>
      </c>
      <c r="L144" s="24" t="str">
        <f>VLOOKUP(A144,'Trips&amp;Operators'!$C$1:$E$10000,3,FALSE)</f>
        <v>CHANDLER</v>
      </c>
      <c r="M144" s="6">
        <f t="shared" si="78"/>
        <v>2.5949074071832001E-2</v>
      </c>
      <c r="N144" s="7">
        <f t="shared" si="58"/>
        <v>37.366666663438082</v>
      </c>
      <c r="O144" s="7"/>
      <c r="P144" s="7"/>
      <c r="Q144" s="25"/>
      <c r="R144" s="25"/>
      <c r="S144" s="37">
        <f t="shared" si="76"/>
        <v>1</v>
      </c>
      <c r="T144" s="52" t="str">
        <f t="shared" si="79"/>
        <v>NorthBound</v>
      </c>
      <c r="U144" s="16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18:58:53-0600',mode:absolute,to:'2016-09-12 21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44" s="54" t="str">
        <f t="shared" si="81"/>
        <v>N</v>
      </c>
      <c r="X144" s="168">
        <f t="shared" si="75"/>
        <v>1</v>
      </c>
      <c r="Y144" s="69">
        <f t="shared" si="82"/>
        <v>4.6199999999999998E-2</v>
      </c>
      <c r="Z144" s="69">
        <f t="shared" si="83"/>
        <v>23.331199999999999</v>
      </c>
      <c r="AA144" s="69">
        <f t="shared" si="84"/>
        <v>23.285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 t="shared" si="85"/>
        <v>0225-12</v>
      </c>
      <c r="AE144" s="99" t="str">
        <f t="shared" si="86"/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144" s="96" t="str">
        <f t="shared" si="87"/>
        <v>"C:\Program Files (x86)\AstroGrep\AstroGrep.exe" /spath="%USERPROFILE%\AppData\Local\Temp\OnboardLogs" /stypes="app*4014*20160913*" /stext=" 02:.+((SYSTEM_STATE.+slice.+state.+changed )|(ment ac)|(system.+state.+changed )|(\|lc)|(penalty)|(\[timeout)|(PRM\|1\|D)|(kpr)|(kdp))" /e /r /s</v>
      </c>
      <c r="AG144" s="1" t="str">
        <f t="shared" si="88"/>
        <v>EC</v>
      </c>
      <c r="AH144" s="100" t="str">
        <f t="shared" si="89"/>
        <v>"%USERPROFILE%\Documents\GitHub\eaglep3\Utilities\RefineRTDCRunTimes.py" --tripid 225-12 --locoid 4014 --swversion DE.1.0.7.0 --startMP 204:462 --initTime 2016-09-12T19:58:53 --startdatetime 2016-09-12T20:00:37 --delay 1 --endMP 204:233312 --enddatetime 2016-09-12T20:37:59 --enforcementcount 2 &gt;&gt;C:\Users\stu\Documents\GitHub\eaglep3-reporting\EC\2016-09-12-refined-times.txt</v>
      </c>
      <c r="AI144" s="134" t="str">
        <f t="shared" si="90"/>
        <v>echo {"issue":{"subject":"","project_id":79,"tracker_id":40,"status_id":1,"priority_id":2,"assigned_to_id":23,"start_date":"2016-09-12","description":"","custom_fields":[{"id":1,"name":"Subdivision","value":"EC"},{"id":4,"name":"Milepost","value":"23.285"},{"id":17,"name":"Train ID","value":"225-12"},{"id":16,"name":"Locomotive ID","value":"4014"},{"id":130,"name":"Impact","value":""},{"id":150,"name":"Time of Event (Mountain Time)","value":"20:37:59"},{"id":151,"name":"Denver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hidden="1" x14ac:dyDescent="0.25">
      <c r="A145" s="39" t="s">
        <v>602</v>
      </c>
      <c r="B145" s="7">
        <v>4013</v>
      </c>
      <c r="C145" s="24" t="s">
        <v>108</v>
      </c>
      <c r="D145" s="24" t="s">
        <v>603</v>
      </c>
      <c r="E145" s="15">
        <v>42625.870335648149</v>
      </c>
      <c r="F145" s="15">
        <v>42625.872418981482</v>
      </c>
      <c r="G145" s="7">
        <v>1</v>
      </c>
      <c r="H145" s="15" t="s">
        <v>257</v>
      </c>
      <c r="I145" s="15">
        <v>42625.900393518517</v>
      </c>
      <c r="J145" s="7">
        <v>2</v>
      </c>
      <c r="K145" s="121" t="str">
        <f t="shared" si="77"/>
        <v>4013/4014</v>
      </c>
      <c r="L145" s="24" t="str">
        <f>VLOOKUP(A145,'Trips&amp;Operators'!$C$1:$E$10000,3,FALSE)</f>
        <v>CHANDLER</v>
      </c>
      <c r="M145" s="6">
        <f t="shared" si="78"/>
        <v>2.7974537035333924E-2</v>
      </c>
      <c r="N145" s="7">
        <f t="shared" si="58"/>
        <v>40.283333330880851</v>
      </c>
      <c r="O145" s="7"/>
      <c r="P145" s="7"/>
      <c r="Q145" s="25"/>
      <c r="R145" s="25"/>
      <c r="S145" s="37">
        <f t="shared" si="76"/>
        <v>1</v>
      </c>
      <c r="T145" s="52" t="str">
        <f t="shared" si="79"/>
        <v>Southbound</v>
      </c>
      <c r="U145" s="16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19:53:17-0600',mode:absolute,to:'2016-09-12 22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45" s="54" t="str">
        <f t="shared" si="81"/>
        <v>N</v>
      </c>
      <c r="X145" s="168">
        <f t="shared" si="75"/>
        <v>1</v>
      </c>
      <c r="Y145" s="69">
        <f t="shared" si="82"/>
        <v>23.300799999999999</v>
      </c>
      <c r="Z145" s="69">
        <f t="shared" si="83"/>
        <v>1.3899999999999999E-2</v>
      </c>
      <c r="AA145" s="69">
        <f t="shared" si="84"/>
        <v>23.286899999999999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 t="shared" si="85"/>
        <v>0226-12</v>
      </c>
      <c r="AE145" s="99" t="str">
        <f t="shared" si="86"/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145" s="96" t="str">
        <f t="shared" si="87"/>
        <v>"C:\Program Files (x86)\AstroGrep\AstroGrep.exe" /spath="%USERPROFILE%\AppData\Local\Temp\OnboardLogs" /stypes="app*4013*20160913*" /stext=" 03:.+((SYSTEM_STATE.+slice.+state.+changed )|(ment ac)|(system.+state.+changed )|(\|lc)|(penalty)|(\[timeout)|(PRM\|1\|D)|(kpr)|(kdp))" /e /r /s</v>
      </c>
      <c r="AG145" s="1" t="str">
        <f t="shared" si="88"/>
        <v>EC</v>
      </c>
      <c r="AH145" s="100" t="str">
        <f t="shared" si="89"/>
        <v>"%USERPROFILE%\Documents\GitHub\eaglep3\Utilities\RefineRTDCRunTimes.py" --tripid 226-12 --locoid 4013 --swversion DE.1.0.7.0 --startMP 204:233008 --initTime 2016-09-12T20:53:17 --startdatetime 2016-09-12T20:56:17 --delay 1 --endMP 204:139 --enddatetime 2016-09-12T21:36:34 --enforcementcount 2 &gt;&gt;C:\Users\stu\Documents\GitHub\eaglep3-reporting\EC\2016-09-12-refined-times.txt</v>
      </c>
      <c r="AI145" s="134" t="str">
        <f t="shared" si="90"/>
        <v>echo {"issue":{"subject":"","project_id":79,"tracker_id":40,"status_id":1,"priority_id":2,"assigned_to_id":23,"start_date":"2016-09-12","description":"","custom_fields":[{"id":1,"name":"Subdivision","value":"EC"},{"id":4,"name":"Milepost","value":"23.2869"},{"id":17,"name":"Train ID","value":"226-12"},{"id":16,"name":"Locomotive ID","value":"4013"},{"id":130,"name":"Impact","value":""},{"id":150,"name":"Time of Event (Mountain Time)","value":"21:36:34"},{"id":151,"name":"Denver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s="23" customFormat="1" hidden="1" x14ac:dyDescent="0.25">
      <c r="A146" s="39" t="s">
        <v>604</v>
      </c>
      <c r="B146" s="7">
        <v>4002</v>
      </c>
      <c r="C146" s="24" t="s">
        <v>108</v>
      </c>
      <c r="D146" s="24" t="s">
        <v>233</v>
      </c>
      <c r="E146" s="15">
        <v>42625.849872685183</v>
      </c>
      <c r="F146" s="15">
        <v>42625.854629629626</v>
      </c>
      <c r="G146" s="7">
        <v>1</v>
      </c>
      <c r="H146" s="15" t="s">
        <v>329</v>
      </c>
      <c r="I146" s="15">
        <v>42625.880497685182</v>
      </c>
      <c r="J146" s="7">
        <v>2</v>
      </c>
      <c r="K146" s="121" t="str">
        <f t="shared" si="77"/>
        <v>4001/4002</v>
      </c>
      <c r="L146" s="24" t="str">
        <f>VLOOKUP(A146,'Trips&amp;Operators'!$C$1:$E$10000,3,FALSE)</f>
        <v>YANAI</v>
      </c>
      <c r="M146" s="6">
        <f t="shared" si="78"/>
        <v>2.5868055556202307E-2</v>
      </c>
      <c r="N146" s="7">
        <f t="shared" si="58"/>
        <v>37.250000000931323</v>
      </c>
      <c r="O146" s="7"/>
      <c r="P146" s="7"/>
      <c r="Q146" s="25"/>
      <c r="R146" s="25"/>
      <c r="S146" s="37">
        <f t="shared" si="76"/>
        <v>1</v>
      </c>
      <c r="T146" s="52" t="str">
        <f t="shared" si="79"/>
        <v>NorthBound</v>
      </c>
      <c r="U146" s="16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19:23:49-0600',mode:absolute,to:'2016-09-12 22:07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46" s="54" t="str">
        <f t="shared" si="81"/>
        <v>N</v>
      </c>
      <c r="X146" s="168">
        <f t="shared" si="75"/>
        <v>1</v>
      </c>
      <c r="Y146" s="69">
        <f t="shared" si="82"/>
        <v>4.53E-2</v>
      </c>
      <c r="Z146" s="69">
        <f t="shared" si="83"/>
        <v>23.329799999999999</v>
      </c>
      <c r="AA146" s="69">
        <f t="shared" si="84"/>
        <v>23.284499999999998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 t="shared" si="85"/>
        <v>0227-12</v>
      </c>
      <c r="AE146" s="99" t="str">
        <f t="shared" si="86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146" s="96" t="str">
        <f t="shared" si="87"/>
        <v>"C:\Program Files (x86)\AstroGrep\AstroGrep.exe" /spath="%USERPROFILE%\AppData\Local\Temp\OnboardLogs" /stypes="app*4002*20160913*" /stext=" 03:.+((SYSTEM_STATE.+slice.+state.+changed )|(ment ac)|(system.+state.+changed )|(\|lc)|(penalty)|(\[timeout)|(PRM\|1\|D)|(kpr)|(kdp))" /e /r /s</v>
      </c>
      <c r="AG146" s="1" t="str">
        <f t="shared" si="88"/>
        <v>EC</v>
      </c>
      <c r="AH146" s="100" t="str">
        <f t="shared" si="89"/>
        <v>"%USERPROFILE%\Documents\GitHub\eaglep3\Utilities\RefineRTDCRunTimes.py" --tripid 227-12 --locoid 4002 --swversion DE.1.0.7.0 --startMP 204:453 --initTime 2016-09-12T20:23:49 --startdatetime 2016-09-12T20:30:40 --delay 1 --endMP 204:233298 --enddatetime 2016-09-12T21:07:55 --enforcementcount 2 &gt;&gt;C:\Users\stu\Documents\GitHub\eaglep3-reporting\EC\2016-09-12-refined-times.txt</v>
      </c>
      <c r="AI146" s="134" t="str">
        <f t="shared" si="90"/>
        <v>echo {"issue":{"subject":"","project_id":79,"tracker_id":40,"status_id":1,"priority_id":2,"assigned_to_id":23,"start_date":"2016-09-12","description":"","custom_fields":[{"id":1,"name":"Subdivision","value":"EC"},{"id":4,"name":"Milepost","value":"23.2845"},{"id":17,"name":"Train ID","value":"227-12"},{"id":16,"name":"Locomotive ID","value":"4002"},{"id":130,"name":"Impact","value":""},{"id":150,"name":"Time of Event (Mountain Time)","value":"21:07:55"},{"id":151,"name":"Denver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hidden="1" x14ac:dyDescent="0.25">
      <c r="A147" s="39" t="s">
        <v>418</v>
      </c>
      <c r="B147" s="7">
        <v>4001</v>
      </c>
      <c r="C147" s="24" t="s">
        <v>108</v>
      </c>
      <c r="D147" s="24" t="s">
        <v>550</v>
      </c>
      <c r="E147" s="15">
        <v>42625.884965277779</v>
      </c>
      <c r="F147" s="15">
        <v>42625.893229166664</v>
      </c>
      <c r="G147" s="7">
        <v>1</v>
      </c>
      <c r="H147" s="15" t="s">
        <v>605</v>
      </c>
      <c r="I147" s="15">
        <v>42625.919212962966</v>
      </c>
      <c r="J147" s="7">
        <v>2</v>
      </c>
      <c r="K147" s="121" t="str">
        <f t="shared" si="77"/>
        <v>4001/4002</v>
      </c>
      <c r="L147" s="24" t="str">
        <f>VLOOKUP(A147,'Trips&amp;Operators'!$C$1:$E$10000,3,FALSE)</f>
        <v>YANAI</v>
      </c>
      <c r="M147" s="6">
        <f t="shared" si="78"/>
        <v>2.5983796302170958E-2</v>
      </c>
      <c r="N147" s="7"/>
      <c r="O147" s="7"/>
      <c r="P147" s="7">
        <f>24*60*SUM($M147:$M147)</f>
        <v>37.41666667512618</v>
      </c>
      <c r="Q147" s="25"/>
      <c r="R147" s="25" t="s">
        <v>182</v>
      </c>
      <c r="S147" s="37">
        <f t="shared" si="76"/>
        <v>1</v>
      </c>
      <c r="T147" s="52" t="str">
        <f t="shared" si="79"/>
        <v>Southbound</v>
      </c>
      <c r="U147" s="16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20:14:21-0600',mode:absolute,to:'2016-09-12 23:03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47" s="54" t="str">
        <f t="shared" si="81"/>
        <v>Y</v>
      </c>
      <c r="X147" s="168">
        <f t="shared" si="75"/>
        <v>1</v>
      </c>
      <c r="Y147" s="69">
        <f t="shared" si="82"/>
        <v>23.298100000000002</v>
      </c>
      <c r="Z147" s="69">
        <f t="shared" si="83"/>
        <v>1.0019</v>
      </c>
      <c r="AA147" s="69">
        <f t="shared" si="84"/>
        <v>22.296200000000002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 t="shared" si="85"/>
        <v>0228-12</v>
      </c>
      <c r="AE147" s="99" t="str">
        <f t="shared" si="86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147" s="96" t="str">
        <f t="shared" si="87"/>
        <v>"C:\Program Files (x86)\AstroGrep\AstroGrep.exe" /spath="%USERPROFILE%\AppData\Local\Temp\OnboardLogs" /stypes="app*4001*20160913*" /stext=" 04:.+((SYSTEM_STATE.+slice.+state.+changed )|(ment ac)|(system.+state.+changed )|(\|lc)|(penalty)|(\[timeout)|(PRM\|1\|D)|(kpr)|(kdp))" /e /r /s</v>
      </c>
      <c r="AG147" s="1" t="str">
        <f t="shared" si="88"/>
        <v>EC</v>
      </c>
      <c r="AH147" s="100" t="str">
        <f t="shared" si="89"/>
        <v>"%USERPROFILE%\Documents\GitHub\eaglep3\Utilities\RefineRTDCRunTimes.py" --tripid 228-12 --locoid 4001 --swversion DE.1.0.7.0 --startMP 204:232981 --initTime 2016-09-12T21:14:21 --startdatetime 2016-09-12T21:26:15 --delay 1 --endMP 204:10019 --enddatetime 2016-09-12T22:03:40 --enforcementcount 2 &gt;&gt;C:\Users\stu\Documents\GitHub\eaglep3-reporting\EC\2016-09-12-refined-times.txt</v>
      </c>
      <c r="AI147" s="134" t="str">
        <f t="shared" si="90"/>
        <v>echo {"issue":{"subject":"Wi-MAX outage","project_id":79,"tracker_id":40,"status_id":1,"priority_id":2,"assigned_to_id":23,"start_date":"2016-09-12","description":"","custom_fields":[{"id":1,"name":"Subdivision","value":"EC"},{"id":4,"name":"Milepost","value":"22.2962"},{"id":17,"name":"Train ID","value":"228-12"},{"id":16,"name":"Locomotive ID","value":"4001"},{"id":130,"name":"Impact","value":""},{"id":150,"name":"Time of Event (Mountain Time)","value":"22:03:40"},{"id":151,"name":"Denver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s="23" customFormat="1" hidden="1" x14ac:dyDescent="0.25">
      <c r="A148" s="39" t="s">
        <v>606</v>
      </c>
      <c r="B148" s="7">
        <v>4031</v>
      </c>
      <c r="C148" s="24" t="s">
        <v>108</v>
      </c>
      <c r="D148" s="24" t="s">
        <v>348</v>
      </c>
      <c r="E148" s="15">
        <v>42625.867881944447</v>
      </c>
      <c r="F148" s="15">
        <v>42625.875185185185</v>
      </c>
      <c r="G148" s="7">
        <v>1</v>
      </c>
      <c r="H148" s="15" t="s">
        <v>273</v>
      </c>
      <c r="I148" s="15">
        <v>42625.901296296295</v>
      </c>
      <c r="J148" s="7">
        <v>2</v>
      </c>
      <c r="K148" s="121" t="str">
        <f t="shared" si="77"/>
        <v>4031/4032</v>
      </c>
      <c r="L148" s="24" t="str">
        <f>VLOOKUP(A148,'Trips&amp;Operators'!$C$1:$E$10000,3,FALSE)</f>
        <v>DELGADO</v>
      </c>
      <c r="M148" s="6">
        <f t="shared" si="78"/>
        <v>2.6111111110367347E-2</v>
      </c>
      <c r="N148" s="7">
        <f>24*60*SUM($M148:$M148)</f>
        <v>37.599999998928979</v>
      </c>
      <c r="O148" s="7"/>
      <c r="P148" s="7"/>
      <c r="Q148" s="25"/>
      <c r="R148" s="25"/>
      <c r="S148" s="37">
        <f t="shared" si="76"/>
        <v>1</v>
      </c>
      <c r="T148" s="52" t="str">
        <f t="shared" si="79"/>
        <v>NorthBound</v>
      </c>
      <c r="U148" s="16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19:49:45-0600',mode:absolute,to:'2016-09-12 22:37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48" s="54" t="str">
        <f t="shared" si="81"/>
        <v>N</v>
      </c>
      <c r="X148" s="168">
        <f t="shared" si="75"/>
        <v>1</v>
      </c>
      <c r="Y148" s="69">
        <f t="shared" si="82"/>
        <v>4.8599999999999997E-2</v>
      </c>
      <c r="Z148" s="69">
        <f t="shared" si="83"/>
        <v>23.329499999999999</v>
      </c>
      <c r="AA148" s="69">
        <f t="shared" si="84"/>
        <v>23.280899999999999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 t="shared" si="85"/>
        <v>0229-12</v>
      </c>
      <c r="AE148" s="99" t="str">
        <f t="shared" si="86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148" s="96" t="str">
        <f t="shared" si="87"/>
        <v>"C:\Program Files (x86)\AstroGrep\AstroGrep.exe" /spath="%USERPROFILE%\AppData\Local\Temp\OnboardLogs" /stypes="app*4031*20160913*" /stext=" 03:.+((SYSTEM_STATE.+slice.+state.+changed )|(ment ac)|(system.+state.+changed )|(\|lc)|(penalty)|(\[timeout)|(PRM\|1\|D)|(kpr)|(kdp))" /e /r /s</v>
      </c>
      <c r="AG148" s="1" t="str">
        <f t="shared" si="88"/>
        <v>EC</v>
      </c>
      <c r="AH148" s="100" t="str">
        <f t="shared" si="89"/>
        <v>"%USERPROFILE%\Documents\GitHub\eaglep3\Utilities\RefineRTDCRunTimes.py" --tripid 229-12 --locoid 4031 --swversion DE.1.0.7.0 --startMP 204:486 --initTime 2016-09-12T20:49:45 --startdatetime 2016-09-12T21:00:16 --delay 1 --endMP 204:233295 --enddatetime 2016-09-12T21:37:52 --enforcementcount 2 &gt;&gt;C:\Users\stu\Documents\GitHub\eaglep3-reporting\EC\2016-09-12-refined-times.txt</v>
      </c>
      <c r="AI148" s="134" t="str">
        <f t="shared" si="90"/>
        <v>echo {"issue":{"subject":"","project_id":79,"tracker_id":40,"status_id":1,"priority_id":2,"assigned_to_id":23,"start_date":"2016-09-12","description":"","custom_fields":[{"id":1,"name":"Subdivision","value":"EC"},{"id":4,"name":"Milepost","value":"23.2809"},{"id":17,"name":"Train ID","value":"229-12"},{"id":16,"name":"Locomotive ID","value":"4031"},{"id":130,"name":"Impact","value":""},{"id":150,"name":"Time of Event (Mountain Time)","value":"21:37:52"},{"id":151,"name":"Denver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hidden="1" x14ac:dyDescent="0.25">
      <c r="A149" s="39" t="s">
        <v>607</v>
      </c>
      <c r="B149" s="7">
        <v>4032</v>
      </c>
      <c r="C149" s="24" t="s">
        <v>108</v>
      </c>
      <c r="D149" s="24" t="s">
        <v>325</v>
      </c>
      <c r="E149" s="15">
        <v>42625.906504629631</v>
      </c>
      <c r="F149" s="15">
        <v>42625.914189814815</v>
      </c>
      <c r="G149" s="7">
        <v>1</v>
      </c>
      <c r="H149" s="15" t="s">
        <v>608</v>
      </c>
      <c r="I149" s="15">
        <v>42625.933518518519</v>
      </c>
      <c r="J149" s="7">
        <v>2</v>
      </c>
      <c r="K149" s="121" t="str">
        <f t="shared" si="77"/>
        <v>4031/4032</v>
      </c>
      <c r="L149" s="24" t="str">
        <f>VLOOKUP(A149,'Trips&amp;Operators'!$C$1:$E$10000,3,FALSE)</f>
        <v>DELGADO</v>
      </c>
      <c r="M149" s="6">
        <f t="shared" si="78"/>
        <v>1.9328703703649808E-2</v>
      </c>
      <c r="N149" s="7"/>
      <c r="O149" s="7"/>
      <c r="P149" s="7">
        <f>24*60*SUM($M149:$M149)</f>
        <v>27.833333333255723</v>
      </c>
      <c r="Q149" s="25"/>
      <c r="R149" s="25" t="s">
        <v>752</v>
      </c>
      <c r="S149" s="37">
        <f t="shared" si="76"/>
        <v>0.75</v>
      </c>
      <c r="T149" s="52" t="str">
        <f t="shared" si="79"/>
        <v>Southbound</v>
      </c>
      <c r="U149" s="16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9</v>
      </c>
      <c r="V149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20:45:22-0600',mode:absolute,to:'2016-09-12 23:24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49" s="54" t="str">
        <f t="shared" si="81"/>
        <v>Y</v>
      </c>
      <c r="X149" s="168">
        <f t="shared" si="75"/>
        <v>1</v>
      </c>
      <c r="Y149" s="69">
        <f t="shared" si="82"/>
        <v>23.296800000000001</v>
      </c>
      <c r="Z149" s="69">
        <f t="shared" si="83"/>
        <v>4.2838000000000003</v>
      </c>
      <c r="AA149" s="69">
        <f t="shared" si="84"/>
        <v>19.013000000000002</v>
      </c>
      <c r="AB149" s="66" t="e">
        <f>VLOOKUP(A149,Enforcements!$C$7:$K$21,8,0)</f>
        <v>#N/A</v>
      </c>
      <c r="AC149" s="62" t="e">
        <f>VLOOKUP(A149,Enforcements!$C$7:$E$21,3,0)</f>
        <v>#N/A</v>
      </c>
      <c r="AD149" s="63" t="str">
        <f t="shared" si="85"/>
        <v>0230-12</v>
      </c>
      <c r="AE149" s="99" t="str">
        <f t="shared" si="86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149" s="96" t="str">
        <f t="shared" si="87"/>
        <v>"C:\Program Files (x86)\AstroGrep\AstroGrep.exe" /spath="%USERPROFILE%\AppData\Local\Temp\OnboardLogs" /stypes="app*4032*20160913*" /stext=" 04:.+((SYSTEM_STATE.+slice.+state.+changed )|(ment ac)|(system.+state.+changed )|(\|lc)|(penalty)|(\[timeout)|(PRM\|1\|D)|(kpr)|(kdp))" /e /r /s</v>
      </c>
      <c r="AG149" s="1" t="str">
        <f t="shared" si="88"/>
        <v>EC</v>
      </c>
      <c r="AH149" s="100" t="str">
        <f t="shared" si="89"/>
        <v>"%USERPROFILE%\Documents\GitHub\eaglep3\Utilities\RefineRTDCRunTimes.py" --tripid 230-12 --locoid 4032 --swversion DE.1.0.7.0 --startMP 204:232968 --initTime 2016-09-12T21:45:22 --startdatetime 2016-09-12T21:56:26 --delay 1 --endMP 204:42838 --enddatetime 2016-09-12T22:24:16 --enforcementcount 2 &gt;&gt;C:\Users\stu\Documents\GitHub\eaglep3-reporting\EC\2016-09-12-refined-times.txt</v>
      </c>
      <c r="AI149" s="134" t="str">
        <f t="shared" si="90"/>
        <v>echo {"issue":{"subject":"Mechanical fault - wheel tach slide detected","project_id":79,"tracker_id":40,"status_id":1,"priority_id":2,"assigned_to_id":23,"start_date":"2016-09-12","description":"","custom_fields":[{"id":1,"name":"Subdivision","value":"EC"},{"id":4,"name":"Milepost","value":"19.013"},{"id":17,"name":"Train ID","value":"230-12"},{"id":16,"name":"Locomotive ID","value":"4032"},{"id":130,"name":"Impact","value":""},{"id":150,"name":"Time of Event (Mountain Time)","value":"22:24:16"},{"id":151,"name":"Denver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hidden="1" x14ac:dyDescent="0.25">
      <c r="A150" s="39" t="s">
        <v>609</v>
      </c>
      <c r="B150" s="7">
        <v>4009</v>
      </c>
      <c r="C150" s="24" t="s">
        <v>108</v>
      </c>
      <c r="D150" s="24" t="s">
        <v>310</v>
      </c>
      <c r="E150" s="15">
        <v>42625.881805555553</v>
      </c>
      <c r="F150" s="15">
        <v>42625.895983796298</v>
      </c>
      <c r="G150" s="7">
        <v>1</v>
      </c>
      <c r="H150" s="15" t="s">
        <v>230</v>
      </c>
      <c r="I150" s="15">
        <v>42625.920358796298</v>
      </c>
      <c r="J150" s="7">
        <v>2</v>
      </c>
      <c r="K150" s="121" t="str">
        <f t="shared" si="77"/>
        <v>4009/4010</v>
      </c>
      <c r="L150" s="24" t="str">
        <f>VLOOKUP(A150,'Trips&amp;Operators'!$C$1:$E$10000,3,FALSE)</f>
        <v>MAHAN</v>
      </c>
      <c r="M150" s="6">
        <f t="shared" si="78"/>
        <v>2.4375000000873115E-2</v>
      </c>
      <c r="N150" s="7">
        <f t="shared" ref="N150:N181" si="91">24*60*SUM($M150:$M150)</f>
        <v>35.100000001257285</v>
      </c>
      <c r="O150" s="7"/>
      <c r="P150" s="7"/>
      <c r="Q150" s="25"/>
      <c r="R150" s="25"/>
      <c r="S150" s="37">
        <f t="shared" si="76"/>
        <v>1</v>
      </c>
      <c r="T150" s="52" t="str">
        <f t="shared" si="79"/>
        <v>NorthBound</v>
      </c>
      <c r="U150" s="16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20:09:48-0600',mode:absolute,to:'2016-09-12 23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50" s="54" t="str">
        <f t="shared" si="81"/>
        <v>N</v>
      </c>
      <c r="X150" s="168">
        <f t="shared" si="75"/>
        <v>1</v>
      </c>
      <c r="Y150" s="69">
        <f t="shared" si="82"/>
        <v>4.4400000000000002E-2</v>
      </c>
      <c r="Z150" s="69">
        <f t="shared" si="83"/>
        <v>23.330500000000001</v>
      </c>
      <c r="AA150" s="69">
        <f t="shared" si="84"/>
        <v>23.286100000000001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 t="shared" si="85"/>
        <v>0231-12</v>
      </c>
      <c r="AE150" s="99" t="str">
        <f t="shared" si="86"/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150" s="96" t="str">
        <f t="shared" si="87"/>
        <v>"C:\Program Files (x86)\AstroGrep\AstroGrep.exe" /spath="%USERPROFILE%\AppData\Local\Temp\OnboardLogs" /stypes="app*4009*20160913*" /stext=" 04:.+((SYSTEM_STATE.+slice.+state.+changed )|(ment ac)|(system.+state.+changed )|(\|lc)|(penalty)|(\[timeout)|(PRM\|1\|D)|(kpr)|(kdp))" /e /r /s</v>
      </c>
      <c r="AG150" s="1" t="str">
        <f t="shared" si="88"/>
        <v>EC</v>
      </c>
      <c r="AH150" s="100" t="str">
        <f t="shared" si="89"/>
        <v>"%USERPROFILE%\Documents\GitHub\eaglep3\Utilities\RefineRTDCRunTimes.py" --tripid 231-12 --locoid 4009 --swversion DE.1.0.7.0 --startMP 204:444 --initTime 2016-09-12T21:09:48 --startdatetime 2016-09-12T21:30:13 --delay 1 --endMP 204:233305 --enddatetime 2016-09-12T22:05:19 --enforcementcount 2 &gt;&gt;C:\Users\stu\Documents\GitHub\eaglep3-reporting\EC\2016-09-12-refined-times.txt</v>
      </c>
      <c r="AI150" s="134" t="str">
        <f t="shared" si="90"/>
        <v>echo {"issue":{"subject":"","project_id":79,"tracker_id":40,"status_id":1,"priority_id":2,"assigned_to_id":23,"start_date":"2016-09-12","description":"","custom_fields":[{"id":1,"name":"Subdivision","value":"EC"},{"id":4,"name":"Milepost","value":"23.2861"},{"id":17,"name":"Train ID","value":"231-12"},{"id":16,"name":"Locomotive ID","value":"4009"},{"id":130,"name":"Impact","value":""},{"id":150,"name":"Time of Event (Mountain Time)","value":"22:05:19"},{"id":151,"name":"Denver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s="23" customFormat="1" hidden="1" x14ac:dyDescent="0.25">
      <c r="A151" s="39" t="s">
        <v>610</v>
      </c>
      <c r="B151" s="7">
        <v>4010</v>
      </c>
      <c r="C151" s="24" t="s">
        <v>108</v>
      </c>
      <c r="D151" s="24" t="s">
        <v>225</v>
      </c>
      <c r="E151" s="15">
        <v>42625.921932870369</v>
      </c>
      <c r="F151" s="15">
        <v>42625.934884259259</v>
      </c>
      <c r="G151" s="7">
        <v>16</v>
      </c>
      <c r="H151" s="15" t="s">
        <v>291</v>
      </c>
      <c r="I151" s="15">
        <v>42625.961527777778</v>
      </c>
      <c r="J151" s="7">
        <v>2</v>
      </c>
      <c r="K151" s="121" t="str">
        <f t="shared" si="77"/>
        <v>4009/4010</v>
      </c>
      <c r="L151" s="24" t="str">
        <f>VLOOKUP(A151,'Trips&amp;Operators'!$C$1:$E$10000,3,FALSE)</f>
        <v>MAHAN</v>
      </c>
      <c r="M151" s="6">
        <f t="shared" si="78"/>
        <v>2.6643518518540077E-2</v>
      </c>
      <c r="N151" s="7">
        <f t="shared" si="91"/>
        <v>38.366666666697711</v>
      </c>
      <c r="O151" s="7"/>
      <c r="P151" s="7"/>
      <c r="Q151" s="25"/>
      <c r="R151" s="25"/>
      <c r="S151" s="37">
        <f t="shared" si="76"/>
        <v>1</v>
      </c>
      <c r="T151" s="52" t="str">
        <f t="shared" si="79"/>
        <v>Southbound</v>
      </c>
      <c r="U151" s="16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21:07:35-0600',mode:absolute,to:'2016-09-13 00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51" s="54" t="str">
        <f t="shared" si="81"/>
        <v>N</v>
      </c>
      <c r="X151" s="168">
        <f t="shared" si="75"/>
        <v>1</v>
      </c>
      <c r="Y151" s="69">
        <f t="shared" si="82"/>
        <v>23.298200000000001</v>
      </c>
      <c r="Z151" s="69">
        <f t="shared" si="83"/>
        <v>1.38E-2</v>
      </c>
      <c r="AA151" s="69">
        <f t="shared" si="84"/>
        <v>23.284400000000002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 t="shared" si="85"/>
        <v>0232-12</v>
      </c>
      <c r="AE151" s="99" t="str">
        <f t="shared" si="86"/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151" s="96" t="str">
        <f t="shared" si="87"/>
        <v>"C:\Program Files (x86)\AstroGrep\AstroGrep.exe" /spath="%USERPROFILE%\AppData\Local\Temp\OnboardLogs" /stypes="app*4010*20160913*" /stext=" 05:.+((SYSTEM_STATE.+slice.+state.+changed )|(ment ac)|(system.+state.+changed )|(\|lc)|(penalty)|(\[timeout)|(PRM\|1\|D)|(kpr)|(kdp))" /e /r /s</v>
      </c>
      <c r="AG151" s="1" t="str">
        <f t="shared" si="88"/>
        <v>EC</v>
      </c>
      <c r="AH151" s="100" t="str">
        <f t="shared" si="89"/>
        <v>"%USERPROFILE%\Documents\GitHub\eaglep3\Utilities\RefineRTDCRunTimes.py" --tripid 232-12 --locoid 4010 --swversion DE.1.0.7.0 --startMP 204:232982 --initTime 2016-09-12T22:07:35 --startdatetime 2016-09-12T22:26:14 --delay 16 --endMP 204:138 --enddatetime 2016-09-12T23:04:36 --enforcementcount 2 &gt;&gt;C:\Users\stu\Documents\GitHub\eaglep3-reporting\EC\2016-09-12-refined-times.txt</v>
      </c>
      <c r="AI151" s="134" t="str">
        <f t="shared" si="90"/>
        <v>echo {"issue":{"subject":"","project_id":79,"tracker_id":40,"status_id":1,"priority_id":2,"assigned_to_id":23,"start_date":"2016-09-12","description":"","custom_fields":[{"id":1,"name":"Subdivision","value":"EC"},{"id":4,"name":"Milepost","value":"23.2844"},{"id":17,"name":"Train ID","value":"232-12"},{"id":16,"name":"Locomotive ID","value":"4010"},{"id":130,"name":"Impact","value":""},{"id":150,"name":"Time of Event (Mountain Time)","value":"23:04:36"},{"id":151,"name":"Denver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s="23" customFormat="1" hidden="1" x14ac:dyDescent="0.25">
      <c r="A152" s="39" t="s">
        <v>611</v>
      </c>
      <c r="B152" s="7">
        <v>4014</v>
      </c>
      <c r="C152" s="24" t="s">
        <v>108</v>
      </c>
      <c r="D152" s="24" t="s">
        <v>612</v>
      </c>
      <c r="E152" s="15">
        <v>42625.915509259263</v>
      </c>
      <c r="F152" s="15">
        <v>42625.916967592595</v>
      </c>
      <c r="G152" s="7">
        <v>1</v>
      </c>
      <c r="H152" s="15" t="s">
        <v>613</v>
      </c>
      <c r="I152" s="15">
        <v>42625.943124999998</v>
      </c>
      <c r="J152" s="7">
        <v>2</v>
      </c>
      <c r="K152" s="121" t="str">
        <f t="shared" si="77"/>
        <v>4013/4014</v>
      </c>
      <c r="L152" s="24" t="str">
        <f>VLOOKUP(A152,'Trips&amp;Operators'!$C$1:$E$10000,3,FALSE)</f>
        <v>CHANDLER</v>
      </c>
      <c r="M152" s="6">
        <f t="shared" si="78"/>
        <v>2.6157407402934041E-2</v>
      </c>
      <c r="N152" s="7">
        <f t="shared" si="91"/>
        <v>37.666666660225019</v>
      </c>
      <c r="O152" s="7"/>
      <c r="P152" s="7"/>
      <c r="Q152" s="25"/>
      <c r="R152" s="25"/>
      <c r="S152" s="37">
        <f t="shared" si="76"/>
        <v>1</v>
      </c>
      <c r="T152" s="52" t="str">
        <f t="shared" si="79"/>
        <v>NorthBound</v>
      </c>
      <c r="U152" s="16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20:58:20-0600',mode:absolute,to:'2016-09-12 23:38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52" s="54" t="str">
        <f t="shared" si="81"/>
        <v>N</v>
      </c>
      <c r="X152" s="168">
        <f t="shared" si="75"/>
        <v>1</v>
      </c>
      <c r="Y152" s="69">
        <f t="shared" si="82"/>
        <v>4.1500000000000002E-2</v>
      </c>
      <c r="Z152" s="69">
        <f t="shared" si="83"/>
        <v>23.326799999999999</v>
      </c>
      <c r="AA152" s="69">
        <f t="shared" si="84"/>
        <v>23.285299999999999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 t="shared" si="85"/>
        <v>0233-12</v>
      </c>
      <c r="AE152" s="99" t="str">
        <f t="shared" si="86"/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152" s="96" t="str">
        <f t="shared" si="87"/>
        <v>"C:\Program Files (x86)\AstroGrep\AstroGrep.exe" /spath="%USERPROFILE%\AppData\Local\Temp\OnboardLogs" /stypes="app*4014*20160913*" /stext=" 04:.+((SYSTEM_STATE.+slice.+state.+changed )|(ment ac)|(system.+state.+changed )|(\|lc)|(penalty)|(\[timeout)|(PRM\|1\|D)|(kpr)|(kdp))" /e /r /s</v>
      </c>
      <c r="AG152" s="1" t="str">
        <f t="shared" si="88"/>
        <v>EC</v>
      </c>
      <c r="AH152" s="100" t="str">
        <f t="shared" si="89"/>
        <v>"%USERPROFILE%\Documents\GitHub\eaglep3\Utilities\RefineRTDCRunTimes.py" --tripid 233-12 --locoid 4014 --swversion DE.1.0.7.0 --startMP 204:415 --initTime 2016-09-12T21:58:20 --startdatetime 2016-09-12T22:00:26 --delay 1 --endMP 204:233268 --enddatetime 2016-09-12T22:38:06 --enforcementcount 2 &gt;&gt;C:\Users\stu\Documents\GitHub\eaglep3-reporting\EC\2016-09-12-refined-times.txt</v>
      </c>
      <c r="AI152" s="134" t="str">
        <f t="shared" si="90"/>
        <v>echo {"issue":{"subject":"","project_id":79,"tracker_id":40,"status_id":1,"priority_id":2,"assigned_to_id":23,"start_date":"2016-09-12","description":"","custom_fields":[{"id":1,"name":"Subdivision","value":"EC"},{"id":4,"name":"Milepost","value":"23.2853"},{"id":17,"name":"Train ID","value":"233-12"},{"id":16,"name":"Locomotive ID","value":"4014"},{"id":130,"name":"Impact","value":""},{"id":150,"name":"Time of Event (Mountain Time)","value":"22:38:06"},{"id":151,"name":"Denver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hidden="1" x14ac:dyDescent="0.25">
      <c r="A153" s="39" t="s">
        <v>614</v>
      </c>
      <c r="B153" s="7">
        <v>4013</v>
      </c>
      <c r="C153" s="24" t="s">
        <v>108</v>
      </c>
      <c r="D153" s="24" t="s">
        <v>615</v>
      </c>
      <c r="E153" s="15">
        <v>42625.954745370371</v>
      </c>
      <c r="F153" s="15">
        <v>42625.956018518518</v>
      </c>
      <c r="G153" s="7">
        <v>1</v>
      </c>
      <c r="H153" s="15" t="s">
        <v>345</v>
      </c>
      <c r="I153" s="15">
        <v>42625.984571759262</v>
      </c>
      <c r="J153" s="7">
        <v>2</v>
      </c>
      <c r="K153" s="121" t="str">
        <f t="shared" si="77"/>
        <v>4013/4014</v>
      </c>
      <c r="L153" s="24" t="str">
        <f>VLOOKUP(A153,'Trips&amp;Operators'!$C$1:$E$10000,3,FALSE)</f>
        <v>CHANDLER</v>
      </c>
      <c r="M153" s="6">
        <f t="shared" si="78"/>
        <v>2.8553240743349306E-2</v>
      </c>
      <c r="N153" s="7">
        <f t="shared" si="91"/>
        <v>41.116666670423001</v>
      </c>
      <c r="O153" s="7"/>
      <c r="P153" s="7"/>
      <c r="Q153" s="25"/>
      <c r="R153" s="25"/>
      <c r="S153" s="37">
        <f t="shared" si="76"/>
        <v>1</v>
      </c>
      <c r="T153" s="52" t="str">
        <f t="shared" si="79"/>
        <v>Southbound</v>
      </c>
      <c r="U153" s="16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21:54:50-0600',mode:absolute,to:'2016-09-13 00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53" s="54" t="str">
        <f t="shared" si="81"/>
        <v>N</v>
      </c>
      <c r="X153" s="168">
        <f t="shared" si="75"/>
        <v>1</v>
      </c>
      <c r="Y153" s="69">
        <f t="shared" si="82"/>
        <v>23.295200000000001</v>
      </c>
      <c r="Z153" s="69">
        <f t="shared" si="83"/>
        <v>1.7999999999999999E-2</v>
      </c>
      <c r="AA153" s="69">
        <f t="shared" si="84"/>
        <v>23.277200000000001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 t="shared" si="85"/>
        <v>0234-12</v>
      </c>
      <c r="AE153" s="99" t="str">
        <f t="shared" si="86"/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153" s="96" t="str">
        <f t="shared" si="87"/>
        <v>"C:\Program Files (x86)\AstroGrep\AstroGrep.exe" /spath="%USERPROFILE%\AppData\Local\Temp\OnboardLogs" /stypes="app*4013*20160913*" /stext=" 05:.+((SYSTEM_STATE.+slice.+state.+changed )|(ment ac)|(system.+state.+changed )|(\|lc)|(penalty)|(\[timeout)|(PRM\|1\|D)|(kpr)|(kdp))" /e /r /s</v>
      </c>
      <c r="AG153" s="1" t="str">
        <f t="shared" si="88"/>
        <v>EC</v>
      </c>
      <c r="AH153" s="100" t="str">
        <f t="shared" si="89"/>
        <v>"%USERPROFILE%\Documents\GitHub\eaglep3\Utilities\RefineRTDCRunTimes.py" --tripid 234-12 --locoid 4013 --swversion DE.1.0.7.0 --startMP 204:232952 --initTime 2016-09-12T22:54:50 --startdatetime 2016-09-12T22:56:40 --delay 1 --endMP 204:180 --enddatetime 2016-09-12T23:37:47 --enforcementcount 2 &gt;&gt;C:\Users\stu\Documents\GitHub\eaglep3-reporting\EC\2016-09-12-refined-times.txt</v>
      </c>
      <c r="AI153" s="134" t="str">
        <f t="shared" si="90"/>
        <v>echo {"issue":{"subject":"","project_id":79,"tracker_id":40,"status_id":1,"priority_id":2,"assigned_to_id":23,"start_date":"2016-09-12","description":"","custom_fields":[{"id":1,"name":"Subdivision","value":"EC"},{"id":4,"name":"Milepost","value":"23.2772"},{"id":17,"name":"Train ID","value":"234-12"},{"id":16,"name":"Locomotive ID","value":"4013"},{"id":130,"name":"Impact","value":""},{"id":150,"name":"Time of Event (Mountain Time)","value":"23:37:47"},{"id":151,"name":"Denver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hidden="1" x14ac:dyDescent="0.25">
      <c r="A154" s="39" t="s">
        <v>616</v>
      </c>
      <c r="B154" s="7">
        <v>4002</v>
      </c>
      <c r="C154" s="24" t="s">
        <v>108</v>
      </c>
      <c r="D154" s="24" t="s">
        <v>307</v>
      </c>
      <c r="E154" s="15">
        <v>42625.925949074073</v>
      </c>
      <c r="F154" s="15">
        <v>42625.937673611108</v>
      </c>
      <c r="G154" s="7">
        <v>1</v>
      </c>
      <c r="H154" s="15" t="s">
        <v>273</v>
      </c>
      <c r="I154" s="15">
        <v>42625.963472222225</v>
      </c>
      <c r="J154" s="7">
        <v>2</v>
      </c>
      <c r="K154" s="121" t="str">
        <f t="shared" si="77"/>
        <v>4001/4002</v>
      </c>
      <c r="L154" s="24" t="str">
        <f>VLOOKUP(A154,'Trips&amp;Operators'!$C$1:$E$10000,3,FALSE)</f>
        <v>YANAI</v>
      </c>
      <c r="M154" s="6">
        <f t="shared" si="78"/>
        <v>2.5798611117352266E-2</v>
      </c>
      <c r="N154" s="7">
        <f t="shared" si="91"/>
        <v>37.150000008987263</v>
      </c>
      <c r="O154" s="7"/>
      <c r="P154" s="7"/>
      <c r="Q154" s="25"/>
      <c r="R154" s="25"/>
      <c r="S154" s="37">
        <f t="shared" si="76"/>
        <v>1</v>
      </c>
      <c r="T154" s="52" t="str">
        <f t="shared" si="79"/>
        <v>NorthBound</v>
      </c>
      <c r="U154" s="16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21:13:22-0600',mode:absolute,to:'2016-09-13 00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54" s="54" t="str">
        <f t="shared" si="81"/>
        <v>N</v>
      </c>
      <c r="X154" s="168">
        <f t="shared" si="75"/>
        <v>1</v>
      </c>
      <c r="Y154" s="69">
        <f t="shared" si="82"/>
        <v>4.6899999999999997E-2</v>
      </c>
      <c r="Z154" s="69">
        <f t="shared" si="83"/>
        <v>23.329499999999999</v>
      </c>
      <c r="AA154" s="69">
        <f t="shared" si="84"/>
        <v>23.282599999999999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 t="shared" si="85"/>
        <v>0235-12</v>
      </c>
      <c r="AE154" s="99" t="str">
        <f t="shared" si="86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154" s="96" t="str">
        <f t="shared" si="87"/>
        <v>"C:\Program Files (x86)\AstroGrep\AstroGrep.exe" /spath="%USERPROFILE%\AppData\Local\Temp\OnboardLogs" /stypes="app*4002*20160913*" /stext=" 05:.+((SYSTEM_STATE.+slice.+state.+changed )|(ment ac)|(system.+state.+changed )|(\|lc)|(penalty)|(\[timeout)|(PRM\|1\|D)|(kpr)|(kdp))" /e /r /s</v>
      </c>
      <c r="AG154" s="1" t="str">
        <f t="shared" si="88"/>
        <v>EC</v>
      </c>
      <c r="AH154" s="100" t="str">
        <f t="shared" si="89"/>
        <v>"%USERPROFILE%\Documents\GitHub\eaglep3\Utilities\RefineRTDCRunTimes.py" --tripid 235-12 --locoid 4002 --swversion DE.1.0.7.0 --startMP 204:469 --initTime 2016-09-12T22:13:22 --startdatetime 2016-09-12T22:30:15 --delay 1 --endMP 204:233295 --enddatetime 2016-09-12T23:07:24 --enforcementcount 2 &gt;&gt;C:\Users\stu\Documents\GitHub\eaglep3-reporting\EC\2016-09-12-refined-times.txt</v>
      </c>
      <c r="AI154" s="134" t="str">
        <f t="shared" si="90"/>
        <v>echo {"issue":{"subject":"","project_id":79,"tracker_id":40,"status_id":1,"priority_id":2,"assigned_to_id":23,"start_date":"2016-09-12","description":"","custom_fields":[{"id":1,"name":"Subdivision","value":"EC"},{"id":4,"name":"Milepost","value":"23.2826"},{"id":17,"name":"Train ID","value":"235-12"},{"id":16,"name":"Locomotive ID","value":"4002"},{"id":130,"name":"Impact","value":""},{"id":150,"name":"Time of Event (Mountain Time)","value":"23:07:24"},{"id":151,"name":"Denver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hidden="1" x14ac:dyDescent="0.25">
      <c r="A155" s="39" t="s">
        <v>617</v>
      </c>
      <c r="B155" s="7">
        <v>4001</v>
      </c>
      <c r="C155" s="24" t="s">
        <v>108</v>
      </c>
      <c r="D155" s="24" t="s">
        <v>288</v>
      </c>
      <c r="E155" s="15">
        <v>42625.966053240743</v>
      </c>
      <c r="F155" s="15">
        <v>42625.976759259262</v>
      </c>
      <c r="G155" s="7">
        <v>1</v>
      </c>
      <c r="H155" s="15" t="s">
        <v>131</v>
      </c>
      <c r="I155" s="15">
        <v>42626.005833333336</v>
      </c>
      <c r="J155" s="7">
        <v>2</v>
      </c>
      <c r="K155" s="121" t="str">
        <f t="shared" si="77"/>
        <v>4001/4002</v>
      </c>
      <c r="L155" s="24" t="str">
        <f>VLOOKUP(A155,'Trips&amp;Operators'!$C$1:$E$10000,3,FALSE)</f>
        <v>YANAI</v>
      </c>
      <c r="M155" s="6">
        <f t="shared" si="78"/>
        <v>2.9074074074742384E-2</v>
      </c>
      <c r="N155" s="7">
        <f t="shared" si="91"/>
        <v>41.866666667629033</v>
      </c>
      <c r="O155" s="7"/>
      <c r="P155" s="7"/>
      <c r="Q155" s="25"/>
      <c r="R155" s="25"/>
      <c r="S155" s="37">
        <f t="shared" si="76"/>
        <v>1</v>
      </c>
      <c r="T155" s="52" t="str">
        <f t="shared" si="79"/>
        <v>Southbound</v>
      </c>
      <c r="U155" s="16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22:11:07-0600',mode:absolute,to:'2016-09-13 01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55" s="54" t="str">
        <f t="shared" si="81"/>
        <v>N</v>
      </c>
      <c r="X155" s="168">
        <f t="shared" si="75"/>
        <v>1</v>
      </c>
      <c r="Y155" s="69">
        <f t="shared" si="82"/>
        <v>23.297499999999999</v>
      </c>
      <c r="Z155" s="69">
        <f t="shared" si="83"/>
        <v>1.54E-2</v>
      </c>
      <c r="AA155" s="69">
        <f t="shared" si="84"/>
        <v>23.2821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 t="shared" si="85"/>
        <v>0236-12</v>
      </c>
      <c r="AE155" s="99" t="str">
        <f t="shared" si="86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155" s="96" t="str">
        <f t="shared" si="87"/>
        <v>"C:\Program Files (x86)\AstroGrep\AstroGrep.exe" /spath="%USERPROFILE%\AppData\Local\Temp\OnboardLogs" /stypes="app*4001*20160913*" /stext=" 06:.+((SYSTEM_STATE.+slice.+state.+changed )|(ment ac)|(system.+state.+changed )|(\|lc)|(penalty)|(\[timeout)|(PRM\|1\|D)|(kpr)|(kdp))" /e /r /s</v>
      </c>
      <c r="AG155" s="1" t="str">
        <f t="shared" si="88"/>
        <v>EC</v>
      </c>
      <c r="AH155" s="100" t="str">
        <f t="shared" si="89"/>
        <v>"%USERPROFILE%\Documents\GitHub\eaglep3\Utilities\RefineRTDCRunTimes.py" --tripid 236-12 --locoid 4001 --swversion DE.1.0.7.0 --startMP 204:232975 --initTime 2016-09-12T23:11:07 --startdatetime 2016-09-12T23:26:32 --delay 1 --endMP 204:154 --enddatetime 2016-09-13T00:08:24 --enforcementcount 2 &gt;&gt;C:\Users\stu\Documents\GitHub\eaglep3-reporting\EC\2016-09-12-refined-times.txt</v>
      </c>
      <c r="AI155" s="134" t="str">
        <f t="shared" si="90"/>
        <v>echo {"issue":{"subject":"","project_id":79,"tracker_id":40,"status_id":1,"priority_id":2,"assigned_to_id":23,"start_date":"2016-09-13","description":"","custom_fields":[{"id":1,"name":"Subdivision","value":"EC"},{"id":4,"name":"Milepost","value":"23.2821"},{"id":17,"name":"Train ID","value":"236-12"},{"id":16,"name":"Locomotive ID","value":"4001"},{"id":130,"name":"Impact","value":""},{"id":150,"name":"Time of Event (Mountain Time)","value":"00:08:24"},{"id":151,"name":"Denver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hidden="1" x14ac:dyDescent="0.25">
      <c r="A156" s="39" t="s">
        <v>618</v>
      </c>
      <c r="B156" s="7">
        <v>4031</v>
      </c>
      <c r="C156" s="24" t="s">
        <v>108</v>
      </c>
      <c r="D156" s="24" t="s">
        <v>307</v>
      </c>
      <c r="E156" s="15">
        <v>42625.951284722221</v>
      </c>
      <c r="F156" s="15">
        <v>42625.95857638889</v>
      </c>
      <c r="G156" s="7">
        <v>1</v>
      </c>
      <c r="H156" s="15" t="s">
        <v>619</v>
      </c>
      <c r="I156" s="15">
        <v>42625.986284722225</v>
      </c>
      <c r="J156" s="7">
        <v>2</v>
      </c>
      <c r="K156" s="121" t="str">
        <f t="shared" si="77"/>
        <v>4031/4032</v>
      </c>
      <c r="L156" s="24" t="str">
        <f>VLOOKUP(A156,'Trips&amp;Operators'!$C$1:$E$10000,3,FALSE)</f>
        <v>DELGADO</v>
      </c>
      <c r="M156" s="6">
        <f t="shared" si="78"/>
        <v>2.7708333334885538E-2</v>
      </c>
      <c r="N156" s="7">
        <f t="shared" si="91"/>
        <v>39.900000002235174</v>
      </c>
      <c r="O156" s="7"/>
      <c r="P156" s="7"/>
      <c r="Q156" s="25"/>
      <c r="R156" s="25"/>
      <c r="S156" s="37">
        <f t="shared" si="76"/>
        <v>1</v>
      </c>
      <c r="T156" s="52" t="str">
        <f t="shared" si="79"/>
        <v>NorthBound</v>
      </c>
      <c r="U156" s="16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21:49:51-0600',mode:absolute,to:'2016-09-13 00:40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56" s="54" t="str">
        <f t="shared" si="81"/>
        <v>N</v>
      </c>
      <c r="X156" s="168">
        <f t="shared" si="75"/>
        <v>1</v>
      </c>
      <c r="Y156" s="69">
        <f t="shared" si="82"/>
        <v>4.6899999999999997E-2</v>
      </c>
      <c r="Z156" s="69">
        <f t="shared" si="83"/>
        <v>23.328800000000001</v>
      </c>
      <c r="AA156" s="69">
        <f t="shared" si="84"/>
        <v>23.2819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 t="shared" si="85"/>
        <v>0237-12</v>
      </c>
      <c r="AE156" s="99" t="str">
        <f t="shared" si="86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156" s="96" t="str">
        <f t="shared" si="87"/>
        <v>"C:\Program Files (x86)\AstroGrep\AstroGrep.exe" /spath="%USERPROFILE%\AppData\Local\Temp\OnboardLogs" /stypes="app*4031*20160913*" /stext=" 05:.+((SYSTEM_STATE.+slice.+state.+changed )|(ment ac)|(system.+state.+changed )|(\|lc)|(penalty)|(\[timeout)|(PRM\|1\|D)|(kpr)|(kdp))" /e /r /s</v>
      </c>
      <c r="AG156" s="1" t="str">
        <f t="shared" si="88"/>
        <v>EC</v>
      </c>
      <c r="AH156" s="100" t="str">
        <f t="shared" si="89"/>
        <v>"%USERPROFILE%\Documents\GitHub\eaglep3\Utilities\RefineRTDCRunTimes.py" --tripid 237-12 --locoid 4031 --swversion DE.1.0.7.0 --startMP 204:469 --initTime 2016-09-12T22:49:51 --startdatetime 2016-09-12T23:00:21 --delay 1 --endMP 204:233288 --enddatetime 2016-09-12T23:40:15 --enforcementcount 2 &gt;&gt;C:\Users\stu\Documents\GitHub\eaglep3-reporting\EC\2016-09-12-refined-times.txt</v>
      </c>
      <c r="AI156" s="134" t="str">
        <f t="shared" si="90"/>
        <v>echo {"issue":{"subject":"","project_id":79,"tracker_id":40,"status_id":1,"priority_id":2,"assigned_to_id":23,"start_date":"2016-09-12","description":"","custom_fields":[{"id":1,"name":"Subdivision","value":"EC"},{"id":4,"name":"Milepost","value":"23.2819"},{"id":17,"name":"Train ID","value":"237-12"},{"id":16,"name":"Locomotive ID","value":"4031"},{"id":130,"name":"Impact","value":""},{"id":150,"name":"Time of Event (Mountain Time)","value":"23:40:15"},{"id":151,"name":"Denver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hidden="1" x14ac:dyDescent="0.25">
      <c r="A157" s="39" t="s">
        <v>420</v>
      </c>
      <c r="B157" s="7">
        <v>4032</v>
      </c>
      <c r="C157" s="24" t="s">
        <v>108</v>
      </c>
      <c r="D157" s="24" t="s">
        <v>249</v>
      </c>
      <c r="E157" s="15">
        <v>42625.995208333334</v>
      </c>
      <c r="F157" s="15">
        <v>42625.997465277775</v>
      </c>
      <c r="G157" s="7">
        <v>1</v>
      </c>
      <c r="H157" s="15" t="s">
        <v>346</v>
      </c>
      <c r="I157" s="15">
        <v>42626.027280092596</v>
      </c>
      <c r="J157" s="7">
        <v>2</v>
      </c>
      <c r="K157" s="121" t="str">
        <f t="shared" si="77"/>
        <v>4031/4032</v>
      </c>
      <c r="L157" s="24" t="str">
        <f>VLOOKUP(A157,'Trips&amp;Operators'!$C$1:$E$10000,3,FALSE)</f>
        <v>DELGADO</v>
      </c>
      <c r="M157" s="6">
        <f t="shared" si="78"/>
        <v>2.9814814821293112E-2</v>
      </c>
      <c r="N157" s="7">
        <f t="shared" si="91"/>
        <v>42.933333342662081</v>
      </c>
      <c r="O157" s="7"/>
      <c r="P157" s="7"/>
      <c r="Q157" s="25"/>
      <c r="R157" s="25"/>
      <c r="S157" s="37">
        <f t="shared" si="76"/>
        <v>1</v>
      </c>
      <c r="T157" s="52" t="str">
        <f t="shared" si="79"/>
        <v>Southbound</v>
      </c>
      <c r="U157" s="16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22:53:06-0600',mode:absolute,to:'2016-09-13 01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57" s="54" t="str">
        <f t="shared" si="81"/>
        <v>N</v>
      </c>
      <c r="X157" s="168">
        <f t="shared" ref="X157:X188" si="92">VALUE(LEFT(AD157,4))-VALUE(LEFT(AD156,4))</f>
        <v>1</v>
      </c>
      <c r="Y157" s="69">
        <f t="shared" si="82"/>
        <v>23.297699999999999</v>
      </c>
      <c r="Z157" s="69">
        <f t="shared" si="83"/>
        <v>1.9199999999999998E-2</v>
      </c>
      <c r="AA157" s="69">
        <f t="shared" si="84"/>
        <v>23.278499999999998</v>
      </c>
      <c r="AB157" s="66" t="str">
        <f>VLOOKUP(A157,Enforcements!$C$7:$K$21,8,0)</f>
        <v>Bulletin (2)</v>
      </c>
      <c r="AC157" s="62" t="str">
        <f>VLOOKUP(A157,Enforcements!$C$7:$E$21,3,0)</f>
        <v>GRADE CROSSING</v>
      </c>
      <c r="AD157" s="63" t="str">
        <f t="shared" si="85"/>
        <v>0238-12</v>
      </c>
      <c r="AE157" s="99" t="str">
        <f t="shared" si="86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157" s="96" t="str">
        <f t="shared" si="87"/>
        <v>"C:\Program Files (x86)\AstroGrep\AstroGrep.exe" /spath="%USERPROFILE%\AppData\Local\Temp\OnboardLogs" /stypes="app*4032*20160913*" /stext=" 06:.+((SYSTEM_STATE.+slice.+state.+changed )|(ment ac)|(system.+state.+changed )|(\|lc)|(penalty)|(\[timeout)|(PRM\|1\|D)|(kpr)|(kdp))" /e /r /s</v>
      </c>
      <c r="AG157" s="1" t="str">
        <f t="shared" si="88"/>
        <v>EC</v>
      </c>
      <c r="AH157" s="100" t="str">
        <f t="shared" si="89"/>
        <v>"%USERPROFILE%\Documents\GitHub\eaglep3\Utilities\RefineRTDCRunTimes.py" --tripid 238-12 --locoid 4032 --swversion DE.1.0.7.0 --startMP 204:232977 --initTime 2016-09-12T23:53:06 --startdatetime 2016-09-12T23:56:21 --delay 1 --endMP 204:192 --enddatetime 2016-09-13T00:39:17 --enforcementcount 2 &gt;&gt;C:\Users\stu\Documents\GitHub\eaglep3-reporting\EC\2016-09-12-refined-times.txt</v>
      </c>
      <c r="AI157" s="134" t="str">
        <f t="shared" si="90"/>
        <v>echo {"issue":{"subject":"","project_id":79,"tracker_id":40,"status_id":1,"priority_id":2,"assigned_to_id":23,"start_date":"2016-09-13","description":"","custom_fields":[{"id":1,"name":"Subdivision","value":"EC"},{"id":4,"name":"Milepost","value":"23.2785"},{"id":17,"name":"Train ID","value":"238-12"},{"id":16,"name":"Locomotive ID","value":"4032"},{"id":130,"name":"Impact","value":""},{"id":150,"name":"Time of Event (Mountain Time)","value":"00:39:17"},{"id":151,"name":"Denver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hidden="1" x14ac:dyDescent="0.25">
      <c r="A158" s="39" t="s">
        <v>620</v>
      </c>
      <c r="B158" s="7">
        <v>4009</v>
      </c>
      <c r="C158" s="24" t="s">
        <v>108</v>
      </c>
      <c r="D158" s="24" t="s">
        <v>310</v>
      </c>
      <c r="E158" s="15">
        <v>42625.963171296295</v>
      </c>
      <c r="F158" s="15">
        <v>42625.979513888888</v>
      </c>
      <c r="G158" s="7">
        <v>1</v>
      </c>
      <c r="H158" s="15" t="s">
        <v>236</v>
      </c>
      <c r="I158" s="15">
        <v>42626.005439814813</v>
      </c>
      <c r="J158" s="7">
        <v>2</v>
      </c>
      <c r="K158" s="121" t="str">
        <f t="shared" si="77"/>
        <v>4009/4010</v>
      </c>
      <c r="L158" s="24" t="str">
        <f>VLOOKUP(A158,'Trips&amp;Operators'!$C$1:$E$10000,3,FALSE)</f>
        <v>MAHAN</v>
      </c>
      <c r="M158" s="6">
        <f t="shared" si="78"/>
        <v>2.5925925925548654E-2</v>
      </c>
      <c r="N158" s="7">
        <f t="shared" si="91"/>
        <v>37.333333332790062</v>
      </c>
      <c r="O158" s="7"/>
      <c r="P158" s="7"/>
      <c r="Q158" s="25"/>
      <c r="R158" s="25"/>
      <c r="S158" s="37">
        <f t="shared" ref="S158:S189" si="93">SUM(U158:U158)/IF(AG158="EC",12,1)</f>
        <v>1</v>
      </c>
      <c r="T158" s="52" t="str">
        <f t="shared" si="79"/>
        <v>NorthBound</v>
      </c>
      <c r="U158" s="16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22:06:58-0600',mode:absolute,to:'2016-09-13 01:07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58" s="54" t="str">
        <f t="shared" si="81"/>
        <v>N</v>
      </c>
      <c r="X158" s="168">
        <f t="shared" si="92"/>
        <v>1</v>
      </c>
      <c r="Y158" s="69">
        <f t="shared" si="82"/>
        <v>4.4400000000000002E-2</v>
      </c>
      <c r="Z158" s="69">
        <f t="shared" si="83"/>
        <v>23.3291</v>
      </c>
      <c r="AA158" s="69">
        <f t="shared" si="84"/>
        <v>23.284700000000001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 t="shared" si="85"/>
        <v>0239-12</v>
      </c>
      <c r="AE158" s="99" t="str">
        <f t="shared" si="86"/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158" s="96" t="str">
        <f t="shared" si="87"/>
        <v>"C:\Program Files (x86)\AstroGrep\AstroGrep.exe" /spath="%USERPROFILE%\AppData\Local\Temp\OnboardLogs" /stypes="app*4009*20160913*" /stext=" 06:.+((SYSTEM_STATE.+slice.+state.+changed )|(ment ac)|(system.+state.+changed )|(\|lc)|(penalty)|(\[timeout)|(PRM\|1\|D)|(kpr)|(kdp))" /e /r /s</v>
      </c>
      <c r="AG158" s="1" t="str">
        <f t="shared" si="88"/>
        <v>EC</v>
      </c>
      <c r="AH158" s="100" t="str">
        <f t="shared" si="89"/>
        <v>"%USERPROFILE%\Documents\GitHub\eaglep3\Utilities\RefineRTDCRunTimes.py" --tripid 239-12 --locoid 4009 --swversion DE.1.0.7.0 --startMP 204:444 --initTime 2016-09-12T23:06:58 --startdatetime 2016-09-12T23:30:30 --delay 1 --endMP 204:233291 --enddatetime 2016-09-13T00:07:50 --enforcementcount 2 &gt;&gt;C:\Users\stu\Documents\GitHub\eaglep3-reporting\EC\2016-09-12-refined-times.txt</v>
      </c>
      <c r="AI158" s="134" t="str">
        <f t="shared" si="90"/>
        <v>echo {"issue":{"subject":"","project_id":79,"tracker_id":40,"status_id":1,"priority_id":2,"assigned_to_id":23,"start_date":"2016-09-13","description":"","custom_fields":[{"id":1,"name":"Subdivision","value":"EC"},{"id":4,"name":"Milepost","value":"23.2847"},{"id":17,"name":"Train ID","value":"239-12"},{"id":16,"name":"Locomotive ID","value":"4009"},{"id":130,"name":"Impact","value":""},{"id":150,"name":"Time of Event (Mountain Time)","value":"00:07:50"},{"id":151,"name":"Denver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hidden="1" x14ac:dyDescent="0.25">
      <c r="A159" s="39" t="s">
        <v>621</v>
      </c>
      <c r="B159" s="7">
        <v>4010</v>
      </c>
      <c r="C159" s="24" t="s">
        <v>108</v>
      </c>
      <c r="D159" s="24" t="s">
        <v>265</v>
      </c>
      <c r="E159" s="15">
        <v>42626.007314814815</v>
      </c>
      <c r="F159" s="15">
        <v>42626.019050925926</v>
      </c>
      <c r="G159" s="7">
        <v>1</v>
      </c>
      <c r="H159" s="15" t="s">
        <v>622</v>
      </c>
      <c r="I159" s="15">
        <v>42626.046689814815</v>
      </c>
      <c r="J159" s="7">
        <v>2</v>
      </c>
      <c r="K159" s="121" t="str">
        <f t="shared" si="77"/>
        <v>4009/4010</v>
      </c>
      <c r="L159" s="24" t="str">
        <f>VLOOKUP(A159,'Trips&amp;Operators'!$C$1:$E$10000,3,FALSE)</f>
        <v>MAHAN</v>
      </c>
      <c r="M159" s="6">
        <f t="shared" si="78"/>
        <v>2.7638888888759539E-2</v>
      </c>
      <c r="N159" s="7">
        <f t="shared" si="91"/>
        <v>39.799999999813735</v>
      </c>
      <c r="O159" s="7"/>
      <c r="P159" s="7"/>
      <c r="Q159" s="25"/>
      <c r="R159" s="25"/>
      <c r="S159" s="37">
        <f t="shared" si="93"/>
        <v>1</v>
      </c>
      <c r="T159" s="52" t="str">
        <f t="shared" si="79"/>
        <v>Southbound</v>
      </c>
      <c r="U159" s="16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23:10:32-0600',mode:absolute,to:'2016-09-13 02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59" s="54" t="str">
        <f t="shared" si="81"/>
        <v>N</v>
      </c>
      <c r="X159" s="168">
        <f t="shared" si="92"/>
        <v>1</v>
      </c>
      <c r="Y159" s="69">
        <f t="shared" si="82"/>
        <v>23.296900000000001</v>
      </c>
      <c r="Z159" s="69">
        <f t="shared" si="83"/>
        <v>1.2699999999999999E-2</v>
      </c>
      <c r="AA159" s="69">
        <f t="shared" si="84"/>
        <v>23.284200000000002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 t="shared" si="85"/>
        <v>0240-12</v>
      </c>
      <c r="AE159" s="99" t="str">
        <f t="shared" si="86"/>
        <v>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 &amp; aws s3 cp s3://rtdc.mdm.uploadarchive/RTDC4010/2016-09-14/ "%USERPROFILE%\AppData\Local\Temp\OnboardLogs"\RTDC4010\2016-09-14 --recursive &amp; "%USERPROFILE%\Documents\GitHub\mrs-test-scripts\Headless Mode &amp; Sideloading\WalkAndUnGZ.bat" "%USERPROFILE%\AppData\Local\Temp\OnboardLogs"\RTDC4010\2016-09-14</v>
      </c>
      <c r="AF159" s="96" t="str">
        <f t="shared" si="87"/>
        <v>"C:\Program Files (x86)\AstroGrep\AstroGrep.exe" /spath="%USERPROFILE%\AppData\Local\Temp\OnboardLogs" /stypes="app*4010*20160913*" /stext=" 07:.+((SYSTEM_STATE.+slice.+state.+changed )|(ment ac)|(system.+state.+changed )|(\|lc)|(penalty)|(\[timeout)|(PRM\|1\|D)|(kpr)|(kdp))" /e /r /s</v>
      </c>
      <c r="AG159" s="1" t="str">
        <f t="shared" si="88"/>
        <v>EC</v>
      </c>
      <c r="AH159" s="100" t="str">
        <f t="shared" si="89"/>
        <v>"%USERPROFILE%\Documents\GitHub\eaglep3\Utilities\RefineRTDCRunTimes.py" --tripid 240-12 --locoid 4010 --swversion DE.1.0.7.0 --startMP 204:232969 --initTime 2016-09-13T00:10:32 --startdatetime 2016-09-13T00:27:26 --delay 1 --endMP 204:127 --enddatetime 2016-09-13T01:07:14 --enforcementcount 2 &gt;&gt;C:\Users\stu\Documents\GitHub\eaglep3-reporting\EC\2016-09-12-refined-times.txt</v>
      </c>
      <c r="AI159" s="134" t="str">
        <f t="shared" si="90"/>
        <v>echo {"issue":{"subject":"","project_id":79,"tracker_id":40,"status_id":1,"priority_id":2,"assigned_to_id":23,"start_date":"2016-09-13","description":"","custom_fields":[{"id":1,"name":"Subdivision","value":"EC"},{"id":4,"name":"Milepost","value":"23.2842"},{"id":17,"name":"Train ID","value":"240-12"},{"id":16,"name":"Locomotive ID","value":"4010"},{"id":130,"name":"Impact","value":""},{"id":150,"name":"Time of Event (Mountain Time)","value":"01:07:14"},{"id":151,"name":"Denver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hidden="1" x14ac:dyDescent="0.25">
      <c r="A160" s="39" t="s">
        <v>623</v>
      </c>
      <c r="B160" s="7">
        <v>4014</v>
      </c>
      <c r="C160" s="24" t="s">
        <v>108</v>
      </c>
      <c r="D160" s="24" t="s">
        <v>624</v>
      </c>
      <c r="E160" s="15">
        <v>42625.998530092591</v>
      </c>
      <c r="F160" s="15">
        <v>42626.000254629631</v>
      </c>
      <c r="G160" s="7">
        <v>1</v>
      </c>
      <c r="H160" s="15" t="s">
        <v>467</v>
      </c>
      <c r="I160" s="15">
        <v>42626.025856481479</v>
      </c>
      <c r="J160" s="7">
        <v>2</v>
      </c>
      <c r="K160" s="121" t="str">
        <f t="shared" si="77"/>
        <v>4013/4014</v>
      </c>
      <c r="L160" s="24" t="str">
        <f>VLOOKUP(A160,'Trips&amp;Operators'!$C$1:$E$10000,3,FALSE)</f>
        <v>CHANDLER</v>
      </c>
      <c r="M160" s="6">
        <f t="shared" si="78"/>
        <v>2.5601851848477963E-2</v>
      </c>
      <c r="N160" s="7">
        <f t="shared" si="91"/>
        <v>36.866666661808267</v>
      </c>
      <c r="O160" s="7"/>
      <c r="P160" s="7"/>
      <c r="Q160" s="25"/>
      <c r="R160" s="25"/>
      <c r="S160" s="37">
        <f t="shared" si="93"/>
        <v>1</v>
      </c>
      <c r="T160" s="52" t="str">
        <f t="shared" si="79"/>
        <v>NorthBound</v>
      </c>
      <c r="U160" s="16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22:57:53-0600',mode:absolute,to:'2016-09-13 01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60" s="54" t="str">
        <f t="shared" si="81"/>
        <v>N</v>
      </c>
      <c r="X160" s="168">
        <f t="shared" si="92"/>
        <v>1</v>
      </c>
      <c r="Y160" s="69">
        <f t="shared" si="82"/>
        <v>4.8800000000000003E-2</v>
      </c>
      <c r="Z160" s="69">
        <f t="shared" si="83"/>
        <v>23.3278</v>
      </c>
      <c r="AA160" s="69">
        <f t="shared" si="84"/>
        <v>23.279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 t="shared" si="85"/>
        <v>0241-12</v>
      </c>
      <c r="AE160" s="99" t="str">
        <f t="shared" si="86"/>
        <v>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 &amp; aws s3 cp s3://rtdc.mdm.uploadarchive/RTDC4014/2016-09-14/ "%USERPROFILE%\AppData\Local\Temp\OnboardLogs"\RTDC4014\2016-09-14 --recursive &amp; "%USERPROFILE%\Documents\GitHub\mrs-test-scripts\Headless Mode &amp; Sideloading\WalkAndUnGZ.bat" "%USERPROFILE%\AppData\Local\Temp\OnboardLogs"\RTDC4014\2016-09-14</v>
      </c>
      <c r="AF160" s="96" t="str">
        <f t="shared" si="87"/>
        <v>"C:\Program Files (x86)\AstroGrep\AstroGrep.exe" /spath="%USERPROFILE%\AppData\Local\Temp\OnboardLogs" /stypes="app*4014*20160913*" /stext=" 06:.+((SYSTEM_STATE.+slice.+state.+changed )|(ment ac)|(system.+state.+changed )|(\|lc)|(penalty)|(\[timeout)|(PRM\|1\|D)|(kpr)|(kdp))" /e /r /s</v>
      </c>
      <c r="AG160" s="1" t="str">
        <f t="shared" si="88"/>
        <v>EC</v>
      </c>
      <c r="AH160" s="100" t="str">
        <f t="shared" si="89"/>
        <v>"%USERPROFILE%\Documents\GitHub\eaglep3\Utilities\RefineRTDCRunTimes.py" --tripid 241-12 --locoid 4014 --swversion DE.1.0.7.0 --startMP 204:488 --initTime 2016-09-12T23:57:53 --startdatetime 2016-09-13T00:00:22 --delay 1 --endMP 204:233278 --enddatetime 2016-09-13T00:37:14 --enforcementcount 2 &gt;&gt;C:\Users\stu\Documents\GitHub\eaglep3-reporting\EC\2016-09-12-refined-times.txt</v>
      </c>
      <c r="AI160" s="134" t="str">
        <f t="shared" si="90"/>
        <v>echo {"issue":{"subject":"","project_id":79,"tracker_id":40,"status_id":1,"priority_id":2,"assigned_to_id":23,"start_date":"2016-09-13","description":"","custom_fields":[{"id":1,"name":"Subdivision","value":"EC"},{"id":4,"name":"Milepost","value":"23.279"},{"id":17,"name":"Train ID","value":"241-12"},{"id":16,"name":"Locomotive ID","value":"4014"},{"id":130,"name":"Impact","value":""},{"id":150,"name":"Time of Event (Mountain Time)","value":"00:37:14"},{"id":151,"name":"Denver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hidden="1" x14ac:dyDescent="0.25">
      <c r="A161" s="39" t="s">
        <v>625</v>
      </c>
      <c r="B161" s="7">
        <v>4013</v>
      </c>
      <c r="C161" s="24" t="s">
        <v>108</v>
      </c>
      <c r="D161" s="24" t="s">
        <v>287</v>
      </c>
      <c r="E161" s="15">
        <v>42626.037685185183</v>
      </c>
      <c r="F161" s="15">
        <v>42626.039293981485</v>
      </c>
      <c r="G161" s="7">
        <v>1</v>
      </c>
      <c r="H161" s="15" t="s">
        <v>229</v>
      </c>
      <c r="I161" s="15">
        <v>42626.067094907405</v>
      </c>
      <c r="J161" s="7">
        <v>2</v>
      </c>
      <c r="K161" s="121" t="str">
        <f t="shared" si="77"/>
        <v>4013/4014</v>
      </c>
      <c r="L161" s="24" t="str">
        <f>VLOOKUP(A161,'Trips&amp;Operators'!$C$1:$E$10000,3,FALSE)</f>
        <v>CHANDLER</v>
      </c>
      <c r="M161" s="6">
        <f t="shared" si="78"/>
        <v>2.7800925920018926E-2</v>
      </c>
      <c r="N161" s="7">
        <f t="shared" si="91"/>
        <v>40.033333324827254</v>
      </c>
      <c r="O161" s="7"/>
      <c r="P161" s="7"/>
      <c r="Q161" s="25"/>
      <c r="R161" s="25"/>
      <c r="S161" s="37">
        <f t="shared" si="93"/>
        <v>1</v>
      </c>
      <c r="T161" s="52" t="str">
        <f t="shared" si="79"/>
        <v>Southbound</v>
      </c>
      <c r="U161" s="16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23:54:16-0600',mode:absolute,to:'2016-09-13 02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61" s="54" t="str">
        <f t="shared" si="81"/>
        <v>N</v>
      </c>
      <c r="X161" s="168">
        <f t="shared" si="92"/>
        <v>1</v>
      </c>
      <c r="Y161" s="69">
        <f t="shared" si="82"/>
        <v>23.296500000000002</v>
      </c>
      <c r="Z161" s="69">
        <f t="shared" si="83"/>
        <v>1.5800000000000002E-2</v>
      </c>
      <c r="AA161" s="69">
        <f t="shared" si="84"/>
        <v>23.280700000000003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 t="shared" si="85"/>
        <v>0242-12</v>
      </c>
      <c r="AE161" s="99" t="str">
        <f t="shared" si="86"/>
        <v>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 &amp; aws s3 cp s3://rtdc.mdm.uploadarchive/RTDC4013/2016-09-14/ "%USERPROFILE%\AppData\Local\Temp\OnboardLogs"\RTDC4013\2016-09-14 --recursive &amp; "%USERPROFILE%\Documents\GitHub\mrs-test-scripts\Headless Mode &amp; Sideloading\WalkAndUnGZ.bat" "%USERPROFILE%\AppData\Local\Temp\OnboardLogs"\RTDC4013\2016-09-14</v>
      </c>
      <c r="AF161" s="96" t="str">
        <f t="shared" si="87"/>
        <v>"C:\Program Files (x86)\AstroGrep\AstroGrep.exe" /spath="%USERPROFILE%\AppData\Local\Temp\OnboardLogs" /stypes="app*4013*20160913*" /stext=" 07:.+((SYSTEM_STATE.+slice.+state.+changed )|(ment ac)|(system.+state.+changed )|(\|lc)|(penalty)|(\[timeout)|(PRM\|1\|D)|(kpr)|(kdp))" /e /r /s</v>
      </c>
      <c r="AG161" s="1" t="str">
        <f t="shared" si="88"/>
        <v>EC</v>
      </c>
      <c r="AH161" s="100" t="str">
        <f t="shared" si="89"/>
        <v>"%USERPROFILE%\Documents\GitHub\eaglep3\Utilities\RefineRTDCRunTimes.py" --tripid 242-12 --locoid 4013 --swversion DE.1.0.7.0 --startMP 204:232965 --initTime 2016-09-13T00:54:16 --startdatetime 2016-09-13T00:56:35 --delay 1 --endMP 204:158 --enddatetime 2016-09-13T01:36:37 --enforcementcount 2 &gt;&gt;C:\Users\stu\Documents\GitHub\eaglep3-reporting\EC\2016-09-12-refined-times.txt</v>
      </c>
      <c r="AI161" s="134" t="str">
        <f t="shared" si="90"/>
        <v>echo {"issue":{"subject":"","project_id":79,"tracker_id":40,"status_id":1,"priority_id":2,"assigned_to_id":23,"start_date":"2016-09-13","description":"","custom_fields":[{"id":1,"name":"Subdivision","value":"EC"},{"id":4,"name":"Milepost","value":"23.2807"},{"id":17,"name":"Train ID","value":"242-12"},{"id":16,"name":"Locomotive ID","value":"4013"},{"id":130,"name":"Impact","value":""},{"id":150,"name":"Time of Event (Mountain Time)","value":"01:36:37"},{"id":151,"name":"Denver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s="23" customFormat="1" hidden="1" x14ac:dyDescent="0.25">
      <c r="A162" s="39" t="s">
        <v>626</v>
      </c>
      <c r="B162" s="7">
        <v>4002</v>
      </c>
      <c r="C162" s="24" t="s">
        <v>108</v>
      </c>
      <c r="D162" s="24" t="s">
        <v>244</v>
      </c>
      <c r="E162" s="15">
        <v>42626.01798611111</v>
      </c>
      <c r="F162" s="15">
        <v>42626.020995370367</v>
      </c>
      <c r="G162" s="7">
        <v>1</v>
      </c>
      <c r="H162" s="15" t="s">
        <v>258</v>
      </c>
      <c r="I162" s="15">
        <v>42626.045358796298</v>
      </c>
      <c r="J162" s="7">
        <v>2</v>
      </c>
      <c r="K162" s="121" t="str">
        <f t="shared" si="77"/>
        <v>4001/4002</v>
      </c>
      <c r="L162" s="24" t="str">
        <f>VLOOKUP(A162,'Trips&amp;Operators'!$C$1:$E$10000,3,FALSE)</f>
        <v>YANAI</v>
      </c>
      <c r="M162" s="6">
        <f t="shared" si="78"/>
        <v>2.436342593136942E-2</v>
      </c>
      <c r="N162" s="7">
        <f t="shared" si="91"/>
        <v>35.083333341171965</v>
      </c>
      <c r="O162" s="7"/>
      <c r="P162" s="7"/>
      <c r="Q162" s="25"/>
      <c r="R162" s="25"/>
      <c r="S162" s="37">
        <f t="shared" si="93"/>
        <v>1</v>
      </c>
      <c r="T162" s="52" t="str">
        <f t="shared" si="79"/>
        <v>NorthBound</v>
      </c>
      <c r="U162" s="16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23:25:54-0600',mode:absolute,to:'2016-09-13 02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62" s="54" t="str">
        <f t="shared" si="81"/>
        <v>N</v>
      </c>
      <c r="X162" s="168">
        <f t="shared" si="92"/>
        <v>1</v>
      </c>
      <c r="Y162" s="69">
        <f t="shared" si="82"/>
        <v>4.6600000000000003E-2</v>
      </c>
      <c r="Z162" s="69">
        <f t="shared" si="83"/>
        <v>23.3293</v>
      </c>
      <c r="AA162" s="69">
        <f t="shared" si="84"/>
        <v>23.282699999999998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 t="shared" si="85"/>
        <v>0243-12</v>
      </c>
      <c r="AE162" s="99" t="str">
        <f t="shared" si="86"/>
        <v>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 &amp; aws s3 cp s3://rtdc.mdm.uploadarchive/RTDC4002/2016-09-14/ "%USERPROFILE%\AppData\Local\Temp\OnboardLogs"\RTDC4002\2016-09-14 --recursive &amp; "%USERPROFILE%\Documents\GitHub\mrs-test-scripts\Headless Mode &amp; Sideloading\WalkAndUnGZ.bat" "%USERPROFILE%\AppData\Local\Temp\OnboardLogs"\RTDC4002\2016-09-14</v>
      </c>
      <c r="AF162" s="96" t="str">
        <f t="shared" si="87"/>
        <v>"C:\Program Files (x86)\AstroGrep\AstroGrep.exe" /spath="%USERPROFILE%\AppData\Local\Temp\OnboardLogs" /stypes="app*4002*20160913*" /stext=" 07:.+((SYSTEM_STATE.+slice.+state.+changed )|(ment ac)|(system.+state.+changed )|(\|lc)|(penalty)|(\[timeout)|(PRM\|1\|D)|(kpr)|(kdp))" /e /r /s</v>
      </c>
      <c r="AG162" s="1" t="str">
        <f t="shared" si="88"/>
        <v>EC</v>
      </c>
      <c r="AH162" s="100" t="str">
        <f t="shared" si="89"/>
        <v>"%USERPROFILE%\Documents\GitHub\eaglep3\Utilities\RefineRTDCRunTimes.py" --tripid 243-12 --locoid 4002 --swversion DE.1.0.7.0 --startMP 204:466 --initTime 2016-09-13T00:25:54 --startdatetime 2016-09-13T00:30:14 --delay 1 --endMP 204:233293 --enddatetime 2016-09-13T01:05:19 --enforcementcount 2 &gt;&gt;C:\Users\stu\Documents\GitHub\eaglep3-reporting\EC\2016-09-12-refined-times.txt</v>
      </c>
      <c r="AI162" s="134" t="str">
        <f t="shared" si="90"/>
        <v>echo {"issue":{"subject":"","project_id":79,"tracker_id":40,"status_id":1,"priority_id":2,"assigned_to_id":23,"start_date":"2016-09-13","description":"","custom_fields":[{"id":1,"name":"Subdivision","value":"EC"},{"id":4,"name":"Milepost","value":"23.2827"},{"id":17,"name":"Train ID","value":"243-12"},{"id":16,"name":"Locomotive ID","value":"4002"},{"id":130,"name":"Impact","value":""},{"id":150,"name":"Time of Event (Mountain Time)","value":"01:05:19"},{"id":151,"name":"Denver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hidden="1" x14ac:dyDescent="0.25">
      <c r="A163" s="39" t="s">
        <v>627</v>
      </c>
      <c r="B163" s="7">
        <v>4001</v>
      </c>
      <c r="C163" s="24" t="s">
        <v>108</v>
      </c>
      <c r="D163" s="24" t="s">
        <v>249</v>
      </c>
      <c r="E163" s="15">
        <v>42626.055844907409</v>
      </c>
      <c r="F163" s="15">
        <v>42626.059872685182</v>
      </c>
      <c r="G163" s="7">
        <v>1</v>
      </c>
      <c r="H163" s="15" t="s">
        <v>226</v>
      </c>
      <c r="I163" s="15">
        <v>42626.086006944446</v>
      </c>
      <c r="J163" s="7">
        <v>2</v>
      </c>
      <c r="K163" s="121" t="str">
        <f t="shared" si="77"/>
        <v>4001/4002</v>
      </c>
      <c r="L163" s="24" t="str">
        <f>VLOOKUP(A163,'Trips&amp;Operators'!$C$1:$E$10000,3,FALSE)</f>
        <v>YANAI</v>
      </c>
      <c r="M163" s="6">
        <f t="shared" si="78"/>
        <v>2.6134259263926651E-2</v>
      </c>
      <c r="N163" s="7">
        <f t="shared" si="91"/>
        <v>37.633333340054378</v>
      </c>
      <c r="O163" s="7"/>
      <c r="P163" s="7"/>
      <c r="Q163" s="25"/>
      <c r="R163" s="25"/>
      <c r="S163" s="37">
        <f t="shared" si="93"/>
        <v>1</v>
      </c>
      <c r="T163" s="52" t="str">
        <f t="shared" si="79"/>
        <v>Southbound</v>
      </c>
      <c r="U163" s="16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https://search-rtdc-monitor-bjffxe2xuh6vdkpspy63sjmuny.us-east-1.es.amazonaws.com/_plugin/kibana/#/discover/Steve-Slow-Train-Analysis-(2080s-and-2083s)?_g=(refreshInterval:(display:Off,section:0,value:0),time:(from:'2016-09-13 00:20:25-0600',mode:absolute,to:'2016-09-13 03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3" s="54" t="str">
        <f t="shared" si="81"/>
        <v>N</v>
      </c>
      <c r="X163" s="168">
        <f t="shared" si="92"/>
        <v>1</v>
      </c>
      <c r="Y163" s="69">
        <f t="shared" si="82"/>
        <v>23.297699999999999</v>
      </c>
      <c r="Z163" s="69">
        <f t="shared" si="83"/>
        <v>1.6299999999999999E-2</v>
      </c>
      <c r="AA163" s="69">
        <f t="shared" si="84"/>
        <v>23.281399999999998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 t="shared" si="85"/>
        <v>0244-12</v>
      </c>
      <c r="AE163" s="99" t="str">
        <f t="shared" si="86"/>
        <v>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 &amp; aws s3 cp s3://rtdc.mdm.uploadarchive/RTDC4001/2016-09-14/ "%USERPROFILE%\AppData\Local\Temp\OnboardLogs"\RTDC4001\2016-09-14 --recursive &amp; "%USERPROFILE%\Documents\GitHub\mrs-test-scripts\Headless Mode &amp; Sideloading\WalkAndUnGZ.bat" "%USERPROFILE%\AppData\Local\Temp\OnboardLogs"\RTDC4001\2016-09-14</v>
      </c>
      <c r="AF163" s="96" t="str">
        <f t="shared" si="87"/>
        <v>"C:\Program Files (x86)\AstroGrep\AstroGrep.exe" /spath="%USERPROFILE%\AppData\Local\Temp\OnboardLogs" /stypes="app*4001*20160913*" /stext=" 08:.+((SYSTEM_STATE.+slice.+state.+changed )|(ment ac)|(system.+state.+changed )|(\|lc)|(penalty)|(\[timeout)|(PRM\|1\|D)|(kpr)|(kdp))" /e /r /s</v>
      </c>
      <c r="AG163" s="1" t="str">
        <f t="shared" si="88"/>
        <v>EC</v>
      </c>
      <c r="AH163" s="100" t="str">
        <f t="shared" si="89"/>
        <v>"%USERPROFILE%\Documents\GitHub\eaglep3\Utilities\RefineRTDCRunTimes.py" --tripid 244-12 --locoid 4001 --swversion DE.1.0.7.0 --startMP 204:232977 --initTime 2016-09-13T01:20:25 --startdatetime 2016-09-13T01:26:13 --delay 1 --endMP 204:163 --enddatetime 2016-09-13T02:03:51 --enforcementcount 2 &gt;&gt;C:\Users\stu\Documents\GitHub\eaglep3-reporting\EC\2016-09-12-refined-times.txt</v>
      </c>
      <c r="AI163" s="134" t="str">
        <f t="shared" si="90"/>
        <v>echo {"issue":{"subject":"","project_id":79,"tracker_id":40,"status_id":1,"priority_id":2,"assigned_to_id":23,"start_date":"2016-09-13","description":"","custom_fields":[{"id":1,"name":"Subdivision","value":"EC"},{"id":4,"name":"Milepost","value":"23.2814"},{"id":17,"name":"Train ID","value":"244-12"},{"id":16,"name":"Locomotive ID","value":"4001"},{"id":130,"name":"Impact","value":""},{"id":150,"name":"Time of Event (Mountain Time)","value":"02:03:51"},{"id":151,"name":"Denver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hidden="1" x14ac:dyDescent="0.25">
      <c r="A164" s="39" t="s">
        <v>376</v>
      </c>
      <c r="B164" s="7">
        <v>4019</v>
      </c>
      <c r="C164" s="24" t="s">
        <v>108</v>
      </c>
      <c r="D164" s="24" t="s">
        <v>643</v>
      </c>
      <c r="E164" s="15">
        <v>42625.211643518516</v>
      </c>
      <c r="F164" s="15">
        <v>42625.213402777779</v>
      </c>
      <c r="G164" s="7">
        <v>1</v>
      </c>
      <c r="H164" s="15" t="s">
        <v>644</v>
      </c>
      <c r="I164" s="15">
        <v>42625.229097222225</v>
      </c>
      <c r="J164" s="7">
        <v>2</v>
      </c>
      <c r="K164" s="121" t="str">
        <f t="shared" si="77"/>
        <v>4019/4020</v>
      </c>
      <c r="L164" s="24" t="str">
        <f>VLOOKUP(A164,'Trips&amp;Operators'!$C$1:$E$10000,3,FALSE)</f>
        <v>DAVIS</v>
      </c>
      <c r="M164" s="6">
        <f t="shared" si="78"/>
        <v>1.5694444446125999E-2</v>
      </c>
      <c r="N164" s="7">
        <f t="shared" si="91"/>
        <v>22.600000002421439</v>
      </c>
      <c r="O164" s="7"/>
      <c r="P164" s="7"/>
      <c r="Q164" s="25"/>
      <c r="R164" s="25"/>
      <c r="S164" s="37">
        <f t="shared" si="93"/>
        <v>1</v>
      </c>
      <c r="T164" s="52" t="str">
        <f t="shared" si="79"/>
        <v>Southbound</v>
      </c>
      <c r="U164" s="16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04:04:46-0600',mode:absolute,to:'2016-09-12 06:29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64" s="54" t="str">
        <f t="shared" si="81"/>
        <v>N</v>
      </c>
      <c r="X164" s="168">
        <f t="shared" si="92"/>
        <v>556</v>
      </c>
      <c r="Y164" s="69">
        <f t="shared" si="82"/>
        <v>5.8647</v>
      </c>
      <c r="Z164" s="69">
        <f t="shared" si="83"/>
        <v>6.6100000000000006E-2</v>
      </c>
      <c r="AA164" s="69">
        <f t="shared" si="84"/>
        <v>5.7986000000000004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 t="shared" si="85"/>
        <v>0800-12</v>
      </c>
      <c r="AE164" s="99" t="str">
        <f t="shared" si="86"/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164" s="96" t="str">
        <f t="shared" si="87"/>
        <v>"C:\Program Files (x86)\AstroGrep\AstroGrep.exe" /spath="%USERPROFILE%\AppData\Local\Temp\OnboardLogs" /stypes="app*4019*20160912*" /stext=" 11:.+((SYSTEM_STATE.+slice.+state.+changed )|(ment ac)|(system.+state.+changed )|(\|lc)|(penalty)|(\[timeout)|(PRM\|1\|D)|(kpr)|(kdp))" /e /r /s</v>
      </c>
      <c r="AG164" s="1" t="str">
        <f t="shared" si="88"/>
        <v>NW</v>
      </c>
      <c r="AH164" s="100" t="str">
        <f t="shared" si="89"/>
        <v>"%USERPROFILE%\Documents\GitHub\eaglep3\Utilities\RefineRTDCRunTimes.py" --tripid 800-12 --locoid 4019 --swversion DE.1.0.7.0 --startMP 300:58647 --initTime 2016-09-12T05:04:46 --startdatetime 2016-09-12T05:07:18 --delay 1 --endMP 204:661 --enddatetime 2016-09-12T05:29:54 --enforcementcount 2 &gt;&gt;C:\Users\stu\Documents\GitHub\eaglep3-reporting\EC\2016-09-12-refined-times.txt</v>
      </c>
      <c r="AI164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{"issue":{"subject":"","project_id":79,"tracker_id":40,"status_id":1,"priority_id":2,"assigned_to_id":23,"start_date":"2016-09-12","description":"","custom_fields":[{"id":1,"name":"Subdivision","value":"NW"},{"id":4,"name":"Milepost","value":"5.7986"},{"id":17,"name":"Train ID","value":"800-12"},{"id":16,"name":"Locomotive ID","value":"4019"},{"id":130,"name":"Impact","value":""},{"id":150,"name":"Time of Event (Mountain Time)","value":"05:29:54"},{"id":151,"name":"Denver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hidden="1" x14ac:dyDescent="0.25">
      <c r="A165" s="39" t="s">
        <v>377</v>
      </c>
      <c r="B165" s="7">
        <v>4020</v>
      </c>
      <c r="C165" s="24" t="s">
        <v>108</v>
      </c>
      <c r="D165" s="24" t="s">
        <v>645</v>
      </c>
      <c r="E165" s="15">
        <v>42625.242361111108</v>
      </c>
      <c r="F165" s="15">
        <v>42625.244189814817</v>
      </c>
      <c r="G165" s="7">
        <v>1</v>
      </c>
      <c r="H165" s="15" t="s">
        <v>646</v>
      </c>
      <c r="I165" s="15">
        <v>42625.254803240743</v>
      </c>
      <c r="J165" s="7">
        <v>2</v>
      </c>
      <c r="K165" s="121" t="str">
        <f t="shared" si="77"/>
        <v>4019/4020</v>
      </c>
      <c r="L165" s="24" t="str">
        <f>VLOOKUP(A165,'Trips&amp;Operators'!$C$1:$E$10000,3,FALSE)</f>
        <v>DAVIS</v>
      </c>
      <c r="M165" s="6">
        <f t="shared" si="78"/>
        <v>1.0613425925839692E-2</v>
      </c>
      <c r="N165" s="7">
        <f t="shared" si="91"/>
        <v>15.283333333209157</v>
      </c>
      <c r="O165" s="7"/>
      <c r="P165" s="7"/>
      <c r="Q165" s="25"/>
      <c r="R165" s="25"/>
      <c r="S165" s="37">
        <f t="shared" si="93"/>
        <v>1</v>
      </c>
      <c r="T165" s="52" t="str">
        <f t="shared" si="79"/>
        <v>NorthBound</v>
      </c>
      <c r="U165" s="16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04:49:00-0600',mode:absolute,to:'2016-09-12 07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65" s="54" t="str">
        <f t="shared" si="81"/>
        <v>N</v>
      </c>
      <c r="X165" s="168">
        <f t="shared" si="92"/>
        <v>1</v>
      </c>
      <c r="Y165" s="69">
        <f t="shared" si="82"/>
        <v>9.1999999999999998E-2</v>
      </c>
      <c r="Z165" s="69">
        <f t="shared" si="83"/>
        <v>5.8960999999999997</v>
      </c>
      <c r="AA165" s="69">
        <f t="shared" si="84"/>
        <v>5.8041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 t="shared" si="85"/>
        <v>0801-12</v>
      </c>
      <c r="AE165" s="99" t="str">
        <f t="shared" si="86"/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AF165" s="96" t="str">
        <f t="shared" si="87"/>
        <v>"C:\Program Files (x86)\AstroGrep\AstroGrep.exe" /spath="%USERPROFILE%\AppData\Local\Temp\OnboardLogs" /stypes="app*4020*20160912*" /stext=" 12:.+((SYSTEM_STATE.+slice.+state.+changed )|(ment ac)|(system.+state.+changed )|(\|lc)|(penalty)|(\[timeout)|(PRM\|1\|D)|(kpr)|(kdp))" /e /r /s</v>
      </c>
      <c r="AG165" s="1" t="str">
        <f t="shared" si="88"/>
        <v>NW</v>
      </c>
      <c r="AH165" s="100" t="str">
        <f t="shared" si="89"/>
        <v>"%USERPROFILE%\Documents\GitHub\eaglep3\Utilities\RefineRTDCRunTimes.py" --tripid 801-12 --locoid 4020 --swversion DE.1.0.7.0 --startMP 204:920 --initTime 2016-09-12T05:49:00 --startdatetime 2016-09-12T05:51:38 --delay 1 --endMP 300:58961 --enddatetime 2016-09-12T06:06:55 --enforcementcount 2 &gt;&gt;C:\Users\stu\Documents\GitHub\eaglep3-reporting\EC\2016-09-12-refined-times.txt</v>
      </c>
      <c r="AI165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{"issue":{"subject":"","project_id":79,"tracker_id":40,"status_id":1,"priority_id":2,"assigned_to_id":23,"start_date":"2016-09-12","description":"","custom_fields":[{"id":1,"name":"Subdivision","value":"NW"},{"id":4,"name":"Milepost","value":"5.8041"},{"id":17,"name":"Train ID","value":"801-12"},{"id":16,"name":"Locomotive ID","value":"4020"},{"id":130,"name":"Impact","value":""},{"id":150,"name":"Time of Event (Mountain Time)","value":"06:06:55"},{"id":151,"name":"Denver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hidden="1" x14ac:dyDescent="0.25">
      <c r="A166" s="39" t="s">
        <v>647</v>
      </c>
      <c r="B166" s="7">
        <v>4019</v>
      </c>
      <c r="C166" s="24" t="s">
        <v>108</v>
      </c>
      <c r="D166" s="24" t="s">
        <v>333</v>
      </c>
      <c r="E166" s="15">
        <v>42625.255671296298</v>
      </c>
      <c r="F166" s="15">
        <v>42625.256782407407</v>
      </c>
      <c r="G166" s="7">
        <v>1</v>
      </c>
      <c r="H166" s="15" t="s">
        <v>648</v>
      </c>
      <c r="I166" s="15">
        <v>42625.26835648148</v>
      </c>
      <c r="J166" s="7">
        <v>2</v>
      </c>
      <c r="K166" s="121" t="str">
        <f t="shared" si="77"/>
        <v>4019/4020</v>
      </c>
      <c r="L166" s="24" t="str">
        <f>VLOOKUP(A166,'Trips&amp;Operators'!$C$1:$E$10000,3,FALSE)</f>
        <v>DAVIS</v>
      </c>
      <c r="M166" s="6">
        <f t="shared" si="78"/>
        <v>1.1574074072996154E-2</v>
      </c>
      <c r="N166" s="7">
        <f t="shared" si="91"/>
        <v>16.666666665114462</v>
      </c>
      <c r="O166" s="7"/>
      <c r="P166" s="7"/>
      <c r="Q166" s="25"/>
      <c r="R166" s="25"/>
      <c r="S166" s="37">
        <f t="shared" si="93"/>
        <v>1</v>
      </c>
      <c r="T166" s="52" t="str">
        <f t="shared" si="79"/>
        <v>Southbound</v>
      </c>
      <c r="U166" s="16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05:08:10-0600',mode:absolute,to:'2016-09-12 07:26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66" s="54" t="str">
        <f t="shared" si="81"/>
        <v>N</v>
      </c>
      <c r="X166" s="168">
        <f t="shared" si="92"/>
        <v>1</v>
      </c>
      <c r="Y166" s="69">
        <f t="shared" si="82"/>
        <v>5.8639999999999999</v>
      </c>
      <c r="Z166" s="69">
        <f t="shared" si="83"/>
        <v>6.4199999999999993E-2</v>
      </c>
      <c r="AA166" s="69">
        <f t="shared" si="84"/>
        <v>5.7998000000000003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 t="shared" si="85"/>
        <v>0802-12</v>
      </c>
      <c r="AE166" s="99" t="str">
        <f t="shared" si="86"/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166" s="96" t="str">
        <f t="shared" si="87"/>
        <v>"C:\Program Files (x86)\AstroGrep\AstroGrep.exe" /spath="%USERPROFILE%\AppData\Local\Temp\OnboardLogs" /stypes="app*4019*20160912*" /stext=" 12:.+((SYSTEM_STATE.+slice.+state.+changed )|(ment ac)|(system.+state.+changed )|(\|lc)|(penalty)|(\[timeout)|(PRM\|1\|D)|(kpr)|(kdp))" /e /r /s</v>
      </c>
      <c r="AG166" s="1" t="str">
        <f t="shared" si="88"/>
        <v>NW</v>
      </c>
      <c r="AH166" s="100" t="str">
        <f t="shared" si="89"/>
        <v>"%USERPROFILE%\Documents\GitHub\eaglep3\Utilities\RefineRTDCRunTimes.py" --tripid 802-12 --locoid 4019 --swversion DE.1.0.7.0 --startMP 300:58640 --initTime 2016-09-12T06:08:10 --startdatetime 2016-09-12T06:09:46 --delay 1 --endMP 204:642 --enddatetime 2016-09-12T06:26:26 --enforcementcount 2 &gt;&gt;C:\Users\stu\Documents\GitHub\eaglep3-reporting\EC\2016-09-12-refined-times.txt</v>
      </c>
      <c r="AI166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{"issue":{"subject":"","project_id":79,"tracker_id":40,"status_id":1,"priority_id":2,"assigned_to_id":23,"start_date":"2016-09-12","description":"","custom_fields":[{"id":1,"name":"Subdivision","value":"NW"},{"id":4,"name":"Milepost","value":"5.7998"},{"id":17,"name":"Train ID","value":"802-12"},{"id":16,"name":"Locomotive ID","value":"4019"},{"id":130,"name":"Impact","value":""},{"id":150,"name":"Time of Event (Mountain Time)","value":"06:26:26"},{"id":151,"name":"Denver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hidden="1" x14ac:dyDescent="0.25">
      <c r="A167" s="39" t="s">
        <v>380</v>
      </c>
      <c r="B167" s="7">
        <v>4025</v>
      </c>
      <c r="C167" s="24" t="s">
        <v>108</v>
      </c>
      <c r="D167" s="24" t="s">
        <v>649</v>
      </c>
      <c r="E167" s="15">
        <v>42625.26122685185</v>
      </c>
      <c r="F167" s="15">
        <v>42625.264976851853</v>
      </c>
      <c r="G167" s="7">
        <v>1</v>
      </c>
      <c r="H167" s="15" t="s">
        <v>650</v>
      </c>
      <c r="I167" s="15">
        <v>42625.274386574078</v>
      </c>
      <c r="J167" s="7">
        <v>2</v>
      </c>
      <c r="K167" s="121" t="str">
        <f t="shared" si="77"/>
        <v>4025/4026</v>
      </c>
      <c r="L167" s="24" t="str">
        <f>VLOOKUP(A167,'Trips&amp;Operators'!$C$1:$E$10000,3,FALSE)</f>
        <v>ROCHA</v>
      </c>
      <c r="M167" s="6">
        <f t="shared" si="78"/>
        <v>9.4097222245181911E-3</v>
      </c>
      <c r="N167" s="7">
        <f t="shared" si="91"/>
        <v>13.550000003306195</v>
      </c>
      <c r="O167" s="7"/>
      <c r="P167" s="7"/>
      <c r="Q167" s="25"/>
      <c r="R167" s="25"/>
      <c r="S167" s="37">
        <f t="shared" si="93"/>
        <v>1</v>
      </c>
      <c r="T167" s="52" t="str">
        <f t="shared" si="79"/>
        <v>NorthBound</v>
      </c>
      <c r="U167" s="16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05:16:10-0600',mode:absolute,to:'2016-09-12 07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67" s="54" t="str">
        <f t="shared" si="81"/>
        <v>N</v>
      </c>
      <c r="X167" s="168">
        <f t="shared" si="92"/>
        <v>1</v>
      </c>
      <c r="Y167" s="69">
        <f t="shared" si="82"/>
        <v>8.8800000000000004E-2</v>
      </c>
      <c r="Z167" s="69">
        <f t="shared" si="83"/>
        <v>5.9002999999999997</v>
      </c>
      <c r="AA167" s="69">
        <f t="shared" si="84"/>
        <v>5.8114999999999997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 t="shared" si="85"/>
        <v>0803-12</v>
      </c>
      <c r="AE167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67" s="96" t="str">
        <f t="shared" si="87"/>
        <v>"C:\Program Files (x86)\AstroGrep\AstroGrep.exe" /spath="%USERPROFILE%\AppData\Local\Temp\OnboardLogs" /stypes="app*4025*20160912*" /stext=" 12:.+((SYSTEM_STATE.+slice.+state.+changed )|(ment ac)|(system.+state.+changed )|(\|lc)|(penalty)|(\[timeout)|(PRM\|1\|D)|(kpr)|(kdp))" /e /r /s</v>
      </c>
      <c r="AG167" s="1" t="str">
        <f t="shared" si="88"/>
        <v>NW</v>
      </c>
      <c r="AH167" s="100" t="str">
        <f t="shared" si="89"/>
        <v>"%USERPROFILE%\Documents\GitHub\eaglep3\Utilities\RefineRTDCRunTimes.py" --tripid 803-12 --locoid 4025 --swversion DE.1.0.7.0 --startMP 204:888 --initTime 2016-09-12T06:16:10 --startdatetime 2016-09-12T06:21:34 --delay 1 --endMP 300:59003 --enddatetime 2016-09-12T06:35:07 --enforcementcount 2 &gt;&gt;C:\Users\stu\Documents\GitHub\eaglep3-reporting\EC\2016-09-12-refined-times.txt</v>
      </c>
      <c r="AI167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{"issue":{"subject":"","project_id":79,"tracker_id":40,"status_id":1,"priority_id":2,"assigned_to_id":23,"start_date":"2016-09-12","description":"","custom_fields":[{"id":1,"name":"Subdivision","value":"NW"},{"id":4,"name":"Milepost","value":"5.8115"},{"id":17,"name":"Train ID","value":"803-12"},{"id":16,"name":"Locomotive ID","value":"4025"},{"id":130,"name":"Impact","value":""},{"id":150,"name":"Time of Event (Mountain Time)","value":"06:35:07"},{"id":151,"name":"Denver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hidden="1" x14ac:dyDescent="0.25">
      <c r="A168" s="39" t="s">
        <v>651</v>
      </c>
      <c r="B168" s="7">
        <v>4026</v>
      </c>
      <c r="C168" s="24" t="s">
        <v>108</v>
      </c>
      <c r="D168" s="24" t="s">
        <v>652</v>
      </c>
      <c r="E168" s="15">
        <v>42625.277222222219</v>
      </c>
      <c r="F168" s="15">
        <v>42625.279861111114</v>
      </c>
      <c r="G168" s="7">
        <v>2</v>
      </c>
      <c r="H168" s="15" t="s">
        <v>653</v>
      </c>
      <c r="I168" s="15">
        <v>42625.289282407408</v>
      </c>
      <c r="J168" s="7">
        <v>2</v>
      </c>
      <c r="K168" s="121" t="str">
        <f t="shared" si="77"/>
        <v>4025/4026</v>
      </c>
      <c r="L168" s="24" t="str">
        <f>VLOOKUP(A168,'Trips&amp;Operators'!$C$1:$E$10000,3,FALSE)</f>
        <v>ROCHA</v>
      </c>
      <c r="M168" s="6">
        <f t="shared" si="78"/>
        <v>9.4212962940218858E-3</v>
      </c>
      <c r="N168" s="7">
        <f t="shared" si="91"/>
        <v>13.566666663391516</v>
      </c>
      <c r="O168" s="7"/>
      <c r="P168" s="7"/>
      <c r="Q168" s="25"/>
      <c r="R168" s="25"/>
      <c r="S168" s="37">
        <f t="shared" si="93"/>
        <v>1</v>
      </c>
      <c r="T168" s="52" t="str">
        <f t="shared" si="79"/>
        <v>Southbound</v>
      </c>
      <c r="U168" s="16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05:39:12-0600',mode:absolute,to:'2016-09-12 07:56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68" s="54" t="str">
        <f t="shared" si="81"/>
        <v>N</v>
      </c>
      <c r="X168" s="168">
        <f t="shared" si="92"/>
        <v>1</v>
      </c>
      <c r="Y168" s="69">
        <f t="shared" si="82"/>
        <v>5.8681000000000001</v>
      </c>
      <c r="Z168" s="69">
        <f t="shared" si="83"/>
        <v>6.9099999999999995E-2</v>
      </c>
      <c r="AA168" s="69">
        <f t="shared" si="84"/>
        <v>5.7990000000000004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 t="shared" si="85"/>
        <v>0804-12</v>
      </c>
      <c r="AE168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68" s="96" t="str">
        <f t="shared" si="87"/>
        <v>"C:\Program Files (x86)\AstroGrep\AstroGrep.exe" /spath="%USERPROFILE%\AppData\Local\Temp\OnboardLogs" /stypes="app*4026*20160912*" /stext=" 12:.+((SYSTEM_STATE.+slice.+state.+changed )|(ment ac)|(system.+state.+changed )|(\|lc)|(penalty)|(\[timeout)|(PRM\|1\|D)|(kpr)|(kdp))" /e /r /s</v>
      </c>
      <c r="AG168" s="1" t="str">
        <f t="shared" si="88"/>
        <v>NW</v>
      </c>
      <c r="AH168" s="100" t="str">
        <f t="shared" si="89"/>
        <v>"%USERPROFILE%\Documents\GitHub\eaglep3\Utilities\RefineRTDCRunTimes.py" --tripid 804-12 --locoid 4026 --swversion DE.1.0.7.0 --startMP 300:58681 --initTime 2016-09-12T06:39:12 --startdatetime 2016-09-12T06:43:00 --delay 2 --endMP 204:691 --enddatetime 2016-09-12T06:56:34 --enforcementcount 2 &gt;&gt;C:\Users\stu\Documents\GitHub\eaglep3-reporting\EC\2016-09-12-refined-times.txt</v>
      </c>
      <c r="AI168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{"issue":{"subject":"","project_id":79,"tracker_id":40,"status_id":1,"priority_id":2,"assigned_to_id":23,"start_date":"2016-09-12","description":"","custom_fields":[{"id":1,"name":"Subdivision","value":"NW"},{"id":4,"name":"Milepost","value":"5.799"},{"id":17,"name":"Train ID","value":"804-12"},{"id":16,"name":"Locomotive ID","value":"4026"},{"id":130,"name":"Impact","value":""},{"id":150,"name":"Time of Event (Mountain Time)","value":"06:56:34"},{"id":151,"name":"Denver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hidden="1" x14ac:dyDescent="0.25">
      <c r="A169" s="39" t="s">
        <v>382</v>
      </c>
      <c r="B169" s="7">
        <v>4020</v>
      </c>
      <c r="C169" s="24" t="s">
        <v>108</v>
      </c>
      <c r="D169" s="24" t="s">
        <v>654</v>
      </c>
      <c r="E169" s="15">
        <v>42625.282870370371</v>
      </c>
      <c r="F169" s="15">
        <v>42625.285567129627</v>
      </c>
      <c r="G169" s="7">
        <v>1</v>
      </c>
      <c r="H169" s="15" t="s">
        <v>655</v>
      </c>
      <c r="I169" s="15">
        <v>42625.295995370368</v>
      </c>
      <c r="J169" s="7">
        <v>2</v>
      </c>
      <c r="K169" s="121" t="str">
        <f t="shared" si="77"/>
        <v>4019/4020</v>
      </c>
      <c r="L169" s="24" t="str">
        <f>VLOOKUP(A169,'Trips&amp;Operators'!$C$1:$E$10000,3,FALSE)</f>
        <v>DAVIS</v>
      </c>
      <c r="M169" s="6">
        <f t="shared" si="78"/>
        <v>1.0428240741021E-2</v>
      </c>
      <c r="N169" s="7">
        <f t="shared" si="91"/>
        <v>15.01666666707024</v>
      </c>
      <c r="O169" s="7"/>
      <c r="P169" s="7"/>
      <c r="Q169" s="25"/>
      <c r="R169" s="25"/>
      <c r="S169" s="37">
        <f t="shared" si="93"/>
        <v>1</v>
      </c>
      <c r="T169" s="52" t="str">
        <f t="shared" si="79"/>
        <v>NorthBound</v>
      </c>
      <c r="U169" s="16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05:47:20-0600',mode:absolute,to:'2016-09-12 08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69" s="54" t="str">
        <f t="shared" si="81"/>
        <v>N</v>
      </c>
      <c r="X169" s="168">
        <f t="shared" si="92"/>
        <v>1</v>
      </c>
      <c r="Y169" s="69">
        <f t="shared" si="82"/>
        <v>9.3399999999999997E-2</v>
      </c>
      <c r="Z169" s="69">
        <f t="shared" si="83"/>
        <v>5.8624000000000001</v>
      </c>
      <c r="AA169" s="69">
        <f t="shared" si="84"/>
        <v>5.7690000000000001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 t="shared" si="85"/>
        <v>0805-12</v>
      </c>
      <c r="AE169" s="99" t="str">
        <f t="shared" si="86"/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AF169" s="96" t="str">
        <f t="shared" si="87"/>
        <v>"C:\Program Files (x86)\AstroGrep\AstroGrep.exe" /spath="%USERPROFILE%\AppData\Local\Temp\OnboardLogs" /stypes="app*4020*20160912*" /stext=" 13:.+((SYSTEM_STATE.+slice.+state.+changed )|(ment ac)|(system.+state.+changed )|(\|lc)|(penalty)|(\[timeout)|(PRM\|1\|D)|(kpr)|(kdp))" /e /r /s</v>
      </c>
      <c r="AG169" s="1" t="str">
        <f t="shared" si="88"/>
        <v>NW</v>
      </c>
      <c r="AH169" s="100" t="str">
        <f t="shared" si="89"/>
        <v>"%USERPROFILE%\Documents\GitHub\eaglep3\Utilities\RefineRTDCRunTimes.py" --tripid 805-12 --locoid 4020 --swversion DE.1.0.7.0 --startMP 204:934 --initTime 2016-09-12T06:47:20 --startdatetime 2016-09-12T06:51:13 --delay 1 --endMP 300:58624 --enddatetime 2016-09-12T07:06:14 --enforcementcount 2 &gt;&gt;C:\Users\stu\Documents\GitHub\eaglep3-reporting\EC\2016-09-12-refined-times.txt</v>
      </c>
      <c r="AI169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{"issue":{"subject":"","project_id":79,"tracker_id":40,"status_id":1,"priority_id":2,"assigned_to_id":23,"start_date":"2016-09-12","description":"","custom_fields":[{"id":1,"name":"Subdivision","value":"NW"},{"id":4,"name":"Milepost","value":"5.769"},{"id":17,"name":"Train ID","value":"805-12"},{"id":16,"name":"Locomotive ID","value":"4020"},{"id":130,"name":"Impact","value":""},{"id":150,"name":"Time of Event (Mountain Time)","value":"07:06:14"},{"id":151,"name":"Denver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hidden="1" x14ac:dyDescent="0.25">
      <c r="A170" s="39" t="s">
        <v>383</v>
      </c>
      <c r="B170" s="7">
        <v>4019</v>
      </c>
      <c r="C170" s="24" t="s">
        <v>108</v>
      </c>
      <c r="D170" s="24" t="s">
        <v>656</v>
      </c>
      <c r="E170" s="15">
        <v>42625.297210648147</v>
      </c>
      <c r="F170" s="15">
        <v>42625.299016203702</v>
      </c>
      <c r="G170" s="7">
        <v>1</v>
      </c>
      <c r="H170" s="15" t="s">
        <v>657</v>
      </c>
      <c r="I170" s="15">
        <v>42625.309803240743</v>
      </c>
      <c r="J170" s="7">
        <v>2</v>
      </c>
      <c r="K170" s="121" t="str">
        <f t="shared" si="77"/>
        <v>4019/4020</v>
      </c>
      <c r="L170" s="24" t="str">
        <f>VLOOKUP(A170,'Trips&amp;Operators'!$C$1:$E$10000,3,FALSE)</f>
        <v>DAVIS</v>
      </c>
      <c r="M170" s="6">
        <f t="shared" si="78"/>
        <v>1.078703704115469E-2</v>
      </c>
      <c r="N170" s="7">
        <f t="shared" si="91"/>
        <v>15.533333339262754</v>
      </c>
      <c r="O170" s="7"/>
      <c r="P170" s="7"/>
      <c r="Q170" s="25"/>
      <c r="R170" s="25"/>
      <c r="S170" s="37">
        <f t="shared" si="93"/>
        <v>1</v>
      </c>
      <c r="T170" s="52" t="str">
        <f t="shared" si="79"/>
        <v>Southbound</v>
      </c>
      <c r="U170" s="16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06:07:59-0600',mode:absolute,to:'2016-09-12 08:26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70" s="54" t="str">
        <f t="shared" si="81"/>
        <v>N</v>
      </c>
      <c r="X170" s="168">
        <f t="shared" si="92"/>
        <v>1</v>
      </c>
      <c r="Y170" s="69">
        <f t="shared" si="82"/>
        <v>5.8701999999999996</v>
      </c>
      <c r="Z170" s="69">
        <f t="shared" si="83"/>
        <v>6.3600000000000004E-2</v>
      </c>
      <c r="AA170" s="69">
        <f t="shared" si="84"/>
        <v>5.8065999999999995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 t="shared" si="85"/>
        <v>0806-12</v>
      </c>
      <c r="AE170" s="99" t="str">
        <f t="shared" si="86"/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170" s="96" t="str">
        <f t="shared" si="87"/>
        <v>"C:\Program Files (x86)\AstroGrep\AstroGrep.exe" /spath="%USERPROFILE%\AppData\Local\Temp\OnboardLogs" /stypes="app*4019*20160912*" /stext=" 13:.+((SYSTEM_STATE.+slice.+state.+changed )|(ment ac)|(system.+state.+changed )|(\|lc)|(penalty)|(\[timeout)|(PRM\|1\|D)|(kpr)|(kdp))" /e /r /s</v>
      </c>
      <c r="AG170" s="1" t="str">
        <f t="shared" si="88"/>
        <v>NW</v>
      </c>
      <c r="AH170" s="100" t="str">
        <f t="shared" si="89"/>
        <v>"%USERPROFILE%\Documents\GitHub\eaglep3\Utilities\RefineRTDCRunTimes.py" --tripid 806-12 --locoid 4019 --swversion DE.1.0.7.0 --startMP 300:58702 --initTime 2016-09-12T07:07:59 --startdatetime 2016-09-12T07:10:35 --delay 1 --endMP 204:636 --enddatetime 2016-09-12T07:26:07 --enforcementcount 2 &gt;&gt;C:\Users\stu\Documents\GitHub\eaglep3-reporting\EC\2016-09-12-refined-times.txt</v>
      </c>
      <c r="AI170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{"issue":{"subject":"","project_id":79,"tracker_id":40,"status_id":1,"priority_id":2,"assigned_to_id":23,"start_date":"2016-09-12","description":"","custom_fields":[{"id":1,"name":"Subdivision","value":"NW"},{"id":4,"name":"Milepost","value":"5.8066"},{"id":17,"name":"Train ID","value":"806-12"},{"id":16,"name":"Locomotive ID","value":"4019"},{"id":130,"name":"Impact","value":""},{"id":150,"name":"Time of Event (Mountain Time)","value":"07:26:07"},{"id":151,"name":"Denver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hidden="1" x14ac:dyDescent="0.25">
      <c r="A171" s="39" t="s">
        <v>384</v>
      </c>
      <c r="B171" s="7">
        <v>4025</v>
      </c>
      <c r="C171" s="24" t="s">
        <v>108</v>
      </c>
      <c r="D171" s="24" t="s">
        <v>658</v>
      </c>
      <c r="E171" s="15">
        <v>42625.305138888885</v>
      </c>
      <c r="F171" s="15">
        <v>42625.306527777779</v>
      </c>
      <c r="G171" s="7">
        <v>1</v>
      </c>
      <c r="H171" s="15" t="s">
        <v>659</v>
      </c>
      <c r="I171" s="15">
        <v>42625.316076388888</v>
      </c>
      <c r="J171" s="7">
        <v>2</v>
      </c>
      <c r="K171" s="121" t="str">
        <f t="shared" si="77"/>
        <v>4025/4026</v>
      </c>
      <c r="L171" s="24" t="str">
        <f>VLOOKUP(A171,'Trips&amp;Operators'!$C$1:$E$10000,3,FALSE)</f>
        <v>ROCHA</v>
      </c>
      <c r="M171" s="6">
        <f t="shared" si="78"/>
        <v>9.5486111094942316E-3</v>
      </c>
      <c r="N171" s="7">
        <f t="shared" si="91"/>
        <v>13.749999997671694</v>
      </c>
      <c r="O171" s="7"/>
      <c r="P171" s="7"/>
      <c r="Q171" s="25"/>
      <c r="R171" s="25"/>
      <c r="S171" s="37">
        <f t="shared" si="93"/>
        <v>1</v>
      </c>
      <c r="T171" s="52" t="str">
        <f t="shared" si="79"/>
        <v>NorthBound</v>
      </c>
      <c r="U171" s="16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06:19:24-0600',mode:absolute,to:'2016-09-12 08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1" s="54" t="str">
        <f t="shared" si="81"/>
        <v>N</v>
      </c>
      <c r="X171" s="168">
        <f t="shared" si="92"/>
        <v>1</v>
      </c>
      <c r="Y171" s="69">
        <f t="shared" si="82"/>
        <v>9.7600000000000006E-2</v>
      </c>
      <c r="Z171" s="69">
        <f t="shared" si="83"/>
        <v>5.8975</v>
      </c>
      <c r="AA171" s="69">
        <f t="shared" si="84"/>
        <v>5.7999000000000001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 t="shared" si="85"/>
        <v>0807-12</v>
      </c>
      <c r="AE171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71" s="96" t="str">
        <f t="shared" si="87"/>
        <v>"C:\Program Files (x86)\AstroGrep\AstroGrep.exe" /spath="%USERPROFILE%\AppData\Local\Temp\OnboardLogs" /stypes="app*4025*20160912*" /stext=" 13:.+((SYSTEM_STATE.+slice.+state.+changed )|(ment ac)|(system.+state.+changed )|(\|lc)|(penalty)|(\[timeout)|(PRM\|1\|D)|(kpr)|(kdp))" /e /r /s</v>
      </c>
      <c r="AG171" s="1" t="str">
        <f t="shared" si="88"/>
        <v>NW</v>
      </c>
      <c r="AH171" s="100" t="str">
        <f t="shared" si="89"/>
        <v>"%USERPROFILE%\Documents\GitHub\eaglep3\Utilities\RefineRTDCRunTimes.py" --tripid 807-12 --locoid 4025 --swversion DE.1.0.7.0 --startMP 204:976 --initTime 2016-09-12T07:19:24 --startdatetime 2016-09-12T07:21:24 --delay 1 --endMP 300:58975 --enddatetime 2016-09-12T07:35:09 --enforcementcount 2 &gt;&gt;C:\Users\stu\Documents\GitHub\eaglep3-reporting\EC\2016-09-12-refined-times.txt</v>
      </c>
      <c r="AI171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{"issue":{"subject":"","project_id":79,"tracker_id":40,"status_id":1,"priority_id":2,"assigned_to_id":23,"start_date":"2016-09-12","description":"","custom_fields":[{"id":1,"name":"Subdivision","value":"NW"},{"id":4,"name":"Milepost","value":"5.7999"},{"id":17,"name":"Train ID","value":"807-12"},{"id":16,"name":"Locomotive ID","value":"4025"},{"id":130,"name":"Impact","value":""},{"id":150,"name":"Time of Event (Mountain Time)","value":"07:35:09"},{"id":151,"name":"Denver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hidden="1" x14ac:dyDescent="0.25">
      <c r="A172" s="39" t="s">
        <v>387</v>
      </c>
      <c r="B172" s="7">
        <v>4026</v>
      </c>
      <c r="C172" s="24" t="s">
        <v>108</v>
      </c>
      <c r="D172" s="24" t="s">
        <v>660</v>
      </c>
      <c r="E172" s="15">
        <v>42625.31759259259</v>
      </c>
      <c r="F172" s="15">
        <v>42625.31890046296</v>
      </c>
      <c r="G172" s="7">
        <v>0</v>
      </c>
      <c r="H172" s="15" t="s">
        <v>661</v>
      </c>
      <c r="I172" s="15">
        <v>42625.330601851849</v>
      </c>
      <c r="J172" s="7">
        <v>2</v>
      </c>
      <c r="K172" s="121" t="str">
        <f t="shared" si="77"/>
        <v>4025/4026</v>
      </c>
      <c r="L172" s="24" t="str">
        <f>VLOOKUP(A172,'Trips&amp;Operators'!$C$1:$E$10000,3,FALSE)</f>
        <v>ROCHA</v>
      </c>
      <c r="M172" s="6">
        <f t="shared" si="78"/>
        <v>1.17013888884685E-2</v>
      </c>
      <c r="N172" s="7">
        <f t="shared" si="91"/>
        <v>16.84999999939464</v>
      </c>
      <c r="O172" s="7"/>
      <c r="P172" s="7"/>
      <c r="Q172" s="25"/>
      <c r="R172" s="25"/>
      <c r="S172" s="37">
        <f t="shared" si="93"/>
        <v>1</v>
      </c>
      <c r="T172" s="52" t="str">
        <f t="shared" si="79"/>
        <v>Southbound</v>
      </c>
      <c r="U172" s="16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06:37:20-0600',mode:absolute,to:'2016-09-12 08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72" s="54" t="str">
        <f t="shared" si="81"/>
        <v>N</v>
      </c>
      <c r="X172" s="168">
        <f t="shared" si="92"/>
        <v>1</v>
      </c>
      <c r="Y172" s="69">
        <f t="shared" si="82"/>
        <v>5.8654999999999999</v>
      </c>
      <c r="Z172" s="69">
        <f t="shared" si="83"/>
        <v>6.4299999999999996E-2</v>
      </c>
      <c r="AA172" s="69">
        <f t="shared" si="84"/>
        <v>5.8011999999999997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 t="shared" si="85"/>
        <v>0808-12</v>
      </c>
      <c r="AE172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72" s="96" t="str">
        <f t="shared" si="87"/>
        <v>"C:\Program Files (x86)\AstroGrep\AstroGrep.exe" /spath="%USERPROFILE%\AppData\Local\Temp\OnboardLogs" /stypes="app*4026*20160912*" /stext=" 13:.+((SYSTEM_STATE.+slice.+state.+changed )|(ment ac)|(system.+state.+changed )|(\|lc)|(penalty)|(\[timeout)|(PRM\|1\|D)|(kpr)|(kdp))" /e /r /s</v>
      </c>
      <c r="AG172" s="1" t="str">
        <f t="shared" si="88"/>
        <v>NW</v>
      </c>
      <c r="AH172" s="100" t="str">
        <f t="shared" si="89"/>
        <v>"%USERPROFILE%\Documents\GitHub\eaglep3\Utilities\RefineRTDCRunTimes.py" --tripid 808-12 --locoid 4026 --swversion DE.1.0.7.0 --startMP 300:58655 --initTime 2016-09-12T07:37:20 --startdatetime 2016-09-12T07:39:13 --delay 0 --endMP 204:643 --enddatetime 2016-09-12T07:56:04 --enforcementcount 2 &gt;&gt;C:\Users\stu\Documents\GitHub\eaglep3-reporting\EC\2016-09-12-refined-times.txt</v>
      </c>
      <c r="AI172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{"issue":{"subject":"","project_id":79,"tracker_id":40,"status_id":1,"priority_id":2,"assigned_to_id":23,"start_date":"2016-09-12","description":"","custom_fields":[{"id":1,"name":"Subdivision","value":"NW"},{"id":4,"name":"Milepost","value":"5.8012"},{"id":17,"name":"Train ID","value":"808-12"},{"id":16,"name":"Locomotive ID","value":"4026"},{"id":130,"name":"Impact","value":""},{"id":150,"name":"Time of Event (Mountain Time)","value":"07:56:04"},{"id":151,"name":"Denver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hidden="1" x14ac:dyDescent="0.25">
      <c r="A173" s="39" t="s">
        <v>390</v>
      </c>
      <c r="B173" s="7">
        <v>4020</v>
      </c>
      <c r="C173" s="24" t="s">
        <v>108</v>
      </c>
      <c r="D173" s="24" t="s">
        <v>340</v>
      </c>
      <c r="E173" s="15">
        <v>42625.324050925927</v>
      </c>
      <c r="F173" s="15">
        <v>42625.327245370368</v>
      </c>
      <c r="G173" s="7">
        <v>1</v>
      </c>
      <c r="H173" s="15" t="s">
        <v>662</v>
      </c>
      <c r="I173" s="15">
        <v>42625.337800925925</v>
      </c>
      <c r="J173" s="7">
        <v>2</v>
      </c>
      <c r="K173" s="121" t="str">
        <f t="shared" si="77"/>
        <v>4019/4020</v>
      </c>
      <c r="L173" s="24" t="str">
        <f>VLOOKUP(A173,'Trips&amp;Operators'!$C$1:$E$10000,3,FALSE)</f>
        <v>DAVIS</v>
      </c>
      <c r="M173" s="6">
        <f t="shared" si="78"/>
        <v>1.0555555556493346E-2</v>
      </c>
      <c r="N173" s="7">
        <f t="shared" si="91"/>
        <v>15.200000001350418</v>
      </c>
      <c r="O173" s="7"/>
      <c r="P173" s="7"/>
      <c r="Q173" s="25"/>
      <c r="R173" s="25"/>
      <c r="S173" s="37">
        <f t="shared" si="93"/>
        <v>1</v>
      </c>
      <c r="T173" s="52" t="str">
        <f t="shared" si="79"/>
        <v>NorthBound</v>
      </c>
      <c r="U173" s="16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06:46:38-0600',mode:absolute,to:'2016-09-12 09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73" s="54" t="str">
        <f t="shared" si="81"/>
        <v>N</v>
      </c>
      <c r="X173" s="168">
        <f t="shared" si="92"/>
        <v>1</v>
      </c>
      <c r="Y173" s="69">
        <f t="shared" si="82"/>
        <v>9.4100000000000003E-2</v>
      </c>
      <c r="Z173" s="69">
        <f t="shared" si="83"/>
        <v>5.8997000000000002</v>
      </c>
      <c r="AA173" s="69">
        <f t="shared" si="84"/>
        <v>5.8056000000000001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 t="shared" si="85"/>
        <v>0809-12</v>
      </c>
      <c r="AE173" s="99" t="str">
        <f t="shared" si="86"/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AF173" s="96" t="str">
        <f t="shared" si="87"/>
        <v>"C:\Program Files (x86)\AstroGrep\AstroGrep.exe" /spath="%USERPROFILE%\AppData\Local\Temp\OnboardLogs" /stypes="app*4020*20160912*" /stext=" 14:.+((SYSTEM_STATE.+slice.+state.+changed )|(ment ac)|(system.+state.+changed )|(\|lc)|(penalty)|(\[timeout)|(PRM\|1\|D)|(kpr)|(kdp))" /e /r /s</v>
      </c>
      <c r="AG173" s="1" t="str">
        <f t="shared" si="88"/>
        <v>NW</v>
      </c>
      <c r="AH173" s="100" t="str">
        <f t="shared" si="89"/>
        <v>"%USERPROFILE%\Documents\GitHub\eaglep3\Utilities\RefineRTDCRunTimes.py" --tripid 809-12 --locoid 4020 --swversion DE.1.0.7.0 --startMP 204:941 --initTime 2016-09-12T07:46:38 --startdatetime 2016-09-12T07:51:14 --delay 1 --endMP 300:58997 --enddatetime 2016-09-12T08:06:26 --enforcementcount 2 &gt;&gt;C:\Users\stu\Documents\GitHub\eaglep3-reporting\EC\2016-09-12-refined-times.txt</v>
      </c>
      <c r="AI173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{"issue":{"subject":"","project_id":79,"tracker_id":40,"status_id":1,"priority_id":2,"assigned_to_id":23,"start_date":"2016-09-12","description":"","custom_fields":[{"id":1,"name":"Subdivision","value":"NW"},{"id":4,"name":"Milepost","value":"5.8056"},{"id":17,"name":"Train ID","value":"809-12"},{"id":16,"name":"Locomotive ID","value":"4020"},{"id":130,"name":"Impact","value":""},{"id":150,"name":"Time of Event (Mountain Time)","value":"08:06:26"},{"id":151,"name":"Denver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hidden="1" x14ac:dyDescent="0.25">
      <c r="A174" s="39" t="s">
        <v>391</v>
      </c>
      <c r="B174" s="7">
        <v>4019</v>
      </c>
      <c r="C174" s="24" t="s">
        <v>108</v>
      </c>
      <c r="D174" s="24" t="s">
        <v>663</v>
      </c>
      <c r="E174" s="15">
        <v>42625.33865740741</v>
      </c>
      <c r="F174" s="15">
        <v>42625.339907407404</v>
      </c>
      <c r="G174" s="7">
        <v>1</v>
      </c>
      <c r="H174" s="15" t="s">
        <v>664</v>
      </c>
      <c r="I174" s="15">
        <v>42625.351655092592</v>
      </c>
      <c r="J174" s="7">
        <v>2</v>
      </c>
      <c r="K174" s="121" t="str">
        <f t="shared" si="77"/>
        <v>4019/4020</v>
      </c>
      <c r="L174" s="24" t="str">
        <f>VLOOKUP(A174,'Trips&amp;Operators'!$C$1:$E$10000,3,FALSE)</f>
        <v>DAVIS</v>
      </c>
      <c r="M174" s="6">
        <f t="shared" si="78"/>
        <v>1.1747685188311152E-2</v>
      </c>
      <c r="N174" s="7">
        <f t="shared" si="91"/>
        <v>16.916666671168059</v>
      </c>
      <c r="O174" s="7"/>
      <c r="P174" s="7"/>
      <c r="Q174" s="25"/>
      <c r="R174" s="25"/>
      <c r="S174" s="37">
        <f t="shared" si="93"/>
        <v>1</v>
      </c>
      <c r="T174" s="52" t="str">
        <f t="shared" si="79"/>
        <v>Southbound</v>
      </c>
      <c r="U174" s="16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07:07:40-0600',mode:absolute,to:'2016-09-12 09:26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74" s="54" t="str">
        <f t="shared" si="81"/>
        <v>N</v>
      </c>
      <c r="X174" s="168">
        <f t="shared" si="92"/>
        <v>1</v>
      </c>
      <c r="Y174" s="69">
        <f t="shared" si="82"/>
        <v>5.8685</v>
      </c>
      <c r="Z174" s="69">
        <f t="shared" si="83"/>
        <v>7.6600000000000001E-2</v>
      </c>
      <c r="AA174" s="69">
        <f t="shared" si="84"/>
        <v>5.7919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 t="shared" si="85"/>
        <v>0810-12</v>
      </c>
      <c r="AE174" s="99" t="str">
        <f t="shared" si="86"/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174" s="96" t="str">
        <f t="shared" si="87"/>
        <v>"C:\Program Files (x86)\AstroGrep\AstroGrep.exe" /spath="%USERPROFILE%\AppData\Local\Temp\OnboardLogs" /stypes="app*4019*20160912*" /stext=" 14:.+((SYSTEM_STATE.+slice.+state.+changed )|(ment ac)|(system.+state.+changed )|(\|lc)|(penalty)|(\[timeout)|(PRM\|1\|D)|(kpr)|(kdp))" /e /r /s</v>
      </c>
      <c r="AG174" s="1" t="str">
        <f t="shared" si="88"/>
        <v>NW</v>
      </c>
      <c r="AH174" s="100" t="str">
        <f t="shared" si="89"/>
        <v>"%USERPROFILE%\Documents\GitHub\eaglep3\Utilities\RefineRTDCRunTimes.py" --tripid 810-12 --locoid 4019 --swversion DE.1.0.7.0 --startMP 300:58685 --initTime 2016-09-12T08:07:40 --startdatetime 2016-09-12T08:09:28 --delay 1 --endMP 204:766 --enddatetime 2016-09-12T08:26:23 --enforcementcount 2 &gt;&gt;C:\Users\stu\Documents\GitHub\eaglep3-reporting\EC\2016-09-12-refined-times.txt</v>
      </c>
      <c r="AI174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{"issue":{"subject":"","project_id":79,"tracker_id":40,"status_id":1,"priority_id":2,"assigned_to_id":23,"start_date":"2016-09-12","description":"","custom_fields":[{"id":1,"name":"Subdivision","value":"NW"},{"id":4,"name":"Milepost","value":"5.7919"},{"id":17,"name":"Train ID","value":"810-12"},{"id":16,"name":"Locomotive ID","value":"4019"},{"id":130,"name":"Impact","value":""},{"id":150,"name":"Time of Event (Mountain Time)","value":"08:26:23"},{"id":151,"name":"Denver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hidden="1" x14ac:dyDescent="0.25">
      <c r="A175" s="39" t="s">
        <v>665</v>
      </c>
      <c r="B175" s="7">
        <v>4025</v>
      </c>
      <c r="C175" s="24" t="s">
        <v>108</v>
      </c>
      <c r="D175" s="24" t="s">
        <v>666</v>
      </c>
      <c r="E175" s="15">
        <v>42625.345254629632</v>
      </c>
      <c r="F175" s="15">
        <v>42625.348287037035</v>
      </c>
      <c r="G175" s="7">
        <v>2</v>
      </c>
      <c r="H175" s="15" t="s">
        <v>667</v>
      </c>
      <c r="I175" s="15">
        <v>42625.357534722221</v>
      </c>
      <c r="J175" s="7">
        <v>2</v>
      </c>
      <c r="K175" s="121" t="str">
        <f t="shared" si="77"/>
        <v>4025/4026</v>
      </c>
      <c r="L175" s="24" t="str">
        <f>VLOOKUP(A175,'Trips&amp;Operators'!$C$1:$E$10000,3,FALSE)</f>
        <v>ROCHA</v>
      </c>
      <c r="M175" s="6">
        <f t="shared" si="78"/>
        <v>9.2476851859828457E-3</v>
      </c>
      <c r="N175" s="7">
        <f t="shared" si="91"/>
        <v>13.316666667815298</v>
      </c>
      <c r="O175" s="7"/>
      <c r="P175" s="7"/>
      <c r="Q175" s="25"/>
      <c r="R175" s="25"/>
      <c r="S175" s="37">
        <f t="shared" si="93"/>
        <v>1</v>
      </c>
      <c r="T175" s="52" t="str">
        <f t="shared" si="79"/>
        <v>NorthBound</v>
      </c>
      <c r="U175" s="16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07:17:10-0600',mode:absolute,to:'2016-09-12 09:34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5" s="54" t="str">
        <f t="shared" si="81"/>
        <v>N</v>
      </c>
      <c r="X175" s="168">
        <f t="shared" si="92"/>
        <v>1</v>
      </c>
      <c r="Y175" s="69">
        <f t="shared" si="82"/>
        <v>9.5500000000000002E-2</v>
      </c>
      <c r="Z175" s="69">
        <f t="shared" si="83"/>
        <v>5.8954000000000004</v>
      </c>
      <c r="AA175" s="69">
        <f t="shared" si="84"/>
        <v>5.7999000000000001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 t="shared" si="85"/>
        <v>0811-12</v>
      </c>
      <c r="AE175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75" s="96" t="str">
        <f t="shared" si="87"/>
        <v>"C:\Program Files (x86)\AstroGrep\AstroGrep.exe" /spath="%USERPROFILE%\AppData\Local\Temp\OnboardLogs" /stypes="app*4025*20160912*" /stext=" 14:.+((SYSTEM_STATE.+slice.+state.+changed )|(ment ac)|(system.+state.+changed )|(\|lc)|(penalty)|(\[timeout)|(PRM\|1\|D)|(kpr)|(kdp))" /e /r /s</v>
      </c>
      <c r="AG175" s="1" t="str">
        <f t="shared" si="88"/>
        <v>NW</v>
      </c>
      <c r="AH175" s="100" t="str">
        <f t="shared" si="89"/>
        <v>"%USERPROFILE%\Documents\GitHub\eaglep3\Utilities\RefineRTDCRunTimes.py" --tripid 811-12 --locoid 4025 --swversion DE.1.0.7.0 --startMP 204:955 --initTime 2016-09-12T08:17:10 --startdatetime 2016-09-12T08:21:32 --delay 2 --endMP 300:58954 --enddatetime 2016-09-12T08:34:51 --enforcementcount 2 &gt;&gt;C:\Users\stu\Documents\GitHub\eaglep3-reporting\EC\2016-09-12-refined-times.txt</v>
      </c>
      <c r="AI175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{"issue":{"subject":"","project_id":79,"tracker_id":40,"status_id":1,"priority_id":2,"assigned_to_id":23,"start_date":"2016-09-12","description":"","custom_fields":[{"id":1,"name":"Subdivision","value":"NW"},{"id":4,"name":"Milepost","value":"5.7999"},{"id":17,"name":"Train ID","value":"811-12"},{"id":16,"name":"Locomotive ID","value":"4025"},{"id":130,"name":"Impact","value":""},{"id":150,"name":"Time of Event (Mountain Time)","value":"08:34:51"},{"id":151,"name":"Denver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hidden="1" x14ac:dyDescent="0.25">
      <c r="A176" s="39" t="s">
        <v>392</v>
      </c>
      <c r="B176" s="7">
        <v>4026</v>
      </c>
      <c r="C176" s="24" t="s">
        <v>108</v>
      </c>
      <c r="D176" s="24" t="s">
        <v>668</v>
      </c>
      <c r="E176" s="15">
        <v>42625.359247685185</v>
      </c>
      <c r="F176" s="15">
        <v>42625.360520833332</v>
      </c>
      <c r="G176" s="7">
        <v>2</v>
      </c>
      <c r="H176" s="15" t="s">
        <v>338</v>
      </c>
      <c r="I176" s="15">
        <v>42625.371736111112</v>
      </c>
      <c r="J176" s="7">
        <v>2</v>
      </c>
      <c r="K176" s="121" t="str">
        <f t="shared" si="77"/>
        <v>4025/4026</v>
      </c>
      <c r="L176" s="24" t="str">
        <f>VLOOKUP(A176,'Trips&amp;Operators'!$C$1:$E$10000,3,FALSE)</f>
        <v>ROCHA</v>
      </c>
      <c r="M176" s="6">
        <f t="shared" si="78"/>
        <v>1.1215277780138422E-2</v>
      </c>
      <c r="N176" s="7">
        <f t="shared" si="91"/>
        <v>16.150000003399327</v>
      </c>
      <c r="O176" s="7"/>
      <c r="P176" s="7"/>
      <c r="Q176" s="25"/>
      <c r="R176" s="25"/>
      <c r="S176" s="37">
        <f t="shared" si="93"/>
        <v>1</v>
      </c>
      <c r="T176" s="52" t="str">
        <f t="shared" si="79"/>
        <v>Southbound</v>
      </c>
      <c r="U176" s="16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07:37:19-0600',mode:absolute,to:'2016-09-12 09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76" s="54" t="str">
        <f t="shared" si="81"/>
        <v>N</v>
      </c>
      <c r="X176" s="168">
        <f t="shared" si="92"/>
        <v>1</v>
      </c>
      <c r="Y176" s="69">
        <f t="shared" si="82"/>
        <v>5.7766000000000002</v>
      </c>
      <c r="Z176" s="69">
        <f t="shared" si="83"/>
        <v>6.8699999999999997E-2</v>
      </c>
      <c r="AA176" s="69">
        <f t="shared" si="84"/>
        <v>5.7079000000000004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 t="shared" si="85"/>
        <v>0812-12</v>
      </c>
      <c r="AE176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76" s="96" t="str">
        <f t="shared" si="87"/>
        <v>"C:\Program Files (x86)\AstroGrep\AstroGrep.exe" /spath="%USERPROFILE%\AppData\Local\Temp\OnboardLogs" /stypes="app*4026*20160912*" /stext=" 14:.+((SYSTEM_STATE.+slice.+state.+changed )|(ment ac)|(system.+state.+changed )|(\|lc)|(penalty)|(\[timeout)|(PRM\|1\|D)|(kpr)|(kdp))" /e /r /s</v>
      </c>
      <c r="AG176" s="1" t="str">
        <f t="shared" si="88"/>
        <v>NW</v>
      </c>
      <c r="AH176" s="100" t="str">
        <f t="shared" si="89"/>
        <v>"%USERPROFILE%\Documents\GitHub\eaglep3\Utilities\RefineRTDCRunTimes.py" --tripid 812-12 --locoid 4026 --swversion DE.1.0.7.0 --startMP 300:57766 --initTime 2016-09-12T08:37:19 --startdatetime 2016-09-12T08:39:09 --delay 2 --endMP 204:687 --enddatetime 2016-09-12T08:55:18 --enforcementcount 2 &gt;&gt;C:\Users\stu\Documents\GitHub\eaglep3-reporting\EC\2016-09-12-refined-times.txt</v>
      </c>
      <c r="AI176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{"issue":{"subject":"","project_id":79,"tracker_id":40,"status_id":1,"priority_id":2,"assigned_to_id":23,"start_date":"2016-09-12","description":"","custom_fields":[{"id":1,"name":"Subdivision","value":"NW"},{"id":4,"name":"Milepost","value":"5.7079"},{"id":17,"name":"Train ID","value":"812-12"},{"id":16,"name":"Locomotive ID","value":"4026"},{"id":130,"name":"Impact","value":""},{"id":150,"name":"Time of Event (Mountain Time)","value":"08:55:18"},{"id":151,"name":"Denver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hidden="1" x14ac:dyDescent="0.25">
      <c r="A177" s="39" t="s">
        <v>669</v>
      </c>
      <c r="B177" s="7">
        <v>4025</v>
      </c>
      <c r="C177" s="24" t="s">
        <v>108</v>
      </c>
      <c r="D177" s="24" t="s">
        <v>670</v>
      </c>
      <c r="E177" s="15">
        <v>42625.382986111108</v>
      </c>
      <c r="F177" s="15">
        <v>42625.431574074071</v>
      </c>
      <c r="G177" s="7">
        <v>2</v>
      </c>
      <c r="H177" s="15" t="s">
        <v>671</v>
      </c>
      <c r="I177" s="15">
        <v>42625.44121527778</v>
      </c>
      <c r="J177" s="7">
        <v>2</v>
      </c>
      <c r="K177" s="121" t="str">
        <f t="shared" si="77"/>
        <v>4025/4026</v>
      </c>
      <c r="L177" s="24" t="str">
        <f>VLOOKUP(A177,'Trips&amp;Operators'!$C$1:$E$10000,3,FALSE)</f>
        <v>ROCHA</v>
      </c>
      <c r="M177" s="6">
        <f t="shared" si="78"/>
        <v>9.6412037091795355E-3</v>
      </c>
      <c r="N177" s="7">
        <f t="shared" si="91"/>
        <v>13.883333341218531</v>
      </c>
      <c r="O177" s="7"/>
      <c r="P177" s="7"/>
      <c r="Q177" s="25"/>
      <c r="R177" s="25"/>
      <c r="S177" s="37">
        <f t="shared" si="93"/>
        <v>1</v>
      </c>
      <c r="T177" s="52" t="str">
        <f t="shared" si="79"/>
        <v>NorthBound</v>
      </c>
      <c r="U177" s="16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08:11:30-0600',mode:absolute,to:'2016-09-12 11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7" s="54" t="str">
        <f t="shared" si="81"/>
        <v>N</v>
      </c>
      <c r="X177" s="168">
        <f t="shared" si="92"/>
        <v>1</v>
      </c>
      <c r="Y177" s="69">
        <f t="shared" si="82"/>
        <v>9.8500000000000004E-2</v>
      </c>
      <c r="Z177" s="69">
        <f t="shared" si="83"/>
        <v>5.8978000000000002</v>
      </c>
      <c r="AA177" s="69">
        <f t="shared" si="84"/>
        <v>5.7993000000000006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 t="shared" si="85"/>
        <v>0813-12</v>
      </c>
      <c r="AE177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77" s="96" t="str">
        <f t="shared" si="87"/>
        <v>"C:\Program Files (x86)\AstroGrep\AstroGrep.exe" /spath="%USERPROFILE%\AppData\Local\Temp\OnboardLogs" /stypes="app*4025*20160912*" /stext=" 16:.+((SYSTEM_STATE.+slice.+state.+changed )|(ment ac)|(system.+state.+changed )|(\|lc)|(penalty)|(\[timeout)|(PRM\|1\|D)|(kpr)|(kdp))" /e /r /s</v>
      </c>
      <c r="AG177" s="1" t="str">
        <f t="shared" si="88"/>
        <v>NW</v>
      </c>
      <c r="AH177" s="100" t="str">
        <f t="shared" si="89"/>
        <v>"%USERPROFILE%\Documents\GitHub\eaglep3\Utilities\RefineRTDCRunTimes.py" --tripid 813-12 --locoid 4025 --swversion DE.1.0.7.0 --startMP 204:985 --initTime 2016-09-12T09:11:30 --startdatetime 2016-09-12T10:21:28 --delay 2 --endMP 300:58978 --enddatetime 2016-09-12T10:35:21 --enforcementcount 2 &gt;&gt;C:\Users\stu\Documents\GitHub\eaglep3-reporting\EC\2016-09-12-refined-times.txt</v>
      </c>
      <c r="AI177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{"issue":{"subject":"","project_id":79,"tracker_id":40,"status_id":1,"priority_id":2,"assigned_to_id":23,"start_date":"2016-09-12","description":"","custom_fields":[{"id":1,"name":"Subdivision","value":"NW"},{"id":4,"name":"Milepost","value":"5.7993"},{"id":17,"name":"Train ID","value":"813-12"},{"id":16,"name":"Locomotive ID","value":"4025"},{"id":130,"name":"Impact","value":""},{"id":150,"name":"Time of Event (Mountain Time)","value":"10:35:21"},{"id":151,"name":"Denver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s="23" customFormat="1" hidden="1" x14ac:dyDescent="0.25">
      <c r="A178" s="39" t="s">
        <v>672</v>
      </c>
      <c r="B178" s="7">
        <v>4026</v>
      </c>
      <c r="C178" s="24" t="s">
        <v>108</v>
      </c>
      <c r="D178" s="24" t="s">
        <v>656</v>
      </c>
      <c r="E178" s="15">
        <v>42625.401898148149</v>
      </c>
      <c r="F178" s="15">
        <v>42625.403379629628</v>
      </c>
      <c r="G178" s="7">
        <v>1</v>
      </c>
      <c r="H178" s="15" t="s">
        <v>673</v>
      </c>
      <c r="I178" s="15">
        <v>42625.413101851853</v>
      </c>
      <c r="J178" s="7">
        <v>2</v>
      </c>
      <c r="K178" s="121" t="str">
        <f t="shared" si="77"/>
        <v>4025/4026</v>
      </c>
      <c r="L178" s="24" t="str">
        <f>VLOOKUP(A178,'Trips&amp;Operators'!$C$1:$E$10000,3,FALSE)</f>
        <v>ROCHA</v>
      </c>
      <c r="M178" s="6">
        <f t="shared" si="78"/>
        <v>9.7222222248092294E-3</v>
      </c>
      <c r="N178" s="7">
        <f t="shared" si="91"/>
        <v>14.00000000372529</v>
      </c>
      <c r="O178" s="7"/>
      <c r="P178" s="7"/>
      <c r="Q178" s="25"/>
      <c r="R178" s="25"/>
      <c r="S178" s="37">
        <f t="shared" si="93"/>
        <v>1</v>
      </c>
      <c r="T178" s="52" t="str">
        <f t="shared" si="79"/>
        <v>Southbound</v>
      </c>
      <c r="U178" s="16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08:38:44-0600',mode:absolute,to:'2016-09-12 10:54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78" s="54" t="str">
        <f t="shared" si="81"/>
        <v>N</v>
      </c>
      <c r="X178" s="168">
        <f t="shared" si="92"/>
        <v>1</v>
      </c>
      <c r="Y178" s="69">
        <f t="shared" si="82"/>
        <v>5.8701999999999996</v>
      </c>
      <c r="Z178" s="69">
        <f t="shared" si="83"/>
        <v>6.4899999999999999E-2</v>
      </c>
      <c r="AA178" s="69">
        <f t="shared" si="84"/>
        <v>5.8052999999999999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 t="shared" si="85"/>
        <v>0814-12</v>
      </c>
      <c r="AE178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78" s="96" t="str">
        <f t="shared" si="87"/>
        <v>"C:\Program Files (x86)\AstroGrep\AstroGrep.exe" /spath="%USERPROFILE%\AppData\Local\Temp\OnboardLogs" /stypes="app*4026*20160912*" /stext=" 15:.+((SYSTEM_STATE.+slice.+state.+changed )|(ment ac)|(system.+state.+changed )|(\|lc)|(penalty)|(\[timeout)|(PRM\|1\|D)|(kpr)|(kdp))" /e /r /s</v>
      </c>
      <c r="AG178" s="1" t="str">
        <f t="shared" si="88"/>
        <v>NW</v>
      </c>
      <c r="AH178" s="100" t="str">
        <f t="shared" si="89"/>
        <v>"%USERPROFILE%\Documents\GitHub\eaglep3\Utilities\RefineRTDCRunTimes.py" --tripid 814-12 --locoid 4026 --swversion DE.1.0.7.0 --startMP 300:58702 --initTime 2016-09-12T09:38:44 --startdatetime 2016-09-12T09:40:52 --delay 1 --endMP 204:649 --enddatetime 2016-09-12T09:54:52 --enforcementcount 2 &gt;&gt;C:\Users\stu\Documents\GitHub\eaglep3-reporting\EC\2016-09-12-refined-times.txt</v>
      </c>
      <c r="AI178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{"issue":{"subject":"","project_id":79,"tracker_id":40,"status_id":1,"priority_id":2,"assigned_to_id":23,"start_date":"2016-09-12","description":"","custom_fields":[{"id":1,"name":"Subdivision","value":"NW"},{"id":4,"name":"Milepost","value":"5.8053"},{"id":17,"name":"Train ID","value":"814-12"},{"id":16,"name":"Locomotive ID","value":"4026"},{"id":130,"name":"Impact","value":""},{"id":150,"name":"Time of Event (Mountain Time)","value":"09:54:52"},{"id":151,"name":"Denver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hidden="1" x14ac:dyDescent="0.25">
      <c r="A179" s="39" t="s">
        <v>674</v>
      </c>
      <c r="B179" s="7">
        <v>4025</v>
      </c>
      <c r="C179" s="24" t="s">
        <v>108</v>
      </c>
      <c r="D179" s="24" t="s">
        <v>675</v>
      </c>
      <c r="E179" s="15">
        <v>42625.429282407407</v>
      </c>
      <c r="F179" s="15">
        <v>42625.445902777778</v>
      </c>
      <c r="G179" s="7">
        <v>2</v>
      </c>
      <c r="H179" s="15" t="s">
        <v>671</v>
      </c>
      <c r="I179" s="15">
        <v>42625.455011574071</v>
      </c>
      <c r="J179" s="7">
        <v>2</v>
      </c>
      <c r="K179" s="121" t="str">
        <f t="shared" si="77"/>
        <v>4025/4026</v>
      </c>
      <c r="L179" s="24" t="str">
        <f>VLOOKUP(A179,'Trips&amp;Operators'!$C$1:$E$10000,3,FALSE)</f>
        <v>ROCHA</v>
      </c>
      <c r="M179" s="6">
        <f t="shared" si="78"/>
        <v>9.1087962937308475E-3</v>
      </c>
      <c r="N179" s="7">
        <f t="shared" si="91"/>
        <v>13.11666666297242</v>
      </c>
      <c r="O179" s="7"/>
      <c r="P179" s="7"/>
      <c r="Q179" s="25"/>
      <c r="R179" s="25"/>
      <c r="S179" s="37">
        <f t="shared" si="93"/>
        <v>1</v>
      </c>
      <c r="T179" s="52" t="str">
        <f t="shared" si="79"/>
        <v>NorthBound</v>
      </c>
      <c r="U179" s="16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09:18:10-0600',mode:absolute,to:'2016-09-12 11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9" s="54" t="str">
        <f t="shared" si="81"/>
        <v>N</v>
      </c>
      <c r="X179" s="168">
        <f t="shared" si="92"/>
        <v>1</v>
      </c>
      <c r="Y179" s="69">
        <f t="shared" si="82"/>
        <v>9.4600000000000004E-2</v>
      </c>
      <c r="Z179" s="69">
        <f t="shared" si="83"/>
        <v>5.8978000000000002</v>
      </c>
      <c r="AA179" s="69">
        <f t="shared" si="84"/>
        <v>5.8032000000000004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 t="shared" si="85"/>
        <v>0815-12</v>
      </c>
      <c r="AE179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79" s="96" t="str">
        <f t="shared" si="87"/>
        <v>"C:\Program Files (x86)\AstroGrep\AstroGrep.exe" /spath="%USERPROFILE%\AppData\Local\Temp\OnboardLogs" /stypes="app*4025*20160912*" /stext=" 16:.+((SYSTEM_STATE.+slice.+state.+changed )|(ment ac)|(system.+state.+changed )|(\|lc)|(penalty)|(\[timeout)|(PRM\|1\|D)|(kpr)|(kdp))" /e /r /s</v>
      </c>
      <c r="AG179" s="1" t="str">
        <f t="shared" si="88"/>
        <v>NW</v>
      </c>
      <c r="AH179" s="100" t="str">
        <f t="shared" si="89"/>
        <v>"%USERPROFILE%\Documents\GitHub\eaglep3\Utilities\RefineRTDCRunTimes.py" --tripid 815-12 --locoid 4025 --swversion DE.1.0.7.0 --startMP 204:946 --initTime 2016-09-12T10:18:10 --startdatetime 2016-09-12T10:42:06 --delay 2 --endMP 300:58978 --enddatetime 2016-09-12T10:55:13 --enforcementcount 2 &gt;&gt;C:\Users\stu\Documents\GitHub\eaglep3-reporting\EC\2016-09-12-refined-times.txt</v>
      </c>
      <c r="AI179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{"issue":{"subject":"","project_id":79,"tracker_id":40,"status_id":1,"priority_id":2,"assigned_to_id":23,"start_date":"2016-09-12","description":"","custom_fields":[{"id":1,"name":"Subdivision","value":"NW"},{"id":4,"name":"Milepost","value":"5.8032"},{"id":17,"name":"Train ID","value":"815-12"},{"id":16,"name":"Locomotive ID","value":"4025"},{"id":130,"name":"Impact","value":""},{"id":150,"name":"Time of Event (Mountain Time)","value":"10:55:13"},{"id":151,"name":"Denver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hidden="1" x14ac:dyDescent="0.25">
      <c r="A180" s="39" t="s">
        <v>676</v>
      </c>
      <c r="B180" s="7">
        <v>4026</v>
      </c>
      <c r="C180" s="24" t="s">
        <v>108</v>
      </c>
      <c r="D180" s="24" t="s">
        <v>677</v>
      </c>
      <c r="E180" s="15">
        <v>42625.444178240738</v>
      </c>
      <c r="F180" s="15">
        <v>42625.445902777778</v>
      </c>
      <c r="G180" s="7">
        <v>1</v>
      </c>
      <c r="H180" s="15" t="s">
        <v>337</v>
      </c>
      <c r="I180" s="15">
        <v>42625.455011574071</v>
      </c>
      <c r="J180" s="7">
        <v>2</v>
      </c>
      <c r="K180" s="121" t="str">
        <f t="shared" si="77"/>
        <v>4025/4026</v>
      </c>
      <c r="L180" s="24" t="str">
        <f>VLOOKUP(A180,'Trips&amp;Operators'!$C$1:$E$10000,3,FALSE)</f>
        <v>ROCHA</v>
      </c>
      <c r="M180" s="6">
        <f t="shared" si="78"/>
        <v>9.1087962937308475E-3</v>
      </c>
      <c r="N180" s="7">
        <f t="shared" si="91"/>
        <v>13.11666666297242</v>
      </c>
      <c r="O180" s="7"/>
      <c r="P180" s="7"/>
      <c r="Q180" s="25"/>
      <c r="R180" s="25"/>
      <c r="S180" s="37">
        <f t="shared" si="93"/>
        <v>1</v>
      </c>
      <c r="T180" s="52" t="str">
        <f t="shared" si="79"/>
        <v>Southbound</v>
      </c>
      <c r="U180" s="16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09:39:37-0600',mode:absolute,to:'2016-09-12 11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0" s="54" t="str">
        <f t="shared" si="81"/>
        <v>N</v>
      </c>
      <c r="X180" s="168">
        <f t="shared" si="92"/>
        <v>1</v>
      </c>
      <c r="Y180" s="69">
        <f t="shared" si="82"/>
        <v>5.8658000000000001</v>
      </c>
      <c r="Z180" s="69">
        <f t="shared" si="83"/>
        <v>6.6799999999999998E-2</v>
      </c>
      <c r="AA180" s="69">
        <f t="shared" si="84"/>
        <v>5.7990000000000004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 t="shared" si="85"/>
        <v>0816-12</v>
      </c>
      <c r="AE180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80" s="96" t="str">
        <f t="shared" si="87"/>
        <v>"C:\Program Files (x86)\AstroGrep\AstroGrep.exe" /spath="%USERPROFILE%\AppData\Local\Temp\OnboardLogs" /stypes="app*4026*20160912*" /stext=" 16:.+((SYSTEM_STATE.+slice.+state.+changed )|(ment ac)|(system.+state.+changed )|(\|lc)|(penalty)|(\[timeout)|(PRM\|1\|D)|(kpr)|(kdp))" /e /r /s</v>
      </c>
      <c r="AG180" s="1" t="str">
        <f t="shared" si="88"/>
        <v>NW</v>
      </c>
      <c r="AH180" s="100" t="str">
        <f t="shared" si="89"/>
        <v>"%USERPROFILE%\Documents\GitHub\eaglep3\Utilities\RefineRTDCRunTimes.py" --tripid 816-12 --locoid 4026 --swversion DE.1.0.7.0 --startMP 300:58658 --initTime 2016-09-12T10:39:37 --startdatetime 2016-09-12T10:42:06 --delay 1 --endMP 204:668 --enddatetime 2016-09-12T10:55:13 --enforcementcount 2 &gt;&gt;C:\Users\stu\Documents\GitHub\eaglep3-reporting\EC\2016-09-12-refined-times.txt</v>
      </c>
      <c r="AI180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{"issue":{"subject":"","project_id":79,"tracker_id":40,"status_id":1,"priority_id":2,"assigned_to_id":23,"start_date":"2016-09-12","description":"","custom_fields":[{"id":1,"name":"Subdivision","value":"NW"},{"id":4,"name":"Milepost","value":"5.799"},{"id":17,"name":"Train ID","value":"816-12"},{"id":16,"name":"Locomotive ID","value":"4026"},{"id":130,"name":"Impact","value":""},{"id":150,"name":"Time of Event (Mountain Time)","value":"10:55:13"},{"id":151,"name":"Denver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hidden="1" x14ac:dyDescent="0.25">
      <c r="A181" s="39" t="s">
        <v>399</v>
      </c>
      <c r="B181" s="7">
        <v>4025</v>
      </c>
      <c r="C181" s="24" t="s">
        <v>108</v>
      </c>
      <c r="D181" s="24" t="s">
        <v>678</v>
      </c>
      <c r="E181" s="15">
        <v>42625.471053240741</v>
      </c>
      <c r="F181" s="15">
        <v>42625.473217592589</v>
      </c>
      <c r="G181" s="7">
        <v>1</v>
      </c>
      <c r="H181" s="15" t="s">
        <v>667</v>
      </c>
      <c r="I181" s="15">
        <v>42625.48269675926</v>
      </c>
      <c r="J181" s="7">
        <v>2</v>
      </c>
      <c r="K181" s="121" t="str">
        <f t="shared" si="77"/>
        <v>4025/4026</v>
      </c>
      <c r="L181" s="24" t="str">
        <f>VLOOKUP(A181,'Trips&amp;Operators'!$C$1:$E$10000,3,FALSE)</f>
        <v>ROCHA</v>
      </c>
      <c r="M181" s="6">
        <f t="shared" si="78"/>
        <v>9.4791666706441902E-3</v>
      </c>
      <c r="N181" s="7">
        <f t="shared" si="91"/>
        <v>13.650000005727634</v>
      </c>
      <c r="O181" s="7"/>
      <c r="P181" s="7"/>
      <c r="Q181" s="25"/>
      <c r="R181" s="25"/>
      <c r="S181" s="37">
        <f t="shared" si="93"/>
        <v>1</v>
      </c>
      <c r="T181" s="52" t="str">
        <f t="shared" si="79"/>
        <v>NorthBound</v>
      </c>
      <c r="U181" s="16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10:18:19-0600',mode:absolute,to:'2016-09-12 12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1" s="54" t="str">
        <f t="shared" si="81"/>
        <v>N</v>
      </c>
      <c r="X181" s="168">
        <f t="shared" si="92"/>
        <v>1</v>
      </c>
      <c r="Y181" s="69">
        <f t="shared" si="82"/>
        <v>9.5299999999999996E-2</v>
      </c>
      <c r="Z181" s="69">
        <f t="shared" si="83"/>
        <v>5.8954000000000004</v>
      </c>
      <c r="AA181" s="69">
        <f t="shared" si="84"/>
        <v>5.8001000000000005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 t="shared" si="85"/>
        <v>0817-12</v>
      </c>
      <c r="AE181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81" s="96" t="str">
        <f t="shared" si="87"/>
        <v>"C:\Program Files (x86)\AstroGrep\AstroGrep.exe" /spath="%USERPROFILE%\AppData\Local\Temp\OnboardLogs" /stypes="app*4025*20160912*" /stext=" 17:.+((SYSTEM_STATE.+slice.+state.+changed )|(ment ac)|(system.+state.+changed )|(\|lc)|(penalty)|(\[timeout)|(PRM\|1\|D)|(kpr)|(kdp))" /e /r /s</v>
      </c>
      <c r="AG181" s="1" t="str">
        <f t="shared" si="88"/>
        <v>NW</v>
      </c>
      <c r="AH181" s="100" t="str">
        <f t="shared" si="89"/>
        <v>"%USERPROFILE%\Documents\GitHub\eaglep3\Utilities\RefineRTDCRunTimes.py" --tripid 817-12 --locoid 4025 --swversion DE.1.0.7.0 --startMP 204:953 --initTime 2016-09-12T11:18:19 --startdatetime 2016-09-12T11:21:26 --delay 1 --endMP 300:58954 --enddatetime 2016-09-12T11:35:05 --enforcementcount 2 &gt;&gt;C:\Users\stu\Documents\GitHub\eaglep3-reporting\EC\2016-09-12-refined-times.txt</v>
      </c>
      <c r="AI181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{"issue":{"subject":"","project_id":79,"tracker_id":40,"status_id":1,"priority_id":2,"assigned_to_id":23,"start_date":"2016-09-12","description":"","custom_fields":[{"id":1,"name":"Subdivision","value":"NW"},{"id":4,"name":"Milepost","value":"5.8001"},{"id":17,"name":"Train ID","value":"817-12"},{"id":16,"name":"Locomotive ID","value":"4025"},{"id":130,"name":"Impact","value":""},{"id":150,"name":"Time of Event (Mountain Time)","value":"11:35:05"},{"id":151,"name":"Denver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hidden="1" x14ac:dyDescent="0.25">
      <c r="A182" s="39" t="s">
        <v>679</v>
      </c>
      <c r="B182" s="7">
        <v>4026</v>
      </c>
      <c r="C182" s="24" t="s">
        <v>108</v>
      </c>
      <c r="D182" s="24" t="s">
        <v>343</v>
      </c>
      <c r="E182" s="15">
        <v>42625.484479166669</v>
      </c>
      <c r="F182" s="15">
        <v>42625.486006944448</v>
      </c>
      <c r="G182" s="7">
        <v>1</v>
      </c>
      <c r="H182" s="15" t="s">
        <v>680</v>
      </c>
      <c r="I182" s="15">
        <v>42625.49695601852</v>
      </c>
      <c r="J182" s="7">
        <v>2</v>
      </c>
      <c r="K182" s="121" t="str">
        <f t="shared" si="77"/>
        <v>4025/4026</v>
      </c>
      <c r="L182" s="24" t="str">
        <f>VLOOKUP(A182,'Trips&amp;Operators'!$C$1:$E$10000,3,FALSE)</f>
        <v>ROCHA</v>
      </c>
      <c r="M182" s="6">
        <f t="shared" si="78"/>
        <v>1.0949074072414078E-2</v>
      </c>
      <c r="N182" s="7">
        <f t="shared" ref="N182:N213" si="94">24*60*SUM($M182:$M182)</f>
        <v>15.766666664276272</v>
      </c>
      <c r="O182" s="7"/>
      <c r="P182" s="7"/>
      <c r="Q182" s="25"/>
      <c r="R182" s="25"/>
      <c r="S182" s="37">
        <f t="shared" si="93"/>
        <v>1</v>
      </c>
      <c r="T182" s="52" t="str">
        <f t="shared" si="79"/>
        <v>Southbound</v>
      </c>
      <c r="U182" s="16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10:37:39-0600',mode:absolute,to:'2016-09-12 12:55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2" s="54" t="str">
        <f t="shared" si="81"/>
        <v>N</v>
      </c>
      <c r="X182" s="168">
        <f t="shared" si="92"/>
        <v>1</v>
      </c>
      <c r="Y182" s="69">
        <f t="shared" si="82"/>
        <v>5.8635999999999999</v>
      </c>
      <c r="Z182" s="69">
        <f t="shared" si="83"/>
        <v>6.5199999999999994E-2</v>
      </c>
      <c r="AA182" s="69">
        <f t="shared" si="84"/>
        <v>5.7984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 t="shared" si="85"/>
        <v>0818-12</v>
      </c>
      <c r="AE182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82" s="96" t="str">
        <f t="shared" si="87"/>
        <v>"C:\Program Files (x86)\AstroGrep\AstroGrep.exe" /spath="%USERPROFILE%\AppData\Local\Temp\OnboardLogs" /stypes="app*4026*20160912*" /stext=" 17:.+((SYSTEM_STATE.+slice.+state.+changed )|(ment ac)|(system.+state.+changed )|(\|lc)|(penalty)|(\[timeout)|(PRM\|1\|D)|(kpr)|(kdp))" /e /r /s</v>
      </c>
      <c r="AG182" s="1" t="str">
        <f t="shared" si="88"/>
        <v>NW</v>
      </c>
      <c r="AH182" s="100" t="str">
        <f t="shared" si="89"/>
        <v>"%USERPROFILE%\Documents\GitHub\eaglep3\Utilities\RefineRTDCRunTimes.py" --tripid 818-12 --locoid 4026 --swversion DE.1.0.7.0 --startMP 300:58636 --initTime 2016-09-12T11:37:39 --startdatetime 2016-09-12T11:39:51 --delay 1 --endMP 204:652 --enddatetime 2016-09-12T11:55:37 --enforcementcount 2 &gt;&gt;C:\Users\stu\Documents\GitHub\eaglep3-reporting\EC\2016-09-12-refined-times.txt</v>
      </c>
      <c r="AI182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{"issue":{"subject":"","project_id":79,"tracker_id":40,"status_id":1,"priority_id":2,"assigned_to_id":23,"start_date":"2016-09-12","description":"","custom_fields":[{"id":1,"name":"Subdivision","value":"NW"},{"id":4,"name":"Milepost","value":"5.7984"},{"id":17,"name":"Train ID","value":"818-12"},{"id":16,"name":"Locomotive ID","value":"4026"},{"id":130,"name":"Impact","value":""},{"id":150,"name":"Time of Event (Mountain Time)","value":"11:55:37"},{"id":151,"name":"Denver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s="23" customFormat="1" hidden="1" x14ac:dyDescent="0.25">
      <c r="A183" s="39" t="s">
        <v>681</v>
      </c>
      <c r="B183" s="7">
        <v>4025</v>
      </c>
      <c r="C183" s="24" t="s">
        <v>108</v>
      </c>
      <c r="D183" s="24" t="s">
        <v>682</v>
      </c>
      <c r="E183" s="15">
        <v>42625.513506944444</v>
      </c>
      <c r="F183" s="15">
        <v>42625.515185185184</v>
      </c>
      <c r="G183" s="7">
        <v>2</v>
      </c>
      <c r="H183" s="15" t="s">
        <v>671</v>
      </c>
      <c r="I183" s="15">
        <v>42625.524108796293</v>
      </c>
      <c r="J183" s="7">
        <v>2</v>
      </c>
      <c r="K183" s="121" t="str">
        <f t="shared" si="77"/>
        <v>4025/4026</v>
      </c>
      <c r="L183" s="24" t="str">
        <f>VLOOKUP(A183,'Trips&amp;Operators'!$C$1:$E$10000,3,FALSE)</f>
        <v>ROCHA</v>
      </c>
      <c r="M183" s="6">
        <f t="shared" si="78"/>
        <v>8.923611108912155E-3</v>
      </c>
      <c r="N183" s="7">
        <f t="shared" si="94"/>
        <v>12.849999996833503</v>
      </c>
      <c r="O183" s="7"/>
      <c r="P183" s="7"/>
      <c r="Q183" s="25"/>
      <c r="R183" s="25"/>
      <c r="S183" s="37">
        <f t="shared" si="93"/>
        <v>1</v>
      </c>
      <c r="T183" s="52" t="str">
        <f t="shared" si="79"/>
        <v>NorthBound</v>
      </c>
      <c r="U183" s="16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11:19:27-0600',mode:absolute,to:'2016-09-12 13:34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3" s="54" t="str">
        <f t="shared" si="81"/>
        <v>N</v>
      </c>
      <c r="X183" s="168">
        <f t="shared" si="92"/>
        <v>1</v>
      </c>
      <c r="Y183" s="69">
        <f t="shared" si="82"/>
        <v>9.7900000000000001E-2</v>
      </c>
      <c r="Z183" s="69">
        <f t="shared" si="83"/>
        <v>5.8978000000000002</v>
      </c>
      <c r="AA183" s="69">
        <f t="shared" si="84"/>
        <v>5.7999000000000001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 t="shared" si="85"/>
        <v>0819-12</v>
      </c>
      <c r="AE183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83" s="96" t="str">
        <f t="shared" si="87"/>
        <v>"C:\Program Files (x86)\AstroGrep\AstroGrep.exe" /spath="%USERPROFILE%\AppData\Local\Temp\OnboardLogs" /stypes="app*4025*20160912*" /stext=" 18:.+((SYSTEM_STATE.+slice.+state.+changed )|(ment ac)|(system.+state.+changed )|(\|lc)|(penalty)|(\[timeout)|(PRM\|1\|D)|(kpr)|(kdp))" /e /r /s</v>
      </c>
      <c r="AG183" s="1" t="str">
        <f t="shared" si="88"/>
        <v>NW</v>
      </c>
      <c r="AH183" s="100" t="str">
        <f t="shared" si="89"/>
        <v>"%USERPROFILE%\Documents\GitHub\eaglep3\Utilities\RefineRTDCRunTimes.py" --tripid 819-12 --locoid 4025 --swversion DE.1.0.7.0 --startMP 204:979 --initTime 2016-09-12T12:19:27 --startdatetime 2016-09-12T12:21:52 --delay 2 --endMP 300:58978 --enddatetime 2016-09-12T12:34:43 --enforcementcount 2 &gt;&gt;C:\Users\stu\Documents\GitHub\eaglep3-reporting\EC\2016-09-12-refined-times.txt</v>
      </c>
      <c r="AI183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{"issue":{"subject":"","project_id":79,"tracker_id":40,"status_id":1,"priority_id":2,"assigned_to_id":23,"start_date":"2016-09-12","description":"","custom_fields":[{"id":1,"name":"Subdivision","value":"NW"},{"id":4,"name":"Milepost","value":"5.7999"},{"id":17,"name":"Train ID","value":"819-12"},{"id":16,"name":"Locomotive ID","value":"4025"},{"id":130,"name":"Impact","value":""},{"id":150,"name":"Time of Event (Mountain Time)","value":"12:34:43"},{"id":151,"name":"Denver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hidden="1" x14ac:dyDescent="0.25">
      <c r="A184" s="39" t="s">
        <v>683</v>
      </c>
      <c r="B184" s="7">
        <v>4026</v>
      </c>
      <c r="C184" s="24" t="s">
        <v>108</v>
      </c>
      <c r="D184" s="24" t="s">
        <v>660</v>
      </c>
      <c r="E184" s="15">
        <v>42625.525208333333</v>
      </c>
      <c r="F184" s="15">
        <v>42625.527175925927</v>
      </c>
      <c r="G184" s="7">
        <v>1</v>
      </c>
      <c r="H184" s="15" t="s">
        <v>684</v>
      </c>
      <c r="I184" s="15">
        <v>42625.538229166668</v>
      </c>
      <c r="J184" s="7">
        <v>2</v>
      </c>
      <c r="K184" s="121" t="str">
        <f t="shared" si="77"/>
        <v>4025/4026</v>
      </c>
      <c r="L184" s="24" t="str">
        <f>VLOOKUP(A184,'Trips&amp;Operators'!$C$1:$E$10000,3,FALSE)</f>
        <v>ROCHA</v>
      </c>
      <c r="M184" s="6">
        <f t="shared" si="78"/>
        <v>1.1053240741603076E-2</v>
      </c>
      <c r="N184" s="7">
        <f t="shared" si="94"/>
        <v>15.91666666790843</v>
      </c>
      <c r="O184" s="7"/>
      <c r="P184" s="7"/>
      <c r="Q184" s="25"/>
      <c r="R184" s="25"/>
      <c r="S184" s="37">
        <f t="shared" si="93"/>
        <v>1</v>
      </c>
      <c r="T184" s="52" t="str">
        <f t="shared" si="79"/>
        <v>Southbound</v>
      </c>
      <c r="U184" s="16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11:36:18-0600',mode:absolute,to:'2016-09-12 13:55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4" s="54" t="str">
        <f t="shared" si="81"/>
        <v>N</v>
      </c>
      <c r="X184" s="168">
        <f t="shared" si="92"/>
        <v>1</v>
      </c>
      <c r="Y184" s="69">
        <f t="shared" si="82"/>
        <v>5.8654999999999999</v>
      </c>
      <c r="Z184" s="69">
        <f t="shared" si="83"/>
        <v>6.2600000000000003E-2</v>
      </c>
      <c r="AA184" s="69">
        <f t="shared" si="84"/>
        <v>5.8029000000000002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 t="shared" si="85"/>
        <v>0820-12</v>
      </c>
      <c r="AE184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84" s="96" t="str">
        <f t="shared" si="87"/>
        <v>"C:\Program Files (x86)\AstroGrep\AstroGrep.exe" /spath="%USERPROFILE%\AppData\Local\Temp\OnboardLogs" /stypes="app*4026*20160912*" /stext=" 18:.+((SYSTEM_STATE.+slice.+state.+changed )|(ment ac)|(system.+state.+changed )|(\|lc)|(penalty)|(\[timeout)|(PRM\|1\|D)|(kpr)|(kdp))" /e /r /s</v>
      </c>
      <c r="AG184" s="1" t="str">
        <f t="shared" si="88"/>
        <v>NW</v>
      </c>
      <c r="AH184" s="100" t="str">
        <f t="shared" si="89"/>
        <v>"%USERPROFILE%\Documents\GitHub\eaglep3\Utilities\RefineRTDCRunTimes.py" --tripid 820-12 --locoid 4026 --swversion DE.1.0.7.0 --startMP 300:58655 --initTime 2016-09-12T12:36:18 --startdatetime 2016-09-12T12:39:08 --delay 1 --endMP 204:626 --enddatetime 2016-09-12T12:55:03 --enforcementcount 2 &gt;&gt;C:\Users\stu\Documents\GitHub\eaglep3-reporting\EC\2016-09-12-refined-times.txt</v>
      </c>
      <c r="AI184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{"issue":{"subject":"","project_id":79,"tracker_id":40,"status_id":1,"priority_id":2,"assigned_to_id":23,"start_date":"2016-09-12","description":"","custom_fields":[{"id":1,"name":"Subdivision","value":"NW"},{"id":4,"name":"Milepost","value":"5.8029"},{"id":17,"name":"Train ID","value":"820-12"},{"id":16,"name":"Locomotive ID","value":"4026"},{"id":130,"name":"Impact","value":""},{"id":150,"name":"Time of Event (Mountain Time)","value":"12:55:03"},{"id":151,"name":"Denver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s="23" customFormat="1" hidden="1" x14ac:dyDescent="0.25">
      <c r="A185" s="39" t="s">
        <v>685</v>
      </c>
      <c r="B185" s="7">
        <v>4025</v>
      </c>
      <c r="C185" s="24" t="s">
        <v>108</v>
      </c>
      <c r="D185" s="24" t="s">
        <v>686</v>
      </c>
      <c r="E185" s="15">
        <v>42625.548414351855</v>
      </c>
      <c r="F185" s="15">
        <v>42625.556493055556</v>
      </c>
      <c r="G185" s="7">
        <v>3</v>
      </c>
      <c r="H185" s="15" t="s">
        <v>687</v>
      </c>
      <c r="I185" s="15">
        <v>42625.566574074073</v>
      </c>
      <c r="J185" s="7">
        <v>2</v>
      </c>
      <c r="K185" s="121" t="str">
        <f t="shared" si="77"/>
        <v>4025/4026</v>
      </c>
      <c r="L185" s="24" t="str">
        <f>VLOOKUP(A185,'Trips&amp;Operators'!$C$1:$E$10000,3,FALSE)</f>
        <v>BRUDER</v>
      </c>
      <c r="M185" s="6">
        <f t="shared" si="78"/>
        <v>1.0081018517666962E-2</v>
      </c>
      <c r="N185" s="7">
        <f t="shared" si="94"/>
        <v>14.516666665440425</v>
      </c>
      <c r="O185" s="7"/>
      <c r="P185" s="7"/>
      <c r="Q185" s="25"/>
      <c r="R185" s="25"/>
      <c r="S185" s="37">
        <f t="shared" si="93"/>
        <v>1</v>
      </c>
      <c r="T185" s="52" t="str">
        <f t="shared" si="79"/>
        <v>NorthBound</v>
      </c>
      <c r="U185" s="16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12:09:43-0600',mode:absolute,to:'2016-09-12 14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5" s="54" t="str">
        <f t="shared" si="81"/>
        <v>N</v>
      </c>
      <c r="X185" s="168">
        <f t="shared" si="92"/>
        <v>1</v>
      </c>
      <c r="Y185" s="69">
        <f t="shared" si="82"/>
        <v>9.2899999999999996E-2</v>
      </c>
      <c r="Z185" s="69">
        <f t="shared" si="83"/>
        <v>5.8925999999999998</v>
      </c>
      <c r="AA185" s="69">
        <f t="shared" si="84"/>
        <v>5.7996999999999996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 t="shared" si="85"/>
        <v>0821-12</v>
      </c>
      <c r="AE185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85" s="96" t="str">
        <f t="shared" si="87"/>
        <v>"C:\Program Files (x86)\AstroGrep\AstroGrep.exe" /spath="%USERPROFILE%\AppData\Local\Temp\OnboardLogs" /stypes="app*4025*20160912*" /stext=" 19:.+((SYSTEM_STATE.+slice.+state.+changed )|(ment ac)|(system.+state.+changed )|(\|lc)|(penalty)|(\[timeout)|(PRM\|1\|D)|(kpr)|(kdp))" /e /r /s</v>
      </c>
      <c r="AG185" s="1" t="str">
        <f t="shared" si="88"/>
        <v>NW</v>
      </c>
      <c r="AH185" s="100" t="str">
        <f t="shared" si="89"/>
        <v>"%USERPROFILE%\Documents\GitHub\eaglep3\Utilities\RefineRTDCRunTimes.py" --tripid 821-12 --locoid 4025 --swversion DE.1.0.7.0 --startMP 204:929 --initTime 2016-09-12T13:09:43 --startdatetime 2016-09-12T13:21:21 --delay 3 --endMP 300:58926 --enddatetime 2016-09-12T13:35:52 --enforcementcount 2 &gt;&gt;C:\Users\stu\Documents\GitHub\eaglep3-reporting\EC\2016-09-12-refined-times.txt</v>
      </c>
      <c r="AI185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{"issue":{"subject":"","project_id":79,"tracker_id":40,"status_id":1,"priority_id":2,"assigned_to_id":23,"start_date":"2016-09-12","description":"","custom_fields":[{"id":1,"name":"Subdivision","value":"NW"},{"id":4,"name":"Milepost","value":"5.7997"},{"id":17,"name":"Train ID","value":"821-12"},{"id":16,"name":"Locomotive ID","value":"4025"},{"id":130,"name":"Impact","value":""},{"id":150,"name":"Time of Event (Mountain Time)","value":"13:35:52"},{"id":151,"name":"Denver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hidden="1" x14ac:dyDescent="0.25">
      <c r="A186" s="39" t="s">
        <v>688</v>
      </c>
      <c r="B186" s="7">
        <v>4026</v>
      </c>
      <c r="C186" s="24" t="s">
        <v>108</v>
      </c>
      <c r="D186" s="24" t="s">
        <v>689</v>
      </c>
      <c r="E186" s="15">
        <v>42625.567997685182</v>
      </c>
      <c r="F186" s="15">
        <v>42625.570219907408</v>
      </c>
      <c r="G186" s="7">
        <v>2</v>
      </c>
      <c r="H186" s="15" t="s">
        <v>337</v>
      </c>
      <c r="I186" s="15">
        <v>42625.57980324074</v>
      </c>
      <c r="J186" s="7">
        <v>2</v>
      </c>
      <c r="K186" s="121" t="str">
        <f t="shared" si="77"/>
        <v>4025/4026</v>
      </c>
      <c r="L186" s="24" t="str">
        <f>VLOOKUP(A186,'Trips&amp;Operators'!$C$1:$E$10000,3,FALSE)</f>
        <v>BRUDER</v>
      </c>
      <c r="M186" s="6">
        <f t="shared" si="78"/>
        <v>9.5833333325572312E-3</v>
      </c>
      <c r="N186" s="7">
        <f t="shared" si="94"/>
        <v>13.799999998882413</v>
      </c>
      <c r="O186" s="7"/>
      <c r="P186" s="7"/>
      <c r="Q186" s="25"/>
      <c r="R186" s="25"/>
      <c r="S186" s="37">
        <f t="shared" si="93"/>
        <v>1</v>
      </c>
      <c r="T186" s="52" t="str">
        <f t="shared" si="79"/>
        <v>Southbound</v>
      </c>
      <c r="U186" s="16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12:37:55-0600',mode:absolute,to:'2016-09-12 14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6" s="54" t="str">
        <f t="shared" si="81"/>
        <v>N</v>
      </c>
      <c r="X186" s="168">
        <f t="shared" si="92"/>
        <v>1</v>
      </c>
      <c r="Y186" s="69">
        <f t="shared" si="82"/>
        <v>5.8608000000000002</v>
      </c>
      <c r="Z186" s="69">
        <f t="shared" si="83"/>
        <v>6.6799999999999998E-2</v>
      </c>
      <c r="AA186" s="69">
        <f t="shared" si="84"/>
        <v>5.7940000000000005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 t="shared" si="85"/>
        <v>0822-12</v>
      </c>
      <c r="AE186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86" s="96" t="str">
        <f t="shared" si="87"/>
        <v>"C:\Program Files (x86)\AstroGrep\AstroGrep.exe" /spath="%USERPROFILE%\AppData\Local\Temp\OnboardLogs" /stypes="app*4026*20160912*" /stext=" 19:.+((SYSTEM_STATE.+slice.+state.+changed )|(ment ac)|(system.+state.+changed )|(\|lc)|(penalty)|(\[timeout)|(PRM\|1\|D)|(kpr)|(kdp))" /e /r /s</v>
      </c>
      <c r="AG186" s="1" t="str">
        <f t="shared" si="88"/>
        <v>NW</v>
      </c>
      <c r="AH186" s="100" t="str">
        <f t="shared" si="89"/>
        <v>"%USERPROFILE%\Documents\GitHub\eaglep3\Utilities\RefineRTDCRunTimes.py" --tripid 822-12 --locoid 4026 --swversion DE.1.0.7.0 --startMP 300:58608 --initTime 2016-09-12T13:37:55 --startdatetime 2016-09-12T13:41:07 --delay 2 --endMP 204:668 --enddatetime 2016-09-12T13:54:55 --enforcementcount 2 &gt;&gt;C:\Users\stu\Documents\GitHub\eaglep3-reporting\EC\2016-09-12-refined-times.txt</v>
      </c>
      <c r="AI186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{"issue":{"subject":"","project_id":79,"tracker_id":40,"status_id":1,"priority_id":2,"assigned_to_id":23,"start_date":"2016-09-12","description":"","custom_fields":[{"id":1,"name":"Subdivision","value":"NW"},{"id":4,"name":"Milepost","value":"5.794"},{"id":17,"name":"Train ID","value":"822-12"},{"id":16,"name":"Locomotive ID","value":"4026"},{"id":130,"name":"Impact","value":""},{"id":150,"name":"Time of Event (Mountain Time)","value":"13:54:55"},{"id":151,"name":"Denver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hidden="1" x14ac:dyDescent="0.25">
      <c r="A187" s="39" t="s">
        <v>690</v>
      </c>
      <c r="B187" s="7">
        <v>4025</v>
      </c>
      <c r="C187" s="24" t="s">
        <v>108</v>
      </c>
      <c r="D187" s="24" t="s">
        <v>691</v>
      </c>
      <c r="E187" s="15">
        <v>42625.594293981485</v>
      </c>
      <c r="F187" s="15">
        <v>42625.59820601852</v>
      </c>
      <c r="G187" s="7">
        <v>1</v>
      </c>
      <c r="H187" s="15" t="s">
        <v>692</v>
      </c>
      <c r="I187" s="15">
        <v>42625.607638888891</v>
      </c>
      <c r="J187" s="7">
        <v>2</v>
      </c>
      <c r="K187" s="121" t="str">
        <f t="shared" si="77"/>
        <v>4025/4026</v>
      </c>
      <c r="L187" s="24" t="str">
        <f>VLOOKUP(A187,'Trips&amp;Operators'!$C$1:$E$10000,3,FALSE)</f>
        <v>BRUDER</v>
      </c>
      <c r="M187" s="6">
        <f t="shared" si="78"/>
        <v>9.4328703708015382E-3</v>
      </c>
      <c r="N187" s="7">
        <f t="shared" si="94"/>
        <v>13.583333333954215</v>
      </c>
      <c r="O187" s="7"/>
      <c r="P187" s="7"/>
      <c r="Q187" s="25"/>
      <c r="R187" s="25"/>
      <c r="S187" s="37">
        <f t="shared" si="93"/>
        <v>1</v>
      </c>
      <c r="T187" s="52" t="str">
        <f t="shared" si="79"/>
        <v>NorthBound</v>
      </c>
      <c r="U187" s="16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13:15:47-0600',mode:absolute,to:'2016-09-12 15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7" s="54" t="str">
        <f t="shared" si="81"/>
        <v>N</v>
      </c>
      <c r="X187" s="168">
        <f t="shared" si="92"/>
        <v>1</v>
      </c>
      <c r="Y187" s="69">
        <f t="shared" si="82"/>
        <v>9.6699999999999994E-2</v>
      </c>
      <c r="Z187" s="69">
        <f t="shared" si="83"/>
        <v>5.8928000000000003</v>
      </c>
      <c r="AA187" s="69">
        <f t="shared" si="84"/>
        <v>5.7961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 t="shared" si="85"/>
        <v>0823-12</v>
      </c>
      <c r="AE187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87" s="96" t="str">
        <f t="shared" si="87"/>
        <v>"C:\Program Files (x86)\AstroGrep\AstroGrep.exe" /spath="%USERPROFILE%\AppData\Local\Temp\OnboardLogs" /stypes="app*4025*20160912*" /stext=" 20:.+((SYSTEM_STATE.+slice.+state.+changed )|(ment ac)|(system.+state.+changed )|(\|lc)|(penalty)|(\[timeout)|(PRM\|1\|D)|(kpr)|(kdp))" /e /r /s</v>
      </c>
      <c r="AG187" s="1" t="str">
        <f t="shared" si="88"/>
        <v>NW</v>
      </c>
      <c r="AH187" s="100" t="str">
        <f t="shared" si="89"/>
        <v>"%USERPROFILE%\Documents\GitHub\eaglep3\Utilities\RefineRTDCRunTimes.py" --tripid 823-12 --locoid 4025 --swversion DE.1.0.7.0 --startMP 204:967 --initTime 2016-09-12T14:15:47 --startdatetime 2016-09-12T14:21:25 --delay 1 --endMP 300:58928 --enddatetime 2016-09-12T14:35:00 --enforcementcount 2 &gt;&gt;C:\Users\stu\Documents\GitHub\eaglep3-reporting\EC\2016-09-12-refined-times.txt</v>
      </c>
      <c r="AI187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{"issue":{"subject":"","project_id":79,"tracker_id":40,"status_id":1,"priority_id":2,"assigned_to_id":23,"start_date":"2016-09-12","description":"","custom_fields":[{"id":1,"name":"Subdivision","value":"NW"},{"id":4,"name":"Milepost","value":"5.7961"},{"id":17,"name":"Train ID","value":"823-12"},{"id":16,"name":"Locomotive ID","value":"4025"},{"id":130,"name":"Impact","value":""},{"id":150,"name":"Time of Event (Mountain Time)","value":"14:35:00"},{"id":151,"name":"Denver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hidden="1" x14ac:dyDescent="0.25">
      <c r="A188" s="39" t="s">
        <v>693</v>
      </c>
      <c r="B188" s="7">
        <v>4026</v>
      </c>
      <c r="C188" s="24" t="s">
        <v>108</v>
      </c>
      <c r="D188" s="24" t="s">
        <v>689</v>
      </c>
      <c r="E188" s="15">
        <v>42625.6090625</v>
      </c>
      <c r="F188" s="15">
        <v>42625.611064814817</v>
      </c>
      <c r="G188" s="7">
        <v>1</v>
      </c>
      <c r="H188" s="15" t="s">
        <v>338</v>
      </c>
      <c r="I188" s="15">
        <v>42625.621180555558</v>
      </c>
      <c r="J188" s="7">
        <v>2</v>
      </c>
      <c r="K188" s="121" t="str">
        <f t="shared" si="77"/>
        <v>4025/4026</v>
      </c>
      <c r="L188" s="24" t="str">
        <f>VLOOKUP(A188,'Trips&amp;Operators'!$C$1:$E$10000,3,FALSE)</f>
        <v>BRUDER</v>
      </c>
      <c r="M188" s="6">
        <f t="shared" si="78"/>
        <v>1.0115740740729962E-2</v>
      </c>
      <c r="N188" s="7">
        <f t="shared" si="94"/>
        <v>14.566666666651145</v>
      </c>
      <c r="O188" s="7"/>
      <c r="P188" s="7"/>
      <c r="Q188" s="25"/>
      <c r="R188" s="25"/>
      <c r="S188" s="37">
        <f t="shared" si="93"/>
        <v>1</v>
      </c>
      <c r="T188" s="52" t="str">
        <f t="shared" si="79"/>
        <v>Southbound</v>
      </c>
      <c r="U188" s="16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13:37:03-0600',mode:absolute,to:'2016-09-12 15:54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8" s="54" t="str">
        <f t="shared" si="81"/>
        <v>N</v>
      </c>
      <c r="X188" s="168">
        <f t="shared" si="92"/>
        <v>1</v>
      </c>
      <c r="Y188" s="69">
        <f t="shared" si="82"/>
        <v>5.8608000000000002</v>
      </c>
      <c r="Z188" s="69">
        <f t="shared" si="83"/>
        <v>6.8699999999999997E-2</v>
      </c>
      <c r="AA188" s="69">
        <f t="shared" si="84"/>
        <v>5.7921000000000005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 t="shared" si="85"/>
        <v>0824-12</v>
      </c>
      <c r="AE188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88" s="96" t="str">
        <f t="shared" si="87"/>
        <v>"C:\Program Files (x86)\AstroGrep\AstroGrep.exe" /spath="%USERPROFILE%\AppData\Local\Temp\OnboardLogs" /stypes="app*4026*20160912*" /stext=" 20:.+((SYSTEM_STATE.+slice.+state.+changed )|(ment ac)|(system.+state.+changed )|(\|lc)|(penalty)|(\[timeout)|(PRM\|1\|D)|(kpr)|(kdp))" /e /r /s</v>
      </c>
      <c r="AG188" s="1" t="str">
        <f t="shared" si="88"/>
        <v>NW</v>
      </c>
      <c r="AH188" s="100" t="str">
        <f t="shared" si="89"/>
        <v>"%USERPROFILE%\Documents\GitHub\eaglep3\Utilities\RefineRTDCRunTimes.py" --tripid 824-12 --locoid 4026 --swversion DE.1.0.7.0 --startMP 300:58608 --initTime 2016-09-12T14:37:03 --startdatetime 2016-09-12T14:39:56 --delay 1 --endMP 204:687 --enddatetime 2016-09-12T14:54:30 --enforcementcount 2 &gt;&gt;C:\Users\stu\Documents\GitHub\eaglep3-reporting\EC\2016-09-12-refined-times.txt</v>
      </c>
      <c r="AI188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{"issue":{"subject":"","project_id":79,"tracker_id":40,"status_id":1,"priority_id":2,"assigned_to_id":23,"start_date":"2016-09-12","description":"","custom_fields":[{"id":1,"name":"Subdivision","value":"NW"},{"id":4,"name":"Milepost","value":"5.7921"},{"id":17,"name":"Train ID","value":"824-12"},{"id":16,"name":"Locomotive ID","value":"4026"},{"id":130,"name":"Impact","value":""},{"id":150,"name":"Time of Event (Mountain Time)","value":"14:54:30"},{"id":151,"name":"Denver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hidden="1" x14ac:dyDescent="0.25">
      <c r="A189" s="39" t="s">
        <v>406</v>
      </c>
      <c r="B189" s="7">
        <v>4025</v>
      </c>
      <c r="C189" s="24" t="s">
        <v>108</v>
      </c>
      <c r="D189" s="24" t="s">
        <v>694</v>
      </c>
      <c r="E189" s="15">
        <v>42625.63590277778</v>
      </c>
      <c r="F189" s="15">
        <v>42625.639791666668</v>
      </c>
      <c r="G189" s="7">
        <v>1</v>
      </c>
      <c r="H189" s="15" t="s">
        <v>334</v>
      </c>
      <c r="I189" s="15">
        <v>42625.649618055555</v>
      </c>
      <c r="J189" s="7">
        <v>2</v>
      </c>
      <c r="K189" s="121" t="str">
        <f t="shared" si="77"/>
        <v>4025/4026</v>
      </c>
      <c r="L189" s="24" t="str">
        <f>VLOOKUP(A189,'Trips&amp;Operators'!$C$1:$E$10000,3,FALSE)</f>
        <v>BRUDER</v>
      </c>
      <c r="M189" s="6">
        <f t="shared" si="78"/>
        <v>9.8263888867222704E-3</v>
      </c>
      <c r="N189" s="7">
        <f t="shared" si="94"/>
        <v>14.149999996880069</v>
      </c>
      <c r="O189" s="7"/>
      <c r="P189" s="7"/>
      <c r="Q189" s="25"/>
      <c r="R189" s="25"/>
      <c r="S189" s="37">
        <f t="shared" si="93"/>
        <v>1</v>
      </c>
      <c r="T189" s="52" t="str">
        <f t="shared" si="79"/>
        <v>NorthBound</v>
      </c>
      <c r="U189" s="16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14:15:42-0600',mode:absolute,to:'2016-09-12 16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9" s="54" t="str">
        <f t="shared" si="81"/>
        <v>N</v>
      </c>
      <c r="X189" s="168">
        <f t="shared" ref="X189:X221" si="95">VALUE(LEFT(AD189,4))-VALUE(LEFT(AD188,4))</f>
        <v>1</v>
      </c>
      <c r="Y189" s="69">
        <f t="shared" si="82"/>
        <v>9.69E-2</v>
      </c>
      <c r="Z189" s="69">
        <f t="shared" si="83"/>
        <v>5.8933</v>
      </c>
      <c r="AA189" s="69">
        <f t="shared" si="84"/>
        <v>5.7964000000000002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 t="shared" si="85"/>
        <v>0825-12</v>
      </c>
      <c r="AE189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89" s="96" t="str">
        <f t="shared" si="87"/>
        <v>"C:\Program Files (x86)\AstroGrep\AstroGrep.exe" /spath="%USERPROFILE%\AppData\Local\Temp\OnboardLogs" /stypes="app*4025*20160912*" /stext=" 21:.+((SYSTEM_STATE.+slice.+state.+changed )|(ment ac)|(system.+state.+changed )|(\|lc)|(penalty)|(\[timeout)|(PRM\|1\|D)|(kpr)|(kdp))" /e /r /s</v>
      </c>
      <c r="AG189" s="1" t="str">
        <f t="shared" si="88"/>
        <v>NW</v>
      </c>
      <c r="AH189" s="100" t="str">
        <f t="shared" si="89"/>
        <v>"%USERPROFILE%\Documents\GitHub\eaglep3\Utilities\RefineRTDCRunTimes.py" --tripid 825-12 --locoid 4025 --swversion DE.1.0.7.0 --startMP 204:969 --initTime 2016-09-12T15:15:42 --startdatetime 2016-09-12T15:21:18 --delay 1 --endMP 300:58933 --enddatetime 2016-09-12T15:35:27 --enforcementcount 2 &gt;&gt;C:\Users\stu\Documents\GitHub\eaglep3-reporting\EC\2016-09-12-refined-times.txt</v>
      </c>
      <c r="AI189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{"issue":{"subject":"","project_id":79,"tracker_id":40,"status_id":1,"priority_id":2,"assigned_to_id":23,"start_date":"2016-09-12","description":"","custom_fields":[{"id":1,"name":"Subdivision","value":"NW"},{"id":4,"name":"Milepost","value":"5.7964"},{"id":17,"name":"Train ID","value":"825-12"},{"id":16,"name":"Locomotive ID","value":"4025"},{"id":130,"name":"Impact","value":""},{"id":150,"name":"Time of Event (Mountain Time)","value":"15:35:27"},{"id":151,"name":"Denver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hidden="1" x14ac:dyDescent="0.25">
      <c r="A190" s="39" t="s">
        <v>409</v>
      </c>
      <c r="B190" s="7">
        <v>4026</v>
      </c>
      <c r="C190" s="24" t="s">
        <v>108</v>
      </c>
      <c r="D190" s="24" t="s">
        <v>695</v>
      </c>
      <c r="E190" s="15">
        <v>42625.651203703703</v>
      </c>
      <c r="F190" s="15">
        <v>42625.652604166666</v>
      </c>
      <c r="G190" s="7">
        <v>1</v>
      </c>
      <c r="H190" s="15" t="s">
        <v>696</v>
      </c>
      <c r="I190" s="15">
        <v>42625.6637962963</v>
      </c>
      <c r="J190" s="7">
        <v>2</v>
      </c>
      <c r="K190" s="121" t="str">
        <f t="shared" si="77"/>
        <v>4025/4026</v>
      </c>
      <c r="L190" s="24" t="str">
        <f>VLOOKUP(A190,'Trips&amp;Operators'!$C$1:$E$10000,3,FALSE)</f>
        <v>BRUDER</v>
      </c>
      <c r="M190" s="6">
        <f t="shared" si="78"/>
        <v>1.1192129633855075E-2</v>
      </c>
      <c r="N190" s="7">
        <f t="shared" si="94"/>
        <v>16.116666672751307</v>
      </c>
      <c r="O190" s="7"/>
      <c r="P190" s="7"/>
      <c r="Q190" s="25"/>
      <c r="R190" s="25"/>
      <c r="S190" s="37">
        <f t="shared" ref="S190:S221" si="96">SUM(U190:U190)/IF(AG190="EC",12,1)</f>
        <v>1</v>
      </c>
      <c r="T190" s="52" t="str">
        <f t="shared" si="79"/>
        <v>Southbound</v>
      </c>
      <c r="U190" s="16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14:37:44-0600',mode:absolute,to:'2016-09-12 16:55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90" s="54" t="str">
        <f t="shared" si="81"/>
        <v>N</v>
      </c>
      <c r="X190" s="168">
        <f t="shared" si="95"/>
        <v>1</v>
      </c>
      <c r="Y190" s="69">
        <f t="shared" si="82"/>
        <v>5.8611000000000004</v>
      </c>
      <c r="Z190" s="69">
        <f t="shared" si="83"/>
        <v>7.1999999999999995E-2</v>
      </c>
      <c r="AA190" s="69">
        <f t="shared" si="84"/>
        <v>5.7891000000000004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 t="shared" si="85"/>
        <v>0826-12</v>
      </c>
      <c r="AE190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90" s="96" t="str">
        <f t="shared" si="87"/>
        <v>"C:\Program Files (x86)\AstroGrep\AstroGrep.exe" /spath="%USERPROFILE%\AppData\Local\Temp\OnboardLogs" /stypes="app*4026*20160912*" /stext=" 21:.+((SYSTEM_STATE.+slice.+state.+changed )|(ment ac)|(system.+state.+changed )|(\|lc)|(penalty)|(\[timeout)|(PRM\|1\|D)|(kpr)|(kdp))" /e /r /s</v>
      </c>
      <c r="AG190" s="1" t="str">
        <f t="shared" si="88"/>
        <v>NW</v>
      </c>
      <c r="AH190" s="100" t="str">
        <f t="shared" si="89"/>
        <v>"%USERPROFILE%\Documents\GitHub\eaglep3\Utilities\RefineRTDCRunTimes.py" --tripid 826-12 --locoid 4026 --swversion DE.1.0.7.0 --startMP 300:58611 --initTime 2016-09-12T15:37:44 --startdatetime 2016-09-12T15:39:45 --delay 1 --endMP 204:720 --enddatetime 2016-09-12T15:55:52 --enforcementcount 2 &gt;&gt;C:\Users\stu\Documents\GitHub\eaglep3-reporting\EC\2016-09-12-refined-times.txt</v>
      </c>
      <c r="AI190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{"issue":{"subject":"","project_id":79,"tracker_id":40,"status_id":1,"priority_id":2,"assigned_to_id":23,"start_date":"2016-09-12","description":"","custom_fields":[{"id":1,"name":"Subdivision","value":"NW"},{"id":4,"name":"Milepost","value":"5.7891"},{"id":17,"name":"Train ID","value":"826-12"},{"id":16,"name":"Locomotive ID","value":"4026"},{"id":130,"name":"Impact","value":""},{"id":150,"name":"Time of Event (Mountain Time)","value":"15:55:52"},{"id":151,"name":"Denver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s="23" customFormat="1" hidden="1" x14ac:dyDescent="0.25">
      <c r="A191" s="39" t="s">
        <v>697</v>
      </c>
      <c r="B191" s="7">
        <v>4020</v>
      </c>
      <c r="C191" s="24" t="s">
        <v>108</v>
      </c>
      <c r="D191" s="24" t="s">
        <v>698</v>
      </c>
      <c r="E191" s="15">
        <v>42625.657453703701</v>
      </c>
      <c r="F191" s="15">
        <v>42625.660752314812</v>
      </c>
      <c r="G191" s="7">
        <v>1</v>
      </c>
      <c r="H191" s="15" t="s">
        <v>297</v>
      </c>
      <c r="I191" s="15">
        <v>42625.672453703701</v>
      </c>
      <c r="J191" s="7">
        <v>2</v>
      </c>
      <c r="K191" s="121" t="str">
        <f t="shared" si="77"/>
        <v>4019/4020</v>
      </c>
      <c r="L191" s="24" t="str">
        <f>VLOOKUP(A191,'Trips&amp;Operators'!$C$1:$E$10000,3,FALSE)</f>
        <v>HAITHCOX</v>
      </c>
      <c r="M191" s="6">
        <f t="shared" si="78"/>
        <v>1.17013888884685E-2</v>
      </c>
      <c r="N191" s="7">
        <f t="shared" si="94"/>
        <v>16.84999999939464</v>
      </c>
      <c r="O191" s="7"/>
      <c r="P191" s="7"/>
      <c r="Q191" s="25"/>
      <c r="R191" s="25"/>
      <c r="S191" s="37">
        <f t="shared" si="96"/>
        <v>1</v>
      </c>
      <c r="T191" s="52" t="str">
        <f t="shared" si="79"/>
        <v>NorthBound</v>
      </c>
      <c r="U191" s="16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14:46:44-0600',mode:absolute,to:'2016-09-12 17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91" s="54" t="str">
        <f t="shared" si="81"/>
        <v>N</v>
      </c>
      <c r="X191" s="168">
        <f t="shared" si="95"/>
        <v>1</v>
      </c>
      <c r="Y191" s="69">
        <f t="shared" si="82"/>
        <v>9.2200000000000004E-2</v>
      </c>
      <c r="Z191" s="69">
        <f t="shared" si="83"/>
        <v>5.8935000000000004</v>
      </c>
      <c r="AA191" s="69">
        <f t="shared" si="84"/>
        <v>5.8013000000000003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 t="shared" si="85"/>
        <v>0827-12</v>
      </c>
      <c r="AE191" s="99" t="str">
        <f t="shared" si="86"/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AF191" s="96" t="str">
        <f t="shared" si="87"/>
        <v>"C:\Program Files (x86)\AstroGrep\AstroGrep.exe" /spath="%USERPROFILE%\AppData\Local\Temp\OnboardLogs" /stypes="app*4020*20160912*" /stext=" 22:.+((SYSTEM_STATE.+slice.+state.+changed )|(ment ac)|(system.+state.+changed )|(\|lc)|(penalty)|(\[timeout)|(PRM\|1\|D)|(kpr)|(kdp))" /e /r /s</v>
      </c>
      <c r="AG191" s="1" t="str">
        <f t="shared" si="88"/>
        <v>NW</v>
      </c>
      <c r="AH191" s="100" t="str">
        <f t="shared" si="89"/>
        <v>"%USERPROFILE%\Documents\GitHub\eaglep3\Utilities\RefineRTDCRunTimes.py" --tripid 827-12 --locoid 4020 --swversion DE.1.0.7.0 --startMP 204:922 --initTime 2016-09-12T15:46:44 --startdatetime 2016-09-12T15:51:29 --delay 1 --endMP 300:58935 --enddatetime 2016-09-12T16:08:20 --enforcementcount 2 &gt;&gt;C:\Users\stu\Documents\GitHub\eaglep3-reporting\EC\2016-09-12-refined-times.txt</v>
      </c>
      <c r="AI191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{"issue":{"subject":"","project_id":79,"tracker_id":40,"status_id":1,"priority_id":2,"assigned_to_id":23,"start_date":"2016-09-12","description":"","custom_fields":[{"id":1,"name":"Subdivision","value":"NW"},{"id":4,"name":"Milepost","value":"5.8013"},{"id":17,"name":"Train ID","value":"827-12"},{"id":16,"name":"Locomotive ID","value":"4020"},{"id":130,"name":"Impact","value":""},{"id":150,"name":"Time of Event (Mountain Time)","value":"16:08:20"},{"id":151,"name":"Denver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hidden="1" x14ac:dyDescent="0.25">
      <c r="A192" s="39" t="s">
        <v>410</v>
      </c>
      <c r="B192" s="7">
        <v>4019</v>
      </c>
      <c r="C192" s="24" t="s">
        <v>108</v>
      </c>
      <c r="D192" s="24" t="s">
        <v>695</v>
      </c>
      <c r="E192" s="15">
        <v>42625.673217592594</v>
      </c>
      <c r="F192" s="15">
        <v>42625.67454861111</v>
      </c>
      <c r="G192" s="7">
        <v>1</v>
      </c>
      <c r="H192" s="15" t="s">
        <v>699</v>
      </c>
      <c r="I192" s="15">
        <v>42625.685567129629</v>
      </c>
      <c r="J192" s="7">
        <v>2</v>
      </c>
      <c r="K192" s="121" t="str">
        <f t="shared" si="77"/>
        <v>4019/4020</v>
      </c>
      <c r="L192" s="24" t="str">
        <f>VLOOKUP(A192,'Trips&amp;Operators'!$C$1:$E$10000,3,FALSE)</f>
        <v>HAITHCOX</v>
      </c>
      <c r="M192" s="6">
        <f t="shared" si="78"/>
        <v>1.1018518518540077E-2</v>
      </c>
      <c r="N192" s="7">
        <f t="shared" si="94"/>
        <v>15.866666666697711</v>
      </c>
      <c r="O192" s="7"/>
      <c r="P192" s="7"/>
      <c r="Q192" s="25"/>
      <c r="R192" s="25"/>
      <c r="S192" s="37">
        <f t="shared" si="96"/>
        <v>1</v>
      </c>
      <c r="T192" s="52" t="str">
        <f t="shared" si="79"/>
        <v>Southbound</v>
      </c>
      <c r="U192" s="16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15:09:26-0600',mode:absolute,to:'2016-09-12 17:27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92" s="54" t="str">
        <f t="shared" si="81"/>
        <v>N</v>
      </c>
      <c r="X192" s="168">
        <f t="shared" si="95"/>
        <v>1</v>
      </c>
      <c r="Y192" s="69">
        <f t="shared" si="82"/>
        <v>5.8611000000000004</v>
      </c>
      <c r="Z192" s="69">
        <f t="shared" si="83"/>
        <v>6.8000000000000005E-2</v>
      </c>
      <c r="AA192" s="69">
        <f t="shared" si="84"/>
        <v>5.7931000000000008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 t="shared" si="85"/>
        <v>0828-12</v>
      </c>
      <c r="AE192" s="99" t="str">
        <f t="shared" si="86"/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192" s="96" t="str">
        <f t="shared" si="87"/>
        <v>"C:\Program Files (x86)\AstroGrep\AstroGrep.exe" /spath="%USERPROFILE%\AppData\Local\Temp\OnboardLogs" /stypes="app*4019*20160912*" /stext=" 22:.+((SYSTEM_STATE.+slice.+state.+changed )|(ment ac)|(system.+state.+changed )|(\|lc)|(penalty)|(\[timeout)|(PRM\|1\|D)|(kpr)|(kdp))" /e /r /s</v>
      </c>
      <c r="AG192" s="1" t="str">
        <f t="shared" si="88"/>
        <v>NW</v>
      </c>
      <c r="AH192" s="100" t="str">
        <f t="shared" si="89"/>
        <v>"%USERPROFILE%\Documents\GitHub\eaglep3\Utilities\RefineRTDCRunTimes.py" --tripid 828-12 --locoid 4019 --swversion DE.1.0.7.0 --startMP 300:58611 --initTime 2016-09-12T16:09:26 --startdatetime 2016-09-12T16:11:21 --delay 1 --endMP 204:680 --enddatetime 2016-09-12T16:27:13 --enforcementcount 2 &gt;&gt;C:\Users\stu\Documents\GitHub\eaglep3-reporting\EC\2016-09-12-refined-times.txt</v>
      </c>
      <c r="AI192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{"issue":{"subject":"","project_id":79,"tracker_id":40,"status_id":1,"priority_id":2,"assigned_to_id":23,"start_date":"2016-09-12","description":"","custom_fields":[{"id":1,"name":"Subdivision","value":"NW"},{"id":4,"name":"Milepost","value":"5.7931"},{"id":17,"name":"Train ID","value":"828-12"},{"id":16,"name":"Locomotive ID","value":"4019"},{"id":130,"name":"Impact","value":""},{"id":150,"name":"Time of Event (Mountain Time)","value":"16:27:13"},{"id":151,"name":"Denver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hidden="1" x14ac:dyDescent="0.25">
      <c r="A193" s="39" t="s">
        <v>700</v>
      </c>
      <c r="B193" s="7">
        <v>4025</v>
      </c>
      <c r="C193" s="24" t="s">
        <v>108</v>
      </c>
      <c r="D193" s="24" t="s">
        <v>701</v>
      </c>
      <c r="E193" s="15">
        <v>42625.677511574075</v>
      </c>
      <c r="F193" s="15">
        <v>42625.681597222225</v>
      </c>
      <c r="G193" s="7">
        <v>1</v>
      </c>
      <c r="H193" s="15" t="s">
        <v>297</v>
      </c>
      <c r="I193" s="15">
        <v>42625.692476851851</v>
      </c>
      <c r="J193" s="7">
        <v>2</v>
      </c>
      <c r="K193" s="121" t="str">
        <f t="shared" si="77"/>
        <v>4025/4026</v>
      </c>
      <c r="L193" s="24" t="str">
        <f>VLOOKUP(A193,'Trips&amp;Operators'!$C$1:$E$10000,3,FALSE)</f>
        <v>BRUDER</v>
      </c>
      <c r="M193" s="6">
        <f t="shared" si="78"/>
        <v>1.0879629626288079E-2</v>
      </c>
      <c r="N193" s="7">
        <f t="shared" si="94"/>
        <v>15.666666661854833</v>
      </c>
      <c r="O193" s="7"/>
      <c r="P193" s="7"/>
      <c r="Q193" s="25"/>
      <c r="R193" s="25"/>
      <c r="S193" s="37">
        <f t="shared" si="96"/>
        <v>1</v>
      </c>
      <c r="T193" s="52" t="str">
        <f t="shared" si="79"/>
        <v>NorthBound</v>
      </c>
      <c r="U193" s="16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15:15:37-0600',mode:absolute,to:'2016-09-12 17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93" s="54" t="str">
        <f t="shared" si="81"/>
        <v>N</v>
      </c>
      <c r="X193" s="168">
        <f t="shared" si="95"/>
        <v>1</v>
      </c>
      <c r="Y193" s="69">
        <f t="shared" si="82"/>
        <v>0.1028</v>
      </c>
      <c r="Z193" s="69">
        <f t="shared" si="83"/>
        <v>5.8935000000000004</v>
      </c>
      <c r="AA193" s="69">
        <f t="shared" si="84"/>
        <v>5.7907000000000002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 t="shared" si="85"/>
        <v>0829-12</v>
      </c>
      <c r="AE193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93" s="96" t="str">
        <f t="shared" si="87"/>
        <v>"C:\Program Files (x86)\AstroGrep\AstroGrep.exe" /spath="%USERPROFILE%\AppData\Local\Temp\OnboardLogs" /stypes="app*4025*20160912*" /stext=" 22:.+((SYSTEM_STATE.+slice.+state.+changed )|(ment ac)|(system.+state.+changed )|(\|lc)|(penalty)|(\[timeout)|(PRM\|1\|D)|(kpr)|(kdp))" /e /r /s</v>
      </c>
      <c r="AG193" s="1" t="str">
        <f t="shared" si="88"/>
        <v>NW</v>
      </c>
      <c r="AH193" s="100" t="str">
        <f t="shared" si="89"/>
        <v>"%USERPROFILE%\Documents\GitHub\eaglep3\Utilities\RefineRTDCRunTimes.py" --tripid 829-12 --locoid 4025 --swversion DE.1.0.7.0 --startMP 204:1028 --initTime 2016-09-12T16:15:37 --startdatetime 2016-09-12T16:21:30 --delay 1 --endMP 300:58935 --enddatetime 2016-09-12T16:37:10 --enforcementcount 2 &gt;&gt;C:\Users\stu\Documents\GitHub\eaglep3-reporting\EC\2016-09-12-refined-times.txt</v>
      </c>
      <c r="AI193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{"issue":{"subject":"","project_id":79,"tracker_id":40,"status_id":1,"priority_id":2,"assigned_to_id":23,"start_date":"2016-09-12","description":"","custom_fields":[{"id":1,"name":"Subdivision","value":"NW"},{"id":4,"name":"Milepost","value":"5.7907"},{"id":17,"name":"Train ID","value":"829-12"},{"id":16,"name":"Locomotive ID","value":"4025"},{"id":130,"name":"Impact","value":""},{"id":150,"name":"Time of Event (Mountain Time)","value":"16:37:10"},{"id":151,"name":"Denver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hidden="1" x14ac:dyDescent="0.25">
      <c r="A194" s="39" t="s">
        <v>702</v>
      </c>
      <c r="B194" s="7">
        <v>4026</v>
      </c>
      <c r="C194" s="24" t="s">
        <v>108</v>
      </c>
      <c r="D194" s="24" t="s">
        <v>703</v>
      </c>
      <c r="E194" s="15">
        <v>42625.693414351852</v>
      </c>
      <c r="F194" s="15">
        <v>42625.695023148146</v>
      </c>
      <c r="G194" s="7">
        <v>1</v>
      </c>
      <c r="H194" s="15" t="s">
        <v>338</v>
      </c>
      <c r="I194" s="15">
        <v>42625.705335648148</v>
      </c>
      <c r="J194" s="7">
        <v>2</v>
      </c>
      <c r="K194" s="121" t="str">
        <f t="shared" si="77"/>
        <v>4025/4026</v>
      </c>
      <c r="L194" s="24" t="str">
        <f>VLOOKUP(A194,'Trips&amp;Operators'!$C$1:$E$10000,3,FALSE)</f>
        <v>BRUDER</v>
      </c>
      <c r="M194" s="6">
        <f t="shared" si="78"/>
        <v>1.0312500002328306E-2</v>
      </c>
      <c r="N194" s="7">
        <f t="shared" si="94"/>
        <v>14.850000003352761</v>
      </c>
      <c r="O194" s="7"/>
      <c r="P194" s="7"/>
      <c r="Q194" s="25"/>
      <c r="R194" s="25"/>
      <c r="S194" s="37">
        <f t="shared" si="96"/>
        <v>1</v>
      </c>
      <c r="T194" s="52" t="str">
        <f t="shared" si="79"/>
        <v>Southbound</v>
      </c>
      <c r="U194" s="16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15:38:31-0600',mode:absolute,to:'2016-09-12 17:55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94" s="54" t="str">
        <f t="shared" si="81"/>
        <v>N</v>
      </c>
      <c r="X194" s="168">
        <f t="shared" si="95"/>
        <v>1</v>
      </c>
      <c r="Y194" s="69">
        <f t="shared" si="82"/>
        <v>5.8616999999999999</v>
      </c>
      <c r="Z194" s="69">
        <f t="shared" si="83"/>
        <v>6.8699999999999997E-2</v>
      </c>
      <c r="AA194" s="69">
        <f t="shared" si="84"/>
        <v>5.7930000000000001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 t="shared" si="85"/>
        <v>0830-12</v>
      </c>
      <c r="AE194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94" s="96" t="str">
        <f t="shared" si="87"/>
        <v>"C:\Program Files (x86)\AstroGrep\AstroGrep.exe" /spath="%USERPROFILE%\AppData\Local\Temp\OnboardLogs" /stypes="app*4026*20160912*" /stext=" 22:.+((SYSTEM_STATE.+slice.+state.+changed )|(ment ac)|(system.+state.+changed )|(\|lc)|(penalty)|(\[timeout)|(PRM\|1\|D)|(kpr)|(kdp))" /e /r /s</v>
      </c>
      <c r="AG194" s="1" t="str">
        <f t="shared" si="88"/>
        <v>NW</v>
      </c>
      <c r="AH194" s="100" t="str">
        <f t="shared" si="89"/>
        <v>"%USERPROFILE%\Documents\GitHub\eaglep3\Utilities\RefineRTDCRunTimes.py" --tripid 830-12 --locoid 4026 --swversion DE.1.0.7.0 --startMP 300:58617 --initTime 2016-09-12T16:38:31 --startdatetime 2016-09-12T16:40:50 --delay 1 --endMP 204:687 --enddatetime 2016-09-12T16:55:41 --enforcementcount 2 &gt;&gt;C:\Users\stu\Documents\GitHub\eaglep3-reporting\EC\2016-09-12-refined-times.txt</v>
      </c>
      <c r="AI194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{"issue":{"subject":"","project_id":79,"tracker_id":40,"status_id":1,"priority_id":2,"assigned_to_id":23,"start_date":"2016-09-12","description":"","custom_fields":[{"id":1,"name":"Subdivision","value":"NW"},{"id":4,"name":"Milepost","value":"5.793"},{"id":17,"name":"Train ID","value":"830-12"},{"id":16,"name":"Locomotive ID","value":"4026"},{"id":130,"name":"Impact","value":""},{"id":150,"name":"Time of Event (Mountain Time)","value":"16:55:41"},{"id":151,"name":"Denver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hidden="1" x14ac:dyDescent="0.25">
      <c r="A195" s="39" t="s">
        <v>704</v>
      </c>
      <c r="B195" s="7">
        <v>4020</v>
      </c>
      <c r="C195" s="24" t="s">
        <v>108</v>
      </c>
      <c r="D195" s="24" t="s">
        <v>691</v>
      </c>
      <c r="E195" s="15">
        <v>42625.696747685186</v>
      </c>
      <c r="F195" s="15">
        <v>42625.702430555553</v>
      </c>
      <c r="G195" s="7">
        <v>2</v>
      </c>
      <c r="H195" s="15" t="s">
        <v>335</v>
      </c>
      <c r="I195" s="15">
        <v>42625.712187500001</v>
      </c>
      <c r="J195" s="7">
        <v>2</v>
      </c>
      <c r="K195" s="121" t="str">
        <f t="shared" si="77"/>
        <v>4019/4020</v>
      </c>
      <c r="L195" s="24" t="str">
        <f>VLOOKUP(A195,'Trips&amp;Operators'!$C$1:$E$10000,3,FALSE)</f>
        <v>HAITHCOX</v>
      </c>
      <c r="M195" s="6">
        <f t="shared" si="78"/>
        <v>9.7569444478722289E-3</v>
      </c>
      <c r="N195" s="7">
        <f t="shared" si="94"/>
        <v>14.05000000493601</v>
      </c>
      <c r="O195" s="7"/>
      <c r="P195" s="7"/>
      <c r="Q195" s="25"/>
      <c r="R195" s="25"/>
      <c r="S195" s="37">
        <f t="shared" si="96"/>
        <v>1</v>
      </c>
      <c r="T195" s="52" t="str">
        <f t="shared" si="79"/>
        <v>NorthBound</v>
      </c>
      <c r="U195" s="16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15:43:19-0600',mode:absolute,to:'2016-09-12 18:05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95" s="54" t="str">
        <f t="shared" si="81"/>
        <v>N</v>
      </c>
      <c r="X195" s="168">
        <f t="shared" si="95"/>
        <v>1</v>
      </c>
      <c r="Y195" s="69">
        <f t="shared" si="82"/>
        <v>9.6699999999999994E-2</v>
      </c>
      <c r="Z195" s="69">
        <f t="shared" si="83"/>
        <v>5.8929</v>
      </c>
      <c r="AA195" s="69">
        <f t="shared" si="84"/>
        <v>5.7961999999999998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 t="shared" si="85"/>
        <v>0831-12</v>
      </c>
      <c r="AE195" s="99" t="str">
        <f t="shared" si="86"/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AF195" s="96" t="str">
        <f t="shared" si="87"/>
        <v>"C:\Program Files (x86)\AstroGrep\AstroGrep.exe" /spath="%USERPROFILE%\AppData\Local\Temp\OnboardLogs" /stypes="app*4020*20160912*" /stext=" 23:.+((SYSTEM_STATE.+slice.+state.+changed )|(ment ac)|(system.+state.+changed )|(\|lc)|(penalty)|(\[timeout)|(PRM\|1\|D)|(kpr)|(kdp))" /e /r /s</v>
      </c>
      <c r="AG195" s="1" t="str">
        <f t="shared" si="88"/>
        <v>NW</v>
      </c>
      <c r="AH195" s="100" t="str">
        <f t="shared" si="89"/>
        <v>"%USERPROFILE%\Documents\GitHub\eaglep3\Utilities\RefineRTDCRunTimes.py" --tripid 831-12 --locoid 4020 --swversion DE.1.0.7.0 --startMP 204:967 --initTime 2016-09-12T16:43:19 --startdatetime 2016-09-12T16:51:30 --delay 2 --endMP 300:58929 --enddatetime 2016-09-12T17:05:33 --enforcementcount 2 &gt;&gt;C:\Users\stu\Documents\GitHub\eaglep3-reporting\EC\2016-09-12-refined-times.txt</v>
      </c>
      <c r="AI195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{"issue":{"subject":"","project_id":79,"tracker_id":40,"status_id":1,"priority_id":2,"assigned_to_id":23,"start_date":"2016-09-12","description":"","custom_fields":[{"id":1,"name":"Subdivision","value":"NW"},{"id":4,"name":"Milepost","value":"5.7962"},{"id":17,"name":"Train ID","value":"831-12"},{"id":16,"name":"Locomotive ID","value":"4020"},{"id":130,"name":"Impact","value":""},{"id":150,"name":"Time of Event (Mountain Time)","value":"17:05:33"},{"id":151,"name":"Denver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hidden="1" x14ac:dyDescent="0.25">
      <c r="A196" s="39" t="s">
        <v>414</v>
      </c>
      <c r="B196" s="7">
        <v>4019</v>
      </c>
      <c r="C196" s="24" t="s">
        <v>108</v>
      </c>
      <c r="D196" s="24" t="s">
        <v>251</v>
      </c>
      <c r="E196" s="15">
        <v>42625.713078703702</v>
      </c>
      <c r="F196" s="15">
        <v>42625.714305555557</v>
      </c>
      <c r="G196" s="7">
        <v>1</v>
      </c>
      <c r="H196" s="15" t="s">
        <v>341</v>
      </c>
      <c r="I196" s="15">
        <v>42625.7266087963</v>
      </c>
      <c r="J196" s="7">
        <v>2</v>
      </c>
      <c r="K196" s="121" t="str">
        <f t="shared" si="77"/>
        <v>4019/4020</v>
      </c>
      <c r="L196" s="24" t="str">
        <f>VLOOKUP(A196,'Trips&amp;Operators'!$C$1:$E$10000,3,FALSE)</f>
        <v>HAITHCOX</v>
      </c>
      <c r="M196" s="6">
        <f t="shared" si="78"/>
        <v>1.230324074276723E-2</v>
      </c>
      <c r="N196" s="7">
        <f t="shared" si="94"/>
        <v>17.716666669584811</v>
      </c>
      <c r="O196" s="7"/>
      <c r="P196" s="7"/>
      <c r="Q196" s="25"/>
      <c r="R196" s="25"/>
      <c r="S196" s="37">
        <f t="shared" si="96"/>
        <v>1</v>
      </c>
      <c r="T196" s="52" t="str">
        <f t="shared" si="79"/>
        <v>Southbound</v>
      </c>
      <c r="U196" s="16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16:06:50-0600',mode:absolute,to:'2016-09-12 18:26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96" s="54" t="str">
        <f t="shared" si="81"/>
        <v>N</v>
      </c>
      <c r="X196" s="168">
        <f t="shared" si="95"/>
        <v>1</v>
      </c>
      <c r="Y196" s="69">
        <f t="shared" si="82"/>
        <v>5.8615000000000004</v>
      </c>
      <c r="Z196" s="69">
        <f t="shared" si="83"/>
        <v>6.7299999999999999E-2</v>
      </c>
      <c r="AA196" s="69">
        <f t="shared" si="84"/>
        <v>5.7942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 t="shared" si="85"/>
        <v>0832-12</v>
      </c>
      <c r="AE196" s="99" t="str">
        <f t="shared" si="86"/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196" s="96" t="str">
        <f t="shared" si="87"/>
        <v>"C:\Program Files (x86)\AstroGrep\AstroGrep.exe" /spath="%USERPROFILE%\AppData\Local\Temp\OnboardLogs" /stypes="app*4019*20160912*" /stext=" 23:.+((SYSTEM_STATE.+slice.+state.+changed )|(ment ac)|(system.+state.+changed )|(\|lc)|(penalty)|(\[timeout)|(PRM\|1\|D)|(kpr)|(kdp))" /e /r /s</v>
      </c>
      <c r="AG196" s="1" t="str">
        <f t="shared" si="88"/>
        <v>NW</v>
      </c>
      <c r="AH196" s="100" t="str">
        <f t="shared" si="89"/>
        <v>"%USERPROFILE%\Documents\GitHub\eaglep3\Utilities\RefineRTDCRunTimes.py" --tripid 832-12 --locoid 4019 --swversion DE.1.0.7.0 --startMP 300:58615 --initTime 2016-09-12T17:06:50 --startdatetime 2016-09-12T17:08:36 --delay 1 --endMP 204:673 --enddatetime 2016-09-12T17:26:19 --enforcementcount 2 &gt;&gt;C:\Users\stu\Documents\GitHub\eaglep3-reporting\EC\2016-09-12-refined-times.txt</v>
      </c>
      <c r="AI196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{"issue":{"subject":"","project_id":79,"tracker_id":40,"status_id":1,"priority_id":2,"assigned_to_id":23,"start_date":"2016-09-12","description":"","custom_fields":[{"id":1,"name":"Subdivision","value":"NW"},{"id":4,"name":"Milepost","value":"5.7942"},{"id":17,"name":"Train ID","value":"832-12"},{"id":16,"name":"Locomotive ID","value":"4019"},{"id":130,"name":"Impact","value":""},{"id":150,"name":"Time of Event (Mountain Time)","value":"17:26:19"},{"id":151,"name":"Denver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hidden="1" x14ac:dyDescent="0.25">
      <c r="A197" s="39" t="s">
        <v>705</v>
      </c>
      <c r="B197" s="7">
        <v>4025</v>
      </c>
      <c r="C197" s="24" t="s">
        <v>108</v>
      </c>
      <c r="D197" s="24" t="s">
        <v>706</v>
      </c>
      <c r="E197" s="15">
        <v>42625.718969907408</v>
      </c>
      <c r="F197" s="15">
        <v>42625.723379629628</v>
      </c>
      <c r="G197" s="7">
        <v>1</v>
      </c>
      <c r="H197" s="15" t="s">
        <v>707</v>
      </c>
      <c r="I197" s="15">
        <v>42625.732812499999</v>
      </c>
      <c r="J197" s="7">
        <v>2</v>
      </c>
      <c r="K197" s="121" t="str">
        <f t="shared" si="77"/>
        <v>4025/4026</v>
      </c>
      <c r="L197" s="24" t="str">
        <f>VLOOKUP(A197,'Trips&amp;Operators'!$C$1:$E$10000,3,FALSE)</f>
        <v>BRUDER</v>
      </c>
      <c r="M197" s="6">
        <f t="shared" si="78"/>
        <v>9.4328703708015382E-3</v>
      </c>
      <c r="N197" s="7">
        <f t="shared" si="94"/>
        <v>13.583333333954215</v>
      </c>
      <c r="O197" s="7"/>
      <c r="P197" s="7"/>
      <c r="Q197" s="25"/>
      <c r="R197" s="25"/>
      <c r="S197" s="37">
        <f t="shared" si="96"/>
        <v>1</v>
      </c>
      <c r="T197" s="52" t="str">
        <f t="shared" si="79"/>
        <v>NorthBound</v>
      </c>
      <c r="U197" s="16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16:15:19-0600',mode:absolute,to:'2016-09-12 18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97" s="54" t="str">
        <f t="shared" si="81"/>
        <v>N</v>
      </c>
      <c r="X197" s="168">
        <f t="shared" si="95"/>
        <v>1</v>
      </c>
      <c r="Y197" s="69">
        <f t="shared" si="82"/>
        <v>9.7199999999999995E-2</v>
      </c>
      <c r="Z197" s="69">
        <f t="shared" si="83"/>
        <v>5.8924000000000003</v>
      </c>
      <c r="AA197" s="69">
        <f t="shared" si="84"/>
        <v>5.7952000000000004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 t="shared" si="85"/>
        <v>0833-12</v>
      </c>
      <c r="AE197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97" s="96" t="str">
        <f t="shared" si="87"/>
        <v>"C:\Program Files (x86)\AstroGrep\AstroGrep.exe" /spath="%USERPROFILE%\AppData\Local\Temp\OnboardLogs" /stypes="app*4025*20160912*" /stext=" 23:.+((SYSTEM_STATE.+slice.+state.+changed )|(ment ac)|(system.+state.+changed )|(\|lc)|(penalty)|(\[timeout)|(PRM\|1\|D)|(kpr)|(kdp))" /e /r /s</v>
      </c>
      <c r="AG197" s="1" t="str">
        <f t="shared" si="88"/>
        <v>NW</v>
      </c>
      <c r="AH197" s="100" t="str">
        <f t="shared" si="89"/>
        <v>"%USERPROFILE%\Documents\GitHub\eaglep3\Utilities\RefineRTDCRunTimes.py" --tripid 833-12 --locoid 4025 --swversion DE.1.0.7.0 --startMP 204:972 --initTime 2016-09-12T17:15:19 --startdatetime 2016-09-12T17:21:40 --delay 1 --endMP 300:58924 --enddatetime 2016-09-12T17:35:15 --enforcementcount 2 &gt;&gt;C:\Users\stu\Documents\GitHub\eaglep3-reporting\EC\2016-09-12-refined-times.txt</v>
      </c>
      <c r="AI197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{"issue":{"subject":"","project_id":79,"tracker_id":40,"status_id":1,"priority_id":2,"assigned_to_id":23,"start_date":"2016-09-12","description":"","custom_fields":[{"id":1,"name":"Subdivision","value":"NW"},{"id":4,"name":"Milepost","value":"5.7952"},{"id":17,"name":"Train ID","value":"833-12"},{"id":16,"name":"Locomotive ID","value":"4025"},{"id":130,"name":"Impact","value":""},{"id":150,"name":"Time of Event (Mountain Time)","value":"17:35:15"},{"id":151,"name":"Denver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hidden="1" x14ac:dyDescent="0.25">
      <c r="A198" s="39" t="s">
        <v>708</v>
      </c>
      <c r="B198" s="7">
        <v>4026</v>
      </c>
      <c r="C198" s="24" t="s">
        <v>108</v>
      </c>
      <c r="D198" s="24" t="s">
        <v>709</v>
      </c>
      <c r="E198" s="15">
        <v>42625.734282407408</v>
      </c>
      <c r="F198" s="15">
        <v>42625.736157407409</v>
      </c>
      <c r="G198" s="7">
        <v>1</v>
      </c>
      <c r="H198" s="15" t="s">
        <v>710</v>
      </c>
      <c r="I198" s="15">
        <v>42625.746990740743</v>
      </c>
      <c r="J198" s="7">
        <v>2</v>
      </c>
      <c r="K198" s="121" t="str">
        <f t="shared" si="77"/>
        <v>4025/4026</v>
      </c>
      <c r="L198" s="24" t="str">
        <f>VLOOKUP(A198,'Trips&amp;Operators'!$C$1:$E$10000,3,FALSE)</f>
        <v>BRUDER</v>
      </c>
      <c r="M198" s="6">
        <f t="shared" si="78"/>
        <v>1.0833333333721384E-2</v>
      </c>
      <c r="N198" s="7">
        <f t="shared" si="94"/>
        <v>15.600000000558794</v>
      </c>
      <c r="O198" s="7"/>
      <c r="P198" s="7"/>
      <c r="Q198" s="25"/>
      <c r="R198" s="25"/>
      <c r="S198" s="37">
        <f t="shared" si="96"/>
        <v>1</v>
      </c>
      <c r="T198" s="52" t="str">
        <f t="shared" si="79"/>
        <v>Southbound</v>
      </c>
      <c r="U198" s="16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16:37:22-0600',mode:absolute,to:'2016-09-12 18:55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98" s="54" t="str">
        <f t="shared" si="81"/>
        <v>N</v>
      </c>
      <c r="X198" s="168">
        <f t="shared" si="95"/>
        <v>1</v>
      </c>
      <c r="Y198" s="69">
        <f t="shared" si="82"/>
        <v>5.8613</v>
      </c>
      <c r="Z198" s="69">
        <f t="shared" si="83"/>
        <v>6.5600000000000006E-2</v>
      </c>
      <c r="AA198" s="69">
        <f t="shared" si="84"/>
        <v>5.7957000000000001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 t="shared" si="85"/>
        <v>0834-12</v>
      </c>
      <c r="AE198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98" s="96" t="str">
        <f t="shared" si="87"/>
        <v>"C:\Program Files (x86)\AstroGrep\AstroGrep.exe" /spath="%USERPROFILE%\AppData\Local\Temp\OnboardLogs" /stypes="app*4026*20160912*" /stext=" 23:.+((SYSTEM_STATE.+slice.+state.+changed )|(ment ac)|(system.+state.+changed )|(\|lc)|(penalty)|(\[timeout)|(PRM\|1\|D)|(kpr)|(kdp))" /e /r /s</v>
      </c>
      <c r="AG198" s="1" t="str">
        <f t="shared" si="88"/>
        <v>NW</v>
      </c>
      <c r="AH198" s="100" t="str">
        <f t="shared" si="89"/>
        <v>"%USERPROFILE%\Documents\GitHub\eaglep3\Utilities\RefineRTDCRunTimes.py" --tripid 834-12 --locoid 4026 --swversion DE.1.0.7.0 --startMP 300:58613 --initTime 2016-09-12T17:37:22 --startdatetime 2016-09-12T17:40:04 --delay 1 --endMP 204:656 --enddatetime 2016-09-12T17:55:40 --enforcementcount 2 &gt;&gt;C:\Users\stu\Documents\GitHub\eaglep3-reporting\EC\2016-09-12-refined-times.txt</v>
      </c>
      <c r="AI198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{"issue":{"subject":"","project_id":79,"tracker_id":40,"status_id":1,"priority_id":2,"assigned_to_id":23,"start_date":"2016-09-12","description":"","custom_fields":[{"id":1,"name":"Subdivision","value":"NW"},{"id":4,"name":"Milepost","value":"5.7957"},{"id":17,"name":"Train ID","value":"834-12"},{"id":16,"name":"Locomotive ID","value":"4026"},{"id":130,"name":"Impact","value":""},{"id":150,"name":"Time of Event (Mountain Time)","value":"17:55:40"},{"id":151,"name":"Denver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s="23" customFormat="1" hidden="1" x14ac:dyDescent="0.25">
      <c r="A199" s="39" t="s">
        <v>415</v>
      </c>
      <c r="B199" s="7">
        <v>4020</v>
      </c>
      <c r="C199" s="24" t="s">
        <v>108</v>
      </c>
      <c r="D199" s="24" t="s">
        <v>711</v>
      </c>
      <c r="E199" s="15">
        <v>42625.739629629628</v>
      </c>
      <c r="F199" s="15">
        <v>42625.744004629632</v>
      </c>
      <c r="G199" s="7">
        <v>1</v>
      </c>
      <c r="H199" s="15" t="s">
        <v>334</v>
      </c>
      <c r="I199" s="15">
        <v>42625.753657407404</v>
      </c>
      <c r="J199" s="7">
        <v>2</v>
      </c>
      <c r="K199" s="121" t="str">
        <f t="shared" si="77"/>
        <v>4019/4020</v>
      </c>
      <c r="L199" s="24" t="str">
        <f>VLOOKUP(A199,'Trips&amp;Operators'!$C$1:$E$10000,3,FALSE)</f>
        <v>HAITHCOX</v>
      </c>
      <c r="M199" s="6">
        <f t="shared" si="78"/>
        <v>9.6527777714072727E-3</v>
      </c>
      <c r="N199" s="7">
        <f t="shared" si="94"/>
        <v>13.899999990826473</v>
      </c>
      <c r="O199" s="7"/>
      <c r="P199" s="7"/>
      <c r="Q199" s="25"/>
      <c r="R199" s="25"/>
      <c r="S199" s="37">
        <f t="shared" si="96"/>
        <v>1</v>
      </c>
      <c r="T199" s="52" t="str">
        <f t="shared" si="79"/>
        <v>NorthBound</v>
      </c>
      <c r="U199" s="16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16:45:04-0600',mode:absolute,to:'2016-09-12 19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99" s="54" t="str">
        <f t="shared" si="81"/>
        <v>N</v>
      </c>
      <c r="X199" s="168">
        <f t="shared" si="95"/>
        <v>1</v>
      </c>
      <c r="Y199" s="69">
        <f t="shared" si="82"/>
        <v>9.7100000000000006E-2</v>
      </c>
      <c r="Z199" s="69">
        <f t="shared" si="83"/>
        <v>5.8933</v>
      </c>
      <c r="AA199" s="69">
        <f t="shared" si="84"/>
        <v>5.7961999999999998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 t="shared" si="85"/>
        <v>0835-12</v>
      </c>
      <c r="AE199" s="99" t="str">
        <f t="shared" si="86"/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AF199" s="96" t="str">
        <f t="shared" si="87"/>
        <v>"C:\Program Files (x86)\AstroGrep\AstroGrep.exe" /spath="%USERPROFILE%\AppData\Local\Temp\OnboardLogs" /stypes="app*4020*20160913*" /stext=" 00:.+((SYSTEM_STATE.+slice.+state.+changed )|(ment ac)|(system.+state.+changed )|(\|lc)|(penalty)|(\[timeout)|(PRM\|1\|D)|(kpr)|(kdp))" /e /r /s</v>
      </c>
      <c r="AG199" s="1" t="str">
        <f t="shared" si="88"/>
        <v>NW</v>
      </c>
      <c r="AH199" s="100" t="str">
        <f t="shared" si="89"/>
        <v>"%USERPROFILE%\Documents\GitHub\eaglep3\Utilities\RefineRTDCRunTimes.py" --tripid 835-12 --locoid 4020 --swversion DE.1.0.7.0 --startMP 204:971 --initTime 2016-09-12T17:45:04 --startdatetime 2016-09-12T17:51:22 --delay 1 --endMP 300:58933 --enddatetime 2016-09-12T18:05:16 --enforcementcount 2 &gt;&gt;C:\Users\stu\Documents\GitHub\eaglep3-reporting\EC\2016-09-12-refined-times.txt</v>
      </c>
      <c r="AI199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{"issue":{"subject":"","project_id":79,"tracker_id":40,"status_id":1,"priority_id":2,"assigned_to_id":23,"start_date":"2016-09-12","description":"","custom_fields":[{"id":1,"name":"Subdivision","value":"NW"},{"id":4,"name":"Milepost","value":"5.7962"},{"id":17,"name":"Train ID","value":"835-12"},{"id":16,"name":"Locomotive ID","value":"4020"},{"id":130,"name":"Impact","value":""},{"id":150,"name":"Time of Event (Mountain Time)","value":"18:05:16"},{"id":151,"name":"Denver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hidden="1" x14ac:dyDescent="0.25">
      <c r="A200" s="39" t="s">
        <v>712</v>
      </c>
      <c r="B200" s="7">
        <v>4019</v>
      </c>
      <c r="C200" s="24" t="s">
        <v>108</v>
      </c>
      <c r="D200" s="24" t="s">
        <v>713</v>
      </c>
      <c r="E200" s="15">
        <v>42625.755289351851</v>
      </c>
      <c r="F200" s="15">
        <v>42625.756712962961</v>
      </c>
      <c r="G200" s="7">
        <v>2</v>
      </c>
      <c r="H200" s="15" t="s">
        <v>341</v>
      </c>
      <c r="I200" s="15">
        <v>42625.767939814818</v>
      </c>
      <c r="J200" s="7">
        <v>2</v>
      </c>
      <c r="K200" s="121" t="str">
        <f t="shared" si="77"/>
        <v>4019/4020</v>
      </c>
      <c r="L200" s="24" t="str">
        <f>VLOOKUP(A200,'Trips&amp;Operators'!$C$1:$E$10000,3,FALSE)</f>
        <v>HAITHCOX</v>
      </c>
      <c r="M200" s="6">
        <f t="shared" si="78"/>
        <v>1.1226851856918074E-2</v>
      </c>
      <c r="N200" s="7">
        <f t="shared" si="94"/>
        <v>16.166666673962027</v>
      </c>
      <c r="O200" s="7"/>
      <c r="P200" s="7"/>
      <c r="Q200" s="25"/>
      <c r="R200" s="25"/>
      <c r="S200" s="37">
        <f t="shared" si="96"/>
        <v>1</v>
      </c>
      <c r="T200" s="52" t="str">
        <f t="shared" si="79"/>
        <v>Southbound</v>
      </c>
      <c r="U200" s="16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17:07:37-0600',mode:absolute,to:'2016-09-12 19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00" s="54" t="str">
        <f t="shared" si="81"/>
        <v>N</v>
      </c>
      <c r="X200" s="168">
        <f t="shared" si="95"/>
        <v>1</v>
      </c>
      <c r="Y200" s="69">
        <f t="shared" si="82"/>
        <v>5.7809999999999997</v>
      </c>
      <c r="Z200" s="69">
        <f t="shared" si="83"/>
        <v>6.7299999999999999E-2</v>
      </c>
      <c r="AA200" s="69">
        <f t="shared" si="84"/>
        <v>5.7136999999999993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 t="shared" si="85"/>
        <v>0836-12</v>
      </c>
      <c r="AE200" s="99" t="str">
        <f t="shared" si="86"/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200" s="96" t="str">
        <f t="shared" si="87"/>
        <v>"C:\Program Files (x86)\AstroGrep\AstroGrep.exe" /spath="%USERPROFILE%\AppData\Local\Temp\OnboardLogs" /stypes="app*4019*20160913*" /stext=" 00:.+((SYSTEM_STATE.+slice.+state.+changed )|(ment ac)|(system.+state.+changed )|(\|lc)|(penalty)|(\[timeout)|(PRM\|1\|D)|(kpr)|(kdp))" /e /r /s</v>
      </c>
      <c r="AG200" s="1" t="str">
        <f t="shared" si="88"/>
        <v>NW</v>
      </c>
      <c r="AH200" s="100" t="str">
        <f t="shared" si="89"/>
        <v>"%USERPROFILE%\Documents\GitHub\eaglep3\Utilities\RefineRTDCRunTimes.py" --tripid 836-12 --locoid 4019 --swversion DE.1.0.7.0 --startMP 300:57810 --initTime 2016-09-12T18:07:37 --startdatetime 2016-09-12T18:09:40 --delay 2 --endMP 204:673 --enddatetime 2016-09-12T18:25:50 --enforcementcount 2 &gt;&gt;C:\Users\stu\Documents\GitHub\eaglep3-reporting\EC\2016-09-12-refined-times.txt</v>
      </c>
      <c r="AI200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{"issue":{"subject":"","project_id":79,"tracker_id":40,"status_id":1,"priority_id":2,"assigned_to_id":23,"start_date":"2016-09-12","description":"","custom_fields":[{"id":1,"name":"Subdivision","value":"NW"},{"id":4,"name":"Milepost","value":"5.7137"},{"id":17,"name":"Train ID","value":"836-12"},{"id":16,"name":"Locomotive ID","value":"4019"},{"id":130,"name":"Impact","value":""},{"id":150,"name":"Time of Event (Mountain Time)","value":"18:25:50"},{"id":151,"name":"Denver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hidden="1" x14ac:dyDescent="0.25">
      <c r="A201" s="39" t="s">
        <v>714</v>
      </c>
      <c r="B201" s="7">
        <v>4025</v>
      </c>
      <c r="C201" s="24" t="s">
        <v>108</v>
      </c>
      <c r="D201" s="24" t="s">
        <v>694</v>
      </c>
      <c r="E201" s="15">
        <v>42625.756574074076</v>
      </c>
      <c r="F201" s="15">
        <v>42625.764861111114</v>
      </c>
      <c r="G201" s="7">
        <v>5</v>
      </c>
      <c r="H201" s="15" t="s">
        <v>297</v>
      </c>
      <c r="I201" s="15">
        <v>42625.775081018517</v>
      </c>
      <c r="J201" s="7">
        <v>2</v>
      </c>
      <c r="K201" s="121" t="str">
        <f t="shared" si="77"/>
        <v>4025/4026</v>
      </c>
      <c r="L201" s="24" t="str">
        <f>VLOOKUP(A201,'Trips&amp;Operators'!$C$1:$E$10000,3,FALSE)</f>
        <v>SMITH</v>
      </c>
      <c r="M201" s="6">
        <f t="shared" si="78"/>
        <v>1.0219907402643003E-2</v>
      </c>
      <c r="N201" s="7">
        <f t="shared" si="94"/>
        <v>14.716666659805924</v>
      </c>
      <c r="O201" s="7"/>
      <c r="P201" s="7"/>
      <c r="Q201" s="25"/>
      <c r="R201" s="25"/>
      <c r="S201" s="37">
        <f t="shared" si="96"/>
        <v>1</v>
      </c>
      <c r="T201" s="52" t="str">
        <f t="shared" si="79"/>
        <v>NorthBound</v>
      </c>
      <c r="U201" s="16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17:09:28-0600',mode:absolute,to:'2016-09-12 19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1" s="54" t="str">
        <f t="shared" si="81"/>
        <v>N</v>
      </c>
      <c r="X201" s="168">
        <f t="shared" si="95"/>
        <v>1</v>
      </c>
      <c r="Y201" s="69">
        <f t="shared" si="82"/>
        <v>9.69E-2</v>
      </c>
      <c r="Z201" s="69">
        <f t="shared" si="83"/>
        <v>5.8935000000000004</v>
      </c>
      <c r="AA201" s="69">
        <f t="shared" si="84"/>
        <v>5.7966000000000006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 t="shared" si="85"/>
        <v>0837-12</v>
      </c>
      <c r="AE201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201" s="96" t="str">
        <f t="shared" si="87"/>
        <v>"C:\Program Files (x86)\AstroGrep\AstroGrep.exe" /spath="%USERPROFILE%\AppData\Local\Temp\OnboardLogs" /stypes="app*4025*20160913*" /stext=" 00:.+((SYSTEM_STATE.+slice.+state.+changed )|(ment ac)|(system.+state.+changed )|(\|lc)|(penalty)|(\[timeout)|(PRM\|1\|D)|(kpr)|(kdp))" /e /r /s</v>
      </c>
      <c r="AG201" s="1" t="str">
        <f t="shared" si="88"/>
        <v>NW</v>
      </c>
      <c r="AH201" s="100" t="str">
        <f t="shared" si="89"/>
        <v>"%USERPROFILE%\Documents\GitHub\eaglep3\Utilities\RefineRTDCRunTimes.py" --tripid 837-12 --locoid 4025 --swversion DE.1.0.7.0 --startMP 204:969 --initTime 2016-09-12T18:09:28 --startdatetime 2016-09-12T18:21:24 --delay 5 --endMP 300:58935 --enddatetime 2016-09-12T18:36:07 --enforcementcount 2 &gt;&gt;C:\Users\stu\Documents\GitHub\eaglep3-reporting\EC\2016-09-12-refined-times.txt</v>
      </c>
      <c r="AI201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{"issue":{"subject":"","project_id":79,"tracker_id":40,"status_id":1,"priority_id":2,"assigned_to_id":23,"start_date":"2016-09-12","description":"","custom_fields":[{"id":1,"name":"Subdivision","value":"NW"},{"id":4,"name":"Milepost","value":"5.7966"},{"id":17,"name":"Train ID","value":"837-12"},{"id":16,"name":"Locomotive ID","value":"4025"},{"id":130,"name":"Impact","value":""},{"id":150,"name":"Time of Event (Mountain Time)","value":"18:36:07"},{"id":151,"name":"Denver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s="23" customFormat="1" hidden="1" x14ac:dyDescent="0.25">
      <c r="A202" s="39" t="s">
        <v>715</v>
      </c>
      <c r="B202" s="7">
        <v>4026</v>
      </c>
      <c r="C202" s="24" t="s">
        <v>108</v>
      </c>
      <c r="D202" s="24" t="s">
        <v>296</v>
      </c>
      <c r="E202" s="15">
        <v>42625.776875000003</v>
      </c>
      <c r="F202" s="15">
        <v>42625.779108796298</v>
      </c>
      <c r="G202" s="7">
        <v>1</v>
      </c>
      <c r="H202" s="15" t="s">
        <v>341</v>
      </c>
      <c r="I202" s="15">
        <v>42625.790300925924</v>
      </c>
      <c r="J202" s="7">
        <v>2</v>
      </c>
      <c r="K202" s="121" t="str">
        <f t="shared" si="77"/>
        <v>4025/4026</v>
      </c>
      <c r="L202" s="24" t="str">
        <f>VLOOKUP(A202,'Trips&amp;Operators'!$C$1:$E$10000,3,FALSE)</f>
        <v>SMITH</v>
      </c>
      <c r="M202" s="6">
        <f t="shared" si="78"/>
        <v>1.1192129626579117E-2</v>
      </c>
      <c r="N202" s="7">
        <f t="shared" si="94"/>
        <v>16.116666662273929</v>
      </c>
      <c r="O202" s="7"/>
      <c r="P202" s="7"/>
      <c r="Q202" s="25"/>
      <c r="R202" s="25"/>
      <c r="S202" s="37">
        <f t="shared" si="96"/>
        <v>1</v>
      </c>
      <c r="T202" s="52" t="str">
        <f t="shared" si="79"/>
        <v>Southbound</v>
      </c>
      <c r="U202" s="163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17:38:42-0600',mode:absolute,to:'2016-09-12 19:58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02" s="54" t="str">
        <f t="shared" si="81"/>
        <v>N</v>
      </c>
      <c r="X202" s="168">
        <f t="shared" si="95"/>
        <v>1</v>
      </c>
      <c r="Y202" s="69">
        <f t="shared" si="82"/>
        <v>5.8620999999999999</v>
      </c>
      <c r="Z202" s="69">
        <f t="shared" si="83"/>
        <v>6.7299999999999999E-2</v>
      </c>
      <c r="AA202" s="69">
        <f t="shared" si="84"/>
        <v>5.7947999999999995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 t="shared" si="85"/>
        <v>0838-12</v>
      </c>
      <c r="AE202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202" s="96" t="str">
        <f t="shared" si="87"/>
        <v>"C:\Program Files (x86)\AstroGrep\AstroGrep.exe" /spath="%USERPROFILE%\AppData\Local\Temp\OnboardLogs" /stypes="app*4026*20160913*" /stext=" 00:.+((SYSTEM_STATE.+slice.+state.+changed )|(ment ac)|(system.+state.+changed )|(\|lc)|(penalty)|(\[timeout)|(PRM\|1\|D)|(kpr)|(kdp))" /e /r /s</v>
      </c>
      <c r="AG202" s="1" t="str">
        <f t="shared" si="88"/>
        <v>NW</v>
      </c>
      <c r="AH202" s="100" t="str">
        <f t="shared" si="89"/>
        <v>"%USERPROFILE%\Documents\GitHub\eaglep3\Utilities\RefineRTDCRunTimes.py" --tripid 838-12 --locoid 4026 --swversion DE.1.0.7.0 --startMP 300:58621 --initTime 2016-09-12T18:38:42 --startdatetime 2016-09-12T18:41:55 --delay 1 --endMP 204:673 --enddatetime 2016-09-12T18:58:02 --enforcementcount 2 &gt;&gt;C:\Users\stu\Documents\GitHub\eaglep3-reporting\EC\2016-09-12-refined-times.txt</v>
      </c>
      <c r="AI202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{"issue":{"subject":"","project_id":79,"tracker_id":40,"status_id":1,"priority_id":2,"assigned_to_id":23,"start_date":"2016-09-12","description":"","custom_fields":[{"id":1,"name":"Subdivision","value":"NW"},{"id":4,"name":"Milepost","value":"5.7948"},{"id":17,"name":"Train ID","value":"838-12"},{"id":16,"name":"Locomotive ID","value":"4026"},{"id":130,"name":"Impact","value":""},{"id":150,"name":"Time of Event (Mountain Time)","value":"18:58:02"},{"id":151,"name":"Denver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s="23" customFormat="1" hidden="1" x14ac:dyDescent="0.25">
      <c r="A203" s="39" t="s">
        <v>716</v>
      </c>
      <c r="B203" s="7">
        <v>4020</v>
      </c>
      <c r="C203" s="24" t="s">
        <v>108</v>
      </c>
      <c r="D203" s="24" t="s">
        <v>711</v>
      </c>
      <c r="E203" s="15">
        <v>42625.782581018517</v>
      </c>
      <c r="F203" s="15">
        <v>42625.785787037035</v>
      </c>
      <c r="G203" s="7">
        <v>1</v>
      </c>
      <c r="H203" s="15" t="s">
        <v>717</v>
      </c>
      <c r="I203" s="15">
        <v>42625.795914351853</v>
      </c>
      <c r="J203" s="7">
        <v>2</v>
      </c>
      <c r="K203" s="121" t="str">
        <f t="shared" si="77"/>
        <v>4019/4020</v>
      </c>
      <c r="L203" s="24" t="str">
        <f>VLOOKUP(A203,'Trips&amp;Operators'!$C$1:$E$10000,3,FALSE)</f>
        <v>HAITHCOX</v>
      </c>
      <c r="M203" s="6">
        <f t="shared" si="78"/>
        <v>1.0127314817509614E-2</v>
      </c>
      <c r="N203" s="7">
        <f t="shared" si="94"/>
        <v>14.583333337213844</v>
      </c>
      <c r="O203" s="7"/>
      <c r="P203" s="7"/>
      <c r="Q203" s="25"/>
      <c r="R203" s="25"/>
      <c r="S203" s="37">
        <f t="shared" si="96"/>
        <v>1</v>
      </c>
      <c r="T203" s="52" t="str">
        <f t="shared" si="79"/>
        <v>NorthBound</v>
      </c>
      <c r="U203" s="163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17:46:55-0600',mode:absolute,to:'2016-09-12 20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03" s="54" t="str">
        <f t="shared" si="81"/>
        <v>N</v>
      </c>
      <c r="X203" s="168">
        <f t="shared" si="95"/>
        <v>1</v>
      </c>
      <c r="Y203" s="69">
        <f t="shared" si="82"/>
        <v>9.7100000000000006E-2</v>
      </c>
      <c r="Z203" s="69">
        <f t="shared" si="83"/>
        <v>5.8930999999999996</v>
      </c>
      <c r="AA203" s="69">
        <f t="shared" si="84"/>
        <v>5.7959999999999994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 t="shared" si="85"/>
        <v>0839-12</v>
      </c>
      <c r="AE203" s="99" t="str">
        <f t="shared" si="86"/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AF203" s="96" t="str">
        <f t="shared" si="87"/>
        <v>"C:\Program Files (x86)\AstroGrep\AstroGrep.exe" /spath="%USERPROFILE%\AppData\Local\Temp\OnboardLogs" /stypes="app*4020*20160913*" /stext=" 01:.+((SYSTEM_STATE.+slice.+state.+changed )|(ment ac)|(system.+state.+changed )|(\|lc)|(penalty)|(\[timeout)|(PRM\|1\|D)|(kpr)|(kdp))" /e /r /s</v>
      </c>
      <c r="AG203" s="1" t="str">
        <f t="shared" si="88"/>
        <v>NW</v>
      </c>
      <c r="AH203" s="100" t="str">
        <f t="shared" si="89"/>
        <v>"%USERPROFILE%\Documents\GitHub\eaglep3\Utilities\RefineRTDCRunTimes.py" --tripid 839-12 --locoid 4020 --swversion DE.1.0.7.0 --startMP 204:971 --initTime 2016-09-12T18:46:55 --startdatetime 2016-09-12T18:51:32 --delay 1 --endMP 300:58931 --enddatetime 2016-09-12T19:06:07 --enforcementcount 2 &gt;&gt;C:\Users\stu\Documents\GitHub\eaglep3-reporting\EC\2016-09-12-refined-times.txt</v>
      </c>
      <c r="AI203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{"issue":{"subject":"","project_id":79,"tracker_id":40,"status_id":1,"priority_id":2,"assigned_to_id":23,"start_date":"2016-09-12","description":"","custom_fields":[{"id":1,"name":"Subdivision","value":"NW"},{"id":4,"name":"Milepost","value":"5.796"},{"id":17,"name":"Train ID","value":"839-12"},{"id":16,"name":"Locomotive ID","value":"4020"},{"id":130,"name":"Impact","value":""},{"id":150,"name":"Time of Event (Mountain Time)","value":"19:06:07"},{"id":151,"name":"Denver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hidden="1" x14ac:dyDescent="0.25">
      <c r="A204" s="39" t="s">
        <v>718</v>
      </c>
      <c r="B204" s="7">
        <v>4026</v>
      </c>
      <c r="C204" s="24" t="s">
        <v>108</v>
      </c>
      <c r="D204" s="24" t="s">
        <v>655</v>
      </c>
      <c r="E204" s="15">
        <v>42625.818506944444</v>
      </c>
      <c r="F204" s="15">
        <v>42625.820567129631</v>
      </c>
      <c r="G204" s="7">
        <v>2</v>
      </c>
      <c r="H204" s="15" t="s">
        <v>719</v>
      </c>
      <c r="I204" s="15">
        <v>42625.833414351851</v>
      </c>
      <c r="J204" s="7">
        <v>2</v>
      </c>
      <c r="K204" s="121" t="str">
        <f t="shared" si="77"/>
        <v>4025/4026</v>
      </c>
      <c r="L204" s="24" t="str">
        <f>VLOOKUP(A204,'Trips&amp;Operators'!$C$1:$E$10000,3,FALSE)</f>
        <v>SMITH</v>
      </c>
      <c r="M204" s="6">
        <f t="shared" si="78"/>
        <v>1.2847222220443655E-2</v>
      </c>
      <c r="N204" s="7">
        <f t="shared" si="94"/>
        <v>18.499999997438863</v>
      </c>
      <c r="O204" s="7"/>
      <c r="P204" s="7"/>
      <c r="Q204" s="25"/>
      <c r="R204" s="25"/>
      <c r="S204" s="37">
        <f t="shared" si="96"/>
        <v>1</v>
      </c>
      <c r="T204" s="52" t="str">
        <f t="shared" si="79"/>
        <v>Southbound</v>
      </c>
      <c r="U204" s="163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18:38:39-0600',mode:absolute,to:'2016-09-12 21:00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04" s="54" t="str">
        <f t="shared" si="81"/>
        <v>N</v>
      </c>
      <c r="X204" s="168">
        <f t="shared" si="95"/>
        <v>1</v>
      </c>
      <c r="Y204" s="69">
        <f t="shared" si="82"/>
        <v>5.8624000000000001</v>
      </c>
      <c r="Z204" s="69">
        <f t="shared" si="83"/>
        <v>6.7699999999999996E-2</v>
      </c>
      <c r="AA204" s="69">
        <f t="shared" si="84"/>
        <v>5.7946999999999997</v>
      </c>
      <c r="AB204" s="66" t="e">
        <f>VLOOKUP(A204,Enforcements!$C$7:$K$21,8,0)</f>
        <v>#N/A</v>
      </c>
      <c r="AC204" s="62" t="e">
        <f>VLOOKUP(A204,Enforcements!$C$7:$E$21,3,0)</f>
        <v>#N/A</v>
      </c>
      <c r="AD204" s="63" t="str">
        <f t="shared" si="85"/>
        <v>0840-12</v>
      </c>
      <c r="AE204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204" s="96" t="str">
        <f t="shared" si="87"/>
        <v>"C:\Program Files (x86)\AstroGrep\AstroGrep.exe" /spath="%USERPROFILE%\AppData\Local\Temp\OnboardLogs" /stypes="app*4026*20160913*" /stext=" 02:.+((SYSTEM_STATE.+slice.+state.+changed )|(ment ac)|(system.+state.+changed )|(\|lc)|(penalty)|(\[timeout)|(PRM\|1\|D)|(kpr)|(kdp))" /e /r /s</v>
      </c>
      <c r="AG204" s="1" t="str">
        <f t="shared" si="88"/>
        <v>NW</v>
      </c>
      <c r="AH204" s="100" t="str">
        <f t="shared" si="89"/>
        <v>"%USERPROFILE%\Documents\GitHub\eaglep3\Utilities\RefineRTDCRunTimes.py" --tripid 840-12 --locoid 4026 --swversion DE.1.0.7.0 --startMP 300:58624 --initTime 2016-09-12T19:38:39 --startdatetime 2016-09-12T19:41:37 --delay 2 --endMP 204:677 --enddatetime 2016-09-12T20:00:07 --enforcementcount 2 &gt;&gt;C:\Users\stu\Documents\GitHub\eaglep3-reporting\EC\2016-09-12-refined-times.txt</v>
      </c>
      <c r="AI204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{"issue":{"subject":"","project_id":79,"tracker_id":40,"status_id":1,"priority_id":2,"assigned_to_id":23,"start_date":"2016-09-12","description":"","custom_fields":[{"id":1,"name":"Subdivision","value":"NW"},{"id":4,"name":"Milepost","value":"5.7947"},{"id":17,"name":"Train ID","value":"840-12"},{"id":16,"name":"Locomotive ID","value":"4026"},{"id":130,"name":"Impact","value":""},{"id":150,"name":"Time of Event (Mountain Time)","value":"20:00:07"},{"id":151,"name":"Denver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hidden="1" x14ac:dyDescent="0.25">
      <c r="A205" s="39" t="s">
        <v>720</v>
      </c>
      <c r="B205" s="7">
        <v>4025</v>
      </c>
      <c r="C205" s="24" t="s">
        <v>108</v>
      </c>
      <c r="D205" s="24" t="s">
        <v>721</v>
      </c>
      <c r="E205" s="15">
        <v>42625.795185185183</v>
      </c>
      <c r="F205" s="15">
        <v>42625.806504629632</v>
      </c>
      <c r="G205" s="7">
        <v>1</v>
      </c>
      <c r="H205" s="15" t="s">
        <v>335</v>
      </c>
      <c r="I205" s="15">
        <v>42625.816678240742</v>
      </c>
      <c r="J205" s="7">
        <v>2</v>
      </c>
      <c r="K205" s="121" t="str">
        <f t="shared" si="77"/>
        <v>4025/4026</v>
      </c>
      <c r="L205" s="24" t="str">
        <f>VLOOKUP(A205,'Trips&amp;Operators'!$C$1:$E$10000,3,FALSE)</f>
        <v>SMITH</v>
      </c>
      <c r="M205" s="6">
        <f t="shared" si="78"/>
        <v>1.0173611110076308E-2</v>
      </c>
      <c r="N205" s="7">
        <f t="shared" si="94"/>
        <v>14.649999998509884</v>
      </c>
      <c r="O205" s="7"/>
      <c r="P205" s="7"/>
      <c r="Q205" s="25"/>
      <c r="R205" s="25"/>
      <c r="S205" s="37">
        <f t="shared" si="96"/>
        <v>1</v>
      </c>
      <c r="T205" s="52" t="str">
        <f t="shared" si="79"/>
        <v>NorthBound</v>
      </c>
      <c r="U205" s="163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18:05:04-0600',mode:absolute,to:'2016-09-12 20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5" s="54" t="str">
        <f t="shared" si="81"/>
        <v>N</v>
      </c>
      <c r="X205" s="168">
        <f t="shared" si="95"/>
        <v>1</v>
      </c>
      <c r="Y205" s="69">
        <f t="shared" si="82"/>
        <v>9.64E-2</v>
      </c>
      <c r="Z205" s="69">
        <f t="shared" si="83"/>
        <v>5.8929</v>
      </c>
      <c r="AA205" s="69">
        <f t="shared" si="84"/>
        <v>5.7965</v>
      </c>
      <c r="AB205" s="66" t="e">
        <f>VLOOKUP(A205,Enforcements!$C$7:$K$21,8,0)</f>
        <v>#N/A</v>
      </c>
      <c r="AC205" s="62" t="e">
        <f>VLOOKUP(A205,Enforcements!$C$7:$E$21,3,0)</f>
        <v>#N/A</v>
      </c>
      <c r="AD205" s="63" t="str">
        <f t="shared" si="85"/>
        <v>0841-12</v>
      </c>
      <c r="AE205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205" s="96" t="str">
        <f t="shared" si="87"/>
        <v>"C:\Program Files (x86)\AstroGrep\AstroGrep.exe" /spath="%USERPROFILE%\AppData\Local\Temp\OnboardLogs" /stypes="app*4025*20160913*" /stext=" 01:.+((SYSTEM_STATE.+slice.+state.+changed )|(ment ac)|(system.+state.+changed )|(\|lc)|(penalty)|(\[timeout)|(PRM\|1\|D)|(kpr)|(kdp))" /e /r /s</v>
      </c>
      <c r="AG205" s="1" t="str">
        <f t="shared" si="88"/>
        <v>NW</v>
      </c>
      <c r="AH205" s="100" t="str">
        <f t="shared" si="89"/>
        <v>"%USERPROFILE%\Documents\GitHub\eaglep3\Utilities\RefineRTDCRunTimes.py" --tripid 841-12 --locoid 4025 --swversion DE.1.0.7.0 --startMP 204:964 --initTime 2016-09-12T19:05:04 --startdatetime 2016-09-12T19:21:22 --delay 1 --endMP 300:58929 --enddatetime 2016-09-12T19:36:01 --enforcementcount 2 &gt;&gt;C:\Users\stu\Documents\GitHub\eaglep3-reporting\EC\2016-09-12-refined-times.txt</v>
      </c>
      <c r="AI205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{"issue":{"subject":"","project_id":79,"tracker_id":40,"status_id":1,"priority_id":2,"assigned_to_id":23,"start_date":"2016-09-12","description":"","custom_fields":[{"id":1,"name":"Subdivision","value":"NW"},{"id":4,"name":"Milepost","value":"5.7965"},{"id":17,"name":"Train ID","value":"841-12"},{"id":16,"name":"Locomotive ID","value":"4025"},{"id":130,"name":"Impact","value":""},{"id":150,"name":"Time of Event (Mountain Time)","value":"19:36:01"},{"id":151,"name":"Denver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s="23" customFormat="1" hidden="1" x14ac:dyDescent="0.25">
      <c r="A206" s="39" t="s">
        <v>722</v>
      </c>
      <c r="B206" s="7">
        <v>4026</v>
      </c>
      <c r="C206" s="24" t="s">
        <v>108</v>
      </c>
      <c r="D206" s="24" t="s">
        <v>336</v>
      </c>
      <c r="E206" s="15">
        <v>42625.860405092593</v>
      </c>
      <c r="F206" s="15">
        <v>42625.862696759257</v>
      </c>
      <c r="G206" s="7">
        <v>2</v>
      </c>
      <c r="H206" s="15" t="s">
        <v>339</v>
      </c>
      <c r="I206" s="15">
        <v>42625.871967592589</v>
      </c>
      <c r="J206" s="7">
        <v>2</v>
      </c>
      <c r="K206" s="121" t="str">
        <f t="shared" si="77"/>
        <v>4025/4026</v>
      </c>
      <c r="L206" s="24" t="str">
        <f>VLOOKUP(A206,'Trips&amp;Operators'!$C$1:$E$10000,3,FALSE)</f>
        <v>BRUDER</v>
      </c>
      <c r="M206" s="6">
        <f t="shared" si="78"/>
        <v>9.2708333322661929E-3</v>
      </c>
      <c r="N206" s="7">
        <f t="shared" si="94"/>
        <v>13.349999998463318</v>
      </c>
      <c r="O206" s="7"/>
      <c r="P206" s="7"/>
      <c r="Q206" s="25"/>
      <c r="R206" s="25"/>
      <c r="S206" s="37">
        <f t="shared" si="96"/>
        <v>1</v>
      </c>
      <c r="T206" s="52" t="str">
        <f t="shared" si="79"/>
        <v>Southbound</v>
      </c>
      <c r="U206" s="163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19:38:59-0600',mode:absolute,to:'2016-09-12 21:55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06" s="54" t="str">
        <f t="shared" si="81"/>
        <v>N</v>
      </c>
      <c r="X206" s="168">
        <f t="shared" si="95"/>
        <v>1</v>
      </c>
      <c r="Y206" s="69">
        <f t="shared" si="82"/>
        <v>5.8619000000000003</v>
      </c>
      <c r="Z206" s="69">
        <f t="shared" si="83"/>
        <v>6.54E-2</v>
      </c>
      <c r="AA206" s="69">
        <f t="shared" si="84"/>
        <v>5.7965</v>
      </c>
      <c r="AB206" s="66" t="e">
        <f>VLOOKUP(A206,Enforcements!$C$7:$K$21,8,0)</f>
        <v>#N/A</v>
      </c>
      <c r="AC206" s="62" t="e">
        <f>VLOOKUP(A206,Enforcements!$C$7:$E$21,3,0)</f>
        <v>#N/A</v>
      </c>
      <c r="AD206" s="63" t="str">
        <f t="shared" si="85"/>
        <v>0842-12</v>
      </c>
      <c r="AE206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206" s="96" t="str">
        <f t="shared" si="87"/>
        <v>"C:\Program Files (x86)\AstroGrep\AstroGrep.exe" /spath="%USERPROFILE%\AppData\Local\Temp\OnboardLogs" /stypes="app*4026*20160913*" /stext=" 02:.+((SYSTEM_STATE.+slice.+state.+changed )|(ment ac)|(system.+state.+changed )|(\|lc)|(penalty)|(\[timeout)|(PRM\|1\|D)|(kpr)|(kdp))" /e /r /s</v>
      </c>
      <c r="AG206" s="1" t="str">
        <f t="shared" si="88"/>
        <v>NW</v>
      </c>
      <c r="AH206" s="100" t="str">
        <f t="shared" si="89"/>
        <v>"%USERPROFILE%\Documents\GitHub\eaglep3\Utilities\RefineRTDCRunTimes.py" --tripid 842-12 --locoid 4026 --swversion DE.1.0.7.0 --startMP 300:58619 --initTime 2016-09-12T20:38:59 --startdatetime 2016-09-12T20:42:17 --delay 2 --endMP 204:654 --enddatetime 2016-09-12T20:55:38 --enforcementcount 2 &gt;&gt;C:\Users\stu\Documents\GitHub\eaglep3-reporting\EC\2016-09-12-refined-times.txt</v>
      </c>
      <c r="AI206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{"issue":{"subject":"","project_id":79,"tracker_id":40,"status_id":1,"priority_id":2,"assigned_to_id":23,"start_date":"2016-09-12","description":"","custom_fields":[{"id":1,"name":"Subdivision","value":"NW"},{"id":4,"name":"Milepost","value":"5.7965"},{"id":17,"name":"Train ID","value":"842-12"},{"id":16,"name":"Locomotive ID","value":"4026"},{"id":130,"name":"Impact","value":""},{"id":150,"name":"Time of Event (Mountain Time)","value":"20:55:38"},{"id":151,"name":"Denver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hidden="1" x14ac:dyDescent="0.25">
      <c r="A207" s="39" t="s">
        <v>723</v>
      </c>
      <c r="B207" s="7">
        <v>4025</v>
      </c>
      <c r="C207" s="24" t="s">
        <v>108</v>
      </c>
      <c r="D207" s="24" t="s">
        <v>711</v>
      </c>
      <c r="E207" s="15">
        <v>42625.843819444446</v>
      </c>
      <c r="F207" s="15">
        <v>42625.848449074074</v>
      </c>
      <c r="G207" s="7">
        <v>2</v>
      </c>
      <c r="H207" s="15" t="s">
        <v>297</v>
      </c>
      <c r="I207" s="15">
        <v>42625.858530092592</v>
      </c>
      <c r="J207" s="7">
        <v>2</v>
      </c>
      <c r="K207" s="121" t="str">
        <f t="shared" ref="K207:K221" si="97">IF(ISEVEN(B207),(B207-1)&amp;"/"&amp;B207,B207&amp;"/"&amp;(B207+1))</f>
        <v>4025/4026</v>
      </c>
      <c r="L207" s="24" t="str">
        <f>VLOOKUP(A207,'Trips&amp;Operators'!$C$1:$E$10000,3,FALSE)</f>
        <v>SMITH</v>
      </c>
      <c r="M207" s="6">
        <f t="shared" ref="M207:M221" si="98">I207-F207</f>
        <v>1.0081018517666962E-2</v>
      </c>
      <c r="N207" s="7">
        <f t="shared" si="94"/>
        <v>14.516666665440425</v>
      </c>
      <c r="O207" s="7"/>
      <c r="P207" s="7"/>
      <c r="Q207" s="25"/>
      <c r="R207" s="25"/>
      <c r="S207" s="37">
        <f t="shared" si="96"/>
        <v>1</v>
      </c>
      <c r="T207" s="52" t="str">
        <f t="shared" ref="T207:T221" si="99">IF(ISEVEN(LEFT(AD207,4)),"Southbound","NorthBound")</f>
        <v>NorthBound</v>
      </c>
      <c r="U207" s="163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 t="shared" ref="V207:V221" si="100">"https://search-rtdc-monitor-bjffxe2xuh6vdkpspy63sjmuny.us-east-1.es.amazonaws.com/_plugin/kibana/#/discover/Steve-Slow-Train-Analysis-(2080s-and-2083s)?_g=(refreshInterval:(display:Off,section:0,value:0),time:(from:'"&amp;TEXT(E207-1/24,"yyyy-MM-DD hh:mm:ss")&amp;"-0600',mode:absolute,to:'"&amp;TEXT(I207+1/24,"yyyy-MM-DD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207&amp;"%22')),sort:!(Time,asc))"</f>
        <v>https://search-rtdc-monitor-bjffxe2xuh6vdkpspy63sjmuny.us-east-1.es.amazonaws.com/_plugin/kibana/#/discover/Steve-Slow-Train-Analysis-(2080s-and-2083s)?_g=(refreshInterval:(display:Off,section:0,value:0),time:(from:'2016-09-12 19:15:06-0600',mode:absolute,to:'2016-09-12 21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7" s="54" t="str">
        <f t="shared" ref="W207:W221" si="101">IF(AA207&lt;IF(AG207="EC",23,5.65),"Y","N")</f>
        <v>N</v>
      </c>
      <c r="X207" s="168">
        <f t="shared" si="95"/>
        <v>1</v>
      </c>
      <c r="Y207" s="69">
        <f t="shared" ref="Y207:Y221" si="102">RIGHT(D207,LEN(D207)-4)/10000</f>
        <v>9.7100000000000006E-2</v>
      </c>
      <c r="Z207" s="69">
        <f t="shared" ref="Z207:Z221" si="103">RIGHT(H207,LEN(H207)-4)/10000</f>
        <v>5.8935000000000004</v>
      </c>
      <c r="AA207" s="69">
        <f t="shared" ref="AA207:AA221" si="104">ABS(Z207-Y207)</f>
        <v>5.7964000000000002</v>
      </c>
      <c r="AB207" s="66" t="e">
        <f>VLOOKUP(A207,Enforcements!$C$7:$K$21,8,0)</f>
        <v>#N/A</v>
      </c>
      <c r="AC207" s="62" t="e">
        <f>VLOOKUP(A207,Enforcements!$C$7:$E$21,3,0)</f>
        <v>#N/A</v>
      </c>
      <c r="AD207" s="63" t="str">
        <f t="shared" ref="AD207:AD221" si="105">IF(LEN(A207)=6,"0"&amp;A207,A207)</f>
        <v>0843-12</v>
      </c>
      <c r="AE207" s="99" t="str">
        <f t="shared" ref="AE207:AE221" si="106">"aws s3 cp "&amp;s3_bucket&amp;"/RTDC"&amp;B207&amp;"/"&amp;TEXT(F207,"YYYY-MM-DD")&amp;"/ "&amp;search_path&amp;"\RTDC"&amp;B207&amp;"\"&amp;TEXT(F207,"YYYY-MM-DD")&amp;" --recursive &amp; """&amp;walkandungz&amp;""" "&amp;search_path&amp;"\RTDC"&amp;B207&amp;"\"&amp;TEXT(F207,"YYYY-MM-DD")
&amp;" &amp; "&amp;"aws s3 cp "&amp;s3_bucket&amp;"/RTDC"&amp;B207&amp;"/"&amp;TEXT(F207+1,"YYYY-MM-DD")&amp;"/ "&amp;search_path&amp;"\RTDC"&amp;B207&amp;"\"&amp;TEXT(F207+1,"YYYY-MM-DD")&amp;" --recursive &amp; """&amp;walkandungz&amp;""" "&amp;search_path&amp;"\RTDC"&amp;B207&amp;"\"&amp;TEXT(F207+1,"YYYY-MM-DD")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207" s="96" t="str">
        <f t="shared" ref="AF207:AF221" si="107"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/stypes="app*4025*20160913*" /stext=" 02:.+((SYSTEM_STATE.+slice.+state.+changed )|(ment ac)|(system.+state.+changed )|(\|lc)|(penalty)|(\[timeout)|(PRM\|1\|D)|(kpr)|(kdp))" /e /r /s</v>
      </c>
      <c r="AG207" s="1" t="str">
        <f t="shared" ref="AG207:AG221" si="108">IFERROR(IF(VALUE(LEFT(AD207,2))&lt;=2,"EC",IF(OR(VALUE(LEFT(AD207,2))=8,VALUE(LEFT(AD207,2))=18),"NW","Other")),"Other")</f>
        <v>NW</v>
      </c>
      <c r="AH207" s="100" t="str">
        <f t="shared" ref="AH207:AH221" si="109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843-12 --locoid 4025 --swversion DE.1.0.7.0 --startMP 204:971 --initTime 2016-09-12T20:15:06 --startdatetime 2016-09-12T20:21:46 --delay 2 --endMP 300:58935 --enddatetime 2016-09-12T20:36:17 --enforcementcount 2 &gt;&gt;C:\Users\stu\Documents\GitHub\eaglep3-reporting\EC\2016-09-12-refined-times.txt</v>
      </c>
      <c r="AI207" s="134" t="str">
        <f t="shared" ref="AI207:AI221" si="110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AA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{"issue":{"subject":"","project_id":79,"tracker_id":40,"status_id":1,"priority_id":2,"assigned_to_id":23,"start_date":"2016-09-12","description":"","custom_fields":[{"id":1,"name":"Subdivision","value":"NW"},{"id":4,"name":"Milepost","value":"5.7964"},{"id":17,"name":"Train ID","value":"843-12"},{"id":16,"name":"Locomotive ID","value":"4025"},{"id":130,"name":"Impact","value":""},{"id":150,"name":"Time of Event (Mountain Time)","value":"20:36:17"},{"id":151,"name":"Denver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hidden="1" x14ac:dyDescent="0.25">
      <c r="A208" s="39" t="s">
        <v>724</v>
      </c>
      <c r="B208" s="7">
        <v>4026</v>
      </c>
      <c r="C208" s="24" t="s">
        <v>108</v>
      </c>
      <c r="D208" s="24" t="s">
        <v>251</v>
      </c>
      <c r="E208" s="15">
        <v>42625.901030092595</v>
      </c>
      <c r="F208" s="15">
        <v>42625.902557870373</v>
      </c>
      <c r="G208" s="7">
        <v>1</v>
      </c>
      <c r="H208" s="15" t="s">
        <v>725</v>
      </c>
      <c r="I208" s="15">
        <v>42625.913842592592</v>
      </c>
      <c r="J208" s="7">
        <v>2</v>
      </c>
      <c r="K208" s="121" t="str">
        <f t="shared" si="97"/>
        <v>4025/4026</v>
      </c>
      <c r="L208" s="24" t="str">
        <f>VLOOKUP(A208,'Trips&amp;Operators'!$C$1:$E$10000,3,FALSE)</f>
        <v>HAITHCOX</v>
      </c>
      <c r="M208" s="6">
        <f t="shared" si="98"/>
        <v>1.1284722218988463E-2</v>
      </c>
      <c r="N208" s="7">
        <f t="shared" si="94"/>
        <v>16.249999995343387</v>
      </c>
      <c r="O208" s="7"/>
      <c r="P208" s="7"/>
      <c r="Q208" s="25"/>
      <c r="R208" s="25"/>
      <c r="S208" s="37">
        <f t="shared" si="96"/>
        <v>1</v>
      </c>
      <c r="T208" s="52" t="str">
        <f t="shared" si="99"/>
        <v>Southbound</v>
      </c>
      <c r="U208" s="163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20:37:29-0600',mode:absolute,to:'2016-09-12 22:55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08" s="54" t="str">
        <f t="shared" si="101"/>
        <v>N</v>
      </c>
      <c r="X208" s="168">
        <f t="shared" si="95"/>
        <v>1</v>
      </c>
      <c r="Y208" s="69">
        <f t="shared" si="102"/>
        <v>5.8615000000000004</v>
      </c>
      <c r="Z208" s="69">
        <f t="shared" si="103"/>
        <v>6.8199999999999997E-2</v>
      </c>
      <c r="AA208" s="69">
        <f t="shared" si="104"/>
        <v>5.7933000000000003</v>
      </c>
      <c r="AB208" s="66" t="e">
        <f>VLOOKUP(A208,Enforcements!$C$7:$K$21,8,0)</f>
        <v>#N/A</v>
      </c>
      <c r="AC208" s="62" t="e">
        <f>VLOOKUP(A208,Enforcements!$C$7:$E$21,3,0)</f>
        <v>#N/A</v>
      </c>
      <c r="AD208" s="63" t="str">
        <f t="shared" si="105"/>
        <v>0844-12</v>
      </c>
      <c r="AE208" s="99" t="str">
        <f t="shared" si="10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208" s="96" t="str">
        <f t="shared" si="107"/>
        <v>"C:\Program Files (x86)\AstroGrep\AstroGrep.exe" /spath="%USERPROFILE%\AppData\Local\Temp\OnboardLogs" /stypes="app*4026*20160913*" /stext=" 03:.+((SYSTEM_STATE.+slice.+state.+changed )|(ment ac)|(system.+state.+changed )|(\|lc)|(penalty)|(\[timeout)|(PRM\|1\|D)|(kpr)|(kdp))" /e /r /s</v>
      </c>
      <c r="AG208" s="1" t="str">
        <f t="shared" si="108"/>
        <v>NW</v>
      </c>
      <c r="AH208" s="100" t="str">
        <f t="shared" si="109"/>
        <v>"%USERPROFILE%\Documents\GitHub\eaglep3\Utilities\RefineRTDCRunTimes.py" --tripid 844-12 --locoid 4026 --swversion DE.1.0.7.0 --startMP 300:58615 --initTime 2016-09-12T21:37:29 --startdatetime 2016-09-12T21:39:41 --delay 1 --endMP 204:682 --enddatetime 2016-09-12T21:55:56 --enforcementcount 2 &gt;&gt;C:\Users\stu\Documents\GitHub\eaglep3-reporting\EC\2016-09-12-refined-times.txt</v>
      </c>
      <c r="AI208" s="134" t="str">
        <f t="shared" si="110"/>
        <v>echo {"issue":{"subject":"","project_id":79,"tracker_id":40,"status_id":1,"priority_id":2,"assigned_to_id":23,"start_date":"2016-09-12","description":"","custom_fields":[{"id":1,"name":"Subdivision","value":"NW"},{"id":4,"name":"Milepost","value":"5.7933"},{"id":17,"name":"Train ID","value":"844-12"},{"id":16,"name":"Locomotive ID","value":"4026"},{"id":130,"name":"Impact","value":""},{"id":150,"name":"Time of Event (Mountain Time)","value":"21:55:56"},{"id":151,"name":"Denver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s="23" customFormat="1" hidden="1" x14ac:dyDescent="0.25">
      <c r="A209" s="39" t="s">
        <v>726</v>
      </c>
      <c r="B209" s="7">
        <v>4025</v>
      </c>
      <c r="C209" s="24" t="s">
        <v>108</v>
      </c>
      <c r="D209" s="24" t="s">
        <v>727</v>
      </c>
      <c r="E209" s="15">
        <v>42625.882256944446</v>
      </c>
      <c r="F209" s="15">
        <v>42625.889826388891</v>
      </c>
      <c r="G209" s="7">
        <v>5</v>
      </c>
      <c r="H209" s="15" t="s">
        <v>687</v>
      </c>
      <c r="I209" s="15">
        <v>42625.900046296294</v>
      </c>
      <c r="J209" s="7">
        <v>2</v>
      </c>
      <c r="K209" s="121" t="str">
        <f t="shared" si="97"/>
        <v>4025/4026</v>
      </c>
      <c r="L209" s="24" t="str">
        <f>VLOOKUP(A209,'Trips&amp;Operators'!$C$1:$E$10000,3,FALSE)</f>
        <v>HAITHCOX</v>
      </c>
      <c r="M209" s="6">
        <f t="shared" si="98"/>
        <v>1.0219907402643003E-2</v>
      </c>
      <c r="N209" s="7">
        <f t="shared" si="94"/>
        <v>14.716666659805924</v>
      </c>
      <c r="O209" s="7"/>
      <c r="P209" s="7"/>
      <c r="Q209" s="25"/>
      <c r="R209" s="25"/>
      <c r="S209" s="37">
        <f t="shared" si="96"/>
        <v>1</v>
      </c>
      <c r="T209" s="52" t="str">
        <f t="shared" si="99"/>
        <v>NorthBound</v>
      </c>
      <c r="U209" s="163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20:10:27-0600',mode:absolute,to:'2016-09-12 22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9" s="54" t="str">
        <f t="shared" si="101"/>
        <v>N</v>
      </c>
      <c r="X209" s="168">
        <f t="shared" si="95"/>
        <v>1</v>
      </c>
      <c r="Y209" s="69">
        <f t="shared" si="102"/>
        <v>9.6500000000000002E-2</v>
      </c>
      <c r="Z209" s="69">
        <f t="shared" si="103"/>
        <v>5.8925999999999998</v>
      </c>
      <c r="AA209" s="69">
        <f t="shared" si="104"/>
        <v>5.7961</v>
      </c>
      <c r="AB209" s="66" t="e">
        <f>VLOOKUP(A209,Enforcements!$C$7:$K$21,8,0)</f>
        <v>#N/A</v>
      </c>
      <c r="AC209" s="62" t="e">
        <f>VLOOKUP(A209,Enforcements!$C$7:$E$21,3,0)</f>
        <v>#N/A</v>
      </c>
      <c r="AD209" s="63" t="str">
        <f t="shared" si="105"/>
        <v>0845-12</v>
      </c>
      <c r="AE209" s="99" t="str">
        <f t="shared" si="10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209" s="96" t="str">
        <f t="shared" si="107"/>
        <v>"C:\Program Files (x86)\AstroGrep\AstroGrep.exe" /spath="%USERPROFILE%\AppData\Local\Temp\OnboardLogs" /stypes="app*4025*20160913*" /stext=" 03:.+((SYSTEM_STATE.+slice.+state.+changed )|(ment ac)|(system.+state.+changed )|(\|lc)|(penalty)|(\[timeout)|(PRM\|1\|D)|(kpr)|(kdp))" /e /r /s</v>
      </c>
      <c r="AG209" s="1" t="str">
        <f t="shared" si="108"/>
        <v>NW</v>
      </c>
      <c r="AH209" s="100" t="str">
        <f t="shared" si="109"/>
        <v>"%USERPROFILE%\Documents\GitHub\eaglep3\Utilities\RefineRTDCRunTimes.py" --tripid 845-12 --locoid 4025 --swversion DE.1.0.7.0 --startMP 204:965 --initTime 2016-09-12T21:10:27 --startdatetime 2016-09-12T21:21:21 --delay 5 --endMP 300:58926 --enddatetime 2016-09-12T21:36:04 --enforcementcount 2 &gt;&gt;C:\Users\stu\Documents\GitHub\eaglep3-reporting\EC\2016-09-12-refined-times.txt</v>
      </c>
      <c r="AI209" s="134" t="str">
        <f t="shared" si="110"/>
        <v>echo {"issue":{"subject":"","project_id":79,"tracker_id":40,"status_id":1,"priority_id":2,"assigned_to_id":23,"start_date":"2016-09-12","description":"","custom_fields":[{"id":1,"name":"Subdivision","value":"NW"},{"id":4,"name":"Milepost","value":"5.7961"},{"id":17,"name":"Train ID","value":"845-12"},{"id":16,"name":"Locomotive ID","value":"4025"},{"id":130,"name":"Impact","value":""},{"id":150,"name":"Time of Event (Mountain Time)","value":"21:36:04"},{"id":151,"name":"Denver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s="23" customFormat="1" hidden="1" x14ac:dyDescent="0.25">
      <c r="A210" s="39" t="s">
        <v>728</v>
      </c>
      <c r="B210" s="7">
        <v>4025</v>
      </c>
      <c r="C210" s="24" t="s">
        <v>108</v>
      </c>
      <c r="D210" s="24" t="s">
        <v>729</v>
      </c>
      <c r="E210" s="15">
        <v>42625.929166666669</v>
      </c>
      <c r="F210" s="15">
        <v>42625.931585648148</v>
      </c>
      <c r="G210" s="7">
        <v>1</v>
      </c>
      <c r="H210" s="15" t="s">
        <v>687</v>
      </c>
      <c r="I210" s="15">
        <v>42625.94189814815</v>
      </c>
      <c r="J210" s="7">
        <v>2</v>
      </c>
      <c r="K210" s="121" t="str">
        <f t="shared" si="97"/>
        <v>4025/4026</v>
      </c>
      <c r="L210" s="24" t="str">
        <f>VLOOKUP(A210,'Trips&amp;Operators'!$C$1:$E$10000,3,FALSE)</f>
        <v>HAITHCOX</v>
      </c>
      <c r="M210" s="6">
        <f t="shared" si="98"/>
        <v>1.0312500002328306E-2</v>
      </c>
      <c r="N210" s="7">
        <f t="shared" si="94"/>
        <v>14.850000003352761</v>
      </c>
      <c r="O210" s="7"/>
      <c r="P210" s="7"/>
      <c r="Q210" s="25"/>
      <c r="R210" s="25"/>
      <c r="S210" s="37">
        <f t="shared" si="96"/>
        <v>1</v>
      </c>
      <c r="T210" s="52" t="str">
        <f t="shared" si="99"/>
        <v>NorthBound</v>
      </c>
      <c r="U210" s="163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21:18:00-0600',mode:absolute,to:'2016-09-12 23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10" s="54" t="str">
        <f t="shared" si="101"/>
        <v>N</v>
      </c>
      <c r="X210" s="168">
        <f t="shared" si="95"/>
        <v>2</v>
      </c>
      <c r="Y210" s="69">
        <f t="shared" si="102"/>
        <v>9.7799999999999998E-2</v>
      </c>
      <c r="Z210" s="69">
        <f t="shared" si="103"/>
        <v>5.8925999999999998</v>
      </c>
      <c r="AA210" s="69">
        <f t="shared" si="104"/>
        <v>5.7947999999999995</v>
      </c>
      <c r="AB210" s="66" t="e">
        <f>VLOOKUP(A210,Enforcements!$C$7:$K$21,8,0)</f>
        <v>#N/A</v>
      </c>
      <c r="AC210" s="62" t="e">
        <f>VLOOKUP(A210,Enforcements!$C$7:$E$21,3,0)</f>
        <v>#N/A</v>
      </c>
      <c r="AD210" s="63" t="str">
        <f t="shared" si="105"/>
        <v>0847-12</v>
      </c>
      <c r="AE210" s="99" t="str">
        <f t="shared" si="10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210" s="96" t="str">
        <f t="shared" si="107"/>
        <v>"C:\Program Files (x86)\AstroGrep\AstroGrep.exe" /spath="%USERPROFILE%\AppData\Local\Temp\OnboardLogs" /stypes="app*4025*20160913*" /stext=" 04:.+((SYSTEM_STATE.+slice.+state.+changed )|(ment ac)|(system.+state.+changed )|(\|lc)|(penalty)|(\[timeout)|(PRM\|1\|D)|(kpr)|(kdp))" /e /r /s</v>
      </c>
      <c r="AG210" s="1" t="str">
        <f t="shared" si="108"/>
        <v>NW</v>
      </c>
      <c r="AH210" s="100" t="str">
        <f t="shared" si="109"/>
        <v>"%USERPROFILE%\Documents\GitHub\eaglep3\Utilities\RefineRTDCRunTimes.py" --tripid 847-12 --locoid 4025 --swversion DE.1.0.7.0 --startMP 204:978 --initTime 2016-09-12T22:18:00 --startdatetime 2016-09-12T22:21:29 --delay 1 --endMP 300:58926 --enddatetime 2016-09-12T22:36:20 --enforcementcount 2 &gt;&gt;C:\Users\stu\Documents\GitHub\eaglep3-reporting\EC\2016-09-12-refined-times.txt</v>
      </c>
      <c r="AI210" s="134" t="str">
        <f t="shared" si="110"/>
        <v>echo {"issue":{"subject":"","project_id":79,"tracker_id":40,"status_id":1,"priority_id":2,"assigned_to_id":23,"start_date":"2016-09-12","description":"","custom_fields":[{"id":1,"name":"Subdivision","value":"NW"},{"id":4,"name":"Milepost","value":"5.7948"},{"id":17,"name":"Train ID","value":"847-12"},{"id":16,"name":"Locomotive ID","value":"4025"},{"id":130,"name":"Impact","value":""},{"id":150,"name":"Time of Event (Mountain Time)","value":"22:36:20"},{"id":151,"name":"Denver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hidden="1" x14ac:dyDescent="0.25">
      <c r="A211" s="39" t="s">
        <v>628</v>
      </c>
      <c r="B211" s="7">
        <v>4042</v>
      </c>
      <c r="C211" s="24" t="s">
        <v>108</v>
      </c>
      <c r="D211" s="24" t="s">
        <v>629</v>
      </c>
      <c r="E211" s="15">
        <v>42625.780636574076</v>
      </c>
      <c r="F211" s="15">
        <v>42625.790671296294</v>
      </c>
      <c r="G211" s="7">
        <v>1</v>
      </c>
      <c r="H211" s="15" t="s">
        <v>630</v>
      </c>
      <c r="I211" s="15">
        <v>42625.792037037034</v>
      </c>
      <c r="J211" s="7">
        <v>2</v>
      </c>
      <c r="K211" s="121" t="str">
        <f t="shared" si="97"/>
        <v>4041/4042</v>
      </c>
      <c r="L211" s="24" t="str">
        <f>VLOOKUP(A211,'Trips&amp;Operators'!$C$1:$E$10000,3,FALSE)</f>
        <v>CLARK</v>
      </c>
      <c r="M211" s="6">
        <f t="shared" si="98"/>
        <v>1.3657407398568466E-3</v>
      </c>
      <c r="N211" s="7">
        <f t="shared" si="94"/>
        <v>1.9666666653938591</v>
      </c>
      <c r="O211" s="7"/>
      <c r="P211" s="7"/>
      <c r="Q211" s="25"/>
      <c r="R211" s="25"/>
      <c r="S211" s="37">
        <f t="shared" si="96"/>
        <v>0</v>
      </c>
      <c r="T211" s="52" t="str">
        <f t="shared" si="99"/>
        <v>NorthBound</v>
      </c>
      <c r="U211" s="163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17:44:07-0600',mode:absolute,to:'2016-09-12 20:00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11" s="54" t="str">
        <f t="shared" si="101"/>
        <v>Y</v>
      </c>
      <c r="X211" s="168">
        <f t="shared" si="95"/>
        <v>-544</v>
      </c>
      <c r="Y211" s="69">
        <f t="shared" si="102"/>
        <v>5.3100000000000001E-2</v>
      </c>
      <c r="Z211" s="69">
        <f t="shared" si="103"/>
        <v>0.50019999999999998</v>
      </c>
      <c r="AA211" s="69">
        <f t="shared" si="104"/>
        <v>0.4471</v>
      </c>
      <c r="AB211" s="66" t="e">
        <f>VLOOKUP(A211,Enforcements!$C$7:$K$21,8,0)</f>
        <v>#N/A</v>
      </c>
      <c r="AC211" s="62" t="e">
        <f>VLOOKUP(A211,Enforcements!$C$7:$E$21,3,0)</f>
        <v>#N/A</v>
      </c>
      <c r="AD211" s="63" t="str">
        <f t="shared" si="105"/>
        <v>0303-12</v>
      </c>
      <c r="AE211" s="99" t="str">
        <f t="shared" si="106"/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211" s="96" t="str">
        <f t="shared" si="107"/>
        <v>"C:\Program Files (x86)\AstroGrep\AstroGrep.exe" /spath="%USERPROFILE%\AppData\Local\Temp\OnboardLogs" /stypes="app*4042*20160913*" /stext=" 01:.+((SYSTEM_STATE.+slice.+state.+changed )|(ment ac)|(system.+state.+changed )|(\|lc)|(penalty)|(\[timeout)|(PRM\|1\|D)|(kpr)|(kdp))" /e /r /s</v>
      </c>
      <c r="AG211" s="1" t="str">
        <f t="shared" si="108"/>
        <v>Other</v>
      </c>
      <c r="AH211" s="100" t="str">
        <f t="shared" si="109"/>
        <v>"%USERPROFILE%\Documents\GitHub\eaglep3\Utilities\RefineRTDCRunTimes.py" --tripid 303-12 --locoid 4042 --swversion DE.1.0.7.0 --startMP 204:531 --initTime 2016-09-12T18:44:07 --startdatetime 2016-09-12T18:58:34 --delay 1 --endMP 204:5002 --enddatetime 2016-09-12T19:00:32 --enforcementcount 2 &gt;&gt;C:\Users\stu\Documents\GitHub\eaglep3-reporting\EC\2016-09-12-refined-times.txt</v>
      </c>
      <c r="AI211" s="134" t="str">
        <f t="shared" si="110"/>
        <v>echo {"issue":{"subject":"","project_id":79,"tracker_id":40,"status_id":1,"priority_id":2,"assigned_to_id":23,"start_date":"2016-09-12","description":"","custom_fields":[{"id":1,"name":"Subdivision","value":"Other"},{"id":4,"name":"Milepost","value":"0.4471"},{"id":17,"name":"Train ID","value":"303-12"},{"id":16,"name":"Locomotive ID","value":"4042"},{"id":130,"name":"Impact","value":""},{"id":150,"name":"Time of Event (Mountain Time)","value":"19:00:32"},{"id":151,"name":"Denver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hidden="1" x14ac:dyDescent="0.25">
      <c r="A212" s="39" t="s">
        <v>631</v>
      </c>
      <c r="B212" s="7">
        <v>4027</v>
      </c>
      <c r="C212" s="24" t="s">
        <v>108</v>
      </c>
      <c r="D212" s="24" t="s">
        <v>239</v>
      </c>
      <c r="E212" s="15">
        <v>42625.797893518517</v>
      </c>
      <c r="F212" s="15">
        <v>42625.802175925928</v>
      </c>
      <c r="G212" s="7">
        <v>5</v>
      </c>
      <c r="H212" s="15" t="s">
        <v>632</v>
      </c>
      <c r="I212" s="15">
        <v>42625.806990740741</v>
      </c>
      <c r="J212" s="7">
        <v>2</v>
      </c>
      <c r="K212" s="121" t="str">
        <f t="shared" si="97"/>
        <v>4027/4028</v>
      </c>
      <c r="L212" s="24" t="str">
        <f>VLOOKUP(A212,'Trips&amp;Operators'!$C$1:$E$10000,3,FALSE)</f>
        <v>OUN</v>
      </c>
      <c r="M212" s="6">
        <f t="shared" si="98"/>
        <v>4.8148148125619628E-3</v>
      </c>
      <c r="N212" s="7">
        <f t="shared" si="94"/>
        <v>6.9333333300892264</v>
      </c>
      <c r="O212" s="7"/>
      <c r="P212" s="7"/>
      <c r="Q212" s="25"/>
      <c r="R212" s="25"/>
      <c r="S212" s="37">
        <f t="shared" si="96"/>
        <v>1</v>
      </c>
      <c r="T212" s="52" t="str">
        <f t="shared" si="99"/>
        <v>NorthBound</v>
      </c>
      <c r="U212" s="163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18:08:58-0600',mode:absolute,to:'2016-09-12 20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212" s="54" t="str">
        <f t="shared" si="101"/>
        <v>Y</v>
      </c>
      <c r="X212" s="168">
        <f t="shared" si="95"/>
        <v>2</v>
      </c>
      <c r="Y212" s="69">
        <f t="shared" si="102"/>
        <v>4.5699999999999998E-2</v>
      </c>
      <c r="Z212" s="69">
        <f t="shared" si="103"/>
        <v>2.3086000000000002</v>
      </c>
      <c r="AA212" s="69">
        <f t="shared" si="104"/>
        <v>2.2629000000000001</v>
      </c>
      <c r="AB212" s="66" t="e">
        <f>VLOOKUP(A212,Enforcements!$C$7:$K$21,8,0)</f>
        <v>#N/A</v>
      </c>
      <c r="AC212" s="62" t="e">
        <f>VLOOKUP(A212,Enforcements!$C$7:$E$21,3,0)</f>
        <v>#N/A</v>
      </c>
      <c r="AD212" s="63" t="str">
        <f t="shared" si="105"/>
        <v>0305-12</v>
      </c>
      <c r="AE212" s="99" t="str">
        <f t="shared" si="106"/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212" s="96" t="str">
        <f t="shared" si="107"/>
        <v>"C:\Program Files (x86)\AstroGrep\AstroGrep.exe" /spath="%USERPROFILE%\AppData\Local\Temp\OnboardLogs" /stypes="app*4027*20160913*" /stext=" 01:.+((SYSTEM_STATE.+slice.+state.+changed )|(ment ac)|(system.+state.+changed )|(\|lc)|(penalty)|(\[timeout)|(PRM\|1\|D)|(kpr)|(kdp))" /e /r /s</v>
      </c>
      <c r="AG212" s="1" t="str">
        <f t="shared" si="108"/>
        <v>Other</v>
      </c>
      <c r="AH212" s="100" t="str">
        <f t="shared" si="109"/>
        <v>"%USERPROFILE%\Documents\GitHub\eaglep3\Utilities\RefineRTDCRunTimes.py" --tripid 305-12 --locoid 4027 --swversion DE.1.0.7.0 --startMP 204:457 --initTime 2016-09-12T19:08:58 --startdatetime 2016-09-12T19:15:08 --delay 5 --endMP 300:23086 --enddatetime 2016-09-12T19:22:04 --enforcementcount 2 &gt;&gt;C:\Users\stu\Documents\GitHub\eaglep3-reporting\EC\2016-09-12-refined-times.txt</v>
      </c>
      <c r="AI212" s="134" t="str">
        <f t="shared" si="110"/>
        <v>echo {"issue":{"subject":"","project_id":79,"tracker_id":40,"status_id":1,"priority_id":2,"assigned_to_id":23,"start_date":"2016-09-12","description":"","custom_fields":[{"id":1,"name":"Subdivision","value":"Other"},{"id":4,"name":"Milepost","value":"2.2629"},{"id":17,"name":"Train ID","value":"305-12"},{"id":16,"name":"Locomotive ID","value":"4027"},{"id":130,"name":"Impact","value":""},{"id":150,"name":"Time of Event (Mountain Time)","value":"19:22:04"},{"id":151,"name":"Denver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hidden="1" x14ac:dyDescent="0.25">
      <c r="A213" s="39" t="s">
        <v>633</v>
      </c>
      <c r="B213" s="7">
        <v>4016</v>
      </c>
      <c r="C213" s="24" t="s">
        <v>108</v>
      </c>
      <c r="D213" s="24" t="s">
        <v>312</v>
      </c>
      <c r="E213" s="15">
        <v>42625.816851851851</v>
      </c>
      <c r="F213" s="15">
        <v>42625.818564814814</v>
      </c>
      <c r="G213" s="7">
        <v>1</v>
      </c>
      <c r="H213" s="15" t="s">
        <v>314</v>
      </c>
      <c r="I213" s="15">
        <v>42625.825312499997</v>
      </c>
      <c r="J213" s="7">
        <v>2</v>
      </c>
      <c r="K213" s="121" t="str">
        <f t="shared" si="97"/>
        <v>4015/4016</v>
      </c>
      <c r="L213" s="24" t="str">
        <f>VLOOKUP(A213,'Trips&amp;Operators'!$C$1:$E$10000,3,FALSE)</f>
        <v>SHOOK</v>
      </c>
      <c r="M213" s="6">
        <f t="shared" si="98"/>
        <v>6.7476851836545393E-3</v>
      </c>
      <c r="N213" s="7">
        <f t="shared" si="94"/>
        <v>9.7166666644625366</v>
      </c>
      <c r="O213" s="7"/>
      <c r="P213" s="7"/>
      <c r="Q213" s="25"/>
      <c r="R213" s="25"/>
      <c r="S213" s="37">
        <f t="shared" si="96"/>
        <v>1</v>
      </c>
      <c r="T213" s="52" t="str">
        <f t="shared" si="99"/>
        <v>NorthBound</v>
      </c>
      <c r="U213" s="163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18:36:16-0600',mode:absolute,to:'2016-09-12 20:48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13" s="54" t="str">
        <f t="shared" si="101"/>
        <v>Y</v>
      </c>
      <c r="X213" s="168">
        <f t="shared" si="95"/>
        <v>2</v>
      </c>
      <c r="Y213" s="69">
        <f t="shared" si="102"/>
        <v>4.4900000000000002E-2</v>
      </c>
      <c r="Z213" s="69">
        <f t="shared" si="103"/>
        <v>2.3304</v>
      </c>
      <c r="AA213" s="69">
        <f t="shared" si="104"/>
        <v>2.2854999999999999</v>
      </c>
      <c r="AB213" s="66" t="e">
        <f>VLOOKUP(A213,Enforcements!$C$7:$K$21,8,0)</f>
        <v>#N/A</v>
      </c>
      <c r="AC213" s="62" t="e">
        <f>VLOOKUP(A213,Enforcements!$C$7:$E$21,3,0)</f>
        <v>#N/A</v>
      </c>
      <c r="AD213" s="63" t="str">
        <f t="shared" si="105"/>
        <v>0307-12</v>
      </c>
      <c r="AE213" s="99" t="str">
        <f t="shared" si="106"/>
        <v>aws s3 cp s3://rtdc.mdm.uploadarchive/RTDC4016/2016-09-12/ "%USERPROFILE%\AppData\Local\Temp\OnboardLogs"\RTDC4016\2016-09-12 --recursive &amp; "%USERPROFILE%\Documents\GitHub\mrs-test-scripts\Headless Mode &amp; Sideloading\WalkAndUnGZ.bat" "%USERPROFILE%\AppData\Local\Temp\OnboardLogs"\RTDC4016\2016-09-12 &amp; aws s3 cp s3://rtdc.mdm.uploadarchive/RTDC4016/2016-09-13/ "%USERPROFILE%\AppData\Local\Temp\OnboardLogs"\RTDC4016\2016-09-13 --recursive &amp; "%USERPROFILE%\Documents\GitHub\mrs-test-scripts\Headless Mode &amp; Sideloading\WalkAndUnGZ.bat" "%USERPROFILE%\AppData\Local\Temp\OnboardLogs"\RTDC4016\2016-09-13</v>
      </c>
      <c r="AF213" s="96" t="str">
        <f t="shared" si="107"/>
        <v>"C:\Program Files (x86)\AstroGrep\AstroGrep.exe" /spath="%USERPROFILE%\AppData\Local\Temp\OnboardLogs" /stypes="app*4016*20160913*" /stext=" 01:.+((SYSTEM_STATE.+slice.+state.+changed )|(ment ac)|(system.+state.+changed )|(\|lc)|(penalty)|(\[timeout)|(PRM\|1\|D)|(kpr)|(kdp))" /e /r /s</v>
      </c>
      <c r="AG213" s="1" t="str">
        <f t="shared" si="108"/>
        <v>Other</v>
      </c>
      <c r="AH213" s="100" t="str">
        <f t="shared" si="109"/>
        <v>"%USERPROFILE%\Documents\GitHub\eaglep3\Utilities\RefineRTDCRunTimes.py" --tripid 307-12 --locoid 4016 --swversion DE.1.0.7.0 --startMP 204:449 --initTime 2016-09-12T19:36:16 --startdatetime 2016-09-12T19:38:44 --delay 1 --endMP 300:23304 --enddatetime 2016-09-12T19:48:27 --enforcementcount 2 &gt;&gt;C:\Users\stu\Documents\GitHub\eaglep3-reporting\EC\2016-09-12-refined-times.txt</v>
      </c>
      <c r="AI213" s="134" t="str">
        <f t="shared" si="110"/>
        <v>echo {"issue":{"subject":"","project_id":79,"tracker_id":40,"status_id":1,"priority_id":2,"assigned_to_id":23,"start_date":"2016-09-12","description":"","custom_fields":[{"id":1,"name":"Subdivision","value":"Other"},{"id":4,"name":"Milepost","value":"2.2855"},{"id":17,"name":"Train ID","value":"307-12"},{"id":16,"name":"Locomotive ID","value":"4016"},{"id":130,"name":"Impact","value":""},{"id":150,"name":"Time of Event (Mountain Time)","value":"19:48:27"},{"id":151,"name":"Denver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s="23" customFormat="1" hidden="1" x14ac:dyDescent="0.25">
      <c r="A214" s="39" t="s">
        <v>634</v>
      </c>
      <c r="B214" s="7">
        <v>4031</v>
      </c>
      <c r="C214" s="24" t="s">
        <v>108</v>
      </c>
      <c r="D214" s="24" t="s">
        <v>635</v>
      </c>
      <c r="E214" s="15">
        <v>42626.0315625</v>
      </c>
      <c r="F214" s="15">
        <v>42626.038055555553</v>
      </c>
      <c r="G214" s="7">
        <v>1</v>
      </c>
      <c r="H214" s="15" t="s">
        <v>636</v>
      </c>
      <c r="I214" s="15">
        <v>42626.04550925926</v>
      </c>
      <c r="J214" s="7">
        <v>2</v>
      </c>
      <c r="K214" s="121" t="str">
        <f t="shared" si="97"/>
        <v>4031/4032</v>
      </c>
      <c r="L214" s="24" t="str">
        <f>VLOOKUP(A214,'Trips&amp;Operators'!$C$1:$E$10000,3,FALSE)</f>
        <v>DELGADO</v>
      </c>
      <c r="M214" s="6">
        <f t="shared" si="98"/>
        <v>7.4537037071422674E-3</v>
      </c>
      <c r="N214" s="7">
        <f t="shared" ref="N214:N221" si="111">24*60*SUM($M214:$M214)</f>
        <v>10.733333338284865</v>
      </c>
      <c r="O214" s="7"/>
      <c r="P214" s="7"/>
      <c r="Q214" s="25"/>
      <c r="R214" s="25"/>
      <c r="S214" s="37">
        <f t="shared" si="96"/>
        <v>1</v>
      </c>
      <c r="T214" s="52" t="str">
        <f t="shared" si="99"/>
        <v>NorthBound</v>
      </c>
      <c r="U214" s="163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23:45:27-0600',mode:absolute,to:'2016-09-13 02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14" s="54" t="str">
        <f t="shared" si="101"/>
        <v>Y</v>
      </c>
      <c r="X214" s="168">
        <f t="shared" si="95"/>
        <v>2</v>
      </c>
      <c r="Y214" s="69">
        <f t="shared" si="102"/>
        <v>4.8000000000000001E-2</v>
      </c>
      <c r="Z214" s="69">
        <f t="shared" si="103"/>
        <v>2.2822</v>
      </c>
      <c r="AA214" s="69">
        <f t="shared" si="104"/>
        <v>2.2342</v>
      </c>
      <c r="AB214" s="66" t="e">
        <f>VLOOKUP(A214,Enforcements!$C$7:$K$21,8,0)</f>
        <v>#N/A</v>
      </c>
      <c r="AC214" s="62" t="e">
        <f>VLOOKUP(A214,Enforcements!$C$7:$E$21,3,0)</f>
        <v>#N/A</v>
      </c>
      <c r="AD214" s="63" t="str">
        <f t="shared" si="105"/>
        <v>0309-12</v>
      </c>
      <c r="AE214" s="99" t="str">
        <f t="shared" si="106"/>
        <v>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 &amp; aws s3 cp s3://rtdc.mdm.uploadarchive/RTDC4031/2016-09-14/ "%USERPROFILE%\AppData\Local\Temp\OnboardLogs"\RTDC4031\2016-09-14 --recursive &amp; "%USERPROFILE%\Documents\GitHub\mrs-test-scripts\Headless Mode &amp; Sideloading\WalkAndUnGZ.bat" "%USERPROFILE%\AppData\Local\Temp\OnboardLogs"\RTDC4031\2016-09-14</v>
      </c>
      <c r="AF214" s="96" t="str">
        <f t="shared" si="107"/>
        <v>"C:\Program Files (x86)\AstroGrep\AstroGrep.exe" /spath="%USERPROFILE%\AppData\Local\Temp\OnboardLogs" /stypes="app*4031*20160913*" /stext=" 07:.+((SYSTEM_STATE.+slice.+state.+changed )|(ment ac)|(system.+state.+changed )|(\|lc)|(penalty)|(\[timeout)|(PRM\|1\|D)|(kpr)|(kdp))" /e /r /s</v>
      </c>
      <c r="AG214" s="1" t="str">
        <f t="shared" si="108"/>
        <v>Other</v>
      </c>
      <c r="AH214" s="100" t="str">
        <f t="shared" si="109"/>
        <v>"%USERPROFILE%\Documents\GitHub\eaglep3\Utilities\RefineRTDCRunTimes.py" --tripid 309-12 --locoid 4031 --swversion DE.1.0.7.0 --startMP 204:480 --initTime 2016-09-13T00:45:27 --startdatetime 2016-09-13T00:54:48 --delay 1 --endMP 300:22822 --enddatetime 2016-09-13T01:05:32 --enforcementcount 2 &gt;&gt;C:\Users\stu\Documents\GitHub\eaglep3-reporting\EC\2016-09-12-refined-times.txt</v>
      </c>
      <c r="AI214" s="134" t="str">
        <f t="shared" si="110"/>
        <v>echo {"issue":{"subject":"","project_id":79,"tracker_id":40,"status_id":1,"priority_id":2,"assigned_to_id":23,"start_date":"2016-09-13","description":"","custom_fields":[{"id":1,"name":"Subdivision","value":"Other"},{"id":4,"name":"Milepost","value":"2.2342"},{"id":17,"name":"Train ID","value":"309-12"},{"id":16,"name":"Locomotive ID","value":"4031"},{"id":130,"name":"Impact","value":""},{"id":150,"name":"Time of Event (Mountain Time)","value":"01:05:32"},{"id":151,"name":"Denver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hidden="1" x14ac:dyDescent="0.25">
      <c r="A215" s="39" t="s">
        <v>637</v>
      </c>
      <c r="B215" s="7">
        <v>4009</v>
      </c>
      <c r="C215" s="24" t="s">
        <v>108</v>
      </c>
      <c r="D215" s="24" t="s">
        <v>275</v>
      </c>
      <c r="E215" s="15">
        <v>42626.048321759263</v>
      </c>
      <c r="F215" s="15">
        <v>25568.958333333332</v>
      </c>
      <c r="G215" s="7">
        <v>1</v>
      </c>
      <c r="H215" s="15" t="s">
        <v>638</v>
      </c>
      <c r="I215" s="15">
        <v>25568.958333333332</v>
      </c>
      <c r="J215" s="7">
        <v>2</v>
      </c>
      <c r="K215" s="121" t="str">
        <f t="shared" si="97"/>
        <v>4009/4010</v>
      </c>
      <c r="L215" s="24" t="str">
        <f>VLOOKUP(A215,'Trips&amp;Operators'!$C$1:$E$10000,3,FALSE)</f>
        <v>MAHAN</v>
      </c>
      <c r="M215" s="6">
        <f t="shared" si="98"/>
        <v>0</v>
      </c>
      <c r="N215" s="7">
        <f t="shared" si="111"/>
        <v>0</v>
      </c>
      <c r="O215" s="7"/>
      <c r="P215" s="7"/>
      <c r="Q215" s="25"/>
      <c r="R215" s="25"/>
      <c r="S215" s="37">
        <f t="shared" si="96"/>
        <v>1</v>
      </c>
      <c r="T215" s="52" t="str">
        <f t="shared" si="99"/>
        <v>NorthBound</v>
      </c>
      <c r="U215" s="163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https://search-rtdc-monitor-bjffxe2xuh6vdkpspy63sjmuny.us-east-1.es.amazonaws.com/_plugin/kibana/#/discover/Steve-Slow-Train-Analysis-(2080s-and-2083s)?_g=(refreshInterval:(display:Off,section:0,value:0),time:(from:'2016-09-13 00:09:35-0600',mode:absolute,to:'1970-01-01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15" s="54" t="str">
        <f t="shared" si="101"/>
        <v>Y</v>
      </c>
      <c r="X215" s="168">
        <f t="shared" si="95"/>
        <v>2</v>
      </c>
      <c r="Y215" s="69">
        <f t="shared" si="102"/>
        <v>4.5999999999999999E-2</v>
      </c>
      <c r="Z215" s="69">
        <f t="shared" si="103"/>
        <v>2.3016999999999999</v>
      </c>
      <c r="AA215" s="69">
        <f t="shared" si="104"/>
        <v>2.2557</v>
      </c>
      <c r="AB215" s="66" t="e">
        <f>VLOOKUP(A215,Enforcements!$C$7:$K$21,8,0)</f>
        <v>#N/A</v>
      </c>
      <c r="AC215" s="62" t="e">
        <f>VLOOKUP(A215,Enforcements!$C$7:$E$21,3,0)</f>
        <v>#N/A</v>
      </c>
      <c r="AD215" s="63" t="str">
        <f t="shared" si="105"/>
        <v>0311-12</v>
      </c>
      <c r="AE215" s="99" t="str">
        <f t="shared" si="106"/>
        <v>aws s3 cp s3://rtdc.mdm.uploadarchive/RTDC4009/1969-12-31/ "%USERPROFILE%\AppData\Local\Temp\OnboardLogs"\RTDC4009\1969-12-31 --recursive &amp; "%USERPROFILE%\Documents\GitHub\mrs-test-scripts\Headless Mode &amp; Sideloading\WalkAndUnGZ.bat" "%USERPROFILE%\AppData\Local\Temp\OnboardLogs"\RTDC4009\1969-12-31 &amp; aws s3 cp s3://rtdc.mdm.uploadarchive/RTDC4009/1970-01-01/ "%USERPROFILE%\AppData\Local\Temp\OnboardLogs"\RTDC4009\1970-01-01 --recursive &amp; "%USERPROFILE%\Documents\GitHub\mrs-test-scripts\Headless Mode &amp; Sideloading\WalkAndUnGZ.bat" "%USERPROFILE%\AppData\Local\Temp\OnboardLogs"\RTDC4009\1970-01-01</v>
      </c>
      <c r="AF215" s="96" t="str">
        <f t="shared" si="107"/>
        <v>"C:\Program Files (x86)\AstroGrep\AstroGrep.exe" /spath="%USERPROFILE%\AppData\Local\Temp\OnboardLogs" /stypes="app*4009*19700101*" /stext=" 05:.+((SYSTEM_STATE.+slice.+state.+changed )|(ment ac)|(system.+state.+changed )|(\|lc)|(penalty)|(\[timeout)|(PRM\|1\|D)|(kpr)|(kdp))" /e /r /s</v>
      </c>
      <c r="AG215" s="1" t="str">
        <f t="shared" si="108"/>
        <v>Other</v>
      </c>
      <c r="AH215" s="100" t="str">
        <f t="shared" si="109"/>
        <v>"%USERPROFILE%\Documents\GitHub\eaglep3\Utilities\RefineRTDCRunTimes.py" --tripid 311-12 --locoid 4009 --swversion DE.1.0.7.0 --startMP 204:460 --initTime 2016-09-13T01:09:35 --startdatetime 1969-12-31T23:00:00 --delay 1 --endMP 300:23017 --enddatetime 1969-12-31T23:00:00 --enforcementcount 2 &gt;&gt;C:\Users\stu\Documents\GitHub\eaglep3-reporting\EC\2016-09-12-refined-times.txt</v>
      </c>
      <c r="AI215" s="134" t="str">
        <f t="shared" si="110"/>
        <v>echo {"issue":{"subject":"","project_id":79,"tracker_id":40,"status_id":1,"priority_id":2,"assigned_to_id":23,"start_date":"1969-12-31","description":"","custom_fields":[{"id":1,"name":"Subdivision","value":"Other"},{"id":4,"name":"Milepost","value":"2.2557"},{"id":17,"name":"Train ID","value":"311-12"},{"id":16,"name":"Locomotive ID","value":"4009"},{"id":130,"name":"Impact","value":""},{"id":150,"name":"Time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hidden="1" x14ac:dyDescent="0.25">
      <c r="A216" s="39" t="s">
        <v>639</v>
      </c>
      <c r="B216" s="7">
        <v>4014</v>
      </c>
      <c r="C216" s="24" t="s">
        <v>108</v>
      </c>
      <c r="D216" s="24" t="s">
        <v>246</v>
      </c>
      <c r="E216" s="15">
        <v>42626.071342592593</v>
      </c>
      <c r="F216" s="15">
        <v>42626.072442129633</v>
      </c>
      <c r="G216" s="7">
        <v>1</v>
      </c>
      <c r="H216" s="15" t="s">
        <v>640</v>
      </c>
      <c r="I216" s="15">
        <v>42626.077557870369</v>
      </c>
      <c r="J216" s="7">
        <v>2</v>
      </c>
      <c r="K216" s="121" t="str">
        <f t="shared" si="97"/>
        <v>4013/4014</v>
      </c>
      <c r="L216" s="24" t="str">
        <f>VLOOKUP(A216,'Trips&amp;Operators'!$C$1:$E$10000,3,FALSE)</f>
        <v>CHANDLER</v>
      </c>
      <c r="M216" s="6">
        <f t="shared" si="98"/>
        <v>5.1157407360733487E-3</v>
      </c>
      <c r="N216" s="7">
        <f t="shared" si="111"/>
        <v>7.3666666599456221</v>
      </c>
      <c r="O216" s="7"/>
      <c r="P216" s="7"/>
      <c r="Q216" s="25"/>
      <c r="R216" s="25"/>
      <c r="S216" s="37">
        <f t="shared" si="96"/>
        <v>1</v>
      </c>
      <c r="T216" s="52" t="str">
        <f t="shared" si="99"/>
        <v>NorthBound</v>
      </c>
      <c r="U216" s="163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https://search-rtdc-monitor-bjffxe2xuh6vdkpspy63sjmuny.us-east-1.es.amazonaws.com/_plugin/kibana/#/discover/Steve-Slow-Train-Analysis-(2080s-and-2083s)?_g=(refreshInterval:(display:Off,section:0,value:0),time:(from:'2016-09-13 00:42:44-0600',mode:absolute,to:'2016-09-13 02:51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16" s="54" t="str">
        <f t="shared" si="101"/>
        <v>Y</v>
      </c>
      <c r="X216" s="168">
        <f t="shared" si="95"/>
        <v>2</v>
      </c>
      <c r="Y216" s="69">
        <f t="shared" si="102"/>
        <v>4.5100000000000001E-2</v>
      </c>
      <c r="Z216" s="69">
        <f t="shared" si="103"/>
        <v>2.2265000000000001</v>
      </c>
      <c r="AA216" s="69">
        <f t="shared" si="104"/>
        <v>2.1814</v>
      </c>
      <c r="AB216" s="66" t="e">
        <f>VLOOKUP(A216,Enforcements!$C$7:$K$21,8,0)</f>
        <v>#N/A</v>
      </c>
      <c r="AC216" s="62" t="e">
        <f>VLOOKUP(A216,Enforcements!$C$7:$E$21,3,0)</f>
        <v>#N/A</v>
      </c>
      <c r="AD216" s="63" t="str">
        <f t="shared" si="105"/>
        <v>0313-12</v>
      </c>
      <c r="AE216" s="99" t="str">
        <f t="shared" si="106"/>
        <v>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 &amp; aws s3 cp s3://rtdc.mdm.uploadarchive/RTDC4014/2016-09-14/ "%USERPROFILE%\AppData\Local\Temp\OnboardLogs"\RTDC4014\2016-09-14 --recursive &amp; "%USERPROFILE%\Documents\GitHub\mrs-test-scripts\Headless Mode &amp; Sideloading\WalkAndUnGZ.bat" "%USERPROFILE%\AppData\Local\Temp\OnboardLogs"\RTDC4014\2016-09-14</v>
      </c>
      <c r="AF216" s="96" t="str">
        <f t="shared" si="107"/>
        <v>"C:\Program Files (x86)\AstroGrep\AstroGrep.exe" /spath="%USERPROFILE%\AppData\Local\Temp\OnboardLogs" /stypes="app*4014*20160913*" /stext=" 07:.+((SYSTEM_STATE.+slice.+state.+changed )|(ment ac)|(system.+state.+changed )|(\|lc)|(penalty)|(\[timeout)|(PRM\|1\|D)|(kpr)|(kdp))" /e /r /s</v>
      </c>
      <c r="AG216" s="1" t="str">
        <f t="shared" si="108"/>
        <v>Other</v>
      </c>
      <c r="AH216" s="100" t="str">
        <f t="shared" si="109"/>
        <v>"%USERPROFILE%\Documents\GitHub\eaglep3\Utilities\RefineRTDCRunTimes.py" --tripid 313-12 --locoid 4014 --swversion DE.1.0.7.0 --startMP 204:451 --initTime 2016-09-13T01:42:44 --startdatetime 2016-09-13T01:44:19 --delay 1 --endMP 300:22265 --enddatetime 2016-09-13T01:51:41 --enforcementcount 2 &gt;&gt;C:\Users\stu\Documents\GitHub\eaglep3-reporting\EC\2016-09-12-refined-times.txt</v>
      </c>
      <c r="AI216" s="134" t="str">
        <f t="shared" si="110"/>
        <v>echo {"issue":{"subject":"","project_id":79,"tracker_id":40,"status_id":1,"priority_id":2,"assigned_to_id":23,"start_date":"2016-09-13","description":"","custom_fields":[{"id":1,"name":"Subdivision","value":"Other"},{"id":4,"name":"Milepost","value":"2.1814"},{"id":17,"name":"Train ID","value":"313-12"},{"id":16,"name":"Locomotive ID","value":"4014"},{"id":130,"name":"Impact","value":""},{"id":150,"name":"Time of Event (Mountain Time)","value":"01:51:41"},{"id":151,"name":"Denver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hidden="1" x14ac:dyDescent="0.25">
      <c r="A217" s="39" t="s">
        <v>355</v>
      </c>
      <c r="B217" s="7">
        <v>4040</v>
      </c>
      <c r="C217" s="24" t="s">
        <v>108</v>
      </c>
      <c r="D217" s="24" t="s">
        <v>356</v>
      </c>
      <c r="E217" s="15">
        <v>42625.089525462965</v>
      </c>
      <c r="F217" s="15">
        <v>42625.090937499997</v>
      </c>
      <c r="G217" s="7">
        <v>1</v>
      </c>
      <c r="H217" s="15" t="s">
        <v>357</v>
      </c>
      <c r="I217" s="15">
        <v>42625.097256944442</v>
      </c>
      <c r="J217" s="7">
        <v>2</v>
      </c>
      <c r="K217" s="121" t="str">
        <f t="shared" si="97"/>
        <v>4039/4040</v>
      </c>
      <c r="L217" s="24" t="str">
        <f>VLOOKUP(A217,'Trips&amp;Operators'!$C$1:$E$10000,3,FALSE)</f>
        <v>CHANDLER</v>
      </c>
      <c r="M217" s="6">
        <f t="shared" si="98"/>
        <v>6.3194444446708076E-3</v>
      </c>
      <c r="N217" s="7">
        <f t="shared" si="111"/>
        <v>9.1000000003259629</v>
      </c>
      <c r="O217" s="7"/>
      <c r="P217" s="7"/>
      <c r="Q217" s="25"/>
      <c r="R217" s="25"/>
      <c r="S217" s="37">
        <f t="shared" si="96"/>
        <v>1</v>
      </c>
      <c r="T217" s="52" t="str">
        <f t="shared" si="99"/>
        <v>NorthBound</v>
      </c>
      <c r="U217" s="163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01:08:55-0600',mode:absolute,to:'2016-09-12 03:20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217" s="54" t="str">
        <f t="shared" si="101"/>
        <v>Y</v>
      </c>
      <c r="X217" s="168">
        <f t="shared" si="95"/>
        <v>2</v>
      </c>
      <c r="Y217" s="69">
        <f t="shared" si="102"/>
        <v>4.7500000000000001E-2</v>
      </c>
      <c r="Z217" s="69">
        <f t="shared" si="103"/>
        <v>2.2862</v>
      </c>
      <c r="AA217" s="69">
        <f t="shared" si="104"/>
        <v>2.2387000000000001</v>
      </c>
      <c r="AB217" s="66" t="e">
        <f>VLOOKUP(A217,Enforcements!$C$7:$K$21,8,0)</f>
        <v>#N/A</v>
      </c>
      <c r="AC217" s="62" t="e">
        <f>VLOOKUP(A217,Enforcements!$C$7:$E$21,3,0)</f>
        <v>#N/A</v>
      </c>
      <c r="AD217" s="63" t="str">
        <f t="shared" si="105"/>
        <v>0315-11</v>
      </c>
      <c r="AE217" s="99" t="str">
        <f t="shared" si="106"/>
        <v>aws s3 cp s3://rtdc.mdm.uploadarchive/RTDC4040/2016-09-12/ "%USERPROFILE%\AppData\Local\Temp\OnboardLogs"\RTDC4040\2016-09-12 --recursive &amp; "%USERPROFILE%\Documents\GitHub\mrs-test-scripts\Headless Mode &amp; Sideloading\WalkAndUnGZ.bat" "%USERPROFILE%\AppData\Local\Temp\OnboardLogs"\RTDC4040\2016-09-12 &amp; aws s3 cp s3://rtdc.mdm.uploadarchive/RTDC4040/2016-09-13/ "%USERPROFILE%\AppData\Local\Temp\OnboardLogs"\RTDC4040\2016-09-13 --recursive &amp; "%USERPROFILE%\Documents\GitHub\mrs-test-scripts\Headless Mode &amp; Sideloading\WalkAndUnGZ.bat" "%USERPROFILE%\AppData\Local\Temp\OnboardLogs"\RTDC4040\2016-09-13</v>
      </c>
      <c r="AF217" s="96" t="str">
        <f t="shared" si="107"/>
        <v>"C:\Program Files (x86)\AstroGrep\AstroGrep.exe" /spath="%USERPROFILE%\AppData\Local\Temp\OnboardLogs" /stypes="app*4040*20160912*" /stext=" 08:.+((SYSTEM_STATE.+slice.+state.+changed )|(ment ac)|(system.+state.+changed )|(\|lc)|(penalty)|(\[timeout)|(PRM\|1\|D)|(kpr)|(kdp))" /e /r /s</v>
      </c>
      <c r="AG217" s="1" t="str">
        <f t="shared" si="108"/>
        <v>Other</v>
      </c>
      <c r="AH217" s="100" t="str">
        <f t="shared" si="109"/>
        <v>"%USERPROFILE%\Documents\GitHub\eaglep3\Utilities\RefineRTDCRunTimes.py" --tripid 315-11 --locoid 4040 --swversion DE.1.0.7.0 --startMP 204:475 --initTime 2016-09-12T02:08:55 --startdatetime 2016-09-12T02:10:57 --delay 1 --endMP 300:22862 --enddatetime 2016-09-12T02:20:03 --enforcementcount 2 &gt;&gt;C:\Users\stu\Documents\GitHub\eaglep3-reporting\EC\2016-09-12-refined-times.txt</v>
      </c>
      <c r="AI217" s="134" t="str">
        <f t="shared" si="110"/>
        <v>echo {"issue":{"subject":"","project_id":79,"tracker_id":40,"status_id":1,"priority_id":2,"assigned_to_id":23,"start_date":"2016-09-12","description":"","custom_fields":[{"id":1,"name":"Subdivision","value":"Other"},{"id":4,"name":"Milepost","value":"2.2387"},{"id":17,"name":"Train ID","value":"315-11"},{"id":16,"name":"Locomotive ID","value":"4040"},{"id":130,"name":"Impact","value":""},{"id":150,"name":"Time of Event (Mountain Time)","value":"02:20:03"},{"id":151,"name":"Denver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hidden="1" x14ac:dyDescent="0.25">
      <c r="A218" s="39" t="s">
        <v>641</v>
      </c>
      <c r="B218" s="7">
        <v>4002</v>
      </c>
      <c r="C218" s="24" t="s">
        <v>108</v>
      </c>
      <c r="D218" s="24" t="s">
        <v>348</v>
      </c>
      <c r="E218" s="15">
        <v>42626.087453703702</v>
      </c>
      <c r="F218" s="15">
        <v>25568.958333333332</v>
      </c>
      <c r="G218" s="7">
        <v>1</v>
      </c>
      <c r="H218" s="15" t="s">
        <v>642</v>
      </c>
      <c r="I218" s="15">
        <v>25568.958333333332</v>
      </c>
      <c r="J218" s="7">
        <v>2</v>
      </c>
      <c r="K218" s="121" t="str">
        <f t="shared" si="97"/>
        <v>4001/4002</v>
      </c>
      <c r="L218" s="24" t="str">
        <f>VLOOKUP(A218,'Trips&amp;Operators'!$C$1:$E$10000,3,FALSE)</f>
        <v>YANAI</v>
      </c>
      <c r="M218" s="6">
        <f t="shared" si="98"/>
        <v>0</v>
      </c>
      <c r="N218" s="7">
        <f t="shared" si="111"/>
        <v>0</v>
      </c>
      <c r="O218" s="7"/>
      <c r="P218" s="7"/>
      <c r="Q218" s="25"/>
      <c r="R218" s="25"/>
      <c r="S218" s="37">
        <f t="shared" si="96"/>
        <v>1</v>
      </c>
      <c r="T218" s="52" t="str">
        <f t="shared" si="99"/>
        <v>NorthBound</v>
      </c>
      <c r="U218" s="163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https://search-rtdc-monitor-bjffxe2xuh6vdkpspy63sjmuny.us-east-1.es.amazonaws.com/_plugin/kibana/#/discover/Steve-Slow-Train-Analysis-(2080s-and-2083s)?_g=(refreshInterval:(display:Off,section:0,value:0),time:(from:'2016-09-13 01:05:56-0600',mode:absolute,to:'1970-01-01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218" s="54" t="str">
        <f t="shared" si="101"/>
        <v>Y</v>
      </c>
      <c r="X218" s="168">
        <f t="shared" si="95"/>
        <v>0</v>
      </c>
      <c r="Y218" s="69">
        <f t="shared" si="102"/>
        <v>4.8599999999999997E-2</v>
      </c>
      <c r="Z218" s="69">
        <f t="shared" si="103"/>
        <v>2.3109000000000002</v>
      </c>
      <c r="AA218" s="69">
        <f t="shared" si="104"/>
        <v>2.2623000000000002</v>
      </c>
      <c r="AB218" s="66" t="e">
        <f>VLOOKUP(A218,Enforcements!$C$7:$K$21,8,0)</f>
        <v>#N/A</v>
      </c>
      <c r="AC218" s="62" t="e">
        <f>VLOOKUP(A218,Enforcements!$C$7:$E$21,3,0)</f>
        <v>#N/A</v>
      </c>
      <c r="AD218" s="63" t="str">
        <f t="shared" si="105"/>
        <v>0315-12</v>
      </c>
      <c r="AE218" s="99" t="str">
        <f t="shared" si="106"/>
        <v>aws s3 cp s3://rtdc.mdm.uploadarchive/RTDC4002/1969-12-31/ "%USERPROFILE%\AppData\Local\Temp\OnboardLogs"\RTDC4002\1969-12-31 --recursive &amp; "%USERPROFILE%\Documents\GitHub\mrs-test-scripts\Headless Mode &amp; Sideloading\WalkAndUnGZ.bat" "%USERPROFILE%\AppData\Local\Temp\OnboardLogs"\RTDC4002\1969-12-31 &amp; aws s3 cp s3://rtdc.mdm.uploadarchive/RTDC4002/1970-01-01/ "%USERPROFILE%\AppData\Local\Temp\OnboardLogs"\RTDC4002\1970-01-01 --recursive &amp; "%USERPROFILE%\Documents\GitHub\mrs-test-scripts\Headless Mode &amp; Sideloading\WalkAndUnGZ.bat" "%USERPROFILE%\AppData\Local\Temp\OnboardLogs"\RTDC4002\1970-01-01</v>
      </c>
      <c r="AF218" s="96" t="str">
        <f t="shared" si="107"/>
        <v>"C:\Program Files (x86)\AstroGrep\AstroGrep.exe" /spath="%USERPROFILE%\AppData\Local\Temp\OnboardLogs" /stypes="app*4002*19700101*" /stext=" 05:.+((SYSTEM_STATE.+slice.+state.+changed )|(ment ac)|(system.+state.+changed )|(\|lc)|(penalty)|(\[timeout)|(PRM\|1\|D)|(kpr)|(kdp))" /e /r /s</v>
      </c>
      <c r="AG218" s="1" t="str">
        <f t="shared" si="108"/>
        <v>Other</v>
      </c>
      <c r="AH218" s="100" t="str">
        <f t="shared" si="109"/>
        <v>"%USERPROFILE%\Documents\GitHub\eaglep3\Utilities\RefineRTDCRunTimes.py" --tripid 315-12 --locoid 4002 --swversion DE.1.0.7.0 --startMP 204:486 --initTime 2016-09-13T02:05:56 --startdatetime 1969-12-31T23:00:00 --delay 1 --endMP 300:23109 --enddatetime 1969-12-31T23:00:00 --enforcementcount 2 &gt;&gt;C:\Users\stu\Documents\GitHub\eaglep3-reporting\EC\2016-09-12-refined-times.txt</v>
      </c>
      <c r="AI218" s="134" t="str">
        <f t="shared" si="110"/>
        <v>echo {"issue":{"subject":"","project_id":79,"tracker_id":40,"status_id":1,"priority_id":2,"assigned_to_id":23,"start_date":"1969-12-31","description":"","custom_fields":[{"id":1,"name":"Subdivision","value":"Other"},{"id":4,"name":"Milepost","value":"2.2623"},{"id":17,"name":"Train ID","value":"315-12"},{"id":16,"name":"Locomotive ID","value":"4002"},{"id":130,"name":"Impact","value":""},{"id":150,"name":"Time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hidden="1" x14ac:dyDescent="0.25">
      <c r="A219" s="39" t="s">
        <v>730</v>
      </c>
      <c r="B219" s="7">
        <v>4019</v>
      </c>
      <c r="C219" s="24" t="s">
        <v>108</v>
      </c>
      <c r="D219" s="24" t="s">
        <v>731</v>
      </c>
      <c r="E219" s="15">
        <v>42625.639907407407</v>
      </c>
      <c r="F219" s="15">
        <v>42625.641238425924</v>
      </c>
      <c r="G219" s="7">
        <v>1</v>
      </c>
      <c r="H219" s="15" t="s">
        <v>732</v>
      </c>
      <c r="I219" s="15">
        <v>42625.641365740739</v>
      </c>
      <c r="J219" s="7">
        <v>2</v>
      </c>
      <c r="K219" s="121" t="str">
        <f t="shared" si="97"/>
        <v>4019/4020</v>
      </c>
      <c r="L219" s="24" t="str">
        <f>VLOOKUP(A219,'Trips&amp;Operators'!$C$1:$E$10000,3,FALSE)</f>
        <v>HAITHCOX</v>
      </c>
      <c r="M219" s="6">
        <f t="shared" si="98"/>
        <v>1.273148154723458E-4</v>
      </c>
      <c r="N219" s="7">
        <f t="shared" si="111"/>
        <v>0.18333333428017795</v>
      </c>
      <c r="O219" s="7"/>
      <c r="P219" s="7"/>
      <c r="Q219" s="25"/>
      <c r="R219" s="25"/>
      <c r="S219" s="37">
        <f t="shared" si="96"/>
        <v>0</v>
      </c>
      <c r="T219" s="52" t="str">
        <f t="shared" si="99"/>
        <v>Southbound</v>
      </c>
      <c r="U219" s="163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14:21:28-0600',mode:absolute,to:'2016-09-12 16:23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19" s="54" t="str">
        <f t="shared" si="101"/>
        <v>Y</v>
      </c>
      <c r="X219" s="168">
        <f t="shared" si="95"/>
        <v>589</v>
      </c>
      <c r="Y219" s="69">
        <f t="shared" si="102"/>
        <v>2.5131000000000001</v>
      </c>
      <c r="Z219" s="69">
        <f t="shared" si="103"/>
        <v>2.4834000000000001</v>
      </c>
      <c r="AA219" s="69">
        <f t="shared" si="104"/>
        <v>2.970000000000006E-2</v>
      </c>
      <c r="AB219" s="66" t="e">
        <f>VLOOKUP(A219,Enforcements!$C$7:$K$21,8,0)</f>
        <v>#N/A</v>
      </c>
      <c r="AC219" s="62" t="e">
        <f>VLOOKUP(A219,Enforcements!$C$7:$E$21,3,0)</f>
        <v>#N/A</v>
      </c>
      <c r="AD219" s="63" t="str">
        <f t="shared" si="105"/>
        <v>0904-12</v>
      </c>
      <c r="AE219" s="99" t="str">
        <f t="shared" si="106"/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219" s="96" t="str">
        <f t="shared" si="107"/>
        <v>"C:\Program Files (x86)\AstroGrep\AstroGrep.exe" /spath="%USERPROFILE%\AppData\Local\Temp\OnboardLogs" /stypes="app*4019*20160912*" /stext=" 21:.+((SYSTEM_STATE.+slice.+state.+changed )|(ment ac)|(system.+state.+changed )|(\|lc)|(penalty)|(\[timeout)|(PRM\|1\|D)|(kpr)|(kdp))" /e /r /s</v>
      </c>
      <c r="AG219" s="1" t="str">
        <f t="shared" si="108"/>
        <v>Other</v>
      </c>
      <c r="AH219" s="100" t="str">
        <f t="shared" si="109"/>
        <v>"%USERPROFILE%\Documents\GitHub\eaglep3\Utilities\RefineRTDCRunTimes.py" --tripid 904-12 --locoid 4019 --swversion DE.1.0.7.0 --startMP 300:25131 --initTime 2016-09-12T15:21:28 --startdatetime 2016-09-12T15:23:23 --delay 1 --endMP 300:24834 --enddatetime 2016-09-12T15:23:34 --enforcementcount 2 &gt;&gt;C:\Users\stu\Documents\GitHub\eaglep3-reporting\EC\2016-09-12-refined-times.txt</v>
      </c>
      <c r="AI219" s="134" t="str">
        <f t="shared" si="110"/>
        <v>echo {"issue":{"subject":"","project_id":79,"tracker_id":40,"status_id":1,"priority_id":2,"assigned_to_id":23,"start_date":"2016-09-12","description":"","custom_fields":[{"id":1,"name":"Subdivision","value":"Other"},{"id":4,"name":"Milepost","value":"0.0297000000000001"},{"id":17,"name":"Train ID","value":"904-12"},{"id":16,"name":"Locomotive ID","value":"4019"},{"id":130,"name":"Impact","value":""},{"id":150,"name":"Time of Event (Mountain Time)","value":"15:23:34"},{"id":151,"name":"Denver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hidden="1" x14ac:dyDescent="0.25">
      <c r="A220" s="39" t="s">
        <v>733</v>
      </c>
      <c r="B220" s="7">
        <v>4019</v>
      </c>
      <c r="C220" s="24" t="s">
        <v>108</v>
      </c>
      <c r="D220" s="24" t="s">
        <v>709</v>
      </c>
      <c r="E220" s="15">
        <v>42625.796840277777</v>
      </c>
      <c r="F220" s="15">
        <v>25568.958333333332</v>
      </c>
      <c r="G220" s="7">
        <v>1</v>
      </c>
      <c r="H220" s="15" t="s">
        <v>734</v>
      </c>
      <c r="I220" s="15">
        <v>25568.958333333332</v>
      </c>
      <c r="J220" s="7">
        <v>2</v>
      </c>
      <c r="K220" s="121" t="str">
        <f t="shared" si="97"/>
        <v>4019/4020</v>
      </c>
      <c r="L220" s="24" t="str">
        <f>VLOOKUP(A220,'Trips&amp;Operators'!$C$1:$E$10000,3,FALSE)</f>
        <v>HAITHCOX</v>
      </c>
      <c r="M220" s="6">
        <f t="shared" si="98"/>
        <v>0</v>
      </c>
      <c r="N220" s="7">
        <f t="shared" si="111"/>
        <v>0</v>
      </c>
      <c r="O220" s="7"/>
      <c r="P220" s="7"/>
      <c r="Q220" s="25"/>
      <c r="R220" s="25"/>
      <c r="S220" s="37">
        <f t="shared" si="96"/>
        <v>0</v>
      </c>
      <c r="T220" s="52" t="str">
        <f t="shared" si="99"/>
        <v>Southbound</v>
      </c>
      <c r="U220" s="163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18:07:27-0600',mode:absolute,to:'1970-01-01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20" s="54" t="str">
        <f t="shared" si="101"/>
        <v>Y</v>
      </c>
      <c r="X220" s="168">
        <f t="shared" si="95"/>
        <v>2</v>
      </c>
      <c r="Y220" s="69">
        <f t="shared" si="102"/>
        <v>5.8613</v>
      </c>
      <c r="Z220" s="69">
        <f t="shared" si="103"/>
        <v>2.8782000000000001</v>
      </c>
      <c r="AA220" s="69">
        <f t="shared" si="104"/>
        <v>2.9830999999999999</v>
      </c>
      <c r="AB220" s="66" t="e">
        <f>VLOOKUP(A220,Enforcements!$C$7:$K$21,8,0)</f>
        <v>#N/A</v>
      </c>
      <c r="AC220" s="62" t="e">
        <f>VLOOKUP(A220,Enforcements!$C$7:$E$21,3,0)</f>
        <v>#N/A</v>
      </c>
      <c r="AD220" s="63" t="str">
        <f t="shared" si="105"/>
        <v>0906-12</v>
      </c>
      <c r="AE220" s="99" t="str">
        <f t="shared" si="106"/>
        <v>aws s3 cp s3://rtdc.mdm.uploadarchive/RTDC4019/1969-12-31/ "%USERPROFILE%\AppData\Local\Temp\OnboardLogs"\RTDC4019\1969-12-31 --recursive &amp; "%USERPROFILE%\Documents\GitHub\mrs-test-scripts\Headless Mode &amp; Sideloading\WalkAndUnGZ.bat" "%USERPROFILE%\AppData\Local\Temp\OnboardLogs"\RTDC4019\1969-12-31 &amp; aws s3 cp s3://rtdc.mdm.uploadarchive/RTDC4019/1970-01-01/ "%USERPROFILE%\AppData\Local\Temp\OnboardLogs"\RTDC4019\1970-01-01 --recursive &amp; "%USERPROFILE%\Documents\GitHub\mrs-test-scripts\Headless Mode &amp; Sideloading\WalkAndUnGZ.bat" "%USERPROFILE%\AppData\Local\Temp\OnboardLogs"\RTDC4019\1970-01-01</v>
      </c>
      <c r="AF220" s="96" t="str">
        <f t="shared" si="107"/>
        <v>"C:\Program Files (x86)\AstroGrep\AstroGrep.exe" /spath="%USERPROFILE%\AppData\Local\Temp\OnboardLogs" /stypes="app*4019*19700101*" /stext=" 05:.+((SYSTEM_STATE.+slice.+state.+changed )|(ment ac)|(system.+state.+changed )|(\|lc)|(penalty)|(\[timeout)|(PRM\|1\|D)|(kpr)|(kdp))" /e /r /s</v>
      </c>
      <c r="AG220" s="1" t="str">
        <f t="shared" si="108"/>
        <v>Other</v>
      </c>
      <c r="AH220" s="100" t="str">
        <f t="shared" si="109"/>
        <v>"%USERPROFILE%\Documents\GitHub\eaglep3\Utilities\RefineRTDCRunTimes.py" --tripid 906-12 --locoid 4019 --swversion DE.1.0.7.0 --startMP 300:58613 --initTime 2016-09-12T19:07:27 --startdatetime 1969-12-31T23:00:00 --delay 1 --endMP 300:28782 --enddatetime 1969-12-31T23:00:00 --enforcementcount 2 &gt;&gt;C:\Users\stu\Documents\GitHub\eaglep3-reporting\EC\2016-09-12-refined-times.txt</v>
      </c>
      <c r="AI220" s="134" t="str">
        <f t="shared" si="110"/>
        <v>echo {"issue":{"subject":"","project_id":79,"tracker_id":40,"status_id":1,"priority_id":2,"assigned_to_id":23,"start_date":"1969-12-31","description":"","custom_fields":[{"id":1,"name":"Subdivision","value":"Other"},{"id":4,"name":"Milepost","value":"2.9831"},{"id":17,"name":"Train ID","value":"906-12"},{"id":16,"name":"Locomotive ID","value":"4019"},{"id":130,"name":"Impact","value":""},{"id":150,"name":"Time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hidden="1" x14ac:dyDescent="0.25">
      <c r="A221" s="39" t="s">
        <v>419</v>
      </c>
      <c r="B221" s="7">
        <v>4026</v>
      </c>
      <c r="C221" s="24" t="s">
        <v>108</v>
      </c>
      <c r="D221" s="24" t="s">
        <v>251</v>
      </c>
      <c r="E221" s="15">
        <v>42625.944247685184</v>
      </c>
      <c r="F221" s="15">
        <v>42625.945335648146</v>
      </c>
      <c r="G221" s="7">
        <v>0</v>
      </c>
      <c r="H221" s="15" t="s">
        <v>735</v>
      </c>
      <c r="I221" s="15">
        <v>42625.951643518521</v>
      </c>
      <c r="J221" s="7">
        <v>2</v>
      </c>
      <c r="K221" s="121" t="str">
        <f t="shared" si="97"/>
        <v>4025/4026</v>
      </c>
      <c r="L221" s="24" t="str">
        <f>VLOOKUP(A221,'Trips&amp;Operators'!$C$1:$E$10000,3,FALSE)</f>
        <v>HAITHCOX</v>
      </c>
      <c r="M221" s="6">
        <f t="shared" si="98"/>
        <v>6.3078703751671128E-3</v>
      </c>
      <c r="N221" s="7">
        <f t="shared" si="111"/>
        <v>9.0833333402406424</v>
      </c>
      <c r="O221" s="7"/>
      <c r="P221" s="7"/>
      <c r="Q221" s="25"/>
      <c r="R221" s="25"/>
      <c r="S221" s="37">
        <f t="shared" si="96"/>
        <v>0</v>
      </c>
      <c r="T221" s="52" t="str">
        <f t="shared" si="99"/>
        <v>Southbound</v>
      </c>
      <c r="U221" s="163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21:39:43-0600',mode:absolute,to:'2016-09-12 23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21" s="54" t="str">
        <f t="shared" si="101"/>
        <v>Y</v>
      </c>
      <c r="X221" s="168">
        <f t="shared" si="95"/>
        <v>2</v>
      </c>
      <c r="Y221" s="69">
        <f t="shared" si="102"/>
        <v>5.8615000000000004</v>
      </c>
      <c r="Z221" s="69">
        <f t="shared" si="103"/>
        <v>3.1888000000000001</v>
      </c>
      <c r="AA221" s="69">
        <f t="shared" si="104"/>
        <v>2.6727000000000003</v>
      </c>
      <c r="AB221" s="66" t="e">
        <f>VLOOKUP(A221,Enforcements!$C$7:$K$21,8,0)</f>
        <v>#N/A</v>
      </c>
      <c r="AC221" s="62" t="e">
        <f>VLOOKUP(A221,Enforcements!$C$7:$E$21,3,0)</f>
        <v>#N/A</v>
      </c>
      <c r="AD221" s="63" t="str">
        <f t="shared" si="105"/>
        <v>0908-12</v>
      </c>
      <c r="AE221" s="99" t="str">
        <f t="shared" si="10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221" s="96" t="str">
        <f t="shared" si="107"/>
        <v>"C:\Program Files (x86)\AstroGrep\AstroGrep.exe" /spath="%USERPROFILE%\AppData\Local\Temp\OnboardLogs" /stypes="app*4026*20160913*" /stext=" 04:.+((SYSTEM_STATE.+slice.+state.+changed )|(ment ac)|(system.+state.+changed )|(\|lc)|(penalty)|(\[timeout)|(PRM\|1\|D)|(kpr)|(kdp))" /e /r /s</v>
      </c>
      <c r="AG221" s="1" t="str">
        <f t="shared" si="108"/>
        <v>Other</v>
      </c>
      <c r="AH221" s="100" t="str">
        <f t="shared" si="109"/>
        <v>"%USERPROFILE%\Documents\GitHub\eaglep3\Utilities\RefineRTDCRunTimes.py" --tripid 908-12 --locoid 4026 --swversion DE.1.0.7.0 --startMP 300:58615 --initTime 2016-09-12T22:39:43 --startdatetime 2016-09-12T22:41:17 --delay 0 --endMP 300:31888 --enddatetime 2016-09-12T22:50:22 --enforcementcount 2 &gt;&gt;C:\Users\stu\Documents\GitHub\eaglep3-reporting\EC\2016-09-12-refined-times.txt</v>
      </c>
      <c r="AI221" s="134" t="str">
        <f t="shared" si="110"/>
        <v>echo {"issue":{"subject":"","project_id":79,"tracker_id":40,"status_id":1,"priority_id":2,"assigned_to_id":23,"start_date":"2016-09-12","description":"","custom_fields":[{"id":1,"name":"Subdivision","value":"Other"},{"id":4,"name":"Milepost","value":"2.6727"},{"id":17,"name":"Train ID","value":"908-12"},{"id":16,"name":"Locomotive ID","value":"4026"},{"id":130,"name":"Impact","value":""},{"id":150,"name":"Time of Event (Mountain Time)","value":"22:50:22"},{"id":151,"name":"Denver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hidden="1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21"/>
      <c r="L222" s="24"/>
      <c r="M222" s="6"/>
      <c r="N222" s="7"/>
      <c r="O222" s="7"/>
      <c r="P222" s="7"/>
      <c r="Q222" s="25"/>
      <c r="R222" s="25"/>
      <c r="S222" s="37"/>
      <c r="T222" s="52"/>
      <c r="U222" s="163"/>
      <c r="V222" s="106"/>
      <c r="W222" s="54"/>
      <c r="X222" s="168"/>
      <c r="Y222" s="69"/>
      <c r="Z222" s="69"/>
      <c r="AA222" s="69"/>
      <c r="AB222" s="66"/>
      <c r="AC222" s="62"/>
      <c r="AD222" s="63"/>
      <c r="AE222" s="99"/>
      <c r="AF222" s="96"/>
      <c r="AG222" s="1"/>
      <c r="AI222" s="134"/>
      <c r="AJ222" s="55"/>
      <c r="AK222" s="55"/>
      <c r="AL222" s="55"/>
    </row>
    <row r="223" spans="1:38" hidden="1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21"/>
      <c r="L223" s="24"/>
      <c r="M223" s="6"/>
      <c r="N223" s="7"/>
      <c r="O223" s="7"/>
      <c r="P223" s="7"/>
      <c r="Q223" s="25"/>
      <c r="R223" s="25"/>
      <c r="S223" s="37"/>
      <c r="T223" s="52"/>
      <c r="U223" s="163"/>
      <c r="V223" s="106"/>
      <c r="W223" s="54"/>
      <c r="X223" s="168"/>
      <c r="Y223" s="69"/>
      <c r="Z223" s="69"/>
      <c r="AA223" s="69"/>
      <c r="AB223" s="66"/>
      <c r="AC223" s="62"/>
      <c r="AD223" s="63"/>
      <c r="AE223" s="99"/>
      <c r="AF223" s="96"/>
      <c r="AG223" s="1"/>
      <c r="AI223" s="134"/>
      <c r="AJ223" s="55"/>
      <c r="AK223" s="55"/>
      <c r="AL223" s="55"/>
    </row>
    <row r="224" spans="1:38" hidden="1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21"/>
      <c r="L224" s="24"/>
      <c r="M224" s="6"/>
      <c r="N224" s="7"/>
      <c r="O224" s="7"/>
      <c r="P224" s="7"/>
      <c r="Q224" s="25"/>
      <c r="R224" s="25"/>
      <c r="S224" s="37"/>
      <c r="T224" s="52"/>
      <c r="U224" s="163"/>
      <c r="V224" s="106"/>
      <c r="W224" s="54"/>
      <c r="X224" s="168"/>
      <c r="Y224" s="69"/>
      <c r="Z224" s="69"/>
      <c r="AA224" s="69"/>
      <c r="AB224" s="66"/>
      <c r="AC224" s="62"/>
      <c r="AD224" s="63"/>
      <c r="AE224" s="99"/>
      <c r="AF224" s="96"/>
      <c r="AG224" s="1"/>
      <c r="AI224" s="134"/>
      <c r="AJ224" s="55"/>
      <c r="AK224" s="55"/>
      <c r="AL224" s="55"/>
    </row>
    <row r="225" spans="1:38" hidden="1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21"/>
      <c r="L225" s="24"/>
      <c r="M225" s="6"/>
      <c r="N225" s="7"/>
      <c r="O225" s="7"/>
      <c r="P225" s="7"/>
      <c r="Q225" s="25"/>
      <c r="R225" s="25"/>
      <c r="S225" s="37"/>
      <c r="T225" s="52"/>
      <c r="U225" s="163"/>
      <c r="V225" s="106"/>
      <c r="W225" s="54"/>
      <c r="X225" s="168"/>
      <c r="Y225" s="69"/>
      <c r="Z225" s="69"/>
      <c r="AA225" s="69"/>
      <c r="AB225" s="66"/>
      <c r="AC225" s="62"/>
      <c r="AD225" s="63"/>
      <c r="AE225" s="99"/>
      <c r="AF225" s="96"/>
      <c r="AG225" s="1"/>
      <c r="AI225" s="134"/>
      <c r="AJ225" s="55"/>
      <c r="AK225" s="55"/>
      <c r="AL225" s="55"/>
    </row>
    <row r="226" spans="1:38" s="23" customFormat="1" hidden="1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21"/>
      <c r="L226" s="24"/>
      <c r="M226" s="6"/>
      <c r="N226" s="7"/>
      <c r="O226" s="7"/>
      <c r="P226" s="7"/>
      <c r="Q226" s="25"/>
      <c r="R226" s="25"/>
      <c r="S226" s="37"/>
      <c r="T226" s="52"/>
      <c r="U226" s="163"/>
      <c r="V226" s="106"/>
      <c r="W226" s="54"/>
      <c r="X226" s="168"/>
      <c r="Y226" s="69"/>
      <c r="Z226" s="69"/>
      <c r="AA226" s="69"/>
      <c r="AB226" s="66"/>
      <c r="AC226" s="62"/>
      <c r="AD226" s="63"/>
      <c r="AE226" s="99"/>
      <c r="AF226" s="96"/>
      <c r="AG226" s="1"/>
      <c r="AH226" s="100"/>
      <c r="AI226" s="134"/>
      <c r="AJ226" s="55"/>
      <c r="AK226" s="55"/>
      <c r="AL226" s="55"/>
    </row>
    <row r="227" spans="1:38" hidden="1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21"/>
      <c r="L227" s="24"/>
      <c r="M227" s="6"/>
      <c r="N227" s="7"/>
      <c r="O227" s="7"/>
      <c r="P227" s="7"/>
      <c r="Q227" s="25"/>
      <c r="R227" s="25"/>
      <c r="S227" s="37"/>
      <c r="T227" s="52"/>
      <c r="U227" s="163"/>
      <c r="V227" s="106"/>
      <c r="W227" s="54"/>
      <c r="X227" s="168"/>
      <c r="Y227" s="69"/>
      <c r="Z227" s="69"/>
      <c r="AA227" s="69"/>
      <c r="AB227" s="66"/>
      <c r="AC227" s="62"/>
      <c r="AD227" s="63"/>
      <c r="AE227" s="99"/>
      <c r="AF227" s="96"/>
      <c r="AG227" s="1"/>
      <c r="AI227" s="134"/>
      <c r="AJ227" s="55"/>
      <c r="AK227" s="55"/>
      <c r="AL227" s="55"/>
    </row>
    <row r="228" spans="1:38" s="23" customFormat="1" hidden="1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21"/>
      <c r="L228" s="24"/>
      <c r="M228" s="6"/>
      <c r="N228" s="7"/>
      <c r="O228" s="7"/>
      <c r="P228" s="7"/>
      <c r="Q228" s="25"/>
      <c r="R228" s="25"/>
      <c r="S228" s="37"/>
      <c r="T228" s="52"/>
      <c r="U228" s="163"/>
      <c r="V228" s="106"/>
      <c r="W228" s="54"/>
      <c r="X228" s="168"/>
      <c r="Y228" s="69"/>
      <c r="Z228" s="69"/>
      <c r="AA228" s="69"/>
      <c r="AB228" s="66"/>
      <c r="AC228" s="62"/>
      <c r="AD228" s="63"/>
      <c r="AE228" s="99"/>
      <c r="AF228" s="96"/>
      <c r="AG228" s="1"/>
      <c r="AH228" s="100"/>
      <c r="AI228" s="134"/>
      <c r="AJ228" s="55"/>
      <c r="AK228" s="55"/>
      <c r="AL228" s="55"/>
    </row>
    <row r="229" spans="1:38" hidden="1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21"/>
      <c r="L229" s="24"/>
      <c r="M229" s="6"/>
      <c r="N229" s="7"/>
      <c r="O229" s="7"/>
      <c r="P229" s="7"/>
      <c r="Q229" s="25"/>
      <c r="R229" s="25"/>
      <c r="S229" s="37"/>
      <c r="T229" s="52"/>
      <c r="U229" s="163"/>
      <c r="V229" s="106"/>
      <c r="W229" s="54"/>
      <c r="X229" s="168"/>
      <c r="Y229" s="69"/>
      <c r="Z229" s="69"/>
      <c r="AA229" s="69"/>
      <c r="AB229" s="66"/>
      <c r="AC229" s="62"/>
      <c r="AD229" s="63"/>
      <c r="AE229" s="99"/>
      <c r="AF229" s="96"/>
      <c r="AG229" s="1"/>
      <c r="AI229" s="134"/>
      <c r="AJ229" s="55"/>
      <c r="AK229" s="55"/>
      <c r="AL229" s="55"/>
    </row>
    <row r="230" spans="1:38" hidden="1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21"/>
      <c r="L230" s="24"/>
      <c r="M230" s="6"/>
      <c r="N230" s="7"/>
      <c r="O230" s="7"/>
      <c r="P230" s="7"/>
      <c r="Q230" s="25"/>
      <c r="R230" s="25"/>
      <c r="S230" s="37"/>
      <c r="T230" s="52"/>
      <c r="U230" s="163"/>
      <c r="V230" s="106"/>
      <c r="W230" s="54"/>
      <c r="X230" s="168"/>
      <c r="Y230" s="69"/>
      <c r="Z230" s="69"/>
      <c r="AA230" s="69"/>
      <c r="AB230" s="66"/>
      <c r="AC230" s="62"/>
      <c r="AD230" s="63"/>
      <c r="AE230" s="99"/>
      <c r="AF230" s="96"/>
      <c r="AG230" s="1"/>
      <c r="AI230" s="134"/>
      <c r="AJ230" s="55"/>
      <c r="AK230" s="55"/>
      <c r="AL230" s="55"/>
    </row>
    <row r="231" spans="1:38" hidden="1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21"/>
      <c r="L231" s="24"/>
      <c r="M231" s="6"/>
      <c r="N231" s="7"/>
      <c r="O231" s="7"/>
      <c r="P231" s="7"/>
      <c r="Q231" s="25"/>
      <c r="R231" s="25"/>
      <c r="S231" s="37"/>
      <c r="T231" s="52"/>
      <c r="U231" s="163"/>
      <c r="V231" s="106"/>
      <c r="W231" s="54"/>
      <c r="X231" s="168"/>
      <c r="Y231" s="69"/>
      <c r="Z231" s="69"/>
      <c r="AA231" s="69"/>
      <c r="AB231" s="66"/>
      <c r="AC231" s="62"/>
      <c r="AD231" s="63"/>
      <c r="AE231" s="99"/>
      <c r="AF231" s="96"/>
      <c r="AG231" s="1"/>
      <c r="AI231" s="134"/>
      <c r="AJ231" s="55"/>
      <c r="AK231" s="55"/>
      <c r="AL231" s="55"/>
    </row>
    <row r="232" spans="1:38" hidden="1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21"/>
      <c r="L232" s="24"/>
      <c r="M232" s="6"/>
      <c r="N232" s="7"/>
      <c r="O232" s="7"/>
      <c r="P232" s="7"/>
      <c r="Q232" s="25"/>
      <c r="R232" s="25"/>
      <c r="S232" s="37"/>
      <c r="T232" s="52"/>
      <c r="U232" s="163"/>
      <c r="V232" s="106"/>
      <c r="W232" s="54"/>
      <c r="X232" s="168"/>
      <c r="Y232" s="69"/>
      <c r="Z232" s="69"/>
      <c r="AA232" s="69"/>
      <c r="AB232" s="66"/>
      <c r="AC232" s="62"/>
      <c r="AD232" s="63"/>
      <c r="AE232" s="99"/>
      <c r="AF232" s="96"/>
      <c r="AG232" s="1"/>
      <c r="AI232" s="134"/>
      <c r="AJ232" s="55"/>
      <c r="AK232" s="55"/>
      <c r="AL232" s="55"/>
    </row>
    <row r="233" spans="1:38" hidden="1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21"/>
      <c r="L233" s="24"/>
      <c r="M233" s="6"/>
      <c r="N233" s="7"/>
      <c r="O233" s="7"/>
      <c r="P233" s="7"/>
      <c r="Q233" s="25"/>
      <c r="R233" s="25"/>
      <c r="S233" s="37"/>
      <c r="T233" s="52"/>
      <c r="U233" s="163"/>
      <c r="V233" s="106"/>
      <c r="W233" s="54"/>
      <c r="X233" s="168"/>
      <c r="Y233" s="69"/>
      <c r="Z233" s="69"/>
      <c r="AA233" s="69"/>
      <c r="AB233" s="66"/>
      <c r="AC233" s="62"/>
      <c r="AD233" s="63"/>
      <c r="AE233" s="99"/>
      <c r="AF233" s="96"/>
      <c r="AG233" s="1"/>
      <c r="AI233" s="134"/>
      <c r="AJ233" s="55"/>
      <c r="AK233" s="55"/>
      <c r="AL233" s="55"/>
    </row>
    <row r="234" spans="1:38" hidden="1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21"/>
      <c r="L234" s="24"/>
      <c r="M234" s="6"/>
      <c r="N234" s="7"/>
      <c r="O234" s="7"/>
      <c r="P234" s="7"/>
      <c r="Q234" s="25"/>
      <c r="R234" s="25"/>
      <c r="S234" s="37"/>
      <c r="T234" s="52"/>
      <c r="U234" s="163"/>
      <c r="V234" s="106"/>
      <c r="W234" s="54"/>
      <c r="X234" s="168"/>
      <c r="Y234" s="69"/>
      <c r="Z234" s="69"/>
      <c r="AA234" s="69"/>
      <c r="AB234" s="66"/>
      <c r="AC234" s="62"/>
      <c r="AD234" s="63"/>
      <c r="AE234" s="99"/>
      <c r="AF234" s="96"/>
      <c r="AG234" s="1"/>
      <c r="AI234" s="134"/>
      <c r="AJ234" s="55"/>
      <c r="AK234" s="55"/>
      <c r="AL234" s="55"/>
    </row>
    <row r="235" spans="1:38" hidden="1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21"/>
      <c r="L235" s="24"/>
      <c r="M235" s="6"/>
      <c r="N235" s="7"/>
      <c r="O235" s="7"/>
      <c r="P235" s="7"/>
      <c r="Q235" s="25"/>
      <c r="R235" s="25"/>
      <c r="S235" s="37"/>
      <c r="T235" s="52"/>
      <c r="U235" s="163"/>
      <c r="V235" s="106"/>
      <c r="W235" s="54"/>
      <c r="X235" s="168"/>
      <c r="Y235" s="69"/>
      <c r="Z235" s="69"/>
      <c r="AA235" s="69"/>
      <c r="AB235" s="66"/>
      <c r="AC235" s="62"/>
      <c r="AD235" s="63"/>
      <c r="AE235" s="99"/>
      <c r="AF235" s="96"/>
      <c r="AG235" s="1"/>
      <c r="AI235" s="134"/>
      <c r="AJ235" s="55"/>
      <c r="AK235" s="55"/>
      <c r="AL235" s="55"/>
    </row>
    <row r="236" spans="1:38" hidden="1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21"/>
      <c r="L236" s="24"/>
      <c r="M236" s="6"/>
      <c r="N236" s="7"/>
      <c r="O236" s="7"/>
      <c r="P236" s="7"/>
      <c r="Q236" s="25"/>
      <c r="R236" s="25"/>
      <c r="S236" s="37"/>
      <c r="T236" s="52"/>
      <c r="U236" s="163"/>
      <c r="V236" s="106"/>
      <c r="W236" s="54"/>
      <c r="X236" s="168"/>
      <c r="Y236" s="69"/>
      <c r="Z236" s="69"/>
      <c r="AA236" s="69"/>
      <c r="AB236" s="66"/>
      <c r="AC236" s="62"/>
      <c r="AD236" s="63"/>
      <c r="AE236" s="99"/>
      <c r="AF236" s="96"/>
      <c r="AG236" s="1"/>
      <c r="AI236" s="134"/>
      <c r="AJ236" s="55"/>
      <c r="AK236" s="55"/>
      <c r="AL236" s="55"/>
    </row>
    <row r="237" spans="1:38" hidden="1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21"/>
      <c r="L237" s="24"/>
      <c r="M237" s="6"/>
      <c r="N237" s="7"/>
      <c r="O237" s="7"/>
      <c r="P237" s="7"/>
      <c r="Q237" s="25"/>
      <c r="R237" s="25"/>
      <c r="S237" s="37"/>
      <c r="T237" s="52"/>
      <c r="U237" s="163"/>
      <c r="V237" s="106"/>
      <c r="W237" s="54"/>
      <c r="X237" s="168"/>
      <c r="Y237" s="69"/>
      <c r="Z237" s="69"/>
      <c r="AA237" s="69"/>
      <c r="AB237" s="66"/>
      <c r="AC237" s="62"/>
      <c r="AD237" s="63"/>
      <c r="AE237" s="99"/>
      <c r="AF237" s="96"/>
      <c r="AG237" s="1"/>
      <c r="AI237" s="134"/>
      <c r="AJ237" s="55"/>
      <c r="AK237" s="55"/>
      <c r="AL237" s="55"/>
    </row>
    <row r="238" spans="1:38" hidden="1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21"/>
      <c r="L238" s="24"/>
      <c r="M238" s="6"/>
      <c r="N238" s="7"/>
      <c r="O238" s="7"/>
      <c r="P238" s="7"/>
      <c r="Q238" s="25"/>
      <c r="R238" s="25"/>
      <c r="S238" s="37"/>
      <c r="T238" s="52"/>
      <c r="U238" s="163"/>
      <c r="V238" s="106"/>
      <c r="W238" s="54"/>
      <c r="X238" s="168"/>
      <c r="Y238" s="69"/>
      <c r="Z238" s="69"/>
      <c r="AA238" s="69"/>
      <c r="AB238" s="66"/>
      <c r="AC238" s="62"/>
      <c r="AD238" s="63"/>
      <c r="AE238" s="99"/>
      <c r="AF238" s="96"/>
      <c r="AG238" s="1"/>
      <c r="AI238" s="134"/>
      <c r="AJ238" s="55"/>
      <c r="AK238" s="55"/>
      <c r="AL238" s="55"/>
    </row>
    <row r="239" spans="1:38" hidden="1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21"/>
      <c r="L239" s="24"/>
      <c r="M239" s="6"/>
      <c r="N239" s="7"/>
      <c r="O239" s="7"/>
      <c r="P239" s="7"/>
      <c r="Q239" s="25"/>
      <c r="R239" s="25"/>
      <c r="S239" s="37"/>
      <c r="T239" s="52"/>
      <c r="U239" s="163"/>
      <c r="V239" s="106"/>
      <c r="W239" s="54"/>
      <c r="X239" s="168"/>
      <c r="Y239" s="69"/>
      <c r="Z239" s="69"/>
      <c r="AA239" s="69"/>
      <c r="AB239" s="66"/>
      <c r="AC239" s="62"/>
      <c r="AD239" s="63"/>
      <c r="AE239" s="99"/>
      <c r="AF239" s="96"/>
      <c r="AG239" s="1"/>
      <c r="AI239" s="134"/>
      <c r="AJ239" s="55"/>
      <c r="AK239" s="55"/>
      <c r="AL239" s="55"/>
    </row>
    <row r="240" spans="1:38" hidden="1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21"/>
      <c r="L240" s="24"/>
      <c r="M240" s="6"/>
      <c r="N240" s="7"/>
      <c r="O240" s="7"/>
      <c r="P240" s="7"/>
      <c r="Q240" s="25"/>
      <c r="R240" s="25"/>
      <c r="S240" s="37"/>
      <c r="T240" s="52"/>
      <c r="U240" s="163"/>
      <c r="V240" s="106"/>
      <c r="W240" s="54"/>
      <c r="X240" s="168"/>
      <c r="Y240" s="69"/>
      <c r="Z240" s="69"/>
      <c r="AA240" s="69"/>
      <c r="AB240" s="66"/>
      <c r="AC240" s="62"/>
      <c r="AD240" s="63"/>
      <c r="AE240" s="99"/>
      <c r="AF240" s="96"/>
      <c r="AG240" s="1"/>
      <c r="AI240" s="134"/>
      <c r="AJ240" s="55"/>
      <c r="AK240" s="55"/>
      <c r="AL240" s="55"/>
    </row>
    <row r="241" spans="1:38" hidden="1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21"/>
      <c r="L241" s="24"/>
      <c r="M241" s="6"/>
      <c r="N241" s="7"/>
      <c r="O241" s="7"/>
      <c r="P241" s="7"/>
      <c r="Q241" s="25"/>
      <c r="R241" s="25"/>
      <c r="S241" s="37"/>
      <c r="T241" s="52"/>
      <c r="U241" s="163"/>
      <c r="V241" s="106"/>
      <c r="W241" s="54"/>
      <c r="X241" s="168"/>
      <c r="Y241" s="69"/>
      <c r="Z241" s="69"/>
      <c r="AA241" s="69"/>
      <c r="AB241" s="66"/>
      <c r="AC241" s="62"/>
      <c r="AD241" s="63"/>
      <c r="AE241" s="99"/>
      <c r="AF241" s="96"/>
      <c r="AG241" s="1"/>
      <c r="AI241" s="134"/>
      <c r="AJ241" s="55"/>
      <c r="AK241" s="55"/>
      <c r="AL241" s="55"/>
    </row>
    <row r="242" spans="1:38" hidden="1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21"/>
      <c r="L242" s="24"/>
      <c r="M242" s="6"/>
      <c r="N242" s="7"/>
      <c r="O242" s="7"/>
      <c r="P242" s="7"/>
      <c r="Q242" s="25"/>
      <c r="R242" s="25"/>
      <c r="S242" s="37"/>
      <c r="T242" s="52"/>
      <c r="U242" s="163"/>
      <c r="V242" s="106"/>
      <c r="W242" s="54"/>
      <c r="X242" s="168"/>
      <c r="Y242" s="69"/>
      <c r="Z242" s="69"/>
      <c r="AA242" s="69"/>
      <c r="AB242" s="66"/>
      <c r="AC242" s="62"/>
      <c r="AD242" s="63"/>
      <c r="AE242" s="99"/>
      <c r="AF242" s="96"/>
      <c r="AG242" s="1"/>
      <c r="AI242" s="134"/>
      <c r="AJ242" s="55"/>
      <c r="AK242" s="55"/>
      <c r="AL242" s="55"/>
    </row>
    <row r="243" spans="1:38" hidden="1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21"/>
      <c r="L243" s="24"/>
      <c r="M243" s="6"/>
      <c r="N243" s="7"/>
      <c r="O243" s="7"/>
      <c r="P243" s="7"/>
      <c r="Q243" s="25"/>
      <c r="R243" s="25"/>
      <c r="S243" s="37"/>
      <c r="T243" s="52"/>
      <c r="U243" s="163"/>
      <c r="V243" s="106"/>
      <c r="W243" s="54"/>
      <c r="X243" s="168"/>
      <c r="Y243" s="69"/>
      <c r="Z243" s="69"/>
      <c r="AA243" s="69"/>
      <c r="AB243" s="66"/>
      <c r="AC243" s="62"/>
      <c r="AD243" s="63"/>
      <c r="AE243" s="99"/>
      <c r="AF243" s="96"/>
      <c r="AG243" s="1"/>
      <c r="AI243" s="134"/>
      <c r="AJ243" s="55"/>
      <c r="AK243" s="55"/>
      <c r="AL243" s="55"/>
    </row>
    <row r="244" spans="1:38" hidden="1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21"/>
      <c r="L244" s="24"/>
      <c r="M244" s="6"/>
      <c r="N244" s="7"/>
      <c r="O244" s="7"/>
      <c r="P244" s="7"/>
      <c r="Q244" s="25"/>
      <c r="R244" s="25"/>
      <c r="S244" s="37"/>
      <c r="T244" s="52"/>
      <c r="U244" s="163"/>
      <c r="V244" s="106"/>
      <c r="W244" s="54"/>
      <c r="X244" s="168"/>
      <c r="Y244" s="69"/>
      <c r="Z244" s="69"/>
      <c r="AA244" s="69"/>
      <c r="AB244" s="66"/>
      <c r="AC244" s="62"/>
      <c r="AD244" s="63"/>
      <c r="AE244" s="99"/>
      <c r="AF244" s="96"/>
      <c r="AG244" s="1"/>
      <c r="AI244" s="134"/>
      <c r="AJ244" s="55"/>
      <c r="AK244" s="55"/>
      <c r="AL244" s="55"/>
    </row>
    <row r="245" spans="1:38" hidden="1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21"/>
      <c r="L245" s="24"/>
      <c r="M245" s="6"/>
      <c r="N245" s="7"/>
      <c r="O245" s="7"/>
      <c r="P245" s="7"/>
      <c r="Q245" s="25"/>
      <c r="R245" s="25"/>
      <c r="S245" s="37"/>
      <c r="T245" s="52"/>
      <c r="U245" s="163"/>
      <c r="V245" s="106"/>
      <c r="W245" s="54"/>
      <c r="X245" s="168"/>
      <c r="Y245" s="69"/>
      <c r="Z245" s="69"/>
      <c r="AA245" s="69"/>
      <c r="AB245" s="66"/>
      <c r="AC245" s="62"/>
      <c r="AD245" s="63"/>
      <c r="AE245" s="99"/>
      <c r="AF245" s="96"/>
      <c r="AG245" s="1"/>
      <c r="AI245" s="134"/>
      <c r="AJ245" s="55"/>
      <c r="AK245" s="55"/>
      <c r="AL245" s="55"/>
    </row>
    <row r="246" spans="1:38" hidden="1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21"/>
      <c r="L246" s="24"/>
      <c r="M246" s="6"/>
      <c r="N246" s="7"/>
      <c r="O246" s="7"/>
      <c r="P246" s="7"/>
      <c r="Q246" s="25"/>
      <c r="R246" s="25"/>
      <c r="S246" s="37"/>
      <c r="T246" s="52"/>
      <c r="U246" s="163"/>
      <c r="V246" s="106"/>
      <c r="W246" s="54"/>
      <c r="X246" s="168"/>
      <c r="Y246" s="69"/>
      <c r="Z246" s="69"/>
      <c r="AA246" s="69"/>
      <c r="AB246" s="66"/>
      <c r="AC246" s="62"/>
      <c r="AD246" s="63"/>
      <c r="AE246" s="99"/>
      <c r="AF246" s="96"/>
      <c r="AG246" s="1"/>
      <c r="AI246" s="134"/>
      <c r="AJ246" s="55"/>
      <c r="AK246" s="55"/>
      <c r="AL246" s="55"/>
    </row>
    <row r="247" spans="1:38" hidden="1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21"/>
      <c r="L247" s="24"/>
      <c r="M247" s="6"/>
      <c r="N247" s="7"/>
      <c r="O247" s="7"/>
      <c r="P247" s="7"/>
      <c r="Q247" s="25"/>
      <c r="R247" s="25"/>
      <c r="S247" s="37"/>
      <c r="T247" s="52"/>
      <c r="U247" s="163"/>
      <c r="V247" s="106"/>
      <c r="W247" s="54"/>
      <c r="X247" s="168"/>
      <c r="Y247" s="69"/>
      <c r="Z247" s="69"/>
      <c r="AA247" s="69"/>
      <c r="AB247" s="66"/>
      <c r="AC247" s="62"/>
      <c r="AD247" s="63"/>
      <c r="AE247" s="99"/>
      <c r="AF247" s="96"/>
      <c r="AG247" s="1"/>
      <c r="AI247" s="134"/>
      <c r="AJ247" s="55"/>
      <c r="AK247" s="55"/>
      <c r="AL247" s="55"/>
    </row>
    <row r="248" spans="1:38" hidden="1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21"/>
      <c r="L248" s="24"/>
      <c r="M248" s="6"/>
      <c r="N248" s="7"/>
      <c r="O248" s="7"/>
      <c r="P248" s="7"/>
      <c r="Q248" s="25"/>
      <c r="R248" s="25"/>
      <c r="S248" s="37"/>
      <c r="T248" s="52"/>
      <c r="U248" s="163"/>
      <c r="V248" s="106"/>
      <c r="W248" s="54"/>
      <c r="X248" s="168"/>
      <c r="Y248" s="69"/>
      <c r="Z248" s="69"/>
      <c r="AA248" s="69"/>
      <c r="AB248" s="66"/>
      <c r="AC248" s="62"/>
      <c r="AD248" s="63"/>
      <c r="AE248" s="99"/>
      <c r="AF248" s="96"/>
      <c r="AG248" s="1"/>
      <c r="AI248" s="134"/>
      <c r="AJ248" s="55"/>
      <c r="AK248" s="55"/>
      <c r="AL248" s="55"/>
    </row>
    <row r="249" spans="1:38" hidden="1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21"/>
      <c r="L249" s="24"/>
      <c r="M249" s="6"/>
      <c r="N249" s="7"/>
      <c r="O249" s="7"/>
      <c r="P249" s="7"/>
      <c r="Q249" s="25"/>
      <c r="R249" s="25"/>
      <c r="S249" s="37"/>
      <c r="T249" s="52"/>
      <c r="U249" s="163"/>
      <c r="V249" s="106"/>
      <c r="W249" s="54"/>
      <c r="X249" s="168"/>
      <c r="Y249" s="69"/>
      <c r="Z249" s="69"/>
      <c r="AA249" s="69"/>
      <c r="AB249" s="66"/>
      <c r="AC249" s="62"/>
      <c r="AD249" s="63"/>
      <c r="AE249" s="99"/>
      <c r="AF249" s="96"/>
      <c r="AG249" s="1"/>
      <c r="AI249" s="134"/>
      <c r="AJ249" s="55"/>
      <c r="AK249" s="55"/>
      <c r="AL249" s="55"/>
    </row>
    <row r="250" spans="1:38" hidden="1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21"/>
      <c r="L250" s="24"/>
      <c r="M250" s="6"/>
      <c r="N250" s="7"/>
      <c r="O250" s="7"/>
      <c r="P250" s="7"/>
      <c r="Q250" s="25"/>
      <c r="R250" s="25"/>
      <c r="S250" s="37"/>
      <c r="T250" s="52"/>
      <c r="U250" s="163"/>
      <c r="V250" s="106"/>
      <c r="W250" s="54"/>
      <c r="X250" s="168"/>
      <c r="Y250" s="69"/>
      <c r="Z250" s="69"/>
      <c r="AA250" s="69"/>
      <c r="AB250" s="66"/>
      <c r="AC250" s="62"/>
      <c r="AD250" s="63"/>
      <c r="AE250" s="99"/>
      <c r="AF250" s="96"/>
      <c r="AG250" s="1"/>
      <c r="AI250" s="134"/>
      <c r="AJ250" s="55"/>
      <c r="AK250" s="55"/>
      <c r="AL250" s="55"/>
    </row>
    <row r="251" spans="1:38" hidden="1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21"/>
      <c r="L251" s="24"/>
      <c r="M251" s="6"/>
      <c r="N251" s="7"/>
      <c r="O251" s="7"/>
      <c r="P251" s="7"/>
      <c r="Q251" s="25"/>
      <c r="R251" s="25"/>
      <c r="S251" s="37"/>
      <c r="T251" s="52"/>
      <c r="U251" s="163"/>
      <c r="V251" s="106"/>
      <c r="W251" s="54"/>
      <c r="X251" s="168"/>
      <c r="Y251" s="69"/>
      <c r="Z251" s="69"/>
      <c r="AA251" s="69"/>
      <c r="AB251" s="66"/>
      <c r="AC251" s="62"/>
      <c r="AD251" s="63"/>
      <c r="AE251" s="99"/>
      <c r="AF251" s="96"/>
      <c r="AG251" s="1"/>
      <c r="AI251" s="134"/>
      <c r="AJ251" s="55"/>
      <c r="AK251" s="55"/>
      <c r="AL251" s="55"/>
    </row>
    <row r="252" spans="1:38" hidden="1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21"/>
      <c r="L252" s="24"/>
      <c r="M252" s="6"/>
      <c r="N252" s="7"/>
      <c r="O252" s="7"/>
      <c r="P252" s="7"/>
      <c r="Q252" s="25"/>
      <c r="R252" s="25"/>
      <c r="S252" s="37"/>
      <c r="T252" s="52"/>
      <c r="U252" s="163"/>
      <c r="V252" s="106"/>
      <c r="W252" s="54"/>
      <c r="X252" s="168"/>
      <c r="Y252" s="69"/>
      <c r="Z252" s="69"/>
      <c r="AA252" s="69"/>
      <c r="AB252" s="66"/>
      <c r="AC252" s="62"/>
      <c r="AD252" s="63"/>
      <c r="AE252" s="99"/>
      <c r="AF252" s="96"/>
      <c r="AG252" s="1"/>
      <c r="AI252" s="134"/>
      <c r="AJ252" s="55"/>
      <c r="AK252" s="55"/>
      <c r="AL252" s="55"/>
    </row>
    <row r="253" spans="1:38" hidden="1" x14ac:dyDescent="0.25">
      <c r="A253" s="39"/>
      <c r="B253" s="7"/>
      <c r="C253" s="24"/>
      <c r="D253" s="24"/>
      <c r="E253" s="15"/>
      <c r="F253" s="15"/>
      <c r="G253" s="7"/>
      <c r="H253" s="15"/>
      <c r="I253" s="15"/>
      <c r="J253" s="7"/>
      <c r="K253" s="121"/>
      <c r="L253" s="24"/>
      <c r="M253" s="6"/>
      <c r="N253" s="7"/>
      <c r="O253" s="7"/>
      <c r="P253" s="7"/>
      <c r="Q253" s="25"/>
      <c r="R253" s="25"/>
      <c r="S253" s="37"/>
      <c r="T253" s="52"/>
      <c r="U253" s="163"/>
      <c r="V253" s="106"/>
      <c r="W253" s="54"/>
      <c r="X253" s="168"/>
      <c r="Y253" s="69"/>
      <c r="Z253" s="69"/>
      <c r="AA253" s="69"/>
      <c r="AB253" s="66"/>
      <c r="AC253" s="62"/>
      <c r="AD253" s="63"/>
      <c r="AE253" s="99"/>
      <c r="AF253" s="96"/>
      <c r="AG253" s="1"/>
      <c r="AI253" s="134"/>
      <c r="AJ253" s="55"/>
      <c r="AK253" s="55"/>
      <c r="AL253" s="55"/>
    </row>
    <row r="254" spans="1:38" hidden="1" x14ac:dyDescent="0.25">
      <c r="A254" s="39"/>
      <c r="B254" s="7"/>
      <c r="C254" s="24"/>
      <c r="D254" s="24"/>
      <c r="E254" s="15"/>
      <c r="F254" s="15"/>
      <c r="G254" s="7"/>
      <c r="H254" s="15"/>
      <c r="I254" s="15"/>
      <c r="J254" s="7"/>
      <c r="K254" s="121"/>
      <c r="L254" s="24"/>
      <c r="M254" s="6"/>
      <c r="N254" s="7"/>
      <c r="O254" s="7"/>
      <c r="P254" s="7"/>
      <c r="Q254" s="25"/>
      <c r="R254" s="25"/>
      <c r="S254" s="37"/>
      <c r="T254" s="52"/>
      <c r="U254" s="163"/>
      <c r="V254" s="106"/>
      <c r="W254" s="54"/>
      <c r="X254" s="168"/>
      <c r="Y254" s="69"/>
      <c r="Z254" s="69"/>
      <c r="AA254" s="69"/>
      <c r="AB254" s="66"/>
      <c r="AC254" s="62"/>
      <c r="AD254" s="63"/>
      <c r="AE254" s="99"/>
      <c r="AF254" s="96"/>
      <c r="AG254" s="1"/>
      <c r="AI254" s="134"/>
      <c r="AJ254" s="55"/>
      <c r="AK254" s="55"/>
      <c r="AL254" s="55"/>
    </row>
    <row r="255" spans="1:38" hidden="1" x14ac:dyDescent="0.25">
      <c r="A255" s="39"/>
      <c r="B255" s="7"/>
      <c r="C255" s="24"/>
      <c r="D255" s="24"/>
      <c r="E255" s="15"/>
      <c r="F255" s="15"/>
      <c r="G255" s="7"/>
      <c r="H255" s="15"/>
      <c r="I255" s="15"/>
      <c r="J255" s="7"/>
      <c r="K255" s="121"/>
      <c r="L255" s="24"/>
      <c r="M255" s="6"/>
      <c r="N255" s="7"/>
      <c r="O255" s="7"/>
      <c r="P255" s="7"/>
      <c r="Q255" s="25"/>
      <c r="R255" s="25"/>
      <c r="S255" s="37"/>
      <c r="T255" s="52"/>
      <c r="U255" s="163"/>
      <c r="V255" s="106"/>
      <c r="W255" s="54"/>
      <c r="X255" s="168"/>
      <c r="Y255" s="69"/>
      <c r="Z255" s="69"/>
      <c r="AA255" s="69"/>
      <c r="AB255" s="66"/>
      <c r="AC255" s="62"/>
      <c r="AD255" s="63"/>
      <c r="AE255" s="99"/>
      <c r="AF255" s="96"/>
      <c r="AG255" s="1"/>
      <c r="AI255" s="134"/>
      <c r="AJ255" s="55"/>
      <c r="AK255" s="55"/>
      <c r="AL255" s="55"/>
    </row>
    <row r="256" spans="1:38" hidden="1" x14ac:dyDescent="0.25">
      <c r="A256" s="39"/>
      <c r="B256" s="7"/>
      <c r="C256" s="24"/>
      <c r="D256" s="24"/>
      <c r="E256" s="15"/>
      <c r="F256" s="15"/>
      <c r="G256" s="7"/>
      <c r="H256" s="15"/>
      <c r="I256" s="15"/>
      <c r="J256" s="7"/>
      <c r="K256" s="121"/>
      <c r="L256" s="24"/>
      <c r="M256" s="6"/>
      <c r="N256" s="7"/>
      <c r="O256" s="7"/>
      <c r="P256" s="7"/>
      <c r="Q256" s="25"/>
      <c r="R256" s="25"/>
      <c r="S256" s="37"/>
      <c r="T256" s="52"/>
      <c r="U256" s="163"/>
      <c r="V256" s="106"/>
      <c r="W256" s="54"/>
      <c r="X256" s="168"/>
      <c r="Y256" s="69"/>
      <c r="Z256" s="69"/>
      <c r="AA256" s="69"/>
      <c r="AB256" s="66"/>
      <c r="AC256" s="62"/>
      <c r="AD256" s="63"/>
      <c r="AE256" s="99"/>
      <c r="AF256" s="96"/>
      <c r="AG256" s="1"/>
      <c r="AI256" s="134"/>
      <c r="AJ256" s="55"/>
      <c r="AK256" s="55"/>
      <c r="AL256" s="55"/>
    </row>
    <row r="257" spans="1:38" hidden="1" x14ac:dyDescent="0.25">
      <c r="A257" s="39"/>
      <c r="B257" s="7"/>
      <c r="C257" s="24"/>
      <c r="D257" s="24"/>
      <c r="E257" s="15"/>
      <c r="F257" s="15"/>
      <c r="G257" s="7"/>
      <c r="H257" s="15"/>
      <c r="I257" s="15"/>
      <c r="J257" s="7"/>
      <c r="K257" s="121"/>
      <c r="L257" s="24"/>
      <c r="M257" s="6"/>
      <c r="N257" s="7"/>
      <c r="O257" s="7"/>
      <c r="P257" s="7"/>
      <c r="Q257" s="25"/>
      <c r="R257" s="25"/>
      <c r="S257" s="37"/>
      <c r="T257" s="52"/>
      <c r="U257" s="163"/>
      <c r="V257" s="106"/>
      <c r="W257" s="54"/>
      <c r="X257" s="168"/>
      <c r="Y257" s="69"/>
      <c r="Z257" s="69"/>
      <c r="AA257" s="69"/>
      <c r="AB257" s="66"/>
      <c r="AC257" s="62"/>
      <c r="AD257" s="63"/>
      <c r="AE257" s="99"/>
      <c r="AF257" s="96"/>
      <c r="AG257" s="1"/>
      <c r="AI257" s="134"/>
      <c r="AJ257" s="55"/>
      <c r="AK257" s="55"/>
      <c r="AL257" s="55"/>
    </row>
    <row r="258" spans="1:38" hidden="1" x14ac:dyDescent="0.25">
      <c r="A258" s="39"/>
      <c r="B258" s="7"/>
      <c r="C258" s="24"/>
      <c r="D258" s="24"/>
      <c r="E258" s="15"/>
      <c r="F258" s="15"/>
      <c r="G258" s="7"/>
      <c r="H258" s="15"/>
      <c r="I258" s="15"/>
      <c r="J258" s="7"/>
      <c r="K258" s="121"/>
      <c r="L258" s="24"/>
      <c r="M258" s="6"/>
      <c r="N258" s="7"/>
      <c r="O258" s="7"/>
      <c r="P258" s="7"/>
      <c r="Q258" s="25"/>
      <c r="R258" s="25"/>
      <c r="S258" s="37"/>
      <c r="T258" s="52"/>
      <c r="U258" s="163"/>
      <c r="V258" s="106"/>
      <c r="W258" s="54"/>
      <c r="X258" s="168"/>
      <c r="Y258" s="69"/>
      <c r="Z258" s="69"/>
      <c r="AA258" s="69"/>
      <c r="AB258" s="66"/>
      <c r="AC258" s="62"/>
      <c r="AD258" s="63"/>
      <c r="AE258" s="99"/>
      <c r="AF258" s="96"/>
      <c r="AG258" s="1"/>
      <c r="AI258" s="134"/>
      <c r="AJ258" s="55"/>
      <c r="AK258" s="55"/>
      <c r="AL258" s="55"/>
    </row>
    <row r="259" spans="1:38" hidden="1" x14ac:dyDescent="0.25">
      <c r="A259" s="39"/>
      <c r="B259" s="7"/>
      <c r="C259" s="24"/>
      <c r="D259" s="24"/>
      <c r="E259" s="15"/>
      <c r="F259" s="15"/>
      <c r="G259" s="7"/>
      <c r="H259" s="15"/>
      <c r="I259" s="15"/>
      <c r="J259" s="7"/>
      <c r="K259" s="121"/>
      <c r="L259" s="24"/>
      <c r="M259" s="6"/>
      <c r="N259" s="7"/>
      <c r="O259" s="7"/>
      <c r="P259" s="7"/>
      <c r="Q259" s="25"/>
      <c r="R259" s="25"/>
      <c r="S259" s="37"/>
      <c r="T259" s="52"/>
      <c r="U259" s="163"/>
      <c r="V259" s="106"/>
      <c r="W259" s="54"/>
      <c r="X259" s="168"/>
      <c r="Y259" s="69"/>
      <c r="Z259" s="69"/>
      <c r="AA259" s="69"/>
      <c r="AB259" s="66"/>
      <c r="AC259" s="62"/>
      <c r="AD259" s="63"/>
      <c r="AE259" s="99"/>
      <c r="AF259" s="96"/>
      <c r="AG259" s="1"/>
      <c r="AI259" s="134"/>
      <c r="AJ259" s="55"/>
      <c r="AK259" s="55"/>
      <c r="AL259" s="55"/>
    </row>
    <row r="260" spans="1:38" hidden="1" x14ac:dyDescent="0.25">
      <c r="A260" s="39"/>
      <c r="B260" s="7"/>
      <c r="C260" s="24"/>
      <c r="D260" s="24"/>
      <c r="E260" s="15"/>
      <c r="F260" s="15"/>
      <c r="G260" s="7"/>
      <c r="H260" s="15"/>
      <c r="I260" s="15"/>
      <c r="J260" s="7"/>
      <c r="K260" s="121"/>
      <c r="L260" s="24"/>
      <c r="M260" s="6"/>
      <c r="N260" s="7"/>
      <c r="O260" s="7"/>
      <c r="P260" s="7"/>
      <c r="Q260" s="25"/>
      <c r="R260" s="25"/>
      <c r="S260" s="37"/>
      <c r="T260" s="52"/>
      <c r="U260" s="163"/>
      <c r="V260" s="106"/>
      <c r="W260" s="54"/>
      <c r="X260" s="168"/>
      <c r="Y260" s="69"/>
      <c r="Z260" s="69"/>
      <c r="AA260" s="69"/>
      <c r="AB260" s="66"/>
      <c r="AC260" s="62"/>
      <c r="AD260" s="63"/>
      <c r="AE260" s="99"/>
      <c r="AF260" s="96"/>
      <c r="AG260" s="1"/>
      <c r="AI260" s="134"/>
      <c r="AJ260" s="55"/>
      <c r="AK260" s="55"/>
      <c r="AL260" s="55"/>
    </row>
    <row r="261" spans="1:38" hidden="1" x14ac:dyDescent="0.25">
      <c r="A261" s="39"/>
      <c r="B261" s="7"/>
      <c r="C261" s="24"/>
      <c r="D261" s="24"/>
      <c r="E261" s="15"/>
      <c r="F261" s="15"/>
      <c r="G261" s="7"/>
      <c r="H261" s="15"/>
      <c r="I261" s="15"/>
      <c r="J261" s="7"/>
      <c r="K261" s="121"/>
      <c r="L261" s="24"/>
      <c r="M261" s="6"/>
      <c r="N261" s="7"/>
      <c r="O261" s="7"/>
      <c r="P261" s="7"/>
      <c r="Q261" s="25"/>
      <c r="R261" s="25"/>
      <c r="S261" s="37"/>
      <c r="T261" s="52"/>
      <c r="U261" s="163"/>
      <c r="V261" s="106"/>
      <c r="W261" s="54"/>
      <c r="X261" s="168"/>
      <c r="Y261" s="69"/>
      <c r="Z261" s="69"/>
      <c r="AA261" s="69"/>
      <c r="AB261" s="66"/>
      <c r="AC261" s="62"/>
      <c r="AD261" s="63"/>
      <c r="AE261" s="99"/>
      <c r="AF261" s="96"/>
      <c r="AG261" s="1"/>
      <c r="AI261" s="134"/>
      <c r="AJ261" s="55"/>
      <c r="AK261" s="55"/>
      <c r="AL261" s="55"/>
    </row>
    <row r="262" spans="1:38" hidden="1" x14ac:dyDescent="0.25">
      <c r="A262" s="39"/>
      <c r="B262" s="7"/>
      <c r="C262" s="24"/>
      <c r="D262" s="24"/>
      <c r="E262" s="15"/>
      <c r="F262" s="15"/>
      <c r="G262" s="7"/>
      <c r="H262" s="15"/>
      <c r="I262" s="15"/>
      <c r="J262" s="7"/>
      <c r="K262" s="121"/>
      <c r="L262" s="24"/>
      <c r="M262" s="6"/>
      <c r="N262" s="7"/>
      <c r="O262" s="7"/>
      <c r="P262" s="7"/>
      <c r="Q262" s="25"/>
      <c r="R262" s="25"/>
      <c r="S262" s="37"/>
      <c r="T262" s="52"/>
      <c r="U262" s="163"/>
      <c r="V262" s="106"/>
      <c r="W262" s="54"/>
      <c r="X262" s="168"/>
      <c r="Y262" s="69"/>
      <c r="Z262" s="69"/>
      <c r="AA262" s="69"/>
      <c r="AB262" s="66"/>
      <c r="AC262" s="62"/>
      <c r="AD262" s="63"/>
      <c r="AE262" s="99"/>
      <c r="AF262" s="96"/>
      <c r="AG262" s="1"/>
      <c r="AI262" s="134"/>
      <c r="AJ262" s="55"/>
      <c r="AK262" s="55"/>
      <c r="AL262" s="55"/>
    </row>
    <row r="263" spans="1:38" hidden="1" x14ac:dyDescent="0.25">
      <c r="A263" s="39"/>
      <c r="B263" s="7"/>
      <c r="C263" s="24"/>
      <c r="D263" s="24"/>
      <c r="E263" s="15"/>
      <c r="F263" s="15"/>
      <c r="G263" s="7"/>
      <c r="H263" s="15"/>
      <c r="I263" s="15"/>
      <c r="J263" s="7"/>
      <c r="K263" s="121"/>
      <c r="L263" s="24"/>
      <c r="M263" s="6"/>
      <c r="N263" s="7"/>
      <c r="O263" s="7"/>
      <c r="P263" s="7"/>
      <c r="Q263" s="25"/>
      <c r="R263" s="25"/>
      <c r="S263" s="37"/>
      <c r="T263" s="52"/>
      <c r="U263" s="163"/>
      <c r="V263" s="106"/>
      <c r="W263" s="54"/>
      <c r="X263" s="168"/>
      <c r="Y263" s="69"/>
      <c r="Z263" s="69"/>
      <c r="AA263" s="69"/>
      <c r="AB263" s="66"/>
      <c r="AC263" s="62"/>
      <c r="AD263" s="63"/>
      <c r="AE263" s="99"/>
      <c r="AF263" s="96"/>
      <c r="AG263" s="1"/>
      <c r="AI263" s="134"/>
      <c r="AJ263" s="55"/>
      <c r="AK263" s="55"/>
      <c r="AL263" s="55"/>
    </row>
    <row r="264" spans="1:38" hidden="1" x14ac:dyDescent="0.25">
      <c r="A264" s="39"/>
      <c r="B264" s="7"/>
      <c r="C264" s="24"/>
      <c r="D264" s="24"/>
      <c r="E264" s="15"/>
      <c r="F264" s="15"/>
      <c r="G264" s="7"/>
      <c r="H264" s="15"/>
      <c r="I264" s="15"/>
      <c r="J264" s="7"/>
      <c r="K264" s="121"/>
      <c r="L264" s="24"/>
      <c r="M264" s="6"/>
      <c r="N264" s="7"/>
      <c r="O264" s="7"/>
      <c r="P264" s="7"/>
      <c r="Q264" s="25"/>
      <c r="R264" s="25"/>
      <c r="S264" s="37"/>
      <c r="T264" s="52"/>
      <c r="U264" s="163"/>
      <c r="V264" s="106"/>
      <c r="W264" s="54"/>
      <c r="X264" s="168"/>
      <c r="Y264" s="69"/>
      <c r="Z264" s="69"/>
      <c r="AA264" s="69"/>
      <c r="AB264" s="66"/>
      <c r="AC264" s="62"/>
      <c r="AD264" s="63"/>
      <c r="AE264" s="99"/>
      <c r="AF264" s="96"/>
      <c r="AG264" s="1"/>
      <c r="AI264" s="134"/>
      <c r="AJ264" s="55"/>
      <c r="AK264" s="55"/>
      <c r="AL264" s="55"/>
    </row>
    <row r="265" spans="1:38" hidden="1" x14ac:dyDescent="0.25">
      <c r="A265" s="39"/>
      <c r="B265" s="7"/>
      <c r="C265" s="24"/>
      <c r="D265" s="24"/>
      <c r="E265" s="15"/>
      <c r="F265" s="15"/>
      <c r="G265" s="7"/>
      <c r="H265" s="15"/>
      <c r="I265" s="15"/>
      <c r="J265" s="7"/>
      <c r="K265" s="121"/>
      <c r="L265" s="24"/>
      <c r="M265" s="6"/>
      <c r="N265" s="7"/>
      <c r="O265" s="7"/>
      <c r="P265" s="7"/>
      <c r="Q265" s="25"/>
      <c r="R265" s="25"/>
      <c r="S265" s="37"/>
      <c r="T265" s="52"/>
      <c r="U265" s="163"/>
      <c r="V265" s="106"/>
      <c r="W265" s="54"/>
      <c r="X265" s="168"/>
      <c r="Y265" s="69"/>
      <c r="Z265" s="69"/>
      <c r="AA265" s="69"/>
      <c r="AB265" s="66"/>
      <c r="AC265" s="62"/>
      <c r="AD265" s="63"/>
      <c r="AE265" s="99"/>
      <c r="AF265" s="96"/>
      <c r="AG265" s="1"/>
      <c r="AI265" s="134"/>
      <c r="AJ265" s="55"/>
      <c r="AK265" s="55"/>
      <c r="AL265" s="55"/>
    </row>
    <row r="266" spans="1:38" hidden="1" x14ac:dyDescent="0.25">
      <c r="A266" s="39"/>
      <c r="B266" s="7"/>
      <c r="C266" s="24"/>
      <c r="D266" s="24"/>
      <c r="E266" s="15"/>
      <c r="F266" s="15"/>
      <c r="G266" s="7"/>
      <c r="H266" s="15"/>
      <c r="I266" s="15"/>
      <c r="J266" s="7"/>
      <c r="K266" s="121"/>
      <c r="L266" s="24"/>
      <c r="M266" s="6"/>
      <c r="N266" s="7"/>
      <c r="O266" s="7"/>
      <c r="P266" s="7"/>
      <c r="Q266" s="25"/>
      <c r="R266" s="25"/>
      <c r="S266" s="37"/>
      <c r="T266" s="52"/>
      <c r="U266" s="163"/>
      <c r="V266" s="106"/>
      <c r="W266" s="54"/>
      <c r="X266" s="168"/>
      <c r="Y266" s="69"/>
      <c r="Z266" s="69"/>
      <c r="AA266" s="69"/>
      <c r="AB266" s="66"/>
      <c r="AC266" s="62"/>
      <c r="AD266" s="63"/>
      <c r="AE266" s="99"/>
      <c r="AF266" s="96"/>
      <c r="AG266" s="1"/>
      <c r="AI266" s="134"/>
      <c r="AJ266" s="55"/>
      <c r="AK266" s="55"/>
      <c r="AL266" s="55"/>
    </row>
    <row r="267" spans="1:38" hidden="1" x14ac:dyDescent="0.25">
      <c r="A267" s="39"/>
      <c r="B267" s="7"/>
      <c r="C267" s="24"/>
      <c r="D267" s="24"/>
      <c r="E267" s="15"/>
      <c r="F267" s="15"/>
      <c r="G267" s="7"/>
      <c r="H267" s="15"/>
      <c r="I267" s="15"/>
      <c r="J267" s="7"/>
      <c r="K267" s="121"/>
      <c r="L267" s="24"/>
      <c r="M267" s="6"/>
      <c r="N267" s="7"/>
      <c r="O267" s="7"/>
      <c r="P267" s="7"/>
      <c r="Q267" s="25"/>
      <c r="R267" s="25"/>
      <c r="S267" s="37"/>
      <c r="T267" s="52"/>
      <c r="U267" s="163"/>
      <c r="V267" s="106"/>
      <c r="W267" s="54"/>
      <c r="X267" s="168"/>
      <c r="Y267" s="69"/>
      <c r="Z267" s="69"/>
      <c r="AA267" s="69"/>
      <c r="AB267" s="66"/>
      <c r="AC267" s="62"/>
      <c r="AD267" s="63"/>
      <c r="AE267" s="99"/>
      <c r="AF267" s="96"/>
      <c r="AG267" s="1"/>
      <c r="AI267" s="134"/>
      <c r="AJ267" s="55"/>
      <c r="AK267" s="55"/>
      <c r="AL267" s="55"/>
    </row>
    <row r="268" spans="1:38" hidden="1" x14ac:dyDescent="0.25">
      <c r="A268" s="39"/>
      <c r="B268" s="7"/>
      <c r="C268" s="24"/>
      <c r="D268" s="24"/>
      <c r="E268" s="15"/>
      <c r="F268" s="15"/>
      <c r="G268" s="7"/>
      <c r="H268" s="15"/>
      <c r="I268" s="15"/>
      <c r="J268" s="7"/>
      <c r="K268" s="121"/>
      <c r="L268" s="24"/>
      <c r="M268" s="6"/>
      <c r="N268" s="7"/>
      <c r="O268" s="7"/>
      <c r="P268" s="7"/>
      <c r="Q268" s="25"/>
      <c r="R268" s="25"/>
      <c r="S268" s="37"/>
      <c r="T268" s="52"/>
      <c r="U268" s="163"/>
      <c r="V268" s="106"/>
      <c r="W268" s="54"/>
      <c r="X268" s="168"/>
      <c r="Y268" s="69"/>
      <c r="Z268" s="69"/>
      <c r="AA268" s="69"/>
      <c r="AB268" s="66"/>
      <c r="AC268" s="62"/>
      <c r="AD268" s="63"/>
      <c r="AE268" s="99"/>
      <c r="AF268" s="96"/>
      <c r="AG268" s="1"/>
      <c r="AI268" s="134"/>
      <c r="AJ268" s="55"/>
      <c r="AK268" s="55"/>
      <c r="AL268" s="55"/>
    </row>
    <row r="269" spans="1:38" hidden="1" x14ac:dyDescent="0.25">
      <c r="A269" s="39"/>
      <c r="B269" s="7"/>
      <c r="C269" s="24"/>
      <c r="D269" s="24"/>
      <c r="E269" s="15"/>
      <c r="F269" s="15"/>
      <c r="G269" s="7"/>
      <c r="H269" s="15"/>
      <c r="I269" s="15"/>
      <c r="J269" s="7"/>
      <c r="K269" s="121"/>
      <c r="L269" s="24"/>
      <c r="M269" s="6"/>
      <c r="N269" s="7"/>
      <c r="O269" s="7"/>
      <c r="P269" s="7"/>
      <c r="Q269" s="25"/>
      <c r="R269" s="25"/>
      <c r="S269" s="37"/>
      <c r="T269" s="52"/>
      <c r="U269" s="163"/>
      <c r="V269" s="106"/>
      <c r="W269" s="54"/>
      <c r="X269" s="168"/>
      <c r="Y269" s="69"/>
      <c r="Z269" s="69"/>
      <c r="AA269" s="69"/>
      <c r="AB269" s="66"/>
      <c r="AC269" s="62"/>
      <c r="AD269" s="63"/>
      <c r="AE269" s="99"/>
      <c r="AF269" s="96"/>
      <c r="AG269" s="1"/>
      <c r="AI269" s="134"/>
      <c r="AJ269" s="55"/>
      <c r="AK269" s="55"/>
      <c r="AL269" s="55"/>
    </row>
    <row r="270" spans="1:38" hidden="1" x14ac:dyDescent="0.25">
      <c r="A270" s="39"/>
      <c r="B270" s="7"/>
      <c r="C270" s="24"/>
      <c r="D270" s="24"/>
      <c r="E270" s="15"/>
      <c r="F270" s="15"/>
      <c r="G270" s="7"/>
      <c r="H270" s="15"/>
      <c r="I270" s="15"/>
      <c r="J270" s="7"/>
      <c r="K270" s="121"/>
      <c r="L270" s="24"/>
      <c r="M270" s="6"/>
      <c r="N270" s="7"/>
      <c r="O270" s="7"/>
      <c r="P270" s="7"/>
      <c r="Q270" s="25"/>
      <c r="R270" s="25"/>
      <c r="S270" s="37"/>
      <c r="T270" s="52"/>
      <c r="U270" s="163"/>
      <c r="V270" s="106"/>
      <c r="W270" s="54"/>
      <c r="X270" s="168"/>
      <c r="Y270" s="69"/>
      <c r="Z270" s="69"/>
      <c r="AA270" s="69"/>
      <c r="AB270" s="66"/>
      <c r="AC270" s="62"/>
      <c r="AD270" s="63"/>
      <c r="AE270" s="99"/>
      <c r="AF270" s="96"/>
      <c r="AG270" s="1"/>
      <c r="AI270" s="134"/>
      <c r="AJ270" s="55"/>
      <c r="AK270" s="55"/>
      <c r="AL270" s="55"/>
    </row>
  </sheetData>
  <autoFilter ref="A12:AG270">
    <filterColumn colId="1">
      <filters>
        <filter val="4028"/>
      </filters>
    </filterColumn>
  </autoFilter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9" priority="283" operator="equal">
      <formula>"Y"</formula>
    </cfRule>
  </conditionalFormatting>
  <conditionalFormatting sqref="X13:X1048576">
    <cfRule type="cellIs" dxfId="8" priority="266" operator="greaterThan">
      <formula>1</formula>
    </cfRule>
  </conditionalFormatting>
  <conditionalFormatting sqref="X12:X1048576">
    <cfRule type="cellIs" dxfId="7" priority="263" operator="equal">
      <formula>0</formula>
    </cfRule>
  </conditionalFormatting>
  <conditionalFormatting sqref="A13:S270">
    <cfRule type="expression" dxfId="6" priority="259">
      <formula>$O13&gt;0</formula>
    </cfRule>
  </conditionalFormatting>
  <conditionalFormatting sqref="A13:S270">
    <cfRule type="expression" dxfId="5" priority="258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3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57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A222:S270 S13:S221 A13:Q221</xm:sqref>
        </x14:conditionalFormatting>
        <x14:conditionalFormatting xmlns:xm="http://schemas.microsoft.com/office/excel/2006/main">
          <x14:cfRule type="expression" priority="22" id="{D6615568-1DBD-4E1C-8A52-5CCBB5015DB9}">
            <xm:f>IF($AG13="EC",$N13&gt;'[Train Runs and Enforcements 2016-09-09.xlsm]Variables'!#REF!,$N13&gt;'[Train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R13:R221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AK13:AK270</xm:sqref>
        </x14:dataValidation>
        <x14:dataValidation type="list" allowBlank="1" showInputMessage="1" showErrorMessage="1">
          <x14:formula1>
            <xm:f>'Redmine List Values'!$C$2:$C$13</xm:f>
          </x14:formula1>
          <xm:sqref>AL13:AL270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72"/>
  <sheetViews>
    <sheetView topLeftCell="B2" workbookViewId="0">
      <selection activeCell="N17" sqref="N17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21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61" customWidth="1"/>
    <col min="16" max="16" width="30.7109375" customWidth="1"/>
    <col min="17" max="17" width="5" hidden="1" customWidth="1"/>
    <col min="18" max="18" width="5.5703125" style="97" customWidth="1"/>
    <col min="19" max="19" width="5.5703125" style="109" customWidth="1"/>
    <col min="20" max="20" width="6" style="94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</cols>
  <sheetData>
    <row r="1" spans="1:28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61"/>
      <c r="R1" s="97"/>
      <c r="S1" s="109"/>
      <c r="T1" s="94"/>
      <c r="V1" s="50"/>
    </row>
    <row r="2" spans="1:28" s="23" customFormat="1" x14ac:dyDescent="0.25">
      <c r="A2" s="8"/>
      <c r="F2" s="2"/>
      <c r="G2" s="2"/>
      <c r="H2" s="2"/>
      <c r="I2" s="2"/>
      <c r="K2" s="2"/>
      <c r="L2" s="147" t="s">
        <v>87</v>
      </c>
      <c r="M2" s="151"/>
      <c r="N2" s="122"/>
      <c r="O2" s="171">
        <f>COUNTIF($O$7:$O$401,"=Y")</f>
        <v>1</v>
      </c>
      <c r="P2" s="123"/>
      <c r="R2" s="97"/>
      <c r="S2" s="109"/>
      <c r="T2" s="94"/>
      <c r="V2" s="50"/>
    </row>
    <row r="3" spans="1:28" s="23" customFormat="1" ht="15.75" thickBot="1" x14ac:dyDescent="0.3">
      <c r="A3" s="8"/>
      <c r="F3" s="2"/>
      <c r="G3" s="2"/>
      <c r="H3" s="2"/>
      <c r="I3" s="2"/>
      <c r="K3" s="2"/>
      <c r="L3" s="148" t="s">
        <v>88</v>
      </c>
      <c r="M3" s="152"/>
      <c r="N3" s="124"/>
      <c r="O3" s="172">
        <f>COUNTA($O$7:$O$401)-O2</f>
        <v>52</v>
      </c>
      <c r="P3" s="123"/>
      <c r="R3" s="97"/>
      <c r="S3" s="109"/>
      <c r="T3" s="94"/>
      <c r="V3" s="50"/>
    </row>
    <row r="4" spans="1:28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61"/>
      <c r="R4" s="97"/>
      <c r="S4" s="109"/>
      <c r="T4" s="94"/>
      <c r="V4" s="50"/>
    </row>
    <row r="5" spans="1:28" s="11" customFormat="1" ht="15" customHeight="1" x14ac:dyDescent="0.25">
      <c r="A5" s="175" t="str">
        <f>"Eagle P3 Braking Events - "&amp;TEXT(Variables!$A$2,"YYYY-mm-dd")</f>
        <v>Eagle P3 Braking Events - 2016-09-12</v>
      </c>
      <c r="B5" s="17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2"/>
      <c r="R5" s="107"/>
      <c r="S5" s="110"/>
      <c r="T5" s="112"/>
      <c r="V5" s="51"/>
    </row>
    <row r="6" spans="1:28" s="146" customFormat="1" ht="69.75" customHeight="1" x14ac:dyDescent="0.2">
      <c r="A6" s="135" t="s">
        <v>38</v>
      </c>
      <c r="B6" s="136" t="s">
        <v>37</v>
      </c>
      <c r="C6" s="136" t="s">
        <v>36</v>
      </c>
      <c r="D6" s="136" t="s">
        <v>35</v>
      </c>
      <c r="E6" s="136" t="s">
        <v>34</v>
      </c>
      <c r="F6" s="137" t="s">
        <v>33</v>
      </c>
      <c r="G6" s="137" t="s">
        <v>32</v>
      </c>
      <c r="H6" s="137" t="s">
        <v>31</v>
      </c>
      <c r="I6" s="137" t="s">
        <v>186</v>
      </c>
      <c r="J6" s="136" t="s">
        <v>30</v>
      </c>
      <c r="K6" s="137" t="s">
        <v>29</v>
      </c>
      <c r="L6" s="149" t="s">
        <v>28</v>
      </c>
      <c r="M6" s="137" t="s">
        <v>187</v>
      </c>
      <c r="N6" s="138" t="s">
        <v>47</v>
      </c>
      <c r="O6" s="173" t="s">
        <v>27</v>
      </c>
      <c r="P6" s="136" t="s">
        <v>24</v>
      </c>
      <c r="Q6" s="139"/>
      <c r="R6" s="140" t="s">
        <v>97</v>
      </c>
      <c r="S6" s="141" t="s">
        <v>61</v>
      </c>
      <c r="T6" s="142" t="s">
        <v>96</v>
      </c>
      <c r="U6" s="136" t="s">
        <v>91</v>
      </c>
      <c r="V6" s="143" t="s">
        <v>92</v>
      </c>
      <c r="W6" s="139" t="s">
        <v>104</v>
      </c>
      <c r="X6" s="139" t="s">
        <v>105</v>
      </c>
      <c r="Y6" s="144" t="s">
        <v>166</v>
      </c>
      <c r="Z6" s="145" t="s">
        <v>167</v>
      </c>
      <c r="AA6" s="145" t="s">
        <v>139</v>
      </c>
      <c r="AB6" s="145" t="s">
        <v>168</v>
      </c>
    </row>
    <row r="7" spans="1:28" s="1" customFormat="1" x14ac:dyDescent="0.25">
      <c r="A7" s="38">
        <v>42625.224791666667</v>
      </c>
      <c r="B7" s="33" t="s">
        <v>367</v>
      </c>
      <c r="C7" s="33" t="s">
        <v>375</v>
      </c>
      <c r="D7" s="33" t="s">
        <v>49</v>
      </c>
      <c r="E7" s="33" t="s">
        <v>174</v>
      </c>
      <c r="F7" s="49">
        <v>0</v>
      </c>
      <c r="G7" s="49">
        <v>256</v>
      </c>
      <c r="H7" s="49">
        <v>32981</v>
      </c>
      <c r="I7" s="49">
        <v>33208</v>
      </c>
      <c r="J7" s="33" t="s">
        <v>173</v>
      </c>
      <c r="K7" s="49">
        <v>33137</v>
      </c>
      <c r="L7" s="150" t="s">
        <v>52</v>
      </c>
      <c r="M7" s="153">
        <f>CONVERT((I7-K7)/10000,"mi","ft")*IF(L7="Increasing Mileposts (1)",-1,1)</f>
        <v>-37.488</v>
      </c>
      <c r="N7" s="92" t="str">
        <f>VLOOKUP(C7,'Trips&amp;Operators'!$C$1:$E$99999,3,FALSE)</f>
        <v>KILLION</v>
      </c>
      <c r="O7" s="174" t="s">
        <v>86</v>
      </c>
      <c r="P7" s="10" t="s">
        <v>369</v>
      </c>
      <c r="Q7" s="33"/>
      <c r="R7" s="108" t="str">
        <f>VLOOKUP(C7,'Train Runs'!$A$13:$AE$10033,31,0)</f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S7" s="111" t="str">
        <f>VLOOKUP(C7,'Train Runs'!$A$13:$AE$10033,22,0)</f>
        <v>https://search-rtdc-monitor-bjffxe2xuh6vdkpspy63sjmuny.us-east-1.es.amazonaws.com/_plugin/kibana/#/discover/Steve-Slow-Train-Analysis-(2080s-and-2083s)?_g=(refreshInterval:(display:Off,section:0,value:0),time:(from:'2016-09-12 03:53:25-0600',mode:absolute,to:'2016-09-12 06:53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7" s="113" t="str">
        <f t="shared" ref="T7:T38" si="0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/stypes="*4027*201609121*" /stext=" 11:.+((SYSTEM_STATE.+slice.+state.+changed )|(ment ac)|(system.+state.+changed )|(\|lc)|(penalty)|(\[timeout)|(PRM\|1\|D)|(kpr)|(kdp))" /e /r /s</v>
      </c>
      <c r="U7" s="9" t="str">
        <f t="shared" ref="U7:U38" si="1">MID(B7,13,4)</f>
        <v>4027</v>
      </c>
      <c r="V7" s="38">
        <f t="shared" ref="V7:V38" si="2">A7+6/24</f>
        <v>42625.474791666667</v>
      </c>
      <c r="W7" s="52" t="str">
        <f t="shared" ref="W7:W38" si="3">IF(VALUE(LEFT(IF(LEN(C7)=6,"0"&amp;C7,C7),2))&lt;=2,"EC",IF(OR(VALUE(LEFT(IF(LEN(C7)=6,"0"&amp;C7,C7),2))=8,VALUE(LEFT(IF(LEN(C7)=6,"0"&amp;C7,C7),2))=18),"NW","Other"))</f>
        <v>EC</v>
      </c>
      <c r="X7" s="52" t="str">
        <f t="shared" ref="X7:X38" si="4">IF(AND(E7="TRACK WARRANT AUTHORITY",G7&lt;10),"OMIT","KEEP")</f>
        <v>KEEP</v>
      </c>
      <c r="Y7" s="134" t="str">
        <f t="shared" ref="Y7:Y38" si="5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arrival","project_id":79,"tracker_id":40,"status_id":1,"priority_id":2,"assigned_to_id":23,"start_date":"2016-09-12","description":"","custom_fields":[{"id":1,"name":"Subdivision","value":"EC"},{"id":4,"name":"Milepost","value":"3.3137"},{"id":17,"name":"Train ID","value":"113-12"},{"id":16,"name":"Locomotive ID","value":"4027"},{"id":130,"name":"Impact","value":""},{"id":150,"name":"Time of Event (Mountain Time)","value":"05:23:42"},{"id":151,"name":"Denver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55"/>
    </row>
    <row r="8" spans="1:28" s="1" customFormat="1" x14ac:dyDescent="0.25">
      <c r="A8" s="38">
        <v>42625.330092592594</v>
      </c>
      <c r="B8" s="33" t="s">
        <v>107</v>
      </c>
      <c r="C8" s="33" t="s">
        <v>389</v>
      </c>
      <c r="D8" s="33" t="s">
        <v>49</v>
      </c>
      <c r="E8" s="33" t="s">
        <v>174</v>
      </c>
      <c r="F8" s="49">
        <v>0</v>
      </c>
      <c r="G8" s="49">
        <v>329</v>
      </c>
      <c r="H8" s="49">
        <v>33109</v>
      </c>
      <c r="I8" s="49">
        <v>33655</v>
      </c>
      <c r="J8" s="33" t="s">
        <v>173</v>
      </c>
      <c r="K8" s="49">
        <v>33137</v>
      </c>
      <c r="L8" s="150" t="s">
        <v>52</v>
      </c>
      <c r="M8" s="153">
        <f t="shared" ref="M8:M59" si="6">CONVERT((I8-K8)/10000,"mi","ft")*IF(L8="Increasing Mileposts (1)",-1,1)</f>
        <v>-273.50400000000002</v>
      </c>
      <c r="N8" s="92" t="str">
        <f>VLOOKUP(C8,'Trips&amp;Operators'!$C$1:$E$99999,3,FALSE)</f>
        <v>RICHARDSON</v>
      </c>
      <c r="O8" s="174" t="s">
        <v>86</v>
      </c>
      <c r="P8" s="10" t="s">
        <v>369</v>
      </c>
      <c r="Q8" s="33"/>
      <c r="R8" s="108" t="str">
        <f>VLOOKUP(C8,'Train Runs'!$A$13:$AE$10033,31,0)</f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S8" s="111" t="str">
        <f>VLOOKUP(C8,'Train Runs'!$A$13:$AE$10033,22,0)</f>
        <v>https://search-rtdc-monitor-bjffxe2xuh6vdkpspy63sjmuny.us-east-1.es.amazonaws.com/_plugin/kibana/#/discover/Steve-Slow-Train-Analysis-(2080s-and-2083s)?_g=(refreshInterval:(display:Off,section:0,value:0),time:(from:'2016-09-12 06:44:37-0600',mode:absolute,to:'2016-09-12 09:25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8" s="113" t="str">
        <f t="shared" si="0"/>
        <v>"C:\Program Files (x86)\AstroGrep\AstroGrep.exe" /spath="%USERPROFILE%\AppData\Local\Temp\OnboardLogs" /stypes="*4014*201609121*" /stext=" 13:.+((SYSTEM_STATE.+slice.+state.+changed )|(ment ac)|(system.+state.+changed )|(\|lc)|(penalty)|(\[timeout)|(PRM\|1\|D)|(kpr)|(kdp))" /e /r /s</v>
      </c>
      <c r="U8" s="9" t="str">
        <f t="shared" si="1"/>
        <v>4014</v>
      </c>
      <c r="V8" s="38">
        <f t="shared" si="2"/>
        <v>42625.580092592594</v>
      </c>
      <c r="W8" s="52" t="str">
        <f t="shared" si="3"/>
        <v>EC</v>
      </c>
      <c r="X8" s="52" t="str">
        <f t="shared" si="4"/>
        <v>KEEP</v>
      </c>
      <c r="Y8" s="134" t="str">
        <f t="shared" si="5"/>
        <v>echo {"issue":{"subject":"Early arrival","project_id":79,"tracker_id":40,"status_id":1,"priority_id":2,"assigned_to_id":23,"start_date":"2016-09-12","description":"","custom_fields":[{"id":1,"name":"Subdivision","value":"EC"},{"id":4,"name":"Milepost","value":"3.3137"},{"id":17,"name":"Train ID","value":"133-12"},{"id":16,"name":"Locomotive ID","value":"4014"},{"id":130,"name":"Impact","value":""},{"id":150,"name":"Time of Event (Mountain Time)","value":"07:55:20"},{"id":151,"name":"Denver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55"/>
    </row>
    <row r="9" spans="1:28" s="1" customFormat="1" x14ac:dyDescent="0.25">
      <c r="A9" s="38">
        <v>42625.476435185185</v>
      </c>
      <c r="B9" s="33" t="s">
        <v>183</v>
      </c>
      <c r="C9" s="33" t="s">
        <v>398</v>
      </c>
      <c r="D9" s="33" t="s">
        <v>49</v>
      </c>
      <c r="E9" s="33" t="s">
        <v>174</v>
      </c>
      <c r="F9" s="49">
        <v>0</v>
      </c>
      <c r="G9" s="49">
        <v>517</v>
      </c>
      <c r="H9" s="49">
        <v>43256</v>
      </c>
      <c r="I9" s="49">
        <v>41744</v>
      </c>
      <c r="J9" s="33" t="s">
        <v>173</v>
      </c>
      <c r="K9" s="49">
        <v>42961</v>
      </c>
      <c r="L9" s="150" t="s">
        <v>53</v>
      </c>
      <c r="M9" s="153">
        <f t="shared" si="6"/>
        <v>-642.57600000000002</v>
      </c>
      <c r="N9" s="92" t="str">
        <f>VLOOKUP(C9,'Trips&amp;Operators'!$C$1:$E$99999,3,FALSE)</f>
        <v>YORK</v>
      </c>
      <c r="O9" s="174" t="s">
        <v>86</v>
      </c>
      <c r="P9" s="10" t="s">
        <v>369</v>
      </c>
      <c r="Q9" s="33"/>
      <c r="R9" s="108" t="str">
        <f>VLOOKUP(C9,'Train Runs'!$A$13:$AE$10033,31,0)</f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S9" s="111" t="str">
        <f>VLOOKUP(C9,'Train Runs'!$A$13:$AE$10033,22,0)</f>
        <v>https://search-rtdc-monitor-bjffxe2xuh6vdkpspy63sjmuny.us-east-1.es.amazonaws.com/_plugin/kibana/#/discover/Steve-Slow-Train-Analysis-(2080s-and-2083s)?_g=(refreshInterval:(display:Off,section:0,value:0),time:(from:'2016-09-12 09:46:47-0600',mode:absolute,to:'2016-09-12 12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9" s="113" t="str">
        <f t="shared" si="0"/>
        <v>"C:\Program Files (x86)\AstroGrep\AstroGrep.exe" /spath="%USERPROFILE%\AppData\Local\Temp\OnboardLogs" /stypes="*4041*201609121*" /stext=" 17:.+((SYSTEM_STATE.+slice.+state.+changed )|(ment ac)|(system.+state.+changed )|(\|lc)|(penalty)|(\[timeout)|(PRM\|1\|D)|(kpr)|(kdp))" /e /r /s</v>
      </c>
      <c r="U9" s="9" t="str">
        <f t="shared" si="1"/>
        <v>4041</v>
      </c>
      <c r="V9" s="38">
        <f t="shared" si="2"/>
        <v>42625.726435185185</v>
      </c>
      <c r="W9" s="52" t="str">
        <f t="shared" si="3"/>
        <v>EC</v>
      </c>
      <c r="X9" s="52" t="str">
        <f t="shared" si="4"/>
        <v>KEEP</v>
      </c>
      <c r="Y9" s="134" t="str">
        <f t="shared" si="5"/>
        <v>echo {"issue":{"subject":"Early arrival","project_id":79,"tracker_id":40,"status_id":1,"priority_id":2,"assigned_to_id":23,"start_date":"2016-09-12","description":"","custom_fields":[{"id":1,"name":"Subdivision","value":"EC"},{"id":4,"name":"Milepost","value":"4.2961"},{"id":17,"name":"Train ID","value":"152-12"},{"id":16,"name":"Locomotive ID","value":"4041"},{"id":130,"name":"Impact","value":""},{"id":150,"name":"Time of Event (Mountain Time)","value":"11:26:04"},{"id":151,"name":"Denver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55"/>
    </row>
    <row r="10" spans="1:28" s="1" customFormat="1" x14ac:dyDescent="0.25">
      <c r="A10" s="38">
        <v>42625.546875</v>
      </c>
      <c r="B10" s="33" t="s">
        <v>183</v>
      </c>
      <c r="C10" s="33" t="s">
        <v>402</v>
      </c>
      <c r="D10" s="33" t="s">
        <v>49</v>
      </c>
      <c r="E10" s="33" t="s">
        <v>174</v>
      </c>
      <c r="F10" s="49">
        <v>0</v>
      </c>
      <c r="G10" s="49">
        <v>115</v>
      </c>
      <c r="H10" s="49">
        <v>59328</v>
      </c>
      <c r="I10" s="49">
        <v>59185</v>
      </c>
      <c r="J10" s="33" t="s">
        <v>173</v>
      </c>
      <c r="K10" s="49">
        <v>58904</v>
      </c>
      <c r="L10" s="150" t="s">
        <v>53</v>
      </c>
      <c r="M10" s="153">
        <f t="shared" si="6"/>
        <v>148.36799999999999</v>
      </c>
      <c r="N10" s="92" t="str">
        <f>VLOOKUP(C10,'Trips&amp;Operators'!$C$1:$E$99999,3,FALSE)</f>
        <v>CLARK</v>
      </c>
      <c r="O10" s="174" t="s">
        <v>86</v>
      </c>
      <c r="P10" s="10" t="s">
        <v>370</v>
      </c>
      <c r="Q10" s="33"/>
      <c r="R10" s="108" t="str">
        <f>VLOOKUP(C10,'Train Runs'!$A$13:$AE$10033,31,0)</f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S10" s="111" t="str">
        <f>VLOOKUP(C10,'Train Runs'!$A$13:$AE$10033,22,0)</f>
        <v>https://search-rtdc-monitor-bjffxe2xuh6vdkpspy63sjmuny.us-east-1.es.amazonaws.com/_plugin/kibana/#/discover/Steve-Slow-Train-Analysis-(2080s-and-2083s)?_g=(refreshInterval:(display:Off,section:0,value:0),time:(from:'2016-09-12 11:35:23-0600',mode:absolute,to:'2016-09-12 14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10" s="113" t="str">
        <f t="shared" si="0"/>
        <v>"C:\Program Files (x86)\AstroGrep\AstroGrep.exe" /spath="%USERPROFILE%\AppData\Local\Temp\OnboardLogs" /stypes="*4041*201609121*" /stext=" 19:.+((SYSTEM_STATE.+slice.+state.+changed )|(ment ac)|(system.+state.+changed )|(\|lc)|(penalty)|(\[timeout)|(PRM\|1\|D)|(kpr)|(kdp))" /e /r /s</v>
      </c>
      <c r="U10" s="9" t="str">
        <f t="shared" si="1"/>
        <v>4041</v>
      </c>
      <c r="V10" s="38">
        <f t="shared" si="2"/>
        <v>42625.796875</v>
      </c>
      <c r="W10" s="52" t="str">
        <f t="shared" si="3"/>
        <v>EC</v>
      </c>
      <c r="X10" s="52" t="str">
        <f t="shared" si="4"/>
        <v>KEEP</v>
      </c>
      <c r="Y10" s="134" t="str">
        <f t="shared" si="5"/>
        <v>echo {"issue":{"subject":"Form C","project_id":79,"tracker_id":40,"status_id":1,"priority_id":2,"assigned_to_id":23,"start_date":"2016-09-12","description":"","custom_fields":[{"id":1,"name":"Subdivision","value":"EC"},{"id":4,"name":"Milepost","value":"5.8904"},{"id":17,"name":"Train ID","value":"166-12"},{"id":16,"name":"Locomotive ID","value":"4041"},{"id":130,"name":"Impact","value":""},{"id":150,"name":"Time of Event (Mountain Time)","value":"13:07:30"},{"id":151,"name":"Denver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55"/>
    </row>
    <row r="11" spans="1:28" s="1" customFormat="1" x14ac:dyDescent="0.25">
      <c r="A11" s="38">
        <v>42626.015763888892</v>
      </c>
      <c r="B11" s="33" t="s">
        <v>378</v>
      </c>
      <c r="C11" s="33" t="s">
        <v>420</v>
      </c>
      <c r="D11" s="33" t="s">
        <v>421</v>
      </c>
      <c r="E11" s="33" t="s">
        <v>174</v>
      </c>
      <c r="F11" s="49">
        <v>0</v>
      </c>
      <c r="G11" s="49">
        <v>104</v>
      </c>
      <c r="H11" s="49">
        <v>63214</v>
      </c>
      <c r="I11" s="49">
        <v>63173</v>
      </c>
      <c r="J11" s="33" t="s">
        <v>173</v>
      </c>
      <c r="K11" s="49">
        <v>63309</v>
      </c>
      <c r="L11" s="150" t="s">
        <v>53</v>
      </c>
      <c r="M11" s="153">
        <f t="shared" si="6"/>
        <v>-71.808000000000007</v>
      </c>
      <c r="N11" s="92" t="str">
        <f>VLOOKUP(C11,'Trips&amp;Operators'!$C$1:$E$99999,3,FALSE)</f>
        <v>DELGADO</v>
      </c>
      <c r="O11" s="174" t="s">
        <v>86</v>
      </c>
      <c r="P11" s="10" t="s">
        <v>369</v>
      </c>
      <c r="Q11" s="33"/>
      <c r="R11" s="108" t="str">
        <f>VLOOKUP(C11,'Train Runs'!$A$13:$AE$10033,31,0)</f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S11" s="111" t="str">
        <f>VLOOKUP(C11,'Train Runs'!$A$13:$AE$10033,22,0)</f>
        <v>https://search-rtdc-monitor-bjffxe2xuh6vdkpspy63sjmuny.us-east-1.es.amazonaws.com/_plugin/kibana/#/discover/Steve-Slow-Train-Analysis-(2080s-and-2083s)?_g=(refreshInterval:(display:Off,section:0,value:0),time:(from:'2016-09-12 22:53:06-0600',mode:absolute,to:'2016-09-13 01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11" s="113" t="str">
        <f t="shared" si="0"/>
        <v>"C:\Program Files (x86)\AstroGrep\AstroGrep.exe" /spath="%USERPROFILE%\AppData\Local\Temp\OnboardLogs" /stypes="*4032*201609130*" /stext=" 06:.+((SYSTEM_STATE.+slice.+state.+changed )|(ment ac)|(system.+state.+changed )|(\|lc)|(penalty)|(\[timeout)|(PRM\|1\|D)|(kpr)|(kdp))" /e /r /s</v>
      </c>
      <c r="U11" s="9" t="str">
        <f t="shared" si="1"/>
        <v>4032</v>
      </c>
      <c r="V11" s="38">
        <f t="shared" si="2"/>
        <v>42626.265763888892</v>
      </c>
      <c r="W11" s="52" t="str">
        <f t="shared" si="3"/>
        <v>EC</v>
      </c>
      <c r="X11" s="52" t="str">
        <f t="shared" si="4"/>
        <v>KEEP</v>
      </c>
      <c r="Y11" s="134" t="str">
        <f t="shared" si="5"/>
        <v>echo {"issue":{"subject":"Early arrival","project_id":79,"tracker_id":40,"status_id":1,"priority_id":2,"assigned_to_id":23,"start_date":"2016-09-13","description":"","custom_fields":[{"id":1,"name":"Subdivision","value":"EC"},{"id":4,"name":"Milepost","value":"6.3309"},{"id":17,"name":"Train ID","value":"238-12"},{"id":16,"name":"Locomotive ID","value":"4032"},{"id":130,"name":"Impact","value":""},{"id":150,"name":"Time of Event (Mountain Time)","value":"00:22:42"},{"id":151,"name":"Denver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55"/>
    </row>
    <row r="12" spans="1:28" s="1" customFormat="1" x14ac:dyDescent="0.25">
      <c r="A12" s="38">
        <v>42625.867638888885</v>
      </c>
      <c r="B12" s="33" t="s">
        <v>184</v>
      </c>
      <c r="C12" s="33" t="s">
        <v>417</v>
      </c>
      <c r="D12" s="33" t="s">
        <v>49</v>
      </c>
      <c r="E12" s="33" t="s">
        <v>174</v>
      </c>
      <c r="F12" s="49">
        <v>0</v>
      </c>
      <c r="G12" s="49">
        <v>415</v>
      </c>
      <c r="H12" s="49">
        <v>78496</v>
      </c>
      <c r="I12" s="49">
        <v>77679</v>
      </c>
      <c r="J12" s="33" t="s">
        <v>173</v>
      </c>
      <c r="K12" s="49">
        <v>78469</v>
      </c>
      <c r="L12" s="150" t="s">
        <v>53</v>
      </c>
      <c r="M12" s="153">
        <f t="shared" si="6"/>
        <v>-417.12</v>
      </c>
      <c r="N12" s="92" t="str">
        <f>VLOOKUP(C12,'Trips&amp;Operators'!$C$1:$E$99999,3,FALSE)</f>
        <v>MAHAN</v>
      </c>
      <c r="O12" s="174" t="s">
        <v>86</v>
      </c>
      <c r="P12" s="10" t="s">
        <v>369</v>
      </c>
      <c r="Q12" s="33"/>
      <c r="R12" s="108" t="str">
        <f>VLOOKUP(C12,'Train Runs'!$A$13:$AE$10033,31,0)</f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S12" s="111" t="str">
        <f>VLOOKUP(C12,'Train Runs'!$A$13:$AE$10033,22,0)</f>
        <v>https://search-rtdc-monitor-bjffxe2xuh6vdkpspy63sjmuny.us-east-1.es.amazonaws.com/_plugin/kibana/#/discover/Steve-Slow-Train-Analysis-(2080s-and-2083s)?_g=(refreshInterval:(display:Off,section:0,value:0),time:(from:'2016-09-12 19:15:01-0600',mode:absolute,to:'2016-09-12 22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12" s="113" t="str">
        <f t="shared" si="0"/>
        <v>"C:\Program Files (x86)\AstroGrep\AstroGrep.exe" /spath="%USERPROFILE%\AppData\Local\Temp\OnboardLogs" /stypes="*4010*201609130*" /stext=" 02:.+((SYSTEM_STATE.+slice.+state.+changed )|(ment ac)|(system.+state.+changed )|(\|lc)|(penalty)|(\[timeout)|(PRM\|1\|D)|(kpr)|(kdp))" /e /r /s</v>
      </c>
      <c r="U12" s="9" t="str">
        <f t="shared" si="1"/>
        <v>4010</v>
      </c>
      <c r="V12" s="38">
        <f t="shared" si="2"/>
        <v>42626.117638888885</v>
      </c>
      <c r="W12" s="52" t="str">
        <f t="shared" si="3"/>
        <v>EC</v>
      </c>
      <c r="X12" s="52" t="str">
        <f t="shared" si="4"/>
        <v>KEEP</v>
      </c>
      <c r="Y12" s="134" t="str">
        <f t="shared" si="5"/>
        <v>echo {"issue":{"subject":"Early arrival","project_id":79,"tracker_id":40,"status_id":1,"priority_id":2,"assigned_to_id":23,"start_date":"2016-09-12","description":"","custom_fields":[{"id":1,"name":"Subdivision","value":"EC"},{"id":4,"name":"Milepost","value":"7.8469"},{"id":17,"name":"Train ID","value":"224-12"},{"id":16,"name":"Locomotive ID","value":"4010"},{"id":130,"name":"Impact","value":""},{"id":150,"name":"Time of Event (Mountain Time)","value":"20:49:24"},{"id":151,"name":"Denver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55"/>
    </row>
    <row r="13" spans="1:28" s="1" customFormat="1" x14ac:dyDescent="0.25">
      <c r="A13" s="38">
        <v>42625.311469907407</v>
      </c>
      <c r="B13" s="33" t="s">
        <v>306</v>
      </c>
      <c r="C13" s="33" t="s">
        <v>385</v>
      </c>
      <c r="D13" s="33" t="s">
        <v>106</v>
      </c>
      <c r="E13" s="33" t="s">
        <v>174</v>
      </c>
      <c r="F13" s="49">
        <v>0</v>
      </c>
      <c r="G13" s="49">
        <v>340</v>
      </c>
      <c r="H13" s="49">
        <v>109113</v>
      </c>
      <c r="I13" s="49">
        <v>108742</v>
      </c>
      <c r="J13" s="33" t="s">
        <v>173</v>
      </c>
      <c r="K13" s="49">
        <v>109135</v>
      </c>
      <c r="L13" s="150" t="s">
        <v>53</v>
      </c>
      <c r="M13" s="153">
        <f t="shared" si="6"/>
        <v>-207.50399999999999</v>
      </c>
      <c r="N13" s="92" t="str">
        <f>VLOOKUP(C13,'Trips&amp;Operators'!$C$1:$E$99999,3,FALSE)</f>
        <v>SPECTOR</v>
      </c>
      <c r="O13" s="174" t="s">
        <v>86</v>
      </c>
      <c r="P13" s="10" t="s">
        <v>369</v>
      </c>
      <c r="Q13" s="33"/>
      <c r="R13" s="108" t="str">
        <f>VLOOKUP(C13,'Train Runs'!$A$13:$AE$10033,31,0)</f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S13" s="111" t="str">
        <f>VLOOKUP(C13,'Train Runs'!$A$13:$AE$10033,22,0)</f>
        <v>https://search-rtdc-monitor-bjffxe2xuh6vdkpspy63sjmuny.us-east-1.es.amazonaws.com/_plugin/kibana/#/discover/Steve-Slow-Train-Analysis-(2080s-and-2083s)?_g=(refreshInterval:(display:Off,section:0,value:0),time:(from:'2016-09-12 06:01:05-0600',mode:absolute,to:'2016-09-12 08:51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13" s="113" t="str">
        <f t="shared" si="0"/>
        <v>"C:\Program Files (x86)\AstroGrep\AstroGrep.exe" /spath="%USERPROFILE%\AppData\Local\Temp\OnboardLogs" /stypes="*4001*201609121*" /stext=" 13:.+((SYSTEM_STATE.+slice.+state.+changed )|(ment ac)|(system.+state.+changed )|(\|lc)|(penalty)|(\[timeout)|(PRM\|1\|D)|(kpr)|(kdp))" /e /r /s</v>
      </c>
      <c r="U13" s="9" t="str">
        <f t="shared" si="1"/>
        <v>4001</v>
      </c>
      <c r="V13" s="38">
        <f t="shared" si="2"/>
        <v>42625.561469907407</v>
      </c>
      <c r="W13" s="52" t="str">
        <f t="shared" si="3"/>
        <v>EC</v>
      </c>
      <c r="X13" s="52" t="str">
        <f t="shared" si="4"/>
        <v>KEEP</v>
      </c>
      <c r="Y13" s="134" t="str">
        <f t="shared" si="5"/>
        <v>echo {"issue":{"subject":"Early arrival","project_id":79,"tracker_id":40,"status_id":1,"priority_id":2,"assigned_to_id":23,"start_date":"2016-09-12","description":"","custom_fields":[{"id":1,"name":"Subdivision","value":"EC"},{"id":4,"name":"Milepost","value":"10.9135"},{"id":17,"name":"Train ID","value":"122-12"},{"id":16,"name":"Locomotive ID","value":"4001"},{"id":130,"name":"Impact","value":""},{"id":150,"name":"Time of Event (Mountain Time)","value":"07:28:31"},{"id":151,"name":"Denver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55"/>
    </row>
    <row r="14" spans="1:28" s="1" customFormat="1" x14ac:dyDescent="0.25">
      <c r="A14" s="38">
        <v>42625.659247685187</v>
      </c>
      <c r="B14" s="33" t="s">
        <v>367</v>
      </c>
      <c r="C14" s="33" t="s">
        <v>408</v>
      </c>
      <c r="D14" s="33" t="s">
        <v>49</v>
      </c>
      <c r="E14" s="33" t="s">
        <v>56</v>
      </c>
      <c r="F14" s="49">
        <v>400</v>
      </c>
      <c r="G14" s="49">
        <v>559</v>
      </c>
      <c r="H14" s="49">
        <v>15347</v>
      </c>
      <c r="I14" s="49">
        <v>17867</v>
      </c>
      <c r="J14" s="33" t="s">
        <v>57</v>
      </c>
      <c r="K14" s="49">
        <v>17867</v>
      </c>
      <c r="L14" s="150" t="s">
        <v>52</v>
      </c>
      <c r="M14" s="153">
        <f t="shared" si="6"/>
        <v>0</v>
      </c>
      <c r="N14" s="92" t="str">
        <f>VLOOKUP(C14,'Trips&amp;Operators'!$C$1:$E$99999,3,FALSE)</f>
        <v>BERLING</v>
      </c>
      <c r="O14" s="174" t="s">
        <v>86</v>
      </c>
      <c r="P14" s="10"/>
      <c r="Q14" s="33"/>
      <c r="R14" s="108" t="str">
        <f>VLOOKUP(C14,'Train Runs'!$A$13:$AE$10033,31,0)</f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S14" s="111" t="str">
        <f>VLOOKUP(C14,'Train Runs'!$A$13:$AE$10033,22,0)</f>
        <v>https://search-rtdc-monitor-bjffxe2xuh6vdkpspy63sjmuny.us-east-1.es.amazonaws.com/_plugin/kibana/#/discover/Steve-Slow-Train-Analysis-(2080s-and-2083s)?_g=(refreshInterval:(display:Off,section:0,value:0),time:(from:'2016-09-12 14:41:55-0600',mode:absolute,to:'2016-09-12 17:24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14" s="113" t="str">
        <f t="shared" si="0"/>
        <v>"C:\Program Files (x86)\AstroGrep\AstroGrep.exe" /spath="%USERPROFILE%\AppData\Local\Temp\OnboardLogs" /stypes="*4027*201609122*" /stext=" 21:.+((SYSTEM_STATE.+slice.+state.+changed )|(ment ac)|(system.+state.+changed )|(\|lc)|(penalty)|(\[timeout)|(PRM\|1\|D)|(kpr)|(kdp))" /e /r /s</v>
      </c>
      <c r="U14" s="9" t="str">
        <f t="shared" si="1"/>
        <v>4027</v>
      </c>
      <c r="V14" s="38">
        <f t="shared" si="2"/>
        <v>42625.909247685187</v>
      </c>
      <c r="W14" s="52" t="str">
        <f t="shared" si="3"/>
        <v>EC</v>
      </c>
      <c r="X14" s="52" t="str">
        <f t="shared" si="4"/>
        <v>KEEP</v>
      </c>
      <c r="Y14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{"issue":{"subject":"","project_id":79,"tracker_id":40,"status_id":1,"priority_id":2,"assigned_to_id":23,"start_date":"2016-09-12","description":"","custom_fields":[{"id":1,"name":"Subdivision","value":"EC"},{"id":4,"name":"Milepost","value":"1.7867"},{"id":17,"name":"Train ID","value":"197-12"},{"id":16,"name":"Locomotive ID","value":"4027"},{"id":130,"name":"Impact","value":""},{"id":150,"name":"Time of Event (Mountain Time)","value":"15:49:19"},{"id":151,"name":"Denver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55"/>
    </row>
    <row r="15" spans="1:28" s="1" customFormat="1" x14ac:dyDescent="0.25">
      <c r="A15" s="38">
        <v>42625.269756944443</v>
      </c>
      <c r="B15" s="33" t="s">
        <v>378</v>
      </c>
      <c r="C15" s="33" t="s">
        <v>379</v>
      </c>
      <c r="D15" s="33" t="s">
        <v>49</v>
      </c>
      <c r="E15" s="33" t="s">
        <v>56</v>
      </c>
      <c r="F15" s="49">
        <v>300</v>
      </c>
      <c r="G15" s="49">
        <v>450</v>
      </c>
      <c r="H15" s="49">
        <v>23254</v>
      </c>
      <c r="I15" s="49">
        <v>21824</v>
      </c>
      <c r="J15" s="33" t="s">
        <v>57</v>
      </c>
      <c r="K15" s="49">
        <v>21848</v>
      </c>
      <c r="L15" s="150" t="s">
        <v>53</v>
      </c>
      <c r="M15" s="153">
        <f t="shared" si="6"/>
        <v>-12.672000000000001</v>
      </c>
      <c r="N15" s="92" t="str">
        <f>VLOOKUP(C15,'Trips&amp;Operators'!$C$1:$E$99999,3,FALSE)</f>
        <v>STARKS</v>
      </c>
      <c r="O15" s="174" t="s">
        <v>86</v>
      </c>
      <c r="P15" s="10"/>
      <c r="Q15" s="33"/>
      <c r="R15" s="108" t="str">
        <f>VLOOKUP(C15,'Train Runs'!$A$13:$AE$10033,31,0)</f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S15" s="111" t="str">
        <f>VLOOKUP(C15,'Train Runs'!$A$13:$AE$10033,22,0)</f>
        <v>https://search-rtdc-monitor-bjffxe2xuh6vdkpspy63sjmuny.us-east-1.es.amazonaws.com/_plugin/kibana/#/discover/Steve-Slow-Train-Analysis-(2080s-and-2083s)?_g=(refreshInterval:(display:Off,section:0,value:0),time:(from:'2016-09-12 04:51:35-0600',mode:absolute,to:'2016-09-12 07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15" s="113" t="str">
        <f t="shared" si="0"/>
        <v>"C:\Program Files (x86)\AstroGrep\AstroGrep.exe" /spath="%USERPROFILE%\AppData\Local\Temp\OnboardLogs" /stypes="*4032*201609121*" /stext=" 12:.+((SYSTEM_STATE.+slice.+state.+changed )|(ment ac)|(system.+state.+changed )|(\|lc)|(penalty)|(\[timeout)|(PRM\|1\|D)|(kpr)|(kdp))" /e /r /s</v>
      </c>
      <c r="U15" s="9" t="str">
        <f t="shared" si="1"/>
        <v>4032</v>
      </c>
      <c r="V15" s="38">
        <f t="shared" si="2"/>
        <v>42625.519756944443</v>
      </c>
      <c r="W15" s="52" t="str">
        <f t="shared" si="3"/>
        <v>EC</v>
      </c>
      <c r="X15" s="52" t="str">
        <f t="shared" si="4"/>
        <v>KEEP</v>
      </c>
      <c r="Y15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{"issue":{"subject":"","project_id":79,"tracker_id":40,"status_id":1,"priority_id":2,"assigned_to_id":23,"start_date":"2016-09-12","description":"","custom_fields":[{"id":1,"name":"Subdivision","value":"EC"},{"id":4,"name":"Milepost","value":"2.1848"},{"id":17,"name":"Train ID","value":"112-12"},{"id":16,"name":"Locomotive ID","value":"4032"},{"id":130,"name":"Impact","value":""},{"id":150,"name":"Time of Event (Mountain Time)","value":"06:28:27"},{"id":151,"name":"Denver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55"/>
    </row>
    <row r="16" spans="1:28" s="1" customFormat="1" x14ac:dyDescent="0.25">
      <c r="A16" s="38">
        <v>42625.724143518521</v>
      </c>
      <c r="B16" s="33" t="s">
        <v>109</v>
      </c>
      <c r="C16" s="33" t="s">
        <v>413</v>
      </c>
      <c r="D16" s="33" t="s">
        <v>106</v>
      </c>
      <c r="E16" s="33" t="s">
        <v>56</v>
      </c>
      <c r="F16" s="49">
        <v>200</v>
      </c>
      <c r="G16" s="49">
        <v>254</v>
      </c>
      <c r="H16" s="49">
        <v>27583</v>
      </c>
      <c r="I16" s="49">
        <v>27958</v>
      </c>
      <c r="J16" s="33" t="s">
        <v>57</v>
      </c>
      <c r="K16" s="49">
        <v>27333</v>
      </c>
      <c r="L16" s="150" t="s">
        <v>52</v>
      </c>
      <c r="M16" s="153">
        <f t="shared" si="6"/>
        <v>-330</v>
      </c>
      <c r="N16" s="92" t="str">
        <f>VLOOKUP(C16,'Trips&amp;Operators'!$C$1:$E$99999,3,FALSE)</f>
        <v>DELGADO</v>
      </c>
      <c r="O16" s="174" t="s">
        <v>86</v>
      </c>
      <c r="P16" s="10"/>
      <c r="Q16" s="33"/>
      <c r="R16" s="108" t="str">
        <f>VLOOKUP(C16,'Train Runs'!$A$13:$AE$10033,31,0)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S16" s="111" t="str">
        <f>VLOOKUP(C16,'Train Runs'!$A$13:$AE$10033,22,0)</f>
        <v>https://search-rtdc-monitor-bjffxe2xuh6vdkpspy63sjmuny.us-east-1.es.amazonaws.com/_plugin/kibana/#/discover/Steve-Slow-Train-Analysis-(2080s-and-2083s)?_g=(refreshInterval:(display:Off,section:0,value:0),time:(from:'2016-09-12 16:11:25-0600',mode:absolute,to:'2016-09-12 18:54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16" s="113" t="str">
        <f t="shared" si="0"/>
        <v>"C:\Program Files (x86)\AstroGrep\AstroGrep.exe" /spath="%USERPROFILE%\AppData\Local\Temp\OnboardLogs" /stypes="*4031*201609122*" /stext=" 23:.+((SYSTEM_STATE.+slice.+state.+changed )|(ment ac)|(system.+state.+changed )|(\|lc)|(penalty)|(\[timeout)|(PRM\|1\|D)|(kpr)|(kdp))" /e /r /s</v>
      </c>
      <c r="U16" s="9" t="str">
        <f t="shared" si="1"/>
        <v>4031</v>
      </c>
      <c r="V16" s="38">
        <f t="shared" si="2"/>
        <v>42625.974143518521</v>
      </c>
      <c r="W16" s="52" t="str">
        <f t="shared" si="3"/>
        <v>EC</v>
      </c>
      <c r="X16" s="52" t="str">
        <f t="shared" si="4"/>
        <v>KEEP</v>
      </c>
      <c r="Y16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{"issue":{"subject":"","project_id":79,"tracker_id":40,"status_id":1,"priority_id":2,"assigned_to_id":23,"start_date":"2016-09-12","description":"","custom_fields":[{"id":1,"name":"Subdivision","value":"EC"},{"id":4,"name":"Milepost","value":"2.7333"},{"id":17,"name":"Train ID","value":"209-12"},{"id":16,"name":"Locomotive ID","value":"4031"},{"id":130,"name":"Impact","value":""},{"id":150,"name":"Time of Event (Mountain Time)","value":"17:22:46"},{"id":151,"name":"Denver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55"/>
    </row>
    <row r="17" spans="1:28" s="1" customFormat="1" x14ac:dyDescent="0.25">
      <c r="A17" s="38">
        <v>42625.149710648147</v>
      </c>
      <c r="B17" s="33" t="s">
        <v>109</v>
      </c>
      <c r="C17" s="33" t="s">
        <v>373</v>
      </c>
      <c r="D17" s="33" t="s">
        <v>49</v>
      </c>
      <c r="E17" s="33" t="s">
        <v>56</v>
      </c>
      <c r="F17" s="49">
        <v>400</v>
      </c>
      <c r="G17" s="49">
        <v>675</v>
      </c>
      <c r="H17" s="49">
        <v>113661</v>
      </c>
      <c r="I17" s="49">
        <v>116421</v>
      </c>
      <c r="J17" s="33" t="s">
        <v>57</v>
      </c>
      <c r="K17" s="49">
        <v>116838</v>
      </c>
      <c r="L17" s="150" t="s">
        <v>52</v>
      </c>
      <c r="M17" s="153">
        <f t="shared" si="6"/>
        <v>220.17599999999999</v>
      </c>
      <c r="N17" s="92" t="str">
        <f>VLOOKUP(C17,'Trips&amp;Operators'!$C$1:$E$99999,3,FALSE)</f>
        <v>KILLION</v>
      </c>
      <c r="O17" s="174" t="s">
        <v>86</v>
      </c>
      <c r="P17" s="10"/>
      <c r="Q17" s="33"/>
      <c r="R17" s="108" t="str">
        <f>VLOOKUP(C17,'Train Runs'!$A$13:$AE$10033,31,0)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S17" s="111" t="str">
        <f>VLOOKUP(C17,'Train Runs'!$A$13:$AE$10033,22,0)</f>
        <v>https://search-rtdc-monitor-bjffxe2xuh6vdkpspy63sjmuny.us-east-1.es.amazonaws.com/_plugin/kibana/#/discover/Steve-Slow-Train-Analysis-(2080s-and-2083s)?_g=(refreshInterval:(display:Off,section:0,value:0),time:(from:'2016-09-12 02:11:23-0600',mode:absolute,to:'2016-09-12 04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17" s="113" t="str">
        <f t="shared" si="0"/>
        <v>"C:\Program Files (x86)\AstroGrep\AstroGrep.exe" /spath="%USERPROFILE%\AppData\Local\Temp\OnboardLogs" /stypes="*4031*201609120*" /stext=" 09:.+((SYSTEM_STATE.+slice.+state.+changed )|(ment ac)|(system.+state.+changed )|(\|lc)|(penalty)|(\[timeout)|(PRM\|1\|D)|(kpr)|(kdp))" /e /r /s</v>
      </c>
      <c r="U17" s="9" t="str">
        <f t="shared" si="1"/>
        <v>4031</v>
      </c>
      <c r="V17" s="38">
        <f t="shared" si="2"/>
        <v>42625.399710648147</v>
      </c>
      <c r="W17" s="52" t="str">
        <f t="shared" si="3"/>
        <v>EC</v>
      </c>
      <c r="X17" s="52" t="str">
        <f t="shared" si="4"/>
        <v>KEEP</v>
      </c>
      <c r="Y17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{"issue":{"subject":"","project_id":79,"tracker_id":40,"status_id":1,"priority_id":2,"assigned_to_id":23,"start_date":"2016-09-12","description":"","custom_fields":[{"id":1,"name":"Subdivision","value":"EC"},{"id":4,"name":"Milepost","value":"11.6838"},{"id":17,"name":"Train ID","value":"101-12"},{"id":16,"name":"Locomotive ID","value":"4031"},{"id":130,"name":"Impact","value":""},{"id":150,"name":"Time of Event (Mountain Time)","value":"03:35:35"},{"id":151,"name":"Denver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55"/>
    </row>
    <row r="18" spans="1:28" s="1" customFormat="1" x14ac:dyDescent="0.25">
      <c r="A18" s="38">
        <v>42625.150763888887</v>
      </c>
      <c r="B18" s="33" t="s">
        <v>109</v>
      </c>
      <c r="C18" s="33" t="s">
        <v>373</v>
      </c>
      <c r="D18" s="33" t="s">
        <v>106</v>
      </c>
      <c r="E18" s="33" t="s">
        <v>56</v>
      </c>
      <c r="F18" s="49">
        <v>400</v>
      </c>
      <c r="G18" s="49">
        <v>452</v>
      </c>
      <c r="H18" s="49">
        <v>119288</v>
      </c>
      <c r="I18" s="49">
        <v>120706</v>
      </c>
      <c r="J18" s="33" t="s">
        <v>57</v>
      </c>
      <c r="K18" s="49">
        <v>116838</v>
      </c>
      <c r="L18" s="150" t="s">
        <v>52</v>
      </c>
      <c r="M18" s="153">
        <f t="shared" si="6"/>
        <v>-2042.3040000000001</v>
      </c>
      <c r="N18" s="92" t="str">
        <f>VLOOKUP(C18,'Trips&amp;Operators'!$C$1:$E$99999,3,FALSE)</f>
        <v>KILLION</v>
      </c>
      <c r="O18" s="174" t="s">
        <v>86</v>
      </c>
      <c r="P18" s="10"/>
      <c r="Q18" s="33"/>
      <c r="R18" s="108" t="str">
        <f>VLOOKUP(C18,'Train Runs'!$A$13:$AE$10033,31,0)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S18" s="111" t="str">
        <f>VLOOKUP(C18,'Train Runs'!$A$13:$AE$10033,22,0)</f>
        <v>https://search-rtdc-monitor-bjffxe2xuh6vdkpspy63sjmuny.us-east-1.es.amazonaws.com/_plugin/kibana/#/discover/Steve-Slow-Train-Analysis-(2080s-and-2083s)?_g=(refreshInterval:(display:Off,section:0,value:0),time:(from:'2016-09-12 02:11:23-0600',mode:absolute,to:'2016-09-12 04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18" s="113" t="str">
        <f t="shared" si="0"/>
        <v>"C:\Program Files (x86)\AstroGrep\AstroGrep.exe" /spath="%USERPROFILE%\AppData\Local\Temp\OnboardLogs" /stypes="*4031*201609120*" /stext=" 09:.+((SYSTEM_STATE.+slice.+state.+changed )|(ment ac)|(system.+state.+changed )|(\|lc)|(penalty)|(\[timeout)|(PRM\|1\|D)|(kpr)|(kdp))" /e /r /s</v>
      </c>
      <c r="U18" s="9" t="str">
        <f t="shared" si="1"/>
        <v>4031</v>
      </c>
      <c r="V18" s="38">
        <f t="shared" si="2"/>
        <v>42625.400763888887</v>
      </c>
      <c r="W18" s="52" t="str">
        <f t="shared" si="3"/>
        <v>EC</v>
      </c>
      <c r="X18" s="52" t="str">
        <f t="shared" si="4"/>
        <v>KEEP</v>
      </c>
      <c r="Y18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{"issue":{"subject":"","project_id":79,"tracker_id":40,"status_id":1,"priority_id":2,"assigned_to_id":23,"start_date":"2016-09-12","description":"","custom_fields":[{"id":1,"name":"Subdivision","value":"EC"},{"id":4,"name":"Milepost","value":"11.6838"},{"id":17,"name":"Train ID","value":"101-12"},{"id":16,"name":"Locomotive ID","value":"4031"},{"id":130,"name":"Impact","value":""},{"id":150,"name":"Time of Event (Mountain Time)","value":"03:37:06"},{"id":151,"name":"Denver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55"/>
    </row>
    <row r="19" spans="1:28" s="1" customFormat="1" x14ac:dyDescent="0.25">
      <c r="A19" s="38">
        <v>42625.235185185185</v>
      </c>
      <c r="B19" s="33" t="s">
        <v>367</v>
      </c>
      <c r="C19" s="33" t="s">
        <v>375</v>
      </c>
      <c r="D19" s="33" t="s">
        <v>106</v>
      </c>
      <c r="E19" s="33" t="s">
        <v>56</v>
      </c>
      <c r="F19" s="49">
        <v>400</v>
      </c>
      <c r="G19" s="49">
        <v>452</v>
      </c>
      <c r="H19" s="49">
        <v>118740</v>
      </c>
      <c r="I19" s="49">
        <v>119968</v>
      </c>
      <c r="J19" s="33" t="s">
        <v>57</v>
      </c>
      <c r="K19" s="49">
        <v>116838</v>
      </c>
      <c r="L19" s="150" t="s">
        <v>52</v>
      </c>
      <c r="M19" s="153">
        <f t="shared" si="6"/>
        <v>-1652.64</v>
      </c>
      <c r="N19" s="92" t="str">
        <f>VLOOKUP(C19,'Trips&amp;Operators'!$C$1:$E$99999,3,FALSE)</f>
        <v>KILLION</v>
      </c>
      <c r="O19" s="174" t="s">
        <v>86</v>
      </c>
      <c r="P19" s="10"/>
      <c r="Q19" s="33"/>
      <c r="R19" s="108" t="str">
        <f>VLOOKUP(C19,'Train Runs'!$A$13:$AE$10033,31,0)</f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S19" s="111" t="str">
        <f>VLOOKUP(C19,'Train Runs'!$A$13:$AE$10033,22,0)</f>
        <v>https://search-rtdc-monitor-bjffxe2xuh6vdkpspy63sjmuny.us-east-1.es.amazonaws.com/_plugin/kibana/#/discover/Steve-Slow-Train-Analysis-(2080s-and-2083s)?_g=(refreshInterval:(display:Off,section:0,value:0),time:(from:'2016-09-12 03:53:25-0600',mode:absolute,to:'2016-09-12 06:53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19" s="113" t="str">
        <f t="shared" si="0"/>
        <v>"C:\Program Files (x86)\AstroGrep\AstroGrep.exe" /spath="%USERPROFILE%\AppData\Local\Temp\OnboardLogs" /stypes="*4027*201609121*" /stext=" 11:.+((SYSTEM_STATE.+slice.+state.+changed )|(ment ac)|(system.+state.+changed )|(\|lc)|(penalty)|(\[timeout)|(PRM\|1\|D)|(kpr)|(kdp))" /e /r /s</v>
      </c>
      <c r="U19" s="9" t="str">
        <f t="shared" si="1"/>
        <v>4027</v>
      </c>
      <c r="V19" s="38">
        <f t="shared" si="2"/>
        <v>42625.485185185185</v>
      </c>
      <c r="W19" s="52" t="str">
        <f t="shared" si="3"/>
        <v>EC</v>
      </c>
      <c r="X19" s="52" t="str">
        <f t="shared" si="4"/>
        <v>KEEP</v>
      </c>
      <c r="Y19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{"issue":{"subject":"","project_id":79,"tracker_id":40,"status_id":1,"priority_id":2,"assigned_to_id":23,"start_date":"2016-09-12","description":"","custom_fields":[{"id":1,"name":"Subdivision","value":"EC"},{"id":4,"name":"Milepost","value":"11.6838"},{"id":17,"name":"Train ID","value":"113-12"},{"id":16,"name":"Locomotive ID","value":"4027"},{"id":130,"name":"Impact","value":""},{"id":150,"name":"Time of Event (Mountain Time)","value":"05:38:40"},{"id":151,"name":"Denver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55"/>
    </row>
    <row r="20" spans="1:28" s="1" customFormat="1" x14ac:dyDescent="0.25">
      <c r="A20" s="38">
        <v>42625.295243055552</v>
      </c>
      <c r="B20" s="33" t="s">
        <v>304</v>
      </c>
      <c r="C20" s="33" t="s">
        <v>381</v>
      </c>
      <c r="D20" s="33" t="s">
        <v>106</v>
      </c>
      <c r="E20" s="33" t="s">
        <v>56</v>
      </c>
      <c r="F20" s="49">
        <v>700</v>
      </c>
      <c r="G20" s="49">
        <v>755</v>
      </c>
      <c r="H20" s="49">
        <v>178493</v>
      </c>
      <c r="I20" s="49">
        <v>174512</v>
      </c>
      <c r="J20" s="33" t="s">
        <v>57</v>
      </c>
      <c r="K20" s="49">
        <v>183829</v>
      </c>
      <c r="L20" s="150" t="s">
        <v>53</v>
      </c>
      <c r="M20" s="153">
        <f t="shared" si="6"/>
        <v>-4919.3760000000002</v>
      </c>
      <c r="N20" s="92" t="str">
        <f>VLOOKUP(C20,'Trips&amp;Operators'!$C$1:$E$99999,3,FALSE)</f>
        <v>RICHARDSON</v>
      </c>
      <c r="O20" s="174" t="s">
        <v>86</v>
      </c>
      <c r="P20" s="10"/>
      <c r="Q20" s="33"/>
      <c r="R20" s="108" t="str">
        <f>VLOOKUP(C20,'Train Runs'!$A$13:$AE$10033,31,0)</f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S20" s="111" t="str">
        <f>VLOOKUP(C20,'Train Runs'!$A$13:$AE$10033,22,0)</f>
        <v>https://search-rtdc-monitor-bjffxe2xuh6vdkpspy63sjmuny.us-east-1.es.amazonaws.com/_plugin/kibana/#/discover/Steve-Slow-Train-Analysis-(2080s-and-2083s)?_g=(refreshInterval:(display:Off,section:0,value:0),time:(from:'2016-09-12 05:45:25-0600',mode:absolute,to:'2016-09-12 08:42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20" s="113" t="str">
        <f t="shared" si="0"/>
        <v>"C:\Program Files (x86)\AstroGrep\AstroGrep.exe" /spath="%USERPROFILE%\AppData\Local\Temp\OnboardLogs" /stypes="*4013*201609121*" /stext=" 13:.+((SYSTEM_STATE.+slice.+state.+changed )|(ment ac)|(system.+state.+changed )|(\|lc)|(penalty)|(\[timeout)|(PRM\|1\|D)|(kpr)|(kdp))" /e /r /s</v>
      </c>
      <c r="U20" s="9" t="str">
        <f t="shared" si="1"/>
        <v>4013</v>
      </c>
      <c r="V20" s="38">
        <f t="shared" si="2"/>
        <v>42625.545243055552</v>
      </c>
      <c r="W20" s="52" t="str">
        <f t="shared" si="3"/>
        <v>EC</v>
      </c>
      <c r="X20" s="52" t="str">
        <f t="shared" si="4"/>
        <v>KEEP</v>
      </c>
      <c r="Y20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{"issue":{"subject":"","project_id":79,"tracker_id":40,"status_id":1,"priority_id":2,"assigned_to_id":23,"start_date":"2016-09-12","description":"","custom_fields":[{"id":1,"name":"Subdivision","value":"EC"},{"id":4,"name":"Milepost","value":"18.3829"},{"id":17,"name":"Train ID","value":"120-12"},{"id":16,"name":"Locomotive ID","value":"4013"},{"id":130,"name":"Impact","value":""},{"id":150,"name":"Time of Event (Mountain Time)","value":"07:05:09"},{"id":151,"name":"Denver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55"/>
    </row>
    <row r="21" spans="1:28" s="1" customFormat="1" x14ac:dyDescent="0.25">
      <c r="A21" s="38">
        <v>42625.431030092594</v>
      </c>
      <c r="B21" s="33" t="s">
        <v>305</v>
      </c>
      <c r="C21" s="33" t="s">
        <v>393</v>
      </c>
      <c r="D21" s="33" t="s">
        <v>49</v>
      </c>
      <c r="E21" s="33" t="s">
        <v>56</v>
      </c>
      <c r="F21" s="49">
        <v>450</v>
      </c>
      <c r="G21" s="49">
        <v>501</v>
      </c>
      <c r="H21" s="49">
        <v>190192</v>
      </c>
      <c r="I21" s="49">
        <v>191793</v>
      </c>
      <c r="J21" s="33" t="s">
        <v>57</v>
      </c>
      <c r="K21" s="49">
        <v>190834</v>
      </c>
      <c r="L21" s="150" t="s">
        <v>52</v>
      </c>
      <c r="M21" s="153">
        <f t="shared" si="6"/>
        <v>-506.35199999999998</v>
      </c>
      <c r="N21" s="92" t="str">
        <f>VLOOKUP(C21,'Trips&amp;Operators'!$C$1:$E$99999,3,FALSE)</f>
        <v>SPECTOR</v>
      </c>
      <c r="O21" s="174" t="s">
        <v>86</v>
      </c>
      <c r="P21" s="10"/>
      <c r="Q21" s="33"/>
      <c r="R21" s="108" t="str">
        <f>VLOOKUP(C21,'Train Runs'!$A$13:$AE$10033,31,0)</f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S21" s="111" t="str">
        <f>VLOOKUP(C21,'Train Runs'!$A$13:$AE$10033,22,0)</f>
        <v>https://search-rtdc-monitor-bjffxe2xuh6vdkpspy63sjmuny.us-east-1.es.amazonaws.com/_plugin/kibana/#/discover/Steve-Slow-Train-Analysis-(2080s-and-2083s)?_g=(refreshInterval:(display:Off,section:0,value:0),time:(from:'2016-09-12 08:40:02-0600',mode:absolute,to:'2016-09-12 11:27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21" s="113" t="str">
        <f t="shared" si="0"/>
        <v>"C:\Program Files (x86)\AstroGrep\AstroGrep.exe" /spath="%USERPROFILE%\AppData\Local\Temp\OnboardLogs" /stypes="*4002*201609121*" /stext=" 16:.+((SYSTEM_STATE.+slice.+state.+changed )|(ment ac)|(system.+state.+changed )|(\|lc)|(penalty)|(\[timeout)|(PRM\|1\|D)|(kpr)|(kdp))" /e /r /s</v>
      </c>
      <c r="U21" s="9" t="str">
        <f t="shared" si="1"/>
        <v>4002</v>
      </c>
      <c r="V21" s="38">
        <f t="shared" si="2"/>
        <v>42625.681030092594</v>
      </c>
      <c r="W21" s="52" t="str">
        <f t="shared" si="3"/>
        <v>EC</v>
      </c>
      <c r="X21" s="52" t="str">
        <f t="shared" si="4"/>
        <v>KEEP</v>
      </c>
      <c r="Y21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{"issue":{"subject":"","project_id":79,"tracker_id":40,"status_id":1,"priority_id":2,"assigned_to_id":23,"start_date":"2016-09-12","description":"","custom_fields":[{"id":1,"name":"Subdivision","value":"EC"},{"id":4,"name":"Milepost","value":"19.0834"},{"id":17,"name":"Train ID","value":"149-12"},{"id":16,"name":"Locomotive ID","value":"4002"},{"id":130,"name":"Impact","value":""},{"id":150,"name":"Time of Event (Mountain Time)","value":"10:20:41"},{"id":151,"name":"Denver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55"/>
    </row>
    <row r="22" spans="1:28" x14ac:dyDescent="0.25">
      <c r="A22" s="38">
        <v>42625.562476851854</v>
      </c>
      <c r="B22" s="33" t="s">
        <v>132</v>
      </c>
      <c r="C22" s="33" t="s">
        <v>404</v>
      </c>
      <c r="D22" s="33" t="s">
        <v>106</v>
      </c>
      <c r="E22" s="33" t="s">
        <v>56</v>
      </c>
      <c r="F22" s="49">
        <v>350</v>
      </c>
      <c r="G22" s="49">
        <v>405</v>
      </c>
      <c r="H22" s="49">
        <v>228111</v>
      </c>
      <c r="I22" s="49">
        <v>229363</v>
      </c>
      <c r="J22" s="33" t="s">
        <v>57</v>
      </c>
      <c r="K22" s="49">
        <v>224578</v>
      </c>
      <c r="L22" s="150" t="s">
        <v>52</v>
      </c>
      <c r="M22" s="153">
        <f t="shared" si="6"/>
        <v>-2526.48</v>
      </c>
      <c r="N22" s="92" t="str">
        <f>VLOOKUP(C22,'Trips&amp;Operators'!$C$1:$E$99999,3,FALSE)</f>
        <v>STEWART</v>
      </c>
      <c r="O22" s="174" t="s">
        <v>86</v>
      </c>
      <c r="P22" s="10"/>
      <c r="Q22" s="33"/>
      <c r="R22" s="108" t="str">
        <f>VLOOKUP(C22,'Train Runs'!$A$13:$AE$10033,31,0)</f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S22" s="111" t="str">
        <f>VLOOKUP(C22,'Train Runs'!$A$13:$AE$10033,22,0)</f>
        <v>https://search-rtdc-monitor-bjffxe2xuh6vdkpspy63sjmuny.us-east-1.es.amazonaws.com/_plugin/kibana/#/discover/Steve-Slow-Train-Analysis-(2080s-and-2083s)?_g=(refreshInterval:(display:Off,section:0,value:0),time:(from:'2016-09-12 11:48:41-0600',mode:absolute,to:'2016-09-12 14:32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T22" s="113" t="str">
        <f t="shared" si="0"/>
        <v>"C:\Program Files (x86)\AstroGrep\AstroGrep.exe" /spath="%USERPROFILE%\AppData\Local\Temp\OnboardLogs" /stypes="*4009*201609121*" /stext=" 19:.+((SYSTEM_STATE.+slice.+state.+changed )|(ment ac)|(system.+state.+changed )|(\|lc)|(penalty)|(\[timeout)|(PRM\|1\|D)|(kpr)|(kdp))" /e /r /s</v>
      </c>
      <c r="U22" s="9" t="str">
        <f t="shared" si="1"/>
        <v>4009</v>
      </c>
      <c r="V22" s="38">
        <f t="shared" si="2"/>
        <v>42625.812476851854</v>
      </c>
      <c r="W22" s="52" t="str">
        <f t="shared" si="3"/>
        <v>EC</v>
      </c>
      <c r="X22" s="52" t="str">
        <f t="shared" si="4"/>
        <v>KEEP</v>
      </c>
      <c r="Y22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{"issue":{"subject":"","project_id":79,"tracker_id":40,"status_id":1,"priority_id":2,"assigned_to_id":23,"start_date":"2016-09-12","description":"","custom_fields":[{"id":1,"name":"Subdivision","value":"EC"},{"id":4,"name":"Milepost","value":"22.4578"},{"id":17,"name":"Train ID","value":"173-12"},{"id":16,"name":"Locomotive ID","value":"4009"},{"id":130,"name":"Impact","value":""},{"id":150,"name":"Time of Event (Mountain Time)","value":"13:29:58"},{"id":151,"name":"Denver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55"/>
    </row>
    <row r="23" spans="1:28" x14ac:dyDescent="0.25">
      <c r="A23" s="38">
        <v>42625.208692129629</v>
      </c>
      <c r="B23" s="33" t="s">
        <v>109</v>
      </c>
      <c r="C23" s="33" t="s">
        <v>374</v>
      </c>
      <c r="D23" s="33" t="s">
        <v>49</v>
      </c>
      <c r="E23" s="33" t="s">
        <v>54</v>
      </c>
      <c r="F23" s="49">
        <v>0</v>
      </c>
      <c r="G23" s="49">
        <v>101</v>
      </c>
      <c r="H23" s="49">
        <v>1178</v>
      </c>
      <c r="I23" s="49">
        <v>1333</v>
      </c>
      <c r="J23" s="33" t="s">
        <v>55</v>
      </c>
      <c r="K23" s="49">
        <v>1692</v>
      </c>
      <c r="L23" s="150" t="s">
        <v>52</v>
      </c>
      <c r="M23" s="153">
        <f t="shared" si="6"/>
        <v>189.55199999999999</v>
      </c>
      <c r="N23" s="92" t="str">
        <f>VLOOKUP(C23,'Trips&amp;Operators'!$C$1:$E$99999,3,FALSE)</f>
        <v>STARKS</v>
      </c>
      <c r="O23" s="174" t="s">
        <v>86</v>
      </c>
      <c r="P23" s="10" t="s">
        <v>751</v>
      </c>
      <c r="Q23" s="33"/>
      <c r="R23" s="108" t="str">
        <f>VLOOKUP(C23,'Train Runs'!$A$13:$AE$10033,31,0)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S23" s="111" t="str">
        <f>VLOOKUP(C23,'Train Runs'!$A$13:$AE$10033,22,0)</f>
        <v>https://search-rtdc-monitor-bjffxe2xuh6vdkpspy63sjmuny.us-east-1.es.amazonaws.com/_plugin/kibana/#/discover/Steve-Slow-Train-Analysis-(2080s-and-2083s)?_g=(refreshInterval:(display:Off,section:0,value:0),time:(from:'2016-09-12 04:06:01-0600',mode:absolute,to:'2016-09-12 06:38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23" s="113" t="str">
        <f t="shared" si="0"/>
        <v>"C:\Program Files (x86)\AstroGrep\AstroGrep.exe" /spath="%USERPROFILE%\AppData\Local\Temp\OnboardLogs" /stypes="*4031*201609121*" /stext=" 11:.+((SYSTEM_STATE.+slice.+state.+changed )|(ment ac)|(system.+state.+changed )|(\|lc)|(penalty)|(\[timeout)|(PRM\|1\|D)|(kpr)|(kdp))" /e /r /s</v>
      </c>
      <c r="U23" s="9" t="str">
        <f t="shared" si="1"/>
        <v>4031</v>
      </c>
      <c r="V23" s="38">
        <f t="shared" si="2"/>
        <v>42625.458692129629</v>
      </c>
      <c r="W23" s="52" t="str">
        <f t="shared" si="3"/>
        <v>EC</v>
      </c>
      <c r="X23" s="52" t="str">
        <f t="shared" si="4"/>
        <v>KEEP</v>
      </c>
      <c r="Y23" s="134" t="str">
        <f t="shared" si="5"/>
        <v>echo {"issue":{"subject":"DUS 2N was STOP because 20N was STOP","project_id":79,"tracker_id":40,"status_id":1,"priority_id":2,"assigned_to_id":23,"start_date":"2016-09-12","description":"","custom_fields":[{"id":1,"name":"Subdivision","value":"EC"},{"id":4,"name":"Milepost","value":"0.1692"},{"id":17,"name":"Train ID","value":"111-12"},{"id":16,"name":"Locomotive ID","value":"4031"},{"id":130,"name":"Impact","value":""},{"id":150,"name":"Time of Event (Mountain Time)","value":"05:00:31"},{"id":151,"name":"Denver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55"/>
    </row>
    <row r="24" spans="1:28" x14ac:dyDescent="0.25">
      <c r="A24" s="38">
        <v>42625.498101851852</v>
      </c>
      <c r="B24" s="33" t="s">
        <v>255</v>
      </c>
      <c r="C24" s="33" t="s">
        <v>400</v>
      </c>
      <c r="D24" s="33" t="s">
        <v>49</v>
      </c>
      <c r="E24" s="33" t="s">
        <v>54</v>
      </c>
      <c r="F24" s="49">
        <v>0</v>
      </c>
      <c r="G24" s="49">
        <v>355</v>
      </c>
      <c r="H24" s="49">
        <v>129019</v>
      </c>
      <c r="I24" s="49">
        <v>128253</v>
      </c>
      <c r="J24" s="33" t="s">
        <v>55</v>
      </c>
      <c r="K24" s="49">
        <v>127587</v>
      </c>
      <c r="L24" s="150" t="s">
        <v>53</v>
      </c>
      <c r="M24" s="153">
        <f t="shared" si="6"/>
        <v>351.64800000000002</v>
      </c>
      <c r="N24" s="92" t="str">
        <f>VLOOKUP(C24,'Trips&amp;Operators'!$C$1:$E$99999,3,FALSE)</f>
        <v>MALAVE</v>
      </c>
      <c r="O24" s="174" t="s">
        <v>86</v>
      </c>
      <c r="P24" s="10" t="s">
        <v>372</v>
      </c>
      <c r="Q24" s="33"/>
      <c r="R24" s="108" t="str">
        <f>VLOOKUP(C24,'Train Runs'!$A$13:$AE$10033,31,0)</f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S24" s="111" t="str">
        <f>VLOOKUP(C24,'Train Runs'!$A$13:$AE$10033,22,0)</f>
        <v>https://search-rtdc-monitor-bjffxe2xuh6vdkpspy63sjmuny.us-east-1.es.amazonaws.com/_plugin/kibana/#/discover/Steve-Slow-Train-Analysis-(2080s-and-2083s)?_g=(refreshInterval:(display:Off,section:0,value:0),time:(from:'2016-09-12 10:37:01-0600',mode:absolute,to:'2016-09-12 13:28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24" s="113" t="str">
        <f t="shared" si="0"/>
        <v>"C:\Program Files (x86)\AstroGrep\AstroGrep.exe" /spath="%USERPROFILE%\AppData\Local\Temp\OnboardLogs" /stypes="*4037*201609121*" /stext=" 17:.+((SYSTEM_STATE.+slice.+state.+changed )|(ment ac)|(system.+state.+changed )|(\|lc)|(penalty)|(\[timeout)|(PRM\|1\|D)|(kpr)|(kdp))" /e /r /s</v>
      </c>
      <c r="U24" s="9" t="str">
        <f t="shared" si="1"/>
        <v>4037</v>
      </c>
      <c r="V24" s="38">
        <f t="shared" si="2"/>
        <v>42625.748101851852</v>
      </c>
      <c r="W24" s="52" t="str">
        <f t="shared" si="3"/>
        <v>EC</v>
      </c>
      <c r="X24" s="52" t="str">
        <f t="shared" si="4"/>
        <v>KEEP</v>
      </c>
      <c r="Y24" s="134" t="str">
        <f t="shared" si="5"/>
        <v>echo {"issue":{"subject":"40th 4S STOP, cleared shortly","project_id":79,"tracker_id":40,"status_id":1,"priority_id":2,"assigned_to_id":23,"start_date":"2016-09-12","description":"","custom_fields":[{"id":1,"name":"Subdivision","value":"EC"},{"id":4,"name":"Milepost","value":"12.7587"},{"id":17,"name":"Train ID","value":"158-12"},{"id":16,"name":"Locomotive ID","value":"4037"},{"id":130,"name":"Impact","value":""},{"id":150,"name":"Time of Event (Mountain Time)","value":"11:57:16"},{"id":151,"name":"Denver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55"/>
    </row>
    <row r="25" spans="1:28" ht="15" customHeight="1" x14ac:dyDescent="0.25">
      <c r="A25" s="38">
        <v>42625.429791666669</v>
      </c>
      <c r="B25" s="33" t="s">
        <v>305</v>
      </c>
      <c r="C25" s="33" t="s">
        <v>393</v>
      </c>
      <c r="D25" s="33" t="s">
        <v>49</v>
      </c>
      <c r="E25" s="33" t="s">
        <v>54</v>
      </c>
      <c r="F25" s="49">
        <v>0</v>
      </c>
      <c r="G25" s="49">
        <v>631</v>
      </c>
      <c r="H25" s="49">
        <v>185198</v>
      </c>
      <c r="I25" s="49">
        <v>188054</v>
      </c>
      <c r="J25" s="33" t="s">
        <v>55</v>
      </c>
      <c r="K25" s="49">
        <v>190738</v>
      </c>
      <c r="L25" s="150" t="s">
        <v>52</v>
      </c>
      <c r="M25" s="153">
        <f t="shared" si="6"/>
        <v>1417.1520000000003</v>
      </c>
      <c r="N25" s="92" t="str">
        <f>VLOOKUP(C25,'Trips&amp;Operators'!$C$1:$E$99999,3,FALSE)</f>
        <v>SPECTOR</v>
      </c>
      <c r="O25" s="174" t="s">
        <v>86</v>
      </c>
      <c r="P25" s="10" t="s">
        <v>753</v>
      </c>
      <c r="Q25" s="33"/>
      <c r="R25" s="108" t="str">
        <f>VLOOKUP(C25,'Train Runs'!$A$13:$AE$10033,31,0)</f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S25" s="111" t="str">
        <f>VLOOKUP(C25,'Train Runs'!$A$13:$AE$10033,22,0)</f>
        <v>https://search-rtdc-monitor-bjffxe2xuh6vdkpspy63sjmuny.us-east-1.es.amazonaws.com/_plugin/kibana/#/discover/Steve-Slow-Train-Analysis-(2080s-and-2083s)?_g=(refreshInterval:(display:Off,section:0,value:0),time:(from:'2016-09-12 08:40:02-0600',mode:absolute,to:'2016-09-12 11:27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25" s="113" t="str">
        <f t="shared" si="0"/>
        <v>"C:\Program Files (x86)\AstroGrep\AstroGrep.exe" /spath="%USERPROFILE%\AppData\Local\Temp\OnboardLogs" /stypes="*4002*201609121*" /stext=" 16:.+((SYSTEM_STATE.+slice.+state.+changed )|(ment ac)|(system.+state.+changed )|(\|lc)|(penalty)|(\[timeout)|(PRM\|1\|D)|(kpr)|(kdp))" /e /r /s</v>
      </c>
      <c r="U25" s="9" t="str">
        <f t="shared" si="1"/>
        <v>4002</v>
      </c>
      <c r="V25" s="38">
        <f t="shared" si="2"/>
        <v>42625.679791666669</v>
      </c>
      <c r="W25" s="52" t="str">
        <f t="shared" si="3"/>
        <v>EC</v>
      </c>
      <c r="X25" s="52" t="str">
        <f t="shared" si="4"/>
        <v>KEEP</v>
      </c>
      <c r="Y25" s="134" t="str">
        <f t="shared" si="5"/>
        <v>echo {"issue":{"subject":"Pena 2N STOP, cleared shortly","project_id":79,"tracker_id":40,"status_id":1,"priority_id":2,"assigned_to_id":23,"start_date":"2016-09-12","description":"","custom_fields":[{"id":1,"name":"Subdivision","value":"EC"},{"id":4,"name":"Milepost","value":"19.0738"},{"id":17,"name":"Train ID","value":"149-12"},{"id":16,"name":"Locomotive ID","value":"4002"},{"id":130,"name":"Impact","value":""},{"id":150,"name":"Time of Event (Mountain Time)","value":"10:18:54"},{"id":151,"name":"Denver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55"/>
    </row>
    <row r="26" spans="1:28" x14ac:dyDescent="0.25">
      <c r="A26" s="38">
        <v>42625.313425925924</v>
      </c>
      <c r="B26" s="33" t="s">
        <v>183</v>
      </c>
      <c r="C26" s="33" t="s">
        <v>386</v>
      </c>
      <c r="D26" s="33" t="s">
        <v>49</v>
      </c>
      <c r="E26" s="33" t="s">
        <v>54</v>
      </c>
      <c r="F26" s="49">
        <v>0</v>
      </c>
      <c r="G26" s="49">
        <v>569</v>
      </c>
      <c r="H26" s="49">
        <v>195169</v>
      </c>
      <c r="I26" s="49">
        <v>193587</v>
      </c>
      <c r="J26" s="33" t="s">
        <v>55</v>
      </c>
      <c r="K26" s="49">
        <v>191723</v>
      </c>
      <c r="L26" s="150" t="s">
        <v>53</v>
      </c>
      <c r="M26" s="153">
        <f t="shared" si="6"/>
        <v>984.19200000000001</v>
      </c>
      <c r="N26" s="92" t="str">
        <f>VLOOKUP(C26,'Trips&amp;Operators'!$C$1:$E$99999,3,FALSE)</f>
        <v>YORK</v>
      </c>
      <c r="O26" s="174" t="s">
        <v>86</v>
      </c>
      <c r="P26" s="10" t="s">
        <v>371</v>
      </c>
      <c r="Q26" s="33"/>
      <c r="R26" s="108" t="str">
        <f>VLOOKUP(C26,'Train Runs'!$A$13:$AE$10033,31,0)</f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S26" s="111" t="str">
        <f>VLOOKUP(C26,'Train Runs'!$A$13:$AE$10033,22,0)</f>
        <v>https://search-rtdc-monitor-bjffxe2xuh6vdkpspy63sjmuny.us-east-1.es.amazonaws.com/_plugin/kibana/#/discover/Steve-Slow-Train-Analysis-(2080s-and-2083s)?_g=(refreshInterval:(display:Off,section:0,value:0),time:(from:'2016-09-12 06:09:55-0600',mode:absolute,to:'2016-09-12 09:04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26" s="113" t="str">
        <f t="shared" si="0"/>
        <v>"C:\Program Files (x86)\AstroGrep\AstroGrep.exe" /spath="%USERPROFILE%\AppData\Local\Temp\OnboardLogs" /stypes="*4041*201609121*" /stext=" 13:.+((SYSTEM_STATE.+slice.+state.+changed )|(ment ac)|(system.+state.+changed )|(\|lc)|(penalty)|(\[timeout)|(PRM\|1\|D)|(kpr)|(kdp))" /e /r /s</v>
      </c>
      <c r="U26" s="9" t="str">
        <f t="shared" si="1"/>
        <v>4041</v>
      </c>
      <c r="V26" s="38">
        <f t="shared" si="2"/>
        <v>42625.563425925924</v>
      </c>
      <c r="W26" s="52" t="str">
        <f t="shared" si="3"/>
        <v>EC</v>
      </c>
      <c r="X26" s="52" t="str">
        <f t="shared" si="4"/>
        <v>KEEP</v>
      </c>
      <c r="Y26" s="134" t="str">
        <f t="shared" si="5"/>
        <v>echo {"issue":{"subject":"Pena 4S STOP, cleared shortly","project_id":79,"tracker_id":40,"status_id":1,"priority_id":2,"assigned_to_id":23,"start_date":"2016-09-12","description":"","custom_fields":[{"id":1,"name":"Subdivision","value":"EC"},{"id":4,"name":"Milepost","value":"19.1723"},{"id":17,"name":"Train ID","value":"124-12"},{"id":16,"name":"Locomotive ID","value":"4041"},{"id":130,"name":"Impact","value":""},{"id":150,"name":"Time of Event (Mountain Time)","value":"07:31:20"},{"id":151,"name":"Denver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55"/>
    </row>
    <row r="27" spans="1:28" x14ac:dyDescent="0.25">
      <c r="A27" s="38">
        <v>42625.491608796299</v>
      </c>
      <c r="B27" s="33" t="s">
        <v>255</v>
      </c>
      <c r="C27" s="33" t="s">
        <v>400</v>
      </c>
      <c r="D27" s="33" t="s">
        <v>49</v>
      </c>
      <c r="E27" s="33" t="s">
        <v>54</v>
      </c>
      <c r="F27" s="49">
        <v>0</v>
      </c>
      <c r="G27" s="49">
        <v>613</v>
      </c>
      <c r="H27" s="49">
        <v>195422</v>
      </c>
      <c r="I27" s="49">
        <v>193500</v>
      </c>
      <c r="J27" s="33" t="s">
        <v>55</v>
      </c>
      <c r="K27" s="49">
        <v>191723</v>
      </c>
      <c r="L27" s="150" t="s">
        <v>53</v>
      </c>
      <c r="M27" s="153">
        <f t="shared" si="6"/>
        <v>938.25599999999997</v>
      </c>
      <c r="N27" s="92" t="str">
        <f>VLOOKUP(C27,'Trips&amp;Operators'!$C$1:$E$99999,3,FALSE)</f>
        <v>MALAVE</v>
      </c>
      <c r="O27" s="174" t="s">
        <v>86</v>
      </c>
      <c r="P27" s="10" t="s">
        <v>371</v>
      </c>
      <c r="Q27" s="33"/>
      <c r="R27" s="108" t="str">
        <f>VLOOKUP(C27,'Train Runs'!$A$13:$AE$10033,31,0)</f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S27" s="111" t="str">
        <f>VLOOKUP(C27,'Train Runs'!$A$13:$AE$10033,22,0)</f>
        <v>https://search-rtdc-monitor-bjffxe2xuh6vdkpspy63sjmuny.us-east-1.es.amazonaws.com/_plugin/kibana/#/discover/Steve-Slow-Train-Analysis-(2080s-and-2083s)?_g=(refreshInterval:(display:Off,section:0,value:0),time:(from:'2016-09-12 10:37:01-0600',mode:absolute,to:'2016-09-12 13:28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27" s="113" t="str">
        <f t="shared" si="0"/>
        <v>"C:\Program Files (x86)\AstroGrep\AstroGrep.exe" /spath="%USERPROFILE%\AppData\Local\Temp\OnboardLogs" /stypes="*4037*201609121*" /stext=" 17:.+((SYSTEM_STATE.+slice.+state.+changed )|(ment ac)|(system.+state.+changed )|(\|lc)|(penalty)|(\[timeout)|(PRM\|1\|D)|(kpr)|(kdp))" /e /r /s</v>
      </c>
      <c r="U27" s="9" t="str">
        <f t="shared" si="1"/>
        <v>4037</v>
      </c>
      <c r="V27" s="38">
        <f t="shared" si="2"/>
        <v>42625.741608796299</v>
      </c>
      <c r="W27" s="52" t="str">
        <f t="shared" si="3"/>
        <v>EC</v>
      </c>
      <c r="X27" s="52" t="str">
        <f t="shared" si="4"/>
        <v>KEEP</v>
      </c>
      <c r="Y27" s="134" t="str">
        <f t="shared" si="5"/>
        <v>echo {"issue":{"subject":"Pena 4S STOP, cleared shortly","project_id":79,"tracker_id":40,"status_id":1,"priority_id":2,"assigned_to_id":23,"start_date":"2016-09-12","description":"","custom_fields":[{"id":1,"name":"Subdivision","value":"EC"},{"id":4,"name":"Milepost","value":"19.1723"},{"id":17,"name":"Train ID","value":"158-12"},{"id":16,"name":"Locomotive ID","value":"4037"},{"id":130,"name":"Impact","value":""},{"id":150,"name":"Time of Event (Mountain Time)","value":"11:47:55"},{"id":151,"name":"Denver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55"/>
    </row>
    <row r="28" spans="1:28" x14ac:dyDescent="0.25">
      <c r="A28" s="38">
        <v>42625.918749999997</v>
      </c>
      <c r="B28" s="33" t="s">
        <v>306</v>
      </c>
      <c r="C28" s="33" t="s">
        <v>418</v>
      </c>
      <c r="D28" s="33" t="s">
        <v>106</v>
      </c>
      <c r="E28" s="33" t="s">
        <v>298</v>
      </c>
      <c r="F28" s="49">
        <v>0</v>
      </c>
      <c r="G28" s="49">
        <v>491</v>
      </c>
      <c r="H28" s="49">
        <v>11665</v>
      </c>
      <c r="I28" s="49">
        <v>0</v>
      </c>
      <c r="J28" s="33" t="s">
        <v>299</v>
      </c>
      <c r="K28" s="49">
        <v>17100</v>
      </c>
      <c r="L28" s="150" t="s">
        <v>53</v>
      </c>
      <c r="M28" s="153">
        <f t="shared" si="6"/>
        <v>-9028.7999999999993</v>
      </c>
      <c r="N28" s="92" t="str">
        <f>VLOOKUP(C28,'Trips&amp;Operators'!$C$1:$E$99999,3,FALSE)</f>
        <v>YANAI</v>
      </c>
      <c r="O28" s="174" t="s">
        <v>176</v>
      </c>
      <c r="P28" s="10" t="s">
        <v>182</v>
      </c>
      <c r="Q28" s="33"/>
      <c r="R28" s="108" t="str">
        <f>VLOOKUP(C28,'Train Runs'!$A$13:$AE$10033,31,0)</f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S28" s="111" t="str">
        <f>VLOOKUP(C28,'Train Runs'!$A$13:$AE$10033,22,0)</f>
        <v>https://search-rtdc-monitor-bjffxe2xuh6vdkpspy63sjmuny.us-east-1.es.amazonaws.com/_plugin/kibana/#/discover/Steve-Slow-Train-Analysis-(2080s-and-2083s)?_g=(refreshInterval:(display:Off,section:0,value:0),time:(from:'2016-09-12 20:14:21-0600',mode:absolute,to:'2016-09-12 23:03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28" s="113" t="str">
        <f t="shared" si="0"/>
        <v>"C:\Program Files (x86)\AstroGrep\AstroGrep.exe" /spath="%USERPROFILE%\AppData\Local\Temp\OnboardLogs" /stypes="*4001*201609130*" /stext=" 04:.+((SYSTEM_STATE.+slice.+state.+changed )|(ment ac)|(system.+state.+changed )|(\|lc)|(penalty)|(\[timeout)|(PRM\|1\|D)|(kpr)|(kdp))" /e /r /s</v>
      </c>
      <c r="U28" s="9" t="str">
        <f t="shared" si="1"/>
        <v>4001</v>
      </c>
      <c r="V28" s="38">
        <f t="shared" si="2"/>
        <v>42626.168749999997</v>
      </c>
      <c r="W28" s="52" t="str">
        <f t="shared" si="3"/>
        <v>EC</v>
      </c>
      <c r="X28" s="52" t="str">
        <f t="shared" si="4"/>
        <v>KEEP</v>
      </c>
      <c r="Y28" s="134" t="str">
        <f t="shared" si="5"/>
        <v>echo {"issue":{"subject":"Wi-MAX outage","project_id":79,"tracker_id":40,"status_id":1,"priority_id":2,"assigned_to_id":23,"start_date":"2016-09-12","description":"","custom_fields":[{"id":1,"name":"Subdivision","value":"EC"},{"id":4,"name":"Milepost","value":"1.71"},{"id":17,"name":"Train ID","value":"228-12"},{"id":16,"name":"Locomotive ID","value":"4001"},{"id":130,"name":"Impact","value":""},{"id":150,"name":"Time of Event (Mountain Time)","value":"22:03:00"},{"id":151,"name":"Denver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55"/>
    </row>
    <row r="29" spans="1:28" x14ac:dyDescent="0.25">
      <c r="A29" s="38">
        <v>42625.433981481481</v>
      </c>
      <c r="B29" s="33" t="s">
        <v>286</v>
      </c>
      <c r="C29" s="33" t="s">
        <v>394</v>
      </c>
      <c r="D29" s="33" t="s">
        <v>49</v>
      </c>
      <c r="E29" s="33" t="s">
        <v>50</v>
      </c>
      <c r="F29" s="49">
        <v>0</v>
      </c>
      <c r="G29" s="49">
        <v>59</v>
      </c>
      <c r="H29" s="49">
        <v>216</v>
      </c>
      <c r="I29" s="49">
        <v>145</v>
      </c>
      <c r="J29" s="33" t="s">
        <v>51</v>
      </c>
      <c r="K29" s="49">
        <v>1</v>
      </c>
      <c r="L29" s="150" t="s">
        <v>53</v>
      </c>
      <c r="M29" s="153">
        <f t="shared" si="6"/>
        <v>76.031999999999996</v>
      </c>
      <c r="N29" s="92" t="str">
        <f>VLOOKUP(C29,'Trips&amp;Operators'!$C$1:$E$99999,3,FALSE)</f>
        <v>KILLION</v>
      </c>
      <c r="O29" s="174" t="s">
        <v>86</v>
      </c>
      <c r="P29" s="10"/>
      <c r="Q29" s="33"/>
      <c r="R29" s="108" t="str">
        <f>VLOOKUP(C29,'Train Runs'!$A$13:$AE$10033,31,0)</f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S29" s="111" t="str">
        <f>VLOOKUP(C29,'Train Runs'!$A$13:$AE$10033,22,0)</f>
        <v>https://search-rtdc-monitor-bjffxe2xuh6vdkpspy63sjmuny.us-east-1.es.amazonaws.com/_plugin/kibana/#/discover/Steve-Slow-Train-Analysis-(2080s-and-2083s)?_g=(refreshInterval:(display:Off,section:0,value:0),time:(from:'2016-09-12 08:30:11-0600',mode:absolute,to:'2016-09-12 11:08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T29" s="113" t="str">
        <f t="shared" si="0"/>
        <v>"C:\Program Files (x86)\AstroGrep\AstroGrep.exe" /spath="%USERPROFILE%\AppData\Local\Temp\OnboardLogs" /stypes="*4028*201609121*" /stext=" 16:.+((SYSTEM_STATE.+slice.+state.+changed )|(ment ac)|(system.+state.+changed )|(\|lc)|(penalty)|(\[timeout)|(PRM\|1\|D)|(kpr)|(kdp))" /e /r /s</v>
      </c>
      <c r="U29" s="9" t="str">
        <f t="shared" si="1"/>
        <v>4028</v>
      </c>
      <c r="V29" s="38">
        <f t="shared" si="2"/>
        <v>42625.683981481481</v>
      </c>
      <c r="W29" s="52" t="str">
        <f t="shared" si="3"/>
        <v>EC</v>
      </c>
      <c r="X29" s="52" t="str">
        <f t="shared" si="4"/>
        <v>KEEP</v>
      </c>
      <c r="Y29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{"issue":{"subject":"","project_id":79,"tracker_id":40,"status_id":1,"priority_id":2,"assigned_to_id":23,"start_date":"2016-09-12","description":"","custom_fields":[{"id":1,"name":"Subdivision","value":"EC"},{"id":4,"name":"Milepost","value":"0.0001"},{"id":17,"name":"Train ID","value":"142-12"},{"id":16,"name":"Locomotive ID","value":"4028"},{"id":130,"name":"Impact","value":""},{"id":150,"name":"Time of Event (Mountain Time)","value":"10:24:56"},{"id":151,"name":"Denver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55"/>
    </row>
    <row r="30" spans="1:28" x14ac:dyDescent="0.25">
      <c r="A30" s="38">
        <v>42625.455740740741</v>
      </c>
      <c r="B30" s="33" t="s">
        <v>184</v>
      </c>
      <c r="C30" s="33" t="s">
        <v>395</v>
      </c>
      <c r="D30" s="33" t="s">
        <v>49</v>
      </c>
      <c r="E30" s="33" t="s">
        <v>50</v>
      </c>
      <c r="F30" s="49">
        <v>0</v>
      </c>
      <c r="G30" s="49">
        <v>51</v>
      </c>
      <c r="H30" s="49">
        <v>170</v>
      </c>
      <c r="I30" s="49">
        <v>116</v>
      </c>
      <c r="J30" s="33" t="s">
        <v>51</v>
      </c>
      <c r="K30" s="49">
        <v>1</v>
      </c>
      <c r="L30" s="150" t="s">
        <v>53</v>
      </c>
      <c r="M30" s="153">
        <f t="shared" si="6"/>
        <v>60.72</v>
      </c>
      <c r="N30" s="92" t="str">
        <f>VLOOKUP(C30,'Trips&amp;Operators'!$C$1:$E$99999,3,FALSE)</f>
        <v>ACKERMAN</v>
      </c>
      <c r="O30" s="174" t="s">
        <v>86</v>
      </c>
      <c r="P30" s="10"/>
      <c r="Q30" s="33"/>
      <c r="R30" s="108" t="str">
        <f>VLOOKUP(C30,'Train Runs'!$A$13:$AE$10033,31,0)</f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S30" s="111" t="str">
        <f>VLOOKUP(C30,'Train Runs'!$A$13:$AE$10033,22,0)</f>
        <v>https://search-rtdc-monitor-bjffxe2xuh6vdkpspy63sjmuny.us-east-1.es.amazonaws.com/_plugin/kibana/#/discover/Steve-Slow-Train-Analysis-(2080s-and-2083s)?_g=(refreshInterval:(display:Off,section:0,value:0),time:(from:'2016-09-12 09:02:32-0600',mode:absolute,to:'2016-09-12 11:56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30" s="113" t="str">
        <f t="shared" si="0"/>
        <v>"C:\Program Files (x86)\AstroGrep\AstroGrep.exe" /spath="%USERPROFILE%\AppData\Local\Temp\OnboardLogs" /stypes="*4010*201609121*" /stext=" 16:.+((SYSTEM_STATE.+slice.+state.+changed )|(ment ac)|(system.+state.+changed )|(\|lc)|(penalty)|(\[timeout)|(PRM\|1\|D)|(kpr)|(kdp))" /e /r /s</v>
      </c>
      <c r="U30" s="9" t="str">
        <f t="shared" si="1"/>
        <v>4010</v>
      </c>
      <c r="V30" s="38">
        <f t="shared" si="2"/>
        <v>42625.705740740741</v>
      </c>
      <c r="W30" s="52" t="str">
        <f t="shared" si="3"/>
        <v>EC</v>
      </c>
      <c r="X30" s="52" t="str">
        <f t="shared" si="4"/>
        <v>KEEP</v>
      </c>
      <c r="Y30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{"issue":{"subject":"","project_id":79,"tracker_id":40,"status_id":1,"priority_id":2,"assigned_to_id":23,"start_date":"2016-09-12","description":"","custom_fields":[{"id":1,"name":"Subdivision","value":"EC"},{"id":4,"name":"Milepost","value":"0.0001"},{"id":17,"name":"Train ID","value":"146-12"},{"id":16,"name":"Locomotive ID","value":"4010"},{"id":130,"name":"Impact","value":""},{"id":150,"name":"Time of Event (Mountain Time)","value":"10:56:16"},{"id":151,"name":"Denver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55"/>
    </row>
    <row r="31" spans="1:28" x14ac:dyDescent="0.25">
      <c r="A31" s="38">
        <v>42625.473645833335</v>
      </c>
      <c r="B31" s="33" t="s">
        <v>306</v>
      </c>
      <c r="C31" s="33" t="s">
        <v>397</v>
      </c>
      <c r="D31" s="33" t="s">
        <v>49</v>
      </c>
      <c r="E31" s="33" t="s">
        <v>50</v>
      </c>
      <c r="F31" s="49">
        <v>0</v>
      </c>
      <c r="G31" s="49">
        <v>75</v>
      </c>
      <c r="H31" s="49">
        <v>283</v>
      </c>
      <c r="I31" s="49">
        <v>211</v>
      </c>
      <c r="J31" s="33" t="s">
        <v>51</v>
      </c>
      <c r="K31" s="49">
        <v>1</v>
      </c>
      <c r="L31" s="150" t="s">
        <v>53</v>
      </c>
      <c r="M31" s="153">
        <f t="shared" si="6"/>
        <v>110.88</v>
      </c>
      <c r="N31" s="92" t="str">
        <f>VLOOKUP(C31,'Trips&amp;Operators'!$C$1:$E$99999,3,FALSE)</f>
        <v>SPECTOR</v>
      </c>
      <c r="O31" s="174" t="s">
        <v>86</v>
      </c>
      <c r="P31" s="10"/>
      <c r="Q31" s="33"/>
      <c r="R31" s="108" t="str">
        <f>VLOOKUP(C31,'Train Runs'!$A$13:$AE$10033,31,0)</f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S31" s="111" t="str">
        <f>VLOOKUP(C31,'Train Runs'!$A$13:$AE$10033,22,0)</f>
        <v>https://search-rtdc-monitor-bjffxe2xuh6vdkpspy63sjmuny.us-east-1.es.amazonaws.com/_plugin/kibana/#/discover/Steve-Slow-Train-Analysis-(2080s-and-2083s)?_g=(refreshInterval:(display:Off,section:0,value:0),time:(from:'2016-09-12 09:37:28-0600',mode:absolute,to:'2016-09-12 12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31" s="113" t="str">
        <f t="shared" si="0"/>
        <v>"C:\Program Files (x86)\AstroGrep\AstroGrep.exe" /spath="%USERPROFILE%\AppData\Local\Temp\OnboardLogs" /stypes="*4001*201609121*" /stext=" 17:.+((SYSTEM_STATE.+slice.+state.+changed )|(ment ac)|(system.+state.+changed )|(\|lc)|(penalty)|(\[timeout)|(PRM\|1\|D)|(kpr)|(kdp))" /e /r /s</v>
      </c>
      <c r="U31" s="9" t="str">
        <f t="shared" si="1"/>
        <v>4001</v>
      </c>
      <c r="V31" s="38">
        <f t="shared" si="2"/>
        <v>42625.723645833335</v>
      </c>
      <c r="W31" s="52" t="str">
        <f t="shared" si="3"/>
        <v>EC</v>
      </c>
      <c r="X31" s="52" t="str">
        <f t="shared" si="4"/>
        <v>KEEP</v>
      </c>
      <c r="Y31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{"issue":{"subject":"","project_id":79,"tracker_id":40,"status_id":1,"priority_id":2,"assigned_to_id":23,"start_date":"2016-09-12","description":"","custom_fields":[{"id":1,"name":"Subdivision","value":"EC"},{"id":4,"name":"Milepost","value":"0.0001"},{"id":17,"name":"Train ID","value":"150-12"},{"id":16,"name":"Locomotive ID","value":"4001"},{"id":130,"name":"Impact","value":""},{"id":150,"name":"Time of Event (Mountain Time)","value":"11:22:03"},{"id":151,"name":"Denver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55"/>
    </row>
    <row r="32" spans="1:28" ht="15" customHeight="1" x14ac:dyDescent="0.25">
      <c r="A32" s="38">
        <v>42625.500520833331</v>
      </c>
      <c r="B32" s="33" t="s">
        <v>378</v>
      </c>
      <c r="C32" s="33" t="s">
        <v>401</v>
      </c>
      <c r="D32" s="33" t="s">
        <v>49</v>
      </c>
      <c r="E32" s="33" t="s">
        <v>50</v>
      </c>
      <c r="F32" s="49">
        <v>0</v>
      </c>
      <c r="G32" s="49">
        <v>41</v>
      </c>
      <c r="H32" s="49">
        <v>167</v>
      </c>
      <c r="I32" s="49">
        <v>138</v>
      </c>
      <c r="J32" s="33" t="s">
        <v>51</v>
      </c>
      <c r="K32" s="49">
        <v>1</v>
      </c>
      <c r="L32" s="150" t="s">
        <v>53</v>
      </c>
      <c r="M32" s="153">
        <f t="shared" si="6"/>
        <v>72.335999999999999</v>
      </c>
      <c r="N32" s="92" t="str">
        <f>VLOOKUP(C32,'Trips&amp;Operators'!$C$1:$E$99999,3,FALSE)</f>
        <v>STARKS</v>
      </c>
      <c r="O32" s="174" t="s">
        <v>86</v>
      </c>
      <c r="P32" s="10"/>
      <c r="Q32" s="33"/>
      <c r="R32" s="108" t="str">
        <f>VLOOKUP(C32,'Train Runs'!$A$13:$AE$10033,31,0)</f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S32" s="111" t="str">
        <f>VLOOKUP(C32,'Train Runs'!$A$13:$AE$10033,22,0)</f>
        <v>https://search-rtdc-monitor-bjffxe2xuh6vdkpspy63sjmuny.us-east-1.es.amazonaws.com/_plugin/kibana/#/discover/Steve-Slow-Train-Analysis-(2080s-and-2083s)?_g=(refreshInterval:(display:Off,section:0,value:0),time:(from:'2016-09-12 10:08:22-0600',mode:absolute,to:'2016-09-12 12:43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2" s="113" t="str">
        <f t="shared" si="0"/>
        <v>"C:\Program Files (x86)\AstroGrep\AstroGrep.exe" /spath="%USERPROFILE%\AppData\Local\Temp\OnboardLogs" /stypes="*4032*201609121*" /stext=" 18:.+((SYSTEM_STATE.+slice.+state.+changed )|(ment ac)|(system.+state.+changed )|(\|lc)|(penalty)|(\[timeout)|(PRM\|1\|D)|(kpr)|(kdp))" /e /r /s</v>
      </c>
      <c r="U32" s="9" t="str">
        <f t="shared" si="1"/>
        <v>4032</v>
      </c>
      <c r="V32" s="38">
        <f t="shared" si="2"/>
        <v>42625.750520833331</v>
      </c>
      <c r="W32" s="52" t="str">
        <f t="shared" si="3"/>
        <v>EC</v>
      </c>
      <c r="X32" s="52" t="str">
        <f t="shared" si="4"/>
        <v>KEEP</v>
      </c>
      <c r="Y32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{"issue":{"subject":"","project_id":79,"tracker_id":40,"status_id":1,"priority_id":2,"assigned_to_id":23,"start_date":"2016-09-12","description":"","custom_fields":[{"id":1,"name":"Subdivision","value":"EC"},{"id":4,"name":"Milepost","value":"0.0001"},{"id":17,"name":"Train ID","value":"154-12"},{"id":16,"name":"Locomotive ID","value":"4032"},{"id":130,"name":"Impact","value":""},{"id":150,"name":"Time of Event (Mountain Time)","value":"12:00:45"},{"id":151,"name":"Denver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55"/>
    </row>
    <row r="33" spans="1:28" x14ac:dyDescent="0.25">
      <c r="A33" s="38">
        <v>42625.634594907409</v>
      </c>
      <c r="B33" s="33" t="s">
        <v>183</v>
      </c>
      <c r="C33" s="33" t="s">
        <v>405</v>
      </c>
      <c r="D33" s="33" t="s">
        <v>49</v>
      </c>
      <c r="E33" s="33" t="s">
        <v>50</v>
      </c>
      <c r="F33" s="49">
        <v>0</v>
      </c>
      <c r="G33" s="49">
        <v>52</v>
      </c>
      <c r="H33" s="49">
        <v>220</v>
      </c>
      <c r="I33" s="49">
        <v>176</v>
      </c>
      <c r="J33" s="33" t="s">
        <v>51</v>
      </c>
      <c r="K33" s="49">
        <v>1</v>
      </c>
      <c r="L33" s="150" t="s">
        <v>53</v>
      </c>
      <c r="M33" s="153">
        <f t="shared" si="6"/>
        <v>92.4</v>
      </c>
      <c r="N33" s="92" t="str">
        <f>VLOOKUP(C33,'Trips&amp;Operators'!$C$1:$E$99999,3,FALSE)</f>
        <v>CLARK</v>
      </c>
      <c r="O33" s="174" t="s">
        <v>86</v>
      </c>
      <c r="P33" s="10"/>
      <c r="Q33" s="33"/>
      <c r="R33" s="108" t="str">
        <f>VLOOKUP(C33,'Train Runs'!$A$13:$AE$10033,31,0)</f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S33" s="111" t="str">
        <f>VLOOKUP(C33,'Train Runs'!$A$13:$AE$10033,22,0)</f>
        <v>https://search-rtdc-monitor-bjffxe2xuh6vdkpspy63sjmuny.us-east-1.es.amazonaws.com/_plugin/kibana/#/discover/Steve-Slow-Train-Analysis-(2080s-and-2083s)?_g=(refreshInterval:(display:Off,section:0,value:0),time:(from:'2016-09-12 13:23:22-0600',mode:absolute,to:'2016-09-12 16:13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33" s="113" t="str">
        <f t="shared" si="0"/>
        <v>"C:\Program Files (x86)\AstroGrep\AstroGrep.exe" /spath="%USERPROFILE%\AppData\Local\Temp\OnboardLogs" /stypes="*4041*201609122*" /stext=" 21:.+((SYSTEM_STATE.+slice.+state.+changed )|(ment ac)|(system.+state.+changed )|(\|lc)|(penalty)|(\[timeout)|(PRM\|1\|D)|(kpr)|(kdp))" /e /r /s</v>
      </c>
      <c r="U33" s="9" t="str">
        <f t="shared" si="1"/>
        <v>4041</v>
      </c>
      <c r="V33" s="38">
        <f t="shared" si="2"/>
        <v>42625.884594907409</v>
      </c>
      <c r="W33" s="52" t="str">
        <f t="shared" si="3"/>
        <v>EC</v>
      </c>
      <c r="X33" s="52" t="str">
        <f t="shared" si="4"/>
        <v>KEEP</v>
      </c>
      <c r="Y33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{"issue":{"subject":"","project_id":79,"tracker_id":40,"status_id":1,"priority_id":2,"assigned_to_id":23,"start_date":"2016-09-12","description":"","custom_fields":[{"id":1,"name":"Subdivision","value":"EC"},{"id":4,"name":"Milepost","value":"0.0001"},{"id":17,"name":"Train ID","value":"180-12"},{"id":16,"name":"Locomotive ID","value":"4041"},{"id":130,"name":"Impact","value":""},{"id":150,"name":"Time of Event (Mountain Time)","value":"15:13:49"},{"id":151,"name":"Denver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55"/>
    </row>
    <row r="34" spans="1:28" ht="15" customHeight="1" x14ac:dyDescent="0.25">
      <c r="A34" s="38">
        <v>42625.651747685188</v>
      </c>
      <c r="B34" s="33" t="s">
        <v>286</v>
      </c>
      <c r="C34" s="33" t="s">
        <v>407</v>
      </c>
      <c r="D34" s="33" t="s">
        <v>49</v>
      </c>
      <c r="E34" s="33" t="s">
        <v>50</v>
      </c>
      <c r="F34" s="49">
        <v>0</v>
      </c>
      <c r="G34" s="49">
        <v>91</v>
      </c>
      <c r="H34" s="49">
        <v>362</v>
      </c>
      <c r="I34" s="49">
        <v>269</v>
      </c>
      <c r="J34" s="33" t="s">
        <v>51</v>
      </c>
      <c r="K34" s="49">
        <v>1</v>
      </c>
      <c r="L34" s="150" t="s">
        <v>53</v>
      </c>
      <c r="M34" s="153">
        <f t="shared" si="6"/>
        <v>141.50399999999999</v>
      </c>
      <c r="N34" s="92" t="str">
        <f>VLOOKUP(C34,'Trips&amp;Operators'!$C$1:$E$99999,3,FALSE)</f>
        <v>BERLING</v>
      </c>
      <c r="O34" s="174" t="s">
        <v>86</v>
      </c>
      <c r="P34" s="10"/>
      <c r="Q34" s="33"/>
      <c r="R34" s="108" t="str">
        <f>VLOOKUP(C34,'Train Runs'!$A$13:$AE$10033,31,0)</f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S34" s="111" t="str">
        <f>VLOOKUP(C34,'Train Runs'!$A$13:$AE$10033,22,0)</f>
        <v>https://search-rtdc-monitor-bjffxe2xuh6vdkpspy63sjmuny.us-east-1.es.amazonaws.com/_plugin/kibana/#/discover/Steve-Slow-Train-Analysis-(2080s-and-2083s)?_g=(refreshInterval:(display:Off,section:0,value:0),time:(from:'2016-09-12 13:49:32-0600',mode:absolute,to:'2016-09-12 16:38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T34" s="113" t="str">
        <f t="shared" si="0"/>
        <v>"C:\Program Files (x86)\AstroGrep\AstroGrep.exe" /spath="%USERPROFILE%\AppData\Local\Temp\OnboardLogs" /stypes="*4028*201609122*" /stext=" 21:.+((SYSTEM_STATE.+slice.+state.+changed )|(ment ac)|(system.+state.+changed )|(\|lc)|(penalty)|(\[timeout)|(PRM\|1\|D)|(kpr)|(kdp))" /e /r /s</v>
      </c>
      <c r="U34" s="9" t="str">
        <f t="shared" si="1"/>
        <v>4028</v>
      </c>
      <c r="V34" s="38">
        <f t="shared" si="2"/>
        <v>42625.901747685188</v>
      </c>
      <c r="W34" s="52" t="str">
        <f t="shared" si="3"/>
        <v>EC</v>
      </c>
      <c r="X34" s="52" t="str">
        <f t="shared" si="4"/>
        <v>KEEP</v>
      </c>
      <c r="Y34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{"issue":{"subject":"","project_id":79,"tracker_id":40,"status_id":1,"priority_id":2,"assigned_to_id":23,"start_date":"2016-09-12","description":"","custom_fields":[{"id":1,"name":"Subdivision","value":"EC"},{"id":4,"name":"Milepost","value":"0.0001"},{"id":17,"name":"Train ID","value":"184-12"},{"id":16,"name":"Locomotive ID","value":"4028"},{"id":130,"name":"Impact","value":""},{"id":150,"name":"Time of Event (Mountain Time)","value":"15:38:31"},{"id":151,"name":"Denver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55"/>
    </row>
    <row r="35" spans="1:28" x14ac:dyDescent="0.25">
      <c r="A35" s="38">
        <v>42625.704930555556</v>
      </c>
      <c r="B35" s="33" t="s">
        <v>183</v>
      </c>
      <c r="C35" s="33" t="s">
        <v>412</v>
      </c>
      <c r="D35" s="33" t="s">
        <v>49</v>
      </c>
      <c r="E35" s="33" t="s">
        <v>50</v>
      </c>
      <c r="F35" s="49">
        <v>0</v>
      </c>
      <c r="G35" s="49">
        <v>54</v>
      </c>
      <c r="H35" s="49">
        <v>214</v>
      </c>
      <c r="I35" s="49">
        <v>161</v>
      </c>
      <c r="J35" s="33" t="s">
        <v>51</v>
      </c>
      <c r="K35" s="49">
        <v>1</v>
      </c>
      <c r="L35" s="150" t="s">
        <v>53</v>
      </c>
      <c r="M35" s="153">
        <f t="shared" si="6"/>
        <v>84.48</v>
      </c>
      <c r="N35" s="92" t="str">
        <f>VLOOKUP(C35,'Trips&amp;Operators'!$C$1:$E$99999,3,FALSE)</f>
        <v>CLARK</v>
      </c>
      <c r="O35" s="174" t="s">
        <v>86</v>
      </c>
      <c r="P35" s="10"/>
      <c r="Q35" s="33"/>
      <c r="R35" s="108" t="str">
        <f>VLOOKUP(C35,'Train Runs'!$A$13:$AE$10033,31,0)</f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S35" s="111" t="str">
        <f>VLOOKUP(C35,'Train Runs'!$A$13:$AE$10033,22,0)</f>
        <v>https://search-rtdc-monitor-bjffxe2xuh6vdkpspy63sjmuny.us-east-1.es.amazonaws.com/_plugin/kibana/#/discover/Steve-Slow-Train-Analysis-(2080s-and-2083s)?_g=(refreshInterval:(display:Off,section:0,value:0),time:(from:'2016-09-12 15:08:12-0600',mode:absolute,to:'2016-09-12 17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35" s="113" t="str">
        <f t="shared" si="0"/>
        <v>"C:\Program Files (x86)\AstroGrep\AstroGrep.exe" /spath="%USERPROFILE%\AppData\Local\Temp\OnboardLogs" /stypes="*4041*201609122*" /stext=" 22:.+((SYSTEM_STATE.+slice.+state.+changed )|(ment ac)|(system.+state.+changed )|(\|lc)|(penalty)|(\[timeout)|(PRM\|1\|D)|(kpr)|(kdp))" /e /r /s</v>
      </c>
      <c r="U35" s="9" t="str">
        <f t="shared" si="1"/>
        <v>4041</v>
      </c>
      <c r="V35" s="38">
        <f t="shared" si="2"/>
        <v>42625.954930555556</v>
      </c>
      <c r="W35" s="52" t="str">
        <f t="shared" si="3"/>
        <v>EC</v>
      </c>
      <c r="X35" s="52" t="str">
        <f t="shared" si="4"/>
        <v>KEEP</v>
      </c>
      <c r="Y35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{"issue":{"subject":"","project_id":79,"tracker_id":40,"status_id":1,"priority_id":2,"assigned_to_id":23,"start_date":"2016-09-12","description":"","custom_fields":[{"id":1,"name":"Subdivision","value":"EC"},{"id":4,"name":"Milepost","value":"0.0001"},{"id":17,"name":"Train ID","value":"194-12"},{"id":16,"name":"Locomotive ID","value":"4041"},{"id":130,"name":"Impact","value":""},{"id":150,"name":"Time of Event (Mountain Time)","value":"16:55:06"},{"id":151,"name":"Denver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55"/>
    </row>
    <row r="36" spans="1:28" x14ac:dyDescent="0.25">
      <c r="A36" s="38">
        <v>42625.350740740738</v>
      </c>
      <c r="B36" s="33" t="s">
        <v>107</v>
      </c>
      <c r="C36" s="33" t="s">
        <v>389</v>
      </c>
      <c r="D36" s="33" t="s">
        <v>49</v>
      </c>
      <c r="E36" s="33" t="s">
        <v>50</v>
      </c>
      <c r="F36" s="49">
        <v>0</v>
      </c>
      <c r="G36" s="49">
        <v>145</v>
      </c>
      <c r="H36" s="49">
        <v>232869</v>
      </c>
      <c r="I36" s="49">
        <v>233094</v>
      </c>
      <c r="J36" s="33" t="s">
        <v>51</v>
      </c>
      <c r="K36" s="49">
        <v>233491</v>
      </c>
      <c r="L36" s="150" t="s">
        <v>52</v>
      </c>
      <c r="M36" s="153">
        <f t="shared" si="6"/>
        <v>209.61600000000001</v>
      </c>
      <c r="N36" s="92" t="str">
        <f>VLOOKUP(C36,'Trips&amp;Operators'!$C$1:$E$99999,3,FALSE)</f>
        <v>RICHARDSON</v>
      </c>
      <c r="O36" s="174" t="s">
        <v>86</v>
      </c>
      <c r="P36" s="10"/>
      <c r="Q36" s="33"/>
      <c r="R36" s="108" t="str">
        <f>VLOOKUP(C36,'Train Runs'!$A$13:$AE$10033,31,0)</f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S36" s="111" t="str">
        <f>VLOOKUP(C36,'Train Runs'!$A$13:$AE$10033,22,0)</f>
        <v>https://search-rtdc-monitor-bjffxe2xuh6vdkpspy63sjmuny.us-east-1.es.amazonaws.com/_plugin/kibana/#/discover/Steve-Slow-Train-Analysis-(2080s-and-2083s)?_g=(refreshInterval:(display:Off,section:0,value:0),time:(from:'2016-09-12 06:44:37-0600',mode:absolute,to:'2016-09-12 09:25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36" s="113" t="str">
        <f t="shared" si="0"/>
        <v>"C:\Program Files (x86)\AstroGrep\AstroGrep.exe" /spath="%USERPROFILE%\AppData\Local\Temp\OnboardLogs" /stypes="*4014*201609121*" /stext=" 14:.+((SYSTEM_STATE.+slice.+state.+changed )|(ment ac)|(system.+state.+changed )|(\|lc)|(penalty)|(\[timeout)|(PRM\|1\|D)|(kpr)|(kdp))" /e /r /s</v>
      </c>
      <c r="U36" s="9" t="str">
        <f t="shared" si="1"/>
        <v>4014</v>
      </c>
      <c r="V36" s="38">
        <f t="shared" si="2"/>
        <v>42625.600740740738</v>
      </c>
      <c r="W36" s="52" t="str">
        <f t="shared" si="3"/>
        <v>EC</v>
      </c>
      <c r="X36" s="52" t="str">
        <f t="shared" si="4"/>
        <v>KEEP</v>
      </c>
      <c r="Y36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{"issue":{"subject":"","project_id":79,"tracker_id":40,"status_id":1,"priority_id":2,"assigned_to_id":23,"start_date":"2016-09-12","description":"","custom_fields":[{"id":1,"name":"Subdivision","value":"EC"},{"id":4,"name":"Milepost","value":"23.3491"},{"id":17,"name":"Train ID","value":"133-12"},{"id":16,"name":"Locomotive ID","value":"4014"},{"id":130,"name":"Impact","value":""},{"id":150,"name":"Time of Event (Mountain Time)","value":"08:25:04"},{"id":151,"name":"Denver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55"/>
    </row>
    <row r="37" spans="1:28" x14ac:dyDescent="0.25">
      <c r="A37" s="38">
        <v>42625.465370370373</v>
      </c>
      <c r="B37" s="33" t="s">
        <v>367</v>
      </c>
      <c r="C37" s="33" t="s">
        <v>396</v>
      </c>
      <c r="D37" s="33" t="s">
        <v>49</v>
      </c>
      <c r="E37" s="33" t="s">
        <v>50</v>
      </c>
      <c r="F37" s="49">
        <v>0</v>
      </c>
      <c r="G37" s="49">
        <v>55</v>
      </c>
      <c r="H37" s="49">
        <v>233230</v>
      </c>
      <c r="I37" s="49">
        <v>233280</v>
      </c>
      <c r="J37" s="33" t="s">
        <v>51</v>
      </c>
      <c r="K37" s="49">
        <v>233491</v>
      </c>
      <c r="L37" s="150" t="s">
        <v>52</v>
      </c>
      <c r="M37" s="153">
        <f t="shared" si="6"/>
        <v>111.408</v>
      </c>
      <c r="N37" s="92" t="str">
        <f>VLOOKUP(C37,'Trips&amp;Operators'!$C$1:$E$99999,3,FALSE)</f>
        <v>DAVIS</v>
      </c>
      <c r="O37" s="174" t="s">
        <v>86</v>
      </c>
      <c r="P37" s="10"/>
      <c r="Q37" s="33"/>
      <c r="R37" s="108" t="str">
        <f>VLOOKUP(C37,'Train Runs'!$A$13:$AE$10033,31,0)</f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S37" s="111" t="str">
        <f>VLOOKUP(C37,'Train Runs'!$A$13:$AE$10033,22,0)</f>
        <v>https://search-rtdc-monitor-bjffxe2xuh6vdkpspy63sjmuny.us-east-1.es.amazonaws.com/_plugin/kibana/#/discover/Steve-Slow-Train-Analysis-(2080s-and-2083s)?_g=(refreshInterval:(display:Off,section:0,value:0),time:(from:'2016-09-12 09:29:10-0600',mode:absolute,to:'2016-09-12 12:10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37" s="113" t="str">
        <f t="shared" si="0"/>
        <v>"C:\Program Files (x86)\AstroGrep\AstroGrep.exe" /spath="%USERPROFILE%\AppData\Local\Temp\OnboardLogs" /stypes="*4027*201609121*" /stext=" 17:.+((SYSTEM_STATE.+slice.+state.+changed )|(ment ac)|(system.+state.+changed )|(\|lc)|(penalty)|(\[timeout)|(PRM\|1\|D)|(kpr)|(kdp))" /e /r /s</v>
      </c>
      <c r="U37" s="9" t="str">
        <f t="shared" si="1"/>
        <v>4027</v>
      </c>
      <c r="V37" s="38">
        <f t="shared" si="2"/>
        <v>42625.715370370373</v>
      </c>
      <c r="W37" s="52" t="str">
        <f t="shared" si="3"/>
        <v>EC</v>
      </c>
      <c r="X37" s="52" t="str">
        <f t="shared" si="4"/>
        <v>KEEP</v>
      </c>
      <c r="Y37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{"issue":{"subject":"","project_id":79,"tracker_id":40,"status_id":1,"priority_id":2,"assigned_to_id":23,"start_date":"2016-09-12","description":"","custom_fields":[{"id":1,"name":"Subdivision","value":"EC"},{"id":4,"name":"Milepost","value":"23.3491"},{"id":17,"name":"Train ID","value":"155-12"},{"id":16,"name":"Locomotive ID","value":"4027"},{"id":130,"name":"Impact","value":""},{"id":150,"name":"Time of Event (Mountain Time)","value":"11:10:08"},{"id":151,"name":"Denver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55"/>
    </row>
    <row r="38" spans="1:28" ht="15" customHeight="1" x14ac:dyDescent="0.25">
      <c r="A38" s="38">
        <v>42625.553425925929</v>
      </c>
      <c r="B38" s="33" t="s">
        <v>130</v>
      </c>
      <c r="C38" s="33" t="s">
        <v>403</v>
      </c>
      <c r="D38" s="33" t="s">
        <v>49</v>
      </c>
      <c r="E38" s="33" t="s">
        <v>50</v>
      </c>
      <c r="F38" s="49">
        <v>0</v>
      </c>
      <c r="G38" s="49">
        <v>65</v>
      </c>
      <c r="H38" s="49">
        <v>233268</v>
      </c>
      <c r="I38" s="49">
        <v>233325</v>
      </c>
      <c r="J38" s="33" t="s">
        <v>51</v>
      </c>
      <c r="K38" s="49">
        <v>233491</v>
      </c>
      <c r="L38" s="150" t="s">
        <v>52</v>
      </c>
      <c r="M38" s="153">
        <f t="shared" si="6"/>
        <v>87.647999999999996</v>
      </c>
      <c r="N38" s="92" t="str">
        <f>VLOOKUP(C38,'Trips&amp;Operators'!$C$1:$E$99999,3,FALSE)</f>
        <v>SHOOK</v>
      </c>
      <c r="O38" s="174" t="s">
        <v>86</v>
      </c>
      <c r="P38" s="10"/>
      <c r="Q38" s="33"/>
      <c r="R38" s="108" t="str">
        <f>VLOOKUP(C38,'Train Runs'!$A$13:$AE$10033,31,0)</f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S38" s="111" t="str">
        <f>VLOOKUP(C38,'Train Runs'!$A$13:$AE$10033,22,0)</f>
        <v>https://search-rtdc-monitor-bjffxe2xuh6vdkpspy63sjmuny.us-east-1.es.amazonaws.com/_plugin/kibana/#/discover/Steve-Slow-Train-Analysis-(2080s-and-2083s)?_g=(refreshInterval:(display:Off,section:0,value:0),time:(from:'2016-09-12 11:30:35-0600',mode:absolute,to:'2016-09-12 14:16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T38" s="113" t="str">
        <f t="shared" si="0"/>
        <v>"C:\Program Files (x86)\AstroGrep\AstroGrep.exe" /spath="%USERPROFILE%\AppData\Local\Temp\OnboardLogs" /stypes="*4038*201609121*" /stext=" 19:.+((SYSTEM_STATE.+slice.+state.+changed )|(ment ac)|(system.+state.+changed )|(\|lc)|(penalty)|(\[timeout)|(PRM\|1\|D)|(kpr)|(kdp))" /e /r /s</v>
      </c>
      <c r="U38" s="9" t="str">
        <f t="shared" si="1"/>
        <v>4038</v>
      </c>
      <c r="V38" s="38">
        <f t="shared" si="2"/>
        <v>42625.803425925929</v>
      </c>
      <c r="W38" s="52" t="str">
        <f t="shared" si="3"/>
        <v>EC</v>
      </c>
      <c r="X38" s="52" t="str">
        <f t="shared" si="4"/>
        <v>KEEP</v>
      </c>
      <c r="Y38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{"issue":{"subject":"","project_id":79,"tracker_id":40,"status_id":1,"priority_id":2,"assigned_to_id":23,"start_date":"2016-09-12","description":"","custom_fields":[{"id":1,"name":"Subdivision","value":"EC"},{"id":4,"name":"Milepost","value":"23.3491"},{"id":17,"name":"Train ID","value":"171-12"},{"id":16,"name":"Locomotive ID","value":"4038"},{"id":130,"name":"Impact","value":""},{"id":150,"name":"Time of Event (Mountain Time)","value":"13:16:56"},{"id":151,"name":"Denver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55"/>
    </row>
    <row r="39" spans="1:28" x14ac:dyDescent="0.25">
      <c r="A39" s="38">
        <v>42625.683564814812</v>
      </c>
      <c r="B39" s="33" t="s">
        <v>367</v>
      </c>
      <c r="C39" s="33" t="s">
        <v>408</v>
      </c>
      <c r="D39" s="33" t="s">
        <v>49</v>
      </c>
      <c r="E39" s="33" t="s">
        <v>50</v>
      </c>
      <c r="F39" s="49">
        <v>0</v>
      </c>
      <c r="G39" s="49">
        <v>106</v>
      </c>
      <c r="H39" s="49">
        <v>233063</v>
      </c>
      <c r="I39" s="49">
        <v>233216</v>
      </c>
      <c r="J39" s="33" t="s">
        <v>51</v>
      </c>
      <c r="K39" s="49">
        <v>233491</v>
      </c>
      <c r="L39" s="150" t="s">
        <v>52</v>
      </c>
      <c r="M39" s="153">
        <f t="shared" si="6"/>
        <v>145.19999999999999</v>
      </c>
      <c r="N39" s="92" t="str">
        <f>VLOOKUP(C39,'Trips&amp;Operators'!$C$1:$E$99999,3,FALSE)</f>
        <v>BERLING</v>
      </c>
      <c r="O39" s="174" t="s">
        <v>86</v>
      </c>
      <c r="P39" s="10"/>
      <c r="Q39" s="33"/>
      <c r="R39" s="108" t="str">
        <f>VLOOKUP(C39,'Train Runs'!$A$13:$AE$10033,31,0)</f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S39" s="111" t="str">
        <f>VLOOKUP(C39,'Train Runs'!$A$13:$AE$10033,22,0)</f>
        <v>https://search-rtdc-monitor-bjffxe2xuh6vdkpspy63sjmuny.us-east-1.es.amazonaws.com/_plugin/kibana/#/discover/Steve-Slow-Train-Analysis-(2080s-and-2083s)?_g=(refreshInterval:(display:Off,section:0,value:0),time:(from:'2016-09-12 14:41:55-0600',mode:absolute,to:'2016-09-12 17:24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39" s="113" t="str">
        <f t="shared" ref="T39:T59" si="7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/stypes="*4027*201609122*" /stext=" 22:.+((SYSTEM_STATE.+slice.+state.+changed )|(ment ac)|(system.+state.+changed )|(\|lc)|(penalty)|(\[timeout)|(PRM\|1\|D)|(kpr)|(kdp))" /e /r /s</v>
      </c>
      <c r="U39" s="9" t="str">
        <f t="shared" ref="U39:U59" si="8">MID(B39,13,4)</f>
        <v>4027</v>
      </c>
      <c r="V39" s="38">
        <f t="shared" ref="V39:V59" si="9">A39+6/24</f>
        <v>42625.933564814812</v>
      </c>
      <c r="W39" s="52" t="str">
        <f t="shared" ref="W39:W59" si="10">IF(VALUE(LEFT(IF(LEN(C39)=6,"0"&amp;C39,C39),2))&lt;=2,"EC",IF(OR(VALUE(LEFT(IF(LEN(C39)=6,"0"&amp;C39,C39),2))=8,VALUE(LEFT(IF(LEN(C39)=6,"0"&amp;C39,C39),2))=18),"NW","Other"))</f>
        <v>EC</v>
      </c>
      <c r="X39" s="52" t="str">
        <f t="shared" ref="X39:X59" si="11">IF(AND(E39="TRACK WARRANT AUTHORITY",G39&lt;10),"OMIT","KEEP")</f>
        <v>KEEP</v>
      </c>
      <c r="Y39" s="134" t="str">
        <f t="shared" ref="Y39:Y59" si="12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{"issue":{"subject":"","project_id":79,"tracker_id":40,"status_id":1,"priority_id":2,"assigned_to_id":23,"start_date":"2016-09-12","description":"","custom_fields":[{"id":1,"name":"Subdivision","value":"EC"},{"id":4,"name":"Milepost","value":"23.3491"},{"id":17,"name":"Train ID","value":"197-12"},{"id":16,"name":"Locomotive ID","value":"4027"},{"id":130,"name":"Impact","value":""},{"id":150,"name":"Time of Event (Mountain Time)","value":"16:24:20"},{"id":151,"name":"Denver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55"/>
    </row>
    <row r="40" spans="1:28" x14ac:dyDescent="0.25">
      <c r="A40" s="38">
        <v>42625.692164351851</v>
      </c>
      <c r="B40" s="33" t="s">
        <v>130</v>
      </c>
      <c r="C40" s="33" t="s">
        <v>411</v>
      </c>
      <c r="D40" s="33" t="s">
        <v>49</v>
      </c>
      <c r="E40" s="33" t="s">
        <v>50</v>
      </c>
      <c r="F40" s="49">
        <v>0</v>
      </c>
      <c r="G40" s="49">
        <v>39</v>
      </c>
      <c r="H40" s="49">
        <v>233353</v>
      </c>
      <c r="I40" s="49">
        <v>233374</v>
      </c>
      <c r="J40" s="33" t="s">
        <v>51</v>
      </c>
      <c r="K40" s="49">
        <v>233491</v>
      </c>
      <c r="L40" s="150" t="s">
        <v>52</v>
      </c>
      <c r="M40" s="153">
        <f t="shared" si="6"/>
        <v>61.776000000000003</v>
      </c>
      <c r="N40" s="92" t="str">
        <f>VLOOKUP(C40,'Trips&amp;Operators'!$C$1:$E$99999,3,FALSE)</f>
        <v>SHOOK</v>
      </c>
      <c r="O40" s="174" t="s">
        <v>86</v>
      </c>
      <c r="P40" s="10"/>
      <c r="Q40" s="33"/>
      <c r="R40" s="108" t="str">
        <f>VLOOKUP(C40,'Train Runs'!$A$13:$AE$10033,31,0)</f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S40" s="111" t="str">
        <f>VLOOKUP(C40,'Train Runs'!$A$13:$AE$10033,22,0)</f>
        <v>https://search-rtdc-monitor-bjffxe2xuh6vdkpspy63sjmuny.us-east-1.es.amazonaws.com/_plugin/kibana/#/discover/Steve-Slow-Train-Analysis-(2080s-and-2083s)?_g=(refreshInterval:(display:Off,section:0,value:0),time:(from:'2016-09-12 14:53:09-0600',mode:absolute,to:'2016-09-12 17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T40" s="113" t="str">
        <f t="shared" si="7"/>
        <v>"C:\Program Files (x86)\AstroGrep\AstroGrep.exe" /spath="%USERPROFILE%\AppData\Local\Temp\OnboardLogs" /stypes="*4038*201609122*" /stext=" 22:.+((SYSTEM_STATE.+slice.+state.+changed )|(ment ac)|(system.+state.+changed )|(\|lc)|(penalty)|(\[timeout)|(PRM\|1\|D)|(kpr)|(kdp))" /e /r /s</v>
      </c>
      <c r="U40" s="9" t="str">
        <f t="shared" si="8"/>
        <v>4038</v>
      </c>
      <c r="V40" s="38">
        <f t="shared" si="9"/>
        <v>42625.942164351851</v>
      </c>
      <c r="W40" s="52" t="str">
        <f t="shared" si="10"/>
        <v>EC</v>
      </c>
      <c r="X40" s="52" t="str">
        <f t="shared" si="11"/>
        <v>KEEP</v>
      </c>
      <c r="Y40" s="134" t="str">
        <f t="shared" si="12"/>
        <v>echo {"issue":{"subject":"","project_id":79,"tracker_id":40,"status_id":1,"priority_id":2,"assigned_to_id":23,"start_date":"2016-09-12","description":"","custom_fields":[{"id":1,"name":"Subdivision","value":"EC"},{"id":4,"name":"Milepost","value":"23.3491"},{"id":17,"name":"Train ID","value":"199-12"},{"id":16,"name":"Locomotive ID","value":"4038"},{"id":130,"name":"Impact","value":""},{"id":150,"name":"Time of Event (Mountain Time)","value":"16:36:43"},{"id":151,"name":"Denver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55"/>
    </row>
    <row r="41" spans="1:28" x14ac:dyDescent="0.25">
      <c r="A41" s="38">
        <v>42625.859710648147</v>
      </c>
      <c r="B41" s="33" t="s">
        <v>107</v>
      </c>
      <c r="C41" s="33" t="s">
        <v>416</v>
      </c>
      <c r="D41" s="33" t="s">
        <v>49</v>
      </c>
      <c r="E41" s="33" t="s">
        <v>50</v>
      </c>
      <c r="F41" s="49">
        <v>0</v>
      </c>
      <c r="G41" s="49">
        <v>43</v>
      </c>
      <c r="H41" s="49">
        <v>233344</v>
      </c>
      <c r="I41" s="49">
        <v>233361</v>
      </c>
      <c r="J41" s="33" t="s">
        <v>51</v>
      </c>
      <c r="K41" s="49">
        <v>233491</v>
      </c>
      <c r="L41" s="150" t="s">
        <v>52</v>
      </c>
      <c r="M41" s="153">
        <f t="shared" si="6"/>
        <v>68.64</v>
      </c>
      <c r="N41" s="92" t="str">
        <f>VLOOKUP(C41,'Trips&amp;Operators'!$C$1:$E$99999,3,FALSE)</f>
        <v>CHANDLER</v>
      </c>
      <c r="O41" s="174" t="s">
        <v>86</v>
      </c>
      <c r="P41" s="10"/>
      <c r="Q41" s="33"/>
      <c r="R41" s="108" t="str">
        <f>VLOOKUP(C41,'Train Runs'!$A$13:$AE$10033,31,0)</f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S41" s="111" t="str">
        <f>VLOOKUP(C41,'Train Runs'!$A$13:$AE$10033,22,0)</f>
        <v>https://search-rtdc-monitor-bjffxe2xuh6vdkpspy63sjmuny.us-east-1.es.amazonaws.com/_plugin/kibana/#/discover/Steve-Slow-Train-Analysis-(2080s-and-2083s)?_g=(refreshInterval:(display:Off,section:0,value:0),time:(from:'2016-09-12 18:58:53-0600',mode:absolute,to:'2016-09-12 21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41" s="113" t="str">
        <f t="shared" si="7"/>
        <v>"C:\Program Files (x86)\AstroGrep\AstroGrep.exe" /spath="%USERPROFILE%\AppData\Local\Temp\OnboardLogs" /stypes="*4014*201609130*" /stext=" 02:.+((SYSTEM_STATE.+slice.+state.+changed )|(ment ac)|(system.+state.+changed )|(\|lc)|(penalty)|(\[timeout)|(PRM\|1\|D)|(kpr)|(kdp))" /e /r /s</v>
      </c>
      <c r="U41" s="9" t="str">
        <f t="shared" si="8"/>
        <v>4014</v>
      </c>
      <c r="V41" s="38">
        <f t="shared" si="9"/>
        <v>42626.109710648147</v>
      </c>
      <c r="W41" s="52" t="str">
        <f t="shared" si="10"/>
        <v>EC</v>
      </c>
      <c r="X41" s="52" t="str">
        <f t="shared" si="11"/>
        <v>KEEP</v>
      </c>
      <c r="Y41" s="134" t="str">
        <f t="shared" si="12"/>
        <v>echo {"issue":{"subject":"","project_id":79,"tracker_id":40,"status_id":1,"priority_id":2,"assigned_to_id":23,"start_date":"2016-09-12","description":"","custom_fields":[{"id":1,"name":"Subdivision","value":"EC"},{"id":4,"name":"Milepost","value":"23.3491"},{"id":17,"name":"Train ID","value":"225-12"},{"id":16,"name":"Locomotive ID","value":"4014"},{"id":130,"name":"Impact","value":""},{"id":150,"name":"Time of Event (Mountain Time)","value":"20:37:59"},{"id":151,"name":"Denver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55"/>
    </row>
    <row r="42" spans="1:28" x14ac:dyDescent="0.25">
      <c r="A42" s="38">
        <v>42625.68068287037</v>
      </c>
      <c r="B42" s="33" t="s">
        <v>169</v>
      </c>
      <c r="C42" s="33" t="s">
        <v>410</v>
      </c>
      <c r="D42" s="33" t="s">
        <v>49</v>
      </c>
      <c r="E42" s="33" t="s">
        <v>174</v>
      </c>
      <c r="F42" s="49">
        <v>0</v>
      </c>
      <c r="G42" s="49">
        <v>337</v>
      </c>
      <c r="H42" s="49">
        <v>15792</v>
      </c>
      <c r="I42" s="49">
        <v>15198</v>
      </c>
      <c r="J42" s="33" t="s">
        <v>173</v>
      </c>
      <c r="K42" s="49">
        <v>15777</v>
      </c>
      <c r="L42" s="150" t="s">
        <v>53</v>
      </c>
      <c r="M42" s="153">
        <f t="shared" si="6"/>
        <v>-305.71199999999999</v>
      </c>
      <c r="N42" s="92" t="str">
        <f>VLOOKUP(C42,'Trips&amp;Operators'!$C$1:$E$99999,3,FALSE)</f>
        <v>HAITHCOX</v>
      </c>
      <c r="O42" s="174" t="s">
        <v>86</v>
      </c>
      <c r="P42" s="10" t="s">
        <v>369</v>
      </c>
      <c r="Q42" s="33"/>
      <c r="R42" s="108" t="str">
        <f>VLOOKUP(C42,'Train Runs'!$A$13:$AE$10033,31,0)</f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S42" s="111" t="str">
        <f>VLOOKUP(C42,'Train Runs'!$A$13:$AE$10033,22,0)</f>
        <v>https://search-rtdc-monitor-bjffxe2xuh6vdkpspy63sjmuny.us-east-1.es.amazonaws.com/_plugin/kibana/#/discover/Steve-Slow-Train-Analysis-(2080s-and-2083s)?_g=(refreshInterval:(display:Off,section:0,value:0),time:(from:'2016-09-12 15:09:26-0600',mode:absolute,to:'2016-09-12 17:27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42" s="113" t="str">
        <f t="shared" si="7"/>
        <v>"C:\Program Files (x86)\AstroGrep\AstroGrep.exe" /spath="%USERPROFILE%\AppData\Local\Temp\OnboardLogs" /stypes="*4019*201609122*" /stext=" 22:.+((SYSTEM_STATE.+slice.+state.+changed )|(ment ac)|(system.+state.+changed )|(\|lc)|(penalty)|(\[timeout)|(PRM\|1\|D)|(kpr)|(kdp))" /e /r /s</v>
      </c>
      <c r="U42" s="9" t="str">
        <f t="shared" si="8"/>
        <v>4019</v>
      </c>
      <c r="V42" s="38">
        <f t="shared" si="9"/>
        <v>42625.93068287037</v>
      </c>
      <c r="W42" s="52" t="str">
        <f t="shared" si="10"/>
        <v>NW</v>
      </c>
      <c r="X42" s="52" t="str">
        <f t="shared" si="11"/>
        <v>KEEP</v>
      </c>
      <c r="Y42" s="134" t="str">
        <f t="shared" si="12"/>
        <v>echo {"issue":{"subject":"Early arrival","project_id":79,"tracker_id":40,"status_id":1,"priority_id":2,"assigned_to_id":23,"start_date":"2016-09-12","description":"","custom_fields":[{"id":1,"name":"Subdivision","value":"NW"},{"id":4,"name":"Milepost","value":"1.5777"},{"id":17,"name":"Train ID","value":"828-12"},{"id":16,"name":"Locomotive ID","value":"4019"},{"id":130,"name":"Impact","value":""},{"id":150,"name":"Time of Event (Mountain Time)","value":"16:20:11"},{"id":151,"name":"Denver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55"/>
    </row>
    <row r="43" spans="1:28" x14ac:dyDescent="0.25">
      <c r="A43" s="38">
        <v>42625.310370370367</v>
      </c>
      <c r="B43" s="33" t="s">
        <v>177</v>
      </c>
      <c r="C43" s="33" t="s">
        <v>384</v>
      </c>
      <c r="D43" s="33" t="s">
        <v>49</v>
      </c>
      <c r="E43" s="33" t="s">
        <v>56</v>
      </c>
      <c r="F43" s="49">
        <v>300</v>
      </c>
      <c r="G43" s="49">
        <v>351</v>
      </c>
      <c r="H43" s="49">
        <v>19757</v>
      </c>
      <c r="I43" s="49">
        <v>20922</v>
      </c>
      <c r="J43" s="33" t="s">
        <v>57</v>
      </c>
      <c r="K43" s="49">
        <v>21299</v>
      </c>
      <c r="L43" s="150" t="s">
        <v>52</v>
      </c>
      <c r="M43" s="153">
        <f t="shared" si="6"/>
        <v>199.05600000000001</v>
      </c>
      <c r="N43" s="92" t="str">
        <f>VLOOKUP(C43,'Trips&amp;Operators'!$C$1:$E$99999,3,FALSE)</f>
        <v>ROCHA</v>
      </c>
      <c r="O43" s="174" t="s">
        <v>86</v>
      </c>
      <c r="P43" s="10"/>
      <c r="Q43" s="33"/>
      <c r="R43" s="108" t="str">
        <f>VLOOKUP(C43,'Train Runs'!$A$13:$AE$10033,31,0)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S43" s="111" t="str">
        <f>VLOOKUP(C43,'Train Runs'!$A$13:$AE$10033,22,0)</f>
        <v>https://search-rtdc-monitor-bjffxe2xuh6vdkpspy63sjmuny.us-east-1.es.amazonaws.com/_plugin/kibana/#/discover/Steve-Slow-Train-Analysis-(2080s-and-2083s)?_g=(refreshInterval:(display:Off,section:0,value:0),time:(from:'2016-09-12 06:19:24-0600',mode:absolute,to:'2016-09-12 08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43" s="113" t="str">
        <f t="shared" si="7"/>
        <v>"C:\Program Files (x86)\AstroGrep\AstroGrep.exe" /spath="%USERPROFILE%\AppData\Local\Temp\OnboardLogs" /stypes="*4025*201609121*" /stext=" 13:.+((SYSTEM_STATE.+slice.+state.+changed )|(ment ac)|(system.+state.+changed )|(\|lc)|(penalty)|(\[timeout)|(PRM\|1\|D)|(kpr)|(kdp))" /e /r /s</v>
      </c>
      <c r="U43" s="9" t="str">
        <f t="shared" si="8"/>
        <v>4025</v>
      </c>
      <c r="V43" s="38">
        <f t="shared" si="9"/>
        <v>42625.560370370367</v>
      </c>
      <c r="W43" s="52" t="str">
        <f t="shared" si="10"/>
        <v>NW</v>
      </c>
      <c r="X43" s="52" t="str">
        <f t="shared" si="11"/>
        <v>KEEP</v>
      </c>
      <c r="Y43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{"issue":{"subject":"","project_id":79,"tracker_id":40,"status_id":1,"priority_id":2,"assigned_to_id":23,"start_date":"2016-09-12","description":"","custom_fields":[{"id":1,"name":"Subdivision","value":"NW"},{"id":4,"name":"Milepost","value":"2.1299"},{"id":17,"name":"Train ID","value":"807-12"},{"id":16,"name":"Locomotive ID","value":"4025"},{"id":130,"name":"Impact","value":""},{"id":150,"name":"Time of Event (Mountain Time)","value":"07:26:56"},{"id":151,"name":"Denver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55"/>
    </row>
    <row r="44" spans="1:28" x14ac:dyDescent="0.25">
      <c r="A44" s="38">
        <v>42625.251087962963</v>
      </c>
      <c r="B44" s="33" t="s">
        <v>170</v>
      </c>
      <c r="C44" s="33" t="s">
        <v>377</v>
      </c>
      <c r="D44" s="33" t="s">
        <v>106</v>
      </c>
      <c r="E44" s="33" t="s">
        <v>56</v>
      </c>
      <c r="F44" s="49">
        <v>300</v>
      </c>
      <c r="G44" s="49">
        <v>352</v>
      </c>
      <c r="H44" s="49">
        <v>42011</v>
      </c>
      <c r="I44" s="49">
        <v>42983</v>
      </c>
      <c r="J44" s="33" t="s">
        <v>57</v>
      </c>
      <c r="K44" s="49">
        <v>39716</v>
      </c>
      <c r="L44" s="150" t="s">
        <v>52</v>
      </c>
      <c r="M44" s="153">
        <f t="shared" si="6"/>
        <v>-1724.9760000000001</v>
      </c>
      <c r="N44" s="92" t="str">
        <f>VLOOKUP(C44,'Trips&amp;Operators'!$C$1:$E$99999,3,FALSE)</f>
        <v>DAVIS</v>
      </c>
      <c r="O44" s="174" t="s">
        <v>86</v>
      </c>
      <c r="P44" s="10"/>
      <c r="Q44" s="33"/>
      <c r="R44" s="108" t="str">
        <f>VLOOKUP(C44,'Train Runs'!$A$13:$AE$10033,31,0)</f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S44" s="111" t="str">
        <f>VLOOKUP(C44,'Train Runs'!$A$13:$AE$10033,22,0)</f>
        <v>https://search-rtdc-monitor-bjffxe2xuh6vdkpspy63sjmuny.us-east-1.es.amazonaws.com/_plugin/kibana/#/discover/Steve-Slow-Train-Analysis-(2080s-and-2083s)?_g=(refreshInterval:(display:Off,section:0,value:0),time:(from:'2016-09-12 04:49:00-0600',mode:absolute,to:'2016-09-12 07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44" s="113" t="str">
        <f t="shared" si="7"/>
        <v>"C:\Program Files (x86)\AstroGrep\AstroGrep.exe" /spath="%USERPROFILE%\AppData\Local\Temp\OnboardLogs" /stypes="*4020*201609121*" /stext=" 12:.+((SYSTEM_STATE.+slice.+state.+changed )|(ment ac)|(system.+state.+changed )|(\|lc)|(penalty)|(\[timeout)|(PRM\|1\|D)|(kpr)|(kdp))" /e /r /s</v>
      </c>
      <c r="U44" s="9" t="str">
        <f t="shared" si="8"/>
        <v>4020</v>
      </c>
      <c r="V44" s="38">
        <f t="shared" si="9"/>
        <v>42625.501087962963</v>
      </c>
      <c r="W44" s="52" t="str">
        <f t="shared" si="10"/>
        <v>NW</v>
      </c>
      <c r="X44" s="52" t="str">
        <f t="shared" si="11"/>
        <v>KEEP</v>
      </c>
      <c r="Y44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{"issue":{"subject":"","project_id":79,"tracker_id":40,"status_id":1,"priority_id":2,"assigned_to_id":23,"start_date":"2016-09-12","description":"","custom_fields":[{"id":1,"name":"Subdivision","value":"NW"},{"id":4,"name":"Milepost","value":"3.9716"},{"id":17,"name":"Train ID","value":"801-12"},{"id":16,"name":"Locomotive ID","value":"4020"},{"id":130,"name":"Impact","value":""},{"id":150,"name":"Time of Event (Mountain Time)","value":"06:01:34"},{"id":151,"name":"Denver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55"/>
    </row>
    <row r="45" spans="1:28" x14ac:dyDescent="0.25">
      <c r="A45" s="38">
        <v>42625.333749999998</v>
      </c>
      <c r="B45" s="33" t="s">
        <v>170</v>
      </c>
      <c r="C45" s="33" t="s">
        <v>390</v>
      </c>
      <c r="D45" s="33" t="s">
        <v>106</v>
      </c>
      <c r="E45" s="33" t="s">
        <v>56</v>
      </c>
      <c r="F45" s="49">
        <v>300</v>
      </c>
      <c r="G45" s="49">
        <v>356</v>
      </c>
      <c r="H45" s="49">
        <v>40927</v>
      </c>
      <c r="I45" s="49">
        <v>41744</v>
      </c>
      <c r="J45" s="33" t="s">
        <v>57</v>
      </c>
      <c r="K45" s="49">
        <v>39716</v>
      </c>
      <c r="L45" s="150" t="s">
        <v>52</v>
      </c>
      <c r="M45" s="153">
        <f t="shared" si="6"/>
        <v>-1070.7840000000001</v>
      </c>
      <c r="N45" s="92" t="str">
        <f>VLOOKUP(C45,'Trips&amp;Operators'!$C$1:$E$99999,3,FALSE)</f>
        <v>DAVIS</v>
      </c>
      <c r="O45" s="174" t="s">
        <v>86</v>
      </c>
      <c r="P45" s="10"/>
      <c r="Q45" s="33"/>
      <c r="R45" s="108" t="str">
        <f>VLOOKUP(C45,'Train Runs'!$A$13:$AE$10033,31,0)</f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S45" s="111" t="str">
        <f>VLOOKUP(C45,'Train Runs'!$A$13:$AE$10033,22,0)</f>
        <v>https://search-rtdc-monitor-bjffxe2xuh6vdkpspy63sjmuny.us-east-1.es.amazonaws.com/_plugin/kibana/#/discover/Steve-Slow-Train-Analysis-(2080s-and-2083s)?_g=(refreshInterval:(display:Off,section:0,value:0),time:(from:'2016-09-12 06:46:38-0600',mode:absolute,to:'2016-09-12 09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45" s="113" t="str">
        <f t="shared" si="7"/>
        <v>"C:\Program Files (x86)\AstroGrep\AstroGrep.exe" /spath="%USERPROFILE%\AppData\Local\Temp\OnboardLogs" /stypes="*4020*201609121*" /stext=" 14:.+((SYSTEM_STATE.+slice.+state.+changed )|(ment ac)|(system.+state.+changed )|(\|lc)|(penalty)|(\[timeout)|(PRM\|1\|D)|(kpr)|(kdp))" /e /r /s</v>
      </c>
      <c r="U45" s="9" t="str">
        <f t="shared" si="8"/>
        <v>4020</v>
      </c>
      <c r="V45" s="38">
        <f t="shared" si="9"/>
        <v>42625.583749999998</v>
      </c>
      <c r="W45" s="52" t="str">
        <f t="shared" si="10"/>
        <v>NW</v>
      </c>
      <c r="X45" s="52" t="str">
        <f t="shared" si="11"/>
        <v>KEEP</v>
      </c>
      <c r="Y45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{"issue":{"subject":"","project_id":79,"tracker_id":40,"status_id":1,"priority_id":2,"assigned_to_id":23,"start_date":"2016-09-12","description":"","custom_fields":[{"id":1,"name":"Subdivision","value":"NW"},{"id":4,"name":"Milepost","value":"3.9716"},{"id":17,"name":"Train ID","value":"809-12"},{"id":16,"name":"Locomotive ID","value":"4020"},{"id":130,"name":"Impact","value":""},{"id":150,"name":"Time of Event (Mountain Time)","value":"08:00:36"},{"id":151,"name":"Denver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5"/>
      <c r="AA45" s="55"/>
      <c r="AB45" s="55"/>
    </row>
    <row r="46" spans="1:28" x14ac:dyDescent="0.25">
      <c r="A46" s="38">
        <v>42625.48060185185</v>
      </c>
      <c r="B46" s="33" t="s">
        <v>177</v>
      </c>
      <c r="C46" s="33" t="s">
        <v>399</v>
      </c>
      <c r="D46" s="33" t="s">
        <v>49</v>
      </c>
      <c r="E46" s="33" t="s">
        <v>56</v>
      </c>
      <c r="F46" s="49">
        <v>150</v>
      </c>
      <c r="G46" s="49">
        <v>310</v>
      </c>
      <c r="H46" s="49">
        <v>56276</v>
      </c>
      <c r="I46" s="49">
        <v>56864</v>
      </c>
      <c r="J46" s="33" t="s">
        <v>57</v>
      </c>
      <c r="K46" s="49">
        <v>57008</v>
      </c>
      <c r="L46" s="150" t="s">
        <v>52</v>
      </c>
      <c r="M46" s="153">
        <f t="shared" si="6"/>
        <v>76.031999999999996</v>
      </c>
      <c r="N46" s="92" t="str">
        <f>VLOOKUP(C46,'Trips&amp;Operators'!$C$1:$E$99999,3,FALSE)</f>
        <v>ROCHA</v>
      </c>
      <c r="O46" s="174" t="s">
        <v>86</v>
      </c>
      <c r="P46" s="10"/>
      <c r="Q46" s="33"/>
      <c r="R46" s="108" t="str">
        <f>VLOOKUP(C46,'Train Runs'!$A$13:$AE$10033,31,0)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S46" s="111" t="str">
        <f>VLOOKUP(C46,'Train Runs'!$A$13:$AE$10033,22,0)</f>
        <v>https://search-rtdc-monitor-bjffxe2xuh6vdkpspy63sjmuny.us-east-1.es.amazonaws.com/_plugin/kibana/#/discover/Steve-Slow-Train-Analysis-(2080s-and-2083s)?_g=(refreshInterval:(display:Off,section:0,value:0),time:(from:'2016-09-12 10:18:19-0600',mode:absolute,to:'2016-09-12 12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46" s="113" t="str">
        <f t="shared" si="7"/>
        <v>"C:\Program Files (x86)\AstroGrep\AstroGrep.exe" /spath="%USERPROFILE%\AppData\Local\Temp\OnboardLogs" /stypes="*4025*201609121*" /stext=" 17:.+((SYSTEM_STATE.+slice.+state.+changed )|(ment ac)|(system.+state.+changed )|(\|lc)|(penalty)|(\[timeout)|(PRM\|1\|D)|(kpr)|(kdp))" /e /r /s</v>
      </c>
      <c r="U46" s="9" t="str">
        <f t="shared" si="8"/>
        <v>4025</v>
      </c>
      <c r="V46" s="38">
        <f t="shared" si="9"/>
        <v>42625.73060185185</v>
      </c>
      <c r="W46" s="52" t="str">
        <f t="shared" si="10"/>
        <v>NW</v>
      </c>
      <c r="X46" s="52" t="str">
        <f t="shared" si="11"/>
        <v>KEEP</v>
      </c>
      <c r="Y46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{"issue":{"subject":"","project_id":79,"tracker_id":40,"status_id":1,"priority_id":2,"assigned_to_id":23,"start_date":"2016-09-12","description":"","custom_fields":[{"id":1,"name":"Subdivision","value":"NW"},{"id":4,"name":"Milepost","value":"5.7008"},{"id":17,"name":"Train ID","value":"817-12"},{"id":16,"name":"Locomotive ID","value":"4025"},{"id":130,"name":"Impact","value":""},{"id":150,"name":"Time of Event (Mountain Time)","value":"11:32:04"},{"id":151,"name":"Denver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5"/>
      <c r="AA46" s="55"/>
      <c r="AB46" s="55"/>
    </row>
    <row r="47" spans="1:28" x14ac:dyDescent="0.25">
      <c r="A47" s="38">
        <v>42625.647256944445</v>
      </c>
      <c r="B47" s="33" t="s">
        <v>177</v>
      </c>
      <c r="C47" s="33" t="s">
        <v>406</v>
      </c>
      <c r="D47" s="33" t="s">
        <v>49</v>
      </c>
      <c r="E47" s="33" t="s">
        <v>56</v>
      </c>
      <c r="F47" s="49">
        <v>150</v>
      </c>
      <c r="G47" s="49">
        <v>307</v>
      </c>
      <c r="H47" s="49">
        <v>56302</v>
      </c>
      <c r="I47" s="49">
        <v>56849</v>
      </c>
      <c r="J47" s="33" t="s">
        <v>57</v>
      </c>
      <c r="K47" s="49">
        <v>57008</v>
      </c>
      <c r="L47" s="150" t="s">
        <v>52</v>
      </c>
      <c r="M47" s="153">
        <f t="shared" si="6"/>
        <v>83.951999999999998</v>
      </c>
      <c r="N47" s="92" t="str">
        <f>VLOOKUP(C47,'Trips&amp;Operators'!$C$1:$E$99999,3,FALSE)</f>
        <v>BRUDER</v>
      </c>
      <c r="O47" s="174" t="s">
        <v>86</v>
      </c>
      <c r="P47" s="10"/>
      <c r="Q47" s="33"/>
      <c r="R47" s="108" t="str">
        <f>VLOOKUP(C47,'Train Runs'!$A$13:$AE$10033,31,0)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S47" s="111" t="str">
        <f>VLOOKUP(C47,'Train Runs'!$A$13:$AE$10033,22,0)</f>
        <v>https://search-rtdc-monitor-bjffxe2xuh6vdkpspy63sjmuny.us-east-1.es.amazonaws.com/_plugin/kibana/#/discover/Steve-Slow-Train-Analysis-(2080s-and-2083s)?_g=(refreshInterval:(display:Off,section:0,value:0),time:(from:'2016-09-12 14:15:42-0600',mode:absolute,to:'2016-09-12 16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47" s="113" t="str">
        <f t="shared" si="7"/>
        <v>"C:\Program Files (x86)\AstroGrep\AstroGrep.exe" /spath="%USERPROFILE%\AppData\Local\Temp\OnboardLogs" /stypes="*4025*201609122*" /stext=" 21:.+((SYSTEM_STATE.+slice.+state.+changed )|(ment ac)|(system.+state.+changed )|(\|lc)|(penalty)|(\[timeout)|(PRM\|1\|D)|(kpr)|(kdp))" /e /r /s</v>
      </c>
      <c r="U47" s="9" t="str">
        <f t="shared" si="8"/>
        <v>4025</v>
      </c>
      <c r="V47" s="38">
        <f t="shared" si="9"/>
        <v>42625.897256944445</v>
      </c>
      <c r="W47" s="52" t="str">
        <f t="shared" si="10"/>
        <v>NW</v>
      </c>
      <c r="X47" s="52" t="str">
        <f t="shared" si="11"/>
        <v>KEEP</v>
      </c>
      <c r="Y47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{"issue":{"subject":"","project_id":79,"tracker_id":40,"status_id":1,"priority_id":2,"assigned_to_id":23,"start_date":"2016-09-12","description":"","custom_fields":[{"id":1,"name":"Subdivision","value":"NW"},{"id":4,"name":"Milepost","value":"5.7008"},{"id":17,"name":"Train ID","value":"825-12"},{"id":16,"name":"Locomotive ID","value":"4025"},{"id":130,"name":"Impact","value":""},{"id":150,"name":"Time of Event (Mountain Time)","value":"15:32:03"},{"id":151,"name":"Denver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55"/>
    </row>
    <row r="48" spans="1:28" x14ac:dyDescent="0.25">
      <c r="A48" s="38">
        <v>42625.32675925926</v>
      </c>
      <c r="B48" s="33" t="s">
        <v>178</v>
      </c>
      <c r="C48" s="33" t="s">
        <v>387</v>
      </c>
      <c r="D48" s="33" t="s">
        <v>49</v>
      </c>
      <c r="E48" s="33" t="s">
        <v>388</v>
      </c>
      <c r="F48" s="49">
        <v>100</v>
      </c>
      <c r="G48" s="49">
        <v>314</v>
      </c>
      <c r="H48" s="49">
        <v>12372</v>
      </c>
      <c r="I48" s="49">
        <v>11556</v>
      </c>
      <c r="J48" s="33" t="s">
        <v>173</v>
      </c>
      <c r="K48" s="49">
        <v>11000</v>
      </c>
      <c r="L48" s="150" t="s">
        <v>53</v>
      </c>
      <c r="M48" s="153">
        <f t="shared" si="6"/>
        <v>293.56799999999998</v>
      </c>
      <c r="N48" s="92" t="str">
        <f>VLOOKUP(C48,'Trips&amp;Operators'!$C$1:$E$99999,3,FALSE)</f>
        <v>ROCHA</v>
      </c>
      <c r="O48" s="174" t="s">
        <v>86</v>
      </c>
      <c r="P48" s="10"/>
      <c r="Q48" s="33"/>
      <c r="R48" s="108" t="str">
        <f>VLOOKUP(C48,'Train Runs'!$A$13:$AE$10033,31,0)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S48" s="111" t="str">
        <f>VLOOKUP(C48,'Train Runs'!$A$13:$AE$10033,22,0)</f>
        <v>https://search-rtdc-monitor-bjffxe2xuh6vdkpspy63sjmuny.us-east-1.es.amazonaws.com/_plugin/kibana/#/discover/Steve-Slow-Train-Analysis-(2080s-and-2083s)?_g=(refreshInterval:(display:Off,section:0,value:0),time:(from:'2016-09-12 06:37:20-0600',mode:absolute,to:'2016-09-12 08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48" s="113" t="str">
        <f t="shared" si="7"/>
        <v>"C:\Program Files (x86)\AstroGrep\AstroGrep.exe" /spath="%USERPROFILE%\AppData\Local\Temp\OnboardLogs" /stypes="*4026*201609121*" /stext=" 13:.+((SYSTEM_STATE.+slice.+state.+changed )|(ment ac)|(system.+state.+changed )|(\|lc)|(penalty)|(\[timeout)|(PRM\|1\|D)|(kpr)|(kdp))" /e /r /s</v>
      </c>
      <c r="U48" s="9" t="str">
        <f t="shared" si="8"/>
        <v>4026</v>
      </c>
      <c r="V48" s="38">
        <f t="shared" si="9"/>
        <v>42625.57675925926</v>
      </c>
      <c r="W48" s="52" t="str">
        <f t="shared" si="10"/>
        <v>NW</v>
      </c>
      <c r="X48" s="52" t="str">
        <f t="shared" si="11"/>
        <v>KEEP</v>
      </c>
      <c r="Y48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{"issue":{"subject":"","project_id":79,"tracker_id":40,"status_id":1,"priority_id":2,"assigned_to_id":23,"start_date":"2016-09-12","description":"","custom_fields":[{"id":1,"name":"Subdivision","value":"NW"},{"id":4,"name":"Milepost","value":"1.1"},{"id":17,"name":"Train ID","value":"808-12"},{"id":16,"name":"Locomotive ID","value":"4026"},{"id":130,"name":"Impact","value":""},{"id":150,"name":"Time of Event (Mountain Time)","value":"07:50:32"},{"id":151,"name":"Denver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5"/>
      <c r="AA48" s="55"/>
      <c r="AB48" s="55"/>
    </row>
    <row r="49" spans="1:28" x14ac:dyDescent="0.25">
      <c r="A49" s="38">
        <v>42625.229097222225</v>
      </c>
      <c r="B49" s="33" t="s">
        <v>169</v>
      </c>
      <c r="C49" s="33" t="s">
        <v>376</v>
      </c>
      <c r="D49" s="33" t="s">
        <v>49</v>
      </c>
      <c r="E49" s="33" t="s">
        <v>50</v>
      </c>
      <c r="F49" s="49">
        <v>0</v>
      </c>
      <c r="G49" s="49">
        <v>28</v>
      </c>
      <c r="H49" s="49">
        <v>643</v>
      </c>
      <c r="I49" s="49">
        <v>633</v>
      </c>
      <c r="J49" s="33" t="s">
        <v>51</v>
      </c>
      <c r="K49" s="49">
        <v>575</v>
      </c>
      <c r="L49" s="150" t="s">
        <v>53</v>
      </c>
      <c r="M49" s="153">
        <f t="shared" si="6"/>
        <v>30.623999999999999</v>
      </c>
      <c r="N49" s="92" t="str">
        <f>VLOOKUP(C49,'Trips&amp;Operators'!$C$1:$E$99999,3,FALSE)</f>
        <v>DAVIS</v>
      </c>
      <c r="O49" s="174" t="s">
        <v>86</v>
      </c>
      <c r="P49" s="10"/>
      <c r="Q49" s="33"/>
      <c r="R49" s="108" t="str">
        <f>VLOOKUP(C49,'Train Runs'!$A$13:$AE$10033,31,0)</f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S49" s="111" t="str">
        <f>VLOOKUP(C49,'Train Runs'!$A$13:$AE$10033,22,0)</f>
        <v>https://search-rtdc-monitor-bjffxe2xuh6vdkpspy63sjmuny.us-east-1.es.amazonaws.com/_plugin/kibana/#/discover/Steve-Slow-Train-Analysis-(2080s-and-2083s)?_g=(refreshInterval:(display:Off,section:0,value:0),time:(from:'2016-09-12 04:04:46-0600',mode:absolute,to:'2016-09-12 06:29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49" s="113" t="str">
        <f t="shared" si="7"/>
        <v>"C:\Program Files (x86)\AstroGrep\AstroGrep.exe" /spath="%USERPROFILE%\AppData\Local\Temp\OnboardLogs" /stypes="*4019*201609121*" /stext=" 11:.+((SYSTEM_STATE.+slice.+state.+changed )|(ment ac)|(system.+state.+changed )|(\|lc)|(penalty)|(\[timeout)|(PRM\|1\|D)|(kpr)|(kdp))" /e /r /s</v>
      </c>
      <c r="U49" s="9" t="str">
        <f t="shared" si="8"/>
        <v>4019</v>
      </c>
      <c r="V49" s="38">
        <f t="shared" si="9"/>
        <v>42625.479097222225</v>
      </c>
      <c r="W49" s="52" t="str">
        <f t="shared" si="10"/>
        <v>NW</v>
      </c>
      <c r="X49" s="52" t="str">
        <f t="shared" si="11"/>
        <v>KEEP</v>
      </c>
      <c r="Y49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{"issue":{"subject":"","project_id":79,"tracker_id":40,"status_id":1,"priority_id":2,"assigned_to_id":23,"start_date":"2016-09-12","description":"","custom_fields":[{"id":1,"name":"Subdivision","value":"NW"},{"id":4,"name":"Milepost","value":"0.0575"},{"id":17,"name":"Train ID","value":"800-12"},{"id":16,"name":"Locomotive ID","value":"4019"},{"id":130,"name":"Impact","value":""},{"id":150,"name":"Time of Event (Mountain Time)","value":"05:29:54"},{"id":151,"name":"Denver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5"/>
      <c r="AA49" s="55"/>
      <c r="AB49" s="55"/>
    </row>
    <row r="50" spans="1:28" x14ac:dyDescent="0.25">
      <c r="A50" s="38">
        <v>42625.309803240743</v>
      </c>
      <c r="B50" s="33" t="s">
        <v>169</v>
      </c>
      <c r="C50" s="33" t="s">
        <v>383</v>
      </c>
      <c r="D50" s="33" t="s">
        <v>49</v>
      </c>
      <c r="E50" s="33" t="s">
        <v>50</v>
      </c>
      <c r="F50" s="49">
        <v>0</v>
      </c>
      <c r="G50" s="49">
        <v>20</v>
      </c>
      <c r="H50" s="49">
        <v>622</v>
      </c>
      <c r="I50" s="49">
        <v>608</v>
      </c>
      <c r="J50" s="33" t="s">
        <v>51</v>
      </c>
      <c r="K50" s="49">
        <v>575</v>
      </c>
      <c r="L50" s="150" t="s">
        <v>53</v>
      </c>
      <c r="M50" s="153">
        <f t="shared" si="6"/>
        <v>17.423999999999999</v>
      </c>
      <c r="N50" s="92" t="str">
        <f>VLOOKUP(C50,'Trips&amp;Operators'!$C$1:$E$99999,3,FALSE)</f>
        <v>DAVIS</v>
      </c>
      <c r="O50" s="174" t="s">
        <v>86</v>
      </c>
      <c r="P50" s="10"/>
      <c r="Q50" s="33"/>
      <c r="R50" s="108" t="str">
        <f>VLOOKUP(C50,'Train Runs'!$A$13:$AE$10033,31,0)</f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S50" s="111" t="str">
        <f>VLOOKUP(C50,'Train Runs'!$A$13:$AE$10033,22,0)</f>
        <v>https://search-rtdc-monitor-bjffxe2xuh6vdkpspy63sjmuny.us-east-1.es.amazonaws.com/_plugin/kibana/#/discover/Steve-Slow-Train-Analysis-(2080s-and-2083s)?_g=(refreshInterval:(display:Off,section:0,value:0),time:(from:'2016-09-12 06:07:59-0600',mode:absolute,to:'2016-09-12 08:26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50" s="113" t="str">
        <f t="shared" si="7"/>
        <v>"C:\Program Files (x86)\AstroGrep\AstroGrep.exe" /spath="%USERPROFILE%\AppData\Local\Temp\OnboardLogs" /stypes="*4019*201609121*" /stext=" 13:.+((SYSTEM_STATE.+slice.+state.+changed )|(ment ac)|(system.+state.+changed )|(\|lc)|(penalty)|(\[timeout)|(PRM\|1\|D)|(kpr)|(kdp))" /e /r /s</v>
      </c>
      <c r="U50" s="9" t="str">
        <f t="shared" si="8"/>
        <v>4019</v>
      </c>
      <c r="V50" s="38">
        <f t="shared" si="9"/>
        <v>42625.559803240743</v>
      </c>
      <c r="W50" s="52" t="str">
        <f t="shared" si="10"/>
        <v>NW</v>
      </c>
      <c r="X50" s="52" t="str">
        <f t="shared" si="11"/>
        <v>KEEP</v>
      </c>
      <c r="Y50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{"issue":{"subject":"","project_id":79,"tracker_id":40,"status_id":1,"priority_id":2,"assigned_to_id":23,"start_date":"2016-09-12","description":"","custom_fields":[{"id":1,"name":"Subdivision","value":"NW"},{"id":4,"name":"Milepost","value":"0.0575"},{"id":17,"name":"Train ID","value":"806-12"},{"id":16,"name":"Locomotive ID","value":"4019"},{"id":130,"name":"Impact","value":""},{"id":150,"name":"Time of Event (Mountain Time)","value":"07:26:07"},{"id":151,"name":"Denver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5"/>
      <c r="AA50" s="55"/>
      <c r="AB50" s="55"/>
    </row>
    <row r="51" spans="1:28" x14ac:dyDescent="0.25">
      <c r="A51" s="38">
        <v>42625.351655092592</v>
      </c>
      <c r="B51" s="33" t="s">
        <v>169</v>
      </c>
      <c r="C51" s="33" t="s">
        <v>391</v>
      </c>
      <c r="D51" s="33" t="s">
        <v>49</v>
      </c>
      <c r="E51" s="33" t="s">
        <v>50</v>
      </c>
      <c r="F51" s="49">
        <v>0</v>
      </c>
      <c r="G51" s="49">
        <v>70</v>
      </c>
      <c r="H51" s="49">
        <v>799</v>
      </c>
      <c r="I51" s="49">
        <v>734</v>
      </c>
      <c r="J51" s="33" t="s">
        <v>51</v>
      </c>
      <c r="K51" s="49">
        <v>575</v>
      </c>
      <c r="L51" s="150" t="s">
        <v>53</v>
      </c>
      <c r="M51" s="153">
        <f t="shared" si="6"/>
        <v>83.951999999999998</v>
      </c>
      <c r="N51" s="92" t="str">
        <f>VLOOKUP(C51,'Trips&amp;Operators'!$C$1:$E$99999,3,FALSE)</f>
        <v>DAVIS</v>
      </c>
      <c r="O51" s="174" t="s">
        <v>86</v>
      </c>
      <c r="P51" s="10"/>
      <c r="Q51" s="33"/>
      <c r="R51" s="108" t="str">
        <f>VLOOKUP(C51,'Train Runs'!$A$13:$AE$10033,31,0)</f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S51" s="111" t="str">
        <f>VLOOKUP(C51,'Train Runs'!$A$13:$AE$10033,22,0)</f>
        <v>https://search-rtdc-monitor-bjffxe2xuh6vdkpspy63sjmuny.us-east-1.es.amazonaws.com/_plugin/kibana/#/discover/Steve-Slow-Train-Analysis-(2080s-and-2083s)?_g=(refreshInterval:(display:Off,section:0,value:0),time:(from:'2016-09-12 07:07:40-0600',mode:absolute,to:'2016-09-12 09:26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51" s="113" t="str">
        <f t="shared" si="7"/>
        <v>"C:\Program Files (x86)\AstroGrep\AstroGrep.exe" /spath="%USERPROFILE%\AppData\Local\Temp\OnboardLogs" /stypes="*4019*201609121*" /stext=" 14:.+((SYSTEM_STATE.+slice.+state.+changed )|(ment ac)|(system.+state.+changed )|(\|lc)|(penalty)|(\[timeout)|(PRM\|1\|D)|(kpr)|(kdp))" /e /r /s</v>
      </c>
      <c r="U51" s="9" t="str">
        <f t="shared" si="8"/>
        <v>4019</v>
      </c>
      <c r="V51" s="38">
        <f t="shared" si="9"/>
        <v>42625.601655092592</v>
      </c>
      <c r="W51" s="52" t="str">
        <f t="shared" si="10"/>
        <v>NW</v>
      </c>
      <c r="X51" s="52" t="str">
        <f t="shared" si="11"/>
        <v>KEEP</v>
      </c>
      <c r="Y51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{"issue":{"subject":"","project_id":79,"tracker_id":40,"status_id":1,"priority_id":2,"assigned_to_id":23,"start_date":"2016-09-12","description":"","custom_fields":[{"id":1,"name":"Subdivision","value":"NW"},{"id":4,"name":"Milepost","value":"0.0575"},{"id":17,"name":"Train ID","value":"810-12"},{"id":16,"name":"Locomotive ID","value":"4019"},{"id":130,"name":"Impact","value":""},{"id":150,"name":"Time of Event (Mountain Time)","value":"08:26:23"},{"id":151,"name":"Denver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5"/>
      <c r="AA51" s="55"/>
      <c r="AB51" s="55"/>
    </row>
    <row r="52" spans="1:28" x14ac:dyDescent="0.25">
      <c r="A52" s="38">
        <v>42625.371736111112</v>
      </c>
      <c r="B52" s="33" t="s">
        <v>178</v>
      </c>
      <c r="C52" s="33" t="s">
        <v>392</v>
      </c>
      <c r="D52" s="33" t="s">
        <v>49</v>
      </c>
      <c r="E52" s="33" t="s">
        <v>50</v>
      </c>
      <c r="F52" s="49">
        <v>0</v>
      </c>
      <c r="G52" s="49">
        <v>38</v>
      </c>
      <c r="H52" s="49">
        <v>687</v>
      </c>
      <c r="I52" s="49">
        <v>661</v>
      </c>
      <c r="J52" s="33" t="s">
        <v>51</v>
      </c>
      <c r="K52" s="49">
        <v>575</v>
      </c>
      <c r="L52" s="150" t="s">
        <v>53</v>
      </c>
      <c r="M52" s="153">
        <f t="shared" si="6"/>
        <v>45.408000000000001</v>
      </c>
      <c r="N52" s="92" t="str">
        <f>VLOOKUP(C52,'Trips&amp;Operators'!$C$1:$E$99999,3,FALSE)</f>
        <v>ROCHA</v>
      </c>
      <c r="O52" s="174" t="s">
        <v>86</v>
      </c>
      <c r="P52" s="10"/>
      <c r="Q52" s="33"/>
      <c r="R52" s="108" t="str">
        <f>VLOOKUP(C52,'Train Runs'!$A$13:$AE$10033,31,0)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S52" s="111" t="str">
        <f>VLOOKUP(C52,'Train Runs'!$A$13:$AE$10033,22,0)</f>
        <v>https://search-rtdc-monitor-bjffxe2xuh6vdkpspy63sjmuny.us-east-1.es.amazonaws.com/_plugin/kibana/#/discover/Steve-Slow-Train-Analysis-(2080s-and-2083s)?_g=(refreshInterval:(display:Off,section:0,value:0),time:(from:'2016-09-12 07:37:19-0600',mode:absolute,to:'2016-09-12 09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2" s="113" t="str">
        <f t="shared" si="7"/>
        <v>"C:\Program Files (x86)\AstroGrep\AstroGrep.exe" /spath="%USERPROFILE%\AppData\Local\Temp\OnboardLogs" /stypes="*4026*201609121*" /stext=" 14:.+((SYSTEM_STATE.+slice.+state.+changed )|(ment ac)|(system.+state.+changed )|(\|lc)|(penalty)|(\[timeout)|(PRM\|1\|D)|(kpr)|(kdp))" /e /r /s</v>
      </c>
      <c r="U52" s="9" t="str">
        <f t="shared" si="8"/>
        <v>4026</v>
      </c>
      <c r="V52" s="38">
        <f t="shared" si="9"/>
        <v>42625.621736111112</v>
      </c>
      <c r="W52" s="52" t="str">
        <f t="shared" si="10"/>
        <v>NW</v>
      </c>
      <c r="X52" s="52" t="str">
        <f t="shared" si="11"/>
        <v>KEEP</v>
      </c>
      <c r="Y52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{"issue":{"subject":"","project_id":79,"tracker_id":40,"status_id":1,"priority_id":2,"assigned_to_id":23,"start_date":"2016-09-12","description":"","custom_fields":[{"id":1,"name":"Subdivision","value":"NW"},{"id":4,"name":"Milepost","value":"0.0575"},{"id":17,"name":"Train ID","value":"812-12"},{"id":16,"name":"Locomotive ID","value":"4026"},{"id":130,"name":"Impact","value":""},{"id":150,"name":"Time of Event (Mountain Time)","value":"08:55:18"},{"id":151,"name":"Denver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5"/>
      <c r="AA52" s="55"/>
      <c r="AB52" s="55"/>
    </row>
    <row r="53" spans="1:28" x14ac:dyDescent="0.25">
      <c r="A53" s="38">
        <v>42625.663807870369</v>
      </c>
      <c r="B53" s="33" t="s">
        <v>178</v>
      </c>
      <c r="C53" s="33" t="s">
        <v>409</v>
      </c>
      <c r="D53" s="33" t="s">
        <v>49</v>
      </c>
      <c r="E53" s="33" t="s">
        <v>50</v>
      </c>
      <c r="F53" s="49">
        <v>0</v>
      </c>
      <c r="G53" s="49">
        <v>52</v>
      </c>
      <c r="H53" s="49">
        <v>752</v>
      </c>
      <c r="I53" s="49">
        <v>705</v>
      </c>
      <c r="J53" s="33" t="s">
        <v>51</v>
      </c>
      <c r="K53" s="49">
        <v>575</v>
      </c>
      <c r="L53" s="150" t="s">
        <v>53</v>
      </c>
      <c r="M53" s="153">
        <f t="shared" si="6"/>
        <v>68.64</v>
      </c>
      <c r="N53" s="92" t="str">
        <f>VLOOKUP(C53,'Trips&amp;Operators'!$C$1:$E$99999,3,FALSE)</f>
        <v>BRUDER</v>
      </c>
      <c r="O53" s="174" t="s">
        <v>86</v>
      </c>
      <c r="P53" s="10"/>
      <c r="Q53" s="33"/>
      <c r="R53" s="108" t="str">
        <f>VLOOKUP(C53,'Train Runs'!$A$13:$AE$10033,31,0)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S53" s="111" t="str">
        <f>VLOOKUP(C53,'Train Runs'!$A$13:$AE$10033,22,0)</f>
        <v>https://search-rtdc-monitor-bjffxe2xuh6vdkpspy63sjmuny.us-east-1.es.amazonaws.com/_plugin/kibana/#/discover/Steve-Slow-Train-Analysis-(2080s-and-2083s)?_g=(refreshInterval:(display:Off,section:0,value:0),time:(from:'2016-09-12 14:37:44-0600',mode:absolute,to:'2016-09-12 16:55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3" s="113" t="str">
        <f t="shared" si="7"/>
        <v>"C:\Program Files (x86)\AstroGrep\AstroGrep.exe" /spath="%USERPROFILE%\AppData\Local\Temp\OnboardLogs" /stypes="*4026*201609122*" /stext=" 21:.+((SYSTEM_STATE.+slice.+state.+changed )|(ment ac)|(system.+state.+changed )|(\|lc)|(penalty)|(\[timeout)|(PRM\|1\|D)|(kpr)|(kdp))" /e /r /s</v>
      </c>
      <c r="U53" s="9" t="str">
        <f t="shared" si="8"/>
        <v>4026</v>
      </c>
      <c r="V53" s="38">
        <f t="shared" si="9"/>
        <v>42625.913807870369</v>
      </c>
      <c r="W53" s="52" t="str">
        <f t="shared" si="10"/>
        <v>NW</v>
      </c>
      <c r="X53" s="52" t="str">
        <f t="shared" si="11"/>
        <v>KEEP</v>
      </c>
      <c r="Y53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{"issue":{"subject":"","project_id":79,"tracker_id":40,"status_id":1,"priority_id":2,"assigned_to_id":23,"start_date":"2016-09-12","description":"","custom_fields":[{"id":1,"name":"Subdivision","value":"NW"},{"id":4,"name":"Milepost","value":"0.0575"},{"id":17,"name":"Train ID","value":"826-12"},{"id":16,"name":"Locomotive ID","value":"4026"},{"id":130,"name":"Impact","value":""},{"id":150,"name":"Time of Event (Mountain Time)","value":"15:55:53"},{"id":151,"name":"Denver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5"/>
      <c r="AA53" s="55"/>
      <c r="AB53" s="55"/>
    </row>
    <row r="54" spans="1:28" x14ac:dyDescent="0.25">
      <c r="A54" s="38">
        <v>42625.7266087963</v>
      </c>
      <c r="B54" s="33" t="s">
        <v>169</v>
      </c>
      <c r="C54" s="33" t="s">
        <v>414</v>
      </c>
      <c r="D54" s="33" t="s">
        <v>49</v>
      </c>
      <c r="E54" s="33" t="s">
        <v>50</v>
      </c>
      <c r="F54" s="49">
        <v>0</v>
      </c>
      <c r="G54" s="49">
        <v>26</v>
      </c>
      <c r="H54" s="49">
        <v>657</v>
      </c>
      <c r="I54" s="49">
        <v>647</v>
      </c>
      <c r="J54" s="33" t="s">
        <v>51</v>
      </c>
      <c r="K54" s="49">
        <v>575</v>
      </c>
      <c r="L54" s="150" t="s">
        <v>53</v>
      </c>
      <c r="M54" s="153">
        <f t="shared" si="6"/>
        <v>38.015999999999998</v>
      </c>
      <c r="N54" s="92" t="str">
        <f>VLOOKUP(C54,'Trips&amp;Operators'!$C$1:$E$99999,3,FALSE)</f>
        <v>HAITHCOX</v>
      </c>
      <c r="O54" s="174" t="s">
        <v>86</v>
      </c>
      <c r="P54" s="10"/>
      <c r="Q54" s="33"/>
      <c r="R54" s="108" t="str">
        <f>VLOOKUP(C54,'Train Runs'!$A$13:$AE$10033,31,0)</f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S54" s="111" t="str">
        <f>VLOOKUP(C54,'Train Runs'!$A$13:$AE$10033,22,0)</f>
        <v>https://search-rtdc-monitor-bjffxe2xuh6vdkpspy63sjmuny.us-east-1.es.amazonaws.com/_plugin/kibana/#/discover/Steve-Slow-Train-Analysis-(2080s-and-2083s)?_g=(refreshInterval:(display:Off,section:0,value:0),time:(from:'2016-09-12 16:06:50-0600',mode:absolute,to:'2016-09-12 18:26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54" s="113" t="str">
        <f t="shared" si="7"/>
        <v>"C:\Program Files (x86)\AstroGrep\AstroGrep.exe" /spath="%USERPROFILE%\AppData\Local\Temp\OnboardLogs" /stypes="*4019*201609122*" /stext=" 23:.+((SYSTEM_STATE.+slice.+state.+changed )|(ment ac)|(system.+state.+changed )|(\|lc)|(penalty)|(\[timeout)|(PRM\|1\|D)|(kpr)|(kdp))" /e /r /s</v>
      </c>
      <c r="U54" s="9" t="str">
        <f t="shared" si="8"/>
        <v>4019</v>
      </c>
      <c r="V54" s="38">
        <f t="shared" si="9"/>
        <v>42625.9766087963</v>
      </c>
      <c r="W54" s="52" t="str">
        <f t="shared" si="10"/>
        <v>NW</v>
      </c>
      <c r="X54" s="52" t="str">
        <f t="shared" si="11"/>
        <v>KEEP</v>
      </c>
      <c r="Y54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{"issue":{"subject":"","project_id":79,"tracker_id":40,"status_id":1,"priority_id":2,"assigned_to_id":23,"start_date":"2016-09-12","description":"","custom_fields":[{"id":1,"name":"Subdivision","value":"NW"},{"id":4,"name":"Milepost","value":"0.0575"},{"id":17,"name":"Train ID","value":"832-12"},{"id":16,"name":"Locomotive ID","value":"4019"},{"id":130,"name":"Impact","value":""},{"id":150,"name":"Time of Event (Mountain Time)","value":"17:26:19"},{"id":151,"name":"Denver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5"/>
      <c r="AA54" s="55"/>
      <c r="AB54" s="55"/>
    </row>
    <row r="55" spans="1:28" x14ac:dyDescent="0.25">
      <c r="A55" s="38">
        <v>42625.274375000001</v>
      </c>
      <c r="B55" s="33" t="s">
        <v>177</v>
      </c>
      <c r="C55" s="33" t="s">
        <v>380</v>
      </c>
      <c r="D55" s="33" t="s">
        <v>49</v>
      </c>
      <c r="E55" s="33" t="s">
        <v>50</v>
      </c>
      <c r="F55" s="49">
        <v>0</v>
      </c>
      <c r="G55" s="49">
        <v>21</v>
      </c>
      <c r="H55" s="49">
        <v>59018</v>
      </c>
      <c r="I55" s="49">
        <v>59035</v>
      </c>
      <c r="J55" s="33" t="s">
        <v>51</v>
      </c>
      <c r="K55" s="49">
        <v>59048</v>
      </c>
      <c r="L55" s="150" t="s">
        <v>52</v>
      </c>
      <c r="M55" s="153">
        <f t="shared" si="6"/>
        <v>6.8639999999999999</v>
      </c>
      <c r="N55" s="92" t="str">
        <f>VLOOKUP(C55,'Trips&amp;Operators'!$C$1:$E$99999,3,FALSE)</f>
        <v>ROCHA</v>
      </c>
      <c r="O55" s="174" t="s">
        <v>86</v>
      </c>
      <c r="P55" s="10"/>
      <c r="Q55" s="33"/>
      <c r="R55" s="108" t="str">
        <f>VLOOKUP(C55,'Train Runs'!$A$13:$AE$10033,31,0)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S55" s="111" t="str">
        <f>VLOOKUP(C55,'Train Runs'!$A$13:$AE$10033,22,0)</f>
        <v>https://search-rtdc-monitor-bjffxe2xuh6vdkpspy63sjmuny.us-east-1.es.amazonaws.com/_plugin/kibana/#/discover/Steve-Slow-Train-Analysis-(2080s-and-2083s)?_g=(refreshInterval:(display:Off,section:0,value:0),time:(from:'2016-09-12 05:16:10-0600',mode:absolute,to:'2016-09-12 07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55" s="113" t="str">
        <f t="shared" si="7"/>
        <v>"C:\Program Files (x86)\AstroGrep\AstroGrep.exe" /spath="%USERPROFILE%\AppData\Local\Temp\OnboardLogs" /stypes="*4025*201609121*" /stext=" 12:.+((SYSTEM_STATE.+slice.+state.+changed )|(ment ac)|(system.+state.+changed )|(\|lc)|(penalty)|(\[timeout)|(PRM\|1\|D)|(kpr)|(kdp))" /e /r /s</v>
      </c>
      <c r="U55" s="9" t="str">
        <f t="shared" si="8"/>
        <v>4025</v>
      </c>
      <c r="V55" s="38">
        <f t="shared" si="9"/>
        <v>42625.524375000001</v>
      </c>
      <c r="W55" s="52" t="str">
        <f t="shared" si="10"/>
        <v>NW</v>
      </c>
      <c r="X55" s="52" t="str">
        <f t="shared" si="11"/>
        <v>KEEP</v>
      </c>
      <c r="Y55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{"issue":{"subject":"","project_id":79,"tracker_id":40,"status_id":1,"priority_id":2,"assigned_to_id":23,"start_date":"2016-09-12","description":"","custom_fields":[{"id":1,"name":"Subdivision","value":"NW"},{"id":4,"name":"Milepost","value":"5.9048"},{"id":17,"name":"Train ID","value":"803-12"},{"id":16,"name":"Locomotive ID","value":"4025"},{"id":130,"name":"Impact","value":""},{"id":150,"name":"Time of Event (Mountain Time)","value":"06:35:06"},{"id":151,"name":"Denver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5"/>
      <c r="AA55" s="55"/>
      <c r="AB55" s="55"/>
    </row>
    <row r="56" spans="1:28" x14ac:dyDescent="0.25">
      <c r="A56" s="38">
        <v>42625.295983796299</v>
      </c>
      <c r="B56" s="33" t="s">
        <v>170</v>
      </c>
      <c r="C56" s="33" t="s">
        <v>382</v>
      </c>
      <c r="D56" s="33" t="s">
        <v>106</v>
      </c>
      <c r="E56" s="33" t="s">
        <v>50</v>
      </c>
      <c r="F56" s="49">
        <v>0</v>
      </c>
      <c r="G56" s="49">
        <v>7</v>
      </c>
      <c r="H56" s="49">
        <v>59048</v>
      </c>
      <c r="I56" s="49">
        <v>0</v>
      </c>
      <c r="J56" s="33" t="s">
        <v>51</v>
      </c>
      <c r="K56" s="49">
        <v>59048</v>
      </c>
      <c r="L56" s="150" t="s">
        <v>52</v>
      </c>
      <c r="M56" s="153">
        <f t="shared" si="6"/>
        <v>31177.344000000001</v>
      </c>
      <c r="N56" s="92" t="str">
        <f>VLOOKUP(C56,'Trips&amp;Operators'!$C$1:$E$99999,3,FALSE)</f>
        <v>DAVIS</v>
      </c>
      <c r="O56" s="174" t="s">
        <v>86</v>
      </c>
      <c r="P56" s="10"/>
      <c r="Q56" s="33"/>
      <c r="R56" s="108" t="str">
        <f>VLOOKUP(C56,'Train Runs'!$A$13:$AE$10033,31,0)</f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S56" s="111" t="str">
        <f>VLOOKUP(C56,'Train Runs'!$A$13:$AE$10033,22,0)</f>
        <v>https://search-rtdc-monitor-bjffxe2xuh6vdkpspy63sjmuny.us-east-1.es.amazonaws.com/_plugin/kibana/#/discover/Steve-Slow-Train-Analysis-(2080s-and-2083s)?_g=(refreshInterval:(display:Off,section:0,value:0),time:(from:'2016-09-12 05:47:20-0600',mode:absolute,to:'2016-09-12 08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56" s="113" t="str">
        <f t="shared" si="7"/>
        <v>"C:\Program Files (x86)\AstroGrep\AstroGrep.exe" /spath="%USERPROFILE%\AppData\Local\Temp\OnboardLogs" /stypes="*4020*201609121*" /stext=" 13:.+((SYSTEM_STATE.+slice.+state.+changed )|(ment ac)|(system.+state.+changed )|(\|lc)|(penalty)|(\[timeout)|(PRM\|1\|D)|(kpr)|(kdp))" /e /r /s</v>
      </c>
      <c r="U56" s="9" t="str">
        <f t="shared" si="8"/>
        <v>4020</v>
      </c>
      <c r="V56" s="38">
        <f t="shared" si="9"/>
        <v>42625.545983796299</v>
      </c>
      <c r="W56" s="52" t="str">
        <f t="shared" si="10"/>
        <v>NW</v>
      </c>
      <c r="X56" s="52" t="str">
        <f t="shared" si="11"/>
        <v>OMIT</v>
      </c>
      <c r="Y56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{"issue":{"subject":"","project_id":79,"tracker_id":40,"status_id":1,"priority_id":2,"assigned_to_id":23,"start_date":"2016-09-12","description":"","custom_fields":[{"id":1,"name":"Subdivision","value":"NW"},{"id":4,"name":"Milepost","value":"5.9048"},{"id":17,"name":"Train ID","value":"805-12"},{"id":16,"name":"Locomotive ID","value":"4020"},{"id":130,"name":"Impact","value":""},{"id":150,"name":"Time of Event (Mountain Time)","value":"07:06:13"},{"id":151,"name":"Denver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5"/>
      <c r="AA56" s="55"/>
      <c r="AB56" s="55"/>
    </row>
    <row r="57" spans="1:28" x14ac:dyDescent="0.25">
      <c r="A57" s="38">
        <v>42625.337800925925</v>
      </c>
      <c r="B57" s="33" t="s">
        <v>170</v>
      </c>
      <c r="C57" s="33" t="s">
        <v>390</v>
      </c>
      <c r="D57" s="33" t="s">
        <v>49</v>
      </c>
      <c r="E57" s="33" t="s">
        <v>50</v>
      </c>
      <c r="F57" s="49">
        <v>0</v>
      </c>
      <c r="G57" s="49">
        <v>20</v>
      </c>
      <c r="H57" s="49">
        <v>59014</v>
      </c>
      <c r="I57" s="49">
        <v>59031</v>
      </c>
      <c r="J57" s="33" t="s">
        <v>51</v>
      </c>
      <c r="K57" s="49">
        <v>59048</v>
      </c>
      <c r="L57" s="150" t="s">
        <v>52</v>
      </c>
      <c r="M57" s="153">
        <f t="shared" si="6"/>
        <v>8.9760000000000009</v>
      </c>
      <c r="N57" s="92" t="str">
        <f>VLOOKUP(C57,'Trips&amp;Operators'!$C$1:$E$99999,3,FALSE)</f>
        <v>DAVIS</v>
      </c>
      <c r="O57" s="174" t="s">
        <v>86</v>
      </c>
      <c r="P57" s="10"/>
      <c r="Q57" s="33"/>
      <c r="R57" s="108" t="str">
        <f>VLOOKUP(C57,'Train Runs'!$A$13:$AE$10033,31,0)</f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S57" s="111" t="str">
        <f>VLOOKUP(C57,'Train Runs'!$A$13:$AE$10033,22,0)</f>
        <v>https://search-rtdc-monitor-bjffxe2xuh6vdkpspy63sjmuny.us-east-1.es.amazonaws.com/_plugin/kibana/#/discover/Steve-Slow-Train-Analysis-(2080s-and-2083s)?_g=(refreshInterval:(display:Off,section:0,value:0),time:(from:'2016-09-12 06:46:38-0600',mode:absolute,to:'2016-09-12 09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57" s="113" t="str">
        <f t="shared" si="7"/>
        <v>"C:\Program Files (x86)\AstroGrep\AstroGrep.exe" /spath="%USERPROFILE%\AppData\Local\Temp\OnboardLogs" /stypes="*4020*201609121*" /stext=" 14:.+((SYSTEM_STATE.+slice.+state.+changed )|(ment ac)|(system.+state.+changed )|(\|lc)|(penalty)|(\[timeout)|(PRM\|1\|D)|(kpr)|(kdp))" /e /r /s</v>
      </c>
      <c r="U57" s="9" t="str">
        <f t="shared" si="8"/>
        <v>4020</v>
      </c>
      <c r="V57" s="38">
        <f t="shared" si="9"/>
        <v>42625.587800925925</v>
      </c>
      <c r="W57" s="52" t="str">
        <f t="shared" si="10"/>
        <v>NW</v>
      </c>
      <c r="X57" s="52" t="str">
        <f t="shared" si="11"/>
        <v>KEEP</v>
      </c>
      <c r="Y57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{"issue":{"subject":"","project_id":79,"tracker_id":40,"status_id":1,"priority_id":2,"assigned_to_id":23,"start_date":"2016-09-12","description":"","custom_fields":[{"id":1,"name":"Subdivision","value":"NW"},{"id":4,"name":"Milepost","value":"5.9048"},{"id":17,"name":"Train ID","value":"809-12"},{"id":16,"name":"Locomotive ID","value":"4020"},{"id":130,"name":"Impact","value":""},{"id":150,"name":"Time of Event (Mountain Time)","value":"08:06:26"},{"id":151,"name":"Denver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5"/>
      <c r="AA57" s="55"/>
      <c r="AB57" s="55"/>
    </row>
    <row r="58" spans="1:28" x14ac:dyDescent="0.25">
      <c r="A58" s="38">
        <v>42625.753645833334</v>
      </c>
      <c r="B58" s="33" t="s">
        <v>170</v>
      </c>
      <c r="C58" s="33" t="s">
        <v>415</v>
      </c>
      <c r="D58" s="33" t="s">
        <v>49</v>
      </c>
      <c r="E58" s="33" t="s">
        <v>50</v>
      </c>
      <c r="F58" s="49">
        <v>0</v>
      </c>
      <c r="G58" s="49">
        <v>111</v>
      </c>
      <c r="H58" s="49">
        <v>58498</v>
      </c>
      <c r="I58" s="49">
        <v>58600</v>
      </c>
      <c r="J58" s="33" t="s">
        <v>51</v>
      </c>
      <c r="K58" s="49">
        <v>59048</v>
      </c>
      <c r="L58" s="150" t="s">
        <v>52</v>
      </c>
      <c r="M58" s="153">
        <f t="shared" si="6"/>
        <v>236.54400000000001</v>
      </c>
      <c r="N58" s="92" t="str">
        <f>VLOOKUP(C58,'Trips&amp;Operators'!$C$1:$E$99999,3,FALSE)</f>
        <v>HAITHCOX</v>
      </c>
      <c r="O58" s="174" t="s">
        <v>86</v>
      </c>
      <c r="P58" s="10"/>
      <c r="Q58" s="33"/>
      <c r="R58" s="108" t="str">
        <f>VLOOKUP(C58,'Train Runs'!$A$13:$AE$10033,31,0)</f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S58" s="111" t="str">
        <f>VLOOKUP(C58,'Train Runs'!$A$13:$AE$10033,22,0)</f>
        <v>https://search-rtdc-monitor-bjffxe2xuh6vdkpspy63sjmuny.us-east-1.es.amazonaws.com/_plugin/kibana/#/discover/Steve-Slow-Train-Analysis-(2080s-and-2083s)?_g=(refreshInterval:(display:Off,section:0,value:0),time:(from:'2016-09-12 16:45:04-0600',mode:absolute,to:'2016-09-12 19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58" s="113" t="str">
        <f t="shared" si="7"/>
        <v>"C:\Program Files (x86)\AstroGrep\AstroGrep.exe" /spath="%USERPROFILE%\AppData\Local\Temp\OnboardLogs" /stypes="*4020*201609130*" /stext=" 00:.+((SYSTEM_STATE.+slice.+state.+changed )|(ment ac)|(system.+state.+changed )|(\|lc)|(penalty)|(\[timeout)|(PRM\|1\|D)|(kpr)|(kdp))" /e /r /s</v>
      </c>
      <c r="U58" s="9" t="str">
        <f t="shared" si="8"/>
        <v>4020</v>
      </c>
      <c r="V58" s="38">
        <f t="shared" si="9"/>
        <v>42626.003645833334</v>
      </c>
      <c r="W58" s="52" t="str">
        <f t="shared" si="10"/>
        <v>NW</v>
      </c>
      <c r="X58" s="52" t="str">
        <f t="shared" si="11"/>
        <v>KEEP</v>
      </c>
      <c r="Y58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{"issue":{"subject":"","project_id":79,"tracker_id":40,"status_id":1,"priority_id":2,"assigned_to_id":23,"start_date":"2016-09-12","description":"","custom_fields":[{"id":1,"name":"Subdivision","value":"NW"},{"id":4,"name":"Milepost","value":"5.9048"},{"id":17,"name":"Train ID","value":"835-12"},{"id":16,"name":"Locomotive ID","value":"4020"},{"id":130,"name":"Impact","value":""},{"id":150,"name":"Time of Event (Mountain Time)","value":"18:05:15"},{"id":151,"name":"Denver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5"/>
      <c r="AA58" s="55"/>
      <c r="AB58" s="55"/>
    </row>
    <row r="59" spans="1:28" x14ac:dyDescent="0.25">
      <c r="A59" s="38">
        <v>42625.951655092591</v>
      </c>
      <c r="B59" s="33" t="s">
        <v>178</v>
      </c>
      <c r="C59" s="33" t="s">
        <v>419</v>
      </c>
      <c r="D59" s="33" t="s">
        <v>49</v>
      </c>
      <c r="E59" s="33" t="s">
        <v>54</v>
      </c>
      <c r="F59" s="49">
        <v>0</v>
      </c>
      <c r="G59" s="49">
        <v>36</v>
      </c>
      <c r="H59" s="49">
        <v>31947</v>
      </c>
      <c r="I59" s="49">
        <v>31860</v>
      </c>
      <c r="J59" s="33" t="s">
        <v>55</v>
      </c>
      <c r="K59" s="49">
        <v>30521</v>
      </c>
      <c r="L59" s="150" t="s">
        <v>53</v>
      </c>
      <c r="M59" s="153">
        <f t="shared" si="6"/>
        <v>706.99199999999996</v>
      </c>
      <c r="N59" s="92" t="str">
        <f>VLOOKUP(C59,'Trips&amp;Operators'!$C$1:$E$99999,3,FALSE)</f>
        <v>HAITHCOX</v>
      </c>
      <c r="O59" s="174" t="s">
        <v>86</v>
      </c>
      <c r="P59" s="10"/>
      <c r="Q59" s="33"/>
      <c r="R59" s="108" t="str">
        <f>VLOOKUP(C59,'Train Runs'!$A$13:$AE$10033,31,0)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S59" s="111" t="str">
        <f>VLOOKUP(C59,'Train Runs'!$A$13:$AE$10033,22,0)</f>
        <v>https://search-rtdc-monitor-bjffxe2xuh6vdkpspy63sjmuny.us-east-1.es.amazonaws.com/_plugin/kibana/#/discover/Steve-Slow-Train-Analysis-(2080s-and-2083s)?_g=(refreshInterval:(display:Off,section:0,value:0),time:(from:'2016-09-12 21:39:43-0600',mode:absolute,to:'2016-09-12 23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9" s="113" t="str">
        <f t="shared" si="7"/>
        <v>"C:\Program Files (x86)\AstroGrep\AstroGrep.exe" /spath="%USERPROFILE%\AppData\Local\Temp\OnboardLogs" /stypes="*4026*201609130*" /stext=" 04:.+((SYSTEM_STATE.+slice.+state.+changed )|(ment ac)|(system.+state.+changed )|(\|lc)|(penalty)|(\[timeout)|(PRM\|1\|D)|(kpr)|(kdp))" /e /r /s</v>
      </c>
      <c r="U59" s="9" t="str">
        <f t="shared" si="8"/>
        <v>4026</v>
      </c>
      <c r="V59" s="38">
        <f t="shared" si="9"/>
        <v>42626.201655092591</v>
      </c>
      <c r="W59" s="52" t="str">
        <f t="shared" si="10"/>
        <v>Other</v>
      </c>
      <c r="X59" s="52" t="str">
        <f t="shared" si="11"/>
        <v>KEEP</v>
      </c>
      <c r="Y59" s="134" t="str">
        <f t="shared" si="12"/>
        <v>echo {"issue":{"subject":"","project_id":79,"tracker_id":40,"status_id":1,"priority_id":2,"assigned_to_id":23,"start_date":"2016-09-12","description":"","custom_fields":[{"id":1,"name":"Subdivision","value":"Other"},{"id":4,"name":"Milepost","value":"3.0521"},{"id":17,"name":"Train ID","value":"908-12"},{"id":16,"name":"Locomotive ID","value":"4026"},{"id":130,"name":"Impact","value":""},{"id":150,"name":"Time of Event (Mountain Time)","value":"22:50:23"},{"id":151,"name":"Denver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5"/>
      <c r="AA59" s="55"/>
      <c r="AB59" s="55"/>
    </row>
    <row r="60" spans="1:28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50"/>
      <c r="M60" s="153"/>
      <c r="N60" s="92"/>
      <c r="O60" s="174"/>
      <c r="P60" s="10"/>
      <c r="Q60" s="33"/>
      <c r="R60" s="108"/>
      <c r="S60" s="111"/>
      <c r="T60" s="113"/>
      <c r="U60" s="9"/>
      <c r="V60" s="38"/>
      <c r="W60" s="52"/>
      <c r="X60" s="52"/>
      <c r="Y60" s="134"/>
      <c r="Z60" s="55"/>
      <c r="AA60" s="55"/>
      <c r="AB60" s="55"/>
    </row>
    <row r="61" spans="1:28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50"/>
      <c r="M61" s="153"/>
      <c r="N61" s="92"/>
      <c r="O61" s="174"/>
      <c r="P61" s="10"/>
      <c r="Q61" s="33"/>
      <c r="R61" s="108"/>
      <c r="S61" s="111"/>
      <c r="T61" s="113"/>
      <c r="U61" s="9"/>
      <c r="V61" s="38"/>
      <c r="W61" s="52"/>
      <c r="X61" s="52"/>
      <c r="Y61" s="134"/>
      <c r="Z61" s="55"/>
      <c r="AA61" s="55"/>
      <c r="AB61" s="55"/>
    </row>
    <row r="62" spans="1:28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50"/>
      <c r="M62" s="153"/>
      <c r="N62" s="92"/>
      <c r="O62" s="174"/>
      <c r="P62" s="10"/>
      <c r="Q62" s="33"/>
      <c r="R62" s="108"/>
      <c r="S62" s="111"/>
      <c r="T62" s="113"/>
      <c r="U62" s="9"/>
      <c r="V62" s="38"/>
      <c r="W62" s="52"/>
      <c r="X62" s="52"/>
      <c r="Y62" s="134"/>
      <c r="Z62" s="55"/>
      <c r="AA62" s="55"/>
      <c r="AB62" s="55"/>
    </row>
    <row r="63" spans="1:28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50"/>
      <c r="M63" s="153"/>
      <c r="N63" s="92"/>
      <c r="O63" s="174"/>
      <c r="P63" s="10"/>
      <c r="Q63" s="33"/>
      <c r="R63" s="108"/>
      <c r="S63" s="111"/>
      <c r="T63" s="113"/>
      <c r="U63" s="9"/>
      <c r="V63" s="38"/>
      <c r="W63" s="52"/>
      <c r="X63" s="52"/>
      <c r="Y63" s="134"/>
      <c r="Z63" s="55"/>
      <c r="AA63" s="55"/>
      <c r="AB63" s="55"/>
    </row>
    <row r="64" spans="1:28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50"/>
      <c r="M64" s="153"/>
      <c r="N64" s="92"/>
      <c r="O64" s="174"/>
      <c r="P64" s="10"/>
      <c r="Q64" s="33"/>
      <c r="R64" s="108"/>
      <c r="S64" s="111"/>
      <c r="T64" s="113"/>
      <c r="U64" s="9"/>
      <c r="V64" s="38"/>
      <c r="W64" s="52"/>
      <c r="X64" s="52"/>
      <c r="Y64" s="134"/>
      <c r="Z64" s="55"/>
      <c r="AA64" s="55"/>
      <c r="AB64" s="55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50"/>
      <c r="M65" s="153"/>
      <c r="N65" s="92"/>
      <c r="O65" s="174"/>
      <c r="P65" s="10"/>
      <c r="Q65" s="33"/>
      <c r="R65" s="108"/>
      <c r="S65" s="111"/>
      <c r="T65" s="113"/>
      <c r="U65" s="9"/>
      <c r="V65" s="38"/>
      <c r="W65" s="52"/>
      <c r="X65" s="52"/>
      <c r="Y65" s="134"/>
      <c r="Z65" s="55"/>
      <c r="AA65" s="55"/>
      <c r="AB65" s="55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50"/>
      <c r="M66" s="153"/>
      <c r="N66" s="92"/>
      <c r="O66" s="174"/>
      <c r="P66" s="10"/>
      <c r="Q66" s="33"/>
      <c r="R66" s="108"/>
      <c r="S66" s="111"/>
      <c r="T66" s="113"/>
      <c r="U66" s="9"/>
      <c r="V66" s="38"/>
      <c r="W66" s="52"/>
      <c r="X66" s="52"/>
      <c r="Y66" s="134"/>
      <c r="Z66" s="55"/>
      <c r="AA66" s="55"/>
      <c r="AB66" s="55"/>
    </row>
    <row r="67" spans="1:28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50"/>
      <c r="M67" s="153"/>
      <c r="N67" s="92"/>
      <c r="O67" s="174"/>
      <c r="P67" s="10"/>
      <c r="Q67" s="33"/>
      <c r="R67" s="108"/>
      <c r="S67" s="111"/>
      <c r="T67" s="113"/>
      <c r="U67" s="9"/>
      <c r="V67" s="38"/>
      <c r="W67" s="52"/>
      <c r="X67" s="52"/>
      <c r="Y67" s="134"/>
      <c r="Z67" s="55"/>
      <c r="AA67" s="55"/>
      <c r="AB67" s="55"/>
    </row>
    <row r="68" spans="1:28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50"/>
      <c r="M68" s="153"/>
      <c r="N68" s="92"/>
      <c r="O68" s="174"/>
      <c r="P68" s="10"/>
      <c r="Q68" s="33"/>
      <c r="R68" s="108"/>
      <c r="S68" s="111"/>
      <c r="T68" s="113"/>
      <c r="U68" s="9"/>
      <c r="V68" s="38"/>
      <c r="W68" s="52"/>
      <c r="X68" s="52"/>
      <c r="Y68" s="134"/>
      <c r="Z68" s="55"/>
      <c r="AA68" s="55"/>
      <c r="AB68" s="55"/>
    </row>
    <row r="69" spans="1:28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50"/>
      <c r="M69" s="153"/>
      <c r="N69" s="92"/>
      <c r="O69" s="174"/>
      <c r="P69" s="10"/>
      <c r="Q69" s="33"/>
      <c r="R69" s="108"/>
      <c r="S69" s="111"/>
      <c r="T69" s="113"/>
      <c r="U69" s="9"/>
      <c r="V69" s="38"/>
      <c r="W69" s="52"/>
      <c r="X69" s="52"/>
      <c r="Y69" s="134"/>
      <c r="Z69" s="55"/>
      <c r="AA69" s="55"/>
      <c r="AB69" s="55"/>
    </row>
    <row r="70" spans="1:28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50"/>
      <c r="M70" s="153"/>
      <c r="N70" s="92"/>
      <c r="O70" s="174"/>
      <c r="P70" s="10"/>
      <c r="Q70" s="33"/>
      <c r="R70" s="108"/>
      <c r="S70" s="111"/>
      <c r="T70" s="113"/>
      <c r="U70" s="9"/>
      <c r="V70" s="38"/>
      <c r="W70" s="52"/>
      <c r="X70" s="52"/>
      <c r="Y70" s="134"/>
      <c r="Z70" s="55"/>
      <c r="AA70" s="55"/>
      <c r="AB70" s="55"/>
    </row>
    <row r="71" spans="1:28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50"/>
      <c r="M71" s="153"/>
      <c r="N71" s="92"/>
      <c r="O71" s="174"/>
      <c r="P71" s="10"/>
      <c r="Q71" s="33"/>
      <c r="R71" s="108"/>
      <c r="S71" s="111"/>
      <c r="T71" s="113"/>
      <c r="U71" s="9"/>
      <c r="V71" s="38"/>
      <c r="W71" s="52"/>
      <c r="X71" s="52"/>
      <c r="Y71" s="134"/>
      <c r="Z71" s="55"/>
      <c r="AA71" s="55"/>
      <c r="AB71" s="55"/>
    </row>
    <row r="72" spans="1:28" x14ac:dyDescent="0.25">
      <c r="B72" s="23"/>
      <c r="C72" s="23"/>
      <c r="D72" s="23"/>
      <c r="E72" s="23"/>
      <c r="J72" s="23"/>
    </row>
  </sheetData>
  <autoFilter ref="A6:AB67"/>
  <sortState ref="A7:X83">
    <sortCondition ref="W7:W83"/>
    <sortCondition ref="E7:E83"/>
    <sortCondition ref="K7:K83"/>
    <sortCondition ref="C7:C83"/>
    <sortCondition ref="F7:F83"/>
  </sortState>
  <mergeCells count="1">
    <mergeCell ref="A5:O5"/>
  </mergeCells>
  <conditionalFormatting sqref="O6:P6 R6 O7:O1048576">
    <cfRule type="cellIs" dxfId="2" priority="14" operator="equal">
      <formula>"Y"</formula>
    </cfRule>
  </conditionalFormatting>
  <conditionalFormatting sqref="A7:P71">
    <cfRule type="expression" dxfId="1" priority="7">
      <formula>$O7="Y"</formula>
    </cfRule>
  </conditionalFormatting>
  <conditionalFormatting sqref="O2:O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3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AB7:AB52</xm:sqref>
        </x14:dataValidation>
        <x14:dataValidation type="list" allowBlank="1" showInputMessage="1" showErrorMessage="1">
          <x14:formula1>
            <xm:f>'Redmine List Values'!$A$2:$A$7</xm:f>
          </x14:formula1>
          <xm:sqref>AA7:AA52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5"/>
  <sheetViews>
    <sheetView zoomScale="85" zoomScaleNormal="85" workbookViewId="0">
      <selection activeCell="A3" sqref="A3:XFD3"/>
    </sheetView>
  </sheetViews>
  <sheetFormatPr defaultRowHeight="15" x14ac:dyDescent="0.25"/>
  <cols>
    <col min="1" max="1" width="9.140625" style="161"/>
    <col min="2" max="2" width="9.140625" style="2" customWidth="1"/>
    <col min="3" max="3" width="8" style="120" bestFit="1" customWidth="1"/>
    <col min="4" max="4" width="9.85546875" style="116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61"/>
      <c r="B1" s="176" t="str">
        <f>"Trips that did not appear in PTC Data "&amp;TEXT(Variables!$A$2,"YYYY-mm-dd")</f>
        <v>Trips that did not appear in PTC Data 2016-09-12</v>
      </c>
      <c r="C1" s="176"/>
      <c r="D1" s="176"/>
      <c r="E1" s="176"/>
      <c r="F1" s="176"/>
    </row>
    <row r="2" spans="1:11" s="26" customFormat="1" ht="45" x14ac:dyDescent="0.25">
      <c r="A2" s="170" t="s">
        <v>175</v>
      </c>
      <c r="B2" s="125" t="s">
        <v>64</v>
      </c>
      <c r="C2" s="117" t="s">
        <v>65</v>
      </c>
      <c r="D2" s="11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115</v>
      </c>
    </row>
    <row r="3" spans="1:11" x14ac:dyDescent="0.25">
      <c r="B3" s="2" t="str">
        <f>A3&amp;"-"&amp;IF(DAY(Variables!$A$2)&lt;10,0,"")&amp;DAY(Variables!$A$2)</f>
        <v>-12</v>
      </c>
      <c r="C3" s="119"/>
      <c r="D3" s="11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10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-12</v>
      </c>
      <c r="C4" s="119"/>
      <c r="D4" s="11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-12</v>
      </c>
      <c r="C5" s="119"/>
      <c r="D5" s="11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-12</v>
      </c>
      <c r="C6" s="119"/>
      <c r="D6" s="11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-12</v>
      </c>
      <c r="C7" s="119"/>
      <c r="D7" s="11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-12</v>
      </c>
      <c r="C8" s="119"/>
      <c r="D8" s="119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-12</v>
      </c>
      <c r="C9" s="119"/>
      <c r="D9" s="119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-12</v>
      </c>
      <c r="C10" s="119"/>
      <c r="D10" s="119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I35" s="23"/>
      <c r="J35" s="23"/>
      <c r="K35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2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363</v>
      </c>
      <c r="B1" s="23" t="s">
        <v>364</v>
      </c>
      <c r="C1" s="23" t="s">
        <v>0</v>
      </c>
      <c r="D1" s="23" t="s">
        <v>365</v>
      </c>
      <c r="E1" s="23" t="s">
        <v>366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42625.049027777779</v>
      </c>
      <c r="B2" s="23" t="s">
        <v>315</v>
      </c>
      <c r="C2" s="23" t="s">
        <v>353</v>
      </c>
      <c r="D2" s="23">
        <v>2110000</v>
      </c>
      <c r="E2" s="23" t="s">
        <v>285</v>
      </c>
      <c r="F2" s="23" t="str">
        <f t="shared" ref="F2:F65" si="0">B2</f>
        <v>rtdc.l.rtdc.4029:itc</v>
      </c>
      <c r="G2" s="8">
        <f t="shared" ref="G2:G65" si="1">A2</f>
        <v>42625.049027777779</v>
      </c>
    </row>
    <row r="3" spans="1:7" x14ac:dyDescent="0.25">
      <c r="A3" s="8">
        <v>42625.058356481481</v>
      </c>
      <c r="B3" s="23" t="s">
        <v>256</v>
      </c>
      <c r="C3" s="23" t="s">
        <v>351</v>
      </c>
      <c r="D3" s="23">
        <v>1800000</v>
      </c>
      <c r="E3" s="23" t="s">
        <v>303</v>
      </c>
      <c r="F3" s="23" t="str">
        <f t="shared" si="0"/>
        <v>rtdc.l.rtdc.4039:itc</v>
      </c>
      <c r="G3" s="8">
        <f t="shared" si="1"/>
        <v>42625.058356481481</v>
      </c>
    </row>
    <row r="4" spans="1:7" x14ac:dyDescent="0.25">
      <c r="A4" s="8">
        <v>42625.067453703705</v>
      </c>
      <c r="B4" s="23" t="s">
        <v>253</v>
      </c>
      <c r="C4" s="23" t="s">
        <v>354</v>
      </c>
      <c r="D4" s="23">
        <v>1810000</v>
      </c>
      <c r="E4" s="23" t="s">
        <v>321</v>
      </c>
      <c r="F4" s="23" t="str">
        <f t="shared" si="0"/>
        <v>rtdc.l.rtdc.4018:itc</v>
      </c>
      <c r="G4" s="8">
        <f t="shared" si="1"/>
        <v>42625.067453703705</v>
      </c>
    </row>
    <row r="5" spans="1:7" x14ac:dyDescent="0.25">
      <c r="A5" s="8">
        <v>42625.090011574073</v>
      </c>
      <c r="B5" s="23" t="s">
        <v>283</v>
      </c>
      <c r="C5" s="23" t="s">
        <v>355</v>
      </c>
      <c r="D5" s="23">
        <v>1800000</v>
      </c>
      <c r="E5" s="23" t="s">
        <v>303</v>
      </c>
      <c r="F5" s="23" t="str">
        <f t="shared" si="0"/>
        <v>rtdc.l.rtdc.4040:itc</v>
      </c>
      <c r="G5" s="8">
        <f t="shared" si="1"/>
        <v>42625.090011574073</v>
      </c>
    </row>
    <row r="6" spans="1:7" x14ac:dyDescent="0.25">
      <c r="A6" s="8">
        <v>42625.13385416667</v>
      </c>
      <c r="B6" s="23" t="s">
        <v>109</v>
      </c>
      <c r="C6" s="23" t="s">
        <v>373</v>
      </c>
      <c r="D6" s="23">
        <v>2030000</v>
      </c>
      <c r="E6" s="23" t="s">
        <v>318</v>
      </c>
      <c r="F6" s="23" t="str">
        <f t="shared" si="0"/>
        <v>rtdc.l.rtdc.4031:itc</v>
      </c>
      <c r="G6" s="8">
        <f t="shared" si="1"/>
        <v>42625.13385416667</v>
      </c>
    </row>
    <row r="7" spans="1:7" x14ac:dyDescent="0.25">
      <c r="A7" s="8">
        <v>42625.152743055558</v>
      </c>
      <c r="B7" s="23" t="s">
        <v>130</v>
      </c>
      <c r="C7" s="23" t="s">
        <v>427</v>
      </c>
      <c r="D7" s="23">
        <v>1260000</v>
      </c>
      <c r="E7" s="23" t="s">
        <v>316</v>
      </c>
      <c r="F7" s="23" t="str">
        <f t="shared" si="0"/>
        <v>rtdc.l.rtdc.4038:itc</v>
      </c>
      <c r="G7" s="8">
        <f t="shared" si="1"/>
        <v>42625.152743055558</v>
      </c>
    </row>
    <row r="8" spans="1:7" x14ac:dyDescent="0.25">
      <c r="A8" s="8">
        <v>42625.16920138889</v>
      </c>
      <c r="B8" s="23" t="s">
        <v>286</v>
      </c>
      <c r="C8" s="23" t="s">
        <v>424</v>
      </c>
      <c r="D8" s="23">
        <v>2030000</v>
      </c>
      <c r="E8" s="23" t="s">
        <v>318</v>
      </c>
      <c r="F8" s="23" t="str">
        <f t="shared" si="0"/>
        <v>rtdc.l.rtdc.4028:itc</v>
      </c>
      <c r="G8" s="8">
        <f t="shared" si="1"/>
        <v>42625.16920138889</v>
      </c>
    </row>
    <row r="9" spans="1:7" ht="15.75" thickBot="1" x14ac:dyDescent="0.3">
      <c r="A9" s="27">
        <v>42625.173958333333</v>
      </c>
      <c r="B9" s="23" t="s">
        <v>107</v>
      </c>
      <c r="C9" s="23" t="s">
        <v>432</v>
      </c>
      <c r="D9" s="23">
        <v>2380000</v>
      </c>
      <c r="E9" s="23" t="s">
        <v>738</v>
      </c>
      <c r="F9" s="23" t="str">
        <f t="shared" si="0"/>
        <v>rtdc.l.rtdc.4014:itc</v>
      </c>
      <c r="G9" s="8">
        <f t="shared" si="1"/>
        <v>42625.173958333333</v>
      </c>
    </row>
    <row r="10" spans="1:7" x14ac:dyDescent="0.25">
      <c r="A10" s="8">
        <v>42625.180439814816</v>
      </c>
      <c r="B10" s="23" t="s">
        <v>305</v>
      </c>
      <c r="C10" s="23" t="s">
        <v>437</v>
      </c>
      <c r="D10" s="23">
        <v>1090000</v>
      </c>
      <c r="E10" s="23" t="s">
        <v>739</v>
      </c>
      <c r="F10" s="23" t="str">
        <f t="shared" si="0"/>
        <v>rtdc.l.rtdc.4002:itc</v>
      </c>
      <c r="G10" s="8">
        <f t="shared" si="1"/>
        <v>42625.180439814816</v>
      </c>
    </row>
    <row r="11" spans="1:7" x14ac:dyDescent="0.25">
      <c r="A11" s="8">
        <v>42625.181666666664</v>
      </c>
      <c r="B11" s="23" t="s">
        <v>305</v>
      </c>
      <c r="C11" s="23" t="s">
        <v>437</v>
      </c>
      <c r="D11" s="23">
        <v>1090000</v>
      </c>
      <c r="E11" s="23" t="s">
        <v>739</v>
      </c>
      <c r="F11" s="23" t="str">
        <f t="shared" si="0"/>
        <v>rtdc.l.rtdc.4002:itc</v>
      </c>
      <c r="G11" s="8">
        <f t="shared" si="1"/>
        <v>42625.181666666664</v>
      </c>
    </row>
    <row r="12" spans="1:7" x14ac:dyDescent="0.25">
      <c r="A12" s="8">
        <v>42625.190925925926</v>
      </c>
      <c r="B12" s="23" t="s">
        <v>184</v>
      </c>
      <c r="C12" s="23" t="s">
        <v>430</v>
      </c>
      <c r="D12" s="23">
        <v>1260000</v>
      </c>
      <c r="E12" s="23" t="s">
        <v>316</v>
      </c>
      <c r="F12" s="23" t="str">
        <f t="shared" si="0"/>
        <v>rtdc.l.rtdc.4010:itc</v>
      </c>
      <c r="G12" s="8">
        <f t="shared" si="1"/>
        <v>42625.190925925926</v>
      </c>
    </row>
    <row r="13" spans="1:7" x14ac:dyDescent="0.25">
      <c r="A13" s="8">
        <v>42625.195891203701</v>
      </c>
      <c r="B13" s="23" t="s">
        <v>185</v>
      </c>
      <c r="C13" s="23" t="s">
        <v>440</v>
      </c>
      <c r="D13" s="23">
        <v>1830000</v>
      </c>
      <c r="E13" s="23" t="s">
        <v>317</v>
      </c>
      <c r="F13" s="23" t="str">
        <f t="shared" si="0"/>
        <v>rtdc.l.rtdc.4042:itc</v>
      </c>
      <c r="G13" s="8">
        <f t="shared" si="1"/>
        <v>42625.195891203701</v>
      </c>
    </row>
    <row r="14" spans="1:7" x14ac:dyDescent="0.25">
      <c r="A14" s="8">
        <v>42625.203449074077</v>
      </c>
      <c r="B14" s="23" t="s">
        <v>109</v>
      </c>
      <c r="C14" s="23" t="s">
        <v>374</v>
      </c>
      <c r="D14" s="23">
        <v>1110000</v>
      </c>
      <c r="E14" s="23" t="s">
        <v>368</v>
      </c>
      <c r="F14" s="23" t="str">
        <f t="shared" si="0"/>
        <v>rtdc.l.rtdc.4031:itc</v>
      </c>
      <c r="G14" s="8">
        <f t="shared" si="1"/>
        <v>42625.203449074077</v>
      </c>
    </row>
    <row r="15" spans="1:7" x14ac:dyDescent="0.25">
      <c r="A15" s="8">
        <v>42625.204305555555</v>
      </c>
      <c r="B15" s="23" t="s">
        <v>367</v>
      </c>
      <c r="C15" s="23" t="s">
        <v>375</v>
      </c>
      <c r="D15" s="23">
        <v>2030000</v>
      </c>
      <c r="E15" s="23" t="s">
        <v>318</v>
      </c>
      <c r="F15" s="23" t="str">
        <f t="shared" si="0"/>
        <v>rtdc.l.rtdc.4027:itc</v>
      </c>
      <c r="G15" s="8">
        <f t="shared" si="1"/>
        <v>42625.204305555555</v>
      </c>
    </row>
    <row r="16" spans="1:7" x14ac:dyDescent="0.25">
      <c r="A16" s="8">
        <v>42625.207118055558</v>
      </c>
      <c r="B16" s="23" t="s">
        <v>254</v>
      </c>
      <c r="C16" s="23" t="s">
        <v>435</v>
      </c>
      <c r="D16" s="23">
        <v>2380000</v>
      </c>
      <c r="E16" s="23" t="s">
        <v>738</v>
      </c>
      <c r="F16" s="23" t="str">
        <f t="shared" si="0"/>
        <v>rtdc.l.rtdc.4015:itc</v>
      </c>
      <c r="G16" s="8">
        <f t="shared" si="1"/>
        <v>42625.207118055558</v>
      </c>
    </row>
    <row r="17" spans="1:7" x14ac:dyDescent="0.25">
      <c r="A17" s="8">
        <v>42625.212372685186</v>
      </c>
      <c r="B17" s="23" t="s">
        <v>169</v>
      </c>
      <c r="C17" s="23" t="s">
        <v>376</v>
      </c>
      <c r="D17" s="23">
        <v>1990000</v>
      </c>
      <c r="E17" s="23" t="s">
        <v>300</v>
      </c>
      <c r="F17" s="23" t="str">
        <f t="shared" si="0"/>
        <v>rtdc.l.rtdc.4019:itc</v>
      </c>
      <c r="G17" s="8">
        <f t="shared" si="1"/>
        <v>42625.212372685186</v>
      </c>
    </row>
    <row r="18" spans="1:7" x14ac:dyDescent="0.25">
      <c r="A18" s="8">
        <v>42625.212824074071</v>
      </c>
      <c r="B18" s="23" t="s">
        <v>109</v>
      </c>
      <c r="C18" s="23" t="s">
        <v>374</v>
      </c>
      <c r="D18" s="23">
        <v>1110000</v>
      </c>
      <c r="E18" s="23" t="s">
        <v>368</v>
      </c>
      <c r="F18" s="23" t="str">
        <f t="shared" si="0"/>
        <v>rtdc.l.rtdc.4031:itc</v>
      </c>
      <c r="G18" s="8">
        <f t="shared" si="1"/>
        <v>42625.212824074071</v>
      </c>
    </row>
    <row r="19" spans="1:7" x14ac:dyDescent="0.25">
      <c r="A19" s="8">
        <v>42625.220532407409</v>
      </c>
      <c r="B19" s="23" t="s">
        <v>306</v>
      </c>
      <c r="C19" s="23" t="s">
        <v>438</v>
      </c>
      <c r="D19" s="23">
        <v>1090000</v>
      </c>
      <c r="E19" s="23" t="s">
        <v>739</v>
      </c>
      <c r="F19" s="23" t="str">
        <f t="shared" si="0"/>
        <v>rtdc.l.rtdc.4001:itc</v>
      </c>
      <c r="G19" s="8">
        <f t="shared" si="1"/>
        <v>42625.220532407409</v>
      </c>
    </row>
    <row r="20" spans="1:7" x14ac:dyDescent="0.25">
      <c r="A20" s="8">
        <v>42625.224317129629</v>
      </c>
      <c r="B20" s="23" t="s">
        <v>183</v>
      </c>
      <c r="C20" s="23" t="s">
        <v>441</v>
      </c>
      <c r="D20" s="23">
        <v>1830000</v>
      </c>
      <c r="E20" s="23" t="s">
        <v>317</v>
      </c>
      <c r="F20" s="23" t="str">
        <f t="shared" si="0"/>
        <v>rtdc.l.rtdc.4041:itc</v>
      </c>
      <c r="G20" s="8">
        <f t="shared" si="1"/>
        <v>42625.224317129629</v>
      </c>
    </row>
    <row r="21" spans="1:7" x14ac:dyDescent="0.25">
      <c r="A21" s="8">
        <v>42625.228449074071</v>
      </c>
      <c r="B21" s="23" t="s">
        <v>130</v>
      </c>
      <c r="C21" s="23" t="s">
        <v>447</v>
      </c>
      <c r="D21" s="23">
        <v>1310000</v>
      </c>
      <c r="E21" s="23" t="s">
        <v>281</v>
      </c>
      <c r="F21" s="23" t="str">
        <f t="shared" si="0"/>
        <v>rtdc.l.rtdc.4038:itc</v>
      </c>
      <c r="G21" s="8">
        <f t="shared" si="1"/>
        <v>42625.228449074071</v>
      </c>
    </row>
    <row r="22" spans="1:7" x14ac:dyDescent="0.25">
      <c r="A22" s="29">
        <v>42625.234340277777</v>
      </c>
      <c r="B22" s="23" t="s">
        <v>132</v>
      </c>
      <c r="C22" s="23" t="s">
        <v>450</v>
      </c>
      <c r="D22" s="23">
        <v>1260000</v>
      </c>
      <c r="E22" s="23" t="s">
        <v>316</v>
      </c>
      <c r="F22" s="23" t="str">
        <f t="shared" si="0"/>
        <v>rtdc.l.rtdc.4009:itc</v>
      </c>
      <c r="G22" s="8">
        <f t="shared" si="1"/>
        <v>42625.234340277777</v>
      </c>
    </row>
    <row r="23" spans="1:7" x14ac:dyDescent="0.25">
      <c r="A23" s="8">
        <v>42625.243425925924</v>
      </c>
      <c r="B23" s="23" t="s">
        <v>170</v>
      </c>
      <c r="C23" s="23" t="s">
        <v>377</v>
      </c>
      <c r="D23" s="23">
        <v>1990000</v>
      </c>
      <c r="E23" s="23" t="s">
        <v>300</v>
      </c>
      <c r="F23" s="23" t="str">
        <f t="shared" si="0"/>
        <v>rtdc.l.rtdc.4020:itc</v>
      </c>
      <c r="G23" s="8">
        <f t="shared" si="1"/>
        <v>42625.243425925924</v>
      </c>
    </row>
    <row r="24" spans="1:7" x14ac:dyDescent="0.25">
      <c r="A24" s="8">
        <v>42625.244872685187</v>
      </c>
      <c r="B24" s="23" t="s">
        <v>378</v>
      </c>
      <c r="C24" s="23" t="s">
        <v>379</v>
      </c>
      <c r="D24" s="23">
        <v>1110000</v>
      </c>
      <c r="E24" s="23" t="s">
        <v>368</v>
      </c>
      <c r="F24" s="23" t="str">
        <f t="shared" si="0"/>
        <v>rtdc.l.rtdc.4032:itc</v>
      </c>
      <c r="G24" s="8">
        <f t="shared" si="1"/>
        <v>42625.244872685187</v>
      </c>
    </row>
    <row r="25" spans="1:7" x14ac:dyDescent="0.25">
      <c r="A25" s="8">
        <v>42625.247210648151</v>
      </c>
      <c r="B25" s="23" t="s">
        <v>107</v>
      </c>
      <c r="C25" s="23" t="s">
        <v>452</v>
      </c>
      <c r="D25" s="23">
        <v>2380000</v>
      </c>
      <c r="E25" s="23" t="s">
        <v>738</v>
      </c>
      <c r="F25" s="23" t="str">
        <f t="shared" si="0"/>
        <v>rtdc.l.rtdc.4014:itc</v>
      </c>
      <c r="G25" s="8">
        <f t="shared" si="1"/>
        <v>42625.247210648151</v>
      </c>
    </row>
    <row r="26" spans="1:7" x14ac:dyDescent="0.25">
      <c r="A26" s="8">
        <v>42625.251006944447</v>
      </c>
      <c r="B26" s="23" t="s">
        <v>286</v>
      </c>
      <c r="C26" s="23" t="s">
        <v>444</v>
      </c>
      <c r="D26" s="23">
        <v>2030000</v>
      </c>
      <c r="E26" s="23" t="s">
        <v>318</v>
      </c>
      <c r="F26" s="23" t="str">
        <f t="shared" si="0"/>
        <v>rtdc.l.rtdc.4028:itc</v>
      </c>
      <c r="G26" s="8">
        <f t="shared" si="1"/>
        <v>42625.251006944447</v>
      </c>
    </row>
    <row r="27" spans="1:7" x14ac:dyDescent="0.25">
      <c r="A27" s="8">
        <v>42625.256030092591</v>
      </c>
      <c r="B27" s="23" t="s">
        <v>169</v>
      </c>
      <c r="C27" s="23" t="s">
        <v>647</v>
      </c>
      <c r="D27" s="23">
        <v>1990000</v>
      </c>
      <c r="E27" s="23" t="s">
        <v>300</v>
      </c>
      <c r="F27" s="23" t="str">
        <f t="shared" si="0"/>
        <v>rtdc.l.rtdc.4019:itc</v>
      </c>
      <c r="G27" s="8">
        <f t="shared" si="1"/>
        <v>42625.256030092591</v>
      </c>
    </row>
    <row r="28" spans="1:7" x14ac:dyDescent="0.25">
      <c r="A28" s="8">
        <v>42625.259201388886</v>
      </c>
      <c r="B28" s="23" t="s">
        <v>305</v>
      </c>
      <c r="C28" s="23" t="s">
        <v>454</v>
      </c>
      <c r="D28" s="23">
        <v>1090000</v>
      </c>
      <c r="E28" s="23" t="s">
        <v>739</v>
      </c>
      <c r="F28" s="23" t="str">
        <f t="shared" si="0"/>
        <v>rtdc.l.rtdc.4002:itc</v>
      </c>
      <c r="G28" s="8">
        <f t="shared" si="1"/>
        <v>42625.259201388886</v>
      </c>
    </row>
    <row r="29" spans="1:7" x14ac:dyDescent="0.25">
      <c r="A29" s="8">
        <v>42625.261689814812</v>
      </c>
      <c r="B29" s="23" t="s">
        <v>177</v>
      </c>
      <c r="C29" s="23" t="s">
        <v>380</v>
      </c>
      <c r="D29" s="23">
        <v>900000</v>
      </c>
      <c r="E29" s="23" t="s">
        <v>740</v>
      </c>
      <c r="F29" s="23" t="str">
        <f t="shared" si="0"/>
        <v>rtdc.l.rtdc.4025:itc</v>
      </c>
      <c r="G29" s="8">
        <f t="shared" si="1"/>
        <v>42625.261689814812</v>
      </c>
    </row>
    <row r="30" spans="1:7" x14ac:dyDescent="0.25">
      <c r="A30" s="8">
        <v>42625.263854166667</v>
      </c>
      <c r="B30" s="23" t="s">
        <v>255</v>
      </c>
      <c r="C30" s="23" t="s">
        <v>449</v>
      </c>
      <c r="D30" s="23">
        <v>1310000</v>
      </c>
      <c r="E30" s="23" t="s">
        <v>281</v>
      </c>
      <c r="F30" s="23" t="str">
        <f t="shared" si="0"/>
        <v>rtdc.l.rtdc.4037:itc</v>
      </c>
      <c r="G30" s="8">
        <f t="shared" si="1"/>
        <v>42625.263854166667</v>
      </c>
    </row>
    <row r="31" spans="1:7" x14ac:dyDescent="0.25">
      <c r="A31" s="8">
        <v>42625.266331018516</v>
      </c>
      <c r="B31" s="23" t="s">
        <v>185</v>
      </c>
      <c r="C31" s="23" t="s">
        <v>456</v>
      </c>
      <c r="D31" s="23">
        <v>1830000</v>
      </c>
      <c r="E31" s="23" t="s">
        <v>317</v>
      </c>
      <c r="F31" s="23" t="str">
        <f t="shared" si="0"/>
        <v>rtdc.l.rtdc.4042:itc</v>
      </c>
      <c r="G31" s="8">
        <f t="shared" si="1"/>
        <v>42625.266331018516</v>
      </c>
    </row>
    <row r="32" spans="1:7" x14ac:dyDescent="0.25">
      <c r="A32" s="8">
        <v>42625.272268518522</v>
      </c>
      <c r="B32" s="23" t="s">
        <v>184</v>
      </c>
      <c r="C32" s="23" t="s">
        <v>451</v>
      </c>
      <c r="D32" s="23">
        <v>1260000</v>
      </c>
      <c r="E32" s="23" t="s">
        <v>316</v>
      </c>
      <c r="F32" s="23" t="str">
        <f t="shared" si="0"/>
        <v>rtdc.l.rtdc.4010:itc</v>
      </c>
      <c r="G32" s="8">
        <f t="shared" si="1"/>
        <v>42625.272268518522</v>
      </c>
    </row>
    <row r="33" spans="1:7" x14ac:dyDescent="0.25">
      <c r="A33" s="8">
        <v>42625.278263888889</v>
      </c>
      <c r="B33" s="23" t="s">
        <v>109</v>
      </c>
      <c r="C33" s="23" t="s">
        <v>459</v>
      </c>
      <c r="D33" s="23">
        <v>1110000</v>
      </c>
      <c r="E33" s="23" t="s">
        <v>368</v>
      </c>
      <c r="F33" s="23" t="str">
        <f t="shared" si="0"/>
        <v>rtdc.l.rtdc.4031:itc</v>
      </c>
      <c r="G33" s="8">
        <f t="shared" si="1"/>
        <v>42625.278263888889</v>
      </c>
    </row>
    <row r="34" spans="1:7" x14ac:dyDescent="0.25">
      <c r="A34" s="8">
        <v>42625.278854166667</v>
      </c>
      <c r="B34" s="23" t="s">
        <v>178</v>
      </c>
      <c r="C34" s="23" t="s">
        <v>651</v>
      </c>
      <c r="D34" s="23">
        <v>900000</v>
      </c>
      <c r="E34" s="23" t="s">
        <v>740</v>
      </c>
      <c r="F34" s="23" t="str">
        <f t="shared" si="0"/>
        <v>rtdc.l.rtdc.4026:itc</v>
      </c>
      <c r="G34" s="8">
        <f t="shared" si="1"/>
        <v>42625.278854166667</v>
      </c>
    </row>
    <row r="35" spans="1:7" x14ac:dyDescent="0.25">
      <c r="A35" s="8">
        <v>42625.283321759256</v>
      </c>
      <c r="B35" s="23" t="s">
        <v>304</v>
      </c>
      <c r="C35" s="23" t="s">
        <v>381</v>
      </c>
      <c r="D35" s="23">
        <v>2380000</v>
      </c>
      <c r="E35" s="23" t="s">
        <v>738</v>
      </c>
      <c r="F35" s="23" t="str">
        <f t="shared" si="0"/>
        <v>rtdc.l.rtdc.4013:itc</v>
      </c>
      <c r="G35" s="8">
        <f t="shared" si="1"/>
        <v>42625.283321759256</v>
      </c>
    </row>
    <row r="36" spans="1:7" x14ac:dyDescent="0.25">
      <c r="A36" s="8">
        <v>42625.283391203702</v>
      </c>
      <c r="B36" s="23" t="s">
        <v>170</v>
      </c>
      <c r="C36" s="23" t="s">
        <v>382</v>
      </c>
      <c r="D36" s="23">
        <v>1990000</v>
      </c>
      <c r="E36" s="23" t="s">
        <v>300</v>
      </c>
      <c r="F36" s="23" t="str">
        <f t="shared" si="0"/>
        <v>rtdc.l.rtdc.4020:itc</v>
      </c>
      <c r="G36" s="8">
        <f t="shared" si="1"/>
        <v>42625.283391203702</v>
      </c>
    </row>
    <row r="37" spans="1:7" x14ac:dyDescent="0.25">
      <c r="A37" s="8">
        <v>42625.286365740743</v>
      </c>
      <c r="B37" s="23" t="s">
        <v>367</v>
      </c>
      <c r="C37" s="23" t="s">
        <v>462</v>
      </c>
      <c r="D37" s="23">
        <v>2030000</v>
      </c>
      <c r="E37" s="23" t="s">
        <v>318</v>
      </c>
      <c r="F37" s="23" t="str">
        <f t="shared" si="0"/>
        <v>rtdc.l.rtdc.4027:itc</v>
      </c>
      <c r="G37" s="8">
        <f t="shared" si="1"/>
        <v>42625.286365740743</v>
      </c>
    </row>
    <row r="38" spans="1:7" x14ac:dyDescent="0.25">
      <c r="A38" s="8">
        <v>42625.292893518519</v>
      </c>
      <c r="B38" s="23" t="s">
        <v>306</v>
      </c>
      <c r="C38" s="23" t="s">
        <v>385</v>
      </c>
      <c r="D38" s="23">
        <v>1090000</v>
      </c>
      <c r="E38" s="23" t="s">
        <v>739</v>
      </c>
      <c r="F38" s="23" t="str">
        <f t="shared" si="0"/>
        <v>rtdc.l.rtdc.4001:itc</v>
      </c>
      <c r="G38" s="8">
        <f t="shared" si="1"/>
        <v>42625.292893518519</v>
      </c>
    </row>
    <row r="39" spans="1:7" x14ac:dyDescent="0.25">
      <c r="A39" s="8">
        <v>42625.29760416667</v>
      </c>
      <c r="B39" s="23" t="s">
        <v>169</v>
      </c>
      <c r="C39" s="23" t="s">
        <v>383</v>
      </c>
      <c r="D39" s="23">
        <v>1990000</v>
      </c>
      <c r="E39" s="23" t="s">
        <v>300</v>
      </c>
      <c r="F39" s="23" t="str">
        <f t="shared" si="0"/>
        <v>rtdc.l.rtdc.4019:itc</v>
      </c>
      <c r="G39" s="8">
        <f t="shared" si="1"/>
        <v>42625.29760416667</v>
      </c>
    </row>
    <row r="40" spans="1:7" x14ac:dyDescent="0.25">
      <c r="A40" s="8">
        <v>42625.299050925925</v>
      </c>
      <c r="B40" s="28" t="s">
        <v>183</v>
      </c>
      <c r="C40" s="23" t="s">
        <v>386</v>
      </c>
      <c r="D40" s="23">
        <v>1830000</v>
      </c>
      <c r="E40" s="23" t="s">
        <v>317</v>
      </c>
      <c r="F40" s="23" t="str">
        <f t="shared" si="0"/>
        <v>rtdc.l.rtdc.4041:itc</v>
      </c>
      <c r="G40" s="8">
        <f t="shared" si="1"/>
        <v>42625.299050925925</v>
      </c>
    </row>
    <row r="41" spans="1:7" x14ac:dyDescent="0.25">
      <c r="A41" s="8">
        <v>42625.300775462965</v>
      </c>
      <c r="B41" s="23" t="s">
        <v>130</v>
      </c>
      <c r="C41" s="23" t="s">
        <v>464</v>
      </c>
      <c r="D41" s="23">
        <v>1310000</v>
      </c>
      <c r="E41" s="23" t="s">
        <v>281</v>
      </c>
      <c r="F41" s="23" t="str">
        <f t="shared" si="0"/>
        <v>rtdc.l.rtdc.4038:itc</v>
      </c>
      <c r="G41" s="8">
        <f t="shared" si="1"/>
        <v>42625.300775462965</v>
      </c>
    </row>
    <row r="42" spans="1:7" x14ac:dyDescent="0.25">
      <c r="A42" s="8">
        <v>42625.305509259262</v>
      </c>
      <c r="B42" s="23" t="s">
        <v>177</v>
      </c>
      <c r="C42" s="23" t="s">
        <v>384</v>
      </c>
      <c r="D42" s="23">
        <v>900000</v>
      </c>
      <c r="E42" s="23" t="s">
        <v>740</v>
      </c>
      <c r="F42" s="23" t="str">
        <f t="shared" si="0"/>
        <v>rtdc.l.rtdc.4025:itc</v>
      </c>
      <c r="G42" s="8">
        <f t="shared" si="1"/>
        <v>42625.305509259262</v>
      </c>
    </row>
    <row r="43" spans="1:7" x14ac:dyDescent="0.25">
      <c r="A43" s="8">
        <v>42625.309687499997</v>
      </c>
      <c r="B43" s="23" t="s">
        <v>132</v>
      </c>
      <c r="C43" s="23" t="s">
        <v>466</v>
      </c>
      <c r="D43" s="23">
        <v>1260000</v>
      </c>
      <c r="E43" s="23" t="s">
        <v>316</v>
      </c>
      <c r="F43" s="23" t="str">
        <f t="shared" si="0"/>
        <v>rtdc.l.rtdc.4009:itc</v>
      </c>
      <c r="G43" s="8">
        <f t="shared" si="1"/>
        <v>42625.309687499997</v>
      </c>
    </row>
    <row r="44" spans="1:7" x14ac:dyDescent="0.25">
      <c r="A44" s="8">
        <v>42625.317233796297</v>
      </c>
      <c r="B44" s="23" t="s">
        <v>378</v>
      </c>
      <c r="C44" s="23" t="s">
        <v>460</v>
      </c>
      <c r="D44" s="23">
        <v>1110000</v>
      </c>
      <c r="E44" s="23" t="s">
        <v>368</v>
      </c>
      <c r="F44" s="23" t="str">
        <f t="shared" si="0"/>
        <v>rtdc.l.rtdc.4032:itc</v>
      </c>
      <c r="G44" s="8">
        <f t="shared" si="1"/>
        <v>42625.317233796297</v>
      </c>
    </row>
    <row r="45" spans="1:7" x14ac:dyDescent="0.25">
      <c r="A45" s="8">
        <v>42625.317881944444</v>
      </c>
      <c r="B45" s="23" t="s">
        <v>178</v>
      </c>
      <c r="C45" s="23" t="s">
        <v>387</v>
      </c>
      <c r="D45" s="23">
        <v>900000</v>
      </c>
      <c r="E45" s="23" t="s">
        <v>740</v>
      </c>
      <c r="F45" s="23" t="str">
        <f t="shared" si="0"/>
        <v>rtdc.l.rtdc.4026:itc</v>
      </c>
      <c r="G45" s="8">
        <f t="shared" si="1"/>
        <v>42625.317881944444</v>
      </c>
    </row>
    <row r="46" spans="1:7" x14ac:dyDescent="0.25">
      <c r="A46" s="8">
        <v>42625.323009259257</v>
      </c>
      <c r="B46" s="23" t="s">
        <v>107</v>
      </c>
      <c r="C46" s="23" t="s">
        <v>389</v>
      </c>
      <c r="D46" s="23">
        <v>2380000</v>
      </c>
      <c r="E46" s="23" t="s">
        <v>738</v>
      </c>
      <c r="F46" s="23" t="str">
        <f t="shared" si="0"/>
        <v>rtdc.l.rtdc.4014:itc</v>
      </c>
      <c r="G46" s="8">
        <f t="shared" si="1"/>
        <v>42625.323009259257</v>
      </c>
    </row>
    <row r="47" spans="1:7" x14ac:dyDescent="0.25">
      <c r="A47" s="8">
        <v>42625.323379629626</v>
      </c>
      <c r="B47" s="23" t="s">
        <v>286</v>
      </c>
      <c r="C47" s="23" t="s">
        <v>463</v>
      </c>
      <c r="D47" s="23">
        <v>2030000</v>
      </c>
      <c r="E47" s="23" t="s">
        <v>318</v>
      </c>
      <c r="F47" s="23" t="str">
        <f t="shared" si="0"/>
        <v>rtdc.l.rtdc.4028:itc</v>
      </c>
      <c r="G47" s="8">
        <f t="shared" si="1"/>
        <v>42625.323379629626</v>
      </c>
    </row>
    <row r="48" spans="1:7" x14ac:dyDescent="0.25">
      <c r="A48" s="8">
        <v>42625.324421296296</v>
      </c>
      <c r="B48" s="23" t="s">
        <v>170</v>
      </c>
      <c r="C48" s="23" t="s">
        <v>390</v>
      </c>
      <c r="D48" s="23">
        <v>1990000</v>
      </c>
      <c r="E48" s="23" t="s">
        <v>300</v>
      </c>
      <c r="F48" s="23" t="str">
        <f t="shared" si="0"/>
        <v>rtdc.l.rtdc.4020:itc</v>
      </c>
      <c r="G48" s="8">
        <f t="shared" si="1"/>
        <v>42625.324421296296</v>
      </c>
    </row>
    <row r="49" spans="1:7" x14ac:dyDescent="0.25">
      <c r="A49" s="8">
        <v>42625.329988425925</v>
      </c>
      <c r="B49" s="23" t="s">
        <v>305</v>
      </c>
      <c r="C49" s="23" t="s">
        <v>471</v>
      </c>
      <c r="D49" s="23">
        <v>1090000</v>
      </c>
      <c r="E49" s="23" t="s">
        <v>739</v>
      </c>
      <c r="F49" s="23" t="str">
        <f t="shared" si="0"/>
        <v>rtdc.l.rtdc.4002:itc</v>
      </c>
      <c r="G49" s="8">
        <f t="shared" si="1"/>
        <v>42625.329988425925</v>
      </c>
    </row>
    <row r="50" spans="1:7" x14ac:dyDescent="0.25">
      <c r="A50" s="8">
        <v>42625.338773148149</v>
      </c>
      <c r="B50" s="23" t="s">
        <v>185</v>
      </c>
      <c r="C50" s="23" t="s">
        <v>474</v>
      </c>
      <c r="D50" s="23">
        <v>1830000</v>
      </c>
      <c r="E50" s="23" t="s">
        <v>317</v>
      </c>
      <c r="F50" s="23" t="str">
        <f t="shared" si="0"/>
        <v>rtdc.l.rtdc.4042:itc</v>
      </c>
      <c r="G50" s="8">
        <f t="shared" si="1"/>
        <v>42625.338773148149</v>
      </c>
    </row>
    <row r="51" spans="1:7" x14ac:dyDescent="0.25">
      <c r="A51" s="8">
        <v>42625.339016203703</v>
      </c>
      <c r="B51" s="23" t="s">
        <v>169</v>
      </c>
      <c r="C51" s="23" t="s">
        <v>391</v>
      </c>
      <c r="D51" s="23">
        <v>1990000</v>
      </c>
      <c r="E51" s="23" t="s">
        <v>300</v>
      </c>
      <c r="F51" s="23" t="str">
        <f t="shared" si="0"/>
        <v>rtdc.l.rtdc.4019:itc</v>
      </c>
      <c r="G51" s="8">
        <f t="shared" si="1"/>
        <v>42625.339016203703</v>
      </c>
    </row>
    <row r="52" spans="1:7" x14ac:dyDescent="0.25">
      <c r="A52" s="8">
        <v>42625.339270833334</v>
      </c>
      <c r="B52" s="23" t="s">
        <v>255</v>
      </c>
      <c r="C52" s="23" t="s">
        <v>465</v>
      </c>
      <c r="D52" s="23">
        <v>1310000</v>
      </c>
      <c r="E52" s="23" t="s">
        <v>281</v>
      </c>
      <c r="F52" s="23" t="str">
        <f t="shared" si="0"/>
        <v>rtdc.l.rtdc.4037:itc</v>
      </c>
      <c r="G52" s="8">
        <f t="shared" si="1"/>
        <v>42625.339270833334</v>
      </c>
    </row>
    <row r="53" spans="1:7" x14ac:dyDescent="0.25">
      <c r="A53" s="8">
        <v>42625.345972222225</v>
      </c>
      <c r="B53" s="23" t="s">
        <v>184</v>
      </c>
      <c r="C53" s="23" t="s">
        <v>468</v>
      </c>
      <c r="D53" s="23">
        <v>1260000</v>
      </c>
      <c r="E53" s="23" t="s">
        <v>316</v>
      </c>
      <c r="F53" s="23" t="str">
        <f t="shared" si="0"/>
        <v>rtdc.l.rtdc.4010:itc</v>
      </c>
      <c r="G53" s="8">
        <f t="shared" si="1"/>
        <v>42625.345972222225</v>
      </c>
    </row>
    <row r="54" spans="1:7" x14ac:dyDescent="0.25">
      <c r="A54" s="8">
        <v>42625.346655092595</v>
      </c>
      <c r="B54" s="23" t="s">
        <v>177</v>
      </c>
      <c r="C54" s="23" t="s">
        <v>665</v>
      </c>
      <c r="D54" s="23">
        <v>900000</v>
      </c>
      <c r="E54" s="23" t="s">
        <v>740</v>
      </c>
      <c r="F54" s="23" t="str">
        <f t="shared" si="0"/>
        <v>rtdc.l.rtdc.4025:itc</v>
      </c>
      <c r="G54" s="8">
        <f t="shared" si="1"/>
        <v>42625.346655092595</v>
      </c>
    </row>
    <row r="55" spans="1:7" x14ac:dyDescent="0.25">
      <c r="A55" s="8">
        <v>42625.350393518522</v>
      </c>
      <c r="B55" s="23" t="s">
        <v>109</v>
      </c>
      <c r="C55" s="23" t="s">
        <v>478</v>
      </c>
      <c r="D55" s="23">
        <v>1110000</v>
      </c>
      <c r="E55" s="23" t="s">
        <v>368</v>
      </c>
      <c r="F55" s="23" t="str">
        <f t="shared" si="0"/>
        <v>rtdc.l.rtdc.4031:itc</v>
      </c>
      <c r="G55" s="8">
        <f t="shared" si="1"/>
        <v>42625.350393518522</v>
      </c>
    </row>
    <row r="56" spans="1:7" x14ac:dyDescent="0.25">
      <c r="A56" s="8">
        <v>42625.358738425923</v>
      </c>
      <c r="B56" s="23" t="s">
        <v>304</v>
      </c>
      <c r="C56" s="23" t="s">
        <v>469</v>
      </c>
      <c r="D56" s="23">
        <v>2380000</v>
      </c>
      <c r="E56" s="23" t="s">
        <v>738</v>
      </c>
      <c r="F56" s="23" t="str">
        <f t="shared" si="0"/>
        <v>rtdc.l.rtdc.4013:itc</v>
      </c>
      <c r="G56" s="8">
        <f t="shared" si="1"/>
        <v>42625.358738425923</v>
      </c>
    </row>
    <row r="57" spans="1:7" x14ac:dyDescent="0.25">
      <c r="A57" s="8">
        <v>42625.359548611108</v>
      </c>
      <c r="B57" s="23" t="s">
        <v>178</v>
      </c>
      <c r="C57" s="23" t="s">
        <v>392</v>
      </c>
      <c r="D57" s="23">
        <v>900000</v>
      </c>
      <c r="E57" s="23" t="s">
        <v>740</v>
      </c>
      <c r="F57" s="23" t="str">
        <f t="shared" si="0"/>
        <v>rtdc.l.rtdc.4026:itc</v>
      </c>
      <c r="G57" s="8">
        <f t="shared" si="1"/>
        <v>42625.359548611108</v>
      </c>
    </row>
    <row r="58" spans="1:7" x14ac:dyDescent="0.25">
      <c r="A58" s="8">
        <v>42625.362071759257</v>
      </c>
      <c r="B58" s="23" t="s">
        <v>367</v>
      </c>
      <c r="C58" s="23" t="s">
        <v>482</v>
      </c>
      <c r="D58" s="23">
        <v>2030000</v>
      </c>
      <c r="E58" s="23" t="s">
        <v>318</v>
      </c>
      <c r="F58" s="23" t="str">
        <f t="shared" si="0"/>
        <v>rtdc.l.rtdc.4027:itc</v>
      </c>
      <c r="G58" s="8">
        <f t="shared" si="1"/>
        <v>42625.362071759257</v>
      </c>
    </row>
    <row r="59" spans="1:7" x14ac:dyDescent="0.25">
      <c r="A59" s="8">
        <v>42625.370081018518</v>
      </c>
      <c r="B59" s="23" t="s">
        <v>183</v>
      </c>
      <c r="C59" s="23" t="s">
        <v>476</v>
      </c>
      <c r="D59" s="23">
        <v>1830000</v>
      </c>
      <c r="E59" s="23" t="s">
        <v>317</v>
      </c>
      <c r="F59" s="23" t="str">
        <f t="shared" si="0"/>
        <v>rtdc.l.rtdc.4041:itc</v>
      </c>
      <c r="G59" s="8">
        <f t="shared" si="1"/>
        <v>42625.370081018518</v>
      </c>
    </row>
    <row r="60" spans="1:7" x14ac:dyDescent="0.25">
      <c r="A60" s="8">
        <v>42625.370162037034</v>
      </c>
      <c r="B60" s="23" t="s">
        <v>306</v>
      </c>
      <c r="C60" s="23" t="s">
        <v>473</v>
      </c>
      <c r="D60" s="23">
        <v>1090000</v>
      </c>
      <c r="E60" s="23" t="s">
        <v>739</v>
      </c>
      <c r="F60" s="23" t="str">
        <f t="shared" si="0"/>
        <v>rtdc.l.rtdc.4001:itc</v>
      </c>
      <c r="G60" s="8">
        <f t="shared" si="1"/>
        <v>42625.370162037034</v>
      </c>
    </row>
    <row r="61" spans="1:7" x14ac:dyDescent="0.25">
      <c r="A61" s="8">
        <v>42625.37427083333</v>
      </c>
      <c r="B61" s="23" t="s">
        <v>130</v>
      </c>
      <c r="C61" s="23" t="s">
        <v>486</v>
      </c>
      <c r="D61" s="23">
        <v>1310000</v>
      </c>
      <c r="E61" s="23" t="s">
        <v>281</v>
      </c>
      <c r="F61" s="23" t="str">
        <f t="shared" si="0"/>
        <v>rtdc.l.rtdc.4038:itc</v>
      </c>
      <c r="G61" s="8">
        <f t="shared" si="1"/>
        <v>42625.37427083333</v>
      </c>
    </row>
    <row r="62" spans="1:7" x14ac:dyDescent="0.25">
      <c r="A62" s="8">
        <v>42625.381631944445</v>
      </c>
      <c r="B62" s="23" t="s">
        <v>132</v>
      </c>
      <c r="C62" s="23" t="s">
        <v>490</v>
      </c>
      <c r="D62" s="23">
        <v>1260000</v>
      </c>
      <c r="E62" s="23" t="s">
        <v>316</v>
      </c>
      <c r="F62" s="23" t="str">
        <f t="shared" si="0"/>
        <v>rtdc.l.rtdc.4009:itc</v>
      </c>
      <c r="G62" s="8">
        <f t="shared" si="1"/>
        <v>42625.381631944445</v>
      </c>
    </row>
    <row r="63" spans="1:7" x14ac:dyDescent="0.25">
      <c r="A63" s="8">
        <v>42625.383530092593</v>
      </c>
      <c r="B63" s="23" t="s">
        <v>177</v>
      </c>
      <c r="C63" s="23" t="s">
        <v>669</v>
      </c>
      <c r="D63" s="23">
        <v>900000</v>
      </c>
      <c r="E63" s="23" t="s">
        <v>740</v>
      </c>
      <c r="F63" s="23" t="str">
        <f t="shared" si="0"/>
        <v>rtdc.l.rtdc.4025:itc</v>
      </c>
      <c r="G63" s="8">
        <f t="shared" si="1"/>
        <v>42625.383530092593</v>
      </c>
    </row>
    <row r="64" spans="1:7" x14ac:dyDescent="0.25">
      <c r="A64" s="29">
        <v>42625.390972222223</v>
      </c>
      <c r="B64" s="23" t="s">
        <v>378</v>
      </c>
      <c r="C64" s="23" t="s">
        <v>479</v>
      </c>
      <c r="D64" s="23">
        <v>1110000</v>
      </c>
      <c r="E64" s="23" t="s">
        <v>368</v>
      </c>
      <c r="F64" s="23" t="str">
        <f t="shared" si="0"/>
        <v>rtdc.l.rtdc.4032:itc</v>
      </c>
      <c r="G64" s="8">
        <f t="shared" si="1"/>
        <v>42625.390972222223</v>
      </c>
    </row>
    <row r="65" spans="1:7" x14ac:dyDescent="0.25">
      <c r="A65" s="8">
        <v>42625.392256944448</v>
      </c>
      <c r="B65" s="23" t="s">
        <v>107</v>
      </c>
      <c r="C65" s="23" t="s">
        <v>469</v>
      </c>
      <c r="D65" s="23">
        <v>2380000</v>
      </c>
      <c r="E65" s="23" t="s">
        <v>738</v>
      </c>
      <c r="F65" s="23" t="str">
        <f t="shared" si="0"/>
        <v>rtdc.l.rtdc.4014:itc</v>
      </c>
      <c r="G65" s="8">
        <f t="shared" si="1"/>
        <v>42625.392256944448</v>
      </c>
    </row>
    <row r="66" spans="1:7" x14ac:dyDescent="0.25">
      <c r="A66" s="8">
        <v>42625.393854166665</v>
      </c>
      <c r="B66" s="23" t="s">
        <v>107</v>
      </c>
      <c r="C66" s="23" t="s">
        <v>492</v>
      </c>
      <c r="D66" s="23">
        <v>2380000</v>
      </c>
      <c r="E66" s="23" t="s">
        <v>738</v>
      </c>
      <c r="F66" s="23" t="str">
        <f t="shared" ref="F66:F129" si="2">B66</f>
        <v>rtdc.l.rtdc.4014:itc</v>
      </c>
      <c r="G66" s="8">
        <f t="shared" ref="G66:G129" si="3">A66</f>
        <v>42625.393854166665</v>
      </c>
    </row>
    <row r="67" spans="1:7" x14ac:dyDescent="0.25">
      <c r="A67" s="8">
        <v>42625.39634259259</v>
      </c>
      <c r="B67" s="23" t="s">
        <v>286</v>
      </c>
      <c r="C67" s="23" t="s">
        <v>394</v>
      </c>
      <c r="D67" s="23">
        <v>2030000</v>
      </c>
      <c r="E67" s="23" t="s">
        <v>318</v>
      </c>
      <c r="F67" s="23" t="str">
        <f t="shared" si="2"/>
        <v>rtdc.l.rtdc.4028:itc</v>
      </c>
      <c r="G67" s="8">
        <f t="shared" si="3"/>
        <v>42625.39634259259</v>
      </c>
    </row>
    <row r="68" spans="1:7" x14ac:dyDescent="0.25">
      <c r="A68" s="8">
        <v>42625.402199074073</v>
      </c>
      <c r="B68" s="23" t="s">
        <v>178</v>
      </c>
      <c r="C68" s="23" t="s">
        <v>672</v>
      </c>
      <c r="D68" s="23">
        <v>900000</v>
      </c>
      <c r="E68" s="23" t="s">
        <v>740</v>
      </c>
      <c r="F68" s="23" t="str">
        <f t="shared" si="2"/>
        <v>rtdc.l.rtdc.4026:itc</v>
      </c>
      <c r="G68" s="8">
        <f t="shared" si="3"/>
        <v>42625.402199074073</v>
      </c>
    </row>
    <row r="69" spans="1:7" x14ac:dyDescent="0.25">
      <c r="A69" s="8">
        <v>42625.403321759259</v>
      </c>
      <c r="B69" s="23" t="s">
        <v>305</v>
      </c>
      <c r="C69" s="23" t="s">
        <v>393</v>
      </c>
      <c r="D69" s="23">
        <v>1090000</v>
      </c>
      <c r="E69" s="23" t="s">
        <v>739</v>
      </c>
      <c r="F69" s="23" t="str">
        <f t="shared" si="2"/>
        <v>rtdc.l.rtdc.4002:itc</v>
      </c>
      <c r="G69" s="8">
        <f t="shared" si="3"/>
        <v>42625.403321759259</v>
      </c>
    </row>
    <row r="70" spans="1:7" x14ac:dyDescent="0.25">
      <c r="A70" s="8">
        <v>42625.412303240744</v>
      </c>
      <c r="B70" s="23" t="s">
        <v>255</v>
      </c>
      <c r="C70" s="23" t="s">
        <v>488</v>
      </c>
      <c r="D70" s="23">
        <v>1310000</v>
      </c>
      <c r="E70" s="23" t="s">
        <v>281</v>
      </c>
      <c r="F70" s="23" t="str">
        <f t="shared" si="2"/>
        <v>rtdc.l.rtdc.4037:itc</v>
      </c>
      <c r="G70" s="8">
        <f t="shared" si="3"/>
        <v>42625.412303240744</v>
      </c>
    </row>
    <row r="71" spans="1:7" x14ac:dyDescent="0.25">
      <c r="A71" s="8">
        <v>42625.413043981483</v>
      </c>
      <c r="B71" s="23" t="s">
        <v>185</v>
      </c>
      <c r="C71" s="23" t="s">
        <v>497</v>
      </c>
      <c r="D71" s="23">
        <v>1830000</v>
      </c>
      <c r="E71" s="23" t="s">
        <v>317</v>
      </c>
      <c r="F71" s="23" t="str">
        <f t="shared" si="2"/>
        <v>rtdc.l.rtdc.4042:itc</v>
      </c>
      <c r="G71" s="8">
        <f t="shared" si="3"/>
        <v>42625.413043981483</v>
      </c>
    </row>
    <row r="72" spans="1:7" x14ac:dyDescent="0.25">
      <c r="A72" s="8">
        <v>42625.41878472222</v>
      </c>
      <c r="B72" s="23" t="s">
        <v>184</v>
      </c>
      <c r="C72" s="23" t="s">
        <v>395</v>
      </c>
      <c r="D72" s="23">
        <v>1260000</v>
      </c>
      <c r="E72" s="23" t="s">
        <v>316</v>
      </c>
      <c r="F72" s="23" t="str">
        <f t="shared" si="2"/>
        <v>rtdc.l.rtdc.4010:itc</v>
      </c>
      <c r="G72" s="8">
        <f t="shared" si="3"/>
        <v>42625.41878472222</v>
      </c>
    </row>
    <row r="73" spans="1:7" x14ac:dyDescent="0.25">
      <c r="A73" s="8">
        <v>42625.419409722221</v>
      </c>
      <c r="B73" s="23" t="s">
        <v>378</v>
      </c>
      <c r="C73" s="23" t="s">
        <v>479</v>
      </c>
      <c r="D73" s="23">
        <v>1110000</v>
      </c>
      <c r="E73" s="23" t="s">
        <v>368</v>
      </c>
      <c r="F73" s="23" t="str">
        <f t="shared" si="2"/>
        <v>rtdc.l.rtdc.4032:itc</v>
      </c>
      <c r="G73" s="8">
        <f t="shared" si="3"/>
        <v>42625.419409722221</v>
      </c>
    </row>
    <row r="74" spans="1:7" x14ac:dyDescent="0.25">
      <c r="A74" s="8">
        <v>42625.426481481481</v>
      </c>
      <c r="B74" s="23" t="s">
        <v>286</v>
      </c>
      <c r="C74" s="23" t="s">
        <v>394</v>
      </c>
      <c r="D74" s="23">
        <v>2030000</v>
      </c>
      <c r="E74" s="23" t="s">
        <v>318</v>
      </c>
      <c r="F74" s="23" t="str">
        <f t="shared" si="2"/>
        <v>rtdc.l.rtdc.4028:itc</v>
      </c>
      <c r="G74" s="8">
        <f t="shared" si="3"/>
        <v>42625.426481481481</v>
      </c>
    </row>
    <row r="75" spans="1:7" x14ac:dyDescent="0.25">
      <c r="A75" s="8">
        <v>42625.427858796298</v>
      </c>
      <c r="B75" s="23" t="s">
        <v>109</v>
      </c>
      <c r="C75" s="23" t="s">
        <v>499</v>
      </c>
      <c r="D75" s="23">
        <v>1110000</v>
      </c>
      <c r="E75" s="23" t="s">
        <v>368</v>
      </c>
      <c r="F75" s="23" t="str">
        <f t="shared" si="2"/>
        <v>rtdc.l.rtdc.4031:itc</v>
      </c>
      <c r="G75" s="8">
        <f t="shared" si="3"/>
        <v>42625.427858796298</v>
      </c>
    </row>
    <row r="76" spans="1:7" x14ac:dyDescent="0.25">
      <c r="A76" s="8">
        <v>42625.429745370369</v>
      </c>
      <c r="B76" s="23" t="s">
        <v>177</v>
      </c>
      <c r="C76" s="23" t="s">
        <v>674</v>
      </c>
      <c r="D76" s="23">
        <v>900000</v>
      </c>
      <c r="E76" s="23" t="s">
        <v>740</v>
      </c>
      <c r="F76" s="23" t="str">
        <f t="shared" si="2"/>
        <v>rtdc.l.rtdc.4025:itc</v>
      </c>
      <c r="G76" s="8">
        <f t="shared" si="3"/>
        <v>42625.429745370369</v>
      </c>
    </row>
    <row r="77" spans="1:7" x14ac:dyDescent="0.25">
      <c r="A77" s="8">
        <v>42625.434432870374</v>
      </c>
      <c r="B77" s="23" t="s">
        <v>304</v>
      </c>
      <c r="C77" s="23" t="s">
        <v>492</v>
      </c>
      <c r="D77" s="23">
        <v>2380000</v>
      </c>
      <c r="E77" s="23" t="s">
        <v>738</v>
      </c>
      <c r="F77" s="23" t="str">
        <f t="shared" si="2"/>
        <v>rtdc.l.rtdc.4013:itc</v>
      </c>
      <c r="G77" s="8">
        <f t="shared" si="3"/>
        <v>42625.434432870374</v>
      </c>
    </row>
    <row r="78" spans="1:7" x14ac:dyDescent="0.25">
      <c r="A78" s="8">
        <v>42625.435185185182</v>
      </c>
      <c r="B78" s="23" t="s">
        <v>304</v>
      </c>
      <c r="C78" s="23" t="s">
        <v>494</v>
      </c>
      <c r="D78" s="23">
        <v>2380000</v>
      </c>
      <c r="E78" s="23" t="s">
        <v>738</v>
      </c>
      <c r="F78" s="23" t="str">
        <f t="shared" si="2"/>
        <v>rtdc.l.rtdc.4013:itc</v>
      </c>
      <c r="G78" s="8">
        <f t="shared" si="3"/>
        <v>42625.435185185182</v>
      </c>
    </row>
    <row r="79" spans="1:7" x14ac:dyDescent="0.25">
      <c r="A79" s="8">
        <v>42625.4375462963</v>
      </c>
      <c r="B79" s="23" t="s">
        <v>367</v>
      </c>
      <c r="C79" s="23" t="s">
        <v>396</v>
      </c>
      <c r="D79" s="23">
        <v>1990000</v>
      </c>
      <c r="E79" s="23" t="s">
        <v>300</v>
      </c>
      <c r="F79" s="23" t="str">
        <f t="shared" si="2"/>
        <v>rtdc.l.rtdc.4027:itc</v>
      </c>
      <c r="G79" s="8">
        <f t="shared" si="3"/>
        <v>42625.4375462963</v>
      </c>
    </row>
    <row r="80" spans="1:7" x14ac:dyDescent="0.25">
      <c r="A80" s="8">
        <v>42625.443055555559</v>
      </c>
      <c r="B80" s="23" t="s">
        <v>306</v>
      </c>
      <c r="C80" s="23" t="s">
        <v>397</v>
      </c>
      <c r="D80" s="23">
        <v>1090000</v>
      </c>
      <c r="E80" s="23" t="s">
        <v>739</v>
      </c>
      <c r="F80" s="23" t="str">
        <f t="shared" si="2"/>
        <v>rtdc.l.rtdc.4001:itc</v>
      </c>
      <c r="G80" s="8">
        <f t="shared" si="3"/>
        <v>42625.443055555559</v>
      </c>
    </row>
    <row r="81" spans="1:7" x14ac:dyDescent="0.25">
      <c r="A81" s="8">
        <v>42625.443981481483</v>
      </c>
      <c r="B81" s="23" t="s">
        <v>178</v>
      </c>
      <c r="C81" s="23" t="s">
        <v>674</v>
      </c>
      <c r="D81" s="23">
        <v>900000</v>
      </c>
      <c r="E81" s="23" t="s">
        <v>740</v>
      </c>
      <c r="F81" s="23" t="str">
        <f t="shared" si="2"/>
        <v>rtdc.l.rtdc.4026:itc</v>
      </c>
      <c r="G81" s="8">
        <f t="shared" si="3"/>
        <v>42625.443981481483</v>
      </c>
    </row>
    <row r="82" spans="1:7" x14ac:dyDescent="0.25">
      <c r="A82" s="8">
        <v>42625.44458333333</v>
      </c>
      <c r="B82" s="23" t="s">
        <v>178</v>
      </c>
      <c r="C82" s="23" t="s">
        <v>676</v>
      </c>
      <c r="D82" s="23">
        <v>900000</v>
      </c>
      <c r="E82" s="23" t="s">
        <v>740</v>
      </c>
      <c r="F82" s="23" t="str">
        <f t="shared" si="2"/>
        <v>rtdc.l.rtdc.4026:itc</v>
      </c>
      <c r="G82" s="8">
        <f t="shared" si="3"/>
        <v>42625.44458333333</v>
      </c>
    </row>
    <row r="83" spans="1:7" x14ac:dyDescent="0.25">
      <c r="A83" s="8">
        <v>42625.446712962963</v>
      </c>
      <c r="B83" s="23" t="s">
        <v>130</v>
      </c>
      <c r="C83" s="23" t="s">
        <v>508</v>
      </c>
      <c r="D83" s="23">
        <v>1310000</v>
      </c>
      <c r="E83" s="23" t="s">
        <v>281</v>
      </c>
      <c r="F83" s="23" t="str">
        <f t="shared" si="2"/>
        <v>rtdc.l.rtdc.4038:itc</v>
      </c>
      <c r="G83" s="8">
        <f t="shared" si="3"/>
        <v>42625.446712962963</v>
      </c>
    </row>
    <row r="84" spans="1:7" x14ac:dyDescent="0.25">
      <c r="A84" s="8">
        <v>42625.44971064815</v>
      </c>
      <c r="B84" s="23" t="s">
        <v>183</v>
      </c>
      <c r="C84" s="23" t="s">
        <v>398</v>
      </c>
      <c r="D84" s="23">
        <v>1830000</v>
      </c>
      <c r="E84" s="23" t="s">
        <v>317</v>
      </c>
      <c r="F84" s="23" t="str">
        <f t="shared" si="2"/>
        <v>rtdc.l.rtdc.4041:itc</v>
      </c>
      <c r="G84" s="8">
        <f t="shared" si="3"/>
        <v>42625.44971064815</v>
      </c>
    </row>
    <row r="85" spans="1:7" x14ac:dyDescent="0.25">
      <c r="A85" s="8">
        <v>42625.458761574075</v>
      </c>
      <c r="B85" s="23" t="s">
        <v>132</v>
      </c>
      <c r="C85" s="23" t="s">
        <v>511</v>
      </c>
      <c r="D85" s="23">
        <v>880000</v>
      </c>
      <c r="E85" s="23" t="s">
        <v>301</v>
      </c>
      <c r="F85" s="23" t="str">
        <f t="shared" si="2"/>
        <v>rtdc.l.rtdc.4009:itc</v>
      </c>
      <c r="G85" s="8">
        <f t="shared" si="3"/>
        <v>42625.458761574075</v>
      </c>
    </row>
    <row r="86" spans="1:7" x14ac:dyDescent="0.25">
      <c r="A86" s="8">
        <v>42625.464490740742</v>
      </c>
      <c r="B86" s="23" t="s">
        <v>378</v>
      </c>
      <c r="C86" s="23" t="s">
        <v>401</v>
      </c>
      <c r="D86" s="23">
        <v>1110000</v>
      </c>
      <c r="E86" s="23" t="s">
        <v>368</v>
      </c>
      <c r="F86" s="23" t="str">
        <f t="shared" si="2"/>
        <v>rtdc.l.rtdc.4032:itc</v>
      </c>
      <c r="G86" s="8">
        <f t="shared" si="3"/>
        <v>42625.464490740742</v>
      </c>
    </row>
    <row r="87" spans="1:7" x14ac:dyDescent="0.25">
      <c r="A87" s="8">
        <v>42625.469918981478</v>
      </c>
      <c r="B87" s="23" t="s">
        <v>107</v>
      </c>
      <c r="C87" s="23" t="s">
        <v>514</v>
      </c>
      <c r="D87" s="23">
        <v>1280000</v>
      </c>
      <c r="E87" s="23" t="s">
        <v>319</v>
      </c>
      <c r="F87" s="23" t="str">
        <f t="shared" si="2"/>
        <v>rtdc.l.rtdc.4014:itc</v>
      </c>
      <c r="G87" s="8">
        <f t="shared" si="3"/>
        <v>42625.469918981478</v>
      </c>
    </row>
    <row r="88" spans="1:7" x14ac:dyDescent="0.25">
      <c r="A88" s="8">
        <v>42625.471388888887</v>
      </c>
      <c r="B88" s="23" t="s">
        <v>177</v>
      </c>
      <c r="C88" s="23" t="s">
        <v>399</v>
      </c>
      <c r="D88" s="23">
        <v>900000</v>
      </c>
      <c r="E88" s="23" t="s">
        <v>740</v>
      </c>
      <c r="F88" s="23" t="str">
        <f t="shared" si="2"/>
        <v>rtdc.l.rtdc.4025:itc</v>
      </c>
      <c r="G88" s="8">
        <f t="shared" si="3"/>
        <v>42625.471388888887</v>
      </c>
    </row>
    <row r="89" spans="1:7" x14ac:dyDescent="0.25">
      <c r="A89" s="8">
        <v>42625.47252314815</v>
      </c>
      <c r="B89" s="23" t="s">
        <v>286</v>
      </c>
      <c r="C89" s="23" t="s">
        <v>503</v>
      </c>
      <c r="D89" s="23">
        <v>1990000</v>
      </c>
      <c r="E89" s="23" t="s">
        <v>300</v>
      </c>
      <c r="F89" s="23" t="str">
        <f t="shared" si="2"/>
        <v>rtdc.l.rtdc.4028:itc</v>
      </c>
      <c r="G89" s="8">
        <f t="shared" si="3"/>
        <v>42625.47252314815</v>
      </c>
    </row>
    <row r="90" spans="1:7" x14ac:dyDescent="0.25">
      <c r="A90" s="8">
        <v>42625.476168981484</v>
      </c>
      <c r="B90" s="23" t="s">
        <v>305</v>
      </c>
      <c r="C90" s="23" t="s">
        <v>517</v>
      </c>
      <c r="D90" s="23">
        <v>2270000</v>
      </c>
      <c r="E90" s="23" t="s">
        <v>741</v>
      </c>
      <c r="F90" s="23" t="str">
        <f t="shared" si="2"/>
        <v>rtdc.l.rtdc.4002:itc</v>
      </c>
      <c r="G90" s="8">
        <f t="shared" si="3"/>
        <v>42625.476168981484</v>
      </c>
    </row>
    <row r="91" spans="1:7" x14ac:dyDescent="0.25">
      <c r="A91" s="8">
        <v>42625.484317129631</v>
      </c>
      <c r="B91" s="23" t="s">
        <v>255</v>
      </c>
      <c r="C91" s="23" t="s">
        <v>400</v>
      </c>
      <c r="D91" s="23">
        <v>1310000</v>
      </c>
      <c r="E91" s="23" t="s">
        <v>281</v>
      </c>
      <c r="F91" s="23" t="str">
        <f t="shared" si="2"/>
        <v>rtdc.l.rtdc.4037:itc</v>
      </c>
      <c r="G91" s="8">
        <f t="shared" si="3"/>
        <v>42625.484317129631</v>
      </c>
    </row>
    <row r="92" spans="1:7" x14ac:dyDescent="0.25">
      <c r="A92" s="8">
        <v>42625.484826388885</v>
      </c>
      <c r="B92" s="23" t="s">
        <v>178</v>
      </c>
      <c r="C92" s="23" t="s">
        <v>679</v>
      </c>
      <c r="D92" s="23">
        <v>900000</v>
      </c>
      <c r="E92" s="23" t="s">
        <v>740</v>
      </c>
      <c r="F92" s="23" t="str">
        <f t="shared" si="2"/>
        <v>rtdc.l.rtdc.4026:itc</v>
      </c>
      <c r="G92" s="8">
        <f t="shared" si="3"/>
        <v>42625.484826388885</v>
      </c>
    </row>
    <row r="93" spans="1:7" x14ac:dyDescent="0.25">
      <c r="A93" s="8">
        <v>42625.49046296296</v>
      </c>
      <c r="B93" s="23" t="s">
        <v>185</v>
      </c>
      <c r="C93" s="23" t="s">
        <v>522</v>
      </c>
      <c r="D93" s="23">
        <v>930000</v>
      </c>
      <c r="E93" s="23" t="s">
        <v>302</v>
      </c>
      <c r="F93" s="23" t="str">
        <f t="shared" si="2"/>
        <v>rtdc.l.rtdc.4042:itc</v>
      </c>
      <c r="G93" s="8">
        <f t="shared" si="3"/>
        <v>42625.49046296296</v>
      </c>
    </row>
    <row r="94" spans="1:7" x14ac:dyDescent="0.25">
      <c r="A94" s="8">
        <v>42625.493252314816</v>
      </c>
      <c r="B94" s="23" t="s">
        <v>378</v>
      </c>
      <c r="C94" s="23" t="s">
        <v>401</v>
      </c>
      <c r="D94" s="23">
        <v>1110000</v>
      </c>
      <c r="E94" s="23" t="s">
        <v>368</v>
      </c>
      <c r="F94" s="23" t="str">
        <f t="shared" si="2"/>
        <v>rtdc.l.rtdc.4032:itc</v>
      </c>
      <c r="G94" s="8">
        <f t="shared" si="3"/>
        <v>42625.493252314816</v>
      </c>
    </row>
    <row r="95" spans="1:7" x14ac:dyDescent="0.25">
      <c r="A95" s="8">
        <v>42625.496550925927</v>
      </c>
      <c r="B95" s="23" t="s">
        <v>184</v>
      </c>
      <c r="C95" s="23" t="s">
        <v>512</v>
      </c>
      <c r="D95" s="23">
        <v>880000</v>
      </c>
      <c r="E95" s="23" t="s">
        <v>301</v>
      </c>
      <c r="F95" s="23" t="str">
        <f t="shared" si="2"/>
        <v>rtdc.l.rtdc.4010:itc</v>
      </c>
      <c r="G95" s="8">
        <f t="shared" si="3"/>
        <v>42625.496550925927</v>
      </c>
    </row>
    <row r="96" spans="1:7" x14ac:dyDescent="0.25">
      <c r="A96" s="8">
        <v>42625.499374999999</v>
      </c>
      <c r="B96" s="23" t="s">
        <v>304</v>
      </c>
      <c r="C96" s="23" t="s">
        <v>516</v>
      </c>
      <c r="D96" s="23">
        <v>1280000</v>
      </c>
      <c r="E96" s="23" t="s">
        <v>319</v>
      </c>
      <c r="F96" s="23" t="str">
        <f t="shared" si="2"/>
        <v>rtdc.l.rtdc.4013:itc</v>
      </c>
      <c r="G96" s="8">
        <f t="shared" si="3"/>
        <v>42625.499374999999</v>
      </c>
    </row>
    <row r="97" spans="1:7" x14ac:dyDescent="0.25">
      <c r="A97" s="8">
        <v>42625.50341435185</v>
      </c>
      <c r="B97" s="23" t="s">
        <v>109</v>
      </c>
      <c r="C97" s="23" t="s">
        <v>525</v>
      </c>
      <c r="D97" s="23">
        <v>2110000</v>
      </c>
      <c r="E97" s="23" t="s">
        <v>285</v>
      </c>
      <c r="F97" s="23" t="str">
        <f t="shared" si="2"/>
        <v>rtdc.l.rtdc.4031:itc</v>
      </c>
      <c r="G97" s="8">
        <f t="shared" si="3"/>
        <v>42625.50341435185</v>
      </c>
    </row>
    <row r="98" spans="1:7" x14ac:dyDescent="0.25">
      <c r="A98" s="8">
        <v>42625.503842592596</v>
      </c>
      <c r="B98" s="23" t="s">
        <v>286</v>
      </c>
      <c r="C98" s="23" t="s">
        <v>503</v>
      </c>
      <c r="D98" s="23">
        <v>1990000</v>
      </c>
      <c r="E98" s="23" t="s">
        <v>300</v>
      </c>
      <c r="F98" s="23" t="str">
        <f t="shared" si="2"/>
        <v>rtdc.l.rtdc.4028:itc</v>
      </c>
      <c r="G98" s="8">
        <f t="shared" si="3"/>
        <v>42625.503842592596</v>
      </c>
    </row>
    <row r="99" spans="1:7" x14ac:dyDescent="0.25">
      <c r="A99" s="8">
        <v>42625.513923611114</v>
      </c>
      <c r="B99" s="23" t="s">
        <v>177</v>
      </c>
      <c r="C99" s="23" t="s">
        <v>681</v>
      </c>
      <c r="D99" s="23">
        <v>900000</v>
      </c>
      <c r="E99" s="23" t="s">
        <v>740</v>
      </c>
      <c r="F99" s="23" t="str">
        <f t="shared" si="2"/>
        <v>rtdc.l.rtdc.4025:itc</v>
      </c>
      <c r="G99" s="8">
        <f t="shared" si="3"/>
        <v>42625.513923611114</v>
      </c>
    </row>
    <row r="100" spans="1:7" x14ac:dyDescent="0.25">
      <c r="A100" s="8">
        <v>42625.516030092593</v>
      </c>
      <c r="B100" s="23" t="s">
        <v>306</v>
      </c>
      <c r="C100" s="23" t="s">
        <v>519</v>
      </c>
      <c r="D100" s="23">
        <v>2270000</v>
      </c>
      <c r="E100" s="23" t="s">
        <v>741</v>
      </c>
      <c r="F100" s="23" t="str">
        <f t="shared" si="2"/>
        <v>rtdc.l.rtdc.4001:itc</v>
      </c>
      <c r="G100" s="8">
        <f t="shared" si="3"/>
        <v>42625.516030092593</v>
      </c>
    </row>
    <row r="101" spans="1:7" x14ac:dyDescent="0.25">
      <c r="A101" s="8">
        <v>42625.516087962962</v>
      </c>
      <c r="B101" s="23" t="s">
        <v>367</v>
      </c>
      <c r="C101" s="23" t="s">
        <v>530</v>
      </c>
      <c r="D101" s="23">
        <v>2350000</v>
      </c>
      <c r="E101" s="23" t="s">
        <v>742</v>
      </c>
      <c r="F101" s="23" t="str">
        <f t="shared" si="2"/>
        <v>rtdc.l.rtdc.4027:itc</v>
      </c>
      <c r="G101" s="8">
        <f t="shared" si="3"/>
        <v>42625.516087962962</v>
      </c>
    </row>
    <row r="102" spans="1:7" x14ac:dyDescent="0.25">
      <c r="A102" s="8">
        <v>42625.521805555552</v>
      </c>
      <c r="B102" s="23" t="s">
        <v>130</v>
      </c>
      <c r="C102" s="23" t="s">
        <v>403</v>
      </c>
      <c r="D102" s="23">
        <v>2020000</v>
      </c>
      <c r="E102" s="23" t="s">
        <v>282</v>
      </c>
      <c r="F102" s="23" t="str">
        <f t="shared" si="2"/>
        <v>rtdc.l.rtdc.4038:itc</v>
      </c>
      <c r="G102" s="8">
        <f t="shared" si="3"/>
        <v>42625.521805555552</v>
      </c>
    </row>
    <row r="103" spans="1:7" x14ac:dyDescent="0.25">
      <c r="A103" s="8">
        <v>42625.525185185186</v>
      </c>
      <c r="B103" s="23" t="s">
        <v>183</v>
      </c>
      <c r="C103" s="23" t="s">
        <v>402</v>
      </c>
      <c r="D103" s="23">
        <v>930000</v>
      </c>
      <c r="E103" s="23" t="s">
        <v>302</v>
      </c>
      <c r="F103" s="23" t="str">
        <f t="shared" si="2"/>
        <v>rtdc.l.rtdc.4041:itc</v>
      </c>
      <c r="G103" s="8">
        <f t="shared" si="3"/>
        <v>42625.525185185186</v>
      </c>
    </row>
    <row r="104" spans="1:7" x14ac:dyDescent="0.25">
      <c r="A104" s="8">
        <v>42625.525787037041</v>
      </c>
      <c r="B104" s="23" t="s">
        <v>178</v>
      </c>
      <c r="C104" s="23" t="s">
        <v>683</v>
      </c>
      <c r="D104" s="23">
        <v>900000</v>
      </c>
      <c r="E104" s="23" t="s">
        <v>740</v>
      </c>
      <c r="F104" s="23" t="str">
        <f t="shared" si="2"/>
        <v>rtdc.l.rtdc.4026:itc</v>
      </c>
      <c r="G104" s="8">
        <f t="shared" si="3"/>
        <v>42625.525787037041</v>
      </c>
    </row>
    <row r="105" spans="1:7" x14ac:dyDescent="0.25">
      <c r="A105" s="8">
        <v>42625.534479166665</v>
      </c>
      <c r="B105" s="23" t="s">
        <v>132</v>
      </c>
      <c r="C105" s="23" t="s">
        <v>404</v>
      </c>
      <c r="D105" s="23">
        <v>880000</v>
      </c>
      <c r="E105" s="23" t="s">
        <v>301</v>
      </c>
      <c r="F105" s="23" t="str">
        <f t="shared" si="2"/>
        <v>rtdc.l.rtdc.4009:itc</v>
      </c>
      <c r="G105" s="8">
        <f t="shared" si="3"/>
        <v>42625.534479166665</v>
      </c>
    </row>
    <row r="106" spans="1:7" x14ac:dyDescent="0.25">
      <c r="A106" s="8">
        <v>42625.535937499997</v>
      </c>
      <c r="B106" s="23" t="s">
        <v>378</v>
      </c>
      <c r="C106" s="23" t="s">
        <v>526</v>
      </c>
      <c r="D106" s="23">
        <v>2110000</v>
      </c>
      <c r="E106" s="23" t="s">
        <v>285</v>
      </c>
      <c r="F106" s="23" t="str">
        <f t="shared" si="2"/>
        <v>rtdc.l.rtdc.4032:itc</v>
      </c>
      <c r="G106" s="8">
        <f t="shared" si="3"/>
        <v>42625.535937499997</v>
      </c>
    </row>
    <row r="107" spans="1:7" x14ac:dyDescent="0.25">
      <c r="A107" s="8">
        <v>42625.541238425925</v>
      </c>
      <c r="B107" s="23" t="s">
        <v>306</v>
      </c>
      <c r="C107" s="23" t="s">
        <v>519</v>
      </c>
      <c r="D107" s="23">
        <v>2270000</v>
      </c>
      <c r="E107" s="23" t="s">
        <v>741</v>
      </c>
      <c r="F107" s="23" t="str">
        <f t="shared" si="2"/>
        <v>rtdc.l.rtdc.4001:itc</v>
      </c>
      <c r="G107" s="8">
        <f t="shared" si="3"/>
        <v>42625.541238425925</v>
      </c>
    </row>
    <row r="108" spans="1:7" x14ac:dyDescent="0.25">
      <c r="A108" s="8">
        <v>42625.543634259258</v>
      </c>
      <c r="B108" s="23" t="s">
        <v>107</v>
      </c>
      <c r="C108" s="23" t="s">
        <v>539</v>
      </c>
      <c r="D108" s="23">
        <v>1280000</v>
      </c>
      <c r="E108" s="23" t="s">
        <v>319</v>
      </c>
      <c r="F108" s="23" t="str">
        <f t="shared" si="2"/>
        <v>rtdc.l.rtdc.4014:itc</v>
      </c>
      <c r="G108" s="8">
        <f t="shared" si="3"/>
        <v>42625.543634259258</v>
      </c>
    </row>
    <row r="109" spans="1:7" x14ac:dyDescent="0.25">
      <c r="A109" s="8">
        <v>42625.546689814815</v>
      </c>
      <c r="B109" s="23" t="s">
        <v>286</v>
      </c>
      <c r="C109" s="23" t="s">
        <v>531</v>
      </c>
      <c r="D109" s="23">
        <v>2350000</v>
      </c>
      <c r="E109" s="23" t="s">
        <v>742</v>
      </c>
      <c r="F109" s="23" t="str">
        <f t="shared" si="2"/>
        <v>rtdc.l.rtdc.4028:itc</v>
      </c>
      <c r="G109" s="8">
        <f t="shared" si="3"/>
        <v>42625.546689814815</v>
      </c>
    </row>
    <row r="110" spans="1:7" x14ac:dyDescent="0.25">
      <c r="A110" s="8">
        <v>42625.550138888888</v>
      </c>
      <c r="B110" s="23" t="s">
        <v>177</v>
      </c>
      <c r="C110" s="23" t="s">
        <v>685</v>
      </c>
      <c r="D110" s="23">
        <v>1770000</v>
      </c>
      <c r="E110" s="23" t="s">
        <v>320</v>
      </c>
      <c r="F110" s="23" t="str">
        <f t="shared" si="2"/>
        <v>rtdc.l.rtdc.4025:itc</v>
      </c>
      <c r="G110" s="8">
        <f t="shared" si="3"/>
        <v>42625.550138888888</v>
      </c>
    </row>
    <row r="111" spans="1:7" x14ac:dyDescent="0.25">
      <c r="A111" s="8">
        <v>42625.550462962965</v>
      </c>
      <c r="B111" s="23" t="s">
        <v>305</v>
      </c>
      <c r="C111" s="23" t="s">
        <v>543</v>
      </c>
      <c r="D111" s="23">
        <v>2270000</v>
      </c>
      <c r="E111" s="23" t="s">
        <v>741</v>
      </c>
      <c r="F111" s="23" t="str">
        <f t="shared" si="2"/>
        <v>rtdc.l.rtdc.4002:itc</v>
      </c>
      <c r="G111" s="8">
        <f t="shared" si="3"/>
        <v>42625.550462962965</v>
      </c>
    </row>
    <row r="112" spans="1:7" x14ac:dyDescent="0.25">
      <c r="A112" s="8">
        <v>42625.556898148148</v>
      </c>
      <c r="B112" s="23" t="s">
        <v>255</v>
      </c>
      <c r="C112" s="23" t="s">
        <v>532</v>
      </c>
      <c r="D112" s="23">
        <v>2020000</v>
      </c>
      <c r="E112" s="23" t="s">
        <v>282</v>
      </c>
      <c r="F112" s="23" t="str">
        <f t="shared" si="2"/>
        <v>rtdc.l.rtdc.4037:itc</v>
      </c>
      <c r="G112" s="8">
        <f t="shared" si="3"/>
        <v>42625.556898148148</v>
      </c>
    </row>
    <row r="113" spans="1:7" x14ac:dyDescent="0.25">
      <c r="A113" s="8">
        <v>42625.557696759257</v>
      </c>
      <c r="B113" s="23" t="s">
        <v>255</v>
      </c>
      <c r="C113" s="23" t="s">
        <v>532</v>
      </c>
      <c r="D113" s="23">
        <v>2020000</v>
      </c>
      <c r="E113" s="23" t="s">
        <v>282</v>
      </c>
      <c r="F113" s="23" t="str">
        <f t="shared" si="2"/>
        <v>rtdc.l.rtdc.4037:itc</v>
      </c>
      <c r="G113" s="8">
        <f t="shared" si="3"/>
        <v>42625.557696759257</v>
      </c>
    </row>
    <row r="114" spans="1:7" x14ac:dyDescent="0.25">
      <c r="A114" s="8">
        <v>42625.55976851852</v>
      </c>
      <c r="B114" s="23" t="s">
        <v>185</v>
      </c>
      <c r="C114" s="23" t="s">
        <v>545</v>
      </c>
      <c r="D114" s="23">
        <v>930000</v>
      </c>
      <c r="E114" s="23" t="s">
        <v>302</v>
      </c>
      <c r="F114" s="23" t="str">
        <f t="shared" si="2"/>
        <v>rtdc.l.rtdc.4042:itc</v>
      </c>
      <c r="G114" s="8">
        <f t="shared" si="3"/>
        <v>42625.55976851852</v>
      </c>
    </row>
    <row r="115" spans="1:7" x14ac:dyDescent="0.25">
      <c r="A115" s="8">
        <v>42625.56177083333</v>
      </c>
      <c r="B115" s="23" t="s">
        <v>378</v>
      </c>
      <c r="C115" s="23" t="s">
        <v>526</v>
      </c>
      <c r="D115" s="23">
        <v>2110000</v>
      </c>
      <c r="E115" s="23" t="s">
        <v>285</v>
      </c>
      <c r="F115" s="23" t="str">
        <f t="shared" si="2"/>
        <v>rtdc.l.rtdc.4032:itc</v>
      </c>
      <c r="G115" s="8">
        <f t="shared" si="3"/>
        <v>42625.56177083333</v>
      </c>
    </row>
    <row r="116" spans="1:7" x14ac:dyDescent="0.25">
      <c r="A116" s="8">
        <v>42625.568564814814</v>
      </c>
      <c r="B116" s="23" t="s">
        <v>184</v>
      </c>
      <c r="C116" s="23" t="s">
        <v>536</v>
      </c>
      <c r="D116" s="23">
        <v>880000</v>
      </c>
      <c r="E116" s="23" t="s">
        <v>301</v>
      </c>
      <c r="F116" s="23" t="str">
        <f t="shared" si="2"/>
        <v>rtdc.l.rtdc.4010:itc</v>
      </c>
      <c r="G116" s="8">
        <f t="shared" si="3"/>
        <v>42625.568564814814</v>
      </c>
    </row>
    <row r="117" spans="1:7" x14ac:dyDescent="0.25">
      <c r="A117" s="8">
        <v>42625.569016203706</v>
      </c>
      <c r="B117" s="23" t="s">
        <v>178</v>
      </c>
      <c r="C117" s="23" t="s">
        <v>688</v>
      </c>
      <c r="D117" s="23">
        <v>1770000</v>
      </c>
      <c r="E117" s="23" t="s">
        <v>320</v>
      </c>
      <c r="F117" s="23" t="str">
        <f t="shared" si="2"/>
        <v>rtdc.l.rtdc.4026:itc</v>
      </c>
      <c r="G117" s="8">
        <f t="shared" si="3"/>
        <v>42625.569016203706</v>
      </c>
    </row>
    <row r="118" spans="1:7" x14ac:dyDescent="0.25">
      <c r="A118" s="8">
        <v>42625.571400462963</v>
      </c>
      <c r="B118" s="23" t="s">
        <v>109</v>
      </c>
      <c r="C118" s="23" t="s">
        <v>547</v>
      </c>
      <c r="D118" s="23">
        <v>2110000</v>
      </c>
      <c r="E118" s="23" t="s">
        <v>285</v>
      </c>
      <c r="F118" s="23" t="str">
        <f t="shared" si="2"/>
        <v>rtdc.l.rtdc.4031:itc</v>
      </c>
      <c r="G118" s="8">
        <f t="shared" si="3"/>
        <v>42625.571400462963</v>
      </c>
    </row>
    <row r="119" spans="1:7" x14ac:dyDescent="0.25">
      <c r="A119" s="8">
        <v>42625.579791666663</v>
      </c>
      <c r="B119" s="23" t="s">
        <v>367</v>
      </c>
      <c r="C119" s="23" t="s">
        <v>549</v>
      </c>
      <c r="D119" s="23">
        <v>2350000</v>
      </c>
      <c r="E119" s="23" t="s">
        <v>742</v>
      </c>
      <c r="F119" s="23" t="str">
        <f t="shared" si="2"/>
        <v>rtdc.l.rtdc.4027:itc</v>
      </c>
      <c r="G119" s="8">
        <f t="shared" si="3"/>
        <v>42625.579791666663</v>
      </c>
    </row>
    <row r="120" spans="1:7" x14ac:dyDescent="0.25">
      <c r="A120" s="8">
        <v>42625.580081018517</v>
      </c>
      <c r="B120" s="23" t="s">
        <v>304</v>
      </c>
      <c r="C120" s="23" t="s">
        <v>541</v>
      </c>
      <c r="D120" s="23">
        <v>1280000</v>
      </c>
      <c r="E120" s="23" t="s">
        <v>319</v>
      </c>
      <c r="F120" s="23" t="str">
        <f t="shared" si="2"/>
        <v>rtdc.l.rtdc.4013:itc</v>
      </c>
      <c r="G120" s="8">
        <f t="shared" si="3"/>
        <v>42625.580081018517</v>
      </c>
    </row>
    <row r="121" spans="1:7" x14ac:dyDescent="0.25">
      <c r="A121" s="8">
        <v>42625.582800925928</v>
      </c>
      <c r="B121" s="23" t="s">
        <v>255</v>
      </c>
      <c r="C121" s="23" t="s">
        <v>532</v>
      </c>
      <c r="D121" s="23">
        <v>2020000</v>
      </c>
      <c r="E121" s="23" t="s">
        <v>282</v>
      </c>
      <c r="F121" s="23" t="str">
        <f t="shared" si="2"/>
        <v>rtdc.l.rtdc.4037:itc</v>
      </c>
      <c r="G121" s="8">
        <f t="shared" si="3"/>
        <v>42625.582800925928</v>
      </c>
    </row>
    <row r="122" spans="1:7" x14ac:dyDescent="0.25">
      <c r="A122" s="8">
        <v>42625.583495370367</v>
      </c>
      <c r="B122" s="28" t="s">
        <v>255</v>
      </c>
      <c r="C122" s="23" t="s">
        <v>532</v>
      </c>
      <c r="D122" s="23">
        <v>2020000</v>
      </c>
      <c r="E122" s="23" t="s">
        <v>282</v>
      </c>
      <c r="F122" s="23" t="str">
        <f t="shared" si="2"/>
        <v>rtdc.l.rtdc.4037:itc</v>
      </c>
      <c r="G122" s="8">
        <f t="shared" si="3"/>
        <v>42625.583495370367</v>
      </c>
    </row>
    <row r="123" spans="1:7" x14ac:dyDescent="0.25">
      <c r="A123" s="8">
        <v>42625.587175925924</v>
      </c>
      <c r="B123" s="23" t="s">
        <v>306</v>
      </c>
      <c r="C123" s="23" t="s">
        <v>544</v>
      </c>
      <c r="D123" s="23">
        <v>2270000</v>
      </c>
      <c r="E123" s="23" t="s">
        <v>741</v>
      </c>
      <c r="F123" s="23" t="str">
        <f t="shared" si="2"/>
        <v>rtdc.l.rtdc.4001:itc</v>
      </c>
      <c r="G123" s="8">
        <f t="shared" si="3"/>
        <v>42625.587175925924</v>
      </c>
    </row>
    <row r="124" spans="1:7" x14ac:dyDescent="0.25">
      <c r="A124" s="8">
        <v>42625.592442129629</v>
      </c>
      <c r="B124" s="23" t="s">
        <v>130</v>
      </c>
      <c r="C124" s="23" t="s">
        <v>552</v>
      </c>
      <c r="D124" s="23">
        <v>2020000</v>
      </c>
      <c r="E124" s="23" t="s">
        <v>282</v>
      </c>
      <c r="F124" s="23" t="str">
        <f t="shared" si="2"/>
        <v>rtdc.l.rtdc.4038:itc</v>
      </c>
      <c r="G124" s="8">
        <f t="shared" si="3"/>
        <v>42625.592442129629</v>
      </c>
    </row>
    <row r="125" spans="1:7" x14ac:dyDescent="0.25">
      <c r="A125" s="8">
        <v>42625.594664351855</v>
      </c>
      <c r="B125" s="23" t="s">
        <v>177</v>
      </c>
      <c r="C125" s="23" t="s">
        <v>690</v>
      </c>
      <c r="D125" s="23">
        <v>1770000</v>
      </c>
      <c r="E125" s="23" t="s">
        <v>320</v>
      </c>
      <c r="F125" s="23" t="str">
        <f t="shared" si="2"/>
        <v>rtdc.l.rtdc.4025:itc</v>
      </c>
      <c r="G125" s="8">
        <f t="shared" si="3"/>
        <v>42625.594664351855</v>
      </c>
    </row>
    <row r="126" spans="1:7" x14ac:dyDescent="0.25">
      <c r="A126" s="8">
        <v>42625.599953703706</v>
      </c>
      <c r="B126" s="23" t="s">
        <v>183</v>
      </c>
      <c r="C126" s="23" t="s">
        <v>405</v>
      </c>
      <c r="D126" s="23">
        <v>930000</v>
      </c>
      <c r="E126" s="23" t="s">
        <v>302</v>
      </c>
      <c r="F126" s="23" t="str">
        <f t="shared" si="2"/>
        <v>rtdc.l.rtdc.4041:itc</v>
      </c>
      <c r="G126" s="8">
        <f t="shared" si="3"/>
        <v>42625.599953703706</v>
      </c>
    </row>
    <row r="127" spans="1:7" x14ac:dyDescent="0.25">
      <c r="A127" s="8">
        <v>42625.603645833333</v>
      </c>
      <c r="B127" s="23" t="s">
        <v>252</v>
      </c>
      <c r="C127" s="23" t="s">
        <v>553</v>
      </c>
      <c r="D127" s="23">
        <v>2100000</v>
      </c>
      <c r="E127" s="23" t="s">
        <v>743</v>
      </c>
      <c r="F127" s="23" t="str">
        <f t="shared" si="2"/>
        <v>rtdc.l.rtdc.4016:itc</v>
      </c>
      <c r="G127" s="8">
        <f t="shared" si="3"/>
        <v>42625.603645833333</v>
      </c>
    </row>
    <row r="128" spans="1:7" x14ac:dyDescent="0.25">
      <c r="A128" s="8">
        <v>42625.608576388891</v>
      </c>
      <c r="B128" s="23" t="s">
        <v>378</v>
      </c>
      <c r="C128" s="23" t="s">
        <v>548</v>
      </c>
      <c r="D128" s="23">
        <v>2110000</v>
      </c>
      <c r="E128" s="23" t="s">
        <v>285</v>
      </c>
      <c r="F128" s="23" t="str">
        <f t="shared" si="2"/>
        <v>rtdc.l.rtdc.4032:itc</v>
      </c>
      <c r="G128" s="8">
        <f t="shared" si="3"/>
        <v>42625.608576388891</v>
      </c>
    </row>
    <row r="129" spans="1:7" x14ac:dyDescent="0.25">
      <c r="A129" s="8">
        <v>42625.609837962962</v>
      </c>
      <c r="B129" s="23" t="s">
        <v>178</v>
      </c>
      <c r="C129" s="23" t="s">
        <v>693</v>
      </c>
      <c r="D129" s="23">
        <v>1770000</v>
      </c>
      <c r="E129" s="23" t="s">
        <v>320</v>
      </c>
      <c r="F129" s="23" t="str">
        <f t="shared" si="2"/>
        <v>rtdc.l.rtdc.4026:itc</v>
      </c>
      <c r="G129" s="8">
        <f t="shared" si="3"/>
        <v>42625.609837962962</v>
      </c>
    </row>
    <row r="130" spans="1:7" x14ac:dyDescent="0.25">
      <c r="A130" s="8">
        <v>42625.618287037039</v>
      </c>
      <c r="B130" s="23" t="s">
        <v>286</v>
      </c>
      <c r="C130" s="23" t="s">
        <v>407</v>
      </c>
      <c r="D130" s="23">
        <v>2350000</v>
      </c>
      <c r="E130" s="23" t="s">
        <v>742</v>
      </c>
      <c r="F130" s="23" t="str">
        <f t="shared" ref="F130:F193" si="4">B130</f>
        <v>rtdc.l.rtdc.4028:itc</v>
      </c>
      <c r="G130" s="8">
        <f t="shared" ref="G130:G193" si="5">A130</f>
        <v>42625.618287037039</v>
      </c>
    </row>
    <row r="131" spans="1:7" x14ac:dyDescent="0.25">
      <c r="A131" s="8">
        <v>42625.61923611111</v>
      </c>
      <c r="B131" s="23" t="s">
        <v>107</v>
      </c>
      <c r="C131" s="23" t="s">
        <v>557</v>
      </c>
      <c r="D131" s="23">
        <v>1280000</v>
      </c>
      <c r="E131" s="23" t="s">
        <v>319</v>
      </c>
      <c r="F131" s="23" t="str">
        <f t="shared" si="4"/>
        <v>rtdc.l.rtdc.4014:itc</v>
      </c>
      <c r="G131" s="8">
        <f t="shared" si="5"/>
        <v>42625.61923611111</v>
      </c>
    </row>
    <row r="132" spans="1:7" x14ac:dyDescent="0.25">
      <c r="A132" s="8">
        <v>42625.622372685182</v>
      </c>
      <c r="B132" s="23" t="s">
        <v>305</v>
      </c>
      <c r="C132" s="23" t="s">
        <v>559</v>
      </c>
      <c r="D132" s="23">
        <v>2270000</v>
      </c>
      <c r="E132" s="23" t="s">
        <v>741</v>
      </c>
      <c r="F132" s="23" t="str">
        <f t="shared" si="4"/>
        <v>rtdc.l.rtdc.4002:itc</v>
      </c>
      <c r="G132" s="8">
        <f t="shared" si="5"/>
        <v>42625.622372685182</v>
      </c>
    </row>
    <row r="133" spans="1:7" x14ac:dyDescent="0.25">
      <c r="A133" s="8">
        <v>42625.626064814816</v>
      </c>
      <c r="B133" s="23" t="s">
        <v>255</v>
      </c>
      <c r="C133" s="23" t="s">
        <v>744</v>
      </c>
      <c r="D133" s="23">
        <v>2020000</v>
      </c>
      <c r="E133" s="23" t="s">
        <v>282</v>
      </c>
      <c r="F133" s="23" t="str">
        <f t="shared" si="4"/>
        <v>rtdc.l.rtdc.4037:itc</v>
      </c>
      <c r="G133" s="8">
        <f t="shared" si="5"/>
        <v>42625.626064814816</v>
      </c>
    </row>
    <row r="134" spans="1:7" x14ac:dyDescent="0.25">
      <c r="A134" s="8">
        <v>42625.636273148149</v>
      </c>
      <c r="B134" s="23" t="s">
        <v>177</v>
      </c>
      <c r="C134" s="23" t="s">
        <v>406</v>
      </c>
      <c r="D134" s="23">
        <v>1770000</v>
      </c>
      <c r="E134" s="23" t="s">
        <v>320</v>
      </c>
      <c r="F134" s="23" t="str">
        <f t="shared" si="4"/>
        <v>rtdc.l.rtdc.4025:itc</v>
      </c>
      <c r="G134" s="8">
        <f t="shared" si="5"/>
        <v>42625.636273148149</v>
      </c>
    </row>
    <row r="135" spans="1:7" x14ac:dyDescent="0.25">
      <c r="A135" s="8">
        <v>42625.636412037034</v>
      </c>
      <c r="B135" s="23" t="s">
        <v>185</v>
      </c>
      <c r="C135" s="23" t="s">
        <v>561</v>
      </c>
      <c r="D135" s="23">
        <v>930000</v>
      </c>
      <c r="E135" s="23" t="s">
        <v>302</v>
      </c>
      <c r="F135" s="23" t="str">
        <f t="shared" si="4"/>
        <v>rtdc.l.rtdc.4042:itc</v>
      </c>
      <c r="G135" s="8">
        <f t="shared" si="5"/>
        <v>42625.636412037034</v>
      </c>
    </row>
    <row r="136" spans="1:7" x14ac:dyDescent="0.25">
      <c r="A136" s="8">
        <v>42625.639594907407</v>
      </c>
      <c r="B136" s="23" t="s">
        <v>254</v>
      </c>
      <c r="C136" s="23" t="s">
        <v>555</v>
      </c>
      <c r="D136" s="23">
        <v>2100000</v>
      </c>
      <c r="E136" s="23" t="s">
        <v>743</v>
      </c>
      <c r="F136" s="23" t="str">
        <f t="shared" si="4"/>
        <v>rtdc.l.rtdc.4015:itc</v>
      </c>
      <c r="G136" s="8">
        <f t="shared" si="5"/>
        <v>42625.639594907407</v>
      </c>
    </row>
    <row r="137" spans="1:7" x14ac:dyDescent="0.25">
      <c r="A137" s="8">
        <v>42625.640370370369</v>
      </c>
      <c r="B137" s="23" t="s">
        <v>169</v>
      </c>
      <c r="C137" s="23" t="s">
        <v>730</v>
      </c>
      <c r="D137" s="23">
        <v>2090000</v>
      </c>
      <c r="E137" s="23" t="s">
        <v>745</v>
      </c>
      <c r="F137" s="23" t="str">
        <f t="shared" si="4"/>
        <v>rtdc.l.rtdc.4019:itc</v>
      </c>
      <c r="G137" s="8">
        <f t="shared" si="5"/>
        <v>42625.640370370369</v>
      </c>
    </row>
    <row r="138" spans="1:7" x14ac:dyDescent="0.25">
      <c r="A138" s="8">
        <v>42625.643078703702</v>
      </c>
      <c r="B138" s="23" t="s">
        <v>109</v>
      </c>
      <c r="C138" s="23" t="s">
        <v>563</v>
      </c>
      <c r="D138" s="23">
        <v>2110000</v>
      </c>
      <c r="E138" s="23" t="s">
        <v>285</v>
      </c>
      <c r="F138" s="23" t="str">
        <f t="shared" si="4"/>
        <v>rtdc.l.rtdc.4031:itc</v>
      </c>
      <c r="G138" s="8">
        <f t="shared" si="5"/>
        <v>42625.643078703702</v>
      </c>
    </row>
    <row r="139" spans="1:7" x14ac:dyDescent="0.25">
      <c r="A139" s="8">
        <v>42625.643865740742</v>
      </c>
      <c r="B139" s="23" t="s">
        <v>255</v>
      </c>
      <c r="C139" s="23" t="s">
        <v>744</v>
      </c>
      <c r="D139" s="23">
        <v>2020000</v>
      </c>
      <c r="E139" s="23" t="s">
        <v>282</v>
      </c>
      <c r="F139" s="23" t="str">
        <f t="shared" si="4"/>
        <v>rtdc.l.rtdc.4037:itc</v>
      </c>
      <c r="G139" s="8">
        <f t="shared" si="5"/>
        <v>42625.643865740742</v>
      </c>
    </row>
    <row r="140" spans="1:7" x14ac:dyDescent="0.25">
      <c r="A140" s="8">
        <v>42625.651608796295</v>
      </c>
      <c r="B140" s="23" t="s">
        <v>178</v>
      </c>
      <c r="C140" s="23" t="s">
        <v>409</v>
      </c>
      <c r="D140" s="23">
        <v>1770000</v>
      </c>
      <c r="E140" s="23" t="s">
        <v>320</v>
      </c>
      <c r="F140" s="23" t="str">
        <f t="shared" si="4"/>
        <v>rtdc.l.rtdc.4026:itc</v>
      </c>
      <c r="G140" s="8">
        <f t="shared" si="5"/>
        <v>42625.651608796295</v>
      </c>
    </row>
    <row r="141" spans="1:7" x14ac:dyDescent="0.25">
      <c r="A141" s="8">
        <v>42625.652662037035</v>
      </c>
      <c r="B141" s="23" t="s">
        <v>304</v>
      </c>
      <c r="C141" s="23" t="s">
        <v>558</v>
      </c>
      <c r="D141" s="23">
        <v>1280000</v>
      </c>
      <c r="E141" s="23" t="s">
        <v>319</v>
      </c>
      <c r="F141" s="23" t="str">
        <f t="shared" si="4"/>
        <v>rtdc.l.rtdc.4013:itc</v>
      </c>
      <c r="G141" s="8">
        <f t="shared" si="5"/>
        <v>42625.652662037035</v>
      </c>
    </row>
    <row r="142" spans="1:7" x14ac:dyDescent="0.25">
      <c r="A142" s="8">
        <v>42625.65452546296</v>
      </c>
      <c r="B142" s="23" t="s">
        <v>367</v>
      </c>
      <c r="C142" s="23" t="s">
        <v>408</v>
      </c>
      <c r="D142" s="23">
        <v>2350000</v>
      </c>
      <c r="E142" s="23" t="s">
        <v>742</v>
      </c>
      <c r="F142" s="23" t="str">
        <f t="shared" si="4"/>
        <v>rtdc.l.rtdc.4027:itc</v>
      </c>
      <c r="G142" s="8">
        <f t="shared" si="5"/>
        <v>42625.65452546296</v>
      </c>
    </row>
    <row r="143" spans="1:7" x14ac:dyDescent="0.25">
      <c r="A143" s="8">
        <v>42625.657951388886</v>
      </c>
      <c r="B143" s="23" t="s">
        <v>170</v>
      </c>
      <c r="C143" s="23" t="s">
        <v>697</v>
      </c>
      <c r="D143" s="23">
        <v>2090000</v>
      </c>
      <c r="E143" s="23" t="s">
        <v>745</v>
      </c>
      <c r="F143" s="23" t="str">
        <f t="shared" si="4"/>
        <v>rtdc.l.rtdc.4020:itc</v>
      </c>
      <c r="G143" s="8">
        <f t="shared" si="5"/>
        <v>42625.657951388886</v>
      </c>
    </row>
    <row r="144" spans="1:7" x14ac:dyDescent="0.25">
      <c r="A144" s="8">
        <v>42625.658726851849</v>
      </c>
      <c r="B144" s="23" t="s">
        <v>306</v>
      </c>
      <c r="C144" s="23" t="s">
        <v>560</v>
      </c>
      <c r="D144" s="23">
        <v>2270000</v>
      </c>
      <c r="E144" s="23" t="s">
        <v>741</v>
      </c>
      <c r="F144" s="23" t="str">
        <f t="shared" si="4"/>
        <v>rtdc.l.rtdc.4001:itc</v>
      </c>
      <c r="G144" s="8">
        <f t="shared" si="5"/>
        <v>42625.658726851849</v>
      </c>
    </row>
    <row r="145" spans="1:7" x14ac:dyDescent="0.25">
      <c r="A145" s="8">
        <v>42625.662245370368</v>
      </c>
      <c r="B145" s="23" t="s">
        <v>130</v>
      </c>
      <c r="C145" s="23" t="s">
        <v>411</v>
      </c>
      <c r="D145" s="23">
        <v>2020000</v>
      </c>
      <c r="E145" s="23" t="s">
        <v>282</v>
      </c>
      <c r="F145" s="23" t="str">
        <f t="shared" si="4"/>
        <v>rtdc.l.rtdc.4038:itc</v>
      </c>
      <c r="G145" s="8">
        <f t="shared" si="5"/>
        <v>42625.662245370368</v>
      </c>
    </row>
    <row r="146" spans="1:7" x14ac:dyDescent="0.25">
      <c r="A146" s="8">
        <v>42625.672766203701</v>
      </c>
      <c r="B146" s="23" t="s">
        <v>183</v>
      </c>
      <c r="C146" s="23" t="s">
        <v>412</v>
      </c>
      <c r="D146" s="23">
        <v>930000</v>
      </c>
      <c r="E146" s="23" t="s">
        <v>302</v>
      </c>
      <c r="F146" s="23" t="str">
        <f t="shared" si="4"/>
        <v>rtdc.l.rtdc.4041:itc</v>
      </c>
      <c r="G146" s="8">
        <f t="shared" si="5"/>
        <v>42625.672766203701</v>
      </c>
    </row>
    <row r="147" spans="1:7" x14ac:dyDescent="0.25">
      <c r="A147" s="8">
        <v>42625.673541666663</v>
      </c>
      <c r="B147" s="23" t="s">
        <v>169</v>
      </c>
      <c r="C147" s="23" t="s">
        <v>410</v>
      </c>
      <c r="D147" s="23">
        <v>2090000</v>
      </c>
      <c r="E147" s="23" t="s">
        <v>745</v>
      </c>
      <c r="F147" s="23" t="str">
        <f t="shared" si="4"/>
        <v>rtdc.l.rtdc.4019:itc</v>
      </c>
      <c r="G147" s="8">
        <f t="shared" si="5"/>
        <v>42625.673541666663</v>
      </c>
    </row>
    <row r="148" spans="1:7" x14ac:dyDescent="0.25">
      <c r="A148" s="8">
        <v>42625.67496527778</v>
      </c>
      <c r="B148" s="23" t="s">
        <v>252</v>
      </c>
      <c r="C148" s="23" t="s">
        <v>572</v>
      </c>
      <c r="D148" s="23">
        <v>880000</v>
      </c>
      <c r="E148" s="23" t="s">
        <v>301</v>
      </c>
      <c r="F148" s="23" t="str">
        <f t="shared" si="4"/>
        <v>rtdc.l.rtdc.4016:itc</v>
      </c>
      <c r="G148" s="8">
        <f t="shared" si="5"/>
        <v>42625.67496527778</v>
      </c>
    </row>
    <row r="149" spans="1:7" x14ac:dyDescent="0.25">
      <c r="A149" s="8">
        <v>42625.676030092596</v>
      </c>
      <c r="B149" s="23" t="s">
        <v>252</v>
      </c>
      <c r="C149" s="23" t="s">
        <v>572</v>
      </c>
      <c r="D149" s="23">
        <v>880000</v>
      </c>
      <c r="E149" s="23" t="s">
        <v>301</v>
      </c>
      <c r="F149" s="23" t="str">
        <f t="shared" si="4"/>
        <v>rtdc.l.rtdc.4016:itc</v>
      </c>
      <c r="G149" s="8">
        <f t="shared" si="5"/>
        <v>42625.676030092596</v>
      </c>
    </row>
    <row r="150" spans="1:7" x14ac:dyDescent="0.25">
      <c r="A150" s="8">
        <v>42625.678113425929</v>
      </c>
      <c r="B150" s="23" t="s">
        <v>177</v>
      </c>
      <c r="C150" s="23" t="s">
        <v>700</v>
      </c>
      <c r="D150" s="23">
        <v>1770000</v>
      </c>
      <c r="E150" s="23" t="s">
        <v>320</v>
      </c>
      <c r="F150" s="23" t="str">
        <f t="shared" si="4"/>
        <v>rtdc.l.rtdc.4025:itc</v>
      </c>
      <c r="G150" s="8">
        <f t="shared" si="5"/>
        <v>42625.678113425929</v>
      </c>
    </row>
    <row r="151" spans="1:7" x14ac:dyDescent="0.25">
      <c r="A151" s="8">
        <v>42625.678923611114</v>
      </c>
      <c r="B151" s="23" t="s">
        <v>378</v>
      </c>
      <c r="C151" s="23" t="s">
        <v>564</v>
      </c>
      <c r="D151" s="23">
        <v>2110000</v>
      </c>
      <c r="E151" s="23" t="s">
        <v>285</v>
      </c>
      <c r="F151" s="23" t="str">
        <f t="shared" si="4"/>
        <v>rtdc.l.rtdc.4032:itc</v>
      </c>
      <c r="G151" s="8">
        <f t="shared" si="5"/>
        <v>42625.678923611114</v>
      </c>
    </row>
    <row r="152" spans="1:7" x14ac:dyDescent="0.25">
      <c r="A152" s="8">
        <v>42625.685856481483</v>
      </c>
      <c r="B152" s="23" t="s">
        <v>107</v>
      </c>
      <c r="C152" s="23" t="s">
        <v>574</v>
      </c>
      <c r="D152" s="23">
        <v>1280000</v>
      </c>
      <c r="E152" s="23" t="s">
        <v>319</v>
      </c>
      <c r="F152" s="23" t="str">
        <f t="shared" si="4"/>
        <v>rtdc.l.rtdc.4014:itc</v>
      </c>
      <c r="G152" s="8">
        <f t="shared" si="5"/>
        <v>42625.685856481483</v>
      </c>
    </row>
    <row r="153" spans="1:7" x14ac:dyDescent="0.25">
      <c r="A153" s="8">
        <v>42625.686539351853</v>
      </c>
      <c r="B153" s="23" t="s">
        <v>286</v>
      </c>
      <c r="C153" s="23" t="s">
        <v>568</v>
      </c>
      <c r="D153" s="23">
        <v>2350000</v>
      </c>
      <c r="E153" s="23" t="s">
        <v>742</v>
      </c>
      <c r="F153" s="23" t="str">
        <f t="shared" si="4"/>
        <v>rtdc.l.rtdc.4028:itc</v>
      </c>
      <c r="G153" s="8">
        <f t="shared" si="5"/>
        <v>42625.686539351853</v>
      </c>
    </row>
    <row r="154" spans="1:7" x14ac:dyDescent="0.25">
      <c r="A154" s="8">
        <v>42625.693773148145</v>
      </c>
      <c r="B154" s="23" t="s">
        <v>178</v>
      </c>
      <c r="C154" s="23" t="s">
        <v>702</v>
      </c>
      <c r="D154" s="23">
        <v>1770000</v>
      </c>
      <c r="E154" s="23" t="s">
        <v>320</v>
      </c>
      <c r="F154" s="23" t="str">
        <f t="shared" si="4"/>
        <v>rtdc.l.rtdc.4026:itc</v>
      </c>
      <c r="G154" s="8">
        <f t="shared" si="5"/>
        <v>42625.693773148145</v>
      </c>
    </row>
    <row r="155" spans="1:7" x14ac:dyDescent="0.25">
      <c r="A155" s="8">
        <v>42625.694768518515</v>
      </c>
      <c r="B155" s="23" t="s">
        <v>305</v>
      </c>
      <c r="C155" s="23" t="s">
        <v>578</v>
      </c>
      <c r="D155" s="23">
        <v>2270000</v>
      </c>
      <c r="E155" s="23" t="s">
        <v>741</v>
      </c>
      <c r="F155" s="23" t="str">
        <f t="shared" si="4"/>
        <v>rtdc.l.rtdc.4002:itc</v>
      </c>
      <c r="G155" s="8">
        <f t="shared" si="5"/>
        <v>42625.694768518515</v>
      </c>
    </row>
    <row r="156" spans="1:7" x14ac:dyDescent="0.25">
      <c r="A156" s="8">
        <v>42625.698252314818</v>
      </c>
      <c r="B156" s="23" t="s">
        <v>170</v>
      </c>
      <c r="C156" s="23" t="s">
        <v>704</v>
      </c>
      <c r="D156" s="23">
        <v>2090000</v>
      </c>
      <c r="E156" s="23" t="s">
        <v>745</v>
      </c>
      <c r="F156" s="23" t="str">
        <f t="shared" si="4"/>
        <v>rtdc.l.rtdc.4020:itc</v>
      </c>
      <c r="G156" s="8">
        <f t="shared" si="5"/>
        <v>42625.698252314818</v>
      </c>
    </row>
    <row r="157" spans="1:7" x14ac:dyDescent="0.25">
      <c r="A157" s="8">
        <v>42625.699236111112</v>
      </c>
      <c r="B157" s="23" t="s">
        <v>255</v>
      </c>
      <c r="C157" s="23" t="s">
        <v>746</v>
      </c>
      <c r="D157" s="23">
        <v>2020000</v>
      </c>
      <c r="E157" s="23" t="s">
        <v>282</v>
      </c>
      <c r="F157" s="23" t="str">
        <f t="shared" si="4"/>
        <v>rtdc.l.rtdc.4037:itc</v>
      </c>
      <c r="G157" s="8">
        <f t="shared" si="5"/>
        <v>42625.699236111112</v>
      </c>
    </row>
    <row r="158" spans="1:7" x14ac:dyDescent="0.25">
      <c r="A158" s="8">
        <v>42625.706597222219</v>
      </c>
      <c r="B158" s="23" t="s">
        <v>185</v>
      </c>
      <c r="C158" s="23" t="s">
        <v>580</v>
      </c>
      <c r="D158" s="23">
        <v>930000</v>
      </c>
      <c r="E158" s="23" t="s">
        <v>302</v>
      </c>
      <c r="F158" s="23" t="str">
        <f t="shared" si="4"/>
        <v>rtdc.l.rtdc.4042:itc</v>
      </c>
      <c r="G158" s="8">
        <f t="shared" si="5"/>
        <v>42625.706597222219</v>
      </c>
    </row>
    <row r="159" spans="1:7" x14ac:dyDescent="0.25">
      <c r="A159" s="8">
        <v>42625.713449074072</v>
      </c>
      <c r="B159" s="23" t="s">
        <v>169</v>
      </c>
      <c r="C159" s="23" t="s">
        <v>414</v>
      </c>
      <c r="D159" s="23">
        <v>2090000</v>
      </c>
      <c r="E159" s="23" t="s">
        <v>745</v>
      </c>
      <c r="F159" s="23" t="str">
        <f t="shared" si="4"/>
        <v>rtdc.l.rtdc.4019:itc</v>
      </c>
      <c r="G159" s="8">
        <f t="shared" si="5"/>
        <v>42625.713449074072</v>
      </c>
    </row>
    <row r="160" spans="1:7" x14ac:dyDescent="0.25">
      <c r="A160" s="8">
        <v>42625.714525462965</v>
      </c>
      <c r="B160" s="23" t="s">
        <v>254</v>
      </c>
      <c r="C160" s="23" t="s">
        <v>573</v>
      </c>
      <c r="D160" s="23">
        <v>880000</v>
      </c>
      <c r="E160" s="23" t="s">
        <v>301</v>
      </c>
      <c r="F160" s="23" t="str">
        <f t="shared" si="4"/>
        <v>rtdc.l.rtdc.4015:itc</v>
      </c>
      <c r="G160" s="8">
        <f t="shared" si="5"/>
        <v>42625.714525462965</v>
      </c>
    </row>
    <row r="161" spans="1:7" x14ac:dyDescent="0.25">
      <c r="A161" s="8">
        <v>42625.716145833336</v>
      </c>
      <c r="B161" s="23" t="s">
        <v>304</v>
      </c>
      <c r="C161" s="23" t="s">
        <v>576</v>
      </c>
      <c r="D161" s="23">
        <v>1280000</v>
      </c>
      <c r="E161" s="23" t="s">
        <v>319</v>
      </c>
      <c r="F161" s="23" t="str">
        <f t="shared" si="4"/>
        <v>rtdc.l.rtdc.4013:itc</v>
      </c>
      <c r="G161" s="8">
        <f t="shared" si="5"/>
        <v>42625.716145833336</v>
      </c>
    </row>
    <row r="162" spans="1:7" x14ac:dyDescent="0.25">
      <c r="A162" s="8">
        <v>42625.717106481483</v>
      </c>
      <c r="B162" s="23" t="s">
        <v>109</v>
      </c>
      <c r="C162" s="23" t="s">
        <v>413</v>
      </c>
      <c r="D162" s="23">
        <v>2370000</v>
      </c>
      <c r="E162" s="23" t="s">
        <v>284</v>
      </c>
      <c r="F162" s="23" t="str">
        <f t="shared" si="4"/>
        <v>rtdc.l.rtdc.4031:itc</v>
      </c>
      <c r="G162" s="8">
        <f t="shared" si="5"/>
        <v>42625.717106481483</v>
      </c>
    </row>
    <row r="163" spans="1:7" x14ac:dyDescent="0.25">
      <c r="A163" s="8">
        <v>42625.719375000001</v>
      </c>
      <c r="B163" s="23" t="s">
        <v>177</v>
      </c>
      <c r="C163" s="23" t="s">
        <v>705</v>
      </c>
      <c r="D163" s="23">
        <v>1770000</v>
      </c>
      <c r="E163" s="23" t="s">
        <v>320</v>
      </c>
      <c r="F163" s="23" t="str">
        <f t="shared" si="4"/>
        <v>rtdc.l.rtdc.4025:itc</v>
      </c>
      <c r="G163" s="8">
        <f t="shared" si="5"/>
        <v>42625.719375000001</v>
      </c>
    </row>
    <row r="164" spans="1:7" x14ac:dyDescent="0.25">
      <c r="A164" s="8">
        <v>42625.727673611109</v>
      </c>
      <c r="B164" s="23" t="s">
        <v>367</v>
      </c>
      <c r="C164" s="23" t="s">
        <v>586</v>
      </c>
      <c r="D164" s="23">
        <v>2110000</v>
      </c>
      <c r="E164" s="23" t="s">
        <v>285</v>
      </c>
      <c r="F164" s="23" t="str">
        <f t="shared" si="4"/>
        <v>rtdc.l.rtdc.4027:itc</v>
      </c>
      <c r="G164" s="8">
        <f t="shared" si="5"/>
        <v>42625.727673611109</v>
      </c>
    </row>
    <row r="165" spans="1:7" x14ac:dyDescent="0.25">
      <c r="A165" s="8">
        <v>42625.728020833332</v>
      </c>
      <c r="B165" s="23" t="s">
        <v>306</v>
      </c>
      <c r="C165" s="23" t="s">
        <v>579</v>
      </c>
      <c r="D165" s="23">
        <v>2270000</v>
      </c>
      <c r="E165" s="23" t="s">
        <v>741</v>
      </c>
      <c r="F165" s="23" t="str">
        <f t="shared" si="4"/>
        <v>rtdc.l.rtdc.4001:itc</v>
      </c>
      <c r="G165" s="8">
        <f t="shared" si="5"/>
        <v>42625.728020833332</v>
      </c>
    </row>
    <row r="166" spans="1:7" x14ac:dyDescent="0.25">
      <c r="A166" s="8">
        <v>42625.734155092592</v>
      </c>
      <c r="B166" s="23" t="s">
        <v>132</v>
      </c>
      <c r="C166" s="23" t="s">
        <v>589</v>
      </c>
      <c r="D166" s="23">
        <v>2280000</v>
      </c>
      <c r="E166" s="23" t="s">
        <v>747</v>
      </c>
      <c r="F166" s="23" t="str">
        <f t="shared" si="4"/>
        <v>rtdc.l.rtdc.4009:itc</v>
      </c>
      <c r="G166" s="8">
        <f t="shared" si="5"/>
        <v>42625.734155092592</v>
      </c>
    </row>
    <row r="167" spans="1:7" x14ac:dyDescent="0.25">
      <c r="A167" s="8">
        <v>42625.7346412037</v>
      </c>
      <c r="B167" s="23" t="s">
        <v>178</v>
      </c>
      <c r="C167" s="23" t="s">
        <v>708</v>
      </c>
      <c r="D167" s="23">
        <v>1770000</v>
      </c>
      <c r="E167" s="23" t="s">
        <v>320</v>
      </c>
      <c r="F167" s="23" t="str">
        <f t="shared" si="4"/>
        <v>rtdc.l.rtdc.4026:itc</v>
      </c>
      <c r="G167" s="8">
        <f t="shared" si="5"/>
        <v>42625.7346412037</v>
      </c>
    </row>
    <row r="168" spans="1:7" x14ac:dyDescent="0.25">
      <c r="A168" s="8">
        <v>42625.740266203706</v>
      </c>
      <c r="B168" s="23" t="s">
        <v>170</v>
      </c>
      <c r="C168" s="23" t="s">
        <v>415</v>
      </c>
      <c r="D168" s="23">
        <v>2090000</v>
      </c>
      <c r="E168" s="23" t="s">
        <v>745</v>
      </c>
      <c r="F168" s="23" t="str">
        <f t="shared" si="4"/>
        <v>rtdc.l.rtdc.4020:itc</v>
      </c>
      <c r="G168" s="8">
        <f t="shared" si="5"/>
        <v>42625.740266203706</v>
      </c>
    </row>
    <row r="169" spans="1:7" x14ac:dyDescent="0.25">
      <c r="A169" s="8">
        <v>42625.742523148147</v>
      </c>
      <c r="B169" s="23" t="s">
        <v>183</v>
      </c>
      <c r="C169" s="23" t="s">
        <v>583</v>
      </c>
      <c r="D169" s="23">
        <v>930000</v>
      </c>
      <c r="E169" s="23" t="s">
        <v>302</v>
      </c>
      <c r="F169" s="23" t="str">
        <f t="shared" si="4"/>
        <v>rtdc.l.rtdc.4041:itc</v>
      </c>
      <c r="G169" s="8">
        <f t="shared" si="5"/>
        <v>42625.742523148147</v>
      </c>
    </row>
    <row r="170" spans="1:7" x14ac:dyDescent="0.25">
      <c r="A170" s="8">
        <v>42625.745995370373</v>
      </c>
      <c r="B170" s="23" t="s">
        <v>252</v>
      </c>
      <c r="C170" s="23" t="s">
        <v>591</v>
      </c>
      <c r="D170" s="23">
        <v>2020000</v>
      </c>
      <c r="E170" s="23" t="s">
        <v>282</v>
      </c>
      <c r="F170" s="23" t="str">
        <f t="shared" si="4"/>
        <v>rtdc.l.rtdc.4016:itc</v>
      </c>
      <c r="G170" s="8">
        <f t="shared" si="5"/>
        <v>42625.745995370373</v>
      </c>
    </row>
    <row r="171" spans="1:7" x14ac:dyDescent="0.25">
      <c r="A171" s="8">
        <v>42625.750057870369</v>
      </c>
      <c r="B171" s="23" t="s">
        <v>378</v>
      </c>
      <c r="C171" s="23" t="s">
        <v>585</v>
      </c>
      <c r="D171" s="23">
        <v>2370000</v>
      </c>
      <c r="E171" s="23" t="s">
        <v>284</v>
      </c>
      <c r="F171" s="23" t="str">
        <f t="shared" si="4"/>
        <v>rtdc.l.rtdc.4032:itc</v>
      </c>
      <c r="G171" s="8">
        <f t="shared" si="5"/>
        <v>42625.750057870369</v>
      </c>
    </row>
    <row r="172" spans="1:7" x14ac:dyDescent="0.25">
      <c r="A172" s="8">
        <v>42625.755624999998</v>
      </c>
      <c r="B172" s="23" t="s">
        <v>169</v>
      </c>
      <c r="C172" s="23" t="s">
        <v>712</v>
      </c>
      <c r="D172" s="23">
        <v>2090000</v>
      </c>
      <c r="E172" s="23" t="s">
        <v>745</v>
      </c>
      <c r="F172" s="23" t="str">
        <f t="shared" si="4"/>
        <v>rtdc.l.rtdc.4019:itc</v>
      </c>
      <c r="G172" s="8">
        <f t="shared" si="5"/>
        <v>42625.755624999998</v>
      </c>
    </row>
    <row r="173" spans="1:7" x14ac:dyDescent="0.25">
      <c r="A173" s="8">
        <v>42625.759594907409</v>
      </c>
      <c r="B173" s="23" t="s">
        <v>177</v>
      </c>
      <c r="C173" s="23" t="s">
        <v>714</v>
      </c>
      <c r="D173" s="23">
        <v>2230000</v>
      </c>
      <c r="E173" s="23" t="s">
        <v>748</v>
      </c>
      <c r="F173" s="23" t="str">
        <f t="shared" si="4"/>
        <v>rtdc.l.rtdc.4025:itc</v>
      </c>
      <c r="G173" s="8">
        <f t="shared" si="5"/>
        <v>42625.759594907409</v>
      </c>
    </row>
    <row r="174" spans="1:7" x14ac:dyDescent="0.25">
      <c r="A174" s="8">
        <v>42625.760451388887</v>
      </c>
      <c r="B174" s="23" t="s">
        <v>107</v>
      </c>
      <c r="C174" s="23" t="s">
        <v>594</v>
      </c>
      <c r="D174" s="23">
        <v>1800000</v>
      </c>
      <c r="E174" s="23" t="s">
        <v>303</v>
      </c>
      <c r="F174" s="23" t="str">
        <f t="shared" si="4"/>
        <v>rtdc.l.rtdc.4014:itc</v>
      </c>
      <c r="G174" s="8">
        <f t="shared" si="5"/>
        <v>42625.760451388887</v>
      </c>
    </row>
    <row r="175" spans="1:7" x14ac:dyDescent="0.25">
      <c r="A175" s="8">
        <v>42625.765659722223</v>
      </c>
      <c r="B175" s="23" t="s">
        <v>286</v>
      </c>
      <c r="C175" s="23" t="s">
        <v>588</v>
      </c>
      <c r="D175" s="23">
        <v>2110000</v>
      </c>
      <c r="E175" s="23" t="s">
        <v>285</v>
      </c>
      <c r="F175" s="23" t="str">
        <f t="shared" si="4"/>
        <v>rtdc.l.rtdc.4028:itc</v>
      </c>
      <c r="G175" s="8">
        <f t="shared" si="5"/>
        <v>42625.765659722223</v>
      </c>
    </row>
    <row r="176" spans="1:7" x14ac:dyDescent="0.25">
      <c r="A176" s="8">
        <v>42625.768865740742</v>
      </c>
      <c r="B176" s="23" t="s">
        <v>305</v>
      </c>
      <c r="C176" s="23" t="s">
        <v>596</v>
      </c>
      <c r="D176" s="23">
        <v>1230000</v>
      </c>
      <c r="E176" s="23" t="s">
        <v>749</v>
      </c>
      <c r="F176" s="23" t="str">
        <f t="shared" si="4"/>
        <v>rtdc.l.rtdc.4002:itc</v>
      </c>
      <c r="G176" s="8">
        <f t="shared" si="5"/>
        <v>42625.768865740742</v>
      </c>
    </row>
    <row r="177" spans="1:7" x14ac:dyDescent="0.25">
      <c r="A177" s="8">
        <v>42625.769733796296</v>
      </c>
      <c r="B177" s="23" t="s">
        <v>184</v>
      </c>
      <c r="C177" s="23" t="s">
        <v>590</v>
      </c>
      <c r="D177" s="23">
        <v>2250000</v>
      </c>
      <c r="E177" s="23" t="s">
        <v>750</v>
      </c>
      <c r="F177" s="23" t="str">
        <f t="shared" si="4"/>
        <v>rtdc.l.rtdc.4010:itc</v>
      </c>
      <c r="G177" s="8">
        <f t="shared" si="5"/>
        <v>42625.769733796296</v>
      </c>
    </row>
    <row r="178" spans="1:7" x14ac:dyDescent="0.25">
      <c r="A178" s="8">
        <v>42625.77747685185</v>
      </c>
      <c r="B178" s="23" t="s">
        <v>178</v>
      </c>
      <c r="C178" s="23" t="s">
        <v>715</v>
      </c>
      <c r="D178" s="23">
        <v>2230000</v>
      </c>
      <c r="E178" s="23" t="s">
        <v>748</v>
      </c>
      <c r="F178" s="23" t="str">
        <f t="shared" si="4"/>
        <v>rtdc.l.rtdc.4026:itc</v>
      </c>
      <c r="G178" s="8">
        <f t="shared" si="5"/>
        <v>42625.77747685185</v>
      </c>
    </row>
    <row r="179" spans="1:7" x14ac:dyDescent="0.25">
      <c r="A179" s="8">
        <v>42625.781006944446</v>
      </c>
      <c r="B179" s="23" t="s">
        <v>185</v>
      </c>
      <c r="C179" s="23" t="s">
        <v>628</v>
      </c>
      <c r="D179" s="23">
        <v>930000</v>
      </c>
      <c r="E179" s="23" t="s">
        <v>302</v>
      </c>
      <c r="F179" s="23" t="str">
        <f t="shared" si="4"/>
        <v>rtdc.l.rtdc.4042:itc</v>
      </c>
      <c r="G179" s="8">
        <f t="shared" si="5"/>
        <v>42625.781006944446</v>
      </c>
    </row>
    <row r="180" spans="1:7" x14ac:dyDescent="0.25">
      <c r="A180" s="8">
        <v>42625.78297453704</v>
      </c>
      <c r="B180" s="23" t="s">
        <v>170</v>
      </c>
      <c r="C180" s="23" t="s">
        <v>716</v>
      </c>
      <c r="D180" s="23">
        <v>2090000</v>
      </c>
      <c r="E180" s="23" t="s">
        <v>745</v>
      </c>
      <c r="F180" s="23" t="str">
        <f t="shared" si="4"/>
        <v>rtdc.l.rtdc.4020:itc</v>
      </c>
      <c r="G180" s="8">
        <f t="shared" si="5"/>
        <v>42625.78297453704</v>
      </c>
    </row>
    <row r="181" spans="1:7" x14ac:dyDescent="0.25">
      <c r="A181" s="8">
        <v>42625.783668981479</v>
      </c>
      <c r="B181" s="23" t="s">
        <v>254</v>
      </c>
      <c r="C181" s="23" t="s">
        <v>593</v>
      </c>
      <c r="D181" s="23">
        <v>2020000</v>
      </c>
      <c r="E181" s="23" t="s">
        <v>282</v>
      </c>
      <c r="F181" s="23" t="str">
        <f t="shared" si="4"/>
        <v>rtdc.l.rtdc.4015:itc</v>
      </c>
      <c r="G181" s="8">
        <f t="shared" si="5"/>
        <v>42625.783668981479</v>
      </c>
    </row>
    <row r="182" spans="1:7" x14ac:dyDescent="0.25">
      <c r="A182" s="8">
        <v>42625.788136574076</v>
      </c>
      <c r="B182" s="23" t="s">
        <v>109</v>
      </c>
      <c r="C182" s="23" t="s">
        <v>598</v>
      </c>
      <c r="D182" s="23">
        <v>2370000</v>
      </c>
      <c r="E182" s="23" t="s">
        <v>284</v>
      </c>
      <c r="F182" s="23" t="str">
        <f t="shared" si="4"/>
        <v>rtdc.l.rtdc.4031:itc</v>
      </c>
      <c r="G182" s="8">
        <f t="shared" si="5"/>
        <v>42625.788136574076</v>
      </c>
    </row>
    <row r="183" spans="1:7" x14ac:dyDescent="0.25">
      <c r="A183" s="8">
        <v>42625.796018518522</v>
      </c>
      <c r="B183" s="23" t="s">
        <v>177</v>
      </c>
      <c r="C183" s="23" t="s">
        <v>720</v>
      </c>
      <c r="D183" s="23">
        <v>2230000</v>
      </c>
      <c r="E183" s="23" t="s">
        <v>748</v>
      </c>
      <c r="F183" s="23" t="str">
        <f t="shared" si="4"/>
        <v>rtdc.l.rtdc.4025:itc</v>
      </c>
      <c r="G183" s="8">
        <f t="shared" si="5"/>
        <v>42625.796018518522</v>
      </c>
    </row>
    <row r="184" spans="1:7" x14ac:dyDescent="0.25">
      <c r="A184" s="8">
        <v>42625.796631944446</v>
      </c>
      <c r="B184" s="23" t="s">
        <v>304</v>
      </c>
      <c r="C184" s="23" t="s">
        <v>595</v>
      </c>
      <c r="D184" s="23">
        <v>1800000</v>
      </c>
      <c r="E184" s="23" t="s">
        <v>303</v>
      </c>
      <c r="F184" s="23" t="str">
        <f t="shared" si="4"/>
        <v>rtdc.l.rtdc.4013:itc</v>
      </c>
      <c r="G184" s="8">
        <f t="shared" si="5"/>
        <v>42625.796631944446</v>
      </c>
    </row>
    <row r="185" spans="1:7" x14ac:dyDescent="0.25">
      <c r="A185" s="8">
        <v>42625.797199074077</v>
      </c>
      <c r="B185" s="23" t="s">
        <v>169</v>
      </c>
      <c r="C185" s="23" t="s">
        <v>733</v>
      </c>
      <c r="D185" s="23">
        <v>2090000</v>
      </c>
      <c r="E185" s="23" t="s">
        <v>745</v>
      </c>
      <c r="F185" s="23" t="str">
        <f t="shared" si="4"/>
        <v>rtdc.l.rtdc.4019:itc</v>
      </c>
      <c r="G185" s="8">
        <f t="shared" si="5"/>
        <v>42625.797199074077</v>
      </c>
    </row>
    <row r="186" spans="1:7" x14ac:dyDescent="0.25">
      <c r="A186" s="8">
        <v>42625.798194444447</v>
      </c>
      <c r="B186" s="23" t="s">
        <v>367</v>
      </c>
      <c r="C186" s="23" t="s">
        <v>631</v>
      </c>
      <c r="D186" s="23">
        <v>2110000</v>
      </c>
      <c r="E186" s="23" t="s">
        <v>285</v>
      </c>
      <c r="F186" s="23" t="str">
        <f t="shared" si="4"/>
        <v>rtdc.l.rtdc.4027:itc</v>
      </c>
      <c r="G186" s="8">
        <f t="shared" si="5"/>
        <v>42625.798194444447</v>
      </c>
    </row>
    <row r="187" spans="1:7" x14ac:dyDescent="0.25">
      <c r="A187" s="8">
        <v>42625.80678240741</v>
      </c>
      <c r="B187" s="23" t="s">
        <v>306</v>
      </c>
      <c r="C187" s="23" t="s">
        <v>597</v>
      </c>
      <c r="D187" s="23">
        <v>1230000</v>
      </c>
      <c r="E187" s="23" t="s">
        <v>749</v>
      </c>
      <c r="F187" s="23" t="str">
        <f t="shared" si="4"/>
        <v>rtdc.l.rtdc.4001:itc</v>
      </c>
      <c r="G187" s="8">
        <f t="shared" si="5"/>
        <v>42625.80678240741</v>
      </c>
    </row>
    <row r="188" spans="1:7" x14ac:dyDescent="0.25">
      <c r="A188" s="8">
        <v>42625.814317129632</v>
      </c>
      <c r="B188" s="23" t="s">
        <v>132</v>
      </c>
      <c r="C188" s="23" t="s">
        <v>601</v>
      </c>
      <c r="D188" s="23">
        <v>2280000</v>
      </c>
      <c r="E188" s="23" t="s">
        <v>747</v>
      </c>
      <c r="F188" s="23" t="str">
        <f t="shared" si="4"/>
        <v>rtdc.l.rtdc.4009:itc</v>
      </c>
      <c r="G188" s="8">
        <f t="shared" si="5"/>
        <v>42625.814317129632</v>
      </c>
    </row>
    <row r="189" spans="1:7" x14ac:dyDescent="0.25">
      <c r="A189" s="8">
        <v>42625.817372685182</v>
      </c>
      <c r="B189" s="23" t="s">
        <v>252</v>
      </c>
      <c r="C189" s="23" t="s">
        <v>633</v>
      </c>
      <c r="D189" s="23">
        <v>2020000</v>
      </c>
      <c r="E189" s="23" t="s">
        <v>282</v>
      </c>
      <c r="F189" s="23" t="str">
        <f t="shared" si="4"/>
        <v>rtdc.l.rtdc.4016:itc</v>
      </c>
      <c r="G189" s="8">
        <f t="shared" si="5"/>
        <v>42625.817372685182</v>
      </c>
    </row>
    <row r="190" spans="1:7" x14ac:dyDescent="0.25">
      <c r="A190" s="8">
        <v>42625.81894675926</v>
      </c>
      <c r="B190" s="23" t="s">
        <v>178</v>
      </c>
      <c r="C190" s="23" t="s">
        <v>718</v>
      </c>
      <c r="D190" s="23">
        <v>2230000</v>
      </c>
      <c r="E190" s="23" t="s">
        <v>748</v>
      </c>
      <c r="F190" s="23" t="str">
        <f t="shared" si="4"/>
        <v>rtdc.l.rtdc.4026:itc</v>
      </c>
      <c r="G190" s="8">
        <f t="shared" si="5"/>
        <v>42625.81894675926</v>
      </c>
    </row>
    <row r="191" spans="1:7" x14ac:dyDescent="0.25">
      <c r="A191" s="8">
        <v>42625.824074074073</v>
      </c>
      <c r="B191" s="23" t="s">
        <v>378</v>
      </c>
      <c r="C191" s="23" t="s">
        <v>599</v>
      </c>
      <c r="D191" s="23">
        <v>2370000</v>
      </c>
      <c r="E191" s="23" t="s">
        <v>284</v>
      </c>
      <c r="F191" s="23" t="str">
        <f t="shared" si="4"/>
        <v>rtdc.l.rtdc.4032:itc</v>
      </c>
      <c r="G191" s="8">
        <f t="shared" si="5"/>
        <v>42625.824074074073</v>
      </c>
    </row>
    <row r="192" spans="1:7" x14ac:dyDescent="0.25">
      <c r="A192" s="8">
        <v>42625.832881944443</v>
      </c>
      <c r="B192" s="23" t="s">
        <v>107</v>
      </c>
      <c r="C192" s="23" t="s">
        <v>416</v>
      </c>
      <c r="D192" s="23">
        <v>1800000</v>
      </c>
      <c r="E192" s="23" t="s">
        <v>303</v>
      </c>
      <c r="F192" s="23" t="str">
        <f t="shared" si="4"/>
        <v>rtdc.l.rtdc.4014:itc</v>
      </c>
      <c r="G192" s="8">
        <f t="shared" si="5"/>
        <v>42625.832881944443</v>
      </c>
    </row>
    <row r="193" spans="1:7" x14ac:dyDescent="0.25">
      <c r="A193" s="8">
        <v>42625.839953703704</v>
      </c>
      <c r="B193" s="23" t="s">
        <v>177</v>
      </c>
      <c r="C193" s="23" t="s">
        <v>723</v>
      </c>
      <c r="D193" s="23">
        <v>2230000</v>
      </c>
      <c r="E193" s="23" t="s">
        <v>748</v>
      </c>
      <c r="F193" s="23" t="str">
        <f t="shared" si="4"/>
        <v>rtdc.l.rtdc.4025:itc</v>
      </c>
      <c r="G193" s="8">
        <f t="shared" si="5"/>
        <v>42625.839953703704</v>
      </c>
    </row>
    <row r="194" spans="1:7" x14ac:dyDescent="0.25">
      <c r="A194" s="8">
        <v>42625.844375000001</v>
      </c>
      <c r="B194" s="23" t="s">
        <v>184</v>
      </c>
      <c r="C194" s="23" t="s">
        <v>417</v>
      </c>
      <c r="D194" s="23">
        <v>2280000</v>
      </c>
      <c r="E194" s="23" t="s">
        <v>747</v>
      </c>
      <c r="F194" s="23" t="str">
        <f t="shared" ref="F194:F235" si="6">B194</f>
        <v>rtdc.l.rtdc.4010:itc</v>
      </c>
      <c r="G194" s="8">
        <f t="shared" ref="G194:G235" si="7">A194</f>
        <v>42625.844375000001</v>
      </c>
    </row>
    <row r="195" spans="1:7" x14ac:dyDescent="0.25">
      <c r="A195" s="8">
        <v>42625.844722222224</v>
      </c>
      <c r="B195" s="23" t="s">
        <v>177</v>
      </c>
      <c r="C195" s="23" t="s">
        <v>723</v>
      </c>
      <c r="D195" s="23">
        <v>1770000</v>
      </c>
      <c r="E195" s="23" t="s">
        <v>320</v>
      </c>
      <c r="F195" s="23" t="str">
        <f t="shared" si="6"/>
        <v>rtdc.l.rtdc.4025:itc</v>
      </c>
      <c r="G195" s="8">
        <f t="shared" si="7"/>
        <v>42625.844722222224</v>
      </c>
    </row>
    <row r="196" spans="1:7" x14ac:dyDescent="0.25">
      <c r="A196" s="8">
        <v>42625.850416666668</v>
      </c>
      <c r="B196" s="23" t="s">
        <v>305</v>
      </c>
      <c r="C196" s="23" t="s">
        <v>604</v>
      </c>
      <c r="D196" s="23">
        <v>1230000</v>
      </c>
      <c r="E196" s="23" t="s">
        <v>749</v>
      </c>
      <c r="F196" s="23" t="str">
        <f t="shared" si="6"/>
        <v>rtdc.l.rtdc.4002:itc</v>
      </c>
      <c r="G196" s="8">
        <f t="shared" si="7"/>
        <v>42625.850416666668</v>
      </c>
    </row>
    <row r="197" spans="1:7" x14ac:dyDescent="0.25">
      <c r="A197" s="8">
        <v>42625.860995370371</v>
      </c>
      <c r="B197" s="23" t="s">
        <v>178</v>
      </c>
      <c r="C197" s="23" t="s">
        <v>722</v>
      </c>
      <c r="D197" s="23">
        <v>1770000</v>
      </c>
      <c r="E197" s="23" t="s">
        <v>320</v>
      </c>
      <c r="F197" s="23" t="str">
        <f t="shared" si="6"/>
        <v>rtdc.l.rtdc.4026:itc</v>
      </c>
      <c r="G197" s="8">
        <f t="shared" si="7"/>
        <v>42625.860995370371</v>
      </c>
    </row>
    <row r="198" spans="1:7" x14ac:dyDescent="0.25">
      <c r="A198" s="8">
        <v>42625.868379629632</v>
      </c>
      <c r="B198" s="23" t="s">
        <v>109</v>
      </c>
      <c r="C198" s="23" t="s">
        <v>606</v>
      </c>
      <c r="D198" s="23">
        <v>2370000</v>
      </c>
      <c r="E198" s="23" t="s">
        <v>284</v>
      </c>
      <c r="F198" s="23" t="str">
        <f t="shared" si="6"/>
        <v>rtdc.l.rtdc.4031:itc</v>
      </c>
      <c r="G198" s="8">
        <f t="shared" si="7"/>
        <v>42625.868379629632</v>
      </c>
    </row>
    <row r="199" spans="1:7" x14ac:dyDescent="0.25">
      <c r="A199" s="8">
        <v>42625.870682870373</v>
      </c>
      <c r="B199" s="23" t="s">
        <v>304</v>
      </c>
      <c r="C199" s="23" t="s">
        <v>602</v>
      </c>
      <c r="D199" s="23">
        <v>1800000</v>
      </c>
      <c r="E199" s="23" t="s">
        <v>303</v>
      </c>
      <c r="F199" s="23" t="str">
        <f t="shared" si="6"/>
        <v>rtdc.l.rtdc.4013:itc</v>
      </c>
      <c r="G199" s="8">
        <f t="shared" si="7"/>
        <v>42625.870682870373</v>
      </c>
    </row>
    <row r="200" spans="1:7" x14ac:dyDescent="0.25">
      <c r="A200" s="8">
        <v>42625.882453703707</v>
      </c>
      <c r="B200" s="23" t="s">
        <v>132</v>
      </c>
      <c r="C200" s="23" t="s">
        <v>609</v>
      </c>
      <c r="D200" s="23">
        <v>2280000</v>
      </c>
      <c r="E200" s="23" t="s">
        <v>747</v>
      </c>
      <c r="F200" s="23" t="str">
        <f t="shared" si="6"/>
        <v>rtdc.l.rtdc.4009:itc</v>
      </c>
      <c r="G200" s="8">
        <f t="shared" si="7"/>
        <v>42625.882453703707</v>
      </c>
    </row>
    <row r="201" spans="1:7" x14ac:dyDescent="0.25">
      <c r="A201" s="8">
        <v>42625.883483796293</v>
      </c>
      <c r="B201" s="23" t="s">
        <v>177</v>
      </c>
      <c r="C201" s="23" t="s">
        <v>726</v>
      </c>
      <c r="D201" s="23">
        <v>2090000</v>
      </c>
      <c r="E201" s="23" t="s">
        <v>745</v>
      </c>
      <c r="F201" s="23" t="str">
        <f t="shared" si="6"/>
        <v>rtdc.l.rtdc.4025:itc</v>
      </c>
      <c r="G201" s="8">
        <f t="shared" si="7"/>
        <v>42625.883483796293</v>
      </c>
    </row>
    <row r="202" spans="1:7" x14ac:dyDescent="0.25">
      <c r="A202" s="29">
        <v>42625.885381944441</v>
      </c>
      <c r="B202" s="23" t="s">
        <v>306</v>
      </c>
      <c r="C202" s="23" t="s">
        <v>418</v>
      </c>
      <c r="D202" s="23">
        <v>1230000</v>
      </c>
      <c r="E202" s="23" t="s">
        <v>749</v>
      </c>
      <c r="F202" s="23" t="str">
        <f t="shared" si="6"/>
        <v>rtdc.l.rtdc.4001:itc</v>
      </c>
      <c r="G202" s="8">
        <f t="shared" si="7"/>
        <v>42625.885381944441</v>
      </c>
    </row>
    <row r="203" spans="1:7" x14ac:dyDescent="0.25">
      <c r="A203" s="8">
        <v>42625.885659722226</v>
      </c>
      <c r="B203" s="23" t="s">
        <v>177</v>
      </c>
      <c r="C203" s="23" t="s">
        <v>726</v>
      </c>
      <c r="D203" s="23">
        <v>2090000</v>
      </c>
      <c r="E203" s="23" t="s">
        <v>745</v>
      </c>
      <c r="F203" s="23" t="str">
        <f t="shared" si="6"/>
        <v>rtdc.l.rtdc.4025:itc</v>
      </c>
      <c r="G203" s="8">
        <f t="shared" si="7"/>
        <v>42625.885659722226</v>
      </c>
    </row>
    <row r="204" spans="1:7" x14ac:dyDescent="0.25">
      <c r="A204" s="8">
        <v>42625.901562500003</v>
      </c>
      <c r="B204" s="23" t="s">
        <v>178</v>
      </c>
      <c r="C204" s="23" t="s">
        <v>724</v>
      </c>
      <c r="D204" s="23">
        <v>2090000</v>
      </c>
      <c r="E204" s="23" t="s">
        <v>745</v>
      </c>
      <c r="F204" s="23" t="str">
        <f t="shared" si="6"/>
        <v>rtdc.l.rtdc.4026:itc</v>
      </c>
      <c r="G204" s="8">
        <f t="shared" si="7"/>
        <v>42625.901562500003</v>
      </c>
    </row>
    <row r="205" spans="1:7" x14ac:dyDescent="0.25">
      <c r="A205" s="8">
        <v>42625.906875000001</v>
      </c>
      <c r="B205" s="23" t="s">
        <v>378</v>
      </c>
      <c r="C205" s="23" t="s">
        <v>607</v>
      </c>
      <c r="D205" s="23">
        <v>2370000</v>
      </c>
      <c r="E205" s="23" t="s">
        <v>284</v>
      </c>
      <c r="F205" s="23" t="str">
        <f t="shared" si="6"/>
        <v>rtdc.l.rtdc.4032:itc</v>
      </c>
      <c r="G205" s="8">
        <f t="shared" si="7"/>
        <v>42625.906875000001</v>
      </c>
    </row>
    <row r="206" spans="1:7" x14ac:dyDescent="0.25">
      <c r="A206" s="8">
        <v>42625.915879629632</v>
      </c>
      <c r="B206" s="23" t="s">
        <v>107</v>
      </c>
      <c r="C206" s="23" t="s">
        <v>611</v>
      </c>
      <c r="D206" s="23">
        <v>1800000</v>
      </c>
      <c r="E206" s="23" t="s">
        <v>303</v>
      </c>
      <c r="F206" s="23" t="str">
        <f t="shared" si="6"/>
        <v>rtdc.l.rtdc.4014:itc</v>
      </c>
      <c r="G206" s="8">
        <f t="shared" si="7"/>
        <v>42625.915879629632</v>
      </c>
    </row>
    <row r="207" spans="1:7" x14ac:dyDescent="0.25">
      <c r="A207" s="8">
        <v>42625.922349537039</v>
      </c>
      <c r="B207" s="23" t="s">
        <v>184</v>
      </c>
      <c r="C207" s="23" t="s">
        <v>610</v>
      </c>
      <c r="D207" s="23">
        <v>2280000</v>
      </c>
      <c r="E207" s="23" t="s">
        <v>747</v>
      </c>
      <c r="F207" s="23" t="str">
        <f t="shared" si="6"/>
        <v>rtdc.l.rtdc.4010:itc</v>
      </c>
      <c r="G207" s="8">
        <f t="shared" si="7"/>
        <v>42625.922349537039</v>
      </c>
    </row>
    <row r="208" spans="1:7" x14ac:dyDescent="0.25">
      <c r="A208" s="8">
        <v>42625.926608796297</v>
      </c>
      <c r="B208" s="23" t="s">
        <v>305</v>
      </c>
      <c r="C208" s="23" t="s">
        <v>616</v>
      </c>
      <c r="D208" s="23">
        <v>1230000</v>
      </c>
      <c r="E208" s="23" t="s">
        <v>749</v>
      </c>
      <c r="F208" s="23" t="str">
        <f t="shared" si="6"/>
        <v>rtdc.l.rtdc.4002:itc</v>
      </c>
      <c r="G208" s="8">
        <f t="shared" si="7"/>
        <v>42625.926608796297</v>
      </c>
    </row>
    <row r="209" spans="1:7" x14ac:dyDescent="0.25">
      <c r="A209" s="8">
        <v>42625.929675925923</v>
      </c>
      <c r="B209" s="23" t="s">
        <v>177</v>
      </c>
      <c r="C209" s="23" t="s">
        <v>728</v>
      </c>
      <c r="D209" s="23">
        <v>2090000</v>
      </c>
      <c r="E209" s="23" t="s">
        <v>745</v>
      </c>
      <c r="F209" s="23" t="str">
        <f t="shared" si="6"/>
        <v>rtdc.l.rtdc.4025:itc</v>
      </c>
      <c r="G209" s="8">
        <f t="shared" si="7"/>
        <v>42625.929675925923</v>
      </c>
    </row>
    <row r="210" spans="1:7" x14ac:dyDescent="0.25">
      <c r="A210" s="8">
        <v>42625.943506944444</v>
      </c>
      <c r="B210" s="23" t="s">
        <v>178</v>
      </c>
      <c r="C210" s="23" t="s">
        <v>419</v>
      </c>
      <c r="D210" s="23">
        <v>2090000</v>
      </c>
      <c r="E210" s="23" t="s">
        <v>745</v>
      </c>
      <c r="F210" s="23" t="str">
        <f t="shared" si="6"/>
        <v>rtdc.l.rtdc.4026:itc</v>
      </c>
      <c r="G210" s="8">
        <f t="shared" si="7"/>
        <v>42625.943506944444</v>
      </c>
    </row>
    <row r="211" spans="1:7" x14ac:dyDescent="0.25">
      <c r="A211" s="8">
        <v>42625.944537037038</v>
      </c>
      <c r="B211" s="23" t="s">
        <v>178</v>
      </c>
      <c r="C211" s="23" t="s">
        <v>419</v>
      </c>
      <c r="D211" s="23">
        <v>2090000</v>
      </c>
      <c r="E211" s="23" t="s">
        <v>745</v>
      </c>
      <c r="F211" s="23" t="str">
        <f t="shared" si="6"/>
        <v>rtdc.l.rtdc.4026:itc</v>
      </c>
      <c r="G211" s="8">
        <f t="shared" si="7"/>
        <v>42625.944537037038</v>
      </c>
    </row>
    <row r="212" spans="1:7" x14ac:dyDescent="0.25">
      <c r="A212" s="8">
        <v>42625.951736111114</v>
      </c>
      <c r="B212" s="23" t="s">
        <v>109</v>
      </c>
      <c r="C212" s="23" t="s">
        <v>618</v>
      </c>
      <c r="D212" s="23">
        <v>2370000</v>
      </c>
      <c r="E212" s="23" t="s">
        <v>284</v>
      </c>
      <c r="F212" s="23" t="str">
        <f t="shared" si="6"/>
        <v>rtdc.l.rtdc.4031:itc</v>
      </c>
      <c r="G212" s="8">
        <f t="shared" si="7"/>
        <v>42625.951736111114</v>
      </c>
    </row>
    <row r="213" spans="1:7" x14ac:dyDescent="0.25">
      <c r="A213" s="8">
        <v>42625.955185185187</v>
      </c>
      <c r="B213" s="23" t="s">
        <v>304</v>
      </c>
      <c r="C213" s="23" t="s">
        <v>614</v>
      </c>
      <c r="D213" s="23">
        <v>1800000</v>
      </c>
      <c r="E213" s="23" t="s">
        <v>303</v>
      </c>
      <c r="F213" s="23" t="str">
        <f t="shared" si="6"/>
        <v>rtdc.l.rtdc.4013:itc</v>
      </c>
      <c r="G213" s="8">
        <f t="shared" si="7"/>
        <v>42625.955185185187</v>
      </c>
    </row>
    <row r="214" spans="1:7" x14ac:dyDescent="0.25">
      <c r="A214" s="8">
        <v>42625.963958333334</v>
      </c>
      <c r="B214" s="23" t="s">
        <v>132</v>
      </c>
      <c r="C214" s="23" t="s">
        <v>620</v>
      </c>
      <c r="D214" s="23">
        <v>2280000</v>
      </c>
      <c r="E214" s="23" t="s">
        <v>747</v>
      </c>
      <c r="F214" s="23" t="str">
        <f t="shared" si="6"/>
        <v>rtdc.l.rtdc.4009:itc</v>
      </c>
      <c r="G214" s="8">
        <f t="shared" si="7"/>
        <v>42625.963958333334</v>
      </c>
    </row>
    <row r="215" spans="1:7" x14ac:dyDescent="0.25">
      <c r="A215" s="8">
        <v>42625.966678240744</v>
      </c>
      <c r="B215" s="23" t="s">
        <v>306</v>
      </c>
      <c r="C215" s="23" t="s">
        <v>617</v>
      </c>
      <c r="D215" s="23">
        <v>1230000</v>
      </c>
      <c r="E215" s="23" t="s">
        <v>749</v>
      </c>
      <c r="F215" s="23" t="str">
        <f t="shared" si="6"/>
        <v>rtdc.l.rtdc.4001:itc</v>
      </c>
      <c r="G215" s="8">
        <f t="shared" si="7"/>
        <v>42625.966678240744</v>
      </c>
    </row>
    <row r="216" spans="1:7" x14ac:dyDescent="0.25">
      <c r="A216" s="8">
        <v>42625.995879629627</v>
      </c>
      <c r="B216" s="23" t="s">
        <v>378</v>
      </c>
      <c r="C216" s="23" t="s">
        <v>420</v>
      </c>
      <c r="D216" s="23">
        <v>2370000</v>
      </c>
      <c r="E216" s="23" t="s">
        <v>284</v>
      </c>
      <c r="F216" s="23" t="str">
        <f t="shared" si="6"/>
        <v>rtdc.l.rtdc.4032:itc</v>
      </c>
      <c r="G216" s="8">
        <f t="shared" si="7"/>
        <v>42625.995879629627</v>
      </c>
    </row>
    <row r="217" spans="1:7" x14ac:dyDescent="0.25">
      <c r="A217" s="8">
        <v>42625.998854166668</v>
      </c>
      <c r="B217" s="23" t="s">
        <v>107</v>
      </c>
      <c r="C217" s="23" t="s">
        <v>623</v>
      </c>
      <c r="D217" s="23">
        <v>1800000</v>
      </c>
      <c r="E217" s="23" t="s">
        <v>303</v>
      </c>
      <c r="F217" s="23" t="str">
        <f t="shared" si="6"/>
        <v>rtdc.l.rtdc.4014:itc</v>
      </c>
      <c r="G217" s="8">
        <f t="shared" si="7"/>
        <v>42625.998854166668</v>
      </c>
    </row>
    <row r="218" spans="1:7" x14ac:dyDescent="0.25">
      <c r="A218" s="8">
        <v>42626.007800925923</v>
      </c>
      <c r="B218" s="23" t="s">
        <v>184</v>
      </c>
      <c r="C218" s="23" t="s">
        <v>621</v>
      </c>
      <c r="D218" s="23">
        <v>2280000</v>
      </c>
      <c r="E218" s="23" t="s">
        <v>747</v>
      </c>
      <c r="F218" s="23" t="str">
        <f t="shared" si="6"/>
        <v>rtdc.l.rtdc.4010:itc</v>
      </c>
      <c r="G218" s="8">
        <f t="shared" si="7"/>
        <v>42626.007800925923</v>
      </c>
    </row>
    <row r="219" spans="1:7" x14ac:dyDescent="0.25">
      <c r="A219" s="8">
        <v>42626.018472222226</v>
      </c>
      <c r="B219" s="23" t="s">
        <v>305</v>
      </c>
      <c r="C219" s="23" t="s">
        <v>626</v>
      </c>
      <c r="D219" s="23">
        <v>1230000</v>
      </c>
      <c r="E219" s="23" t="s">
        <v>749</v>
      </c>
      <c r="F219" s="23" t="str">
        <f t="shared" si="6"/>
        <v>rtdc.l.rtdc.4002:itc</v>
      </c>
      <c r="G219" s="8">
        <f t="shared" si="7"/>
        <v>42626.018472222226</v>
      </c>
    </row>
    <row r="220" spans="1:7" x14ac:dyDescent="0.25">
      <c r="A220" s="8">
        <v>42626.030162037037</v>
      </c>
      <c r="B220" s="23" t="s">
        <v>109</v>
      </c>
      <c r="C220" s="23" t="s">
        <v>634</v>
      </c>
      <c r="D220" s="23">
        <v>2370000</v>
      </c>
      <c r="E220" s="23" t="s">
        <v>284</v>
      </c>
      <c r="F220" s="23" t="str">
        <f t="shared" si="6"/>
        <v>rtdc.l.rtdc.4031:itc</v>
      </c>
      <c r="G220" s="8">
        <f t="shared" si="7"/>
        <v>42626.030162037037</v>
      </c>
    </row>
    <row r="221" spans="1:7" x14ac:dyDescent="0.25">
      <c r="A221" s="8">
        <v>42626.03197916667</v>
      </c>
      <c r="B221" s="23" t="s">
        <v>109</v>
      </c>
      <c r="C221" s="23" t="s">
        <v>634</v>
      </c>
      <c r="D221" s="23">
        <v>2370000</v>
      </c>
      <c r="E221" s="23" t="s">
        <v>284</v>
      </c>
      <c r="F221" s="23" t="str">
        <f t="shared" si="6"/>
        <v>rtdc.l.rtdc.4031:itc</v>
      </c>
      <c r="G221" s="8">
        <f t="shared" si="7"/>
        <v>42626.03197916667</v>
      </c>
    </row>
    <row r="222" spans="1:7" x14ac:dyDescent="0.25">
      <c r="A222" s="8">
        <v>42626.03802083333</v>
      </c>
      <c r="B222" s="23" t="s">
        <v>304</v>
      </c>
      <c r="C222" s="23" t="s">
        <v>625</v>
      </c>
      <c r="D222" s="23">
        <v>1800000</v>
      </c>
      <c r="E222" s="23" t="s">
        <v>303</v>
      </c>
      <c r="F222" s="23" t="str">
        <f t="shared" si="6"/>
        <v>rtdc.l.rtdc.4013:itc</v>
      </c>
      <c r="G222" s="8">
        <f t="shared" si="7"/>
        <v>42626.03802083333</v>
      </c>
    </row>
    <row r="223" spans="1:7" x14ac:dyDescent="0.25">
      <c r="A223" s="8">
        <v>42626.048692129632</v>
      </c>
      <c r="B223" s="23" t="s">
        <v>132</v>
      </c>
      <c r="C223" s="23" t="s">
        <v>637</v>
      </c>
      <c r="D223" s="23">
        <v>2280000</v>
      </c>
      <c r="E223" s="23" t="s">
        <v>747</v>
      </c>
      <c r="F223" s="23" t="str">
        <f t="shared" si="6"/>
        <v>rtdc.l.rtdc.4009:itc</v>
      </c>
      <c r="G223" s="8">
        <f t="shared" si="7"/>
        <v>42626.048692129632</v>
      </c>
    </row>
    <row r="224" spans="1:7" x14ac:dyDescent="0.25">
      <c r="A224" s="8">
        <v>42626.056307870371</v>
      </c>
      <c r="B224" t="s">
        <v>306</v>
      </c>
      <c r="C224" t="s">
        <v>627</v>
      </c>
      <c r="D224">
        <v>1230000</v>
      </c>
      <c r="E224" t="s">
        <v>749</v>
      </c>
      <c r="F224" s="23" t="str">
        <f t="shared" si="6"/>
        <v>rtdc.l.rtdc.4001:itc</v>
      </c>
      <c r="G224" s="8">
        <f t="shared" si="7"/>
        <v>42626.056307870371</v>
      </c>
    </row>
    <row r="225" spans="1:7" x14ac:dyDescent="0.25">
      <c r="A225" s="8">
        <v>42626.070254629631</v>
      </c>
      <c r="B225" t="s">
        <v>107</v>
      </c>
      <c r="C225" t="s">
        <v>639</v>
      </c>
      <c r="D225">
        <v>1800000</v>
      </c>
      <c r="E225" t="s">
        <v>303</v>
      </c>
      <c r="F225" s="23" t="str">
        <f t="shared" si="6"/>
        <v>rtdc.l.rtdc.4014:itc</v>
      </c>
      <c r="G225" s="8">
        <f t="shared" si="7"/>
        <v>42626.070254629631</v>
      </c>
    </row>
    <row r="226" spans="1:7" x14ac:dyDescent="0.25">
      <c r="A226" s="8">
        <v>42626.071689814817</v>
      </c>
      <c r="B226" t="s">
        <v>107</v>
      </c>
      <c r="C226" t="s">
        <v>639</v>
      </c>
      <c r="D226">
        <v>1800000</v>
      </c>
      <c r="E226" t="s">
        <v>303</v>
      </c>
      <c r="F226" s="23" t="str">
        <f t="shared" si="6"/>
        <v>rtdc.l.rtdc.4014:itc</v>
      </c>
      <c r="G226" s="8">
        <f t="shared" si="7"/>
        <v>42626.071689814817</v>
      </c>
    </row>
    <row r="227" spans="1:7" x14ac:dyDescent="0.25">
      <c r="A227" s="8">
        <v>42626.087800925925</v>
      </c>
      <c r="B227" t="s">
        <v>305</v>
      </c>
      <c r="C227" t="s">
        <v>641</v>
      </c>
      <c r="D227">
        <v>1230000</v>
      </c>
      <c r="E227" t="s">
        <v>749</v>
      </c>
      <c r="F227" s="23" t="str">
        <f t="shared" si="6"/>
        <v>rtdc.l.rtdc.4002:itc</v>
      </c>
      <c r="G227" s="8">
        <f t="shared" si="7"/>
        <v>42626.087800925925</v>
      </c>
    </row>
    <row r="228" spans="1:7" x14ac:dyDescent="0.25">
      <c r="F228" s="23">
        <f t="shared" si="6"/>
        <v>0</v>
      </c>
      <c r="G228" s="8">
        <f t="shared" si="7"/>
        <v>0</v>
      </c>
    </row>
    <row r="229" spans="1:7" x14ac:dyDescent="0.25">
      <c r="A229" s="8">
        <v>42622.014363425929</v>
      </c>
      <c r="B229" t="s">
        <v>178</v>
      </c>
      <c r="C229" t="s">
        <v>268</v>
      </c>
      <c r="D229">
        <v>2000000</v>
      </c>
      <c r="E229" t="s">
        <v>125</v>
      </c>
      <c r="F229" s="23" t="str">
        <f t="shared" si="6"/>
        <v>rtdc.l.rtdc.4026:itc</v>
      </c>
      <c r="G229" s="8">
        <f t="shared" si="7"/>
        <v>42622.014363425929</v>
      </c>
    </row>
    <row r="230" spans="1:7" x14ac:dyDescent="0.25">
      <c r="A230" s="8">
        <v>42622.016435185185</v>
      </c>
      <c r="B230" t="s">
        <v>107</v>
      </c>
      <c r="C230" t="s">
        <v>272</v>
      </c>
      <c r="D230">
        <v>2260000</v>
      </c>
      <c r="E230" t="s">
        <v>134</v>
      </c>
      <c r="F230" s="23" t="str">
        <f t="shared" si="6"/>
        <v>rtdc.l.rtdc.4014:itc</v>
      </c>
      <c r="G230" s="8">
        <f t="shared" si="7"/>
        <v>42622.016435185185</v>
      </c>
    </row>
    <row r="231" spans="1:7" x14ac:dyDescent="0.25">
      <c r="A231" s="8">
        <v>42622.033784722225</v>
      </c>
      <c r="B231" t="s">
        <v>253</v>
      </c>
      <c r="C231" t="s">
        <v>276</v>
      </c>
      <c r="D231">
        <v>2370000</v>
      </c>
      <c r="E231" t="s">
        <v>284</v>
      </c>
      <c r="F231" s="23" t="str">
        <f t="shared" si="6"/>
        <v>rtdc.l.rtdc.4018:itc</v>
      </c>
      <c r="G231" s="8">
        <f t="shared" si="7"/>
        <v>42622.033784722225</v>
      </c>
    </row>
    <row r="232" spans="1:7" x14ac:dyDescent="0.25">
      <c r="A232" s="8">
        <v>42622.036238425928</v>
      </c>
      <c r="B232" t="s">
        <v>286</v>
      </c>
      <c r="C232" t="s">
        <v>271</v>
      </c>
      <c r="D232">
        <v>2110000</v>
      </c>
      <c r="E232" t="s">
        <v>285</v>
      </c>
      <c r="F232" s="23" t="str">
        <f t="shared" si="6"/>
        <v>rtdc.l.rtdc.4028:itc</v>
      </c>
      <c r="G232" s="8">
        <f t="shared" si="7"/>
        <v>42622.036238425928</v>
      </c>
    </row>
    <row r="233" spans="1:7" x14ac:dyDescent="0.25">
      <c r="A233" s="8">
        <v>42622.037129629629</v>
      </c>
      <c r="B233" t="s">
        <v>286</v>
      </c>
      <c r="C233" t="s">
        <v>271</v>
      </c>
      <c r="D233">
        <v>2110000</v>
      </c>
      <c r="E233" t="s">
        <v>285</v>
      </c>
      <c r="F233" s="23" t="str">
        <f t="shared" si="6"/>
        <v>rtdc.l.rtdc.4028:itc</v>
      </c>
      <c r="G233" s="8">
        <f t="shared" si="7"/>
        <v>42622.037129629629</v>
      </c>
    </row>
    <row r="234" spans="1:7" x14ac:dyDescent="0.25">
      <c r="A234" s="8">
        <v>42622.049895833334</v>
      </c>
      <c r="B234" t="s">
        <v>252</v>
      </c>
      <c r="C234" t="s">
        <v>277</v>
      </c>
      <c r="D234">
        <v>2000000</v>
      </c>
      <c r="E234" t="s">
        <v>125</v>
      </c>
      <c r="F234" s="23" t="str">
        <f t="shared" si="6"/>
        <v>rtdc.l.rtdc.4016:itc</v>
      </c>
      <c r="G234" s="8">
        <f t="shared" si="7"/>
        <v>42622.049895833334</v>
      </c>
    </row>
    <row r="235" spans="1:7" x14ac:dyDescent="0.25">
      <c r="A235" s="8">
        <v>42622.057581018518</v>
      </c>
      <c r="B235" t="s">
        <v>89</v>
      </c>
      <c r="C235" t="s">
        <v>274</v>
      </c>
      <c r="D235">
        <v>2260000</v>
      </c>
      <c r="E235" t="s">
        <v>134</v>
      </c>
      <c r="F235" s="23" t="str">
        <f t="shared" si="6"/>
        <v>rtdc.l.rtdc.4030:itc</v>
      </c>
      <c r="G235" s="8">
        <f t="shared" si="7"/>
        <v>42622.057581018518</v>
      </c>
    </row>
    <row r="236" spans="1:7" x14ac:dyDescent="0.25">
      <c r="A236" s="8">
        <v>42622.071087962962</v>
      </c>
      <c r="B236" t="s">
        <v>109</v>
      </c>
      <c r="C236" t="s">
        <v>278</v>
      </c>
      <c r="D236">
        <v>2110000</v>
      </c>
      <c r="E236" t="s">
        <v>285</v>
      </c>
      <c r="F236" s="23" t="str">
        <f t="shared" ref="F236:F265" si="8">B236</f>
        <v>rtdc.l.rtdc.4031:itc</v>
      </c>
      <c r="G236" s="8">
        <f t="shared" ref="G236:G265" si="9">A236</f>
        <v>42622.071087962962</v>
      </c>
    </row>
    <row r="237" spans="1:7" x14ac:dyDescent="0.25">
      <c r="A237" s="8">
        <v>42622.072187500002</v>
      </c>
      <c r="B237" t="s">
        <v>109</v>
      </c>
      <c r="C237" t="s">
        <v>278</v>
      </c>
      <c r="D237">
        <v>2110000</v>
      </c>
      <c r="E237" t="s">
        <v>285</v>
      </c>
      <c r="F237" s="23" t="str">
        <f t="shared" si="8"/>
        <v>rtdc.l.rtdc.4031:itc</v>
      </c>
      <c r="G237" s="8">
        <f t="shared" si="9"/>
        <v>42622.072187500002</v>
      </c>
    </row>
    <row r="238" spans="1:7" x14ac:dyDescent="0.25">
      <c r="A238" s="8">
        <v>42622.09233796296</v>
      </c>
      <c r="B238" t="s">
        <v>107</v>
      </c>
      <c r="C238" t="s">
        <v>279</v>
      </c>
      <c r="D238">
        <v>2260000</v>
      </c>
      <c r="E238" t="s">
        <v>134</v>
      </c>
      <c r="F238" s="23" t="str">
        <f t="shared" si="8"/>
        <v>rtdc.l.rtdc.4014:itc</v>
      </c>
      <c r="G238" s="8">
        <f t="shared" si="9"/>
        <v>42622.09233796296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169</v>
      </c>
      <c r="C240" t="s">
        <v>190</v>
      </c>
      <c r="D240">
        <v>1300000</v>
      </c>
      <c r="E240" t="s">
        <v>124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132</v>
      </c>
      <c r="C241" t="s">
        <v>191</v>
      </c>
      <c r="D241">
        <v>2260000</v>
      </c>
      <c r="E241" t="s">
        <v>134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183</v>
      </c>
      <c r="C242" t="s">
        <v>192</v>
      </c>
      <c r="D242">
        <v>1200000</v>
      </c>
      <c r="E242" t="s">
        <v>189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177</v>
      </c>
      <c r="C243" t="s">
        <v>193</v>
      </c>
      <c r="D243">
        <v>2000000</v>
      </c>
      <c r="E243" t="s">
        <v>125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170</v>
      </c>
      <c r="C244" t="s">
        <v>194</v>
      </c>
      <c r="D244">
        <v>1300000</v>
      </c>
      <c r="E244" t="s">
        <v>124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184</v>
      </c>
      <c r="C245" t="s">
        <v>195</v>
      </c>
      <c r="D245">
        <v>2260000</v>
      </c>
      <c r="E245" t="s">
        <v>134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178</v>
      </c>
      <c r="C246" t="s">
        <v>196</v>
      </c>
      <c r="D246">
        <v>2000000</v>
      </c>
      <c r="E246" t="s">
        <v>125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185</v>
      </c>
      <c r="C247" t="s">
        <v>197</v>
      </c>
      <c r="D247">
        <v>1290000</v>
      </c>
      <c r="E247" t="s">
        <v>179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132</v>
      </c>
      <c r="C248" t="s">
        <v>198</v>
      </c>
      <c r="D248">
        <v>2260000</v>
      </c>
      <c r="E248" t="s">
        <v>134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132</v>
      </c>
      <c r="C249" t="s">
        <v>198</v>
      </c>
      <c r="D249">
        <v>2260000</v>
      </c>
      <c r="E249" t="s">
        <v>134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169</v>
      </c>
      <c r="C250" t="s">
        <v>199</v>
      </c>
      <c r="D250">
        <v>1300000</v>
      </c>
      <c r="E250" t="s">
        <v>124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132</v>
      </c>
      <c r="C251" t="s">
        <v>198</v>
      </c>
      <c r="D251">
        <v>2260000</v>
      </c>
      <c r="E251" t="s">
        <v>134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180</v>
      </c>
      <c r="C252" t="s">
        <v>200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177</v>
      </c>
      <c r="C253" t="s">
        <v>196</v>
      </c>
      <c r="D253">
        <v>2000000</v>
      </c>
      <c r="E253" t="s">
        <v>125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183</v>
      </c>
      <c r="C254" t="s">
        <v>201</v>
      </c>
      <c r="D254">
        <v>1290000</v>
      </c>
      <c r="E254" t="s">
        <v>179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181</v>
      </c>
      <c r="C255" t="s">
        <v>202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180</v>
      </c>
      <c r="C256" t="s">
        <v>200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188</v>
      </c>
      <c r="C257" t="s">
        <v>203</v>
      </c>
      <c r="D257">
        <v>1290000</v>
      </c>
      <c r="E257" t="s">
        <v>179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181</v>
      </c>
      <c r="C258" t="s">
        <v>202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/>
  </sheetPr>
  <dimension ref="A1:Q33"/>
  <sheetViews>
    <sheetView workbookViewId="0">
      <selection sqref="A1:Q33"/>
    </sheetView>
  </sheetViews>
  <sheetFormatPr defaultRowHeight="15" x14ac:dyDescent="0.25"/>
  <cols>
    <col min="1" max="1" width="22.5703125" style="154" customWidth="1"/>
    <col min="2" max="2" width="8.140625" style="154" bestFit="1" customWidth="1"/>
    <col min="3" max="3" width="12.28515625" style="154" bestFit="1" customWidth="1"/>
    <col min="4" max="4" width="18.28515625" style="154" bestFit="1" customWidth="1"/>
    <col min="5" max="5" width="9.5703125" style="154" bestFit="1" customWidth="1"/>
    <col min="6" max="6" width="9" style="154" bestFit="1" customWidth="1"/>
    <col min="7" max="7" width="8.5703125" style="154" bestFit="1" customWidth="1"/>
    <col min="8" max="8" width="13.7109375" style="154" bestFit="1" customWidth="1"/>
    <col min="9" max="9" width="20.85546875" style="154" bestFit="1" customWidth="1"/>
    <col min="10" max="10" width="8.7109375" style="154" bestFit="1" customWidth="1"/>
    <col min="11" max="13" width="11" style="154" bestFit="1" customWidth="1"/>
    <col min="14" max="14" width="12.140625" style="154" bestFit="1" customWidth="1"/>
    <col min="15" max="15" width="14.5703125" style="154" bestFit="1" customWidth="1"/>
    <col min="16" max="16" width="16.42578125" style="154" bestFit="1" customWidth="1"/>
    <col min="17" max="17" width="9.140625" style="154"/>
    <col min="18" max="16384" width="9.140625" style="115"/>
  </cols>
  <sheetData>
    <row r="1" spans="1:17" s="156" customFormat="1" x14ac:dyDescent="0.25">
      <c r="A1" s="155" t="s">
        <v>212</v>
      </c>
      <c r="B1" s="155" t="s">
        <v>215</v>
      </c>
      <c r="C1" s="155" t="s">
        <v>208</v>
      </c>
      <c r="D1" s="155" t="s">
        <v>280</v>
      </c>
      <c r="E1" s="155" t="s">
        <v>209</v>
      </c>
      <c r="F1" s="155" t="s">
        <v>207</v>
      </c>
      <c r="G1" s="155" t="s">
        <v>205</v>
      </c>
      <c r="H1" s="155" t="s">
        <v>218</v>
      </c>
      <c r="I1" s="155" t="s">
        <v>219</v>
      </c>
      <c r="J1" s="155" t="s">
        <v>358</v>
      </c>
      <c r="K1" s="155" t="s">
        <v>213</v>
      </c>
      <c r="L1" s="155" t="s">
        <v>211</v>
      </c>
      <c r="M1" s="155" t="s">
        <v>206</v>
      </c>
      <c r="N1" s="155" t="s">
        <v>216</v>
      </c>
      <c r="O1" s="155" t="s">
        <v>210</v>
      </c>
      <c r="P1" s="155" t="s">
        <v>217</v>
      </c>
      <c r="Q1" s="155" t="s">
        <v>214</v>
      </c>
    </row>
    <row r="2" spans="1:17" x14ac:dyDescent="0.25">
      <c r="A2" s="154">
        <v>65.75</v>
      </c>
      <c r="B2" s="154">
        <v>0.37</v>
      </c>
      <c r="C2" s="154">
        <v>41.56</v>
      </c>
      <c r="D2" s="169">
        <v>42625</v>
      </c>
      <c r="E2" s="154">
        <v>0.41</v>
      </c>
      <c r="F2" s="154" t="s">
        <v>361</v>
      </c>
      <c r="G2" s="154">
        <v>286.87</v>
      </c>
      <c r="H2" s="154">
        <v>0</v>
      </c>
      <c r="I2" s="154">
        <v>0</v>
      </c>
      <c r="K2" s="154">
        <v>1009.6</v>
      </c>
      <c r="L2" s="154" t="s">
        <v>204</v>
      </c>
      <c r="M2" s="154">
        <v>65.75</v>
      </c>
      <c r="N2" s="154">
        <v>1473660000</v>
      </c>
      <c r="O2" s="154">
        <v>8.43</v>
      </c>
      <c r="P2" s="154">
        <v>238</v>
      </c>
      <c r="Q2" s="154">
        <v>3.51</v>
      </c>
    </row>
    <row r="3" spans="1:17" x14ac:dyDescent="0.25">
      <c r="A3" s="154">
        <v>64.06</v>
      </c>
      <c r="B3" s="154">
        <v>0.38</v>
      </c>
      <c r="C3" s="154">
        <v>41.77</v>
      </c>
      <c r="D3" s="169">
        <v>42625.041666666664</v>
      </c>
      <c r="E3" s="154">
        <v>0.44</v>
      </c>
      <c r="F3" s="154" t="s">
        <v>361</v>
      </c>
      <c r="G3" s="154">
        <v>287.36</v>
      </c>
      <c r="H3" s="154">
        <v>0</v>
      </c>
      <c r="I3" s="154">
        <v>0</v>
      </c>
      <c r="K3" s="154">
        <v>1010.04</v>
      </c>
      <c r="L3" s="154" t="s">
        <v>204</v>
      </c>
      <c r="M3" s="154">
        <v>64.06</v>
      </c>
      <c r="N3" s="154">
        <v>1473663600</v>
      </c>
      <c r="O3" s="154">
        <v>8.6300000000000008</v>
      </c>
      <c r="P3" s="154">
        <v>231</v>
      </c>
      <c r="Q3" s="154">
        <v>4.04</v>
      </c>
    </row>
    <row r="4" spans="1:17" x14ac:dyDescent="0.25">
      <c r="A4" s="154">
        <v>63.27</v>
      </c>
      <c r="B4" s="154">
        <v>0.4</v>
      </c>
      <c r="C4" s="154">
        <v>41.74</v>
      </c>
      <c r="D4" s="169">
        <v>42625.083333333336</v>
      </c>
      <c r="E4" s="154">
        <v>0.45</v>
      </c>
      <c r="F4" s="154" t="s">
        <v>361</v>
      </c>
      <c r="G4" s="154">
        <v>287.83999999999997</v>
      </c>
      <c r="H4" s="154">
        <v>0</v>
      </c>
      <c r="I4" s="154">
        <v>0</v>
      </c>
      <c r="K4" s="154">
        <v>1010.5</v>
      </c>
      <c r="L4" s="154" t="s">
        <v>204</v>
      </c>
      <c r="M4" s="154">
        <v>63.27</v>
      </c>
      <c r="N4" s="154">
        <v>1473667200</v>
      </c>
      <c r="O4" s="154">
        <v>8.61</v>
      </c>
      <c r="P4" s="154">
        <v>233</v>
      </c>
      <c r="Q4" s="154">
        <v>5.0999999999999996</v>
      </c>
    </row>
    <row r="5" spans="1:17" x14ac:dyDescent="0.25">
      <c r="A5" s="154">
        <v>61.77</v>
      </c>
      <c r="B5" s="154">
        <v>0.41</v>
      </c>
      <c r="C5" s="154">
        <v>41.77</v>
      </c>
      <c r="D5" s="169">
        <v>42625.125</v>
      </c>
      <c r="E5" s="154">
        <v>0.48</v>
      </c>
      <c r="F5" s="154" t="s">
        <v>361</v>
      </c>
      <c r="G5" s="154">
        <v>288.32</v>
      </c>
      <c r="H5" s="154">
        <v>0</v>
      </c>
      <c r="I5" s="154">
        <v>0</v>
      </c>
      <c r="K5" s="154">
        <v>1011.05</v>
      </c>
      <c r="L5" s="154" t="s">
        <v>204</v>
      </c>
      <c r="M5" s="154">
        <v>61.77</v>
      </c>
      <c r="N5" s="154">
        <v>1473670800</v>
      </c>
      <c r="O5" s="154">
        <v>8.49</v>
      </c>
      <c r="P5" s="154">
        <v>255</v>
      </c>
      <c r="Q5" s="154">
        <v>4.21</v>
      </c>
    </row>
    <row r="6" spans="1:17" x14ac:dyDescent="0.25">
      <c r="A6" s="154">
        <v>60.22</v>
      </c>
      <c r="B6" s="154">
        <v>0.49</v>
      </c>
      <c r="C6" s="154">
        <v>41.78</v>
      </c>
      <c r="D6" s="169">
        <v>42625.166666666664</v>
      </c>
      <c r="E6" s="154">
        <v>0.51</v>
      </c>
      <c r="F6" s="154" t="s">
        <v>361</v>
      </c>
      <c r="G6" s="154">
        <v>289.10000000000002</v>
      </c>
      <c r="H6" s="154">
        <v>0</v>
      </c>
      <c r="I6" s="154">
        <v>0</v>
      </c>
      <c r="K6" s="154">
        <v>1011.02</v>
      </c>
      <c r="L6" s="154" t="s">
        <v>204</v>
      </c>
      <c r="M6" s="154">
        <v>60.22</v>
      </c>
      <c r="N6" s="154">
        <v>1473674400</v>
      </c>
      <c r="O6" s="154">
        <v>8.69</v>
      </c>
      <c r="P6" s="154">
        <v>226</v>
      </c>
      <c r="Q6" s="154">
        <v>3.22</v>
      </c>
    </row>
    <row r="7" spans="1:17" x14ac:dyDescent="0.25">
      <c r="A7" s="154">
        <v>58.49</v>
      </c>
      <c r="B7" s="154">
        <v>0.61</v>
      </c>
      <c r="C7" s="154">
        <v>42.14</v>
      </c>
      <c r="D7" s="169">
        <v>42625.208333333336</v>
      </c>
      <c r="E7" s="154">
        <v>0.54</v>
      </c>
      <c r="F7" s="154" t="s">
        <v>361</v>
      </c>
      <c r="G7" s="154">
        <v>290</v>
      </c>
      <c r="H7" s="154">
        <v>0</v>
      </c>
      <c r="I7" s="154">
        <v>0</v>
      </c>
      <c r="K7" s="154">
        <v>1011</v>
      </c>
      <c r="L7" s="154" t="s">
        <v>360</v>
      </c>
      <c r="M7" s="154">
        <v>58.49</v>
      </c>
      <c r="N7" s="154">
        <v>1473678000</v>
      </c>
      <c r="O7" s="154">
        <v>8.31</v>
      </c>
      <c r="P7" s="154">
        <v>242</v>
      </c>
      <c r="Q7" s="154">
        <v>1.79</v>
      </c>
    </row>
    <row r="8" spans="1:17" x14ac:dyDescent="0.25">
      <c r="A8" s="154">
        <v>57.87</v>
      </c>
      <c r="B8" s="154">
        <v>0.65</v>
      </c>
      <c r="C8" s="154">
        <v>43.28</v>
      </c>
      <c r="D8" s="169">
        <v>42625.25</v>
      </c>
      <c r="E8" s="154">
        <v>0.57999999999999996</v>
      </c>
      <c r="F8" s="154" t="s">
        <v>361</v>
      </c>
      <c r="G8" s="154">
        <v>290.82</v>
      </c>
      <c r="H8" s="154">
        <v>0</v>
      </c>
      <c r="I8" s="154">
        <v>0</v>
      </c>
      <c r="K8" s="154">
        <v>1011.25</v>
      </c>
      <c r="L8" s="154" t="s">
        <v>360</v>
      </c>
      <c r="M8" s="154">
        <v>57.87</v>
      </c>
      <c r="N8" s="154">
        <v>1473681600</v>
      </c>
      <c r="O8" s="154">
        <v>7.54</v>
      </c>
      <c r="P8" s="154">
        <v>255</v>
      </c>
      <c r="Q8" s="154">
        <v>1.1599999999999999</v>
      </c>
    </row>
    <row r="9" spans="1:17" x14ac:dyDescent="0.25">
      <c r="A9" s="154">
        <v>57.54</v>
      </c>
      <c r="B9" s="154">
        <v>0.59</v>
      </c>
      <c r="C9" s="154">
        <v>43.61</v>
      </c>
      <c r="D9" s="169">
        <v>42625.291666666664</v>
      </c>
      <c r="E9" s="154">
        <v>0.6</v>
      </c>
      <c r="F9" s="154" t="s">
        <v>220</v>
      </c>
      <c r="G9" s="154">
        <v>291.57</v>
      </c>
      <c r="H9" s="154">
        <v>0</v>
      </c>
      <c r="I9" s="154">
        <v>0</v>
      </c>
      <c r="K9" s="154">
        <v>1011.87</v>
      </c>
      <c r="L9" s="154" t="s">
        <v>204</v>
      </c>
      <c r="M9" s="154">
        <v>57.54</v>
      </c>
      <c r="N9" s="154">
        <v>1473685200</v>
      </c>
      <c r="O9" s="154">
        <v>7</v>
      </c>
      <c r="P9" s="154">
        <v>54</v>
      </c>
      <c r="Q9" s="154">
        <v>1.47</v>
      </c>
    </row>
    <row r="10" spans="1:17" x14ac:dyDescent="0.25">
      <c r="A10" s="154">
        <v>58.75</v>
      </c>
      <c r="B10" s="154">
        <v>0.44</v>
      </c>
      <c r="C10" s="154">
        <v>44.14</v>
      </c>
      <c r="D10" s="169">
        <v>42625.333333333336</v>
      </c>
      <c r="E10" s="154">
        <v>0.57999999999999996</v>
      </c>
      <c r="F10" s="154" t="s">
        <v>220</v>
      </c>
      <c r="G10" s="154">
        <v>292.24</v>
      </c>
      <c r="H10" s="154">
        <v>0</v>
      </c>
      <c r="I10" s="154">
        <v>0</v>
      </c>
      <c r="K10" s="154">
        <v>1012.8</v>
      </c>
      <c r="L10" s="154" t="s">
        <v>204</v>
      </c>
      <c r="M10" s="154">
        <v>58.75</v>
      </c>
      <c r="N10" s="154">
        <v>1473688800</v>
      </c>
      <c r="O10" s="154">
        <v>6.73</v>
      </c>
      <c r="P10" s="154">
        <v>54</v>
      </c>
      <c r="Q10" s="154">
        <v>2.77</v>
      </c>
    </row>
    <row r="11" spans="1:17" x14ac:dyDescent="0.25">
      <c r="A11" s="154">
        <v>60.03</v>
      </c>
      <c r="B11" s="154">
        <v>0.34</v>
      </c>
      <c r="C11" s="154">
        <v>44.96</v>
      </c>
      <c r="D11" s="169">
        <v>42625.375</v>
      </c>
      <c r="E11" s="154">
        <v>0.56999999999999995</v>
      </c>
      <c r="F11" s="154" t="s">
        <v>220</v>
      </c>
      <c r="G11" s="154">
        <v>292.66000000000003</v>
      </c>
      <c r="H11" s="154">
        <v>0</v>
      </c>
      <c r="I11" s="154">
        <v>0</v>
      </c>
      <c r="K11" s="154">
        <v>1013.33</v>
      </c>
      <c r="L11" s="154" t="s">
        <v>204</v>
      </c>
      <c r="M11" s="154">
        <v>60.03</v>
      </c>
      <c r="N11" s="154">
        <v>1473692400</v>
      </c>
      <c r="O11" s="154">
        <v>6.65</v>
      </c>
      <c r="P11" s="154">
        <v>59</v>
      </c>
      <c r="Q11" s="154">
        <v>3.99</v>
      </c>
    </row>
    <row r="12" spans="1:17" x14ac:dyDescent="0.25">
      <c r="A12" s="154">
        <v>62.44</v>
      </c>
      <c r="B12" s="154">
        <v>0.32</v>
      </c>
      <c r="C12" s="154">
        <v>45.78</v>
      </c>
      <c r="D12" s="169">
        <v>42625.416666666664</v>
      </c>
      <c r="E12" s="154">
        <v>0.54</v>
      </c>
      <c r="F12" s="154" t="s">
        <v>220</v>
      </c>
      <c r="G12" s="154">
        <v>292.73</v>
      </c>
      <c r="H12" s="154">
        <v>0</v>
      </c>
      <c r="I12" s="154">
        <v>0</v>
      </c>
      <c r="K12" s="154">
        <v>1013.08</v>
      </c>
      <c r="L12" s="154" t="s">
        <v>204</v>
      </c>
      <c r="M12" s="154">
        <v>62.44</v>
      </c>
      <c r="N12" s="154">
        <v>1473696000</v>
      </c>
      <c r="O12" s="154">
        <v>6.69</v>
      </c>
      <c r="P12" s="154">
        <v>56</v>
      </c>
      <c r="Q12" s="154">
        <v>3.59</v>
      </c>
    </row>
    <row r="13" spans="1:17" x14ac:dyDescent="0.25">
      <c r="A13" s="154">
        <v>65.17</v>
      </c>
      <c r="B13" s="154">
        <v>0.32</v>
      </c>
      <c r="C13" s="154">
        <v>46.47</v>
      </c>
      <c r="D13" s="169">
        <v>42625.458333333336</v>
      </c>
      <c r="E13" s="154">
        <v>0.51</v>
      </c>
      <c r="F13" s="154" t="s">
        <v>220</v>
      </c>
      <c r="G13" s="154">
        <v>292.54000000000002</v>
      </c>
      <c r="H13" s="154">
        <v>0</v>
      </c>
      <c r="I13" s="154">
        <v>0</v>
      </c>
      <c r="K13" s="154">
        <v>1012.4</v>
      </c>
      <c r="L13" s="154" t="s">
        <v>204</v>
      </c>
      <c r="M13" s="154">
        <v>65.17</v>
      </c>
      <c r="N13" s="154">
        <v>1473699600</v>
      </c>
      <c r="O13" s="154">
        <v>6.79</v>
      </c>
      <c r="P13" s="154">
        <v>60</v>
      </c>
      <c r="Q13" s="154">
        <v>5.05</v>
      </c>
    </row>
    <row r="14" spans="1:17" x14ac:dyDescent="0.25">
      <c r="A14" s="154">
        <v>67.760000000000005</v>
      </c>
      <c r="B14" s="154">
        <v>0.33</v>
      </c>
      <c r="C14" s="154">
        <v>46.07</v>
      </c>
      <c r="D14" s="169">
        <v>42625.5</v>
      </c>
      <c r="E14" s="154">
        <v>0.46</v>
      </c>
      <c r="F14" s="154" t="s">
        <v>220</v>
      </c>
      <c r="G14" s="154">
        <v>292.19</v>
      </c>
      <c r="H14" s="154">
        <v>0</v>
      </c>
      <c r="I14" s="154">
        <v>0</v>
      </c>
      <c r="K14" s="154">
        <v>1011.89</v>
      </c>
      <c r="L14" s="154" t="s">
        <v>204</v>
      </c>
      <c r="M14" s="154">
        <v>67.760000000000005</v>
      </c>
      <c r="N14" s="154">
        <v>1473703200</v>
      </c>
      <c r="O14" s="154">
        <v>5.61</v>
      </c>
      <c r="P14" s="154">
        <v>52</v>
      </c>
      <c r="Q14" s="154">
        <v>5.62</v>
      </c>
    </row>
    <row r="15" spans="1:17" x14ac:dyDescent="0.25">
      <c r="A15" s="154">
        <v>69.290000000000006</v>
      </c>
      <c r="B15" s="154">
        <v>0.37</v>
      </c>
      <c r="C15" s="154">
        <v>46.32</v>
      </c>
      <c r="D15" s="169">
        <v>42625.541666666664</v>
      </c>
      <c r="E15" s="154">
        <v>0.44</v>
      </c>
      <c r="F15" s="154" t="s">
        <v>220</v>
      </c>
      <c r="G15" s="154">
        <v>291.62</v>
      </c>
      <c r="H15" s="154">
        <v>1E-3</v>
      </c>
      <c r="I15" s="154">
        <v>0.01</v>
      </c>
      <c r="J15" s="154" t="s">
        <v>359</v>
      </c>
      <c r="K15" s="154">
        <v>1011.49</v>
      </c>
      <c r="L15" s="154" t="s">
        <v>204</v>
      </c>
      <c r="M15" s="154">
        <v>69.290000000000006</v>
      </c>
      <c r="N15" s="154">
        <v>1473706800</v>
      </c>
      <c r="O15" s="154">
        <v>5.66</v>
      </c>
      <c r="P15" s="154">
        <v>51</v>
      </c>
      <c r="Q15" s="154">
        <v>6.43</v>
      </c>
    </row>
    <row r="16" spans="1:17" x14ac:dyDescent="0.25">
      <c r="A16" s="154">
        <v>70.23</v>
      </c>
      <c r="B16" s="154">
        <v>0.4</v>
      </c>
      <c r="C16" s="154">
        <v>45.92</v>
      </c>
      <c r="D16" s="169">
        <v>42625.583333333336</v>
      </c>
      <c r="E16" s="154">
        <v>0.42</v>
      </c>
      <c r="F16" s="154" t="s">
        <v>220</v>
      </c>
      <c r="G16" s="154">
        <v>290.89</v>
      </c>
      <c r="H16" s="154">
        <v>2.2000000000000001E-3</v>
      </c>
      <c r="I16" s="154">
        <v>0.05</v>
      </c>
      <c r="J16" s="154" t="s">
        <v>359</v>
      </c>
      <c r="K16" s="154">
        <v>1011.07</v>
      </c>
      <c r="L16" s="154" t="s">
        <v>204</v>
      </c>
      <c r="M16" s="154">
        <v>70.23</v>
      </c>
      <c r="N16" s="154">
        <v>1473710400</v>
      </c>
      <c r="O16" s="154">
        <v>5.21</v>
      </c>
      <c r="P16" s="154">
        <v>47</v>
      </c>
      <c r="Q16" s="154">
        <v>7.17</v>
      </c>
    </row>
    <row r="17" spans="1:17" x14ac:dyDescent="0.25">
      <c r="A17" s="154">
        <v>70.38</v>
      </c>
      <c r="B17" s="154">
        <v>0.45</v>
      </c>
      <c r="C17" s="154">
        <v>46.06</v>
      </c>
      <c r="D17" s="169">
        <v>42625.625</v>
      </c>
      <c r="E17" s="154">
        <v>0.42</v>
      </c>
      <c r="F17" s="154" t="s">
        <v>220</v>
      </c>
      <c r="G17" s="154">
        <v>290.29000000000002</v>
      </c>
      <c r="H17" s="154">
        <v>2.8999999999999998E-3</v>
      </c>
      <c r="I17" s="154">
        <v>0.08</v>
      </c>
      <c r="J17" s="154" t="s">
        <v>359</v>
      </c>
      <c r="K17" s="154">
        <v>1010.97</v>
      </c>
      <c r="L17" s="154" t="s">
        <v>204</v>
      </c>
      <c r="M17" s="154">
        <v>70.38</v>
      </c>
      <c r="N17" s="154">
        <v>1473714000</v>
      </c>
      <c r="O17" s="154">
        <v>5.21</v>
      </c>
      <c r="P17" s="154">
        <v>51</v>
      </c>
      <c r="Q17" s="154">
        <v>7.33</v>
      </c>
    </row>
    <row r="18" spans="1:17" x14ac:dyDescent="0.25">
      <c r="A18" s="154">
        <v>69.489999999999995</v>
      </c>
      <c r="B18" s="154">
        <v>0.53</v>
      </c>
      <c r="C18" s="154">
        <v>45.84</v>
      </c>
      <c r="D18" s="169">
        <v>42625.666666666664</v>
      </c>
      <c r="E18" s="154">
        <v>0.43</v>
      </c>
      <c r="F18" s="154" t="s">
        <v>220</v>
      </c>
      <c r="G18" s="154">
        <v>289.95999999999998</v>
      </c>
      <c r="H18" s="154">
        <v>2.7000000000000001E-3</v>
      </c>
      <c r="I18" s="154">
        <v>7.0000000000000007E-2</v>
      </c>
      <c r="J18" s="154" t="s">
        <v>359</v>
      </c>
      <c r="K18" s="154">
        <v>1011.33</v>
      </c>
      <c r="L18" s="154" t="s">
        <v>204</v>
      </c>
      <c r="M18" s="154">
        <v>69.489999999999995</v>
      </c>
      <c r="N18" s="154">
        <v>1473717600</v>
      </c>
      <c r="O18" s="154">
        <v>5.23</v>
      </c>
      <c r="P18" s="154">
        <v>57</v>
      </c>
      <c r="Q18" s="154">
        <v>6.98</v>
      </c>
    </row>
    <row r="19" spans="1:17" x14ac:dyDescent="0.25">
      <c r="A19" s="154">
        <v>69.3</v>
      </c>
      <c r="B19" s="154">
        <v>0.61</v>
      </c>
      <c r="C19" s="154">
        <v>45.44</v>
      </c>
      <c r="D19" s="169">
        <v>42625.708333333336</v>
      </c>
      <c r="E19" s="154">
        <v>0.42</v>
      </c>
      <c r="F19" s="154" t="s">
        <v>220</v>
      </c>
      <c r="G19" s="154">
        <v>289.77</v>
      </c>
      <c r="H19" s="154">
        <v>1E-3</v>
      </c>
      <c r="I19" s="154">
        <v>0.01</v>
      </c>
      <c r="J19" s="154" t="s">
        <v>359</v>
      </c>
      <c r="K19" s="154">
        <v>1012.02</v>
      </c>
      <c r="L19" s="154" t="s">
        <v>360</v>
      </c>
      <c r="M19" s="154">
        <v>69.3</v>
      </c>
      <c r="N19" s="154">
        <v>1473721200</v>
      </c>
      <c r="O19" s="154">
        <v>7.66</v>
      </c>
      <c r="P19" s="154">
        <v>65</v>
      </c>
      <c r="Q19" s="154">
        <v>6.79</v>
      </c>
    </row>
    <row r="20" spans="1:17" x14ac:dyDescent="0.25">
      <c r="A20" s="154">
        <v>67.39</v>
      </c>
      <c r="B20" s="154">
        <v>0.74</v>
      </c>
      <c r="C20" s="154">
        <v>44.27</v>
      </c>
      <c r="D20" s="169">
        <v>42625.75</v>
      </c>
      <c r="E20" s="154">
        <v>0.43</v>
      </c>
      <c r="F20" s="154" t="s">
        <v>220</v>
      </c>
      <c r="G20" s="154">
        <v>289.58999999999997</v>
      </c>
      <c r="H20" s="154">
        <v>1.2999999999999999E-3</v>
      </c>
      <c r="I20" s="154">
        <v>0.02</v>
      </c>
      <c r="J20" s="154" t="s">
        <v>359</v>
      </c>
      <c r="K20" s="154">
        <v>1012.87</v>
      </c>
      <c r="L20" s="154" t="s">
        <v>360</v>
      </c>
      <c r="M20" s="154">
        <v>67.39</v>
      </c>
      <c r="N20" s="154">
        <v>1473724800</v>
      </c>
      <c r="O20" s="154">
        <v>8.1199999999999992</v>
      </c>
      <c r="P20" s="154">
        <v>71</v>
      </c>
      <c r="Q20" s="154">
        <v>7.84</v>
      </c>
    </row>
    <row r="21" spans="1:17" x14ac:dyDescent="0.25">
      <c r="A21" s="154">
        <v>64.48</v>
      </c>
      <c r="B21" s="154">
        <v>0.61</v>
      </c>
      <c r="C21" s="154">
        <v>43.13</v>
      </c>
      <c r="D21" s="169">
        <v>42625.791666666664</v>
      </c>
      <c r="E21" s="154">
        <v>0.46</v>
      </c>
      <c r="F21" s="154" t="s">
        <v>220</v>
      </c>
      <c r="G21" s="154">
        <v>289.33</v>
      </c>
      <c r="H21" s="154">
        <v>0</v>
      </c>
      <c r="I21" s="154">
        <v>0</v>
      </c>
      <c r="K21" s="154">
        <v>1014.05</v>
      </c>
      <c r="L21" s="154" t="s">
        <v>360</v>
      </c>
      <c r="M21" s="154">
        <v>64.48</v>
      </c>
      <c r="N21" s="154">
        <v>1473728400</v>
      </c>
      <c r="O21" s="154">
        <v>8.58</v>
      </c>
      <c r="P21" s="154">
        <v>78</v>
      </c>
      <c r="Q21" s="154">
        <v>7.37</v>
      </c>
    </row>
    <row r="22" spans="1:17" x14ac:dyDescent="0.25">
      <c r="A22" s="154">
        <v>61.11</v>
      </c>
      <c r="B22" s="154">
        <v>0.52</v>
      </c>
      <c r="C22" s="154">
        <v>43.98</v>
      </c>
      <c r="D22" s="169">
        <v>42625.833333333336</v>
      </c>
      <c r="E22" s="154">
        <v>0.53</v>
      </c>
      <c r="F22" s="154" t="s">
        <v>361</v>
      </c>
      <c r="G22" s="154">
        <v>289.08</v>
      </c>
      <c r="H22" s="154">
        <v>0</v>
      </c>
      <c r="I22" s="154">
        <v>0</v>
      </c>
      <c r="K22" s="154">
        <v>1015.37</v>
      </c>
      <c r="L22" s="154" t="s">
        <v>204</v>
      </c>
      <c r="M22" s="154">
        <v>61.11</v>
      </c>
      <c r="N22" s="154">
        <v>1473732000</v>
      </c>
      <c r="O22" s="154">
        <v>8.91</v>
      </c>
      <c r="P22" s="154">
        <v>80</v>
      </c>
      <c r="Q22" s="154">
        <v>6.43</v>
      </c>
    </row>
    <row r="23" spans="1:17" x14ac:dyDescent="0.25">
      <c r="A23" s="154">
        <v>58.89</v>
      </c>
      <c r="B23" s="154">
        <v>0.45</v>
      </c>
      <c r="C23" s="154">
        <v>44.68</v>
      </c>
      <c r="D23" s="169">
        <v>42625.875</v>
      </c>
      <c r="E23" s="154">
        <v>0.59</v>
      </c>
      <c r="F23" s="154" t="s">
        <v>359</v>
      </c>
      <c r="G23" s="154">
        <v>289</v>
      </c>
      <c r="H23" s="154">
        <v>5.4000000000000003E-3</v>
      </c>
      <c r="I23" s="154">
        <v>0.2</v>
      </c>
      <c r="J23" s="154" t="s">
        <v>359</v>
      </c>
      <c r="K23" s="154">
        <v>1016.53</v>
      </c>
      <c r="L23" s="154" t="s">
        <v>362</v>
      </c>
      <c r="M23" s="154">
        <v>58.89</v>
      </c>
      <c r="N23" s="154">
        <v>1473735600</v>
      </c>
      <c r="O23" s="154">
        <v>9.25</v>
      </c>
      <c r="P23" s="154">
        <v>77</v>
      </c>
      <c r="Q23" s="154">
        <v>5.22</v>
      </c>
    </row>
    <row r="24" spans="1:17" x14ac:dyDescent="0.25">
      <c r="A24" s="154">
        <v>56.8</v>
      </c>
      <c r="B24" s="154">
        <v>0.64</v>
      </c>
      <c r="C24" s="154">
        <v>46.52</v>
      </c>
      <c r="D24" s="169">
        <v>42625.916666666664</v>
      </c>
      <c r="E24" s="154">
        <v>0.68</v>
      </c>
      <c r="F24" s="154" t="s">
        <v>359</v>
      </c>
      <c r="G24" s="154">
        <v>289.24</v>
      </c>
      <c r="H24" s="154">
        <v>1.5699999999999999E-2</v>
      </c>
      <c r="I24" s="154">
        <v>0.47</v>
      </c>
      <c r="J24" s="154" t="s">
        <v>359</v>
      </c>
      <c r="K24" s="154">
        <v>1017.46</v>
      </c>
      <c r="L24" s="154" t="s">
        <v>736</v>
      </c>
      <c r="M24" s="154">
        <v>56.8</v>
      </c>
      <c r="N24" s="154">
        <v>1473739200</v>
      </c>
      <c r="O24" s="154">
        <v>8.27</v>
      </c>
      <c r="P24" s="154">
        <v>93</v>
      </c>
      <c r="Q24" s="154">
        <v>5.27</v>
      </c>
    </row>
    <row r="25" spans="1:17" x14ac:dyDescent="0.25">
      <c r="A25" s="154">
        <v>54.94</v>
      </c>
      <c r="B25" s="154">
        <v>0.78</v>
      </c>
      <c r="C25" s="154">
        <v>48.75</v>
      </c>
      <c r="D25" s="169">
        <v>42625.958333333336</v>
      </c>
      <c r="E25" s="154">
        <v>0.8</v>
      </c>
      <c r="F25" s="154" t="s">
        <v>359</v>
      </c>
      <c r="G25" s="154">
        <v>289.64999999999998</v>
      </c>
      <c r="H25" s="154">
        <v>1.3299999999999999E-2</v>
      </c>
      <c r="I25" s="154">
        <v>0.46</v>
      </c>
      <c r="J25" s="154" t="s">
        <v>359</v>
      </c>
      <c r="K25" s="154">
        <v>1018.22</v>
      </c>
      <c r="L25" s="154" t="s">
        <v>736</v>
      </c>
      <c r="M25" s="154">
        <v>54.94</v>
      </c>
      <c r="N25" s="154">
        <v>1473742800</v>
      </c>
      <c r="O25" s="154">
        <v>5.13</v>
      </c>
      <c r="P25" s="154">
        <v>79</v>
      </c>
      <c r="Q25" s="154">
        <v>3.67</v>
      </c>
    </row>
    <row r="26" spans="1:17" x14ac:dyDescent="0.25">
      <c r="A26" s="154">
        <v>54.72</v>
      </c>
      <c r="B26" s="154">
        <v>0.84</v>
      </c>
      <c r="C26" s="154">
        <v>49.57</v>
      </c>
      <c r="D26" s="169">
        <v>42626</v>
      </c>
      <c r="E26" s="154">
        <v>0.83</v>
      </c>
      <c r="F26" s="154" t="s">
        <v>359</v>
      </c>
      <c r="G26" s="154">
        <v>289.95</v>
      </c>
      <c r="H26" s="154">
        <v>1.7299999999999999E-2</v>
      </c>
      <c r="I26" s="154">
        <v>0.49</v>
      </c>
      <c r="J26" s="154" t="s">
        <v>359</v>
      </c>
      <c r="K26" s="154">
        <v>1018.76</v>
      </c>
      <c r="L26" s="154" t="s">
        <v>736</v>
      </c>
      <c r="M26" s="154">
        <v>54.72</v>
      </c>
      <c r="N26" s="154">
        <v>1473746400</v>
      </c>
      <c r="O26" s="154">
        <v>4.84</v>
      </c>
      <c r="P26" s="154">
        <v>68</v>
      </c>
      <c r="Q26" s="154">
        <v>3.79</v>
      </c>
    </row>
    <row r="27" spans="1:17" x14ac:dyDescent="0.25">
      <c r="A27" s="154">
        <v>53.5</v>
      </c>
      <c r="B27" s="154">
        <v>0.84</v>
      </c>
      <c r="C27" s="154">
        <v>48.95</v>
      </c>
      <c r="D27" s="169">
        <v>42626.041666666664</v>
      </c>
      <c r="E27" s="154">
        <v>0.85</v>
      </c>
      <c r="F27" s="154" t="s">
        <v>359</v>
      </c>
      <c r="G27" s="154">
        <v>289.89999999999998</v>
      </c>
      <c r="H27" s="154">
        <v>9.5999999999999992E-3</v>
      </c>
      <c r="I27" s="154">
        <v>0.42</v>
      </c>
      <c r="J27" s="154" t="s">
        <v>359</v>
      </c>
      <c r="K27" s="154">
        <v>1018.82</v>
      </c>
      <c r="L27" s="154" t="s">
        <v>736</v>
      </c>
      <c r="M27" s="154">
        <v>53.5</v>
      </c>
      <c r="N27" s="154">
        <v>1473750000</v>
      </c>
      <c r="O27" s="154">
        <v>4.28</v>
      </c>
      <c r="P27" s="154">
        <v>71</v>
      </c>
      <c r="Q27" s="154">
        <v>3.3</v>
      </c>
    </row>
    <row r="28" spans="1:17" x14ac:dyDescent="0.25">
      <c r="A28" s="154">
        <v>52.81</v>
      </c>
      <c r="B28" s="154">
        <v>0.9</v>
      </c>
      <c r="C28" s="154">
        <v>49.06</v>
      </c>
      <c r="D28" s="169">
        <v>42626.083333333336</v>
      </c>
      <c r="E28" s="154">
        <v>0.87</v>
      </c>
      <c r="F28" s="154" t="s">
        <v>359</v>
      </c>
      <c r="G28" s="154">
        <v>289.85000000000002</v>
      </c>
      <c r="H28" s="154">
        <v>7.1999999999999998E-3</v>
      </c>
      <c r="I28" s="154">
        <v>0.3</v>
      </c>
      <c r="J28" s="154" t="s">
        <v>359</v>
      </c>
      <c r="K28" s="154">
        <v>1018.88</v>
      </c>
      <c r="L28" s="154" t="s">
        <v>362</v>
      </c>
      <c r="M28" s="154">
        <v>52.81</v>
      </c>
      <c r="N28" s="154">
        <v>1473753600</v>
      </c>
      <c r="O28" s="154">
        <v>4.12</v>
      </c>
      <c r="P28" s="154">
        <v>71</v>
      </c>
      <c r="Q28" s="154">
        <v>3.17</v>
      </c>
    </row>
    <row r="29" spans="1:17" x14ac:dyDescent="0.25">
      <c r="A29" s="154">
        <v>52.03</v>
      </c>
      <c r="B29" s="154">
        <v>0.92</v>
      </c>
      <c r="C29" s="154">
        <v>48.65</v>
      </c>
      <c r="D29" s="169">
        <v>42626.125</v>
      </c>
      <c r="E29" s="154">
        <v>0.88</v>
      </c>
      <c r="F29" s="154" t="s">
        <v>359</v>
      </c>
      <c r="G29" s="154">
        <v>289.8</v>
      </c>
      <c r="H29" s="154">
        <v>7.4000000000000003E-3</v>
      </c>
      <c r="I29" s="154">
        <v>0.31</v>
      </c>
      <c r="J29" s="154" t="s">
        <v>359</v>
      </c>
      <c r="K29" s="154">
        <v>1018.94</v>
      </c>
      <c r="L29" s="154" t="s">
        <v>362</v>
      </c>
      <c r="M29" s="154">
        <v>52.03</v>
      </c>
      <c r="N29" s="154">
        <v>1473757200</v>
      </c>
      <c r="O29" s="154">
        <v>4.3899999999999997</v>
      </c>
      <c r="P29" s="154">
        <v>64</v>
      </c>
      <c r="Q29" s="154">
        <v>3.45</v>
      </c>
    </row>
    <row r="31" spans="1:17" x14ac:dyDescent="0.25">
      <c r="A31" s="154" t="s">
        <v>737</v>
      </c>
    </row>
    <row r="33" spans="1:1" x14ac:dyDescent="0.25">
      <c r="A33" s="154" t="s">
        <v>221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topLeftCell="B1" workbookViewId="0"/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110</v>
      </c>
      <c r="D1" s="74" t="s">
        <v>111</v>
      </c>
      <c r="J1" s="34" t="s">
        <v>112</v>
      </c>
      <c r="K1" s="34" t="s">
        <v>72</v>
      </c>
      <c r="L1" s="34" t="s">
        <v>73</v>
      </c>
      <c r="O1" s="77" t="s">
        <v>113</v>
      </c>
    </row>
    <row r="2" spans="1:16" ht="15.75" thickBot="1" x14ac:dyDescent="0.3">
      <c r="A2" s="14">
        <v>42625</v>
      </c>
      <c r="B2" s="4"/>
      <c r="C2" s="75">
        <v>50</v>
      </c>
      <c r="D2" s="76">
        <v>25</v>
      </c>
      <c r="F2" t="s">
        <v>126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114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127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128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129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93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94</v>
      </c>
      <c r="K19" s="36"/>
      <c r="L19" s="36"/>
      <c r="M19" s="70" t="s">
        <v>123</v>
      </c>
    </row>
    <row r="20" spans="10:13" x14ac:dyDescent="0.25">
      <c r="J20" t="s">
        <v>95</v>
      </c>
      <c r="M20" s="70" t="s">
        <v>133</v>
      </c>
    </row>
    <row r="21" spans="10:13" x14ac:dyDescent="0.25">
      <c r="J21" s="23" t="s">
        <v>98</v>
      </c>
      <c r="K21" s="23" t="s">
        <v>99</v>
      </c>
      <c r="M21" s="70" t="s">
        <v>99</v>
      </c>
    </row>
    <row r="22" spans="10:13" x14ac:dyDescent="0.25">
      <c r="J22" s="23" t="s">
        <v>100</v>
      </c>
      <c r="K22" s="23" t="s">
        <v>101</v>
      </c>
      <c r="M22" s="70" t="s">
        <v>122</v>
      </c>
    </row>
    <row r="23" spans="10:13" x14ac:dyDescent="0.25">
      <c r="J23" s="31" t="s">
        <v>103</v>
      </c>
      <c r="K23" s="23"/>
      <c r="M23" s="114">
        <v>-6</v>
      </c>
    </row>
    <row r="24" spans="10:13" x14ac:dyDescent="0.25">
      <c r="J24" s="23" t="s">
        <v>119</v>
      </c>
      <c r="K24" s="23"/>
      <c r="M24" s="70" t="s">
        <v>121</v>
      </c>
    </row>
    <row r="25" spans="10:13" x14ac:dyDescent="0.25">
      <c r="J25" t="s">
        <v>171</v>
      </c>
      <c r="M25" s="70" t="b">
        <v>1</v>
      </c>
    </row>
    <row r="26" spans="10:13" x14ac:dyDescent="0.25">
      <c r="J26" t="s">
        <v>172</v>
      </c>
      <c r="M26" s="70" t="str">
        <f>"C:\Users\stu\Documents\GitHub\eaglep3-reporting\EC\"&amp;TEXT(A2,"yyyy-mm-dd")&amp;"-refined-times.txt"</f>
        <v>C:\Users\stu\Documents\GitHub\eaglep3-reporting\EC\2016-09-12-refined-times.txt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/>
  </sheetViews>
  <sheetFormatPr defaultRowHeight="15" x14ac:dyDescent="0.25"/>
  <cols>
    <col min="1" max="1" width="32.85546875" style="128" bestFit="1" customWidth="1"/>
    <col min="2" max="7" width="9.140625" style="128"/>
    <col min="8" max="8" width="17.7109375" style="128" bestFit="1" customWidth="1"/>
    <col min="9" max="9" width="9.140625" style="130"/>
    <col min="10" max="16384" width="9.140625" style="128"/>
  </cols>
  <sheetData>
    <row r="1" spans="1:11" x14ac:dyDescent="0.25">
      <c r="A1" s="127" t="s">
        <v>139</v>
      </c>
      <c r="B1" s="127" t="s">
        <v>140</v>
      </c>
      <c r="C1" s="128" t="s">
        <v>141</v>
      </c>
      <c r="H1" t="s">
        <v>135</v>
      </c>
      <c r="I1" s="129" t="s">
        <v>137</v>
      </c>
      <c r="J1"/>
    </row>
    <row r="2" spans="1:11" x14ac:dyDescent="0.25">
      <c r="A2" s="128" t="s">
        <v>142</v>
      </c>
      <c r="B2" s="128" t="s">
        <v>143</v>
      </c>
      <c r="C2" s="128" t="s">
        <v>144</v>
      </c>
      <c r="H2" t="s">
        <v>136</v>
      </c>
      <c r="I2" s="114" t="s">
        <v>138</v>
      </c>
      <c r="J2"/>
    </row>
    <row r="3" spans="1:11" x14ac:dyDescent="0.25">
      <c r="A3" s="128" t="s">
        <v>145</v>
      </c>
      <c r="B3" s="128" t="s">
        <v>146</v>
      </c>
      <c r="C3" s="128" t="s">
        <v>147</v>
      </c>
      <c r="H3" t="s">
        <v>162</v>
      </c>
      <c r="I3" s="114">
        <v>1</v>
      </c>
      <c r="J3"/>
      <c r="K3" s="70"/>
    </row>
    <row r="4" spans="1:11" x14ac:dyDescent="0.25">
      <c r="A4" s="128" t="s">
        <v>148</v>
      </c>
      <c r="C4" s="128" t="s">
        <v>149</v>
      </c>
      <c r="H4" t="s">
        <v>163</v>
      </c>
      <c r="I4" s="114">
        <v>2</v>
      </c>
      <c r="J4"/>
      <c r="K4" s="70"/>
    </row>
    <row r="5" spans="1:11" x14ac:dyDescent="0.25">
      <c r="A5" s="128" t="s">
        <v>150</v>
      </c>
      <c r="C5" s="128" t="s">
        <v>151</v>
      </c>
      <c r="H5" t="s">
        <v>164</v>
      </c>
      <c r="I5" s="114">
        <v>23</v>
      </c>
      <c r="J5"/>
      <c r="K5" s="70"/>
    </row>
    <row r="6" spans="1:11" x14ac:dyDescent="0.25">
      <c r="A6" s="128" t="s">
        <v>152</v>
      </c>
      <c r="C6" s="128" t="s">
        <v>153</v>
      </c>
      <c r="H6" s="131" t="s">
        <v>165</v>
      </c>
      <c r="I6" s="132" t="s">
        <v>143</v>
      </c>
    </row>
    <row r="7" spans="1:11" x14ac:dyDescent="0.25">
      <c r="A7" s="128" t="s">
        <v>154</v>
      </c>
      <c r="C7" s="128" t="s">
        <v>155</v>
      </c>
    </row>
    <row r="8" spans="1:11" x14ac:dyDescent="0.25">
      <c r="C8" s="128" t="s">
        <v>156</v>
      </c>
    </row>
    <row r="9" spans="1:11" x14ac:dyDescent="0.25">
      <c r="C9" s="128" t="s">
        <v>157</v>
      </c>
    </row>
    <row r="10" spans="1:11" x14ac:dyDescent="0.25">
      <c r="C10" s="128" t="s">
        <v>158</v>
      </c>
    </row>
    <row r="11" spans="1:11" x14ac:dyDescent="0.25">
      <c r="C11" s="128" t="s">
        <v>159</v>
      </c>
    </row>
    <row r="12" spans="1:11" x14ac:dyDescent="0.25">
      <c r="C12" s="128" t="s">
        <v>160</v>
      </c>
    </row>
    <row r="13" spans="1:11" x14ac:dyDescent="0.25">
      <c r="C13" s="128" t="s">
        <v>161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2016-09-14T13:03:49Z</dcterms:modified>
</cp:coreProperties>
</file>