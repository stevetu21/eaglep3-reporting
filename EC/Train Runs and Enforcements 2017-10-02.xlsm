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Trips'!$A$2:$J$26</definedName>
    <definedName name="_xlnm._FilterDatabase" localSheetId="0" hidden="1">'Train Runs'!$A$12:$AG$332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3" i="1" l="1"/>
  <c r="L163" i="1"/>
  <c r="M163" i="1"/>
  <c r="P163" i="1" s="1"/>
  <c r="Y163" i="1"/>
  <c r="Z163" i="1"/>
  <c r="AA163" i="1" s="1"/>
  <c r="AB163" i="1"/>
  <c r="AC163" i="1"/>
  <c r="AD163" i="1"/>
  <c r="T163" i="1" s="1"/>
  <c r="AE163" i="1"/>
  <c r="AM163" i="1"/>
  <c r="K160" i="1"/>
  <c r="M160" i="1"/>
  <c r="N160" i="1"/>
  <c r="AA160" i="1"/>
  <c r="AB160" i="1"/>
  <c r="AC160" i="1"/>
  <c r="AD160" i="1"/>
  <c r="T160" i="1" s="1"/>
  <c r="AE160" i="1"/>
  <c r="AM160" i="1"/>
  <c r="K158" i="1"/>
  <c r="M158" i="1"/>
  <c r="P158" i="1" s="1"/>
  <c r="AA158" i="1"/>
  <c r="AB158" i="1"/>
  <c r="AC158" i="1"/>
  <c r="AD158" i="1"/>
  <c r="T158" i="1" s="1"/>
  <c r="AE158" i="1"/>
  <c r="AM158" i="1"/>
  <c r="K157" i="1"/>
  <c r="M157" i="1"/>
  <c r="N157" i="1" s="1"/>
  <c r="AA157" i="1"/>
  <c r="AB157" i="1"/>
  <c r="AC157" i="1"/>
  <c r="AD157" i="1"/>
  <c r="T157" i="1" s="1"/>
  <c r="AE157" i="1"/>
  <c r="AM157" i="1"/>
  <c r="K147" i="1"/>
  <c r="M147" i="1"/>
  <c r="N147" i="1" s="1"/>
  <c r="AA147" i="1"/>
  <c r="AB147" i="1"/>
  <c r="AC147" i="1"/>
  <c r="AD147" i="1"/>
  <c r="T147" i="1" s="1"/>
  <c r="AE147" i="1"/>
  <c r="AM147" i="1"/>
  <c r="K146" i="1"/>
  <c r="M146" i="1"/>
  <c r="N146" i="1" s="1"/>
  <c r="AA146" i="1"/>
  <c r="AB146" i="1"/>
  <c r="AC146" i="1"/>
  <c r="AD146" i="1"/>
  <c r="T146" i="1" s="1"/>
  <c r="AE146" i="1"/>
  <c r="AM146" i="1"/>
  <c r="K131" i="1"/>
  <c r="M131" i="1"/>
  <c r="N131" i="1" s="1"/>
  <c r="AA131" i="1"/>
  <c r="AB131" i="1"/>
  <c r="AC131" i="1"/>
  <c r="AD131" i="1"/>
  <c r="T131" i="1" s="1"/>
  <c r="AE131" i="1"/>
  <c r="AM131" i="1"/>
  <c r="K130" i="1"/>
  <c r="M130" i="1"/>
  <c r="N130" i="1" s="1"/>
  <c r="AA130" i="1"/>
  <c r="AB130" i="1"/>
  <c r="AC130" i="1"/>
  <c r="AD130" i="1"/>
  <c r="T130" i="1" s="1"/>
  <c r="AE130" i="1"/>
  <c r="AM130" i="1"/>
  <c r="K114" i="1"/>
  <c r="M114" i="1"/>
  <c r="N114" i="1" s="1"/>
  <c r="AA114" i="1"/>
  <c r="AB114" i="1"/>
  <c r="AC114" i="1"/>
  <c r="AD114" i="1"/>
  <c r="T114" i="1" s="1"/>
  <c r="AE114" i="1"/>
  <c r="AM114" i="1"/>
  <c r="K103" i="1"/>
  <c r="M103" i="1"/>
  <c r="N103" i="1" s="1"/>
  <c r="AA103" i="1"/>
  <c r="AB103" i="1"/>
  <c r="AC103" i="1"/>
  <c r="AD103" i="1"/>
  <c r="T103" i="1" s="1"/>
  <c r="AE103" i="1"/>
  <c r="AM103" i="1"/>
  <c r="K102" i="1"/>
  <c r="M102" i="1"/>
  <c r="N102" i="1" s="1"/>
  <c r="AA102" i="1"/>
  <c r="AB102" i="1"/>
  <c r="AC102" i="1"/>
  <c r="AD102" i="1"/>
  <c r="T102" i="1" s="1"/>
  <c r="AE102" i="1"/>
  <c r="AM102" i="1"/>
  <c r="K18" i="1"/>
  <c r="M18" i="1"/>
  <c r="N18" i="1" s="1"/>
  <c r="AA18" i="1"/>
  <c r="AB18" i="1"/>
  <c r="AC18" i="1"/>
  <c r="AD18" i="1"/>
  <c r="T18" i="1" s="1"/>
  <c r="AE18" i="1"/>
  <c r="R19" i="3" s="1"/>
  <c r="AM18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R20" i="3" s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R22" i="3" s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AA41" i="1" s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P43" i="1" s="1"/>
  <c r="Y43" i="1"/>
  <c r="Z43" i="1"/>
  <c r="AB43" i="1"/>
  <c r="AC43" i="1"/>
  <c r="AD43" i="1"/>
  <c r="AE43" i="1"/>
  <c r="AM43" i="1"/>
  <c r="K44" i="1"/>
  <c r="M44" i="1"/>
  <c r="Y44" i="1"/>
  <c r="Z44" i="1"/>
  <c r="AB44" i="1"/>
  <c r="AC44" i="1"/>
  <c r="AD44" i="1"/>
  <c r="AE44" i="1"/>
  <c r="AM44" i="1"/>
  <c r="K45" i="1"/>
  <c r="M45" i="1"/>
  <c r="N45" i="1" s="1"/>
  <c r="Y45" i="1"/>
  <c r="AA45" i="1" s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R14" i="3" s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R23" i="3" s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/>
  <c r="Y61" i="1"/>
  <c r="Z61" i="1"/>
  <c r="AB61" i="1"/>
  <c r="AC61" i="1"/>
  <c r="AD61" i="1"/>
  <c r="AE61" i="1"/>
  <c r="R15" i="3" s="1"/>
  <c r="AM61" i="1"/>
  <c r="K62" i="1"/>
  <c r="M62" i="1"/>
  <c r="N62" i="1"/>
  <c r="Y62" i="1"/>
  <c r="Z62" i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AA64" i="1" s="1"/>
  <c r="Z64" i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T67" i="1" s="1"/>
  <c r="AE67" i="1"/>
  <c r="AM67" i="1"/>
  <c r="K68" i="1"/>
  <c r="M68" i="1"/>
  <c r="N68" i="1" s="1"/>
  <c r="Y68" i="1"/>
  <c r="Z68" i="1"/>
  <c r="AB68" i="1"/>
  <c r="AC68" i="1"/>
  <c r="AD68" i="1"/>
  <c r="AE68" i="1"/>
  <c r="R7" i="3" s="1"/>
  <c r="AM68" i="1"/>
  <c r="K69" i="1"/>
  <c r="M69" i="1"/>
  <c r="N69" i="1" s="1"/>
  <c r="Y69" i="1"/>
  <c r="Z69" i="1"/>
  <c r="AB69" i="1"/>
  <c r="AC69" i="1"/>
  <c r="AD69" i="1"/>
  <c r="T69" i="1" s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R25" i="3" s="1"/>
  <c r="AM73" i="1"/>
  <c r="K74" i="1"/>
  <c r="M74" i="1"/>
  <c r="N74" i="1" s="1"/>
  <c r="Y74" i="1"/>
  <c r="Z74" i="1"/>
  <c r="AB74" i="1"/>
  <c r="AC74" i="1"/>
  <c r="AD74" i="1"/>
  <c r="T74" i="1" s="1"/>
  <c r="AE74" i="1"/>
  <c r="R8" i="3" s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R28" i="3" s="1"/>
  <c r="AM87" i="1"/>
  <c r="K88" i="1"/>
  <c r="M88" i="1"/>
  <c r="N88" i="1" s="1"/>
  <c r="Y88" i="1"/>
  <c r="Z88" i="1"/>
  <c r="AB88" i="1"/>
  <c r="AC88" i="1"/>
  <c r="AD88" i="1"/>
  <c r="AE88" i="1"/>
  <c r="R9" i="3" s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A91" i="1" s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162" i="1"/>
  <c r="M162" i="1"/>
  <c r="N162" i="1" s="1"/>
  <c r="Y162" i="1"/>
  <c r="Z162" i="1"/>
  <c r="AB162" i="1"/>
  <c r="AC162" i="1"/>
  <c r="AD162" i="1"/>
  <c r="AE162" i="1"/>
  <c r="AM94" i="1"/>
  <c r="K164" i="1"/>
  <c r="M164" i="1"/>
  <c r="N164" i="1" s="1"/>
  <c r="Y164" i="1"/>
  <c r="Z164" i="1"/>
  <c r="AB164" i="1"/>
  <c r="AC164" i="1"/>
  <c r="AD164" i="1"/>
  <c r="AE164" i="1"/>
  <c r="AM95" i="1"/>
  <c r="K165" i="1"/>
  <c r="M165" i="1"/>
  <c r="N165" i="1" s="1"/>
  <c r="Y165" i="1"/>
  <c r="Z165" i="1"/>
  <c r="AB165" i="1"/>
  <c r="AC165" i="1"/>
  <c r="AD165" i="1"/>
  <c r="AE165" i="1"/>
  <c r="AM96" i="1"/>
  <c r="K166" i="1"/>
  <c r="M166" i="1"/>
  <c r="N166" i="1" s="1"/>
  <c r="Y166" i="1"/>
  <c r="Z166" i="1"/>
  <c r="AB166" i="1"/>
  <c r="AC166" i="1"/>
  <c r="AD166" i="1"/>
  <c r="AE166" i="1"/>
  <c r="AM97" i="1"/>
  <c r="K167" i="1"/>
  <c r="M167" i="1"/>
  <c r="N167" i="1" s="1"/>
  <c r="Y167" i="1"/>
  <c r="Z167" i="1"/>
  <c r="AB167" i="1"/>
  <c r="AC167" i="1"/>
  <c r="AD167" i="1"/>
  <c r="X168" i="1" s="1"/>
  <c r="AE167" i="1"/>
  <c r="AM98" i="1"/>
  <c r="AM99" i="1"/>
  <c r="K168" i="1"/>
  <c r="M168" i="1"/>
  <c r="N168" i="1" s="1"/>
  <c r="Y168" i="1"/>
  <c r="Z168" i="1"/>
  <c r="AB168" i="1"/>
  <c r="AC168" i="1"/>
  <c r="AD168" i="1"/>
  <c r="AE168" i="1"/>
  <c r="AM100" i="1"/>
  <c r="K169" i="1"/>
  <c r="M169" i="1"/>
  <c r="N169" i="1" s="1"/>
  <c r="Y169" i="1"/>
  <c r="Z169" i="1"/>
  <c r="AB169" i="1"/>
  <c r="AC169" i="1"/>
  <c r="AD169" i="1"/>
  <c r="AE169" i="1"/>
  <c r="AM101" i="1"/>
  <c r="K170" i="1"/>
  <c r="M170" i="1"/>
  <c r="N170" i="1" s="1"/>
  <c r="Y170" i="1"/>
  <c r="Z170" i="1"/>
  <c r="AB170" i="1"/>
  <c r="AC170" i="1"/>
  <c r="AD170" i="1"/>
  <c r="AE170" i="1"/>
  <c r="AM104" i="1"/>
  <c r="K171" i="1"/>
  <c r="M171" i="1"/>
  <c r="N171" i="1" s="1"/>
  <c r="Y171" i="1"/>
  <c r="Z171" i="1"/>
  <c r="AB171" i="1"/>
  <c r="AC171" i="1"/>
  <c r="AD171" i="1"/>
  <c r="AE171" i="1"/>
  <c r="AM105" i="1"/>
  <c r="K94" i="1"/>
  <c r="M94" i="1"/>
  <c r="N94" i="1" s="1"/>
  <c r="Y94" i="1"/>
  <c r="Z94" i="1"/>
  <c r="AB94" i="1"/>
  <c r="AC94" i="1"/>
  <c r="AD94" i="1"/>
  <c r="AE94" i="1"/>
  <c r="AM106" i="1"/>
  <c r="K172" i="1"/>
  <c r="M172" i="1"/>
  <c r="N172" i="1" s="1"/>
  <c r="Y172" i="1"/>
  <c r="Z172" i="1"/>
  <c r="AB172" i="1"/>
  <c r="AC172" i="1"/>
  <c r="AD172" i="1"/>
  <c r="AE172" i="1"/>
  <c r="AM107" i="1"/>
  <c r="K173" i="1"/>
  <c r="M173" i="1"/>
  <c r="N173" i="1" s="1"/>
  <c r="Y173" i="1"/>
  <c r="Z173" i="1"/>
  <c r="AB173" i="1"/>
  <c r="AC173" i="1"/>
  <c r="AD173" i="1"/>
  <c r="AE173" i="1"/>
  <c r="AM108" i="1"/>
  <c r="K174" i="1"/>
  <c r="M174" i="1"/>
  <c r="N174" i="1" s="1"/>
  <c r="Y174" i="1"/>
  <c r="Z174" i="1"/>
  <c r="AB174" i="1"/>
  <c r="AC174" i="1"/>
  <c r="AD174" i="1"/>
  <c r="AE174" i="1"/>
  <c r="AM109" i="1"/>
  <c r="K175" i="1"/>
  <c r="M175" i="1"/>
  <c r="N175" i="1" s="1"/>
  <c r="Y175" i="1"/>
  <c r="Z175" i="1"/>
  <c r="AB175" i="1"/>
  <c r="AC175" i="1"/>
  <c r="AD175" i="1"/>
  <c r="AE175" i="1"/>
  <c r="AM110" i="1"/>
  <c r="K176" i="1"/>
  <c r="M176" i="1"/>
  <c r="N176" i="1" s="1"/>
  <c r="Y176" i="1"/>
  <c r="Z176" i="1"/>
  <c r="AB176" i="1"/>
  <c r="AC176" i="1"/>
  <c r="AD176" i="1"/>
  <c r="AE176" i="1"/>
  <c r="AM111" i="1"/>
  <c r="K177" i="1"/>
  <c r="M177" i="1"/>
  <c r="N177" i="1" s="1"/>
  <c r="Y177" i="1"/>
  <c r="Z177" i="1"/>
  <c r="AB177" i="1"/>
  <c r="AC177" i="1"/>
  <c r="AD177" i="1"/>
  <c r="AE177" i="1"/>
  <c r="AM112" i="1"/>
  <c r="K178" i="1"/>
  <c r="M178" i="1"/>
  <c r="N178" i="1" s="1"/>
  <c r="Y178" i="1"/>
  <c r="Z178" i="1"/>
  <c r="AB178" i="1"/>
  <c r="AC178" i="1"/>
  <c r="AD178" i="1"/>
  <c r="AE178" i="1"/>
  <c r="AM113" i="1"/>
  <c r="K179" i="1"/>
  <c r="M179" i="1"/>
  <c r="P179" i="1" s="1"/>
  <c r="Y179" i="1"/>
  <c r="Z179" i="1"/>
  <c r="AB179" i="1"/>
  <c r="AC179" i="1"/>
  <c r="AD179" i="1"/>
  <c r="AE179" i="1"/>
  <c r="AM115" i="1"/>
  <c r="K180" i="1"/>
  <c r="M180" i="1"/>
  <c r="Y180" i="1"/>
  <c r="Z180" i="1"/>
  <c r="AB180" i="1"/>
  <c r="AC180" i="1"/>
  <c r="AD180" i="1"/>
  <c r="AE180" i="1"/>
  <c r="AM116" i="1"/>
  <c r="K181" i="1"/>
  <c r="M181" i="1"/>
  <c r="N181" i="1" s="1"/>
  <c r="Y181" i="1"/>
  <c r="Z181" i="1"/>
  <c r="AB181" i="1"/>
  <c r="AC181" i="1"/>
  <c r="AD181" i="1"/>
  <c r="AE181" i="1"/>
  <c r="AM117" i="1"/>
  <c r="K182" i="1"/>
  <c r="M182" i="1"/>
  <c r="N182" i="1" s="1"/>
  <c r="Y182" i="1"/>
  <c r="Z182" i="1"/>
  <c r="AB182" i="1"/>
  <c r="AC182" i="1"/>
  <c r="AD182" i="1"/>
  <c r="AE182" i="1"/>
  <c r="R38" i="3" s="1"/>
  <c r="AM118" i="1"/>
  <c r="K95" i="1"/>
  <c r="M95" i="1"/>
  <c r="N95" i="1" s="1"/>
  <c r="Y95" i="1"/>
  <c r="Z95" i="1"/>
  <c r="AB95" i="1"/>
  <c r="AC95" i="1"/>
  <c r="AD95" i="1"/>
  <c r="AE95" i="1"/>
  <c r="AM119" i="1"/>
  <c r="K183" i="1"/>
  <c r="M183" i="1"/>
  <c r="N183" i="1" s="1"/>
  <c r="Y183" i="1"/>
  <c r="Z183" i="1"/>
  <c r="AB183" i="1"/>
  <c r="AC183" i="1"/>
  <c r="AD183" i="1"/>
  <c r="AE183" i="1"/>
  <c r="AM120" i="1"/>
  <c r="K184" i="1"/>
  <c r="M184" i="1"/>
  <c r="N184" i="1" s="1"/>
  <c r="Y184" i="1"/>
  <c r="Z184" i="1"/>
  <c r="AB184" i="1"/>
  <c r="AC184" i="1"/>
  <c r="AD184" i="1"/>
  <c r="AE184" i="1"/>
  <c r="AM121" i="1"/>
  <c r="K185" i="1"/>
  <c r="M185" i="1"/>
  <c r="N185" i="1" s="1"/>
  <c r="Y185" i="1"/>
  <c r="Z185" i="1"/>
  <c r="AB185" i="1"/>
  <c r="AC185" i="1"/>
  <c r="AD185" i="1"/>
  <c r="AE185" i="1"/>
  <c r="AM122" i="1"/>
  <c r="K186" i="1"/>
  <c r="M186" i="1"/>
  <c r="N186" i="1" s="1"/>
  <c r="Y186" i="1"/>
  <c r="Z186" i="1"/>
  <c r="AB186" i="1"/>
  <c r="AC186" i="1"/>
  <c r="AD186" i="1"/>
  <c r="AE186" i="1"/>
  <c r="AM123" i="1"/>
  <c r="K187" i="1"/>
  <c r="M187" i="1"/>
  <c r="N187" i="1" s="1"/>
  <c r="Y187" i="1"/>
  <c r="Z187" i="1"/>
  <c r="AB187" i="1"/>
  <c r="AC187" i="1"/>
  <c r="AD187" i="1"/>
  <c r="AE187" i="1"/>
  <c r="R36" i="3" s="1"/>
  <c r="AM124" i="1"/>
  <c r="K188" i="1"/>
  <c r="M188" i="1"/>
  <c r="N188" i="1" s="1"/>
  <c r="Y188" i="1"/>
  <c r="Z188" i="1"/>
  <c r="AB188" i="1"/>
  <c r="AC188" i="1"/>
  <c r="AD188" i="1"/>
  <c r="T188" i="1" s="1"/>
  <c r="AE188" i="1"/>
  <c r="AM125" i="1"/>
  <c r="K189" i="1"/>
  <c r="M189" i="1"/>
  <c r="N189" i="1" s="1"/>
  <c r="Y189" i="1"/>
  <c r="Z189" i="1"/>
  <c r="AB189" i="1"/>
  <c r="AC189" i="1"/>
  <c r="AD189" i="1"/>
  <c r="T189" i="1" s="1"/>
  <c r="AE189" i="1"/>
  <c r="AM126" i="1"/>
  <c r="K190" i="1"/>
  <c r="M190" i="1"/>
  <c r="N190" i="1" s="1"/>
  <c r="Y190" i="1"/>
  <c r="Z190" i="1"/>
  <c r="AB190" i="1"/>
  <c r="AC190" i="1"/>
  <c r="AD190" i="1"/>
  <c r="T190" i="1" s="1"/>
  <c r="AE190" i="1"/>
  <c r="AM127" i="1"/>
  <c r="K191" i="1"/>
  <c r="M191" i="1"/>
  <c r="N191" i="1" s="1"/>
  <c r="Y191" i="1"/>
  <c r="Z191" i="1"/>
  <c r="AB191" i="1"/>
  <c r="AC191" i="1"/>
  <c r="AD191" i="1"/>
  <c r="T191" i="1" s="1"/>
  <c r="AE191" i="1"/>
  <c r="AM128" i="1"/>
  <c r="K192" i="1"/>
  <c r="M192" i="1"/>
  <c r="N192" i="1" s="1"/>
  <c r="Y192" i="1"/>
  <c r="Z192" i="1"/>
  <c r="AB192" i="1"/>
  <c r="AC192" i="1"/>
  <c r="AD192" i="1"/>
  <c r="T192" i="1" s="1"/>
  <c r="AE192" i="1"/>
  <c r="AM129" i="1"/>
  <c r="K96" i="1"/>
  <c r="M96" i="1"/>
  <c r="N96" i="1" s="1"/>
  <c r="Y96" i="1"/>
  <c r="Z96" i="1"/>
  <c r="AA96" i="1" s="1"/>
  <c r="AB96" i="1"/>
  <c r="AC96" i="1"/>
  <c r="AD96" i="1"/>
  <c r="T96" i="1" s="1"/>
  <c r="AE96" i="1"/>
  <c r="AM132" i="1"/>
  <c r="K193" i="1"/>
  <c r="M193" i="1"/>
  <c r="N193" i="1" s="1"/>
  <c r="Y193" i="1"/>
  <c r="Z193" i="1"/>
  <c r="AB193" i="1"/>
  <c r="AC193" i="1"/>
  <c r="AD193" i="1"/>
  <c r="T193" i="1" s="1"/>
  <c r="AE193" i="1"/>
  <c r="AM133" i="1"/>
  <c r="K194" i="1"/>
  <c r="M194" i="1"/>
  <c r="N194" i="1" s="1"/>
  <c r="Y194" i="1"/>
  <c r="Z194" i="1"/>
  <c r="AB194" i="1"/>
  <c r="AC194" i="1"/>
  <c r="AD194" i="1"/>
  <c r="T194" i="1" s="1"/>
  <c r="AE194" i="1"/>
  <c r="AM134" i="1"/>
  <c r="K195" i="1"/>
  <c r="M195" i="1"/>
  <c r="N195" i="1" s="1"/>
  <c r="Y195" i="1"/>
  <c r="Z195" i="1"/>
  <c r="AB195" i="1"/>
  <c r="AC195" i="1"/>
  <c r="AD195" i="1"/>
  <c r="T195" i="1" s="1"/>
  <c r="AE195" i="1"/>
  <c r="R37" i="3" s="1"/>
  <c r="AM135" i="1"/>
  <c r="K196" i="1"/>
  <c r="M196" i="1"/>
  <c r="N196" i="1" s="1"/>
  <c r="Y196" i="1"/>
  <c r="Z196" i="1"/>
  <c r="AB196" i="1"/>
  <c r="AC196" i="1"/>
  <c r="AD196" i="1"/>
  <c r="T196" i="1" s="1"/>
  <c r="AE196" i="1"/>
  <c r="AM136" i="1"/>
  <c r="K197" i="1"/>
  <c r="M197" i="1"/>
  <c r="N197" i="1" s="1"/>
  <c r="Y197" i="1"/>
  <c r="Z197" i="1"/>
  <c r="AB197" i="1"/>
  <c r="AC197" i="1"/>
  <c r="AD197" i="1"/>
  <c r="T197" i="1" s="1"/>
  <c r="AE197" i="1"/>
  <c r="AM137" i="1"/>
  <c r="K198" i="1"/>
  <c r="M198" i="1"/>
  <c r="N198" i="1" s="1"/>
  <c r="Y198" i="1"/>
  <c r="Z198" i="1"/>
  <c r="AB198" i="1"/>
  <c r="AC198" i="1"/>
  <c r="AD198" i="1"/>
  <c r="T198" i="1" s="1"/>
  <c r="AE198" i="1"/>
  <c r="AM138" i="1"/>
  <c r="K97" i="1"/>
  <c r="M97" i="1"/>
  <c r="N97" i="1" s="1"/>
  <c r="Y97" i="1"/>
  <c r="Z97" i="1"/>
  <c r="AB97" i="1"/>
  <c r="AC97" i="1"/>
  <c r="AD97" i="1"/>
  <c r="AE97" i="1"/>
  <c r="AM139" i="1"/>
  <c r="K98" i="1"/>
  <c r="M98" i="1"/>
  <c r="N98" i="1" s="1"/>
  <c r="Y98" i="1"/>
  <c r="Z98" i="1"/>
  <c r="AB98" i="1"/>
  <c r="AC98" i="1"/>
  <c r="AD98" i="1"/>
  <c r="AE98" i="1"/>
  <c r="AM140" i="1"/>
  <c r="K99" i="1"/>
  <c r="M99" i="1"/>
  <c r="N99" i="1" s="1"/>
  <c r="Y99" i="1"/>
  <c r="Z99" i="1"/>
  <c r="AB99" i="1"/>
  <c r="AC99" i="1"/>
  <c r="AD99" i="1"/>
  <c r="AE99" i="1"/>
  <c r="AM141" i="1"/>
  <c r="K100" i="1"/>
  <c r="M100" i="1"/>
  <c r="N100" i="1" s="1"/>
  <c r="Y100" i="1"/>
  <c r="Z100" i="1"/>
  <c r="AB100" i="1"/>
  <c r="AC100" i="1"/>
  <c r="AD100" i="1"/>
  <c r="AE100" i="1"/>
  <c r="AM142" i="1"/>
  <c r="K101" i="1"/>
  <c r="M101" i="1"/>
  <c r="N101" i="1" s="1"/>
  <c r="Y101" i="1"/>
  <c r="Z101" i="1"/>
  <c r="AB101" i="1"/>
  <c r="AC101" i="1"/>
  <c r="AD101" i="1"/>
  <c r="AE101" i="1"/>
  <c r="AM143" i="1"/>
  <c r="K208" i="1"/>
  <c r="M208" i="1"/>
  <c r="N208" i="1" s="1"/>
  <c r="Y208" i="1"/>
  <c r="Z208" i="1"/>
  <c r="AB208" i="1"/>
  <c r="AC208" i="1"/>
  <c r="AD208" i="1"/>
  <c r="AE208" i="1"/>
  <c r="AM144" i="1"/>
  <c r="K209" i="1"/>
  <c r="M209" i="1"/>
  <c r="N209" i="1" s="1"/>
  <c r="Y209" i="1"/>
  <c r="Z209" i="1"/>
  <c r="AB209" i="1"/>
  <c r="AC209" i="1"/>
  <c r="AD209" i="1"/>
  <c r="AE209" i="1"/>
  <c r="AM145" i="1"/>
  <c r="K210" i="1"/>
  <c r="M210" i="1"/>
  <c r="N210" i="1" s="1"/>
  <c r="Y210" i="1"/>
  <c r="Z210" i="1"/>
  <c r="AB210" i="1"/>
  <c r="AC210" i="1"/>
  <c r="AD210" i="1"/>
  <c r="AE210" i="1"/>
  <c r="AM148" i="1"/>
  <c r="K211" i="1"/>
  <c r="M211" i="1"/>
  <c r="N211" i="1" s="1"/>
  <c r="Y211" i="1"/>
  <c r="Z211" i="1"/>
  <c r="AB211" i="1"/>
  <c r="AC211" i="1"/>
  <c r="AD211" i="1"/>
  <c r="AE211" i="1"/>
  <c r="AM149" i="1"/>
  <c r="K104" i="1"/>
  <c r="M104" i="1"/>
  <c r="N104" i="1" s="1"/>
  <c r="Y104" i="1"/>
  <c r="Z104" i="1"/>
  <c r="AB104" i="1"/>
  <c r="AC104" i="1"/>
  <c r="AD104" i="1"/>
  <c r="X104" i="1" s="1"/>
  <c r="AE104" i="1"/>
  <c r="AM150" i="1"/>
  <c r="K105" i="1"/>
  <c r="M105" i="1"/>
  <c r="N105" i="1" s="1"/>
  <c r="Y105" i="1"/>
  <c r="Z105" i="1"/>
  <c r="AB105" i="1"/>
  <c r="AC105" i="1"/>
  <c r="AD105" i="1"/>
  <c r="AE105" i="1"/>
  <c r="R26" i="3" s="1"/>
  <c r="AM151" i="1"/>
  <c r="K106" i="1"/>
  <c r="M106" i="1"/>
  <c r="N106" i="1" s="1"/>
  <c r="Y106" i="1"/>
  <c r="Z106" i="1"/>
  <c r="AB106" i="1"/>
  <c r="AC106" i="1"/>
  <c r="AD106" i="1"/>
  <c r="AE106" i="1"/>
  <c r="AM152" i="1"/>
  <c r="K107" i="1"/>
  <c r="M107" i="1"/>
  <c r="N107" i="1" s="1"/>
  <c r="Y107" i="1"/>
  <c r="Z107" i="1"/>
  <c r="AB107" i="1"/>
  <c r="AC107" i="1"/>
  <c r="AD107" i="1"/>
  <c r="AE107" i="1"/>
  <c r="AM153" i="1"/>
  <c r="K108" i="1"/>
  <c r="M108" i="1"/>
  <c r="N108" i="1" s="1"/>
  <c r="Y108" i="1"/>
  <c r="AA108" i="1" s="1"/>
  <c r="Z108" i="1"/>
  <c r="AB108" i="1"/>
  <c r="AC108" i="1"/>
  <c r="AD108" i="1"/>
  <c r="AE108" i="1"/>
  <c r="AM154" i="1"/>
  <c r="K109" i="1"/>
  <c r="M109" i="1"/>
  <c r="N109" i="1" s="1"/>
  <c r="Y109" i="1"/>
  <c r="Z109" i="1"/>
  <c r="AB109" i="1"/>
  <c r="AC109" i="1"/>
  <c r="AD109" i="1"/>
  <c r="AE109" i="1"/>
  <c r="AM155" i="1"/>
  <c r="K110" i="1"/>
  <c r="M110" i="1"/>
  <c r="N110" i="1" s="1"/>
  <c r="Y110" i="1"/>
  <c r="Z110" i="1"/>
  <c r="AB110" i="1"/>
  <c r="AC110" i="1"/>
  <c r="AD110" i="1"/>
  <c r="AE110" i="1"/>
  <c r="AM156" i="1"/>
  <c r="K111" i="1"/>
  <c r="M111" i="1"/>
  <c r="N111" i="1" s="1"/>
  <c r="Y111" i="1"/>
  <c r="Z111" i="1"/>
  <c r="AB111" i="1"/>
  <c r="AC111" i="1"/>
  <c r="AD111" i="1"/>
  <c r="AE111" i="1"/>
  <c r="AM159" i="1"/>
  <c r="K112" i="1"/>
  <c r="M112" i="1"/>
  <c r="N112" i="1" s="1"/>
  <c r="Y112" i="1"/>
  <c r="Z112" i="1"/>
  <c r="AB112" i="1"/>
  <c r="AC112" i="1"/>
  <c r="AD112" i="1"/>
  <c r="AE112" i="1"/>
  <c r="AM161" i="1"/>
  <c r="K113" i="1"/>
  <c r="M113" i="1"/>
  <c r="N113" i="1" s="1"/>
  <c r="Y113" i="1"/>
  <c r="Z113" i="1"/>
  <c r="AB113" i="1"/>
  <c r="AC113" i="1"/>
  <c r="AD113" i="1"/>
  <c r="AE113" i="1"/>
  <c r="AM162" i="1"/>
  <c r="K115" i="1"/>
  <c r="M115" i="1"/>
  <c r="N115" i="1" s="1"/>
  <c r="Y115" i="1"/>
  <c r="Z115" i="1"/>
  <c r="AB115" i="1"/>
  <c r="AC115" i="1"/>
  <c r="AD115" i="1"/>
  <c r="AE115" i="1"/>
  <c r="AM164" i="1"/>
  <c r="K116" i="1"/>
  <c r="M116" i="1"/>
  <c r="N116" i="1" s="1"/>
  <c r="Y116" i="1"/>
  <c r="Z116" i="1"/>
  <c r="AB116" i="1"/>
  <c r="AC116" i="1"/>
  <c r="AD116" i="1"/>
  <c r="AE116" i="1"/>
  <c r="AM165" i="1"/>
  <c r="K117" i="1"/>
  <c r="M117" i="1"/>
  <c r="N117" i="1" s="1"/>
  <c r="Y117" i="1"/>
  <c r="Z117" i="1"/>
  <c r="AB117" i="1"/>
  <c r="AC117" i="1"/>
  <c r="AD117" i="1"/>
  <c r="AE117" i="1"/>
  <c r="AM166" i="1"/>
  <c r="K118" i="1"/>
  <c r="M118" i="1"/>
  <c r="N118" i="1" s="1"/>
  <c r="Y118" i="1"/>
  <c r="Z118" i="1"/>
  <c r="AB118" i="1"/>
  <c r="AC118" i="1"/>
  <c r="AD118" i="1"/>
  <c r="AE118" i="1"/>
  <c r="AM167" i="1"/>
  <c r="K119" i="1"/>
  <c r="M119" i="1"/>
  <c r="N119" i="1" s="1"/>
  <c r="Y119" i="1"/>
  <c r="Z119" i="1"/>
  <c r="AB119" i="1"/>
  <c r="AC119" i="1"/>
  <c r="AD119" i="1"/>
  <c r="AE119" i="1"/>
  <c r="K120" i="1"/>
  <c r="M120" i="1"/>
  <c r="N120" i="1" s="1"/>
  <c r="Y120" i="1"/>
  <c r="Z120" i="1"/>
  <c r="AB120" i="1"/>
  <c r="AC120" i="1"/>
  <c r="AD120" i="1"/>
  <c r="AE120" i="1"/>
  <c r="AM168" i="1"/>
  <c r="K121" i="1"/>
  <c r="M121" i="1"/>
  <c r="N121" i="1" s="1"/>
  <c r="Y121" i="1"/>
  <c r="Z121" i="1"/>
  <c r="AA121" i="1" s="1"/>
  <c r="AB121" i="1"/>
  <c r="AC121" i="1"/>
  <c r="AD121" i="1"/>
  <c r="AE121" i="1"/>
  <c r="AM169" i="1"/>
  <c r="K122" i="1"/>
  <c r="M122" i="1"/>
  <c r="N122" i="1" s="1"/>
  <c r="Y122" i="1"/>
  <c r="Z122" i="1"/>
  <c r="AB122" i="1"/>
  <c r="AC122" i="1"/>
  <c r="AD122" i="1"/>
  <c r="AE122" i="1"/>
  <c r="R29" i="3" s="1"/>
  <c r="AM170" i="1"/>
  <c r="K123" i="1"/>
  <c r="M123" i="1"/>
  <c r="N123" i="1" s="1"/>
  <c r="Y123" i="1"/>
  <c r="Z123" i="1"/>
  <c r="AB123" i="1"/>
  <c r="AC123" i="1"/>
  <c r="AD123" i="1"/>
  <c r="AE123" i="1"/>
  <c r="R10" i="3" s="1"/>
  <c r="AM171" i="1"/>
  <c r="K124" i="1"/>
  <c r="M124" i="1"/>
  <c r="N124" i="1" s="1"/>
  <c r="Y124" i="1"/>
  <c r="Z124" i="1"/>
  <c r="AB124" i="1"/>
  <c r="AC124" i="1"/>
  <c r="AD124" i="1"/>
  <c r="AE124" i="1"/>
  <c r="AM172" i="1"/>
  <c r="K125" i="1"/>
  <c r="M125" i="1"/>
  <c r="P125" i="1" s="1"/>
  <c r="Y125" i="1"/>
  <c r="Z125" i="1"/>
  <c r="AB125" i="1"/>
  <c r="AC125" i="1"/>
  <c r="AD125" i="1"/>
  <c r="AE125" i="1"/>
  <c r="R18" i="3" s="1"/>
  <c r="AM173" i="1"/>
  <c r="K126" i="1"/>
  <c r="M126" i="1"/>
  <c r="N126" i="1" s="1"/>
  <c r="Y126" i="1"/>
  <c r="Z126" i="1"/>
  <c r="AB126" i="1"/>
  <c r="AC126" i="1"/>
  <c r="AD126" i="1"/>
  <c r="AE126" i="1"/>
  <c r="AM174" i="1"/>
  <c r="K127" i="1"/>
  <c r="M127" i="1"/>
  <c r="N127" i="1" s="1"/>
  <c r="Y127" i="1"/>
  <c r="Z127" i="1"/>
  <c r="AB127" i="1"/>
  <c r="AC127" i="1"/>
  <c r="AD127" i="1"/>
  <c r="AE127" i="1"/>
  <c r="AM175" i="1"/>
  <c r="K128" i="1"/>
  <c r="M128" i="1"/>
  <c r="N128" i="1" s="1"/>
  <c r="Y128" i="1"/>
  <c r="Z128" i="1"/>
  <c r="AB128" i="1"/>
  <c r="AC128" i="1"/>
  <c r="AD128" i="1"/>
  <c r="AE128" i="1"/>
  <c r="AM176" i="1"/>
  <c r="K129" i="1"/>
  <c r="M129" i="1"/>
  <c r="N129" i="1" s="1"/>
  <c r="Y129" i="1"/>
  <c r="Z129" i="1"/>
  <c r="AB129" i="1"/>
  <c r="AC129" i="1"/>
  <c r="AD129" i="1"/>
  <c r="AE129" i="1"/>
  <c r="R27" i="3" s="1"/>
  <c r="AM177" i="1"/>
  <c r="K132" i="1"/>
  <c r="M132" i="1"/>
  <c r="N132" i="1" s="1"/>
  <c r="Y132" i="1"/>
  <c r="Z132" i="1"/>
  <c r="AB132" i="1"/>
  <c r="AC132" i="1"/>
  <c r="AD132" i="1"/>
  <c r="X132" i="1" s="1"/>
  <c r="AE132" i="1"/>
  <c r="AM178" i="1"/>
  <c r="K133" i="1"/>
  <c r="M133" i="1"/>
  <c r="N133" i="1" s="1"/>
  <c r="Y133" i="1"/>
  <c r="Z133" i="1"/>
  <c r="AB133" i="1"/>
  <c r="AC133" i="1"/>
  <c r="AD133" i="1"/>
  <c r="AE133" i="1"/>
  <c r="AM179" i="1"/>
  <c r="K134" i="1"/>
  <c r="M134" i="1"/>
  <c r="N134" i="1" s="1"/>
  <c r="Y134" i="1"/>
  <c r="Z134" i="1"/>
  <c r="AB134" i="1"/>
  <c r="AC134" i="1"/>
  <c r="AD134" i="1"/>
  <c r="AE134" i="1"/>
  <c r="AM180" i="1"/>
  <c r="K135" i="1"/>
  <c r="M135" i="1"/>
  <c r="N135" i="1" s="1"/>
  <c r="Y135" i="1"/>
  <c r="Z135" i="1"/>
  <c r="AB135" i="1"/>
  <c r="AC135" i="1"/>
  <c r="AD135" i="1"/>
  <c r="AE135" i="1"/>
  <c r="AM181" i="1"/>
  <c r="K136" i="1"/>
  <c r="M136" i="1"/>
  <c r="N136" i="1" s="1"/>
  <c r="Y136" i="1"/>
  <c r="Z136" i="1"/>
  <c r="AB136" i="1"/>
  <c r="AC136" i="1"/>
  <c r="AD136" i="1"/>
  <c r="AE136" i="1"/>
  <c r="AM182" i="1"/>
  <c r="K137" i="1"/>
  <c r="M137" i="1"/>
  <c r="N137" i="1" s="1"/>
  <c r="Y137" i="1"/>
  <c r="Z137" i="1"/>
  <c r="AB137" i="1"/>
  <c r="AC137" i="1"/>
  <c r="AD137" i="1"/>
  <c r="AE137" i="1"/>
  <c r="AM183" i="1"/>
  <c r="K138" i="1"/>
  <c r="M138" i="1"/>
  <c r="N138" i="1" s="1"/>
  <c r="Y138" i="1"/>
  <c r="Z138" i="1"/>
  <c r="AB138" i="1"/>
  <c r="AC138" i="1"/>
  <c r="AD138" i="1"/>
  <c r="T138" i="1" s="1"/>
  <c r="AE138" i="1"/>
  <c r="AM184" i="1"/>
  <c r="K139" i="1"/>
  <c r="M139" i="1"/>
  <c r="N139" i="1" s="1"/>
  <c r="Y139" i="1"/>
  <c r="Z139" i="1"/>
  <c r="AB139" i="1"/>
  <c r="AC139" i="1"/>
  <c r="AD139" i="1"/>
  <c r="AE139" i="1"/>
  <c r="AM185" i="1"/>
  <c r="K140" i="1"/>
  <c r="M140" i="1"/>
  <c r="N140" i="1" s="1"/>
  <c r="Y140" i="1"/>
  <c r="Z140" i="1"/>
  <c r="AB140" i="1"/>
  <c r="AC140" i="1"/>
  <c r="AD140" i="1"/>
  <c r="AE140" i="1"/>
  <c r="AM186" i="1"/>
  <c r="K141" i="1"/>
  <c r="M141" i="1"/>
  <c r="N141" i="1" s="1"/>
  <c r="Y141" i="1"/>
  <c r="Z141" i="1"/>
  <c r="AB141" i="1"/>
  <c r="AC141" i="1"/>
  <c r="AD141" i="1"/>
  <c r="AE141" i="1"/>
  <c r="R13" i="3" s="1"/>
  <c r="AM187" i="1"/>
  <c r="K142" i="1"/>
  <c r="M142" i="1"/>
  <c r="N142" i="1" s="1"/>
  <c r="Y142" i="1"/>
  <c r="Z142" i="1"/>
  <c r="AB142" i="1"/>
  <c r="AC142" i="1"/>
  <c r="AD142" i="1"/>
  <c r="T142" i="1" s="1"/>
  <c r="AE142" i="1"/>
  <c r="AM188" i="1"/>
  <c r="K143" i="1"/>
  <c r="M143" i="1"/>
  <c r="N143" i="1" s="1"/>
  <c r="Y143" i="1"/>
  <c r="Z143" i="1"/>
  <c r="AB143" i="1"/>
  <c r="AC143" i="1"/>
  <c r="AD143" i="1"/>
  <c r="AE143" i="1"/>
  <c r="AM189" i="1"/>
  <c r="K144" i="1"/>
  <c r="M144" i="1"/>
  <c r="N144" i="1" s="1"/>
  <c r="Y144" i="1"/>
  <c r="Z144" i="1"/>
  <c r="AB144" i="1"/>
  <c r="AC144" i="1"/>
  <c r="AD144" i="1"/>
  <c r="AE144" i="1"/>
  <c r="AM190" i="1"/>
  <c r="K145" i="1"/>
  <c r="M145" i="1"/>
  <c r="N145" i="1" s="1"/>
  <c r="Y145" i="1"/>
  <c r="Z145" i="1"/>
  <c r="AB145" i="1"/>
  <c r="AC145" i="1"/>
  <c r="AD145" i="1"/>
  <c r="AE145" i="1"/>
  <c r="AM191" i="1"/>
  <c r="K148" i="1"/>
  <c r="M148" i="1"/>
  <c r="N148" i="1" s="1"/>
  <c r="Y148" i="1"/>
  <c r="Z148" i="1"/>
  <c r="AB148" i="1"/>
  <c r="AC148" i="1"/>
  <c r="AD148" i="1"/>
  <c r="T148" i="1" s="1"/>
  <c r="AE148" i="1"/>
  <c r="R30" i="3" s="1"/>
  <c r="AM192" i="1"/>
  <c r="K149" i="1"/>
  <c r="M149" i="1"/>
  <c r="N149" i="1" s="1"/>
  <c r="Y149" i="1"/>
  <c r="Z149" i="1"/>
  <c r="AB149" i="1"/>
  <c r="AC149" i="1"/>
  <c r="AD149" i="1"/>
  <c r="T149" i="1" s="1"/>
  <c r="AE149" i="1"/>
  <c r="AM193" i="1"/>
  <c r="K150" i="1"/>
  <c r="M150" i="1"/>
  <c r="N150" i="1" s="1"/>
  <c r="Y150" i="1"/>
  <c r="Z150" i="1"/>
  <c r="AB150" i="1"/>
  <c r="AC150" i="1"/>
  <c r="AD150" i="1"/>
  <c r="AE150" i="1"/>
  <c r="AM194" i="1"/>
  <c r="K151" i="1"/>
  <c r="M151" i="1"/>
  <c r="N151" i="1" s="1"/>
  <c r="Y151" i="1"/>
  <c r="Z151" i="1"/>
  <c r="AB151" i="1"/>
  <c r="AC151" i="1"/>
  <c r="AD151" i="1"/>
  <c r="T151" i="1" s="1"/>
  <c r="AE151" i="1"/>
  <c r="AH195" i="1"/>
  <c r="AM195" i="1"/>
  <c r="K152" i="1"/>
  <c r="M152" i="1"/>
  <c r="N152" i="1" s="1"/>
  <c r="Y152" i="1"/>
  <c r="Z152" i="1"/>
  <c r="AB152" i="1"/>
  <c r="AC152" i="1"/>
  <c r="AD152" i="1"/>
  <c r="X152" i="1" s="1"/>
  <c r="AE152" i="1"/>
  <c r="AM196" i="1"/>
  <c r="K153" i="1"/>
  <c r="M153" i="1"/>
  <c r="N153" i="1" s="1"/>
  <c r="Y153" i="1"/>
  <c r="Z153" i="1"/>
  <c r="AB153" i="1"/>
  <c r="AC153" i="1"/>
  <c r="AD153" i="1"/>
  <c r="T153" i="1" s="1"/>
  <c r="AE153" i="1"/>
  <c r="AM197" i="1"/>
  <c r="K154" i="1"/>
  <c r="M154" i="1"/>
  <c r="N154" i="1" s="1"/>
  <c r="Y154" i="1"/>
  <c r="Z154" i="1"/>
  <c r="AB154" i="1"/>
  <c r="AC154" i="1"/>
  <c r="AD154" i="1"/>
  <c r="T154" i="1" s="1"/>
  <c r="AE154" i="1"/>
  <c r="AM198" i="1"/>
  <c r="K155" i="1"/>
  <c r="M155" i="1"/>
  <c r="N155" i="1" s="1"/>
  <c r="Y155" i="1"/>
  <c r="Z155" i="1"/>
  <c r="AB155" i="1"/>
  <c r="AC155" i="1"/>
  <c r="AD155" i="1"/>
  <c r="T155" i="1" s="1"/>
  <c r="AE155" i="1"/>
  <c r="AM199" i="1"/>
  <c r="K156" i="1"/>
  <c r="M156" i="1"/>
  <c r="N156" i="1" s="1"/>
  <c r="Y156" i="1"/>
  <c r="Z156" i="1"/>
  <c r="AB156" i="1"/>
  <c r="AC156" i="1"/>
  <c r="AD156" i="1"/>
  <c r="AE156" i="1"/>
  <c r="R31" i="3" s="1"/>
  <c r="AM200" i="1"/>
  <c r="K159" i="1"/>
  <c r="M159" i="1"/>
  <c r="N159" i="1" s="1"/>
  <c r="Y159" i="1"/>
  <c r="Z159" i="1"/>
  <c r="AB159" i="1"/>
  <c r="AC159" i="1"/>
  <c r="AD159" i="1"/>
  <c r="T159" i="1" s="1"/>
  <c r="AE159" i="1"/>
  <c r="AM201" i="1"/>
  <c r="K161" i="1"/>
  <c r="M161" i="1"/>
  <c r="N161" i="1" s="1"/>
  <c r="Y161" i="1"/>
  <c r="Z161" i="1"/>
  <c r="AB161" i="1"/>
  <c r="AC161" i="1"/>
  <c r="AD161" i="1"/>
  <c r="AE161" i="1"/>
  <c r="AM202" i="1"/>
  <c r="K199" i="1"/>
  <c r="M199" i="1"/>
  <c r="N199" i="1" s="1"/>
  <c r="Y199" i="1"/>
  <c r="Z199" i="1"/>
  <c r="AB199" i="1"/>
  <c r="AC199" i="1"/>
  <c r="AD199" i="1"/>
  <c r="T199" i="1" s="1"/>
  <c r="AE199" i="1"/>
  <c r="AH203" i="1"/>
  <c r="AM203" i="1"/>
  <c r="K200" i="1"/>
  <c r="M200" i="1"/>
  <c r="N200" i="1" s="1"/>
  <c r="Y200" i="1"/>
  <c r="Z200" i="1"/>
  <c r="AB200" i="1"/>
  <c r="AC200" i="1"/>
  <c r="AD200" i="1"/>
  <c r="AE200" i="1"/>
  <c r="AM204" i="1"/>
  <c r="K201" i="1"/>
  <c r="M201" i="1"/>
  <c r="N201" i="1" s="1"/>
  <c r="Y201" i="1"/>
  <c r="Z201" i="1"/>
  <c r="AB201" i="1"/>
  <c r="AC201" i="1"/>
  <c r="AD201" i="1"/>
  <c r="T201" i="1" s="1"/>
  <c r="AE201" i="1"/>
  <c r="AM205" i="1"/>
  <c r="K202" i="1"/>
  <c r="M202" i="1"/>
  <c r="N202" i="1" s="1"/>
  <c r="T202" i="1"/>
  <c r="Y202" i="1"/>
  <c r="Z202" i="1"/>
  <c r="AB202" i="1"/>
  <c r="AC202" i="1"/>
  <c r="AD202" i="1"/>
  <c r="AE202" i="1"/>
  <c r="AM206" i="1"/>
  <c r="K203" i="1"/>
  <c r="M203" i="1"/>
  <c r="N203" i="1" s="1"/>
  <c r="X203" i="1"/>
  <c r="Y203" i="1"/>
  <c r="Z203" i="1"/>
  <c r="AB203" i="1"/>
  <c r="AC203" i="1"/>
  <c r="AD203" i="1"/>
  <c r="T203" i="1" s="1"/>
  <c r="AE203" i="1"/>
  <c r="AH207" i="1"/>
  <c r="AM207" i="1"/>
  <c r="K204" i="1"/>
  <c r="M204" i="1"/>
  <c r="N204" i="1" s="1"/>
  <c r="Y204" i="1"/>
  <c r="Z204" i="1"/>
  <c r="AB204" i="1"/>
  <c r="AC204" i="1"/>
  <c r="AD204" i="1"/>
  <c r="T204" i="1" s="1"/>
  <c r="AE204" i="1"/>
  <c r="AM208" i="1"/>
  <c r="K205" i="1"/>
  <c r="M205" i="1"/>
  <c r="N205" i="1" s="1"/>
  <c r="Y205" i="1"/>
  <c r="Z205" i="1"/>
  <c r="AB205" i="1"/>
  <c r="AC205" i="1"/>
  <c r="AD205" i="1"/>
  <c r="T205" i="1" s="1"/>
  <c r="AE205" i="1"/>
  <c r="AM209" i="1"/>
  <c r="K206" i="1"/>
  <c r="M206" i="1"/>
  <c r="N206" i="1" s="1"/>
  <c r="Y206" i="1"/>
  <c r="Z206" i="1"/>
  <c r="AB206" i="1"/>
  <c r="AC206" i="1"/>
  <c r="AD206" i="1"/>
  <c r="X206" i="1" s="1"/>
  <c r="AE206" i="1"/>
  <c r="AH210" i="1"/>
  <c r="AM210" i="1"/>
  <c r="K207" i="1"/>
  <c r="M207" i="1"/>
  <c r="N207" i="1" s="1"/>
  <c r="Y207" i="1"/>
  <c r="Z207" i="1"/>
  <c r="AB207" i="1"/>
  <c r="AC207" i="1"/>
  <c r="AD207" i="1"/>
  <c r="T207" i="1" s="1"/>
  <c r="AE207" i="1"/>
  <c r="AM211" i="1"/>
  <c r="K212" i="1"/>
  <c r="M212" i="1"/>
  <c r="N212" i="1" s="1"/>
  <c r="Y212" i="1"/>
  <c r="Z212" i="1"/>
  <c r="AB212" i="1"/>
  <c r="AC212" i="1"/>
  <c r="AD212" i="1"/>
  <c r="X212" i="1" s="1"/>
  <c r="AE212" i="1"/>
  <c r="AH212" i="1"/>
  <c r="AM212" i="1"/>
  <c r="K213" i="1"/>
  <c r="M213" i="1"/>
  <c r="N213" i="1" s="1"/>
  <c r="Y213" i="1"/>
  <c r="Z213" i="1"/>
  <c r="AB213" i="1"/>
  <c r="AC213" i="1"/>
  <c r="AD213" i="1"/>
  <c r="T213" i="1" s="1"/>
  <c r="AE213" i="1"/>
  <c r="AM213" i="1"/>
  <c r="K214" i="1"/>
  <c r="M214" i="1"/>
  <c r="N214" i="1" s="1"/>
  <c r="Y214" i="1"/>
  <c r="Z214" i="1"/>
  <c r="AB214" i="1"/>
  <c r="AC214" i="1"/>
  <c r="AD214" i="1"/>
  <c r="T214" i="1" s="1"/>
  <c r="AE214" i="1"/>
  <c r="AH214" i="1"/>
  <c r="AM214" i="1"/>
  <c r="K215" i="1"/>
  <c r="M215" i="1"/>
  <c r="N215" i="1" s="1"/>
  <c r="Y215" i="1"/>
  <c r="Z215" i="1"/>
  <c r="AB215" i="1"/>
  <c r="AC215" i="1"/>
  <c r="AD215" i="1"/>
  <c r="T215" i="1" s="1"/>
  <c r="AE215" i="1"/>
  <c r="AM215" i="1"/>
  <c r="K216" i="1"/>
  <c r="M216" i="1"/>
  <c r="N216" i="1" s="1"/>
  <c r="Y216" i="1"/>
  <c r="Z216" i="1"/>
  <c r="AB216" i="1"/>
  <c r="AC216" i="1"/>
  <c r="AD216" i="1"/>
  <c r="AE216" i="1"/>
  <c r="AH216" i="1"/>
  <c r="AM216" i="1"/>
  <c r="K217" i="1"/>
  <c r="M217" i="1"/>
  <c r="N217" i="1" s="1"/>
  <c r="Y217" i="1"/>
  <c r="Z217" i="1"/>
  <c r="AB217" i="1"/>
  <c r="AC217" i="1"/>
  <c r="AD217" i="1"/>
  <c r="T217" i="1" s="1"/>
  <c r="AE217" i="1"/>
  <c r="AM217" i="1"/>
  <c r="K218" i="1"/>
  <c r="M218" i="1"/>
  <c r="N218" i="1" s="1"/>
  <c r="Y218" i="1"/>
  <c r="Z218" i="1"/>
  <c r="AB218" i="1"/>
  <c r="AC218" i="1"/>
  <c r="AD218" i="1"/>
  <c r="AE218" i="1"/>
  <c r="AH218" i="1"/>
  <c r="AM218" i="1"/>
  <c r="K219" i="1"/>
  <c r="M219" i="1"/>
  <c r="N219" i="1" s="1"/>
  <c r="Y219" i="1"/>
  <c r="Z219" i="1"/>
  <c r="AB219" i="1"/>
  <c r="AC219" i="1"/>
  <c r="AD219" i="1"/>
  <c r="T219" i="1" s="1"/>
  <c r="AE219" i="1"/>
  <c r="AM219" i="1"/>
  <c r="K220" i="1"/>
  <c r="M220" i="1"/>
  <c r="N220" i="1" s="1"/>
  <c r="Y220" i="1"/>
  <c r="Z220" i="1"/>
  <c r="AB220" i="1"/>
  <c r="AC220" i="1"/>
  <c r="AD220" i="1"/>
  <c r="AE220" i="1"/>
  <c r="AM220" i="1"/>
  <c r="K221" i="1"/>
  <c r="M221" i="1"/>
  <c r="N221" i="1" s="1"/>
  <c r="Y221" i="1"/>
  <c r="Z221" i="1"/>
  <c r="AB221" i="1"/>
  <c r="AC221" i="1"/>
  <c r="AD221" i="1"/>
  <c r="T221" i="1" s="1"/>
  <c r="AE221" i="1"/>
  <c r="AH221" i="1"/>
  <c r="AM221" i="1"/>
  <c r="K222" i="1"/>
  <c r="M222" i="1"/>
  <c r="N222" i="1" s="1"/>
  <c r="Y222" i="1"/>
  <c r="Z222" i="1"/>
  <c r="AB222" i="1"/>
  <c r="AC222" i="1"/>
  <c r="AD222" i="1"/>
  <c r="T222" i="1" s="1"/>
  <c r="AE222" i="1"/>
  <c r="AH222" i="1"/>
  <c r="AM222" i="1"/>
  <c r="M41" i="3"/>
  <c r="U41" i="3"/>
  <c r="X41" i="3"/>
  <c r="M42" i="3"/>
  <c r="U42" i="3"/>
  <c r="X42" i="3"/>
  <c r="M43" i="3"/>
  <c r="U43" i="3"/>
  <c r="X43" i="3"/>
  <c r="M19" i="3"/>
  <c r="U19" i="3"/>
  <c r="X19" i="3"/>
  <c r="M20" i="3"/>
  <c r="U20" i="3"/>
  <c r="X20" i="3"/>
  <c r="M21" i="3"/>
  <c r="U21" i="3"/>
  <c r="X21" i="3"/>
  <c r="M22" i="3"/>
  <c r="U22" i="3"/>
  <c r="X22" i="3"/>
  <c r="M32" i="3"/>
  <c r="U32" i="3"/>
  <c r="X32" i="3"/>
  <c r="M14" i="3"/>
  <c r="U14" i="3"/>
  <c r="X14" i="3"/>
  <c r="M7" i="3"/>
  <c r="U7" i="3"/>
  <c r="X7" i="3"/>
  <c r="M23" i="3"/>
  <c r="U23" i="3"/>
  <c r="X23" i="3"/>
  <c r="M15" i="3"/>
  <c r="U15" i="3"/>
  <c r="X15" i="3"/>
  <c r="M12" i="3"/>
  <c r="U12" i="3"/>
  <c r="X12" i="3"/>
  <c r="M24" i="3"/>
  <c r="U24" i="3"/>
  <c r="X24" i="3"/>
  <c r="M8" i="3"/>
  <c r="U8" i="3"/>
  <c r="X8" i="3"/>
  <c r="M25" i="3"/>
  <c r="U25" i="3"/>
  <c r="X25" i="3"/>
  <c r="M9" i="3"/>
  <c r="U9" i="3"/>
  <c r="X9" i="3"/>
  <c r="M11" i="3"/>
  <c r="R11" i="3"/>
  <c r="U11" i="3"/>
  <c r="X11" i="3"/>
  <c r="M34" i="3"/>
  <c r="U34" i="3"/>
  <c r="X34" i="3"/>
  <c r="M28" i="3"/>
  <c r="U28" i="3"/>
  <c r="X28" i="3"/>
  <c r="M35" i="3"/>
  <c r="U35" i="3"/>
  <c r="X35" i="3"/>
  <c r="M16" i="3"/>
  <c r="U16" i="3"/>
  <c r="X16" i="3"/>
  <c r="M38" i="3"/>
  <c r="U38" i="3"/>
  <c r="X38" i="3"/>
  <c r="M26" i="3"/>
  <c r="U26" i="3"/>
  <c r="X26" i="3"/>
  <c r="M29" i="3"/>
  <c r="U29" i="3"/>
  <c r="X29" i="3"/>
  <c r="M36" i="3"/>
  <c r="U36" i="3"/>
  <c r="X36" i="3"/>
  <c r="M10" i="3"/>
  <c r="U10" i="3"/>
  <c r="X10" i="3"/>
  <c r="M18" i="3"/>
  <c r="U18" i="3"/>
  <c r="X18" i="3"/>
  <c r="M17" i="3"/>
  <c r="U17" i="3"/>
  <c r="X17" i="3"/>
  <c r="M27" i="3"/>
  <c r="U27" i="3"/>
  <c r="X27" i="3"/>
  <c r="M39" i="3"/>
  <c r="U39" i="3"/>
  <c r="X39" i="3"/>
  <c r="M13" i="3"/>
  <c r="U13" i="3"/>
  <c r="X13" i="3"/>
  <c r="M37" i="3"/>
  <c r="U37" i="3"/>
  <c r="X37" i="3"/>
  <c r="M30" i="3"/>
  <c r="U30" i="3"/>
  <c r="X30" i="3"/>
  <c r="M33" i="3"/>
  <c r="U33" i="3"/>
  <c r="X33" i="3"/>
  <c r="M31" i="3"/>
  <c r="U31" i="3"/>
  <c r="X31" i="3"/>
  <c r="M30" i="5"/>
  <c r="M29" i="5"/>
  <c r="M28" i="5"/>
  <c r="M27" i="5"/>
  <c r="M26" i="5"/>
  <c r="AH191" i="1" s="1"/>
  <c r="AG160" i="1"/>
  <c r="AG146" i="1"/>
  <c r="AG103" i="1"/>
  <c r="AG20" i="1"/>
  <c r="AG36" i="1"/>
  <c r="AG52" i="1"/>
  <c r="AG68" i="1"/>
  <c r="AG164" i="1"/>
  <c r="AG190" i="1"/>
  <c r="AG209" i="1"/>
  <c r="AG118" i="1"/>
  <c r="AG126" i="1"/>
  <c r="AG135" i="1"/>
  <c r="AG153" i="1"/>
  <c r="AG213" i="1"/>
  <c r="AG186" i="1"/>
  <c r="AG37" i="1"/>
  <c r="AG33" i="1"/>
  <c r="AG31" i="1"/>
  <c r="AG59" i="1"/>
  <c r="AG83" i="1"/>
  <c r="AG196" i="1"/>
  <c r="AG115" i="1"/>
  <c r="AG132" i="1"/>
  <c r="AG142" i="1"/>
  <c r="AG206" i="1"/>
  <c r="AG96" i="1"/>
  <c r="AG134" i="1"/>
  <c r="AG216" i="1"/>
  <c r="AG128" i="1"/>
  <c r="AG204" i="1"/>
  <c r="AG34" i="1"/>
  <c r="AG61" i="1"/>
  <c r="AG91" i="1"/>
  <c r="AG198" i="1"/>
  <c r="AG73" i="1"/>
  <c r="AG156" i="1"/>
  <c r="AG30" i="1"/>
  <c r="AG58" i="1"/>
  <c r="AG75" i="1"/>
  <c r="AG191" i="1"/>
  <c r="AG112" i="1"/>
  <c r="AG136" i="1"/>
  <c r="AG168" i="1"/>
  <c r="AG43" i="1"/>
  <c r="AG67" i="1"/>
  <c r="AG172" i="1"/>
  <c r="AG97" i="1"/>
  <c r="AG117" i="1"/>
  <c r="AG167" i="1"/>
  <c r="AG145" i="1"/>
  <c r="AG212" i="1"/>
  <c r="W24" i="3"/>
  <c r="W22" i="3"/>
  <c r="W13" i="3"/>
  <c r="W10" i="3"/>
  <c r="W38" i="3"/>
  <c r="W20" i="3"/>
  <c r="W27" i="3"/>
  <c r="W15" i="3"/>
  <c r="AG158" i="1"/>
  <c r="AG15" i="1"/>
  <c r="AG60" i="1"/>
  <c r="AG193" i="1"/>
  <c r="AG88" i="1"/>
  <c r="AG201" i="1"/>
  <c r="AG41" i="1"/>
  <c r="AG54" i="1"/>
  <c r="AG211" i="1"/>
  <c r="AG150" i="1"/>
  <c r="AG80" i="1"/>
  <c r="AG141" i="1"/>
  <c r="AG66" i="1"/>
  <c r="AG121" i="1"/>
  <c r="AG46" i="1"/>
  <c r="AG98" i="1"/>
  <c r="AG214" i="1"/>
  <c r="AG89" i="1"/>
  <c r="AG123" i="1"/>
  <c r="AG203" i="1"/>
  <c r="W28" i="3"/>
  <c r="W12" i="3"/>
  <c r="W34" i="3"/>
  <c r="AG157" i="1"/>
  <c r="AG114" i="1"/>
  <c r="AG24" i="1"/>
  <c r="AG44" i="1"/>
  <c r="AG64" i="1"/>
  <c r="AG171" i="1"/>
  <c r="AG197" i="1"/>
  <c r="AG113" i="1"/>
  <c r="AG162" i="1"/>
  <c r="AG143" i="1"/>
  <c r="AG205" i="1"/>
  <c r="AG21" i="1"/>
  <c r="AG45" i="1"/>
  <c r="AG23" i="1"/>
  <c r="AG65" i="1"/>
  <c r="AG187" i="1"/>
  <c r="AG108" i="1"/>
  <c r="AG173" i="1"/>
  <c r="AG155" i="1"/>
  <c r="AG175" i="1"/>
  <c r="AG129" i="1"/>
  <c r="AG195" i="1"/>
  <c r="AG154" i="1"/>
  <c r="AG42" i="1"/>
  <c r="AG71" i="1"/>
  <c r="AG188" i="1"/>
  <c r="AG181" i="1"/>
  <c r="AG222" i="1"/>
  <c r="AG53" i="1"/>
  <c r="AG166" i="1"/>
  <c r="AG210" i="1"/>
  <c r="AG170" i="1"/>
  <c r="AG19" i="1"/>
  <c r="AG57" i="1"/>
  <c r="AG93" i="1"/>
  <c r="AG208" i="1"/>
  <c r="AG84" i="1"/>
  <c r="AG140" i="1"/>
  <c r="AG218" i="1"/>
  <c r="W19" i="3"/>
  <c r="W9" i="3"/>
  <c r="W31" i="3"/>
  <c r="W8" i="3"/>
  <c r="W29" i="3"/>
  <c r="W14" i="3"/>
  <c r="W41" i="3"/>
  <c r="AG147" i="1"/>
  <c r="AG102" i="1"/>
  <c r="AG28" i="1"/>
  <c r="AG48" i="1"/>
  <c r="AG72" i="1"/>
  <c r="AG178" i="1"/>
  <c r="AG99" i="1"/>
  <c r="AG122" i="1"/>
  <c r="AG177" i="1"/>
  <c r="AG149" i="1"/>
  <c r="AG217" i="1"/>
  <c r="AG25" i="1"/>
  <c r="AG16" i="1"/>
  <c r="AG39" i="1"/>
  <c r="AG70" i="1"/>
  <c r="AG192" i="1"/>
  <c r="AG120" i="1"/>
  <c r="AG127" i="1"/>
  <c r="AG200" i="1"/>
  <c r="AG104" i="1"/>
  <c r="AG144" i="1"/>
  <c r="AG124" i="1"/>
  <c r="AG219" i="1"/>
  <c r="AG50" i="1"/>
  <c r="AG87" i="1"/>
  <c r="AG101" i="1"/>
  <c r="AG138" i="1"/>
  <c r="AG22" i="1"/>
  <c r="AG63" i="1"/>
  <c r="AG174" i="1"/>
  <c r="AG107" i="1"/>
  <c r="AG148" i="1"/>
  <c r="AG27" i="1"/>
  <c r="AG62" i="1"/>
  <c r="AG182" i="1"/>
  <c r="AG106" i="1"/>
  <c r="AG81" i="1"/>
  <c r="AG152" i="1"/>
  <c r="AG165" i="1"/>
  <c r="W33" i="3"/>
  <c r="W42" i="3"/>
  <c r="W21" i="3"/>
  <c r="W32" i="3"/>
  <c r="W39" i="3"/>
  <c r="W18" i="3"/>
  <c r="W30" i="3"/>
  <c r="AG163" i="1"/>
  <c r="AG131" i="1"/>
  <c r="AG18" i="1"/>
  <c r="AG32" i="1"/>
  <c r="AG56" i="1"/>
  <c r="AG85" i="1"/>
  <c r="AG185" i="1"/>
  <c r="AG105" i="1"/>
  <c r="AG76" i="1"/>
  <c r="AG92" i="1"/>
  <c r="AG159" i="1"/>
  <c r="AG221" i="1"/>
  <c r="AG29" i="1"/>
  <c r="AG49" i="1"/>
  <c r="AG47" i="1"/>
  <c r="AG82" i="1"/>
  <c r="AG100" i="1"/>
  <c r="AG125" i="1"/>
  <c r="AG137" i="1"/>
  <c r="AG215" i="1"/>
  <c r="AG116" i="1"/>
  <c r="AG202" i="1"/>
  <c r="AG77" i="1"/>
  <c r="AG17" i="1"/>
  <c r="AG55" i="1"/>
  <c r="AG169" i="1"/>
  <c r="AG110" i="1"/>
  <c r="AG151" i="1"/>
  <c r="AG38" i="1"/>
  <c r="AG69" i="1"/>
  <c r="AG183" i="1"/>
  <c r="AG119" i="1"/>
  <c r="AG199" i="1"/>
  <c r="AG35" i="1"/>
  <c r="AG74" i="1"/>
  <c r="AG189" i="1"/>
  <c r="AG111" i="1"/>
  <c r="AG184" i="1"/>
  <c r="AG161" i="1"/>
  <c r="AG95" i="1"/>
  <c r="W36" i="3"/>
  <c r="W25" i="3"/>
  <c r="W16" i="3"/>
  <c r="W26" i="3"/>
  <c r="W43" i="3"/>
  <c r="W11" i="3"/>
  <c r="W35" i="3"/>
  <c r="AG130" i="1"/>
  <c r="AG40" i="1"/>
  <c r="AG79" i="1"/>
  <c r="AG109" i="1"/>
  <c r="AG139" i="1"/>
  <c r="AG94" i="1"/>
  <c r="AG14" i="1"/>
  <c r="AG176" i="1"/>
  <c r="AG90" i="1"/>
  <c r="AG220" i="1"/>
  <c r="AG179" i="1"/>
  <c r="AG26" i="1"/>
  <c r="AG180" i="1"/>
  <c r="AG207" i="1"/>
  <c r="AG78" i="1"/>
  <c r="AG86" i="1"/>
  <c r="AG51" i="1"/>
  <c r="AG194" i="1"/>
  <c r="AG133" i="1"/>
  <c r="W17" i="3"/>
  <c r="W23" i="3"/>
  <c r="W7" i="3"/>
  <c r="W37" i="3"/>
  <c r="AH199" i="1" l="1"/>
  <c r="AH163" i="1"/>
  <c r="AH130" i="1"/>
  <c r="AH102" i="1"/>
  <c r="AH16" i="1"/>
  <c r="AH21" i="1"/>
  <c r="AH25" i="1"/>
  <c r="AH29" i="1"/>
  <c r="AH33" i="1"/>
  <c r="AH37" i="1"/>
  <c r="AH41" i="1"/>
  <c r="AH45" i="1"/>
  <c r="AH49" i="1"/>
  <c r="AH158" i="1"/>
  <c r="AH147" i="1"/>
  <c r="AH131" i="1"/>
  <c r="AH103" i="1"/>
  <c r="AH15" i="1"/>
  <c r="AH20" i="1"/>
  <c r="AH24" i="1"/>
  <c r="AH28" i="1"/>
  <c r="AH32" i="1"/>
  <c r="AH36" i="1"/>
  <c r="AH40" i="1"/>
  <c r="AH14" i="1"/>
  <c r="AH19" i="1"/>
  <c r="AH23" i="1"/>
  <c r="AH27" i="1"/>
  <c r="AH31" i="1"/>
  <c r="AH35" i="1"/>
  <c r="AH39" i="1"/>
  <c r="AH43" i="1"/>
  <c r="AH47" i="1"/>
  <c r="AH160" i="1"/>
  <c r="AH157" i="1"/>
  <c r="AH146" i="1"/>
  <c r="AH114" i="1"/>
  <c r="AH18" i="1"/>
  <c r="AH17" i="1"/>
  <c r="AH26" i="1"/>
  <c r="AH34" i="1"/>
  <c r="AH42" i="1"/>
  <c r="AH44" i="1"/>
  <c r="AH46" i="1"/>
  <c r="AH48" i="1"/>
  <c r="AH52" i="1"/>
  <c r="AH56" i="1"/>
  <c r="AH60" i="1"/>
  <c r="AH61" i="1"/>
  <c r="AH62" i="1"/>
  <c r="AH67" i="1"/>
  <c r="AH71" i="1"/>
  <c r="AH75" i="1"/>
  <c r="AH79" i="1"/>
  <c r="AH83" i="1"/>
  <c r="AH87" i="1"/>
  <c r="AH51" i="1"/>
  <c r="AH55" i="1"/>
  <c r="AH59" i="1"/>
  <c r="AH66" i="1"/>
  <c r="AH70" i="1"/>
  <c r="AH74" i="1"/>
  <c r="AH78" i="1"/>
  <c r="AH82" i="1"/>
  <c r="AH86" i="1"/>
  <c r="AH22" i="1"/>
  <c r="AH30" i="1"/>
  <c r="AH38" i="1"/>
  <c r="AH54" i="1"/>
  <c r="AH58" i="1"/>
  <c r="AH65" i="1"/>
  <c r="AH69" i="1"/>
  <c r="AH73" i="1"/>
  <c r="AH77" i="1"/>
  <c r="AH81" i="1"/>
  <c r="AH85" i="1"/>
  <c r="AH90" i="1"/>
  <c r="AH50" i="1"/>
  <c r="AH53" i="1"/>
  <c r="AH57" i="1"/>
  <c r="AH63" i="1"/>
  <c r="AH64" i="1"/>
  <c r="AH68" i="1"/>
  <c r="AH72" i="1"/>
  <c r="AH76" i="1"/>
  <c r="AH80" i="1"/>
  <c r="AH84" i="1"/>
  <c r="AH94" i="1"/>
  <c r="AH98" i="1"/>
  <c r="AH99" i="1"/>
  <c r="AH105" i="1"/>
  <c r="AH109" i="1"/>
  <c r="AH113" i="1"/>
  <c r="AH118" i="1"/>
  <c r="AH122" i="1"/>
  <c r="AH126" i="1"/>
  <c r="AH135" i="1"/>
  <c r="AH139" i="1"/>
  <c r="AH143" i="1"/>
  <c r="AH149" i="1"/>
  <c r="AH151" i="1"/>
  <c r="AH152" i="1"/>
  <c r="AH91" i="1"/>
  <c r="AH93" i="1"/>
  <c r="AH97" i="1"/>
  <c r="AH104" i="1"/>
  <c r="AH108" i="1"/>
  <c r="AH112" i="1"/>
  <c r="AH117" i="1"/>
  <c r="AH121" i="1"/>
  <c r="AH125" i="1"/>
  <c r="AH129" i="1"/>
  <c r="AH133" i="1"/>
  <c r="AH134" i="1"/>
  <c r="AH138" i="1"/>
  <c r="AH88" i="1"/>
  <c r="AH89" i="1"/>
  <c r="AH96" i="1"/>
  <c r="AH101" i="1"/>
  <c r="AH107" i="1"/>
  <c r="AH111" i="1"/>
  <c r="AH116" i="1"/>
  <c r="AH120" i="1"/>
  <c r="AH124" i="1"/>
  <c r="AH128" i="1"/>
  <c r="AH132" i="1"/>
  <c r="AH137" i="1"/>
  <c r="AH141" i="1"/>
  <c r="AH145" i="1"/>
  <c r="AH92" i="1"/>
  <c r="AH95" i="1"/>
  <c r="AH100" i="1"/>
  <c r="AH106" i="1"/>
  <c r="AH110" i="1"/>
  <c r="AH115" i="1"/>
  <c r="AH119" i="1"/>
  <c r="AH123" i="1"/>
  <c r="AH127" i="1"/>
  <c r="AH136" i="1"/>
  <c r="AH140" i="1"/>
  <c r="AH144" i="1"/>
  <c r="AH154" i="1"/>
  <c r="AH161" i="1"/>
  <c r="AH166" i="1"/>
  <c r="AH172" i="1"/>
  <c r="AH176" i="1"/>
  <c r="AH180" i="1"/>
  <c r="AH184" i="1"/>
  <c r="AH188" i="1"/>
  <c r="AH192" i="1"/>
  <c r="AH196" i="1"/>
  <c r="AH200" i="1"/>
  <c r="AH204" i="1"/>
  <c r="AH208" i="1"/>
  <c r="AH213" i="1"/>
  <c r="AH217" i="1"/>
  <c r="AH148" i="1"/>
  <c r="AH150" i="1"/>
  <c r="AH159" i="1"/>
  <c r="AH165" i="1"/>
  <c r="AH168" i="1"/>
  <c r="AH170" i="1"/>
  <c r="AH171" i="1"/>
  <c r="AH175" i="1"/>
  <c r="AH179" i="1"/>
  <c r="AH183" i="1"/>
  <c r="AH187" i="1"/>
  <c r="AH153" i="1"/>
  <c r="AH156" i="1"/>
  <c r="AH164" i="1"/>
  <c r="AH169" i="1"/>
  <c r="AH174" i="1"/>
  <c r="AH178" i="1"/>
  <c r="AH182" i="1"/>
  <c r="AH186" i="1"/>
  <c r="AH190" i="1"/>
  <c r="AH194" i="1"/>
  <c r="AH198" i="1"/>
  <c r="AH202" i="1"/>
  <c r="AH211" i="1"/>
  <c r="AH215" i="1"/>
  <c r="AH219" i="1"/>
  <c r="AH142" i="1"/>
  <c r="AH155" i="1"/>
  <c r="AH162" i="1"/>
  <c r="AH167" i="1"/>
  <c r="AH173" i="1"/>
  <c r="AH177" i="1"/>
  <c r="AH181" i="1"/>
  <c r="AH185" i="1"/>
  <c r="AH189" i="1"/>
  <c r="AH193" i="1"/>
  <c r="AH197" i="1"/>
  <c r="AH201" i="1"/>
  <c r="AH205" i="1"/>
  <c r="AH206" i="1"/>
  <c r="AH220" i="1"/>
  <c r="AH209" i="1"/>
  <c r="AA204" i="1"/>
  <c r="X145" i="1"/>
  <c r="X141" i="1"/>
  <c r="X137" i="1"/>
  <c r="X218" i="1"/>
  <c r="AA104" i="1"/>
  <c r="W104" i="1" s="1"/>
  <c r="AA196" i="1"/>
  <c r="AA191" i="1"/>
  <c r="AA187" i="1"/>
  <c r="AA87" i="1"/>
  <c r="AA49" i="1"/>
  <c r="AA51" i="1"/>
  <c r="AA47" i="1"/>
  <c r="AA43" i="1"/>
  <c r="AA35" i="1"/>
  <c r="X161" i="1"/>
  <c r="X143" i="1"/>
  <c r="X139" i="1"/>
  <c r="AA125" i="1"/>
  <c r="X66" i="1"/>
  <c r="AA59" i="1"/>
  <c r="AA58" i="1"/>
  <c r="W58" i="1" s="1"/>
  <c r="AA39" i="1"/>
  <c r="W39" i="1" s="1"/>
  <c r="AA206" i="1"/>
  <c r="X204" i="1"/>
  <c r="AA202" i="1"/>
  <c r="W202" i="1" s="1"/>
  <c r="X144" i="1"/>
  <c r="X140" i="1"/>
  <c r="X136" i="1"/>
  <c r="AA133" i="1"/>
  <c r="W133" i="1" s="1"/>
  <c r="AA127" i="1"/>
  <c r="W127" i="1" s="1"/>
  <c r="X115" i="1"/>
  <c r="AA111" i="1"/>
  <c r="AA110" i="1"/>
  <c r="W110" i="1" s="1"/>
  <c r="AA97" i="1"/>
  <c r="W97" i="1" s="1"/>
  <c r="AA198" i="1"/>
  <c r="AA193" i="1"/>
  <c r="AA165" i="1"/>
  <c r="W165" i="1" s="1"/>
  <c r="AA93" i="1"/>
  <c r="W93" i="1" s="1"/>
  <c r="AA62" i="1"/>
  <c r="AA117" i="1"/>
  <c r="AA112" i="1"/>
  <c r="AA208" i="1"/>
  <c r="W208" i="1" s="1"/>
  <c r="AA98" i="1"/>
  <c r="AA178" i="1"/>
  <c r="AA171" i="1"/>
  <c r="AA218" i="1"/>
  <c r="W218" i="1" s="1"/>
  <c r="X216" i="1"/>
  <c r="AA214" i="1"/>
  <c r="W214" i="1" s="1"/>
  <c r="AA161" i="1"/>
  <c r="X156" i="1"/>
  <c r="AA154" i="1"/>
  <c r="AA145" i="1"/>
  <c r="AA144" i="1"/>
  <c r="AA143" i="1"/>
  <c r="W143" i="1" s="1"/>
  <c r="T143" i="1"/>
  <c r="AA141" i="1"/>
  <c r="W141" i="1" s="1"/>
  <c r="AA140" i="1"/>
  <c r="AA139" i="1"/>
  <c r="W139" i="1" s="1"/>
  <c r="T139" i="1"/>
  <c r="AA137" i="1"/>
  <c r="AA136" i="1"/>
  <c r="W136" i="1" s="1"/>
  <c r="AA135" i="1"/>
  <c r="W135" i="1" s="1"/>
  <c r="AA129" i="1"/>
  <c r="AA190" i="1"/>
  <c r="W190" i="1" s="1"/>
  <c r="AA166" i="1"/>
  <c r="AA72" i="1"/>
  <c r="W72" i="1" s="1"/>
  <c r="AA71" i="1"/>
  <c r="T216" i="1"/>
  <c r="U216" i="1" s="1"/>
  <c r="S216" i="1" s="1"/>
  <c r="X215" i="1"/>
  <c r="T156" i="1"/>
  <c r="U156" i="1" s="1"/>
  <c r="S156" i="1" s="1"/>
  <c r="X155" i="1"/>
  <c r="X160" i="1"/>
  <c r="X220" i="1"/>
  <c r="AA216" i="1"/>
  <c r="X200" i="1"/>
  <c r="AA156" i="1"/>
  <c r="W156" i="1" s="1"/>
  <c r="X151" i="1"/>
  <c r="T145" i="1"/>
  <c r="T144" i="1"/>
  <c r="T141" i="1"/>
  <c r="T140" i="1"/>
  <c r="T137" i="1"/>
  <c r="T136" i="1"/>
  <c r="AA134" i="1"/>
  <c r="W134" i="1" s="1"/>
  <c r="AA128" i="1"/>
  <c r="AA113" i="1"/>
  <c r="AA99" i="1"/>
  <c r="AA185" i="1"/>
  <c r="W185" i="1" s="1"/>
  <c r="AA169" i="1"/>
  <c r="W169" i="1" s="1"/>
  <c r="AA168" i="1"/>
  <c r="W168" i="1" s="1"/>
  <c r="AA164" i="1"/>
  <c r="AA81" i="1"/>
  <c r="AA65" i="1"/>
  <c r="X64" i="1"/>
  <c r="X62" i="1"/>
  <c r="AA61" i="1"/>
  <c r="W61" i="1" s="1"/>
  <c r="AA60" i="1"/>
  <c r="W60" i="1" s="1"/>
  <c r="X59" i="1"/>
  <c r="AA55" i="1"/>
  <c r="AA31" i="1"/>
  <c r="W31" i="1" s="1"/>
  <c r="AA14" i="1"/>
  <c r="X19" i="1"/>
  <c r="X114" i="1"/>
  <c r="X148" i="1"/>
  <c r="X159" i="1"/>
  <c r="AI163" i="1"/>
  <c r="U163" i="1"/>
  <c r="S163" i="1" s="1"/>
  <c r="W163" i="1"/>
  <c r="X163" i="1"/>
  <c r="AI160" i="1"/>
  <c r="U160" i="1"/>
  <c r="S160" i="1" s="1"/>
  <c r="W160" i="1"/>
  <c r="R43" i="3"/>
  <c r="R42" i="3"/>
  <c r="R41" i="3"/>
  <c r="R39" i="3"/>
  <c r="R35" i="3"/>
  <c r="R33" i="3"/>
  <c r="R34" i="3"/>
  <c r="R32" i="3"/>
  <c r="W158" i="1"/>
  <c r="U158" i="1"/>
  <c r="S158" i="1" s="1"/>
  <c r="AI158" i="1"/>
  <c r="X158" i="1"/>
  <c r="R16" i="3"/>
  <c r="AI157" i="1"/>
  <c r="U157" i="1"/>
  <c r="S157" i="1" s="1"/>
  <c r="W157" i="1"/>
  <c r="X157" i="1"/>
  <c r="R21" i="3"/>
  <c r="W147" i="1"/>
  <c r="U147" i="1"/>
  <c r="S147" i="1" s="1"/>
  <c r="AI147" i="1"/>
  <c r="X147" i="1"/>
  <c r="AI146" i="1"/>
  <c r="U146" i="1"/>
  <c r="S146" i="1" s="1"/>
  <c r="W146" i="1"/>
  <c r="X146" i="1"/>
  <c r="U131" i="1"/>
  <c r="S131" i="1" s="1"/>
  <c r="AI131" i="1"/>
  <c r="W131" i="1"/>
  <c r="X131" i="1"/>
  <c r="R17" i="3"/>
  <c r="AI130" i="1"/>
  <c r="U130" i="1"/>
  <c r="S130" i="1" s="1"/>
  <c r="W130" i="1"/>
  <c r="X130" i="1"/>
  <c r="R12" i="3"/>
  <c r="U114" i="1"/>
  <c r="S114" i="1" s="1"/>
  <c r="AI114" i="1"/>
  <c r="W114" i="1"/>
  <c r="U103" i="1"/>
  <c r="S103" i="1" s="1"/>
  <c r="AI103" i="1"/>
  <c r="W103" i="1"/>
  <c r="X103" i="1"/>
  <c r="U102" i="1"/>
  <c r="S102" i="1" s="1"/>
  <c r="AI102" i="1"/>
  <c r="W102" i="1"/>
  <c r="X102" i="1"/>
  <c r="R24" i="3"/>
  <c r="U18" i="1"/>
  <c r="S18" i="1" s="1"/>
  <c r="AI18" i="1"/>
  <c r="W18" i="1"/>
  <c r="X18" i="1"/>
  <c r="AA48" i="1"/>
  <c r="W48" i="1" s="1"/>
  <c r="AA46" i="1"/>
  <c r="AA33" i="1"/>
  <c r="W33" i="1" s="1"/>
  <c r="AA29" i="1"/>
  <c r="AA25" i="1"/>
  <c r="AA21" i="1"/>
  <c r="AA16" i="1"/>
  <c r="W16" i="1" s="1"/>
  <c r="X213" i="1"/>
  <c r="X201" i="1"/>
  <c r="X153" i="1"/>
  <c r="X149" i="1"/>
  <c r="X142" i="1"/>
  <c r="X138" i="1"/>
  <c r="AA118" i="1"/>
  <c r="W118" i="1" s="1"/>
  <c r="AA116" i="1"/>
  <c r="W116" i="1" s="1"/>
  <c r="AA115" i="1"/>
  <c r="AA209" i="1"/>
  <c r="W209" i="1" s="1"/>
  <c r="AA101" i="1"/>
  <c r="AA100" i="1"/>
  <c r="W100" i="1" s="1"/>
  <c r="AA186" i="1"/>
  <c r="AA182" i="1"/>
  <c r="W182" i="1" s="1"/>
  <c r="AA76" i="1"/>
  <c r="W76" i="1" s="1"/>
  <c r="AA52" i="1"/>
  <c r="W52" i="1" s="1"/>
  <c r="AA50" i="1"/>
  <c r="AA36" i="1"/>
  <c r="W36" i="1" s="1"/>
  <c r="AA34" i="1"/>
  <c r="W34" i="1" s="1"/>
  <c r="AA30" i="1"/>
  <c r="AA26" i="1"/>
  <c r="AA22" i="1"/>
  <c r="W22" i="1" s="1"/>
  <c r="AA17" i="1"/>
  <c r="W17" i="1" s="1"/>
  <c r="T220" i="1"/>
  <c r="X219" i="1"/>
  <c r="T212" i="1"/>
  <c r="U212" i="1" s="1"/>
  <c r="S212" i="1" s="1"/>
  <c r="X207" i="1"/>
  <c r="T200" i="1"/>
  <c r="X199" i="1"/>
  <c r="T152" i="1"/>
  <c r="U152" i="1" s="1"/>
  <c r="S152" i="1" s="1"/>
  <c r="AA122" i="1"/>
  <c r="W122" i="1" s="1"/>
  <c r="AA120" i="1"/>
  <c r="W120" i="1" s="1"/>
  <c r="AA119" i="1"/>
  <c r="AA105" i="1"/>
  <c r="W105" i="1" s="1"/>
  <c r="AA211" i="1"/>
  <c r="AA210" i="1"/>
  <c r="W210" i="1" s="1"/>
  <c r="AA192" i="1"/>
  <c r="AA188" i="1"/>
  <c r="AA183" i="1"/>
  <c r="AA95" i="1"/>
  <c r="W95" i="1" s="1"/>
  <c r="AA180" i="1"/>
  <c r="AA179" i="1"/>
  <c r="AA174" i="1"/>
  <c r="W174" i="1" s="1"/>
  <c r="AA70" i="1"/>
  <c r="W70" i="1" s="1"/>
  <c r="AA69" i="1"/>
  <c r="AA68" i="1"/>
  <c r="W68" i="1" s="1"/>
  <c r="AA67" i="1"/>
  <c r="AA66" i="1"/>
  <c r="W66" i="1" s="1"/>
  <c r="X65" i="1"/>
  <c r="AA57" i="1"/>
  <c r="W57" i="1" s="1"/>
  <c r="AA56" i="1"/>
  <c r="AA54" i="1"/>
  <c r="AA53" i="1"/>
  <c r="AA40" i="1"/>
  <c r="W40" i="1" s="1"/>
  <c r="AA38" i="1"/>
  <c r="W38" i="1" s="1"/>
  <c r="AA37" i="1"/>
  <c r="W37" i="1" s="1"/>
  <c r="AA27" i="1"/>
  <c r="AA23" i="1"/>
  <c r="W23" i="1" s="1"/>
  <c r="AA19" i="1"/>
  <c r="W19" i="1" s="1"/>
  <c r="AA222" i="1"/>
  <c r="W222" i="1" s="1"/>
  <c r="AA220" i="1"/>
  <c r="T218" i="1"/>
  <c r="U218" i="1" s="1"/>
  <c r="S218" i="1" s="1"/>
  <c r="X217" i="1"/>
  <c r="X214" i="1"/>
  <c r="AA212" i="1"/>
  <c r="T206" i="1"/>
  <c r="U206" i="1" s="1"/>
  <c r="S206" i="1" s="1"/>
  <c r="X205" i="1"/>
  <c r="X202" i="1"/>
  <c r="AA200" i="1"/>
  <c r="T161" i="1"/>
  <c r="U161" i="1" s="1"/>
  <c r="S161" i="1" s="1"/>
  <c r="X154" i="1"/>
  <c r="AA152" i="1"/>
  <c r="AA149" i="1"/>
  <c r="AA142" i="1"/>
  <c r="W142" i="1" s="1"/>
  <c r="AA138" i="1"/>
  <c r="W138" i="1" s="1"/>
  <c r="AA132" i="1"/>
  <c r="W132" i="1" s="1"/>
  <c r="AA126" i="1"/>
  <c r="AA124" i="1"/>
  <c r="W124" i="1" s="1"/>
  <c r="AA123" i="1"/>
  <c r="AA109" i="1"/>
  <c r="W109" i="1" s="1"/>
  <c r="AA107" i="1"/>
  <c r="AA106" i="1"/>
  <c r="W106" i="1" s="1"/>
  <c r="AA197" i="1"/>
  <c r="W197" i="1" s="1"/>
  <c r="AA195" i="1"/>
  <c r="AA194" i="1"/>
  <c r="AA189" i="1"/>
  <c r="W189" i="1" s="1"/>
  <c r="AA176" i="1"/>
  <c r="W176" i="1" s="1"/>
  <c r="AA175" i="1"/>
  <c r="W175" i="1" s="1"/>
  <c r="AA172" i="1"/>
  <c r="AA94" i="1"/>
  <c r="AA83" i="1"/>
  <c r="W83" i="1" s="1"/>
  <c r="AA79" i="1"/>
  <c r="W79" i="1" s="1"/>
  <c r="AA78" i="1"/>
  <c r="AA74" i="1"/>
  <c r="W74" i="1" s="1"/>
  <c r="X60" i="1"/>
  <c r="AA44" i="1"/>
  <c r="W44" i="1" s="1"/>
  <c r="AA42" i="1"/>
  <c r="AA32" i="1"/>
  <c r="W32" i="1" s="1"/>
  <c r="AA28" i="1"/>
  <c r="AA24" i="1"/>
  <c r="W24" i="1" s="1"/>
  <c r="AA20" i="1"/>
  <c r="AA15" i="1"/>
  <c r="W15" i="1" s="1"/>
  <c r="X222" i="1"/>
  <c r="T150" i="1"/>
  <c r="U150" i="1" s="1"/>
  <c r="S150" i="1" s="1"/>
  <c r="X150" i="1"/>
  <c r="X221" i="1"/>
  <c r="AA221" i="1"/>
  <c r="AA219" i="1"/>
  <c r="W219" i="1" s="1"/>
  <c r="AA217" i="1"/>
  <c r="AA215" i="1"/>
  <c r="W215" i="1" s="1"/>
  <c r="AA213" i="1"/>
  <c r="AA207" i="1"/>
  <c r="W207" i="1" s="1"/>
  <c r="AA205" i="1"/>
  <c r="AA203" i="1"/>
  <c r="W203" i="1" s="1"/>
  <c r="AA201" i="1"/>
  <c r="W201" i="1" s="1"/>
  <c r="AA199" i="1"/>
  <c r="W199" i="1" s="1"/>
  <c r="AA159" i="1"/>
  <c r="AA155" i="1"/>
  <c r="AA153" i="1"/>
  <c r="W153" i="1" s="1"/>
  <c r="AA151" i="1"/>
  <c r="W151" i="1" s="1"/>
  <c r="AA148" i="1"/>
  <c r="X63" i="1"/>
  <c r="T63" i="1"/>
  <c r="X61" i="1"/>
  <c r="T61" i="1"/>
  <c r="AA150" i="1"/>
  <c r="W150" i="1" s="1"/>
  <c r="X72" i="1"/>
  <c r="T72" i="1"/>
  <c r="X70" i="1"/>
  <c r="T70" i="1"/>
  <c r="U70" i="1" s="1"/>
  <c r="S70" i="1" s="1"/>
  <c r="X68" i="1"/>
  <c r="T68" i="1"/>
  <c r="AA184" i="1"/>
  <c r="AA177" i="1"/>
  <c r="W177" i="1" s="1"/>
  <c r="AA170" i="1"/>
  <c r="AA162" i="1"/>
  <c r="AA92" i="1"/>
  <c r="AA85" i="1"/>
  <c r="W85" i="1" s="1"/>
  <c r="AA75" i="1"/>
  <c r="W75" i="1" s="1"/>
  <c r="T64" i="1"/>
  <c r="U64" i="1" s="1"/>
  <c r="S64" i="1" s="1"/>
  <c r="T62" i="1"/>
  <c r="X58" i="1"/>
  <c r="X71" i="1"/>
  <c r="X69" i="1"/>
  <c r="X67" i="1"/>
  <c r="X57" i="1"/>
  <c r="AA181" i="1"/>
  <c r="AA173" i="1"/>
  <c r="W173" i="1" s="1"/>
  <c r="AA167" i="1"/>
  <c r="AA89" i="1"/>
  <c r="W89" i="1" s="1"/>
  <c r="AA82" i="1"/>
  <c r="W82" i="1" s="1"/>
  <c r="AA77" i="1"/>
  <c r="W77" i="1" s="1"/>
  <c r="X73" i="1"/>
  <c r="AA73" i="1"/>
  <c r="W73" i="1" s="1"/>
  <c r="AA63" i="1"/>
  <c r="AI123" i="1"/>
  <c r="AI119" i="1"/>
  <c r="AI115" i="1"/>
  <c r="AI110" i="1"/>
  <c r="AI106" i="1"/>
  <c r="AI100" i="1"/>
  <c r="AI96" i="1"/>
  <c r="AI222" i="1"/>
  <c r="U222" i="1"/>
  <c r="S222" i="1" s="1"/>
  <c r="AI221" i="1"/>
  <c r="U221" i="1"/>
  <c r="S221" i="1" s="1"/>
  <c r="AI220" i="1"/>
  <c r="U220" i="1"/>
  <c r="S220" i="1" s="1"/>
  <c r="AI219" i="1"/>
  <c r="U219" i="1"/>
  <c r="S219" i="1" s="1"/>
  <c r="AI218" i="1"/>
  <c r="AI217" i="1"/>
  <c r="U217" i="1"/>
  <c r="S217" i="1" s="1"/>
  <c r="AI216" i="1"/>
  <c r="AI215" i="1"/>
  <c r="U215" i="1"/>
  <c r="S215" i="1" s="1"/>
  <c r="AI214" i="1"/>
  <c r="U214" i="1"/>
  <c r="S214" i="1" s="1"/>
  <c r="AI213" i="1"/>
  <c r="U213" i="1"/>
  <c r="S213" i="1" s="1"/>
  <c r="AI212" i="1"/>
  <c r="AI211" i="1"/>
  <c r="U207" i="1"/>
  <c r="S207" i="1" s="1"/>
  <c r="AI210" i="1"/>
  <c r="AI209" i="1"/>
  <c r="U205" i="1"/>
  <c r="S205" i="1" s="1"/>
  <c r="AI208" i="1"/>
  <c r="U204" i="1"/>
  <c r="S204" i="1" s="1"/>
  <c r="AI207" i="1"/>
  <c r="U203" i="1"/>
  <c r="S203" i="1" s="1"/>
  <c r="AI206" i="1"/>
  <c r="U202" i="1"/>
  <c r="S202" i="1" s="1"/>
  <c r="AI205" i="1"/>
  <c r="U201" i="1"/>
  <c r="S201" i="1" s="1"/>
  <c r="AI204" i="1"/>
  <c r="U200" i="1"/>
  <c r="S200" i="1" s="1"/>
  <c r="AI203" i="1"/>
  <c r="U199" i="1"/>
  <c r="S199" i="1" s="1"/>
  <c r="AI202" i="1"/>
  <c r="AI201" i="1"/>
  <c r="U159" i="1"/>
  <c r="S159" i="1" s="1"/>
  <c r="AI200" i="1"/>
  <c r="AI199" i="1"/>
  <c r="U155" i="1"/>
  <c r="S155" i="1" s="1"/>
  <c r="AI198" i="1"/>
  <c r="U154" i="1"/>
  <c r="S154" i="1" s="1"/>
  <c r="AI197" i="1"/>
  <c r="U153" i="1"/>
  <c r="S153" i="1" s="1"/>
  <c r="AI196" i="1"/>
  <c r="AI195" i="1"/>
  <c r="U151" i="1"/>
  <c r="S151" i="1" s="1"/>
  <c r="AI194" i="1"/>
  <c r="AI193" i="1"/>
  <c r="U149" i="1"/>
  <c r="S149" i="1" s="1"/>
  <c r="AI192" i="1"/>
  <c r="U148" i="1"/>
  <c r="S148" i="1" s="1"/>
  <c r="AI191" i="1"/>
  <c r="U145" i="1"/>
  <c r="S145" i="1" s="1"/>
  <c r="AI190" i="1"/>
  <c r="U144" i="1"/>
  <c r="S144" i="1" s="1"/>
  <c r="AI189" i="1"/>
  <c r="U143" i="1"/>
  <c r="S143" i="1" s="1"/>
  <c r="AI188" i="1"/>
  <c r="U142" i="1"/>
  <c r="S142" i="1" s="1"/>
  <c r="AI187" i="1"/>
  <c r="U141" i="1"/>
  <c r="S141" i="1" s="1"/>
  <c r="AI186" i="1"/>
  <c r="U140" i="1"/>
  <c r="S140" i="1" s="1"/>
  <c r="AI185" i="1"/>
  <c r="U139" i="1"/>
  <c r="S139" i="1" s="1"/>
  <c r="AI184" i="1"/>
  <c r="U138" i="1"/>
  <c r="S138" i="1" s="1"/>
  <c r="AI183" i="1"/>
  <c r="U137" i="1"/>
  <c r="S137" i="1" s="1"/>
  <c r="AI182" i="1"/>
  <c r="U136" i="1"/>
  <c r="S136" i="1" s="1"/>
  <c r="AI181" i="1"/>
  <c r="AI179" i="1"/>
  <c r="AI177" i="1"/>
  <c r="AI175" i="1"/>
  <c r="AI92" i="1"/>
  <c r="AI77" i="1"/>
  <c r="U77" i="1"/>
  <c r="S77" i="1" s="1"/>
  <c r="AI121" i="1"/>
  <c r="AI117" i="1"/>
  <c r="AI112" i="1"/>
  <c r="AI108" i="1"/>
  <c r="AI104" i="1"/>
  <c r="AI98" i="1"/>
  <c r="AI94" i="1"/>
  <c r="AI180" i="1"/>
  <c r="AI178" i="1"/>
  <c r="AI176" i="1"/>
  <c r="AI174" i="1"/>
  <c r="AI81" i="1"/>
  <c r="U81" i="1"/>
  <c r="S81" i="1" s="1"/>
  <c r="U73" i="1"/>
  <c r="S73" i="1" s="1"/>
  <c r="AI73" i="1"/>
  <c r="AI90" i="1"/>
  <c r="AI88" i="1"/>
  <c r="AI86" i="1"/>
  <c r="AI84" i="1"/>
  <c r="U84" i="1"/>
  <c r="S84" i="1" s="1"/>
  <c r="AI80" i="1"/>
  <c r="U80" i="1"/>
  <c r="S80" i="1" s="1"/>
  <c r="AI76" i="1"/>
  <c r="U76" i="1"/>
  <c r="S76" i="1" s="1"/>
  <c r="AI173" i="1"/>
  <c r="AI172" i="1"/>
  <c r="AI171" i="1"/>
  <c r="AI170" i="1"/>
  <c r="AI169" i="1"/>
  <c r="AI168" i="1"/>
  <c r="AI167" i="1"/>
  <c r="AI166" i="1"/>
  <c r="AI165" i="1"/>
  <c r="AI164" i="1"/>
  <c r="AI162" i="1"/>
  <c r="AI161" i="1"/>
  <c r="AI159" i="1"/>
  <c r="AI156" i="1"/>
  <c r="AI155" i="1"/>
  <c r="AI154" i="1"/>
  <c r="AI153" i="1"/>
  <c r="AI152" i="1"/>
  <c r="AI151" i="1"/>
  <c r="AI150" i="1"/>
  <c r="AI149" i="1"/>
  <c r="AI148" i="1"/>
  <c r="AI145" i="1"/>
  <c r="AI144" i="1"/>
  <c r="AI143" i="1"/>
  <c r="AI142" i="1"/>
  <c r="AI141" i="1"/>
  <c r="AI140" i="1"/>
  <c r="AI139" i="1"/>
  <c r="U198" i="1"/>
  <c r="S198" i="1" s="1"/>
  <c r="AI138" i="1"/>
  <c r="U197" i="1"/>
  <c r="S197" i="1" s="1"/>
  <c r="AI137" i="1"/>
  <c r="U196" i="1"/>
  <c r="S196" i="1" s="1"/>
  <c r="AI136" i="1"/>
  <c r="U195" i="1"/>
  <c r="S195" i="1" s="1"/>
  <c r="AI135" i="1"/>
  <c r="U194" i="1"/>
  <c r="S194" i="1" s="1"/>
  <c r="AI134" i="1"/>
  <c r="W194" i="1"/>
  <c r="U193" i="1"/>
  <c r="S193" i="1" s="1"/>
  <c r="AI133" i="1"/>
  <c r="W193" i="1"/>
  <c r="U96" i="1"/>
  <c r="S96" i="1" s="1"/>
  <c r="AI132" i="1"/>
  <c r="W96" i="1"/>
  <c r="U192" i="1"/>
  <c r="S192" i="1" s="1"/>
  <c r="AI129" i="1"/>
  <c r="W192" i="1"/>
  <c r="U191" i="1"/>
  <c r="S191" i="1" s="1"/>
  <c r="AI128" i="1"/>
  <c r="W191" i="1"/>
  <c r="U190" i="1"/>
  <c r="S190" i="1" s="1"/>
  <c r="AI127" i="1"/>
  <c r="U189" i="1"/>
  <c r="S189" i="1" s="1"/>
  <c r="AI126" i="1"/>
  <c r="U188" i="1"/>
  <c r="S188" i="1" s="1"/>
  <c r="AI125" i="1"/>
  <c r="W188" i="1"/>
  <c r="AI124" i="1"/>
  <c r="AI122" i="1"/>
  <c r="AI120" i="1"/>
  <c r="AI118" i="1"/>
  <c r="AI116" i="1"/>
  <c r="AI113" i="1"/>
  <c r="AI111" i="1"/>
  <c r="AI109" i="1"/>
  <c r="AI107" i="1"/>
  <c r="AI105" i="1"/>
  <c r="AI101" i="1"/>
  <c r="AI99" i="1"/>
  <c r="AI97" i="1"/>
  <c r="AI95" i="1"/>
  <c r="AI93" i="1"/>
  <c r="AI91" i="1"/>
  <c r="AI83" i="1"/>
  <c r="U83" i="1"/>
  <c r="S83" i="1" s="1"/>
  <c r="AI79" i="1"/>
  <c r="U79" i="1"/>
  <c r="S79" i="1" s="1"/>
  <c r="AI75" i="1"/>
  <c r="U75" i="1"/>
  <c r="S75" i="1" s="1"/>
  <c r="AI89" i="1"/>
  <c r="AI87" i="1"/>
  <c r="AI85" i="1"/>
  <c r="AI82" i="1"/>
  <c r="U82" i="1"/>
  <c r="S82" i="1" s="1"/>
  <c r="AI78" i="1"/>
  <c r="U78" i="1"/>
  <c r="S78" i="1" s="1"/>
  <c r="AI74" i="1"/>
  <c r="U74" i="1"/>
  <c r="S74" i="1" s="1"/>
  <c r="U72" i="1"/>
  <c r="S72" i="1" s="1"/>
  <c r="AI72" i="1"/>
  <c r="U71" i="1"/>
  <c r="S71" i="1" s="1"/>
  <c r="AI71" i="1"/>
  <c r="AI70" i="1"/>
  <c r="U69" i="1"/>
  <c r="S69" i="1" s="1"/>
  <c r="AI69" i="1"/>
  <c r="U68" i="1"/>
  <c r="S68" i="1" s="1"/>
  <c r="AI68" i="1"/>
  <c r="U67" i="1"/>
  <c r="S67" i="1" s="1"/>
  <c r="AI67" i="1"/>
  <c r="AI66" i="1"/>
  <c r="AI65" i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W59" i="1"/>
  <c r="U58" i="1"/>
  <c r="S58" i="1" s="1"/>
  <c r="AI58" i="1"/>
  <c r="U57" i="1"/>
  <c r="S57" i="1" s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6" i="1"/>
  <c r="W206" i="1"/>
  <c r="W221" i="1"/>
  <c r="W217" i="1"/>
  <c r="W213" i="1"/>
  <c r="W205" i="1"/>
  <c r="W159" i="1"/>
  <c r="W155" i="1"/>
  <c r="W149" i="1"/>
  <c r="W145" i="1"/>
  <c r="W137" i="1"/>
  <c r="W129" i="1"/>
  <c r="W128" i="1"/>
  <c r="W126" i="1"/>
  <c r="W125" i="1"/>
  <c r="W121" i="1"/>
  <c r="W117" i="1"/>
  <c r="W112" i="1"/>
  <c r="W108" i="1"/>
  <c r="W98" i="1"/>
  <c r="W196" i="1"/>
  <c r="W111" i="1"/>
  <c r="W107" i="1"/>
  <c r="W211" i="1"/>
  <c r="W101" i="1"/>
  <c r="W195" i="1"/>
  <c r="W220" i="1"/>
  <c r="W204" i="1"/>
  <c r="W200" i="1"/>
  <c r="W161" i="1"/>
  <c r="W154" i="1"/>
  <c r="W152" i="1"/>
  <c r="W148" i="1"/>
  <c r="W144" i="1"/>
  <c r="W140" i="1"/>
  <c r="W123" i="1"/>
  <c r="W119" i="1"/>
  <c r="W115" i="1"/>
  <c r="W198" i="1"/>
  <c r="W212" i="1"/>
  <c r="W113" i="1"/>
  <c r="W99" i="1"/>
  <c r="T133" i="1"/>
  <c r="U133" i="1" s="1"/>
  <c r="S133" i="1" s="1"/>
  <c r="X133" i="1"/>
  <c r="T127" i="1"/>
  <c r="U127" i="1" s="1"/>
  <c r="S127" i="1" s="1"/>
  <c r="X127" i="1"/>
  <c r="W92" i="1"/>
  <c r="W65" i="1"/>
  <c r="W64" i="1"/>
  <c r="W55" i="1"/>
  <c r="W51" i="1"/>
  <c r="W47" i="1"/>
  <c r="W43" i="1"/>
  <c r="T135" i="1"/>
  <c r="U135" i="1" s="1"/>
  <c r="S135" i="1" s="1"/>
  <c r="X135" i="1"/>
  <c r="T129" i="1"/>
  <c r="U129" i="1" s="1"/>
  <c r="S129" i="1" s="1"/>
  <c r="X129" i="1"/>
  <c r="W187" i="1"/>
  <c r="W184" i="1"/>
  <c r="W183" i="1"/>
  <c r="W181" i="1"/>
  <c r="W180" i="1"/>
  <c r="W172" i="1"/>
  <c r="W170" i="1"/>
  <c r="W167" i="1"/>
  <c r="W166" i="1"/>
  <c r="W162" i="1"/>
  <c r="W91" i="1"/>
  <c r="W67" i="1"/>
  <c r="T132" i="1"/>
  <c r="U132" i="1" s="1"/>
  <c r="S132" i="1" s="1"/>
  <c r="T134" i="1"/>
  <c r="U134" i="1" s="1"/>
  <c r="S134" i="1" s="1"/>
  <c r="X134" i="1"/>
  <c r="T128" i="1"/>
  <c r="U128" i="1" s="1"/>
  <c r="S128" i="1" s="1"/>
  <c r="X128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W186" i="1"/>
  <c r="W179" i="1"/>
  <c r="W178" i="1"/>
  <c r="W94" i="1"/>
  <c r="W171" i="1"/>
  <c r="W164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2" i="1"/>
  <c r="U182" i="1" s="1"/>
  <c r="S182" i="1" s="1"/>
  <c r="X182" i="1"/>
  <c r="T180" i="1"/>
  <c r="U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1" i="1"/>
  <c r="U171" i="1" s="1"/>
  <c r="S171" i="1" s="1"/>
  <c r="X171" i="1"/>
  <c r="T169" i="1"/>
  <c r="U169" i="1" s="1"/>
  <c r="S169" i="1" s="1"/>
  <c r="X169" i="1"/>
  <c r="T166" i="1"/>
  <c r="U166" i="1" s="1"/>
  <c r="S166" i="1" s="1"/>
  <c r="X166" i="1"/>
  <c r="T164" i="1"/>
  <c r="U164" i="1" s="1"/>
  <c r="S164" i="1" s="1"/>
  <c r="X164" i="1"/>
  <c r="T93" i="1"/>
  <c r="U93" i="1" s="1"/>
  <c r="S93" i="1" s="1"/>
  <c r="X93" i="1"/>
  <c r="T91" i="1"/>
  <c r="U91" i="1" s="1"/>
  <c r="S91" i="1" s="1"/>
  <c r="X91" i="1"/>
  <c r="W87" i="1"/>
  <c r="W63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W81" i="1"/>
  <c r="W78" i="1"/>
  <c r="W71" i="1"/>
  <c r="W62" i="1"/>
  <c r="X198" i="1"/>
  <c r="X197" i="1"/>
  <c r="X196" i="1"/>
  <c r="X195" i="1"/>
  <c r="X194" i="1"/>
  <c r="X193" i="1"/>
  <c r="X96" i="1"/>
  <c r="X192" i="1"/>
  <c r="X191" i="1"/>
  <c r="X190" i="1"/>
  <c r="X189" i="1"/>
  <c r="X188" i="1"/>
  <c r="T186" i="1"/>
  <c r="U186" i="1" s="1"/>
  <c r="S186" i="1" s="1"/>
  <c r="X186" i="1"/>
  <c r="T184" i="1"/>
  <c r="U184" i="1" s="1"/>
  <c r="S184" i="1" s="1"/>
  <c r="X184" i="1"/>
  <c r="T95" i="1"/>
  <c r="U95" i="1" s="1"/>
  <c r="S95" i="1" s="1"/>
  <c r="X95" i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94" i="1"/>
  <c r="U94" i="1" s="1"/>
  <c r="S94" i="1" s="1"/>
  <c r="X94" i="1"/>
  <c r="T170" i="1"/>
  <c r="U170" i="1" s="1"/>
  <c r="S170" i="1" s="1"/>
  <c r="X170" i="1"/>
  <c r="T168" i="1"/>
  <c r="U168" i="1" s="1"/>
  <c r="S168" i="1" s="1"/>
  <c r="T167" i="1"/>
  <c r="U167" i="1" s="1"/>
  <c r="S167" i="1" s="1"/>
  <c r="X167" i="1"/>
  <c r="T165" i="1"/>
  <c r="U165" i="1" s="1"/>
  <c r="S165" i="1" s="1"/>
  <c r="X165" i="1"/>
  <c r="T162" i="1"/>
  <c r="U162" i="1" s="1"/>
  <c r="S162" i="1" s="1"/>
  <c r="X162" i="1"/>
  <c r="T92" i="1"/>
  <c r="U92" i="1" s="1"/>
  <c r="S92" i="1" s="1"/>
  <c r="X92" i="1"/>
  <c r="AA90" i="1"/>
  <c r="W90" i="1" s="1"/>
  <c r="AA88" i="1"/>
  <c r="W88" i="1" s="1"/>
  <c r="AA86" i="1"/>
  <c r="W86" i="1" s="1"/>
  <c r="AA84" i="1"/>
  <c r="W84" i="1" s="1"/>
  <c r="AA80" i="1"/>
  <c r="W80" i="1" s="1"/>
  <c r="W69" i="1"/>
  <c r="X84" i="1"/>
  <c r="X83" i="1"/>
  <c r="X82" i="1"/>
  <c r="X81" i="1"/>
  <c r="X80" i="1"/>
  <c r="X79" i="1"/>
  <c r="X78" i="1"/>
  <c r="X77" i="1"/>
  <c r="X76" i="1"/>
  <c r="X75" i="1"/>
  <c r="X74" i="1"/>
  <c r="W54" i="1"/>
  <c r="W50" i="1"/>
  <c r="W46" i="1"/>
  <c r="W42" i="1"/>
  <c r="T66" i="1"/>
  <c r="U66" i="1" s="1"/>
  <c r="S66" i="1" s="1"/>
  <c r="W53" i="1"/>
  <c r="W49" i="1"/>
  <c r="W45" i="1"/>
  <c r="W41" i="1"/>
  <c r="T65" i="1"/>
  <c r="U65" i="1" s="1"/>
  <c r="S65" i="1" s="1"/>
  <c r="W56" i="1"/>
  <c r="W30" i="1"/>
  <c r="W29" i="1"/>
  <c r="W28" i="1"/>
  <c r="W27" i="1"/>
  <c r="W26" i="1"/>
  <c r="W25" i="1"/>
  <c r="W21" i="1"/>
  <c r="W20" i="1"/>
  <c r="W14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X44" i="1"/>
  <c r="T43" i="1"/>
  <c r="U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7" i="1"/>
  <c r="X16" i="1"/>
  <c r="X15" i="1"/>
  <c r="Y31" i="3"/>
  <c r="Y13" i="3"/>
  <c r="Y18" i="3"/>
  <c r="Y26" i="3"/>
  <c r="Y35" i="3"/>
  <c r="Y9" i="3"/>
  <c r="Y14" i="3"/>
  <c r="Y20" i="3"/>
  <c r="Y10" i="3"/>
  <c r="Y28" i="3"/>
  <c r="Y15" i="3"/>
  <c r="Y32" i="3"/>
  <c r="Y30" i="3"/>
  <c r="Y36" i="3"/>
  <c r="Y34" i="3"/>
  <c r="Y8" i="3"/>
  <c r="Y23" i="3"/>
  <c r="Y22" i="3"/>
  <c r="Y43" i="3"/>
  <c r="Y12" i="3"/>
  <c r="Y41" i="3"/>
  <c r="Y33" i="3"/>
  <c r="Y39" i="3"/>
  <c r="Y38" i="3"/>
  <c r="Y25" i="3"/>
  <c r="Y19" i="3"/>
  <c r="Y27" i="3"/>
  <c r="Y37" i="3"/>
  <c r="Y17" i="3"/>
  <c r="Y29" i="3"/>
  <c r="Y16" i="3"/>
  <c r="Y11" i="3"/>
  <c r="Y24" i="3"/>
  <c r="Y7" i="3"/>
  <c r="Y21" i="3"/>
  <c r="Y42" i="3"/>
  <c r="R40" i="3"/>
  <c r="M40" i="3"/>
  <c r="U40" i="3"/>
  <c r="X40" i="3"/>
  <c r="W40" i="3"/>
  <c r="S43" i="1" l="1"/>
  <c r="Y40" i="3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56" i="1" s="1"/>
  <c r="G225" i="4"/>
  <c r="L153" i="1" s="1"/>
  <c r="G226" i="4"/>
  <c r="L155" i="1" s="1"/>
  <c r="G227" i="4"/>
  <c r="L207" i="1" s="1"/>
  <c r="G228" i="4"/>
  <c r="L204" i="1" s="1"/>
  <c r="G229" i="4"/>
  <c r="L157" i="1" s="1"/>
  <c r="G230" i="4"/>
  <c r="G231" i="4"/>
  <c r="L205" i="1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31" i="3" l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63" i="1" l="1"/>
  <c r="V160" i="1"/>
  <c r="AO158" i="1"/>
  <c r="V157" i="1"/>
  <c r="AO147" i="1"/>
  <c r="V146" i="1"/>
  <c r="AO131" i="1"/>
  <c r="V114" i="1"/>
  <c r="AO103" i="1"/>
  <c r="V18" i="1"/>
  <c r="S19" i="3" s="1"/>
  <c r="AN14" i="1"/>
  <c r="AO15" i="1"/>
  <c r="V16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AN43" i="1"/>
  <c r="AO44" i="1"/>
  <c r="V45" i="1"/>
  <c r="AN47" i="1"/>
  <c r="AO48" i="1"/>
  <c r="V49" i="1"/>
  <c r="AN160" i="1"/>
  <c r="AN157" i="1"/>
  <c r="AN146" i="1"/>
  <c r="V130" i="1"/>
  <c r="AN114" i="1"/>
  <c r="V102" i="1"/>
  <c r="S16" i="3" s="1"/>
  <c r="AN18" i="1"/>
  <c r="AO14" i="1"/>
  <c r="V15" i="1"/>
  <c r="AN17" i="1"/>
  <c r="AO19" i="1"/>
  <c r="V20" i="1"/>
  <c r="AN22" i="1"/>
  <c r="AO23" i="1"/>
  <c r="V24" i="1"/>
  <c r="AN26" i="1"/>
  <c r="AO27" i="1"/>
  <c r="V28" i="1"/>
  <c r="AN30" i="1"/>
  <c r="AO31" i="1"/>
  <c r="V32" i="1"/>
  <c r="AN34" i="1"/>
  <c r="AO35" i="1"/>
  <c r="V36" i="1"/>
  <c r="AN38" i="1"/>
  <c r="AO39" i="1"/>
  <c r="V40" i="1"/>
  <c r="AN163" i="1"/>
  <c r="AO160" i="1"/>
  <c r="V158" i="1"/>
  <c r="AO157" i="1"/>
  <c r="V147" i="1"/>
  <c r="AO146" i="1"/>
  <c r="V131" i="1"/>
  <c r="AN130" i="1"/>
  <c r="AO114" i="1"/>
  <c r="V103" i="1"/>
  <c r="AN102" i="1"/>
  <c r="AO18" i="1"/>
  <c r="V14" i="1"/>
  <c r="AN16" i="1"/>
  <c r="AO17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2" i="1"/>
  <c r="V43" i="1"/>
  <c r="AN45" i="1"/>
  <c r="AO46" i="1"/>
  <c r="V47" i="1"/>
  <c r="AO163" i="1"/>
  <c r="AN158" i="1"/>
  <c r="AN147" i="1"/>
  <c r="AN131" i="1"/>
  <c r="AO130" i="1"/>
  <c r="AN103" i="1"/>
  <c r="AO102" i="1"/>
  <c r="AN15" i="1"/>
  <c r="AO16" i="1"/>
  <c r="V17" i="1"/>
  <c r="AO21" i="1"/>
  <c r="AO29" i="1"/>
  <c r="AO37" i="1"/>
  <c r="AO51" i="1"/>
  <c r="V52" i="1"/>
  <c r="AN54" i="1"/>
  <c r="AO55" i="1"/>
  <c r="V56" i="1"/>
  <c r="AN58" i="1"/>
  <c r="AO59" i="1"/>
  <c r="V60" i="1"/>
  <c r="V61" i="1"/>
  <c r="V62" i="1"/>
  <c r="AN65" i="1"/>
  <c r="AO66" i="1"/>
  <c r="V67" i="1"/>
  <c r="AN69" i="1"/>
  <c r="AO70" i="1"/>
  <c r="V71" i="1"/>
  <c r="AN73" i="1"/>
  <c r="AO74" i="1"/>
  <c r="V75" i="1"/>
  <c r="AN77" i="1"/>
  <c r="AO78" i="1"/>
  <c r="V79" i="1"/>
  <c r="AN81" i="1"/>
  <c r="AO82" i="1"/>
  <c r="V83" i="1"/>
  <c r="AN85" i="1"/>
  <c r="AO86" i="1"/>
  <c r="V87" i="1"/>
  <c r="S28" i="3" s="1"/>
  <c r="AN20" i="1"/>
  <c r="V26" i="1"/>
  <c r="AN28" i="1"/>
  <c r="V34" i="1"/>
  <c r="AN36" i="1"/>
  <c r="V42" i="1"/>
  <c r="AO43" i="1"/>
  <c r="V44" i="1"/>
  <c r="AO45" i="1"/>
  <c r="V46" i="1"/>
  <c r="S14" i="3" s="1"/>
  <c r="AO47" i="1"/>
  <c r="V48" i="1"/>
  <c r="AN50" i="1"/>
  <c r="V51" i="1"/>
  <c r="AN53" i="1"/>
  <c r="AO54" i="1"/>
  <c r="V55" i="1"/>
  <c r="AN57" i="1"/>
  <c r="AO58" i="1"/>
  <c r="V59" i="1"/>
  <c r="S23" i="3" s="1"/>
  <c r="AN63" i="1"/>
  <c r="AN64" i="1"/>
  <c r="AO65" i="1"/>
  <c r="V66" i="1"/>
  <c r="AN68" i="1"/>
  <c r="AO69" i="1"/>
  <c r="V70" i="1"/>
  <c r="AN72" i="1"/>
  <c r="AO73" i="1"/>
  <c r="V74" i="1"/>
  <c r="S8" i="3" s="1"/>
  <c r="AN76" i="1"/>
  <c r="AO77" i="1"/>
  <c r="V78" i="1"/>
  <c r="AN80" i="1"/>
  <c r="AO81" i="1"/>
  <c r="V82" i="1"/>
  <c r="AN84" i="1"/>
  <c r="AO85" i="1"/>
  <c r="V86" i="1"/>
  <c r="AN88" i="1"/>
  <c r="AO25" i="1"/>
  <c r="AO33" i="1"/>
  <c r="AO41" i="1"/>
  <c r="AN42" i="1"/>
  <c r="AN44" i="1"/>
  <c r="AN46" i="1"/>
  <c r="AN48" i="1"/>
  <c r="AN49" i="1"/>
  <c r="AO50" i="1"/>
  <c r="AN52" i="1"/>
  <c r="AO53" i="1"/>
  <c r="V54" i="1"/>
  <c r="AN56" i="1"/>
  <c r="AO57" i="1"/>
  <c r="V58" i="1"/>
  <c r="AN60" i="1"/>
  <c r="AN61" i="1"/>
  <c r="AN62" i="1"/>
  <c r="AO63" i="1"/>
  <c r="AO64" i="1"/>
  <c r="V65" i="1"/>
  <c r="AN67" i="1"/>
  <c r="AO68" i="1"/>
  <c r="V69" i="1"/>
  <c r="AN71" i="1"/>
  <c r="AO72" i="1"/>
  <c r="V73" i="1"/>
  <c r="S25" i="3" s="1"/>
  <c r="AN75" i="1"/>
  <c r="AO76" i="1"/>
  <c r="V77" i="1"/>
  <c r="AN79" i="1"/>
  <c r="AO80" i="1"/>
  <c r="V81" i="1"/>
  <c r="S11" i="3" s="1"/>
  <c r="AN83" i="1"/>
  <c r="AO84" i="1"/>
  <c r="V85" i="1"/>
  <c r="AN87" i="1"/>
  <c r="AO88" i="1"/>
  <c r="AO89" i="1"/>
  <c r="V90" i="1"/>
  <c r="AN92" i="1"/>
  <c r="V22" i="1"/>
  <c r="AN24" i="1"/>
  <c r="V30" i="1"/>
  <c r="S20" i="3" s="1"/>
  <c r="AN32" i="1"/>
  <c r="V38" i="1"/>
  <c r="AN40" i="1"/>
  <c r="AO49" i="1"/>
  <c r="V50" i="1"/>
  <c r="AN51" i="1"/>
  <c r="AO52" i="1"/>
  <c r="V53" i="1"/>
  <c r="AN55" i="1"/>
  <c r="AO56" i="1"/>
  <c r="V57" i="1"/>
  <c r="AN59" i="1"/>
  <c r="AO60" i="1"/>
  <c r="AO61" i="1"/>
  <c r="AO62" i="1"/>
  <c r="V63" i="1"/>
  <c r="V64" i="1"/>
  <c r="AN66" i="1"/>
  <c r="AO67" i="1"/>
  <c r="V68" i="1"/>
  <c r="S7" i="3" s="1"/>
  <c r="AN70" i="1"/>
  <c r="AO71" i="1"/>
  <c r="V72" i="1"/>
  <c r="AN74" i="1"/>
  <c r="AO75" i="1"/>
  <c r="V76" i="1"/>
  <c r="AN78" i="1"/>
  <c r="AO79" i="1"/>
  <c r="V80" i="1"/>
  <c r="AN82" i="1"/>
  <c r="AO83" i="1"/>
  <c r="V84" i="1"/>
  <c r="AO87" i="1"/>
  <c r="AN89" i="1"/>
  <c r="AN90" i="1"/>
  <c r="AO91" i="1"/>
  <c r="AO93" i="1"/>
  <c r="V162" i="1"/>
  <c r="AN96" i="1"/>
  <c r="AO97" i="1"/>
  <c r="V167" i="1"/>
  <c r="S32" i="3" s="1"/>
  <c r="AN101" i="1"/>
  <c r="AO104" i="1"/>
  <c r="V171" i="1"/>
  <c r="AN107" i="1"/>
  <c r="AO108" i="1"/>
  <c r="V174" i="1"/>
  <c r="AN111" i="1"/>
  <c r="AO112" i="1"/>
  <c r="V178" i="1"/>
  <c r="AN116" i="1"/>
  <c r="AO117" i="1"/>
  <c r="V182" i="1"/>
  <c r="S38" i="3" s="1"/>
  <c r="AN120" i="1"/>
  <c r="AO121" i="1"/>
  <c r="V185" i="1"/>
  <c r="AN124" i="1"/>
  <c r="AO125" i="1"/>
  <c r="V189" i="1"/>
  <c r="AN128" i="1"/>
  <c r="AO129" i="1"/>
  <c r="AN132" i="1"/>
  <c r="AO133" i="1"/>
  <c r="AO134" i="1"/>
  <c r="V195" i="1"/>
  <c r="S37" i="3" s="1"/>
  <c r="AN137" i="1"/>
  <c r="AO138" i="1"/>
  <c r="V97" i="1"/>
  <c r="AN141" i="1"/>
  <c r="AO142" i="1"/>
  <c r="V101" i="1"/>
  <c r="AN145" i="1"/>
  <c r="AO148" i="1"/>
  <c r="V211" i="1"/>
  <c r="V104" i="1"/>
  <c r="AO150" i="1"/>
  <c r="V105" i="1"/>
  <c r="S26" i="3" s="1"/>
  <c r="V106" i="1"/>
  <c r="AN86" i="1"/>
  <c r="AO90" i="1"/>
  <c r="V91" i="1"/>
  <c r="AO92" i="1"/>
  <c r="V93" i="1"/>
  <c r="AN95" i="1"/>
  <c r="AO96" i="1"/>
  <c r="V166" i="1"/>
  <c r="AN100" i="1"/>
  <c r="AO101" i="1"/>
  <c r="V170" i="1"/>
  <c r="AN106" i="1"/>
  <c r="AO107" i="1"/>
  <c r="V173" i="1"/>
  <c r="AN110" i="1"/>
  <c r="AO111" i="1"/>
  <c r="V177" i="1"/>
  <c r="AN115" i="1"/>
  <c r="AO116" i="1"/>
  <c r="V181" i="1"/>
  <c r="S35" i="3" s="1"/>
  <c r="AN119" i="1"/>
  <c r="AO120" i="1"/>
  <c r="V184" i="1"/>
  <c r="AN123" i="1"/>
  <c r="AO124" i="1"/>
  <c r="V188" i="1"/>
  <c r="AN127" i="1"/>
  <c r="AO128" i="1"/>
  <c r="V192" i="1"/>
  <c r="S39" i="3" s="1"/>
  <c r="V96" i="1"/>
  <c r="AO132" i="1"/>
  <c r="V193" i="1"/>
  <c r="V194" i="1"/>
  <c r="AN136" i="1"/>
  <c r="AO137" i="1"/>
  <c r="V198" i="1"/>
  <c r="S33" i="3" s="1"/>
  <c r="AN94" i="1"/>
  <c r="AO95" i="1"/>
  <c r="V165" i="1"/>
  <c r="AN98" i="1"/>
  <c r="AN99" i="1"/>
  <c r="AO100" i="1"/>
  <c r="V169" i="1"/>
  <c r="AN105" i="1"/>
  <c r="AO106" i="1"/>
  <c r="V172" i="1"/>
  <c r="AN109" i="1"/>
  <c r="AO110" i="1"/>
  <c r="V176" i="1"/>
  <c r="AN113" i="1"/>
  <c r="AO115" i="1"/>
  <c r="V180" i="1"/>
  <c r="AN118" i="1"/>
  <c r="AO119" i="1"/>
  <c r="V183" i="1"/>
  <c r="AN122" i="1"/>
  <c r="AO123" i="1"/>
  <c r="V187" i="1"/>
  <c r="S36" i="3" s="1"/>
  <c r="AN126" i="1"/>
  <c r="AO127" i="1"/>
  <c r="V191" i="1"/>
  <c r="AN135" i="1"/>
  <c r="AO136" i="1"/>
  <c r="V197" i="1"/>
  <c r="AN139" i="1"/>
  <c r="AO140" i="1"/>
  <c r="V99" i="1"/>
  <c r="AN143" i="1"/>
  <c r="AO144" i="1"/>
  <c r="V209" i="1"/>
  <c r="AN149" i="1"/>
  <c r="V88" i="1"/>
  <c r="S9" i="3" s="1"/>
  <c r="V89" i="1"/>
  <c r="AN91" i="1"/>
  <c r="V92" i="1"/>
  <c r="AN93" i="1"/>
  <c r="AO94" i="1"/>
  <c r="V164" i="1"/>
  <c r="AN97" i="1"/>
  <c r="AO98" i="1"/>
  <c r="AO99" i="1"/>
  <c r="V168" i="1"/>
  <c r="AN104" i="1"/>
  <c r="AO105" i="1"/>
  <c r="V94" i="1"/>
  <c r="AN108" i="1"/>
  <c r="AO109" i="1"/>
  <c r="V175" i="1"/>
  <c r="AN112" i="1"/>
  <c r="AO113" i="1"/>
  <c r="V179" i="1"/>
  <c r="S34" i="3" s="1"/>
  <c r="AN117" i="1"/>
  <c r="AO118" i="1"/>
  <c r="V95" i="1"/>
  <c r="AN121" i="1"/>
  <c r="AO122" i="1"/>
  <c r="V186" i="1"/>
  <c r="AN125" i="1"/>
  <c r="AO126" i="1"/>
  <c r="V190" i="1"/>
  <c r="AN129" i="1"/>
  <c r="AN133" i="1"/>
  <c r="AN134" i="1"/>
  <c r="AO135" i="1"/>
  <c r="V196" i="1"/>
  <c r="AN138" i="1"/>
  <c r="AO139" i="1"/>
  <c r="V98" i="1"/>
  <c r="AN142" i="1"/>
  <c r="AO143" i="1"/>
  <c r="V208" i="1"/>
  <c r="AN148" i="1"/>
  <c r="AO149" i="1"/>
  <c r="AN150" i="1"/>
  <c r="AO151" i="1"/>
  <c r="V100" i="1"/>
  <c r="AN144" i="1"/>
  <c r="AN151" i="1"/>
  <c r="AN153" i="1"/>
  <c r="V108" i="1"/>
  <c r="AN156" i="1"/>
  <c r="AO159" i="1"/>
  <c r="V112" i="1"/>
  <c r="AN164" i="1"/>
  <c r="AO165" i="1"/>
  <c r="V117" i="1"/>
  <c r="AO168" i="1"/>
  <c r="AN169" i="1"/>
  <c r="AO170" i="1"/>
  <c r="AO171" i="1"/>
  <c r="V124" i="1"/>
  <c r="AN174" i="1"/>
  <c r="AO175" i="1"/>
  <c r="V128" i="1"/>
  <c r="AN178" i="1"/>
  <c r="AO179" i="1"/>
  <c r="V134" i="1"/>
  <c r="AN182" i="1"/>
  <c r="AO183" i="1"/>
  <c r="V138" i="1"/>
  <c r="AN186" i="1"/>
  <c r="AO187" i="1"/>
  <c r="V142" i="1"/>
  <c r="AN190" i="1"/>
  <c r="AO191" i="1"/>
  <c r="V148" i="1"/>
  <c r="S30" i="3" s="1"/>
  <c r="AN194" i="1"/>
  <c r="AO195" i="1"/>
  <c r="V152" i="1"/>
  <c r="AN198" i="1"/>
  <c r="AO199" i="1"/>
  <c r="V156" i="1"/>
  <c r="S31" i="3" s="1"/>
  <c r="AN202" i="1"/>
  <c r="AO203" i="1"/>
  <c r="V200" i="1"/>
  <c r="S41" i="3" s="1"/>
  <c r="V204" i="1"/>
  <c r="AN211" i="1"/>
  <c r="AO212" i="1"/>
  <c r="V213" i="1"/>
  <c r="AN215" i="1"/>
  <c r="AO216" i="1"/>
  <c r="V217" i="1"/>
  <c r="AO141" i="1"/>
  <c r="AN152" i="1"/>
  <c r="AO153" i="1"/>
  <c r="AN155" i="1"/>
  <c r="AO156" i="1"/>
  <c r="V111" i="1"/>
  <c r="AN162" i="1"/>
  <c r="AO164" i="1"/>
  <c r="V116" i="1"/>
  <c r="AN167" i="1"/>
  <c r="V120" i="1"/>
  <c r="V121" i="1"/>
  <c r="AO169" i="1"/>
  <c r="V122" i="1"/>
  <c r="S29" i="3" s="1"/>
  <c r="V123" i="1"/>
  <c r="S10" i="3" s="1"/>
  <c r="AN173" i="1"/>
  <c r="AO174" i="1"/>
  <c r="V127" i="1"/>
  <c r="AN177" i="1"/>
  <c r="AO178" i="1"/>
  <c r="V133" i="1"/>
  <c r="AN181" i="1"/>
  <c r="AO182" i="1"/>
  <c r="V137" i="1"/>
  <c r="AN185" i="1"/>
  <c r="AO186" i="1"/>
  <c r="V141" i="1"/>
  <c r="S13" i="3" s="1"/>
  <c r="AN140" i="1"/>
  <c r="V210" i="1"/>
  <c r="AO152" i="1"/>
  <c r="V107" i="1"/>
  <c r="AN154" i="1"/>
  <c r="AO155" i="1"/>
  <c r="V110" i="1"/>
  <c r="AN161" i="1"/>
  <c r="AO162" i="1"/>
  <c r="V115" i="1"/>
  <c r="AN166" i="1"/>
  <c r="AO167" i="1"/>
  <c r="V119" i="1"/>
  <c r="AN172" i="1"/>
  <c r="AO173" i="1"/>
  <c r="V126" i="1"/>
  <c r="AN176" i="1"/>
  <c r="AO177" i="1"/>
  <c r="V132" i="1"/>
  <c r="AN180" i="1"/>
  <c r="AO181" i="1"/>
  <c r="V136" i="1"/>
  <c r="AN184" i="1"/>
  <c r="AO185" i="1"/>
  <c r="V140" i="1"/>
  <c r="AN188" i="1"/>
  <c r="AO189" i="1"/>
  <c r="V144" i="1"/>
  <c r="AN192" i="1"/>
  <c r="AO193" i="1"/>
  <c r="V150" i="1"/>
  <c r="AN196" i="1"/>
  <c r="AO197" i="1"/>
  <c r="V154" i="1"/>
  <c r="AN200" i="1"/>
  <c r="AO201" i="1"/>
  <c r="V161" i="1"/>
  <c r="AN204" i="1"/>
  <c r="AO205" i="1"/>
  <c r="AO206" i="1"/>
  <c r="V203" i="1"/>
  <c r="AO207" i="1"/>
  <c r="AN208" i="1"/>
  <c r="AO209" i="1"/>
  <c r="AO210" i="1"/>
  <c r="V207" i="1"/>
  <c r="AN213" i="1"/>
  <c r="AO214" i="1"/>
  <c r="V215" i="1"/>
  <c r="AN217" i="1"/>
  <c r="AO218" i="1"/>
  <c r="V219" i="1"/>
  <c r="AN221" i="1"/>
  <c r="AO222" i="1"/>
  <c r="V11" i="3"/>
  <c r="AE11" i="3" s="1"/>
  <c r="V34" i="3"/>
  <c r="AE34" i="3" s="1"/>
  <c r="V28" i="3"/>
  <c r="AE28" i="3" s="1"/>
  <c r="V35" i="3"/>
  <c r="AE35" i="3" s="1"/>
  <c r="V16" i="3"/>
  <c r="AE16" i="3" s="1"/>
  <c r="V38" i="3"/>
  <c r="AE38" i="3" s="1"/>
  <c r="V26" i="3"/>
  <c r="AE26" i="3" s="1"/>
  <c r="V29" i="3"/>
  <c r="AE29" i="3" s="1"/>
  <c r="V36" i="3"/>
  <c r="AE36" i="3" s="1"/>
  <c r="V10" i="3"/>
  <c r="AE10" i="3" s="1"/>
  <c r="V18" i="3"/>
  <c r="AE18" i="3" s="1"/>
  <c r="V17" i="3"/>
  <c r="AE17" i="3" s="1"/>
  <c r="V27" i="3"/>
  <c r="AE27" i="3" s="1"/>
  <c r="V39" i="3"/>
  <c r="AE39" i="3" s="1"/>
  <c r="V13" i="3"/>
  <c r="AE13" i="3" s="1"/>
  <c r="V37" i="3"/>
  <c r="AE37" i="3" s="1"/>
  <c r="V30" i="3"/>
  <c r="AE30" i="3" s="1"/>
  <c r="V33" i="3"/>
  <c r="AE33" i="3" s="1"/>
  <c r="V31" i="3"/>
  <c r="AE31" i="3" s="1"/>
  <c r="AO145" i="1"/>
  <c r="AO154" i="1"/>
  <c r="V109" i="1"/>
  <c r="AN159" i="1"/>
  <c r="AO161" i="1"/>
  <c r="V113" i="1"/>
  <c r="AN165" i="1"/>
  <c r="AO166" i="1"/>
  <c r="V118" i="1"/>
  <c r="AN168" i="1"/>
  <c r="AN170" i="1"/>
  <c r="AN171" i="1"/>
  <c r="AO172" i="1"/>
  <c r="V125" i="1"/>
  <c r="AN175" i="1"/>
  <c r="AO176" i="1"/>
  <c r="V129" i="1"/>
  <c r="S27" i="3" s="1"/>
  <c r="AN179" i="1"/>
  <c r="AO180" i="1"/>
  <c r="V135" i="1"/>
  <c r="AN183" i="1"/>
  <c r="AO184" i="1"/>
  <c r="V139" i="1"/>
  <c r="AN187" i="1"/>
  <c r="AO188" i="1"/>
  <c r="V143" i="1"/>
  <c r="AN191" i="1"/>
  <c r="AO192" i="1"/>
  <c r="V149" i="1"/>
  <c r="AN195" i="1"/>
  <c r="AO196" i="1"/>
  <c r="V153" i="1"/>
  <c r="AN199" i="1"/>
  <c r="AO200" i="1"/>
  <c r="V159" i="1"/>
  <c r="AN203" i="1"/>
  <c r="AO204" i="1"/>
  <c r="V201" i="1"/>
  <c r="V202" i="1"/>
  <c r="S42" i="3" s="1"/>
  <c r="V145" i="1"/>
  <c r="AN193" i="1"/>
  <c r="V155" i="1"/>
  <c r="AN201" i="1"/>
  <c r="AN220" i="1"/>
  <c r="V221" i="1"/>
  <c r="AO190" i="1"/>
  <c r="AO198" i="1"/>
  <c r="AN206" i="1"/>
  <c r="AN207" i="1"/>
  <c r="AO208" i="1"/>
  <c r="V205" i="1"/>
  <c r="V206" i="1"/>
  <c r="S43" i="3" s="1"/>
  <c r="AO211" i="1"/>
  <c r="V212" i="1"/>
  <c r="AO213" i="1"/>
  <c r="V214" i="1"/>
  <c r="AO215" i="1"/>
  <c r="V216" i="1"/>
  <c r="AO217" i="1"/>
  <c r="V218" i="1"/>
  <c r="AN219" i="1"/>
  <c r="AO220" i="1"/>
  <c r="AN189" i="1"/>
  <c r="V151" i="1"/>
  <c r="AN197" i="1"/>
  <c r="V199" i="1"/>
  <c r="AN205" i="1"/>
  <c r="AN209" i="1"/>
  <c r="AN210" i="1"/>
  <c r="AN212" i="1"/>
  <c r="AN214" i="1"/>
  <c r="AN216" i="1"/>
  <c r="AN218" i="1"/>
  <c r="AO219" i="1"/>
  <c r="V220" i="1"/>
  <c r="AO221" i="1"/>
  <c r="V222" i="1"/>
  <c r="V41" i="3"/>
  <c r="AE41" i="3" s="1"/>
  <c r="V42" i="3"/>
  <c r="AE42" i="3" s="1"/>
  <c r="V43" i="3"/>
  <c r="AE43" i="3" s="1"/>
  <c r="V19" i="3"/>
  <c r="AE19" i="3" s="1"/>
  <c r="V20" i="3"/>
  <c r="AE20" i="3" s="1"/>
  <c r="V21" i="3"/>
  <c r="AE21" i="3" s="1"/>
  <c r="V22" i="3"/>
  <c r="AE22" i="3" s="1"/>
  <c r="V32" i="3"/>
  <c r="AE32" i="3" s="1"/>
  <c r="V14" i="3"/>
  <c r="AE14" i="3" s="1"/>
  <c r="V7" i="3"/>
  <c r="V23" i="3"/>
  <c r="AE23" i="3" s="1"/>
  <c r="V15" i="3"/>
  <c r="AE15" i="3" s="1"/>
  <c r="V12" i="3"/>
  <c r="AE12" i="3" s="1"/>
  <c r="V24" i="3"/>
  <c r="AE24" i="3" s="1"/>
  <c r="V8" i="3"/>
  <c r="AE8" i="3" s="1"/>
  <c r="V25" i="3"/>
  <c r="AE25" i="3" s="1"/>
  <c r="V9" i="3"/>
  <c r="AE9" i="3" s="1"/>
  <c r="AN222" i="1"/>
  <c r="AO194" i="1"/>
  <c r="AO202" i="1"/>
  <c r="AD42" i="3"/>
  <c r="AC30" i="3"/>
  <c r="AD11" i="3"/>
  <c r="AC34" i="3"/>
  <c r="AC23" i="3"/>
  <c r="AD20" i="3"/>
  <c r="AD34" i="3"/>
  <c r="AC12" i="3"/>
  <c r="AD27" i="3"/>
  <c r="AD35" i="3"/>
  <c r="AD23" i="3"/>
  <c r="AC39" i="3"/>
  <c r="AC11" i="3"/>
  <c r="AD31" i="3"/>
  <c r="AC27" i="3"/>
  <c r="AC41" i="3"/>
  <c r="AD12" i="3"/>
  <c r="AC32" i="3"/>
  <c r="AD26" i="3"/>
  <c r="AC26" i="3"/>
  <c r="AC14" i="3"/>
  <c r="AD36" i="3"/>
  <c r="AC25" i="3"/>
  <c r="AD30" i="3"/>
  <c r="AC9" i="3"/>
  <c r="AD8" i="3"/>
  <c r="AC29" i="3"/>
  <c r="AC7" i="3"/>
  <c r="AD17" i="3"/>
  <c r="AD21" i="3"/>
  <c r="AD28" i="3"/>
  <c r="AC10" i="3"/>
  <c r="AD33" i="3"/>
  <c r="AD29" i="3"/>
  <c r="AD41" i="3"/>
  <c r="AC22" i="3"/>
  <c r="AC37" i="3"/>
  <c r="AC36" i="3"/>
  <c r="AC8" i="3"/>
  <c r="AC21" i="3"/>
  <c r="AD22" i="3"/>
  <c r="AC33" i="3"/>
  <c r="AC24" i="3"/>
  <c r="AC28" i="3"/>
  <c r="AD43" i="3"/>
  <c r="AC18" i="3"/>
  <c r="AD18" i="3"/>
  <c r="AD19" i="3"/>
  <c r="AD13" i="3"/>
  <c r="AC19" i="3"/>
  <c r="AC31" i="3"/>
  <c r="AC35" i="3"/>
  <c r="AC20" i="3"/>
  <c r="AD10" i="3"/>
  <c r="AD37" i="3"/>
  <c r="AD9" i="3"/>
  <c r="AC42" i="3"/>
  <c r="AC17" i="3"/>
  <c r="AC16" i="3"/>
  <c r="AD38" i="3"/>
  <c r="AC43" i="3"/>
  <c r="AD39" i="3"/>
  <c r="AC38" i="3"/>
  <c r="AD24" i="3"/>
  <c r="AC13" i="3"/>
  <c r="AD32" i="3"/>
  <c r="AC15" i="3"/>
  <c r="AD25" i="3"/>
  <c r="AD14" i="3"/>
  <c r="AD16" i="3"/>
  <c r="AD15" i="3"/>
  <c r="AD40" i="3"/>
  <c r="S40" i="3"/>
  <c r="V40" i="3"/>
  <c r="AE40" i="3" s="1"/>
  <c r="AC40" i="3"/>
  <c r="V13" i="1"/>
  <c r="AO13" i="1"/>
  <c r="AN13" i="1"/>
  <c r="AD7" i="3"/>
  <c r="S18" i="3" l="1"/>
  <c r="S17" i="3"/>
  <c r="S15" i="3"/>
  <c r="S12" i="3"/>
  <c r="S24" i="3"/>
  <c r="S21" i="3"/>
  <c r="S22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L200" i="1" s="1"/>
  <c r="G13" i="4"/>
  <c r="L216" i="1" s="1"/>
  <c r="G14" i="4"/>
  <c r="L15" i="1" s="1"/>
  <c r="G15" i="4"/>
  <c r="L202" i="1" s="1"/>
  <c r="G16" i="4"/>
  <c r="L14" i="1" s="1"/>
  <c r="G17" i="4"/>
  <c r="L17" i="1" s="1"/>
  <c r="G18" i="4"/>
  <c r="L203" i="1" s="1"/>
  <c r="G19" i="4"/>
  <c r="L210" i="1" s="1"/>
  <c r="G20" i="4"/>
  <c r="L19" i="1" s="1"/>
  <c r="G21" i="4"/>
  <c r="L16" i="1" s="1"/>
  <c r="G22" i="4"/>
  <c r="L21" i="1" s="1"/>
  <c r="G23" i="4"/>
  <c r="L211" i="1" s="1"/>
  <c r="G24" i="4"/>
  <c r="L23" i="1" s="1"/>
  <c r="G25" i="4"/>
  <c r="L18" i="1" s="1"/>
  <c r="G26" i="4"/>
  <c r="L25" i="1" s="1"/>
  <c r="G27" i="4"/>
  <c r="L20" i="1" s="1"/>
  <c r="G28" i="4"/>
  <c r="L208" i="1" s="1"/>
  <c r="G29" i="4"/>
  <c r="L22" i="1" s="1"/>
  <c r="G30" i="4"/>
  <c r="L206" i="1" s="1"/>
  <c r="G31" i="4"/>
  <c r="L27" i="1" s="1"/>
  <c r="G32" i="4"/>
  <c r="L162" i="1" s="1"/>
  <c r="G33" i="4"/>
  <c r="L29" i="1" s="1"/>
  <c r="G34" i="4"/>
  <c r="L24" i="1" s="1"/>
  <c r="G35" i="4"/>
  <c r="L31" i="1" s="1"/>
  <c r="G36" i="4"/>
  <c r="L26" i="1" s="1"/>
  <c r="G37" i="4"/>
  <c r="L33" i="1" s="1"/>
  <c r="G38" i="4"/>
  <c r="L28" i="1" s="1"/>
  <c r="G39" i="4"/>
  <c r="L35" i="1" s="1"/>
  <c r="G40" i="4"/>
  <c r="L164" i="1" s="1"/>
  <c r="G41" i="4"/>
  <c r="L37" i="1" s="1"/>
  <c r="G42" i="4"/>
  <c r="L30" i="1" s="1"/>
  <c r="G43" i="4"/>
  <c r="L32" i="1" s="1"/>
  <c r="G44" i="4"/>
  <c r="L34" i="1" s="1"/>
  <c r="G45" i="4"/>
  <c r="L39" i="1" s="1"/>
  <c r="G46" i="4"/>
  <c r="L165" i="1" s="1"/>
  <c r="G47" i="4"/>
  <c r="L36" i="1" s="1"/>
  <c r="G48" i="4"/>
  <c r="L41" i="1" s="1"/>
  <c r="G49" i="4"/>
  <c r="G50" i="4"/>
  <c r="L38" i="1" s="1"/>
  <c r="G51" i="4"/>
  <c r="L166" i="1" s="1"/>
  <c r="G52" i="4"/>
  <c r="L46" i="1" s="1"/>
  <c r="G53" i="4"/>
  <c r="G54" i="4"/>
  <c r="L40" i="1" s="1"/>
  <c r="G55" i="4"/>
  <c r="L48" i="1" s="1"/>
  <c r="G56" i="4"/>
  <c r="L42" i="1" s="1"/>
  <c r="G57" i="4"/>
  <c r="L167" i="1" s="1"/>
  <c r="G58" i="4"/>
  <c r="L50" i="1" s="1"/>
  <c r="G59" i="4"/>
  <c r="G60" i="4"/>
  <c r="L45" i="1" s="1"/>
  <c r="G61" i="4"/>
  <c r="L52" i="1" s="1"/>
  <c r="G62" i="4"/>
  <c r="L47" i="1" s="1"/>
  <c r="G63" i="4"/>
  <c r="L168" i="1" s="1"/>
  <c r="G64" i="4"/>
  <c r="L54" i="1" s="1"/>
  <c r="G65" i="4"/>
  <c r="L49" i="1" s="1"/>
  <c r="G66" i="4"/>
  <c r="L51" i="1" s="1"/>
  <c r="G67" i="4"/>
  <c r="L56" i="1" s="1"/>
  <c r="G68" i="4"/>
  <c r="L169" i="1" s="1"/>
  <c r="G69" i="4"/>
  <c r="L58" i="1" s="1"/>
  <c r="G70" i="4"/>
  <c r="L53" i="1" s="1"/>
  <c r="G71" i="4"/>
  <c r="L60" i="1" s="1"/>
  <c r="G72" i="4"/>
  <c r="L55" i="1" s="1"/>
  <c r="G73" i="4"/>
  <c r="L62" i="1" s="1"/>
  <c r="G74" i="4"/>
  <c r="L170" i="1" s="1"/>
  <c r="G75" i="4"/>
  <c r="L57" i="1" s="1"/>
  <c r="G76" i="4"/>
  <c r="L64" i="1" s="1"/>
  <c r="G77" i="4"/>
  <c r="L59" i="1" s="1"/>
  <c r="G78" i="4"/>
  <c r="L171" i="1" s="1"/>
  <c r="G79" i="4"/>
  <c r="L66" i="1" s="1"/>
  <c r="G80" i="4"/>
  <c r="L61" i="1" s="1"/>
  <c r="G81" i="4"/>
  <c r="L63" i="1" s="1"/>
  <c r="G82" i="4"/>
  <c r="L68" i="1" s="1"/>
  <c r="G83" i="4"/>
  <c r="L70" i="1" s="1"/>
  <c r="G84" i="4"/>
  <c r="L65" i="1" s="1"/>
  <c r="G85" i="4"/>
  <c r="L172" i="1" s="1"/>
  <c r="G86" i="4"/>
  <c r="L72" i="1" s="1"/>
  <c r="G87" i="4"/>
  <c r="L173" i="1" s="1"/>
  <c r="G88" i="4"/>
  <c r="L67" i="1" s="1"/>
  <c r="G89" i="4"/>
  <c r="L74" i="1" s="1"/>
  <c r="G90" i="4"/>
  <c r="L69" i="1" s="1"/>
  <c r="G91" i="4"/>
  <c r="L76" i="1" s="1"/>
  <c r="G92" i="4"/>
  <c r="L71" i="1" s="1"/>
  <c r="G93" i="4"/>
  <c r="L78" i="1" s="1"/>
  <c r="G94" i="4"/>
  <c r="G95" i="4"/>
  <c r="L174" i="1" s="1"/>
  <c r="G96" i="4"/>
  <c r="G97" i="4"/>
  <c r="L80" i="1" s="1"/>
  <c r="G98" i="4"/>
  <c r="L175" i="1" s="1"/>
  <c r="G99" i="4"/>
  <c r="L77" i="1" s="1"/>
  <c r="G100" i="4"/>
  <c r="L75" i="1" s="1"/>
  <c r="G101" i="4"/>
  <c r="L82" i="1" s="1"/>
  <c r="G102" i="4"/>
  <c r="L79" i="1" s="1"/>
  <c r="G103" i="4"/>
  <c r="L84" i="1" s="1"/>
  <c r="G104" i="4"/>
  <c r="L176" i="1" s="1"/>
  <c r="G105" i="4"/>
  <c r="L86" i="1" s="1"/>
  <c r="G106" i="4"/>
  <c r="L81" i="1" s="1"/>
  <c r="G107" i="4"/>
  <c r="L88" i="1" s="1"/>
  <c r="G108" i="4"/>
  <c r="L83" i="1" s="1"/>
  <c r="G109" i="4"/>
  <c r="L177" i="1" s="1"/>
  <c r="G110" i="4"/>
  <c r="L90" i="1" s="1"/>
  <c r="G111" i="4"/>
  <c r="L85" i="1" s="1"/>
  <c r="G112" i="4"/>
  <c r="L92" i="1" s="1"/>
  <c r="G113" i="4"/>
  <c r="G114" i="4"/>
  <c r="L178" i="1" s="1"/>
  <c r="G115" i="4"/>
  <c r="L94" i="1" s="1"/>
  <c r="G116" i="4"/>
  <c r="L89" i="1" s="1"/>
  <c r="G117" i="4"/>
  <c r="L96" i="1" s="1"/>
  <c r="G118" i="4"/>
  <c r="L91" i="1" s="1"/>
  <c r="G119" i="4"/>
  <c r="G120" i="4"/>
  <c r="G121" i="4"/>
  <c r="L93" i="1" s="1"/>
  <c r="G122" i="4"/>
  <c r="G123" i="4"/>
  <c r="L98" i="1" s="1"/>
  <c r="G124" i="4"/>
  <c r="G125" i="4"/>
  <c r="G126" i="4"/>
  <c r="L100" i="1" s="1"/>
  <c r="G127" i="4"/>
  <c r="G128" i="4"/>
  <c r="L95" i="1" s="1"/>
  <c r="G129" i="4"/>
  <c r="G130" i="4"/>
  <c r="L181" i="1" s="1"/>
  <c r="G131" i="4"/>
  <c r="L102" i="1" s="1"/>
  <c r="G132" i="4"/>
  <c r="L97" i="1" s="1"/>
  <c r="G133" i="4"/>
  <c r="L104" i="1" s="1"/>
  <c r="G134" i="4"/>
  <c r="L99" i="1" s="1"/>
  <c r="G135" i="4"/>
  <c r="L182" i="1" s="1"/>
  <c r="G136" i="4"/>
  <c r="L106" i="1" s="1"/>
  <c r="G137" i="4"/>
  <c r="L101" i="1" s="1"/>
  <c r="G138" i="4"/>
  <c r="L108" i="1" s="1"/>
  <c r="G139" i="4"/>
  <c r="L103" i="1" s="1"/>
  <c r="G140" i="4"/>
  <c r="L183" i="1" s="1"/>
  <c r="G141" i="4"/>
  <c r="L110" i="1" s="1"/>
  <c r="G142" i="4"/>
  <c r="L105" i="1" s="1"/>
  <c r="G143" i="4"/>
  <c r="L107" i="1" s="1"/>
  <c r="G144" i="4"/>
  <c r="L112" i="1" s="1"/>
  <c r="G145" i="4"/>
  <c r="L184" i="1" s="1"/>
  <c r="G146" i="4"/>
  <c r="L114" i="1" s="1"/>
  <c r="G147" i="4"/>
  <c r="L109" i="1" s="1"/>
  <c r="G148" i="4"/>
  <c r="L217" i="1" s="1"/>
  <c r="G149" i="4"/>
  <c r="L116" i="1" s="1"/>
  <c r="G150" i="4"/>
  <c r="L185" i="1" s="1"/>
  <c r="G151" i="4"/>
  <c r="L111" i="1" s="1"/>
  <c r="G152" i="4"/>
  <c r="L118" i="1" s="1"/>
  <c r="G153" i="4"/>
  <c r="L113" i="1" s="1"/>
  <c r="G154" i="4"/>
  <c r="L120" i="1" s="1"/>
  <c r="G155" i="4"/>
  <c r="L115" i="1" s="1"/>
  <c r="G156" i="4"/>
  <c r="L186" i="1" s="1"/>
  <c r="G157" i="4"/>
  <c r="L122" i="1" s="1"/>
  <c r="G158" i="4"/>
  <c r="L222" i="1" s="1"/>
  <c r="G159" i="4"/>
  <c r="L117" i="1" s="1"/>
  <c r="G160" i="4"/>
  <c r="L124" i="1" s="1"/>
  <c r="G161" i="4"/>
  <c r="L119" i="1" s="1"/>
  <c r="G162" i="4"/>
  <c r="L187" i="1" s="1"/>
  <c r="G163" i="4"/>
  <c r="L121" i="1" s="1"/>
  <c r="G164" i="4"/>
  <c r="L126" i="1" s="1"/>
  <c r="G165" i="4"/>
  <c r="L128" i="1" s="1"/>
  <c r="G166" i="4"/>
  <c r="L218" i="1" s="1"/>
  <c r="G167" i="4"/>
  <c r="L188" i="1" s="1"/>
  <c r="G168" i="4"/>
  <c r="L123" i="1" s="1"/>
  <c r="G169" i="4"/>
  <c r="L130" i="1" s="1"/>
  <c r="G170" i="4"/>
  <c r="L125" i="1" s="1"/>
  <c r="G171" i="4"/>
  <c r="G172" i="4"/>
  <c r="L132" i="1" s="1"/>
  <c r="G173" i="4"/>
  <c r="G174" i="4"/>
  <c r="G175" i="4"/>
  <c r="L189" i="1" s="1"/>
  <c r="G176" i="4"/>
  <c r="L127" i="1" s="1"/>
  <c r="G177" i="4"/>
  <c r="L158" i="1" s="1"/>
  <c r="G178" i="4"/>
  <c r="G179" i="4"/>
  <c r="L129" i="1" s="1"/>
  <c r="G180" i="4"/>
  <c r="G181" i="4"/>
  <c r="L134" i="1" s="1"/>
  <c r="G182" i="4"/>
  <c r="G183" i="4"/>
  <c r="L219" i="1" s="1"/>
  <c r="G184" i="4"/>
  <c r="L131" i="1" s="1"/>
  <c r="G185" i="4"/>
  <c r="G186" i="4"/>
  <c r="L190" i="1" s="1"/>
  <c r="G187" i="4"/>
  <c r="L160" i="1" s="1"/>
  <c r="G188" i="4"/>
  <c r="L133" i="1" s="1"/>
  <c r="G189" i="4"/>
  <c r="L201" i="1" s="1"/>
  <c r="G190" i="4"/>
  <c r="L136" i="1" s="1"/>
  <c r="G191" i="4"/>
  <c r="L191" i="1" s="1"/>
  <c r="G192" i="4"/>
  <c r="L159" i="1" s="1"/>
  <c r="G193" i="4"/>
  <c r="G194" i="4"/>
  <c r="G195" i="4"/>
  <c r="G196" i="4"/>
  <c r="L138" i="1" s="1"/>
  <c r="G197" i="4"/>
  <c r="L135" i="1" s="1"/>
  <c r="G198" i="4"/>
  <c r="L192" i="1" s="1"/>
  <c r="G199" i="4"/>
  <c r="L161" i="1" s="1"/>
  <c r="G200" i="4"/>
  <c r="L140" i="1" s="1"/>
  <c r="G201" i="4"/>
  <c r="L137" i="1" s="1"/>
  <c r="G202" i="4"/>
  <c r="L199" i="1" s="1"/>
  <c r="G203" i="4"/>
  <c r="L139" i="1" s="1"/>
  <c r="G204" i="4"/>
  <c r="L193" i="1" s="1"/>
  <c r="G205" i="4"/>
  <c r="L142" i="1" s="1"/>
  <c r="G206" i="4"/>
  <c r="L194" i="1" s="1"/>
  <c r="G207" i="4"/>
  <c r="L144" i="1" s="1"/>
  <c r="G208" i="4"/>
  <c r="G209" i="4"/>
  <c r="L195" i="1" s="1"/>
  <c r="G210" i="4"/>
  <c r="L146" i="1" s="1"/>
  <c r="G211" i="4"/>
  <c r="L143" i="1" s="1"/>
  <c r="G212" i="4"/>
  <c r="L196" i="1" s="1"/>
  <c r="G213" i="4"/>
  <c r="L148" i="1" s="1"/>
  <c r="G214" i="4"/>
  <c r="L145" i="1" s="1"/>
  <c r="G215" i="4"/>
  <c r="L147" i="1" s="1"/>
  <c r="G216" i="4"/>
  <c r="L150" i="1" s="1"/>
  <c r="G217" i="4"/>
  <c r="L197" i="1" s="1"/>
  <c r="G218" i="4"/>
  <c r="L198" i="1" s="1"/>
  <c r="G219" i="4"/>
  <c r="L149" i="1" s="1"/>
  <c r="G220" i="4"/>
  <c r="L152" i="1" s="1"/>
  <c r="G221" i="4"/>
  <c r="L209" i="1" s="1"/>
  <c r="G222" i="4"/>
  <c r="L154" i="1" s="1"/>
  <c r="G223" i="4"/>
  <c r="L151" i="1" s="1"/>
  <c r="G2" i="4"/>
  <c r="L221" i="1" l="1"/>
  <c r="L220" i="1"/>
  <c r="N25" i="3"/>
  <c r="L73" i="1"/>
  <c r="L215" i="1"/>
  <c r="L213" i="1"/>
  <c r="L212" i="1"/>
  <c r="L214" i="1"/>
  <c r="N28" i="3"/>
  <c r="L87" i="1"/>
  <c r="L43" i="1"/>
  <c r="L44" i="1"/>
  <c r="N13" i="3"/>
  <c r="L141" i="1"/>
  <c r="L180" i="1"/>
  <c r="L179" i="1"/>
  <c r="N30" i="3"/>
  <c r="N37" i="3"/>
  <c r="N29" i="3"/>
  <c r="N8" i="3"/>
  <c r="N32" i="3"/>
  <c r="N33" i="3"/>
  <c r="N39" i="3"/>
  <c r="N18" i="3"/>
  <c r="N17" i="3"/>
  <c r="N36" i="3"/>
  <c r="N26" i="3"/>
  <c r="N35" i="3"/>
  <c r="N11" i="3"/>
  <c r="N7" i="3"/>
  <c r="N20" i="3"/>
  <c r="N43" i="3"/>
  <c r="N19" i="3"/>
  <c r="N10" i="3"/>
  <c r="N15" i="3"/>
  <c r="N12" i="3"/>
  <c r="N24" i="3"/>
  <c r="N14" i="3"/>
  <c r="N41" i="3"/>
  <c r="N40" i="3"/>
  <c r="N23" i="3"/>
  <c r="N27" i="3"/>
  <c r="N38" i="3"/>
  <c r="N16" i="3"/>
  <c r="N34" i="3"/>
  <c r="N9" i="3"/>
  <c r="N22" i="3"/>
  <c r="N21" i="3"/>
  <c r="N4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58" i="1" l="1"/>
  <c r="AF147" i="1"/>
  <c r="AF131" i="1"/>
  <c r="AF103" i="1"/>
  <c r="AF15" i="1"/>
  <c r="AF20" i="1"/>
  <c r="AF24" i="1"/>
  <c r="AF28" i="1"/>
  <c r="AF32" i="1"/>
  <c r="AF36" i="1"/>
  <c r="AF40" i="1"/>
  <c r="AF44" i="1"/>
  <c r="AF48" i="1"/>
  <c r="AF14" i="1"/>
  <c r="AF19" i="1"/>
  <c r="AF23" i="1"/>
  <c r="AF27" i="1"/>
  <c r="AF31" i="1"/>
  <c r="AF35" i="1"/>
  <c r="AF39" i="1"/>
  <c r="AF160" i="1"/>
  <c r="AF157" i="1"/>
  <c r="AF146" i="1"/>
  <c r="AF114" i="1"/>
  <c r="AF18" i="1"/>
  <c r="AF17" i="1"/>
  <c r="AF22" i="1"/>
  <c r="AF26" i="1"/>
  <c r="AF30" i="1"/>
  <c r="AF34" i="1"/>
  <c r="AF38" i="1"/>
  <c r="AF42" i="1"/>
  <c r="AF46" i="1"/>
  <c r="AF163" i="1"/>
  <c r="AF130" i="1"/>
  <c r="AF102" i="1"/>
  <c r="AF16" i="1"/>
  <c r="AF25" i="1"/>
  <c r="AF33" i="1"/>
  <c r="AF41" i="1"/>
  <c r="AF49" i="1"/>
  <c r="AF51" i="1"/>
  <c r="AF55" i="1"/>
  <c r="AF59" i="1"/>
  <c r="AF66" i="1"/>
  <c r="AF70" i="1"/>
  <c r="AF74" i="1"/>
  <c r="AF78" i="1"/>
  <c r="AF82" i="1"/>
  <c r="AF86" i="1"/>
  <c r="AF54" i="1"/>
  <c r="AF58" i="1"/>
  <c r="AF65" i="1"/>
  <c r="AF69" i="1"/>
  <c r="AF73" i="1"/>
  <c r="AF77" i="1"/>
  <c r="AF81" i="1"/>
  <c r="AF85" i="1"/>
  <c r="AF21" i="1"/>
  <c r="AF29" i="1"/>
  <c r="AF37" i="1"/>
  <c r="AF50" i="1"/>
  <c r="AF53" i="1"/>
  <c r="AF57" i="1"/>
  <c r="AF63" i="1"/>
  <c r="AF64" i="1"/>
  <c r="AF68" i="1"/>
  <c r="AF72" i="1"/>
  <c r="AF76" i="1"/>
  <c r="AF80" i="1"/>
  <c r="AF84" i="1"/>
  <c r="AF88" i="1"/>
  <c r="AF89" i="1"/>
  <c r="AF43" i="1"/>
  <c r="AF45" i="1"/>
  <c r="AF47" i="1"/>
  <c r="AF52" i="1"/>
  <c r="AF56" i="1"/>
  <c r="AF60" i="1"/>
  <c r="AF61" i="1"/>
  <c r="AF62" i="1"/>
  <c r="AF67" i="1"/>
  <c r="AF71" i="1"/>
  <c r="AF75" i="1"/>
  <c r="AF79" i="1"/>
  <c r="AF83" i="1"/>
  <c r="AF91" i="1"/>
  <c r="AF93" i="1"/>
  <c r="AF166" i="1"/>
  <c r="AF170" i="1"/>
  <c r="AF173" i="1"/>
  <c r="AF177" i="1"/>
  <c r="AF181" i="1"/>
  <c r="AF184" i="1"/>
  <c r="AF188" i="1"/>
  <c r="AF192" i="1"/>
  <c r="AF193" i="1"/>
  <c r="AF194" i="1"/>
  <c r="AF198" i="1"/>
  <c r="AF100" i="1"/>
  <c r="AF210" i="1"/>
  <c r="AF104" i="1"/>
  <c r="AF165" i="1"/>
  <c r="AF169" i="1"/>
  <c r="AF172" i="1"/>
  <c r="AF176" i="1"/>
  <c r="AF180" i="1"/>
  <c r="AF183" i="1"/>
  <c r="AF187" i="1"/>
  <c r="AF191" i="1"/>
  <c r="AF96" i="1"/>
  <c r="AF197" i="1"/>
  <c r="AF87" i="1"/>
  <c r="AF90" i="1"/>
  <c r="AF92" i="1"/>
  <c r="AF164" i="1"/>
  <c r="AF168" i="1"/>
  <c r="AF94" i="1"/>
  <c r="AF175" i="1"/>
  <c r="AF179" i="1"/>
  <c r="AF95" i="1"/>
  <c r="AF186" i="1"/>
  <c r="AF190" i="1"/>
  <c r="AF196" i="1"/>
  <c r="AF98" i="1"/>
  <c r="AF208" i="1"/>
  <c r="AF162" i="1"/>
  <c r="AF167" i="1"/>
  <c r="AF171" i="1"/>
  <c r="AF174" i="1"/>
  <c r="AF178" i="1"/>
  <c r="AF182" i="1"/>
  <c r="AF185" i="1"/>
  <c r="AF189" i="1"/>
  <c r="AF195" i="1"/>
  <c r="AF97" i="1"/>
  <c r="AF101" i="1"/>
  <c r="AF211" i="1"/>
  <c r="AF105" i="1"/>
  <c r="AF111" i="1"/>
  <c r="AF116" i="1"/>
  <c r="AF120" i="1"/>
  <c r="AF122" i="1"/>
  <c r="AF123" i="1"/>
  <c r="AF127" i="1"/>
  <c r="AF133" i="1"/>
  <c r="AF137" i="1"/>
  <c r="AF141" i="1"/>
  <c r="AF145" i="1"/>
  <c r="AF151" i="1"/>
  <c r="AF155" i="1"/>
  <c r="AF199" i="1"/>
  <c r="AF212" i="1"/>
  <c r="AF216" i="1"/>
  <c r="AF209" i="1"/>
  <c r="AF107" i="1"/>
  <c r="AF110" i="1"/>
  <c r="AF115" i="1"/>
  <c r="AF119" i="1"/>
  <c r="AF121" i="1"/>
  <c r="AF126" i="1"/>
  <c r="AF132" i="1"/>
  <c r="AF136" i="1"/>
  <c r="AF140" i="1"/>
  <c r="AF109" i="1"/>
  <c r="AF113" i="1"/>
  <c r="AF118" i="1"/>
  <c r="AF125" i="1"/>
  <c r="AF129" i="1"/>
  <c r="AF135" i="1"/>
  <c r="AF139" i="1"/>
  <c r="AF143" i="1"/>
  <c r="AF149" i="1"/>
  <c r="AF153" i="1"/>
  <c r="AF159" i="1"/>
  <c r="AF201" i="1"/>
  <c r="AF202" i="1"/>
  <c r="AF203" i="1"/>
  <c r="AF205" i="1"/>
  <c r="AF206" i="1"/>
  <c r="AF214" i="1"/>
  <c r="AF218" i="1"/>
  <c r="AF222" i="1"/>
  <c r="AF99" i="1"/>
  <c r="AF106" i="1"/>
  <c r="AF108" i="1"/>
  <c r="AF112" i="1"/>
  <c r="AF117" i="1"/>
  <c r="AF124" i="1"/>
  <c r="AF128" i="1"/>
  <c r="AF134" i="1"/>
  <c r="AF138" i="1"/>
  <c r="AF142" i="1"/>
  <c r="AF148" i="1"/>
  <c r="AF152" i="1"/>
  <c r="AF156" i="1"/>
  <c r="AF200" i="1"/>
  <c r="AF150" i="1"/>
  <c r="AF161" i="1"/>
  <c r="AF220" i="1"/>
  <c r="AF207" i="1"/>
  <c r="AF215" i="1"/>
  <c r="AF219" i="1"/>
  <c r="AF221" i="1"/>
  <c r="AF144" i="1"/>
  <c r="AF154" i="1"/>
  <c r="AF204" i="1"/>
  <c r="AF213" i="1"/>
  <c r="AF217" i="1"/>
  <c r="T25" i="3"/>
  <c r="T28" i="3"/>
  <c r="T35" i="3"/>
  <c r="T41" i="3"/>
  <c r="T38" i="3"/>
  <c r="T14" i="3"/>
  <c r="T31" i="3"/>
  <c r="T9" i="3"/>
  <c r="T32" i="3"/>
  <c r="T13" i="3"/>
  <c r="T8" i="3"/>
  <c r="T29" i="3"/>
  <c r="T11" i="3"/>
  <c r="T21" i="3"/>
  <c r="T37" i="3"/>
  <c r="T36" i="3"/>
  <c r="T23" i="3"/>
  <c r="T10" i="3"/>
  <c r="T34" i="3"/>
  <c r="T18" i="3"/>
  <c r="T39" i="3"/>
  <c r="T27" i="3"/>
  <c r="T17" i="3"/>
  <c r="T7" i="3"/>
  <c r="T30" i="3"/>
  <c r="T24" i="3"/>
  <c r="T42" i="3"/>
  <c r="T22" i="3"/>
  <c r="T20" i="3"/>
  <c r="T26" i="3"/>
  <c r="T12" i="3"/>
  <c r="T33" i="3"/>
  <c r="T19" i="3"/>
  <c r="T43" i="3"/>
  <c r="T15" i="3"/>
  <c r="T16" i="3"/>
  <c r="T40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<sst xmlns="http://schemas.openxmlformats.org/spreadsheetml/2006/main" count="2677" uniqueCount="993">
  <si>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</si>
  <si>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</si>
  <si>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</si>
  <si>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</si>
  <si>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</si>
  <si>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</si>
  <si>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</si>
  <si>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</si>
  <si>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</si>
  <si>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</si>
  <si>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</si>
  <si>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</si>
  <si>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</si>
  <si>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</si>
  <si>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</si>
  <si>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</si>
  <si>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</si>
  <si>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</si>
  <si>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</si>
  <si>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</si>
  <si>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</si>
  <si>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</si>
  <si>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</si>
  <si>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</si>
  <si>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</si>
  <si>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</si>
  <si>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</si>
  <si>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</si>
  <si>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</si>
  <si>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</si>
  <si>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</si>
  <si>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</si>
  <si>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</si>
  <si>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</si>
  <si>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</si>
  <si>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</si>
  <si>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</si>
  <si>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</si>
  <si>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</si>
  <si>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</si>
  <si>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</si>
  <si>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</si>
  <si>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</si>
  <si>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</si>
  <si>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</si>
  <si>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</si>
  <si>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</si>
  <si>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</si>
  <si>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</si>
  <si>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</si>
  <si>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</si>
  <si>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</si>
  <si>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</si>
  <si>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</si>
  <si>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</si>
  <si>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</si>
  <si>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</si>
  <si>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</si>
  <si>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</si>
  <si>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</si>
  <si>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</si>
  <si>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</si>
  <si>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</si>
  <si>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</si>
  <si>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</si>
  <si>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</si>
  <si>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</si>
  <si>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</si>
  <si>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</si>
  <si>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</si>
  <si>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</si>
  <si>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</si>
  <si>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</si>
  <si>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</si>
  <si>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</si>
  <si>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</si>
  <si>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</si>
  <si>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</si>
  <si>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</si>
  <si>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</si>
  <si>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</si>
  <si>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</si>
  <si>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</si>
  <si>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</si>
  <si>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</si>
  <si>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</si>
  <si>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</si>
  <si>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</si>
  <si>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</si>
  <si>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</si>
  <si>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</si>
  <si>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</si>
  <si>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</si>
  <si>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</si>
  <si>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</si>
  <si>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</si>
  <si>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</si>
  <si>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</si>
  <si>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</si>
  <si>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</si>
  <si>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</si>
  <si>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</si>
  <si>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</si>
  <si>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</si>
  <si>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</si>
  <si>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</si>
  <si>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</si>
  <si>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</si>
  <si>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</si>
  <si>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</si>
  <si>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</si>
  <si>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</si>
  <si>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</si>
  <si>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</si>
  <si>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</si>
  <si>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</si>
  <si>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</si>
  <si>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</si>
  <si>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</si>
  <si>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</si>
  <si>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</si>
  <si>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</si>
  <si>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</si>
  <si>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</si>
  <si>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</si>
  <si>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</si>
  <si>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</si>
  <si>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</si>
  <si>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</si>
  <si>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</si>
  <si>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</si>
  <si>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</si>
  <si>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</si>
  <si>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</si>
  <si>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</si>
  <si>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</si>
  <si>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</si>
  <si>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</si>
  <si>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</si>
  <si>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</si>
  <si>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</si>
  <si>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</si>
  <si>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</si>
  <si>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</si>
  <si>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</si>
  <si>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</si>
  <si>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</si>
  <si>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</si>
  <si>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</si>
  <si>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</si>
  <si>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</si>
  <si>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</si>
  <si>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</si>
  <si>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</si>
  <si>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</si>
  <si>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</si>
  <si>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</si>
  <si>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</si>
  <si>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</si>
  <si>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</si>
  <si>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</si>
  <si>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</si>
  <si>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</si>
  <si>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</si>
  <si>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</si>
  <si>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</si>
  <si>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</si>
  <si>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</si>
  <si>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</si>
  <si>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</si>
  <si>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</si>
  <si>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</si>
  <si>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</si>
  <si>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</si>
  <si>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</si>
  <si>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</si>
  <si>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</si>
  <si>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</si>
  <si>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</si>
  <si>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</si>
  <si>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</si>
  <si>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</si>
  <si>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</si>
  <si>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</si>
  <si>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</si>
  <si>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</si>
  <si>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</si>
  <si>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</si>
  <si>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</si>
  <si>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</si>
  <si>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</si>
  <si>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</si>
  <si>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</si>
  <si>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</si>
  <si>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</si>
  <si>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</si>
  <si>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</si>
  <si>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</si>
  <si>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</si>
  <si>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</si>
  <si>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</si>
  <si>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</si>
  <si>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</si>
  <si>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</si>
  <si>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</si>
  <si>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</si>
  <si>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</si>
  <si>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</si>
  <si>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</si>
  <si>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</si>
  <si>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</si>
  <si>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</si>
  <si>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</si>
  <si>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</si>
  <si>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</si>
  <si>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</si>
  <si>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</si>
  <si>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</si>
  <si>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</si>
  <si>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</si>
  <si>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</si>
  <si>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</si>
  <si>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</si>
  <si>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</si>
  <si>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</si>
  <si>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</si>
  <si>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</si>
  <si>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</si>
  <si>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</si>
  <si>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</si>
  <si>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</si>
  <si>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</si>
  <si>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</si>
  <si>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</si>
  <si>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</si>
  <si>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</si>
  <si>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</si>
  <si>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</si>
  <si>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</si>
  <si>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</si>
  <si>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</si>
  <si>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</si>
  <si>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</si>
  <si>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</si>
  <si>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</si>
  <si>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</si>
  <si>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</si>
  <si>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</si>
  <si>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</si>
  <si>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</si>
  <si>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</si>
  <si>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</si>
  <si>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</si>
  <si>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</si>
  <si>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</si>
  <si>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</si>
  <si>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</si>
  <si>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</si>
  <si>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</si>
  <si>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</si>
  <si>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</si>
  <si>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</si>
  <si>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</si>
  <si>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</si>
  <si>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</si>
  <si>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</si>
  <si>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</si>
  <si>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</si>
  <si>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</si>
  <si>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</si>
  <si>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</si>
  <si>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</si>
  <si>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</si>
  <si>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</si>
  <si>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</si>
  <si>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</si>
  <si>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</si>
  <si>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</si>
  <si>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</si>
  <si>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</si>
  <si>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</si>
  <si>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</si>
  <si>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</si>
  <si>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</si>
  <si>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</si>
  <si>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</si>
  <si>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</si>
  <si>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</si>
  <si>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</si>
  <si>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</si>
  <si>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</si>
  <si>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</si>
  <si>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</si>
  <si>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</si>
  <si>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</si>
  <si>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</si>
  <si>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</si>
  <si>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</si>
  <si>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</si>
  <si>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</si>
  <si>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</si>
  <si>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</si>
  <si>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</si>
  <si>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</si>
  <si>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</si>
  <si>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</si>
  <si>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</si>
  <si>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</si>
  <si>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</si>
  <si>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</si>
  <si>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</si>
  <si>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</si>
  <si>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</si>
  <si>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</si>
  <si>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</si>
  <si>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</si>
  <si>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</si>
  <si>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</si>
  <si>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</si>
  <si>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</si>
  <si>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</si>
  <si>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</si>
  <si>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</si>
  <si>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</si>
  <si>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</si>
  <si>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</si>
  <si>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</si>
  <si>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</si>
  <si>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</si>
  <si>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</si>
  <si>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</si>
  <si>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</si>
  <si>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</si>
  <si>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</si>
  <si>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</si>
  <si>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</si>
  <si>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</si>
  <si>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</si>
  <si>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</si>
  <si>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</si>
  <si>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</si>
  <si>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</si>
  <si>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</si>
  <si>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</si>
  <si>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</si>
  <si>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</si>
  <si>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</si>
  <si>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</si>
  <si>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</si>
  <si>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</si>
  <si>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</si>
  <si>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</si>
  <si>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</si>
  <si>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</si>
  <si>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</si>
  <si>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</si>
  <si>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</si>
  <si>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</si>
  <si>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</si>
  <si>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</si>
  <si>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</si>
  <si>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</si>
  <si>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</si>
  <si>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</si>
  <si>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</si>
  <si>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</si>
  <si>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</si>
  <si>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</si>
  <si>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</si>
  <si>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</si>
  <si>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</si>
  <si>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</si>
  <si>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</si>
  <si>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</si>
  <si>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</si>
  <si>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</si>
  <si>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</si>
  <si>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</si>
  <si>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</si>
  <si>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</si>
  <si>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</si>
  <si>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</si>
  <si>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204:163</t>
  </si>
  <si>
    <t>204:462</t>
  </si>
  <si>
    <t>204:232996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</si>
  <si>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</si>
  <si>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</si>
  <si>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</si>
  <si>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</si>
  <si>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</si>
  <si>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</si>
  <si>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</si>
  <si>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</si>
  <si>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204:466</t>
  </si>
  <si>
    <t>204:447</t>
  </si>
  <si>
    <t>204:233293</t>
  </si>
  <si>
    <t>rtdc.l.rtdc.4043:itc</t>
  </si>
  <si>
    <t>YORK</t>
  </si>
  <si>
    <t>EDGAR</t>
  </si>
  <si>
    <t>rtdc.l.rtdc.4057:itc</t>
  </si>
  <si>
    <t>Y</t>
  </si>
  <si>
    <t>204:232982</t>
  </si>
  <si>
    <t>rtdc.l.rtdc.4023:itc</t>
  </si>
  <si>
    <t>rtdc.l.rtdc.4024:itc</t>
  </si>
  <si>
    <t>rtdc.l.rtdc.4005:itc</t>
  </si>
  <si>
    <t>204:232975</t>
  </si>
  <si>
    <t>204:457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</si>
  <si>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</si>
  <si>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</si>
  <si>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</si>
  <si>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</si>
  <si>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</si>
  <si>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</si>
  <si>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</si>
  <si>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204:232988</t>
  </si>
  <si>
    <t>rtdc.l.rtdc.4044:itc</t>
  </si>
  <si>
    <t>FRANK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</si>
  <si>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</si>
  <si>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</si>
  <si>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</si>
  <si>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</si>
  <si>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</si>
  <si>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</si>
  <si>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</si>
  <si>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</si>
  <si>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</si>
  <si>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</si>
  <si>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</si>
  <si>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</si>
  <si>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</si>
  <si>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</si>
  <si>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</si>
  <si>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</si>
  <si>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</si>
  <si>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rtdc.l.rtdc.4009:itc</t>
  </si>
  <si>
    <t>rtdc.l.rtdc.4052:itc</t>
  </si>
  <si>
    <t>rtdc.l.rtdc.4051:itc</t>
  </si>
  <si>
    <t>rtdc.l.rtdc.4013:itc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</si>
  <si>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</si>
  <si>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</si>
  <si>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</si>
  <si>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</si>
  <si>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</si>
  <si>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</si>
  <si>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</si>
  <si>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</si>
  <si>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204:134</t>
  </si>
  <si>
    <t>204:233309</t>
  </si>
  <si>
    <t>204:233000</t>
  </si>
  <si>
    <t>rtdc.l.rtdc.4049:itc</t>
  </si>
  <si>
    <t>rtdc.l.rtdc.4050:itc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</si>
  <si>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</si>
  <si>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</si>
  <si>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</si>
  <si>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</si>
  <si>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</si>
  <si>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</si>
  <si>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</si>
  <si>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204:477</t>
  </si>
  <si>
    <t>204:232983</t>
  </si>
  <si>
    <t>204:444</t>
  </si>
  <si>
    <t>204:233291</t>
  </si>
  <si>
    <t>204:129</t>
  </si>
  <si>
    <t>204:431</t>
  </si>
  <si>
    <t>ROBINSON</t>
  </si>
  <si>
    <t>KADDIBA</t>
  </si>
  <si>
    <t>Partly Cloudy</t>
  </si>
  <si>
    <t>204:435</t>
  </si>
  <si>
    <t>204:233297</t>
  </si>
  <si>
    <t>204:233305</t>
  </si>
  <si>
    <t>204:438</t>
  </si>
  <si>
    <t>204:233307</t>
  </si>
  <si>
    <t>204:233318</t>
  </si>
  <si>
    <t>204:233311</t>
  </si>
  <si>
    <t>204:467</t>
  </si>
  <si>
    <t>204:233329</t>
  </si>
  <si>
    <t>204:232994</t>
  </si>
  <si>
    <t>204:433</t>
  </si>
  <si>
    <t>204:169</t>
  </si>
  <si>
    <t>204:426</t>
  </si>
  <si>
    <t>204:687</t>
  </si>
  <si>
    <t>rtdc.l.rtdc.4018:itc</t>
  </si>
  <si>
    <t>WENDY</t>
  </si>
  <si>
    <t>FORTUNATO</t>
  </si>
  <si>
    <t>rtdc.l.rtdc.4053:itc</t>
  </si>
  <si>
    <t>MCREYNOLDS</t>
  </si>
  <si>
    <t>KYLE</t>
  </si>
  <si>
    <t>DELGADO</t>
  </si>
  <si>
    <t>DIANAH</t>
  </si>
  <si>
    <t>BERLING</t>
  </si>
  <si>
    <t>GARY</t>
  </si>
  <si>
    <t>204:232991</t>
  </si>
  <si>
    <t>204:473</t>
  </si>
  <si>
    <t>204:233324</t>
  </si>
  <si>
    <t>204:488</t>
  </si>
  <si>
    <t>204:233306</t>
  </si>
  <si>
    <t>204:233299</t>
  </si>
  <si>
    <t>204:232990</t>
  </si>
  <si>
    <t>204:233300</t>
  </si>
  <si>
    <t>204:233334</t>
  </si>
  <si>
    <t>204:233045</t>
  </si>
  <si>
    <t>204:449</t>
  </si>
  <si>
    <t>300:23299</t>
  </si>
  <si>
    <t>204:979</t>
  </si>
  <si>
    <t>204:964</t>
  </si>
  <si>
    <t>204:684</t>
  </si>
  <si>
    <t>204:997</t>
  </si>
  <si>
    <t>rtdc.l.rtdc.4016:itc</t>
  </si>
  <si>
    <t>rtdc.l.rtdc.4062:itc</t>
  </si>
  <si>
    <t>rtdc.l.rtdc.4061:itc</t>
  </si>
  <si>
    <t>rtdc.l.rtdc.4015:itc</t>
  </si>
  <si>
    <t>rtdc.l.rtdc.4059:itc</t>
  </si>
  <si>
    <t>844-28</t>
  </si>
  <si>
    <t>236-28</t>
  </si>
  <si>
    <t>311-28</t>
  </si>
  <si>
    <t>rtdc.l.rtdc.4055:itc</t>
  </si>
  <si>
    <t>rtdc.l.rtdc.4056:itc</t>
  </si>
  <si>
    <t>MAELZER</t>
  </si>
  <si>
    <t>KURT</t>
  </si>
  <si>
    <t>rtdc.l.rtdc.4060:itc</t>
  </si>
  <si>
    <t>WILLIAMS</t>
  </si>
  <si>
    <t>DONTE</t>
  </si>
  <si>
    <t>PAGE</t>
  </si>
  <si>
    <t>MARCUS</t>
  </si>
  <si>
    <t>BADERTSCHER</t>
  </si>
  <si>
    <t>DIANE</t>
  </si>
  <si>
    <t>GONZALEZ</t>
  </si>
  <si>
    <t>ARMANDO</t>
  </si>
  <si>
    <t>HOLCOMB</t>
  </si>
  <si>
    <t>KAMDEN</t>
  </si>
  <si>
    <t>DAVID</t>
  </si>
  <si>
    <t>845-28</t>
  </si>
  <si>
    <t>233-28</t>
  </si>
  <si>
    <t>230-28</t>
  </si>
  <si>
    <t>847-28</t>
  </si>
  <si>
    <t>235-28</t>
  </si>
  <si>
    <t>232-28</t>
  </si>
  <si>
    <t>846-28</t>
  </si>
  <si>
    <t>234-28</t>
  </si>
  <si>
    <t>237-28</t>
  </si>
  <si>
    <t>849-28</t>
  </si>
  <si>
    <t>239-28</t>
  </si>
  <si>
    <t>908-28</t>
  </si>
  <si>
    <t>238-28</t>
  </si>
  <si>
    <t>241-28</t>
  </si>
  <si>
    <t>243-28</t>
  </si>
  <si>
    <t>240-28</t>
  </si>
  <si>
    <t>242-28</t>
  </si>
  <si>
    <t>313-28</t>
  </si>
  <si>
    <t>307-28</t>
  </si>
  <si>
    <t>244-28</t>
  </si>
  <si>
    <t>309-28</t>
  </si>
  <si>
    <t>300-29</t>
  </si>
  <si>
    <t>clear-night</t>
  </si>
  <si>
    <t>Clear</t>
  </si>
  <si>
    <t>204:233346</t>
  </si>
  <si>
    <t>204:233319</t>
  </si>
  <si>
    <t>204:233009</t>
  </si>
  <si>
    <t>204:233278</t>
  </si>
  <si>
    <t>204:233002</t>
  </si>
  <si>
    <t>204:480</t>
  </si>
  <si>
    <t>204:469</t>
  </si>
  <si>
    <t>204:427</t>
  </si>
  <si>
    <t>204:167</t>
  </si>
  <si>
    <t>204:233321</t>
  </si>
  <si>
    <t>204:232979</t>
  </si>
  <si>
    <t>204:233011</t>
  </si>
  <si>
    <t>204:233015</t>
  </si>
  <si>
    <t>204:233316</t>
  </si>
  <si>
    <t>204:233019</t>
  </si>
  <si>
    <t>204:233005</t>
  </si>
  <si>
    <t>204:232955</t>
  </si>
  <si>
    <t>204:232992</t>
  </si>
  <si>
    <t>204:1169</t>
  </si>
  <si>
    <t>204:1199</t>
  </si>
  <si>
    <t>204:1156</t>
  </si>
  <si>
    <t>300:23314</t>
  </si>
  <si>
    <t>204:992</t>
  </si>
  <si>
    <t>204:701</t>
  </si>
  <si>
    <t>204:720</t>
  </si>
  <si>
    <t>204:1021</t>
  </si>
  <si>
    <t>300:58626</t>
  </si>
  <si>
    <t>204:678</t>
  </si>
  <si>
    <t>204:719</t>
  </si>
  <si>
    <t>Wi-MAX data drop</t>
  </si>
  <si>
    <t>c:\users\tmcdowell\Documents\GitHub\mrs-test-scripts\Headless Mode &amp; Sideloading\WalkAndUnGZ.bat</t>
  </si>
  <si>
    <t>302-01</t>
  </si>
  <si>
    <t>304-01</t>
  </si>
  <si>
    <t>312-01</t>
  </si>
  <si>
    <t>106-01</t>
  </si>
  <si>
    <t>118-01</t>
  </si>
  <si>
    <t>120-01</t>
  </si>
  <si>
    <t>1805-01</t>
  </si>
  <si>
    <t>133-01</t>
  </si>
  <si>
    <t>155-01</t>
  </si>
  <si>
    <t>146-01</t>
  </si>
  <si>
    <t>148-01</t>
  </si>
  <si>
    <t>161-01</t>
  </si>
  <si>
    <t>160-01</t>
  </si>
  <si>
    <t>175-01</t>
  </si>
  <si>
    <t>168-01</t>
  </si>
  <si>
    <t>1817-01</t>
  </si>
  <si>
    <t>174-01</t>
  </si>
  <si>
    <t>1818-01</t>
  </si>
  <si>
    <t>189-01</t>
  </si>
  <si>
    <t>1819-01</t>
  </si>
  <si>
    <t>rtdc.l.rtdc.4041:itc</t>
  </si>
  <si>
    <t>192-01</t>
  </si>
  <si>
    <t>209-01</t>
  </si>
  <si>
    <t>1824-01</t>
  </si>
  <si>
    <t>210-01</t>
  </si>
  <si>
    <t>212-01</t>
  </si>
  <si>
    <t>SPEED RESTRICTION</t>
  </si>
  <si>
    <t>216-01</t>
  </si>
  <si>
    <t>1829-01</t>
  </si>
  <si>
    <t>228-01</t>
  </si>
  <si>
    <t>1832-01</t>
  </si>
  <si>
    <t>235-01</t>
  </si>
  <si>
    <t>1835-01</t>
  </si>
  <si>
    <t>243-01</t>
  </si>
  <si>
    <t>244-30</t>
  </si>
  <si>
    <t>RESPASS</t>
  </si>
  <si>
    <t>AARON</t>
  </si>
  <si>
    <t>307-30</t>
  </si>
  <si>
    <t>309-30</t>
  </si>
  <si>
    <t>rtdc.l.rtdc.4027:itc</t>
  </si>
  <si>
    <t>246-30</t>
  </si>
  <si>
    <t>311-30</t>
  </si>
  <si>
    <t>101-01</t>
  </si>
  <si>
    <t>300-01</t>
  </si>
  <si>
    <t>rtdc.l.rtdc.4028:itc</t>
  </si>
  <si>
    <t>313-30</t>
  </si>
  <si>
    <t>51-01</t>
  </si>
  <si>
    <t>52-01</t>
  </si>
  <si>
    <t>103-01</t>
  </si>
  <si>
    <t>102-01</t>
  </si>
  <si>
    <t>105-01</t>
  </si>
  <si>
    <t>306-01</t>
  </si>
  <si>
    <t>LANGERAK</t>
  </si>
  <si>
    <t>WILLIAM</t>
  </si>
  <si>
    <t>rtdc.l.rtdc.4011:itc</t>
  </si>
  <si>
    <t>1907-01</t>
  </si>
  <si>
    <t>GEBRETEKLE</t>
  </si>
  <si>
    <t>DAGNEW</t>
  </si>
  <si>
    <t>107-01</t>
  </si>
  <si>
    <t>104-01</t>
  </si>
  <si>
    <t>rtdc.l.rtdc.4012:itc</t>
  </si>
  <si>
    <t>109-01</t>
  </si>
  <si>
    <t>1909-01</t>
  </si>
  <si>
    <t>111-01</t>
  </si>
  <si>
    <t>113-01</t>
  </si>
  <si>
    <t>108-01</t>
  </si>
  <si>
    <t>1901-01</t>
  </si>
  <si>
    <t>MACDONALD</t>
  </si>
  <si>
    <t>THOMAS</t>
  </si>
  <si>
    <t>110-01</t>
  </si>
  <si>
    <t>LAMAR</t>
  </si>
  <si>
    <t>NEKESHA</t>
  </si>
  <si>
    <t>115-01</t>
  </si>
  <si>
    <t>1800-01</t>
  </si>
  <si>
    <t>rtdc.l.rtdc.4054:itc</t>
  </si>
  <si>
    <t>117-01</t>
  </si>
  <si>
    <t>112-01</t>
  </si>
  <si>
    <t>119-01</t>
  </si>
  <si>
    <t>114-01</t>
  </si>
  <si>
    <t>121-01</t>
  </si>
  <si>
    <t>116-01</t>
  </si>
  <si>
    <t>123-01</t>
  </si>
  <si>
    <t>1802-01</t>
  </si>
  <si>
    <t>125-01</t>
  </si>
  <si>
    <t>122-01</t>
  </si>
  <si>
    <t>127-01</t>
  </si>
  <si>
    <t>1803-01</t>
  </si>
  <si>
    <t>124-01</t>
  </si>
  <si>
    <t>129-01</t>
  </si>
  <si>
    <t>131-01</t>
  </si>
  <si>
    <t>126-01</t>
  </si>
  <si>
    <t>1804-01</t>
  </si>
  <si>
    <t>128-01</t>
  </si>
  <si>
    <t>135-01</t>
  </si>
  <si>
    <t>130-01</t>
  </si>
  <si>
    <t>137-01</t>
  </si>
  <si>
    <t>132-01</t>
  </si>
  <si>
    <t>139-01</t>
  </si>
  <si>
    <t>134-01</t>
  </si>
  <si>
    <t>1806-01</t>
  </si>
  <si>
    <t>141-01</t>
  </si>
  <si>
    <t>136-01</t>
  </si>
  <si>
    <t>138-01</t>
  </si>
  <si>
    <t>143-01</t>
  </si>
  <si>
    <t>1807-01</t>
  </si>
  <si>
    <t>145-01</t>
  </si>
  <si>
    <t>140-01</t>
  </si>
  <si>
    <t>147-01</t>
  </si>
  <si>
    <t>142-01</t>
  </si>
  <si>
    <t>149-01</t>
  </si>
  <si>
    <t>1808-01</t>
  </si>
  <si>
    <t>144-01</t>
  </si>
  <si>
    <t>151-01</t>
  </si>
  <si>
    <t>1809-01</t>
  </si>
  <si>
    <t>153-01</t>
  </si>
  <si>
    <t>150-01</t>
  </si>
  <si>
    <t>157-01</t>
  </si>
  <si>
    <t>152-01</t>
  </si>
  <si>
    <t>1810-01</t>
  </si>
  <si>
    <t>159-01</t>
  </si>
  <si>
    <t>1811-01</t>
  </si>
  <si>
    <t>154-01</t>
  </si>
  <si>
    <t>MICHAEL</t>
  </si>
  <si>
    <t>156-01</t>
  </si>
  <si>
    <t>163-01</t>
  </si>
  <si>
    <t>SAFIEF</t>
  </si>
  <si>
    <t>AEIMEN</t>
  </si>
  <si>
    <t>158-01</t>
  </si>
  <si>
    <t>165-01</t>
  </si>
  <si>
    <t>GUZMAN</t>
  </si>
  <si>
    <t>DANNY</t>
  </si>
  <si>
    <t>1812-01</t>
  </si>
  <si>
    <t>167-01</t>
  </si>
  <si>
    <t>1813-01</t>
  </si>
  <si>
    <t>GUNTHIER</t>
  </si>
  <si>
    <t>ERIC</t>
  </si>
  <si>
    <t>164-01</t>
  </si>
  <si>
    <t>162-01</t>
  </si>
  <si>
    <t>169-01</t>
  </si>
  <si>
    <t>166-01</t>
  </si>
  <si>
    <t>171-01</t>
  </si>
  <si>
    <t>1814-01</t>
  </si>
  <si>
    <t>173-01</t>
  </si>
  <si>
    <t>SMITH</t>
  </si>
  <si>
    <t>170-01</t>
  </si>
  <si>
    <t>1815-01</t>
  </si>
  <si>
    <t>177-01</t>
  </si>
  <si>
    <t>172-01</t>
  </si>
  <si>
    <t>179-01</t>
  </si>
  <si>
    <t>1816-01</t>
  </si>
  <si>
    <t>181-01</t>
  </si>
  <si>
    <t>176-01</t>
  </si>
  <si>
    <t>183-01</t>
  </si>
  <si>
    <t>178-01</t>
  </si>
  <si>
    <t>180-01</t>
  </si>
  <si>
    <t>75-01</t>
  </si>
  <si>
    <t>LOPES</t>
  </si>
  <si>
    <t>KIMBERLY</t>
  </si>
  <si>
    <t>185-01</t>
  </si>
  <si>
    <t>187-01</t>
  </si>
  <si>
    <t>182-01</t>
  </si>
  <si>
    <t>184-01</t>
  </si>
  <si>
    <t>191-01</t>
  </si>
  <si>
    <t>186-01</t>
  </si>
  <si>
    <t>193-01</t>
  </si>
  <si>
    <t>188-01</t>
  </si>
  <si>
    <t>195-01</t>
  </si>
  <si>
    <t>190-01</t>
  </si>
  <si>
    <t>1820-01</t>
  </si>
  <si>
    <t>197-01</t>
  </si>
  <si>
    <t>194-01</t>
  </si>
  <si>
    <t>199-01</t>
  </si>
  <si>
    <t>1821-01</t>
  </si>
  <si>
    <t>201-01</t>
  </si>
  <si>
    <t>196-01</t>
  </si>
  <si>
    <t>66-01</t>
  </si>
  <si>
    <t>203-01</t>
  </si>
  <si>
    <t>1822-01</t>
  </si>
  <si>
    <t>198-01</t>
  </si>
  <si>
    <t>205-01</t>
  </si>
  <si>
    <t>200-01</t>
  </si>
  <si>
    <t>207-01</t>
  </si>
  <si>
    <t>202-01</t>
  </si>
  <si>
    <t>1823-01</t>
  </si>
  <si>
    <t>77-01</t>
  </si>
  <si>
    <t>204-01</t>
  </si>
  <si>
    <t>211-01</t>
  </si>
  <si>
    <t>206-01</t>
  </si>
  <si>
    <t>208-01</t>
  </si>
  <si>
    <t>213-01</t>
  </si>
  <si>
    <t>215-01</t>
  </si>
  <si>
    <t>rtdc.l.rtdc.4007:itc</t>
  </si>
  <si>
    <t>68-01</t>
  </si>
  <si>
    <t>BARRON</t>
  </si>
  <si>
    <t>PERLA</t>
  </si>
  <si>
    <t>1825-01</t>
  </si>
  <si>
    <t>217-01</t>
  </si>
  <si>
    <t>219-01</t>
  </si>
  <si>
    <t>1826-01</t>
  </si>
  <si>
    <t>214-01</t>
  </si>
  <si>
    <t>295-01</t>
  </si>
  <si>
    <t>KILLION</t>
  </si>
  <si>
    <t>221-01</t>
  </si>
  <si>
    <t>rtdc.l.rtdc.4008:itc</t>
  </si>
  <si>
    <t>73-01</t>
  </si>
  <si>
    <t>218-01</t>
  </si>
  <si>
    <t>1827-01</t>
  </si>
  <si>
    <t>297-01</t>
  </si>
  <si>
    <t>CASSIDY</t>
  </si>
  <si>
    <t>BRANDON</t>
  </si>
  <si>
    <t>220-01</t>
  </si>
  <si>
    <t>303-01</t>
  </si>
  <si>
    <t>223-01</t>
  </si>
  <si>
    <t>1828-01</t>
  </si>
  <si>
    <t>296-01</t>
  </si>
  <si>
    <t>305-01</t>
  </si>
  <si>
    <t>225-01</t>
  </si>
  <si>
    <t>222-01</t>
  </si>
  <si>
    <t>298-01</t>
  </si>
  <si>
    <t>227-01</t>
  </si>
  <si>
    <t>224-01</t>
  </si>
  <si>
    <t>301-01</t>
  </si>
  <si>
    <t>226-01</t>
  </si>
  <si>
    <t>1830-01</t>
  </si>
  <si>
    <t>229-01</t>
  </si>
  <si>
    <t>1831-01</t>
  </si>
  <si>
    <t>231-01</t>
  </si>
  <si>
    <t>233-01</t>
  </si>
  <si>
    <t>230-01</t>
  </si>
  <si>
    <t>1833-01</t>
  </si>
  <si>
    <t>232-01</t>
  </si>
  <si>
    <t>234-01</t>
  </si>
  <si>
    <t>237-01</t>
  </si>
  <si>
    <t>1834-01</t>
  </si>
  <si>
    <t>236-01</t>
  </si>
  <si>
    <t>239-01</t>
  </si>
  <si>
    <t>1902-01</t>
  </si>
  <si>
    <t>241-01</t>
  </si>
  <si>
    <t>238-01</t>
  </si>
  <si>
    <t>240-01</t>
  </si>
  <si>
    <t>242-01</t>
  </si>
  <si>
    <t>313-01</t>
  </si>
  <si>
    <t>307-01</t>
  </si>
  <si>
    <t>244-01</t>
  </si>
  <si>
    <t>309-01</t>
  </si>
  <si>
    <t>311-01</t>
  </si>
  <si>
    <t>clear-day</t>
  </si>
  <si>
    <t>204:1473</t>
  </si>
  <si>
    <t>204:233284</t>
  </si>
  <si>
    <t>204:233280</t>
  </si>
  <si>
    <t>204:232970</t>
  </si>
  <si>
    <t>204:232952</t>
  </si>
  <si>
    <t>204:178</t>
  </si>
  <si>
    <t>204:233298</t>
  </si>
  <si>
    <t>204:233268</t>
  </si>
  <si>
    <t>204:475</t>
  </si>
  <si>
    <t>204:64677</t>
  </si>
  <si>
    <t>204:165</t>
  </si>
  <si>
    <t>204:233289</t>
  </si>
  <si>
    <t>204:232989</t>
  </si>
  <si>
    <t>204:233288</t>
  </si>
  <si>
    <t>204:232984</t>
  </si>
  <si>
    <t>204:233286</t>
  </si>
  <si>
    <t>204:232973</t>
  </si>
  <si>
    <t>204:172</t>
  </si>
  <si>
    <t>204:127</t>
  </si>
  <si>
    <t>204:233308</t>
  </si>
  <si>
    <t>204:232993</t>
  </si>
  <si>
    <t>204:212</t>
  </si>
  <si>
    <t>204:174</t>
  </si>
  <si>
    <t>204:233025</t>
  </si>
  <si>
    <t>204:429</t>
  </si>
  <si>
    <t>204:130</t>
  </si>
  <si>
    <t>204:509</t>
  </si>
  <si>
    <t>204:232986</t>
  </si>
  <si>
    <t>204:893</t>
  </si>
  <si>
    <t>204:233302</t>
  </si>
  <si>
    <t>204:1998</t>
  </si>
  <si>
    <t>204:233315</t>
  </si>
  <si>
    <t>300:58590</t>
  </si>
  <si>
    <t>300:58579</t>
  </si>
  <si>
    <t>204:736</t>
  </si>
  <si>
    <t>300:58920</t>
  </si>
  <si>
    <t>300:58608</t>
  </si>
  <si>
    <t>204:734</t>
  </si>
  <si>
    <t>204:1020</t>
  </si>
  <si>
    <t>300:58912</t>
  </si>
  <si>
    <t>300:58596</t>
  </si>
  <si>
    <t>204:717</t>
  </si>
  <si>
    <t>204:1266</t>
  </si>
  <si>
    <t>300:58907</t>
  </si>
  <si>
    <t>300:58594</t>
  </si>
  <si>
    <t>204:761</t>
  </si>
  <si>
    <t>204:1046</t>
  </si>
  <si>
    <t>300:58926</t>
  </si>
  <si>
    <t>300:58598</t>
  </si>
  <si>
    <t>204:754</t>
  </si>
  <si>
    <t>204:1048</t>
  </si>
  <si>
    <t>300:58604</t>
  </si>
  <si>
    <t>204:703</t>
  </si>
  <si>
    <t>204:988</t>
  </si>
  <si>
    <t>300:58943</t>
  </si>
  <si>
    <t>204:685</t>
  </si>
  <si>
    <t>300:58897</t>
  </si>
  <si>
    <t>204:741</t>
  </si>
  <si>
    <t>204:1920</t>
  </si>
  <si>
    <t>300:58687</t>
  </si>
  <si>
    <t>204:957</t>
  </si>
  <si>
    <t>300:59001</t>
  </si>
  <si>
    <t>300:58685</t>
  </si>
  <si>
    <t>300:58993</t>
  </si>
  <si>
    <t>300:58675</t>
  </si>
  <si>
    <t>204:691</t>
  </si>
  <si>
    <t>204:974</t>
  </si>
  <si>
    <t>300:59005</t>
  </si>
  <si>
    <t>300:58681</t>
  </si>
  <si>
    <t>204:731</t>
  </si>
  <si>
    <t>204:1034</t>
  </si>
  <si>
    <t>300:58992</t>
  </si>
  <si>
    <t>300:58672</t>
  </si>
  <si>
    <t>204:708</t>
  </si>
  <si>
    <t>300:58679</t>
  </si>
  <si>
    <t>204:993</t>
  </si>
  <si>
    <t>300:58997</t>
  </si>
  <si>
    <t>204:978</t>
  </si>
  <si>
    <t>204:233003</t>
  </si>
  <si>
    <t>204:233030</t>
  </si>
  <si>
    <t>300:29718</t>
  </si>
  <si>
    <t>300:58910</t>
  </si>
  <si>
    <t>300:58683</t>
  </si>
  <si>
    <t>300:28789</t>
  </si>
  <si>
    <t>300:23474</t>
  </si>
  <si>
    <t>300:23724</t>
  </si>
  <si>
    <t>204:233342</t>
  </si>
  <si>
    <t>204:233010</t>
  </si>
  <si>
    <t>204:233385</t>
  </si>
  <si>
    <t>204:163823</t>
  </si>
  <si>
    <t>204:422</t>
  </si>
  <si>
    <t>204:233374</t>
  </si>
  <si>
    <t>204:233049</t>
  </si>
  <si>
    <t>204:233406</t>
  </si>
  <si>
    <t>204:233104</t>
  </si>
  <si>
    <t>204:233389</t>
  </si>
  <si>
    <t>204:233100</t>
  </si>
  <si>
    <t>204:233340</t>
  </si>
  <si>
    <t>204:233366</t>
  </si>
  <si>
    <t>204:233066</t>
  </si>
  <si>
    <t>204:233448</t>
  </si>
  <si>
    <t>204:233149</t>
  </si>
  <si>
    <t>204:233040</t>
  </si>
  <si>
    <t>204:233391</t>
  </si>
  <si>
    <t>204:233172</t>
  </si>
  <si>
    <t>204:160</t>
  </si>
  <si>
    <t>204:233341</t>
  </si>
  <si>
    <t>204:233078</t>
  </si>
  <si>
    <t>204:1718</t>
  </si>
  <si>
    <t>300:19582</t>
  </si>
  <si>
    <t>204:4498</t>
  </si>
  <si>
    <t>300:21977</t>
  </si>
  <si>
    <t>204:4520</t>
  </si>
  <si>
    <t>300:22204</t>
  </si>
  <si>
    <t>300:22877</t>
  </si>
  <si>
    <t>300:23291</t>
  </si>
  <si>
    <t>204:400</t>
  </si>
  <si>
    <t>204:3292</t>
  </si>
  <si>
    <t>204:1481</t>
  </si>
  <si>
    <t>204:1139</t>
  </si>
  <si>
    <t>204:3401</t>
  </si>
  <si>
    <t>204:3064</t>
  </si>
  <si>
    <t>204:2965</t>
  </si>
  <si>
    <t>204:1152</t>
  </si>
  <si>
    <t>300:23803</t>
  </si>
  <si>
    <t>204:2204</t>
  </si>
  <si>
    <t>204:1150</t>
  </si>
  <si>
    <t>204:3605</t>
  </si>
  <si>
    <t>204:1484</t>
  </si>
  <si>
    <t>204:3398</t>
  </si>
  <si>
    <t>204:3084</t>
  </si>
  <si>
    <t>start /low /b %USERPROFILE%\Documents\GitHub\eaglep3\Utilities\DownloadLogsFromS3.py --loco 4054 --day 2017-10-01</t>
  </si>
  <si>
    <t>start /low /b %USERPROFILE%\Documents\GitHub\eaglep3\Utilities\DownloadLogsFromS3.py --loco 4043 --day 2017-10-01</t>
  </si>
  <si>
    <t>start /low /b %USERPROFILE%\Documents\GitHub\eaglep3\Utilities\DownloadLogsFromS3.py --loco 4024 --day 2017-10-01</t>
  </si>
  <si>
    <t>start /low /b %USERPROFILE%\Documents\GitHub\eaglep3\Utilities\DownloadLogsFromS3.py --loco 4044 --day 2017-10-01</t>
  </si>
  <si>
    <t>start /low /b %USERPROFILE%\Documents\GitHub\eaglep3\Utilities\DownloadLogsFromS3.py --loco 4060 --day 2017-10-01</t>
  </si>
  <si>
    <t>start /low /b %USERPROFILE%\Documents\GitHub\eaglep3\Utilities\DownloadLogsFromS3.py --loco 4013 --day 2017-10-02</t>
  </si>
  <si>
    <t>start /low /b %USERPROFILE%\Documents\GitHub\eaglep3\Utilities\DownloadLogsFromS3.py --loco 4013 --day 2017-10-01</t>
  </si>
  <si>
    <t>start /low /b %USERPROFILE%\Documents\GitHub\eaglep3\Utilities\DownloadLogsFromS3.py --loco 4059 --day 2017-10-01</t>
  </si>
  <si>
    <t>start /low /b %USERPROFILE%\Documents\GitHub\eaglep3\Utilities\DownloadLogsFromS3.py --loco 4041 --day 2017-10-02</t>
  </si>
  <si>
    <t>start /low /b %USERPROFILE%\Documents\GitHub\eaglep3\Utilities\DownloadLogsFromS3.py --loco 4050 --day 2017-10-01</t>
  </si>
  <si>
    <t>start /low /b %USERPROFILE%\Documents\GitHub\eaglep3\Utilities\DownloadLogsFromS3.py --loco 4043 --day 2017-10-02</t>
  </si>
  <si>
    <t>start /low /b %USERPROFILE%\Documents\GitHub\eaglep3\Utilities\DownloadLogsFromS3.py --loco 4053 --day 2017-10-01</t>
  </si>
  <si>
    <t>start /low /b %USERPROFILE%\Documents\GitHub\eaglep3\Utilities\DownloadLogsFromS3.py --loco 4041 --day 2017-10-01</t>
  </si>
  <si>
    <t>start /low /b %USERPROFILE%\Documents\GitHub\eaglep3\Utilities\DownloadLogsFromS3.py --loco 4017 --day 2017-10-02</t>
  </si>
  <si>
    <t>start /low /b %USERPROFILE%\Documents\GitHub\eaglep3\Utilities\DownloadLogsFromS3.py --loco 4014 --day 2017-10-01</t>
  </si>
  <si>
    <t>start /low /b %USERPROFILE%\Documents\GitHub\eaglep3\Utilities\DownloadLogsFromS3.py --loco 4042 --day 2017-10-02</t>
  </si>
  <si>
    <t>start /low /b %USERPROFILE%\Documents\GitHub\eaglep3\Utilities\DownloadLogsFromS3.py --loco 4024 --day 2017-10-02</t>
  </si>
  <si>
    <t>start /low /b %USERPROFILE%\Documents\GitHub\eaglep3\Utilities\DownloadLogsFromS3.py --loco 4023 --day 2017-10-01</t>
  </si>
  <si>
    <t>start /low /b %USERPROFILE%\Documents\GitHub\eaglep3\Utilities\DownloadLogsFromS3.py --loco 4023 --day 2017-10-02</t>
  </si>
  <si>
    <t>Onboard en route failure</t>
  </si>
  <si>
    <t>Trip delay due to propulsion fault</t>
  </si>
  <si>
    <t>Consist incorrectly populated as FREIGHT</t>
  </si>
  <si>
    <t>Go Broncos!  Go Rockies!</t>
  </si>
  <si>
    <t>1801-01</t>
  </si>
  <si>
    <t>Unable to init due to TMDS consist issue</t>
  </si>
  <si>
    <t>Unable to init due to Wi-MAX data drop</t>
  </si>
  <si>
    <t>Poor GPS at DUS</t>
  </si>
  <si>
    <t>Early arrival exacerbated by Wi-MAX data drop</t>
  </si>
  <si>
    <t>Enforcement due to GPS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</si>
</sst>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3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43009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43009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148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COUNTIFS($N$13:$N$9380,"&gt;0",$AG$13:$AG$9380,I1)</f>
        <v>145</v>
      </c>
      <c r="K5" s="39"/>
      <c r="L5" s="172"/>
      <c r="M5" s="40">
        <f>AVERAGEIFS($N$13:$N$9380,$AG$13:$AG$9380,I1)</f>
        <v>37.83413793136976</v>
      </c>
      <c r="N5" s="38">
        <f t="array" ref="N5">MIN(IF($AG$13:$AG$9380=I1,IF(ISNUMBER($N$13:$N$9380),IF($N$13:$N$9380&gt;0,$N$13:$N$9380))))</f>
        <v>34.233333341544494</v>
      </c>
      <c r="O5" s="3">
        <f t="array" ref="O5">MAX(IF($AG$13:$AG$9380=I1,IF(ISNUMBER($N$13:$N$9380),IF($N$13:$N$9380&gt;0,$N$13:$N$9380))))</f>
        <v>53.633333339821547</v>
      </c>
      <c r="P5" s="2"/>
      <c r="R5" s="163" t="s">
        <v>17</v>
      </c>
      <c r="S5" s="207">
        <f>COUNTIFS($N$13:$N$9380,"&gt;0",$AG$13:$AG$9380,R1)</f>
        <v>34</v>
      </c>
      <c r="T5" s="172"/>
      <c r="U5" s="195"/>
      <c r="V5" s="211">
        <f>AVERAGEIFS($N$13:$N$9380,$AG$13:$AG$9380,R1)</f>
        <v>14.892156863626202</v>
      </c>
      <c r="W5" s="212">
        <f t="array" ref="W5">MIN(IF($AG$13:$AG$9380=R1,IF(ISNUMBER($N$13:$N$9380),IF($N$13:$N$9380&gt;0,$N$13:$N$9380))))</f>
        <v>11.933333335909992</v>
      </c>
      <c r="X5" s="200">
        <f t="array" ref="X5">MAX(IF($AG$13:$AG$9380=R1,IF(ISNUMBER($N$13:$N$9380),IF($N$13:$N$9380&gt;0,$N$13:$N$9380))))</f>
        <v>18.333333333721384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COUNT($O$13:$O$162)</f>
        <v>0</v>
      </c>
      <c r="K6" s="39"/>
      <c r="L6" s="172"/>
      <c r="M6" s="40">
        <f>IFERROR(AVERAGE($O$13:$O$162),0)</f>
        <v>0</v>
      </c>
      <c r="N6" s="38">
        <f>MIN($O$13:$O$162)</f>
        <v>0</v>
      </c>
      <c r="O6" s="3">
        <f>MAX($O$13:$O$162)</f>
        <v>0</v>
      </c>
      <c r="P6" s="2"/>
      <c r="R6" s="164" t="s">
        <v>43</v>
      </c>
      <c r="S6" s="207">
        <f>COUNT($O$13:$O$162)</f>
        <v>0</v>
      </c>
      <c r="T6" s="172"/>
      <c r="U6" s="195"/>
      <c r="V6" s="211">
        <f>IFERROR(AVERAGE($O$13:$O$162),0)</f>
        <v>0</v>
      </c>
      <c r="W6" s="212">
        <f>MIN($O$13:$O$162)</f>
        <v>0</v>
      </c>
      <c r="X6" s="200">
        <f>MAX($O$13:$O$162)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COUNTIFS($P$13:$P$9380,"&gt;0",$AG$13:$AG$9380,I1)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COUNTIFS($P$13:$P$9380,"&gt;0",$AG$13:$AG$9380,R1)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172"/>
      <c r="M8" s="40">
        <f>M5</f>
        <v>37.83413793136976</v>
      </c>
      <c r="N8" s="38">
        <f>N5</f>
        <v>34.233333341544494</v>
      </c>
      <c r="O8" s="3">
        <f>O5</f>
        <v>53.633333339821547</v>
      </c>
      <c r="P8" s="2"/>
      <c r="R8" s="163" t="s">
        <v>16</v>
      </c>
      <c r="S8" s="207">
        <f>S5</f>
        <v>34</v>
      </c>
      <c r="T8" s="172"/>
      <c r="U8" s="195"/>
      <c r="V8" s="211">
        <f>V5</f>
        <v>14.892156863626202</v>
      </c>
      <c r="W8" s="212">
        <f>W5</f>
        <v>11.933333335909992</v>
      </c>
      <c r="X8" s="200">
        <f>X5</f>
        <v>18.333333333721384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0.97972972972972971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0.94444444444444442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- 2017-10-01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AVERAGE(S13:S113)</f>
        <v>0.99250000000000005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190</v>
      </c>
      <c r="AN12" s="46" t="s">
        <v>332</v>
      </c>
      <c r="AO12" s="177" t="s">
        <v>408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628</v>
      </c>
      <c r="B13" s="7">
        <v>4014</v>
      </c>
      <c r="C13" s="21" t="s">
        <v>195</v>
      </c>
      <c r="D13" s="21" t="s">
        <v>578</v>
      </c>
      <c r="E13" s="13">
        <v>43009.12599537037</v>
      </c>
      <c r="F13" s="13">
        <v>43009.13559027778</v>
      </c>
      <c r="G13" s="7">
        <v>68</v>
      </c>
      <c r="H13" s="21" t="s">
        <v>447</v>
      </c>
      <c r="I13" s="13">
        <v>43009.160092592596</v>
      </c>
      <c r="J13" s="7">
        <v>0</v>
      </c>
      <c r="K13" s="89" t="str">
        <f t="shared" ref="K13:K76" si="0">IF(ISEVEN(B13),(B13-1)&amp;"/"&amp;B13,B13&amp;"/"&amp;(B13+1))</f>
        <v>4013/4014</v>
      </c>
      <c r="L13" s="185" t="str">
        <f>VLOOKUP(A13,'Trips&amp;Operators'!$C$1:$G$99911,5,FALSE)</f>
        <v>ROBINSON KADDIBA</v>
      </c>
      <c r="M13" s="6">
        <f t="shared" ref="M13:M76" si="1">I13-F13</f>
        <v>2.4502314816345461E-2</v>
      </c>
      <c r="N13" s="7">
        <f t="shared" ref="N13:N42" si="2">24*60*SUM($M13:$M13)</f>
        <v>35.283333335537463</v>
      </c>
      <c r="O13" s="7"/>
      <c r="P13" s="7"/>
      <c r="Q13" s="22"/>
      <c r="R13" s="167"/>
      <c r="S13" s="221">
        <f t="shared" ref="S13:S42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-01T02:01:26-0600',mode:absolute,to:'2017-10-01T04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>RIGHT(D13,LEN(D13)-4)/10000</f>
        <v>7.0099999999999996E-2</v>
      </c>
      <c r="Z13" s="204">
        <f>RIGHT(H13,LEN(H13)-4)/10000</f>
        <v>23.3309</v>
      </c>
      <c r="AA13" s="204">
        <f t="shared" ref="AA13:AA76" si="7">ABS(Z13-Y13)</f>
        <v>23.2608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/stypes="app*4014*20171001*"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4014 --swversion DE.1.0.9.0 --startMP 204:701 --initTime 2017-10-01T03:01:26 --startdatetime 2017-10-01T03:15:15 --delay 68 --endMP 204:233309 --enddatetime 2017-10-01T03:50:32 --enforcementcount 0 &gt;&gt;c:\users\tmcdowell\Documents\GitHub\eaglep3-reporting\EC\2017-10-01-refined-times.txt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{"issue":{"subject":"","project_id":79,"tracker_id":40,"status_id":1,"priority_id":2,"assigned_to_id":338,"start_date":"2017-10-01","description":"","custom_fields":[{"id":1,"name":"Subdivision","value":"EC"},{"id":4,"name":"Milepost","value":"23.3309"},{"id":17,"name":"Train ID","value":"101-01"},{"id":16,"name":"Locomotive ID","value":"4014"},{"id":130,"name":"Impact","value":""},{"id":150,"name":"Time of Event (Mountain Time)","value":"03:50:32"},{"id":151,"name":"Denver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4014 --day 2017-10-01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-01T02:01:26-0600',mode:absolute,to:'2017-10-01T04:50:32-0600'))&amp;_a=(columns:!('Message%20ID',Summary),filters:!(),index:'emp_*',interval:auto,query:(query_string:(analyze_wildcard:!t,query:'%22rtdc.l.rtdc.4014%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635</v>
      </c>
      <c r="B14" s="7">
        <v>4013</v>
      </c>
      <c r="C14" s="21" t="s">
        <v>195</v>
      </c>
      <c r="D14" s="21" t="s">
        <v>456</v>
      </c>
      <c r="E14" s="13">
        <v>43009.165821759256</v>
      </c>
      <c r="F14" s="13">
        <v>43009.175173611111</v>
      </c>
      <c r="G14" s="7">
        <v>63</v>
      </c>
      <c r="H14" s="21" t="s">
        <v>338</v>
      </c>
      <c r="I14" s="13">
        <v>43009.202314814815</v>
      </c>
      <c r="J14" s="7">
        <v>0</v>
      </c>
      <c r="K14" s="89" t="str">
        <f t="shared" si="0"/>
        <v>4013/4014</v>
      </c>
      <c r="L14" s="185" t="str">
        <f>VLOOKUP(A14,'Trips&amp;Operators'!$C$1:$G$99911,5,FALSE)</f>
        <v>ROBINSON KADDIBA</v>
      </c>
      <c r="M14" s="6">
        <f t="shared" si="1"/>
        <v>2.7141203703649808E-2</v>
      </c>
      <c r="N14" s="7">
        <f t="shared" si="2"/>
        <v>39.083333333255723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-01T02:58:47-0600',mode:absolute,to:'2017-10-01T05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>RIGHT(D14,LEN(D14)-4)/10000</f>
        <v>23.2971</v>
      </c>
      <c r="Z14" s="204">
        <f>RIGHT(H14,LEN(H14)-4)/10000</f>
        <v>1.43E-2</v>
      </c>
      <c r="AA14" s="204">
        <f t="shared" si="7"/>
        <v>23.282800000000002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8"/>
        <v>102</v>
      </c>
      <c r="AE14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4" s="74" t="str">
        <f t="shared" si="10"/>
        <v>"C:\Program Files (x86)\AstroGrep\AstroGrep.exe" /e /r /s /spath="%USERPROFILE%\AppData\Local\Temp\OnboardLogs" /stypes="app*4013*20171001*"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4013 --swversion DE.1.0.9.0 --startMP 204:232971 --initTime 2017-10-01T03:58:47 --startdatetime 2017-10-01T04:12:15 --delay 63 --endMP 204:143 --enddatetime 2017-10-01T04:51:20 --enforcementcount 0 &gt;&gt;c:\users\tmcdowell\Documents\GitHub\eaglep3-reporting\EC\2017-10-01-refined-times.txt</v>
      </c>
      <c r="AI14" s="96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ID","value":"102-01"},{"id":16,"name":"Locomotive ID","value":"4013"},{"id":130,"name":"Impact","value":""},{"id":150,"name":"Time of Event (Mountain Time)","value":"04:51:20"},{"id":151,"name":"Denver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19">"start /low /b "&amp;dls3logs&amp;" --loco "&amp;B14&amp;" --day "&amp;TEXT(F14,"YYYY-MM-DD")</f>
        <v>start /low /b %USERPROFILE%\Documents\GitHub\eaglep3\Utilities\DownloadLogsFromS3.py --loco 4013 --day 2017-10-01</v>
      </c>
      <c r="AN14" s="151" t="str">
        <f t="shared" ref="AN14:AN78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-01T02:58:47-0600',mode:absolute,to:'2017-10-01T05:51:20-0600'))&amp;_a=(columns:!('Message%20ID',Summary),filters:!(),index:'emp_*',interval:auto,query:(query_string:(analyze_wildcard:!t,query:'%22rtdc.l.rtdc.4013%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634</v>
      </c>
      <c r="B15" s="7">
        <v>4016</v>
      </c>
      <c r="C15" s="21" t="s">
        <v>195</v>
      </c>
      <c r="D15" s="21" t="s">
        <v>460</v>
      </c>
      <c r="E15" s="13">
        <v>43009.15483796296</v>
      </c>
      <c r="F15" s="13">
        <v>43009.156469907408</v>
      </c>
      <c r="G15" s="7">
        <v>53</v>
      </c>
      <c r="H15" s="21" t="s">
        <v>568</v>
      </c>
      <c r="I15" s="13">
        <v>43009.18105324074</v>
      </c>
      <c r="J15" s="7">
        <v>0</v>
      </c>
      <c r="K15" s="89" t="str">
        <f t="shared" si="0"/>
        <v>4015/4016</v>
      </c>
      <c r="L15" s="185" t="str">
        <f>VLOOKUP(A15,'Trips&amp;Operators'!$C$1:$G$99911,5,FALSE)</f>
        <v>MAELZER KURT</v>
      </c>
      <c r="M15" s="6">
        <f t="shared" si="1"/>
        <v>2.4583333331975155E-2</v>
      </c>
      <c r="N15" s="7">
        <f t="shared" si="2"/>
        <v>35.399999998044223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-01T02:42:58-0600',mode:absolute,to:'2017-10-01T05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>RIGHT(D15,LEN(D15)-4)/10000</f>
        <v>4.4400000000000002E-2</v>
      </c>
      <c r="Z15" s="204">
        <f>RIGHT(H15,LEN(H15)-4)/10000</f>
        <v>23.331600000000002</v>
      </c>
      <c r="AA15" s="204">
        <f t="shared" si="7"/>
        <v>23.287200000000002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8"/>
        <v>103</v>
      </c>
      <c r="AE15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5" s="74" t="str">
        <f t="shared" si="10"/>
        <v>"C:\Program Files (x86)\AstroGrep\AstroGrep.exe" /e /r /s /spath="%USERPROFILE%\AppData\Local\Temp\OnboardLogs" /stypes="app*4016*20171001*" /stext=" 10:.+((SYSTEM_STATE.+slice.+state.+changed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7"/>
        <v>"%USERPROFILE%\Documents\GitHub\eaglep3\Utilities\RefineRTDCRunTimes.py" --tripid 103-01 --locoid 4016 --swversion DE.1.0.9.0 --startMP 204:444 --initTime 2017-10-01T03:42:58 --startdatetime 2017-10-01T03:45:19 --delay 53 --endMP 204:233316 --enddatetime 2017-10-01T04:20:43 --enforcementcount 0 &gt;&gt;c:\users\tmcdowell\Documents\GitHub\eaglep3-reporting\EC\2017-10-01-refined-times.txt</v>
      </c>
      <c r="AI1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{"issue":{"subject":"","project_id":79,"tracker_id":40,"status_id":1,"priority_id":2,"assigned_to_id":338,"start_date":"2017-10-01","description":"","custom_fields":[{"id":1,"name":"Subdivision","value":"EC"},{"id":4,"name":"Milepost","value":"23.3316"},{"id":17,"name":"Train ID","value":"103-01"},{"id":16,"name":"Locomotive ID","value":"4016"},{"id":130,"name":"Impact","value":""},{"id":150,"name":"Time of Event (Mountain Time)","value":"04:20:43"},{"id":151,"name":"Denver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4016 --day 2017-10-01</v>
      </c>
      <c r="AN1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1"/>
        <v>https://d0f6bd738d7f1b3e5a7ca70fe4ff75f0.us-east-1.aws.found.io/app/kibana#/discover/Steve-Slow-Train-Analysis-(2080s-and-2083s)?_g=(refreshInterval:(display:Off,pause:!f,section:0,value:0),time:(from:'2017-10-01T02:42:58-0600',mode:absolute,to:'2017-10-01T05:20:43-0600'))&amp;_a=(columns:!('Message%20ID',Summary),filters:!(),index:'emp_*',interval:auto,query:(query_string:(analyze_wildcard:!t,query:'%22rtdc.l.rtdc.4016%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645</v>
      </c>
      <c r="B16" s="7">
        <v>4015</v>
      </c>
      <c r="C16" s="21" t="s">
        <v>195</v>
      </c>
      <c r="D16" s="21" t="s">
        <v>557</v>
      </c>
      <c r="E16" s="13">
        <v>43009.18540509259</v>
      </c>
      <c r="F16" s="13">
        <v>43009.196006944447</v>
      </c>
      <c r="G16" s="7">
        <v>52</v>
      </c>
      <c r="H16" s="21" t="s">
        <v>379</v>
      </c>
      <c r="I16" s="13">
        <v>43009.222511574073</v>
      </c>
      <c r="J16" s="7">
        <v>0</v>
      </c>
      <c r="K16" s="89" t="str">
        <f t="shared" si="0"/>
        <v>4015/4016</v>
      </c>
      <c r="L16" s="185" t="str">
        <f>VLOOKUP(A16,'Trips&amp;Operators'!$C$1:$G$99911,5,FALSE)</f>
        <v>MAELZER KURT</v>
      </c>
      <c r="M16" s="6">
        <f t="shared" si="1"/>
        <v>2.6504629626288079E-2</v>
      </c>
      <c r="N16" s="7">
        <f t="shared" si="2"/>
        <v>38.166666661854833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-01T03:26:59-0600',mode:absolute,to:'2017-10-01T06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>RIGHT(D16,LEN(D16)-4)/10000</f>
        <v>23.300899999999999</v>
      </c>
      <c r="Z16" s="204">
        <f>RIGHT(H16,LEN(H16)-4)/10000</f>
        <v>1.3899999999999999E-2</v>
      </c>
      <c r="AA16" s="204">
        <f t="shared" si="7"/>
        <v>23.286999999999999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8"/>
        <v>104</v>
      </c>
      <c r="AE16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6" s="74" t="str">
        <f t="shared" si="10"/>
        <v>"C:\Program Files (x86)\AstroGrep\AstroGrep.exe" /e /r /s /spath="%USERPROFILE%\AppData\Local\Temp\OnboardLogs" /stypes="app*4015*20171001*"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7"/>
        <v>"%USERPROFILE%\Documents\GitHub\eaglep3\Utilities\RefineRTDCRunTimes.py" --tripid 104-01 --locoid 4015 --swversion DE.1.0.9.0 --startMP 204:233009 --initTime 2017-10-01T04:26:59 --startdatetime 2017-10-01T04:42:15 --delay 52 --endMP 204:139 --enddatetime 2017-10-01T05:20:25 --enforcementcount 0 &gt;&gt;c:\users\tmcdowell\Documents\GitHub\eaglep3-reporting\EC\2017-10-01-refined-times.txt</v>
      </c>
      <c r="AI1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ID","value":"104-01"},{"id":16,"name":"Locomotive ID","value":"4015"},{"id":130,"name":"Impact","value":""},{"id":150,"name":"Time of Event (Mountain Time)","value":"05:20:25"},{"id":151,"name":"Denver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4015 --day 2017-10-01</v>
      </c>
      <c r="AN1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1"/>
        <v>https://d0f6bd738d7f1b3e5a7ca70fe4ff75f0.us-east-1.aws.found.io/app/kibana#/discover/Steve-Slow-Train-Analysis-(2080s-and-2083s)?_g=(refreshInterval:(display:Off,pause:!f,section:0,value:0),time:(from:'2017-10-01T03:26:59-0600',mode:absolute,to:'2017-10-01T06:20:25-0600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636</v>
      </c>
      <c r="B17" s="7">
        <v>4060</v>
      </c>
      <c r="C17" s="21" t="s">
        <v>195</v>
      </c>
      <c r="D17" s="21" t="s">
        <v>393</v>
      </c>
      <c r="E17" s="13">
        <v>43009.172280092593</v>
      </c>
      <c r="F17" s="13">
        <v>43009.177245370367</v>
      </c>
      <c r="G17" s="7">
        <v>72</v>
      </c>
      <c r="H17" s="21" t="s">
        <v>471</v>
      </c>
      <c r="I17" s="13">
        <v>43009.203518518516</v>
      </c>
      <c r="J17" s="7">
        <v>0</v>
      </c>
      <c r="K17" s="89" t="str">
        <f t="shared" si="0"/>
        <v>4059/4060</v>
      </c>
      <c r="L17" s="185" t="str">
        <f>VLOOKUP(A17,'Trips&amp;Operators'!$C$1:$G$99911,5,FALSE)</f>
        <v>DAVIS WENDY</v>
      </c>
      <c r="M17" s="6">
        <f t="shared" si="1"/>
        <v>2.6273148148902692E-2</v>
      </c>
      <c r="N17" s="7">
        <f t="shared" si="2"/>
        <v>37.833333334419876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-01T03:08:05-0600',mode:absolute,to:'2017-10-01T05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>RIGHT(D17,LEN(D17)-4)/10000</f>
        <v>4.6600000000000003E-2</v>
      </c>
      <c r="Z17" s="204">
        <f>RIGHT(H17,LEN(H17)-4)/10000</f>
        <v>23.3307</v>
      </c>
      <c r="AA17" s="204">
        <f t="shared" si="7"/>
        <v>23.284099999999999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8"/>
        <v>105</v>
      </c>
      <c r="AE17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17" s="74" t="str">
        <f t="shared" si="10"/>
        <v>"C:\Program Files (x86)\AstroGrep\AstroGrep.exe" /e /r /s /spath="%USERPROFILE%\AppData\Local\Temp\OnboardLogs" /stypes="app*4060*20171001*" /stext=" 10:.+((SYSTEM_STATE.+slice.+state.+changed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7"/>
        <v>"%USERPROFILE%\Documents\GitHub\eaglep3\Utilities\RefineRTDCRunTimes.py" --tripid 105-01 --locoid 4060 --swversion DE.1.0.9.0 --startMP 204:466 --initTime 2017-10-01T04:08:05 --startdatetime 2017-10-01T04:15:14 --delay 72 --endMP 204:233307 --enddatetime 2017-10-01T04:53:04 --enforcementcount 0 &gt;&gt;c:\users\tmcdowell\Documents\GitHub\eaglep3-reporting\EC\2017-10-01-refined-times.txt</v>
      </c>
      <c r="AI1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{"issue":{"subject":"","project_id":79,"tracker_id":40,"status_id":1,"priority_id":2,"assigned_to_id":338,"start_date":"2017-10-01","description":"","custom_fields":[{"id":1,"name":"Subdivision","value":"EC"},{"id":4,"name":"Milepost","value":"23.3307"},{"id":17,"name":"Train ID","value":"105-01"},{"id":16,"name":"Locomotive ID","value":"4060"},{"id":130,"name":"Impact","value":""},{"id":150,"name":"Time of Event (Mountain Time)","value":"04:53:04"},{"id":151,"name":"Denver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4060 --day 2017-10-01</v>
      </c>
      <c r="AN1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1"/>
        <v>https://d0f6bd738d7f1b3e5a7ca70fe4ff75f0.us-east-1.aws.found.io/app/kibana#/discover/Steve-Slow-Train-Analysis-(2080s-and-2083s)?_g=(refreshInterval:(display:Off,pause:!f,section:0,value:0),time:(from:'2017-10-01T03:08:05-0600',mode:absolute,to:'2017-10-01T05:53:04-0600'))&amp;_a=(columns:!('Message%20ID',Summary),filters:!(),index:'emp_*',interval:auto,query:(query_string:(analyze_wildcard:!t,query:'%22rtdc.l.rtdc.4060%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589</v>
      </c>
      <c r="B18" s="7">
        <v>4059</v>
      </c>
      <c r="C18" s="21" t="s">
        <v>195</v>
      </c>
      <c r="D18" s="21" t="s">
        <v>393</v>
      </c>
      <c r="E18" s="13">
        <v>43009.172280092593</v>
      </c>
      <c r="F18" s="13">
        <v>43009.216828703706</v>
      </c>
      <c r="G18" s="7">
        <v>72</v>
      </c>
      <c r="H18" s="21" t="s">
        <v>471</v>
      </c>
      <c r="I18" s="13">
        <v>43009.244837962964</v>
      </c>
      <c r="J18" s="7">
        <v>0</v>
      </c>
      <c r="K18" s="89" t="str">
        <f t="shared" si="0"/>
        <v>4059/4060</v>
      </c>
      <c r="L18" s="185" t="str">
        <f>VLOOKUP(A18,'Trips&amp;Operators'!$C$1:$G$99911,5,FALSE)</f>
        <v>DAVIS WENDY</v>
      </c>
      <c r="M18" s="6">
        <f t="shared" si="1"/>
        <v>2.8009259258396924E-2</v>
      </c>
      <c r="N18" s="7">
        <f t="shared" si="2"/>
        <v>40.33333333209157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-01T03:08:05-0600',mode:absolute,to:'2017-10-01T06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v>23.300899999999999</v>
      </c>
      <c r="Z18" s="204">
        <v>1.3899999999999999E-2</v>
      </c>
      <c r="AA18" s="204">
        <f t="shared" si="7"/>
        <v>23.286999999999999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8"/>
        <v>106</v>
      </c>
      <c r="AE18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18" s="74" t="str">
        <f t="shared" si="10"/>
        <v>"C:\Program Files (x86)\AstroGrep\AstroGrep.exe" /e /r /s /spath="%USERPROFILE%\AppData\Local\Temp\OnboardLogs" /stypes="app*4059*20171001*" /stext=" 11:.+((SYSTEM_STATE.+slice.+state.+changed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ref="AH18" si="22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106-01 --locoid 4059 --swversion DE.1.0.9.0 --startMP 204:466 --initTime 2017-10-01T04:08:05 --startdatetime 2017-10-01T05:12:14 --delay 72 --endMP 204:233307 --enddatetime 2017-10-01T05:52:34 --enforcementcount 0 &gt;&gt;c:\users\tmcdowell\Documents\GitHub\eaglep3-reporting\EC\2017-10-01-refined-times.txt</v>
      </c>
      <c r="AI18" s="96" t="str">
        <f t="shared" ref="AI18" si="23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ID","value":"106-01"},{"id":16,"name":"Locomotive ID","value":"4059"},{"id":130,"name":"Impact","value":""},{"id":150,"name":"Time of Event (Mountain Time)","value":"05:52:34"},{"id":151,"name":"Denver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ref="AM18" si="24">"start /low /b "&amp;dls3logs&amp;" --loco "&amp;B18&amp;" --day "&amp;TEXT(F18,"YYYY-MM-DD")</f>
        <v>start /low /b %USERPROFILE%\Documents\GitHub\eaglep3\Utilities\DownloadLogsFromS3.py --loco 4059 --day 2017-10-01</v>
      </c>
      <c r="AN18" s="151" t="str">
        <f t="shared" ref="AN18" si="25"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ref="AO18" si="26"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Message%20ID',Summary),filters:!(),index:'emp_*',interval:auto,query:"&amp;"(query_string:(analyze_wildcard:!t,query:'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-01T03:08:05-0600',mode:absolute,to:'2017-10-01T06:52:34-0600'))&amp;_a=(columns:!('Message%20ID',Summary),filters:!(),index:'emp_*',interval:auto,query:(query_string:(analyze_wildcard:!t,query:'%22rtdc.l.rtdc.4059%22')),sort:!(Time.ISO8601,asc))</v>
      </c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2" t="s">
        <v>644</v>
      </c>
      <c r="B19" s="7">
        <v>4042</v>
      </c>
      <c r="C19" s="21" t="s">
        <v>195</v>
      </c>
      <c r="D19" s="21" t="s">
        <v>833</v>
      </c>
      <c r="E19" s="13">
        <v>43009.183379629627</v>
      </c>
      <c r="F19" s="13">
        <v>43009.187800925924</v>
      </c>
      <c r="G19" s="7">
        <v>74</v>
      </c>
      <c r="H19" s="21" t="s">
        <v>556</v>
      </c>
      <c r="I19" s="13">
        <v>43009.211574074077</v>
      </c>
      <c r="J19" s="7">
        <v>0</v>
      </c>
      <c r="K19" s="89" t="str">
        <f t="shared" si="0"/>
        <v>4041/4042</v>
      </c>
      <c r="L19" s="185" t="str">
        <f>VLOOKUP(A19,'Trips&amp;Operators'!$C$1:$G$99911,5,FALSE)</f>
        <v>DELGADO DIANAH</v>
      </c>
      <c r="M19" s="6">
        <f t="shared" si="1"/>
        <v>2.3773148153850343E-2</v>
      </c>
      <c r="N19" s="7">
        <f t="shared" si="2"/>
        <v>34.233333341544494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-01T03:24:04-0600',mode:absolute,to:'2017-10-01T06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ref="Y19:Y50" si="27">RIGHT(D19,LEN(D19)-4)/10000</f>
        <v>0.14729999999999999</v>
      </c>
      <c r="Z19" s="204">
        <f t="shared" ref="Z19:Z50" si="28">RIGHT(H19,LEN(H19)-4)/10000</f>
        <v>23.331900000000001</v>
      </c>
      <c r="AA19" s="204">
        <f t="shared" si="7"/>
        <v>23.1846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8"/>
        <v>107</v>
      </c>
      <c r="AE19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9" s="74" t="str">
        <f t="shared" si="10"/>
        <v>"C:\Program Files (x86)\AstroGrep\AstroGrep.exe" /e /r /s /spath="%USERPROFILE%\AppData\Local\Temp\OnboardLogs" /stypes="app*4042*20171001*"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7"/>
        <v>"%USERPROFILE%\Documents\GitHub\eaglep3\Utilities\RefineRTDCRunTimes.py" --tripid 107-01 --locoid 4042 --swversion DE.1.0.9.0 --startMP 204:1473 --initTime 2017-10-01T04:24:04 --startdatetime 2017-10-01T04:30:26 --delay 74 --endMP 204:233319 --enddatetime 2017-10-01T05:04:40 --enforcementcount 0 &gt;&gt;c:\users\tmcdowell\Documents\GitHub\eaglep3-reporting\EC\2017-10-01-refined-times.txt</v>
      </c>
      <c r="AI1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{"issue":{"subject":"","project_id":79,"tracker_id":40,"status_id":1,"priority_id":2,"assigned_to_id":338,"start_date":"2017-10-01","description":"","custom_fields":[{"id":1,"name":"Subdivision","value":"EC"},{"id":4,"name":"Milepost","value":"23.3319"},{"id":17,"name":"Train ID","value":"107-01"},{"id":16,"name":"Locomotive ID","value":"4042"},{"id":130,"name":"Impact","value":""},{"id":150,"name":"Time of Event (Mountain Time)","value":"05:04:40"},{"id":151,"name":"Denver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4042 --day 2017-10-01</v>
      </c>
      <c r="AN1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1"/>
        <v>https://d0f6bd738d7f1b3e5a7ca70fe4ff75f0.us-east-1.aws.found.io/app/kibana#/discover/Steve-Slow-Train-Analysis-(2080s-and-2083s)?_g=(refreshInterval:(display:Off,pause:!f,section:0,value:0),time:(from:'2017-10-01T03:24:04-0600',mode:absolute,to:'2017-10-01T06:04:40-0600'))&amp;_a=(columns:!('Message%20ID',Summary),filters:!(),index:'emp_*',interval:auto,query:(query_string:(analyze_wildcard:!t,query:'%22rtdc.l.rtdc.4042%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651</v>
      </c>
      <c r="B20" s="7">
        <v>4041</v>
      </c>
      <c r="C20" s="21" t="s">
        <v>195</v>
      </c>
      <c r="D20" s="21" t="s">
        <v>413</v>
      </c>
      <c r="E20" s="13">
        <v>43009.217083333337</v>
      </c>
      <c r="F20" s="13">
        <v>43009.227314814816</v>
      </c>
      <c r="G20" s="7">
        <v>64</v>
      </c>
      <c r="H20" s="21" t="s">
        <v>338</v>
      </c>
      <c r="I20" s="13">
        <v>43009.254155092596</v>
      </c>
      <c r="J20" s="7">
        <v>0</v>
      </c>
      <c r="K20" s="89" t="str">
        <f t="shared" si="0"/>
        <v>4041/4042</v>
      </c>
      <c r="L20" s="185" t="str">
        <f>VLOOKUP(A20,'Trips&amp;Operators'!$C$1:$G$99911,5,FALSE)</f>
        <v>DELGADO DIANAH</v>
      </c>
      <c r="M20" s="6">
        <f t="shared" si="1"/>
        <v>2.6840277780138422E-2</v>
      </c>
      <c r="N20" s="7">
        <f t="shared" si="2"/>
        <v>38.650000003399327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-01T04:12:36-0600',mode:absolute,to:'2017-10-01T07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27"/>
        <v>23.2987</v>
      </c>
      <c r="Z20" s="204">
        <f t="shared" si="28"/>
        <v>1.43E-2</v>
      </c>
      <c r="AA20" s="204">
        <f t="shared" si="7"/>
        <v>23.284400000000002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8"/>
        <v>108</v>
      </c>
      <c r="AE20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20" s="74" t="str">
        <f t="shared" si="10"/>
        <v>"C:\Program Files (x86)\AstroGrep\AstroGrep.exe" /e /r /s /spath="%USERPROFILE%\AppData\Local\Temp\OnboardLogs" /stypes="app*4041*20171001*" /stext=" 12:.+((SYSTEM_STATE.+slice.+state.+changed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7"/>
        <v>"%USERPROFILE%\Documents\GitHub\eaglep3\Utilities\RefineRTDCRunTimes.py" --tripid 108-01 --locoid 4041 --swversion DE.1.0.9.0 --startMP 204:232987 --initTime 2017-10-01T05:12:36 --startdatetime 2017-10-01T05:27:20 --delay 64 --endMP 204:143 --enddatetime 2017-10-01T06:05:59 --enforcementcount 0 &gt;&gt;c:\users\tmcdowell\Documents\GitHub\eaglep3-reporting\EC\2017-10-01-refined-times.txt</v>
      </c>
      <c r="AI2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ID","value":"108-01"},{"id":16,"name":"Locomotive ID","value":"4041"},{"id":130,"name":"Impact","value":""},{"id":150,"name":"Time of Event (Mountain Time)","value":"06:05:59"},{"id":151,"name":"Denver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4041 --day 2017-10-01</v>
      </c>
      <c r="AN2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1"/>
        <v>https://d0f6bd738d7f1b3e5a7ca70fe4ff75f0.us-east-1.aws.found.io/app/kibana#/discover/Steve-Slow-Train-Analysis-(2080s-and-2083s)?_g=(refreshInterval:(display:Off,pause:!f,section:0,value:0),time:(from:'2017-10-01T04:12:36-0600',mode:absolute,to:'2017-10-01T07:05:59-0600'))&amp;_a=(columns:!('Message%20ID',Summary),filters:!(),index:'emp_*',interval:auto,query:(query_string:(analyze_wildcard:!t,query:'%22rtdc.l.rtdc.4041%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647</v>
      </c>
      <c r="B21" s="7">
        <v>4012</v>
      </c>
      <c r="C21" s="21" t="s">
        <v>195</v>
      </c>
      <c r="D21" s="21" t="s">
        <v>561</v>
      </c>
      <c r="E21" s="13">
        <v>43009.1950462963</v>
      </c>
      <c r="F21" s="13">
        <v>43009.198113425926</v>
      </c>
      <c r="G21" s="7">
        <v>60</v>
      </c>
      <c r="H21" s="21" t="s">
        <v>834</v>
      </c>
      <c r="I21" s="13">
        <v>43009.222175925926</v>
      </c>
      <c r="J21" s="7">
        <v>0</v>
      </c>
      <c r="K21" s="89" t="str">
        <f t="shared" si="0"/>
        <v>4011/4012</v>
      </c>
      <c r="L21" s="185" t="str">
        <f>VLOOKUP(A21,'Trips&amp;Operators'!$C$1:$G$99911,5,FALSE)</f>
        <v>GEBRETEKLE DAGNEW</v>
      </c>
      <c r="M21" s="6">
        <f t="shared" si="1"/>
        <v>2.4062500000582077E-2</v>
      </c>
      <c r="N21" s="7">
        <f t="shared" si="2"/>
        <v>34.65000000083819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-01T03:40:52-0600',mode:absolute,to:'2017-10-01T06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27"/>
        <v>4.6899999999999997E-2</v>
      </c>
      <c r="Z21" s="204">
        <f t="shared" si="28"/>
        <v>23.328399999999998</v>
      </c>
      <c r="AA21" s="204">
        <f t="shared" si="7"/>
        <v>23.281499999999998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8"/>
        <v>109</v>
      </c>
      <c r="AE21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21" s="74" t="str">
        <f t="shared" si="10"/>
        <v>"C:\Program Files (x86)\AstroGrep\AstroGrep.exe" /e /r /s /spath="%USERPROFILE%\AppData\Local\Temp\OnboardLogs" /stypes="app*4012*20171001*" /stext=" 11:.+((SYSTEM_STATE.+slice.+state.+changed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7"/>
        <v>"%USERPROFILE%\Documents\GitHub\eaglep3\Utilities\RefineRTDCRunTimes.py" --tripid 109-01 --locoid 4012 --swversion DE.1.0.9.0 --startMP 204:469 --initTime 2017-10-01T04:40:52 --startdatetime 2017-10-01T04:45:17 --delay 60 --endMP 204:233284 --enddatetime 2017-10-01T05:19:56 --enforcementcount 0 &gt;&gt;c:\users\tmcdowell\Documents\GitHub\eaglep3-reporting\EC\2017-10-01-refined-times.txt</v>
      </c>
      <c r="AI2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{"issue":{"subject":"","project_id":79,"tracker_id":40,"status_id":1,"priority_id":2,"assigned_to_id":338,"start_date":"2017-10-01","description":"","custom_fields":[{"id":1,"name":"Subdivision","value":"EC"},{"id":4,"name":"Milepost","value":"23.3284"},{"id":17,"name":"Train ID","value":"109-01"},{"id":16,"name":"Locomotive ID","value":"4012"},{"id":130,"name":"Impact","value":""},{"id":150,"name":"Time of Event (Mountain Time)","value":"05:19:56"},{"id":151,"name":"Denver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4012 --day 2017-10-01</v>
      </c>
      <c r="AN2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1"/>
        <v>https://d0f6bd738d7f1b3e5a7ca70fe4ff75f0.us-east-1.aws.found.io/app/kibana#/discover/Steve-Slow-Train-Analysis-(2080s-and-2083s)?_g=(refreshInterval:(display:Off,pause:!f,section:0,value:0),time:(from:'2017-10-01T03:40:52-0600',mode:absolute,to:'2017-10-01T06:19:56-0600'))&amp;_a=(columns:!('Message%20ID',Summary),filters:!(),index:'emp_*',interval:auto,query:(query_string:(analyze_wildcard:!t,query:'%22rtdc.l.rtdc.4012%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655</v>
      </c>
      <c r="B22" s="7">
        <v>4011</v>
      </c>
      <c r="C22" s="21" t="s">
        <v>195</v>
      </c>
      <c r="D22" s="21" t="s">
        <v>401</v>
      </c>
      <c r="E22" s="13">
        <v>43009.223391203705</v>
      </c>
      <c r="F22" s="13">
        <v>43009.237696759257</v>
      </c>
      <c r="G22" s="7">
        <v>51</v>
      </c>
      <c r="H22" s="21" t="s">
        <v>372</v>
      </c>
      <c r="I22" s="13">
        <v>43009.263726851852</v>
      </c>
      <c r="J22" s="7">
        <v>0</v>
      </c>
      <c r="K22" s="89" t="str">
        <f t="shared" si="0"/>
        <v>4011/4012</v>
      </c>
      <c r="L22" s="185" t="str">
        <f>VLOOKUP(A22,'Trips&amp;Operators'!$C$1:$G$99911,5,FALSE)</f>
        <v>GEBRETEKLE DAGNEW</v>
      </c>
      <c r="M22" s="6">
        <f t="shared" si="1"/>
        <v>2.6030092594737653E-2</v>
      </c>
      <c r="N22" s="7">
        <f t="shared" si="2"/>
        <v>37.48333333642222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-01T04:21:41-0600',mode:absolute,to:'2017-10-01T07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27"/>
        <v>23.298200000000001</v>
      </c>
      <c r="Z22" s="204">
        <f t="shared" si="28"/>
        <v>1.5800000000000002E-2</v>
      </c>
      <c r="AA22" s="204">
        <f t="shared" si="7"/>
        <v>23.282400000000003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8"/>
        <v>110</v>
      </c>
      <c r="AE22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22" s="74" t="str">
        <f t="shared" si="10"/>
        <v>"C:\Program Files (x86)\AstroGrep\AstroGrep.exe" /e /r /s /spath="%USERPROFILE%\AppData\Local\Temp\OnboardLogs" /stypes="app*4011*20171001*" /stext=" 12:.+((SYSTEM_STATE.+slice.+state.+changed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7"/>
        <v>"%USERPROFILE%\Documents\GitHub\eaglep3\Utilities\RefineRTDCRunTimes.py" --tripid 110-01 --locoid 4011 --swversion DE.1.0.9.0 --startMP 204:232982 --initTime 2017-10-01T05:21:41 --startdatetime 2017-10-01T05:42:17 --delay 51 --endMP 204:158 --enddatetime 2017-10-01T06:19:46 --enforcementcount 0 &gt;&gt;c:\users\tmcdowell\Documents\GitHub\eaglep3-reporting\EC\2017-10-01-refined-times.txt</v>
      </c>
      <c r="AI2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{"issue":{"subject":"","project_id":79,"tracker_id":40,"status_id":1,"priority_id":2,"assigned_to_id":338,"start_date":"2017-10-01","description":"","custom_fields":[{"id":1,"name":"Subdivision","value":"EC"},{"id":4,"name":"Milepost","value":"0.0158"},{"id":17,"name":"Train ID","value":"110-01"},{"id":16,"name":"Locomotive ID","value":"4011"},{"id":130,"name":"Impact","value":""},{"id":150,"name":"Time of Event (Mountain Time)","value":"06:19:46"},{"id":151,"name":"Denver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4011 --day 2017-10-01</v>
      </c>
      <c r="AN2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1"/>
        <v>https://d0f6bd738d7f1b3e5a7ca70fe4ff75f0.us-east-1.aws.found.io/app/kibana#/discover/Steve-Slow-Train-Analysis-(2080s-and-2083s)?_g=(refreshInterval:(display:Off,pause:!f,section:0,value:0),time:(from:'2017-10-01T04:21:41-0600',mode:absolute,to:'2017-10-01T07:19:46-0600'))&amp;_a=(columns:!('Message%20ID',Summary),filters:!(),index:'emp_*',interval:auto,query:(query_string:(analyze_wildcard:!t,query:'%22rtdc.l.rtdc.4011%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649</v>
      </c>
      <c r="B23" s="7">
        <v>4014</v>
      </c>
      <c r="C23" s="21" t="s">
        <v>195</v>
      </c>
      <c r="D23" s="21" t="s">
        <v>347</v>
      </c>
      <c r="E23" s="13">
        <v>43009.203796296293</v>
      </c>
      <c r="F23" s="13">
        <v>43009.209513888891</v>
      </c>
      <c r="G23" s="7">
        <v>61</v>
      </c>
      <c r="H23" s="21" t="s">
        <v>835</v>
      </c>
      <c r="I23" s="13">
        <v>43009.23574074074</v>
      </c>
      <c r="J23" s="7">
        <v>0</v>
      </c>
      <c r="K23" s="89" t="str">
        <f t="shared" si="0"/>
        <v>4013/4014</v>
      </c>
      <c r="L23" s="185" t="str">
        <f>VLOOKUP(A23,'Trips&amp;Operators'!$C$1:$G$99911,5,FALSE)</f>
        <v>ROBINSON KADDIBA</v>
      </c>
      <c r="M23" s="6">
        <f t="shared" si="1"/>
        <v>2.622685184906004E-2</v>
      </c>
      <c r="N23" s="7">
        <f t="shared" si="2"/>
        <v>37.766666662646458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-01T03:53:28-0600',mode:absolute,to:'2017-10-01T06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27"/>
        <v>4.5499999999999999E-2</v>
      </c>
      <c r="Z23" s="204">
        <f t="shared" si="28"/>
        <v>23.327999999999999</v>
      </c>
      <c r="AA23" s="204">
        <f t="shared" si="7"/>
        <v>23.282499999999999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8"/>
        <v>111</v>
      </c>
      <c r="AE23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23" s="74" t="str">
        <f t="shared" si="10"/>
        <v>"C:\Program Files (x86)\AstroGrep\AstroGrep.exe" /e /r /s /spath="%USERPROFILE%\AppData\Local\Temp\OnboardLogs" /stypes="app*4014*20171001*" /stext=" 11:.+((SYSTEM_STATE.+slice.+state.+changed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7"/>
        <v>"%USERPROFILE%\Documents\GitHub\eaglep3\Utilities\RefineRTDCRunTimes.py" --tripid 111-01 --locoid 4014 --swversion DE.1.0.9.0 --startMP 204:455 --initTime 2017-10-01T04:53:28 --startdatetime 2017-10-01T05:01:42 --delay 61 --endMP 204:233280 --enddatetime 2017-10-01T05:39:28 --enforcementcount 0 &gt;&gt;c:\users\tmcdowell\Documents\GitHub\eaglep3-reporting\EC\2017-10-01-refined-times.txt</v>
      </c>
      <c r="AI2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{"issue":{"subject":"","project_id":79,"tracker_id":40,"status_id":1,"priority_id":2,"assigned_to_id":338,"start_date":"2017-10-01","description":"","custom_fields":[{"id":1,"name":"Subdivision","value":"EC"},{"id":4,"name":"Milepost","value":"23.328"},{"id":17,"name":"Train ID","value":"111-01"},{"id":16,"name":"Locomotive ID","value":"4014"},{"id":130,"name":"Impact","value":""},{"id":150,"name":"Time of Event (Mountain Time)","value":"05:39:28"},{"id":151,"name":"Denver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4014 --day 2017-10-01</v>
      </c>
      <c r="AN2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1"/>
        <v>https://d0f6bd738d7f1b3e5a7ca70fe4ff75f0.us-east-1.aws.found.io/app/kibana#/discover/Steve-Slow-Train-Analysis-(2080s-and-2083s)?_g=(refreshInterval:(display:Off,pause:!f,section:0,value:0),time:(from:'2017-10-01T03:53:28-0600',mode:absolute,to:'2017-10-01T06:39:28-0600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662</v>
      </c>
      <c r="B24" s="7">
        <v>4013</v>
      </c>
      <c r="C24" s="21" t="s">
        <v>195</v>
      </c>
      <c r="D24" s="21" t="s">
        <v>836</v>
      </c>
      <c r="E24" s="13">
        <v>43009.237939814811</v>
      </c>
      <c r="F24" s="13">
        <v>43009.248101851852</v>
      </c>
      <c r="G24" s="7">
        <v>52</v>
      </c>
      <c r="H24" s="21" t="s">
        <v>338</v>
      </c>
      <c r="I24" s="13">
        <v>43009.274918981479</v>
      </c>
      <c r="J24" s="7">
        <v>0</v>
      </c>
      <c r="K24" s="89" t="str">
        <f t="shared" si="0"/>
        <v>4013/4014</v>
      </c>
      <c r="L24" s="185" t="str">
        <f>VLOOKUP(A24,'Trips&amp;Operators'!$C$1:$G$99911,5,FALSE)</f>
        <v>ROBINSON KADDIBA</v>
      </c>
      <c r="M24" s="6">
        <f t="shared" si="1"/>
        <v>2.6817129626579117E-2</v>
      </c>
      <c r="N24" s="7">
        <f t="shared" si="2"/>
        <v>38.616666662273929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-01T04:42:38-0600',mode:absolute,to:'2017-10-01T07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27"/>
        <v>23.297000000000001</v>
      </c>
      <c r="Z24" s="204">
        <f t="shared" si="28"/>
        <v>1.43E-2</v>
      </c>
      <c r="AA24" s="204">
        <f t="shared" si="7"/>
        <v>23.282700000000002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8"/>
        <v>112</v>
      </c>
      <c r="AE24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24" s="74" t="str">
        <f t="shared" si="10"/>
        <v>"C:\Program Files (x86)\AstroGrep\AstroGrep.exe" /e /r /s /spath="%USERPROFILE%\AppData\Local\Temp\OnboardLogs" /stypes="app*4013*20171001*" /stext=" 12:.+((SYSTEM_STATE.+slice.+state.+changed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7"/>
        <v>"%USERPROFILE%\Documents\GitHub\eaglep3\Utilities\RefineRTDCRunTimes.py" --tripid 112-01 --locoid 4013 --swversion DE.1.0.9.0 --startMP 204:232970 --initTime 2017-10-01T05:42:38 --startdatetime 2017-10-01T05:57:16 --delay 52 --endMP 204:143 --enddatetime 2017-10-01T06:35:53 --enforcementcount 0 &gt;&gt;c:\users\tmcdowell\Documents\GitHub\eaglep3-reporting\EC\2017-10-01-refined-times.txt</v>
      </c>
      <c r="AI2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ID","value":"112-01"},{"id":16,"name":"Locomotive ID","value":"4013"},{"id":130,"name":"Impact","value":""},{"id":150,"name":"Time of Event (Mountain Time)","value":"06:35:53"},{"id":151,"name":"Denver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4013 --day 2017-10-01</v>
      </c>
      <c r="AN2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1"/>
        <v>https://d0f6bd738d7f1b3e5a7ca70fe4ff75f0.us-east-1.aws.found.io/app/kibana#/discover/Steve-Slow-Train-Analysis-(2080s-and-2083s)?_g=(refreshInterval:(display:Off,pause:!f,section:0,value:0),time:(from:'2017-10-01T04:42:38-0600',mode:absolute,to:'2017-10-01T07:35:53-0600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650</v>
      </c>
      <c r="B25" s="7">
        <v>4044</v>
      </c>
      <c r="C25" s="21" t="s">
        <v>195</v>
      </c>
      <c r="D25" s="21" t="s">
        <v>474</v>
      </c>
      <c r="E25" s="13">
        <v>43009.213900462964</v>
      </c>
      <c r="F25" s="13">
        <v>43009.218923611108</v>
      </c>
      <c r="G25" s="7">
        <v>111</v>
      </c>
      <c r="H25" s="21" t="s">
        <v>558</v>
      </c>
      <c r="I25" s="13">
        <v>43009.244826388887</v>
      </c>
      <c r="J25" s="7">
        <v>0</v>
      </c>
      <c r="K25" s="89" t="str">
        <f t="shared" si="0"/>
        <v>4043/4044</v>
      </c>
      <c r="L25" s="185" t="str">
        <f>VLOOKUP(A25,'Trips&amp;Operators'!$C$1:$G$99911,5,FALSE)</f>
        <v>WILLIAMS DONTE</v>
      </c>
      <c r="M25" s="6">
        <f t="shared" si="1"/>
        <v>2.5902777779265307E-2</v>
      </c>
      <c r="N25" s="7">
        <f t="shared" si="2"/>
        <v>37.300000002142042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-01T04:08:01-0600',mode:absolute,to:'2017-10-01T06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27"/>
        <v>4.6699999999999998E-2</v>
      </c>
      <c r="Z25" s="204">
        <f t="shared" si="28"/>
        <v>23.3278</v>
      </c>
      <c r="AA25" s="204">
        <f t="shared" si="7"/>
        <v>23.281099999999999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8"/>
        <v>113</v>
      </c>
      <c r="AE25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25" s="74" t="str">
        <f t="shared" si="10"/>
        <v>"C:\Program Files (x86)\AstroGrep\AstroGrep.exe" /e /r /s /spath="%USERPROFILE%\AppData\Local\Temp\OnboardLogs" /stypes="app*4044*20171001*" /stext=" 11:.+((SYSTEM_STATE.+slice.+state.+changed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7"/>
        <v>"%USERPROFILE%\Documents\GitHub\eaglep3\Utilities\RefineRTDCRunTimes.py" --tripid 113-01 --locoid 4044 --swversion DE.1.0.9.0 --startMP 204:467 --initTime 2017-10-01T05:08:01 --startdatetime 2017-10-01T05:15:15 --delay 111 --endMP 204:233278 --enddatetime 2017-10-01T05:52:33 --enforcementcount 0 &gt;&gt;c:\users\tmcdowell\Documents\GitHub\eaglep3-reporting\EC\2017-10-01-refined-times.txt</v>
      </c>
      <c r="AI2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{"issue":{"subject":"","project_id":79,"tracker_id":40,"status_id":1,"priority_id":2,"assigned_to_id":338,"start_date":"2017-10-01","description":"","custom_fields":[{"id":1,"name":"Subdivision","value":"EC"},{"id":4,"name":"Milepost","value":"23.3278"},{"id":17,"name":"Train ID","value":"113-01"},{"id":16,"name":"Locomotive ID","value":"4044"},{"id":130,"name":"Impact","value":""},{"id":150,"name":"Time of Event (Mountain Time)","value":"05:52:33"},{"id":151,"name":"Denver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4044 --day 2017-10-01</v>
      </c>
      <c r="AN2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1"/>
        <v>https://d0f6bd738d7f1b3e5a7ca70fe4ff75f0.us-east-1.aws.found.io/app/kibana#/discover/Steve-Slow-Train-Analysis-(2080s-and-2083s)?_g=(refreshInterval:(display:Off,pause:!f,section:0,value:0),time:(from:'2017-10-01T04:08:01-0600',mode:absolute,to:'2017-10-01T06:52:33-0600'))&amp;_a=(columns:!('Message%20ID',Summary),filters:!(),index:'emp_*',interval:auto,query:(query_string:(analyze_wildcard:!t,query:'%22rtdc.l.rtdc.4044%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664</v>
      </c>
      <c r="B26" s="7">
        <v>4043</v>
      </c>
      <c r="C26" s="21" t="s">
        <v>195</v>
      </c>
      <c r="D26" s="21" t="s">
        <v>837</v>
      </c>
      <c r="E26" s="13">
        <v>43009.25408564815</v>
      </c>
      <c r="F26" s="13">
        <v>43009.258564814816</v>
      </c>
      <c r="G26" s="7">
        <v>97</v>
      </c>
      <c r="H26" s="21" t="s">
        <v>838</v>
      </c>
      <c r="I26" s="13">
        <v>43009.287395833337</v>
      </c>
      <c r="J26" s="7">
        <v>0</v>
      </c>
      <c r="K26" s="89" t="str">
        <f t="shared" si="0"/>
        <v>4043/4044</v>
      </c>
      <c r="L26" s="185" t="str">
        <f>VLOOKUP(A26,'Trips&amp;Operators'!$C$1:$G$99911,5,FALSE)</f>
        <v>WILLIAMS DONTE</v>
      </c>
      <c r="M26" s="6">
        <f t="shared" si="1"/>
        <v>2.8831018520577345E-2</v>
      </c>
      <c r="N26" s="7">
        <f t="shared" si="2"/>
        <v>41.516666669631377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-01T05:05:53-0600',mode:absolute,to:'2017-10-01T07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27"/>
        <v>23.295200000000001</v>
      </c>
      <c r="Z26" s="204">
        <f t="shared" si="28"/>
        <v>1.78E-2</v>
      </c>
      <c r="AA26" s="204">
        <f t="shared" si="7"/>
        <v>23.2774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8"/>
        <v>114</v>
      </c>
      <c r="AE26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26" s="74" t="str">
        <f t="shared" si="10"/>
        <v>"C:\Program Files (x86)\AstroGrep\AstroGrep.exe" /e /r /s /spath="%USERPROFILE%\AppData\Local\Temp\OnboardLogs" /stypes="app*4043*20171001*" /stext=" 12:.+((SYSTEM_STATE.+slice.+state.+changed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7"/>
        <v>"%USERPROFILE%\Documents\GitHub\eaglep3\Utilities\RefineRTDCRunTimes.py" --tripid 114-01 --locoid 4043 --swversion DE.1.0.9.0 --startMP 204:232952 --initTime 2017-10-01T06:05:53 --startdatetime 2017-10-01T06:12:20 --delay 97 --endMP 204:178 --enddatetime 2017-10-01T06:53:51 --enforcementcount 0 &gt;&gt;c:\users\tmcdowell\Documents\GitHub\eaglep3-reporting\EC\2017-10-01-refined-times.txt</v>
      </c>
      <c r="AI2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{"issue":{"subject":"","project_id":79,"tracker_id":40,"status_id":1,"priority_id":2,"assigned_to_id":338,"start_date":"2017-10-01","description":"","custom_fields":[{"id":1,"name":"Subdivision","value":"EC"},{"id":4,"name":"Milepost","value":"0.0178"},{"id":17,"name":"Train ID","value":"114-01"},{"id":16,"name":"Locomotive ID","value":"4043"},{"id":130,"name":"Impact","value":""},{"id":150,"name":"Time of Event (Mountain Time)","value":"06:53:51"},{"id":151,"name":"Denver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4043 --day 2017-10-01</v>
      </c>
      <c r="AN2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1"/>
        <v>https://d0f6bd738d7f1b3e5a7ca70fe4ff75f0.us-east-1.aws.found.io/app/kibana#/discover/Steve-Slow-Train-Analysis-(2080s-and-2083s)?_g=(refreshInterval:(display:Off,pause:!f,section:0,value:0),time:(from:'2017-10-01T05:05:53-0600',mode:absolute,to:'2017-10-01T07:53:51-0600'))&amp;_a=(columns:!('Message%20ID',Summary),filters:!(),index:'emp_*',interval:auto,query:(query_string:(analyze_wildcard:!t,query:'%22rtdc.l.rtdc.4043%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658</v>
      </c>
      <c r="B27" s="7">
        <v>4016</v>
      </c>
      <c r="C27" s="21" t="s">
        <v>195</v>
      </c>
      <c r="D27" s="21" t="s">
        <v>394</v>
      </c>
      <c r="E27" s="13">
        <v>43009.226504629631</v>
      </c>
      <c r="F27" s="13">
        <v>43009.229375000003</v>
      </c>
      <c r="G27" s="7">
        <v>46</v>
      </c>
      <c r="H27" s="21" t="s">
        <v>564</v>
      </c>
      <c r="I27" s="13">
        <v>43009.254120370373</v>
      </c>
      <c r="J27" s="7">
        <v>0</v>
      </c>
      <c r="K27" s="89" t="str">
        <f t="shared" si="0"/>
        <v>4015/4016</v>
      </c>
      <c r="L27" s="185" t="str">
        <f>VLOOKUP(A27,'Trips&amp;Operators'!$C$1:$G$99911,5,FALSE)</f>
        <v>MAELZER KURT</v>
      </c>
      <c r="M27" s="6">
        <f t="shared" si="1"/>
        <v>2.47453703705105E-2</v>
      </c>
      <c r="N27" s="7">
        <f t="shared" si="2"/>
        <v>35.63333333353512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-01T04:26:10-0600',mode:absolute,to:'2017-10-01T07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27"/>
        <v>4.4699999999999997E-2</v>
      </c>
      <c r="Z27" s="204">
        <f t="shared" si="28"/>
        <v>23.332100000000001</v>
      </c>
      <c r="AA27" s="204">
        <f t="shared" si="7"/>
        <v>23.287400000000002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8"/>
        <v>115</v>
      </c>
      <c r="AE27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27" s="74" t="str">
        <f t="shared" si="10"/>
        <v>"C:\Program Files (x86)\AstroGrep\AstroGrep.exe" /e /r /s /spath="%USERPROFILE%\AppData\Local\Temp\OnboardLogs" /stypes="app*4016*20171001*"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7"/>
        <v>"%USERPROFILE%\Documents\GitHub\eaglep3\Utilities\RefineRTDCRunTimes.py" --tripid 115-01 --locoid 4016 --swversion DE.1.0.9.0 --startMP 204:447 --initTime 2017-10-01T05:26:10 --startdatetime 2017-10-01T05:30:18 --delay 46 --endMP 204:233321 --enddatetime 2017-10-01T06:05:56 --enforcementcount 0 &gt;&gt;c:\users\tmcdowell\Documents\GitHub\eaglep3-reporting\EC\2017-10-01-refined-times.txt</v>
      </c>
      <c r="AI2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ID","value":"115-01"},{"id":16,"name":"Locomotive ID","value":"4016"},{"id":130,"name":"Impact","value":""},{"id":150,"name":"Time of Event (Mountain Time)","value":"06:05:56"},{"id":151,"name":"Denver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4016 --day 2017-10-01</v>
      </c>
      <c r="AN2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1"/>
        <v>https://d0f6bd738d7f1b3e5a7ca70fe4ff75f0.us-east-1.aws.found.io/app/kibana#/discover/Steve-Slow-Train-Analysis-(2080s-and-2083s)?_g=(refreshInterval:(display:Off,pause:!f,section:0,value:0),time:(from:'2017-10-01T04:26:10-0600',mode:absolute,to:'2017-10-01T07:05:56-0600'))&amp;_a=(columns:!('Message%20ID',Summary),filters:!(),index:'emp_*',interval:auto,query:(query_string:(analyze_wildcard:!t,query:'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666</v>
      </c>
      <c r="B28" s="7">
        <v>4015</v>
      </c>
      <c r="C28" s="21" t="s">
        <v>195</v>
      </c>
      <c r="D28" s="21" t="s">
        <v>566</v>
      </c>
      <c r="E28" s="13">
        <v>43009.261608796296</v>
      </c>
      <c r="F28" s="13">
        <v>43009.268912037034</v>
      </c>
      <c r="G28" s="7">
        <v>47</v>
      </c>
      <c r="H28" s="21" t="s">
        <v>361</v>
      </c>
      <c r="I28" s="13">
        <v>43009.295208333337</v>
      </c>
      <c r="J28" s="7">
        <v>0</v>
      </c>
      <c r="K28" s="89" t="str">
        <f t="shared" si="0"/>
        <v>4015/4016</v>
      </c>
      <c r="L28" s="185" t="str">
        <f>VLOOKUP(A28,'Trips&amp;Operators'!$C$1:$G$99911,5,FALSE)</f>
        <v>MAELZER KURT</v>
      </c>
      <c r="M28" s="6">
        <f t="shared" si="1"/>
        <v>2.6296296302461997E-2</v>
      </c>
      <c r="N28" s="7">
        <f t="shared" si="2"/>
        <v>37.866666675545275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-01T05:16:43-0600',mode:absolute,to:'2017-10-01T08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27"/>
        <v>23.301100000000002</v>
      </c>
      <c r="Z28" s="204">
        <f t="shared" si="28"/>
        <v>1.4500000000000001E-2</v>
      </c>
      <c r="AA28" s="204">
        <f t="shared" si="7"/>
        <v>23.2866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8"/>
        <v>116</v>
      </c>
      <c r="AE28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28" s="74" t="str">
        <f t="shared" si="10"/>
        <v>"C:\Program Files (x86)\AstroGrep\AstroGrep.exe" /e /r /s /spath="%USERPROFILE%\AppData\Local\Temp\OnboardLogs" /stypes="app*4015*20171001*" /stext=" 13:.+((SYSTEM_STATE.+slice.+state.+changed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7"/>
        <v>"%USERPROFILE%\Documents\GitHub\eaglep3\Utilities\RefineRTDCRunTimes.py" --tripid 116-01 --locoid 4015 --swversion DE.1.0.9.0 --startMP 204:233011 --initTime 2017-10-01T06:16:43 --startdatetime 2017-10-01T06:27:14 --delay 47 --endMP 204:145 --enddatetime 2017-10-01T07:05:06 --enforcementcount 0 &gt;&gt;c:\users\tmcdowell\Documents\GitHub\eaglep3-reporting\EC\2017-10-01-refined-times.txt</v>
      </c>
      <c r="AI2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ID","value":"116-01"},{"id":16,"name":"Locomotive ID","value":"4015"},{"id":130,"name":"Impact","value":""},{"id":150,"name":"Time of Event (Mountain Time)","value":"07:05:06"},{"id":151,"name":"Denver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4015 --day 2017-10-01</v>
      </c>
      <c r="AN2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1"/>
        <v>https://d0f6bd738d7f1b3e5a7ca70fe4ff75f0.us-east-1.aws.found.io/app/kibana#/discover/Steve-Slow-Train-Analysis-(2080s-and-2083s)?_g=(refreshInterval:(display:Off,pause:!f,section:0,value:0),time:(from:'2017-10-01T05:16:43-0600',mode:absolute,to:'2017-10-01T08:05:06-0600'))&amp;_a=(columns:!('Message%20ID',Summary),filters:!(),index:'emp_*',interval:auto,query:(query_string:(analyze_wildcard:!t,query:'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661</v>
      </c>
      <c r="B29" s="7">
        <v>4054</v>
      </c>
      <c r="C29" s="21" t="s">
        <v>195</v>
      </c>
      <c r="D29" s="21" t="s">
        <v>458</v>
      </c>
      <c r="E29" s="13">
        <v>43009.236932870372</v>
      </c>
      <c r="F29" s="13">
        <v>43009.23978009259</v>
      </c>
      <c r="G29" s="7">
        <v>76</v>
      </c>
      <c r="H29" s="21" t="s">
        <v>395</v>
      </c>
      <c r="I29" s="13">
        <v>43009.263958333337</v>
      </c>
      <c r="J29" s="7">
        <v>0</v>
      </c>
      <c r="K29" s="89" t="str">
        <f t="shared" si="0"/>
        <v>4053/4054</v>
      </c>
      <c r="L29" s="185" t="str">
        <f>VLOOKUP(A29,'Trips&amp;Operators'!$C$1:$G$99911,5,FALSE)</f>
        <v>LAMAR NEKESHA</v>
      </c>
      <c r="M29" s="6">
        <f t="shared" si="1"/>
        <v>2.4178240746550728E-2</v>
      </c>
      <c r="N29" s="7">
        <f t="shared" si="2"/>
        <v>34.816666675033048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-01T04:41:11-0600',mode:absolute,to:'2017-10-01T07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27"/>
        <v>4.7699999999999999E-2</v>
      </c>
      <c r="Z29" s="204">
        <f t="shared" si="28"/>
        <v>23.3293</v>
      </c>
      <c r="AA29" s="204">
        <f t="shared" si="7"/>
        <v>23.281600000000001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8"/>
        <v>117</v>
      </c>
      <c r="AE29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29" s="74" t="str">
        <f t="shared" si="10"/>
        <v>"C:\Program Files (x86)\AstroGrep\AstroGrep.exe" /e /r /s /spath="%USERPROFILE%\AppData\Local\Temp\OnboardLogs" /stypes="app*4054*20171001*" /stext=" 12:.+((SYSTEM_STATE.+slice.+state.+changed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7"/>
        <v>"%USERPROFILE%\Documents\GitHub\eaglep3\Utilities\RefineRTDCRunTimes.py" --tripid 117-01 --locoid 4054 --swversion DE.1.0.9.0 --startMP 204:477 --initTime 2017-10-01T05:41:11 --startdatetime 2017-10-01T05:45:17 --delay 76 --endMP 204:233293 --enddatetime 2017-10-01T06:20:06 --enforcementcount 0 &gt;&gt;c:\users\tmcdowell\Documents\GitHub\eaglep3-reporting\EC\2017-10-01-refined-times.txt</v>
      </c>
      <c r="AI2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ID","value":"117-01"},{"id":16,"name":"Locomotive ID","value":"4054"},{"id":130,"name":"Impact","value":""},{"id":150,"name":"Time of Event (Mountain Time)","value":"06:20:06"},{"id":151,"name":"Denver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4054 --day 2017-10-01</v>
      </c>
      <c r="AN2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1"/>
        <v>https://d0f6bd738d7f1b3e5a7ca70fe4ff75f0.us-east-1.aws.found.io/app/kibana#/discover/Steve-Slow-Train-Analysis-(2080s-and-2083s)?_g=(refreshInterval:(display:Off,pause:!f,section:0,value:0),time:(from:'2017-10-01T04:41:11-0600',mode:absolute,to:'2017-10-01T07:20:06-0600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590</v>
      </c>
      <c r="B30" s="7">
        <v>4053</v>
      </c>
      <c r="C30" s="21" t="s">
        <v>195</v>
      </c>
      <c r="D30" s="21" t="s">
        <v>497</v>
      </c>
      <c r="E30" s="13">
        <v>43009.276504629626</v>
      </c>
      <c r="F30" s="13">
        <v>43009.279340277775</v>
      </c>
      <c r="G30" s="7">
        <v>67</v>
      </c>
      <c r="H30" s="21" t="s">
        <v>357</v>
      </c>
      <c r="I30" s="13">
        <v>43009.305219907408</v>
      </c>
      <c r="J30" s="7">
        <v>0</v>
      </c>
      <c r="K30" s="89" t="str">
        <f t="shared" si="0"/>
        <v>4053/4054</v>
      </c>
      <c r="L30" s="185" t="str">
        <f>VLOOKUP(A30,'Trips&amp;Operators'!$C$1:$G$99911,5,FALSE)</f>
        <v>LAMAR NEKESHA</v>
      </c>
      <c r="M30" s="6">
        <f t="shared" si="1"/>
        <v>2.587962963298196E-2</v>
      </c>
      <c r="N30" s="7">
        <f t="shared" si="2"/>
        <v>37.266666671494022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-01T05:38:10-0600',mode:absolute,to:'2017-10-01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27"/>
        <v>23.298999999999999</v>
      </c>
      <c r="Z30" s="204">
        <f t="shared" si="28"/>
        <v>1.52E-2</v>
      </c>
      <c r="AA30" s="204">
        <f t="shared" si="7"/>
        <v>23.283799999999999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8"/>
        <v>118</v>
      </c>
      <c r="AE30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30" s="74" t="str">
        <f t="shared" si="10"/>
        <v>"C:\Program Files (x86)\AstroGrep\AstroGrep.exe" /e /r /s /spath="%USERPROFILE%\AppData\Local\Temp\OnboardLogs" /stypes="app*4053*20171001*" /stext=" 13:.+((SYSTEM_STATE.+slice.+state.+changed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7"/>
        <v>"%USERPROFILE%\Documents\GitHub\eaglep3\Utilities\RefineRTDCRunTimes.py" --tripid 118-01 --locoid 4053 --swversion DE.1.0.9.0 --startMP 204:232990 --initTime 2017-10-01T06:38:10 --startdatetime 2017-10-01T06:42:15 --delay 67 --endMP 204:152 --enddatetime 2017-10-01T07:19:31 --enforcementcount 0 &gt;&gt;c:\users\tmcdowell\Documents\GitHub\eaglep3-reporting\EC\2017-10-01-refined-times.txt</v>
      </c>
      <c r="AI3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ID","value":"118-01"},{"id":16,"name":"Locomotive ID","value":"4053"},{"id":130,"name":"Impact","value":""},{"id":150,"name":"Time of Event (Mountain Time)","value":"07:19:31"},{"id":151,"name":"Denver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4053 --day 2017-10-01</v>
      </c>
      <c r="AN3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1"/>
        <v>https://d0f6bd738d7f1b3e5a7ca70fe4ff75f0.us-east-1.aws.found.io/app/kibana#/discover/Steve-Slow-Train-Analysis-(2080s-and-2083s)?_g=(refreshInterval:(display:Off,pause:!f,section:0,value:0),time:(from:'2017-10-01T05:38:10-0600',mode:absolute,to:'2017-10-01T08:19:31-0600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663</v>
      </c>
      <c r="B31" s="7">
        <v>4060</v>
      </c>
      <c r="C31" s="21" t="s">
        <v>195</v>
      </c>
      <c r="D31" s="21" t="s">
        <v>360</v>
      </c>
      <c r="E31" s="13">
        <v>43009.247152777774</v>
      </c>
      <c r="F31" s="13">
        <v>43009.250208333331</v>
      </c>
      <c r="G31" s="7">
        <v>62</v>
      </c>
      <c r="H31" s="21" t="s">
        <v>839</v>
      </c>
      <c r="I31" s="13">
        <v>43009.277581018519</v>
      </c>
      <c r="J31" s="7">
        <v>0</v>
      </c>
      <c r="K31" s="89" t="str">
        <f t="shared" si="0"/>
        <v>4059/4060</v>
      </c>
      <c r="L31" s="185" t="str">
        <f>VLOOKUP(A31,'Trips&amp;Operators'!$C$1:$G$99911,5,FALSE)</f>
        <v>DAVIS WENDY</v>
      </c>
      <c r="M31" s="6">
        <f t="shared" si="1"/>
        <v>2.7372685188311152E-2</v>
      </c>
      <c r="N31" s="7">
        <f t="shared" si="2"/>
        <v>39.416666671168059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-01T04:55:54-0600',mode:absolute,to:'2017-10-01T07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27"/>
        <v>4.6399999999999997E-2</v>
      </c>
      <c r="Z31" s="204">
        <f t="shared" si="28"/>
        <v>23.329799999999999</v>
      </c>
      <c r="AA31" s="204">
        <f t="shared" si="7"/>
        <v>23.2834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8"/>
        <v>119</v>
      </c>
      <c r="AE31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31" s="74" t="str">
        <f t="shared" si="10"/>
        <v>"C:\Program Files (x86)\AstroGrep\AstroGrep.exe" /e /r /s /spath="%USERPROFILE%\AppData\Local\Temp\OnboardLogs" /stypes="app*4060*20171001*" /stext=" 12:.+((SYSTEM_STATE.+slice.+state.+changed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7"/>
        <v>"%USERPROFILE%\Documents\GitHub\eaglep3\Utilities\RefineRTDCRunTimes.py" --tripid 119-01 --locoid 4060 --swversion DE.1.0.9.0 --startMP 204:464 --initTime 2017-10-01T05:55:54 --startdatetime 2017-10-01T06:00:18 --delay 62 --endMP 204:233298 --enddatetime 2017-10-01T06:39:43 --enforcementcount 0 &gt;&gt;c:\users\tmcdowell\Documents\GitHub\eaglep3-reporting\EC\2017-10-01-refined-times.txt</v>
      </c>
      <c r="AI3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ID","value":"119-01"},{"id":16,"name":"Locomotive ID","value":"4060"},{"id":130,"name":"Impact","value":""},{"id":150,"name":"Time of Event (Mountain Time)","value":"06:39:43"},{"id":151,"name":"Denver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4060 --day 2017-10-01</v>
      </c>
      <c r="AN3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1"/>
        <v>https://d0f6bd738d7f1b3e5a7ca70fe4ff75f0.us-east-1.aws.found.io/app/kibana#/discover/Steve-Slow-Train-Analysis-(2080s-and-2083s)?_g=(refreshInterval:(display:Off,pause:!f,section:0,value:0),time:(from:'2017-10-01T04:55:54-0600',mode:absolute,to:'2017-10-01T07:39:43-0600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591</v>
      </c>
      <c r="B32" s="7">
        <v>4059</v>
      </c>
      <c r="C32" s="21" t="s">
        <v>195</v>
      </c>
      <c r="D32" s="21" t="s">
        <v>413</v>
      </c>
      <c r="E32" s="13">
        <v>43009.278703703705</v>
      </c>
      <c r="F32" s="13">
        <v>43009.289733796293</v>
      </c>
      <c r="G32" s="7">
        <v>49</v>
      </c>
      <c r="H32" s="21" t="s">
        <v>357</v>
      </c>
      <c r="I32" s="13">
        <v>43009.316724537035</v>
      </c>
      <c r="J32" s="7">
        <v>0</v>
      </c>
      <c r="K32" s="89" t="str">
        <f t="shared" si="0"/>
        <v>4059/4060</v>
      </c>
      <c r="L32" s="185" t="str">
        <f>VLOOKUP(A32,'Trips&amp;Operators'!$C$1:$G$99911,5,FALSE)</f>
        <v>DAVIS WENDY</v>
      </c>
      <c r="M32" s="6">
        <f t="shared" si="1"/>
        <v>2.6990740741894115E-2</v>
      </c>
      <c r="N32" s="7">
        <f t="shared" si="2"/>
        <v>38.866666668327525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27"/>
        <v>23.2987</v>
      </c>
      <c r="Z32" s="204">
        <f t="shared" si="28"/>
        <v>1.52E-2</v>
      </c>
      <c r="AA32" s="204">
        <f t="shared" si="7"/>
        <v>23.2835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8"/>
        <v>120</v>
      </c>
      <c r="AE32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32" s="74" t="str">
        <f t="shared" si="10"/>
        <v>"C:\Program Files (x86)\AstroGrep\AstroGrep.exe" /e /r /s /spath="%USERPROFILE%\AppData\Local\Temp\OnboardLogs" /stypes="app*4059*20171001*" /stext=" 13:.+((SYSTEM_STATE.+slice.+state.+changed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7"/>
        <v>"%USERPROFILE%\Documents\GitHub\eaglep3\Utilities\RefineRTDCRunTimes.py" --tripid 120-01 --locoid 4059 --swversion DE.1.0.9.0 --startMP 204:232987 --initTime 2017-10-01T06:41:20 --startdatetime 2017-10-01T06:57:13 --delay 49 --endMP 204:152 --enddatetime 2017-10-01T07:36:05 --enforcementcount 0 &gt;&gt;c:\users\tmcdowell\Documents\GitHub\eaglep3-reporting\EC\2017-10-01-refined-times.txt</v>
      </c>
      <c r="AI3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ID","value":"120-01"},{"id":16,"name":"Locomotive ID","value":"4059"},{"id":130,"name":"Impact","value":""},{"id":150,"name":"Time of Event (Mountain Time)","value":"07:36:05"},{"id":151,"name":"Denver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4059 --day 2017-10-01</v>
      </c>
      <c r="AN3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1"/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665</v>
      </c>
      <c r="B33" s="7">
        <v>4042</v>
      </c>
      <c r="C33" s="21" t="s">
        <v>195</v>
      </c>
      <c r="D33" s="21" t="s">
        <v>501</v>
      </c>
      <c r="E33" s="13">
        <v>43009.256655092591</v>
      </c>
      <c r="F33" s="13">
        <v>43009.260717592595</v>
      </c>
      <c r="G33" s="7">
        <v>200</v>
      </c>
      <c r="H33" s="21" t="s">
        <v>840</v>
      </c>
      <c r="I33" s="13">
        <v>43009.285914351851</v>
      </c>
      <c r="J33" s="7">
        <v>0</v>
      </c>
      <c r="K33" s="89" t="str">
        <f t="shared" si="0"/>
        <v>4041/4042</v>
      </c>
      <c r="L33" s="185" t="str">
        <f>VLOOKUP(A33,'Trips&amp;Operators'!$C$1:$G$99911,5,FALSE)</f>
        <v>LANGERAK WILLIAM</v>
      </c>
      <c r="M33" s="6">
        <f t="shared" si="1"/>
        <v>2.5196759255777579E-2</v>
      </c>
      <c r="N33" s="7">
        <f t="shared" si="2"/>
        <v>36.283333328319713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-01T05:09:35-0600',mode:absolute,to:'2017-10-01T07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27"/>
        <v>4.4900000000000002E-2</v>
      </c>
      <c r="Z33" s="204">
        <f t="shared" si="28"/>
        <v>23.326799999999999</v>
      </c>
      <c r="AA33" s="204">
        <f t="shared" si="7"/>
        <v>23.2819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8"/>
        <v>121</v>
      </c>
      <c r="AE33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33" s="74" t="str">
        <f t="shared" si="10"/>
        <v>"C:\Program Files (x86)\AstroGrep\AstroGrep.exe" /e /r /s /spath="%USERPROFILE%\AppData\Local\Temp\OnboardLogs" /stypes="app*4042*20171001*" /stext=" 12:.+((SYSTEM_STATE.+slice.+state.+changed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7"/>
        <v>"%USERPROFILE%\Documents\GitHub\eaglep3\Utilities\RefineRTDCRunTimes.py" --tripid 121-01 --locoid 4042 --swversion DE.1.0.9.0 --startMP 204:449 --initTime 2017-10-01T06:09:35 --startdatetime 2017-10-01T06:15:26 --delay 200 --endMP 204:233268 --enddatetime 2017-10-01T06:51:43 --enforcementcount 0 &gt;&gt;c:\users\tmcdowell\Documents\GitHub\eaglep3-reporting\EC\2017-10-01-refined-times.txt</v>
      </c>
      <c r="AI3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{"issue":{"subject":"","project_id":79,"tracker_id":40,"status_id":1,"priority_id":2,"assigned_to_id":338,"start_date":"2017-10-01","description":"","custom_fields":[{"id":1,"name":"Subdivision","value":"EC"},{"id":4,"name":"Milepost","value":"23.3268"},{"id":17,"name":"Train ID","value":"121-01"},{"id":16,"name":"Locomotive ID","value":"4042"},{"id":130,"name":"Impact","value":""},{"id":150,"name":"Time of Event (Mountain Time)","value":"06:51:43"},{"id":151,"name":"Denver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4042 --day 2017-10-01</v>
      </c>
      <c r="AN3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1"/>
        <v>https://d0f6bd738d7f1b3e5a7ca70fe4ff75f0.us-east-1.aws.found.io/app/kibana#/discover/Steve-Slow-Train-Analysis-(2080s-and-2083s)?_g=(refreshInterval:(display:Off,pause:!f,section:0,value:0),time:(from:'2017-10-01T05:09:35-0600',mode:absolute,to:'2017-10-01T07:51:43-0600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670</v>
      </c>
      <c r="B34" s="7">
        <v>4041</v>
      </c>
      <c r="C34" s="21" t="s">
        <v>195</v>
      </c>
      <c r="D34" s="21" t="s">
        <v>837</v>
      </c>
      <c r="E34" s="13">
        <v>43009.287719907406</v>
      </c>
      <c r="F34" s="13">
        <v>43009.300208333334</v>
      </c>
      <c r="G34" s="7">
        <v>66</v>
      </c>
      <c r="H34" s="21" t="s">
        <v>361</v>
      </c>
      <c r="I34" s="13">
        <v>43009.32708333333</v>
      </c>
      <c r="J34" s="7">
        <v>0</v>
      </c>
      <c r="K34" s="89" t="str">
        <f t="shared" si="0"/>
        <v>4041/4042</v>
      </c>
      <c r="L34" s="185" t="str">
        <f>VLOOKUP(A34,'Trips&amp;Operators'!$C$1:$G$99911,5,FALSE)</f>
        <v>LANGERAK WILLIAM</v>
      </c>
      <c r="M34" s="6">
        <f t="shared" si="1"/>
        <v>2.6874999995925464E-2</v>
      </c>
      <c r="N34" s="7">
        <f t="shared" si="2"/>
        <v>38.699999994132668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-01T05:54:19-0600',mode:absolute,to:'2017-10-01T08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27"/>
        <v>23.295200000000001</v>
      </c>
      <c r="Z34" s="204">
        <f t="shared" si="28"/>
        <v>1.4500000000000001E-2</v>
      </c>
      <c r="AA34" s="204">
        <f t="shared" si="7"/>
        <v>23.2807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8"/>
        <v>122</v>
      </c>
      <c r="AE34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34" s="74" t="str">
        <f t="shared" si="10"/>
        <v>"C:\Program Files (x86)\AstroGrep\AstroGrep.exe" /e /r /s /spath="%USERPROFILE%\AppData\Local\Temp\OnboardLogs" /stypes="app*4041*20171001*" /stext=" 13:.+((SYSTEM_STATE.+slice.+state.+changed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7"/>
        <v>"%USERPROFILE%\Documents\GitHub\eaglep3\Utilities\RefineRTDCRunTimes.py" --tripid 122-01 --locoid 4041 --swversion DE.1.0.9.0 --startMP 204:232952 --initTime 2017-10-01T06:54:19 --startdatetime 2017-10-01T07:12:18 --delay 66 --endMP 204:145 --enddatetime 2017-10-01T07:51:00 --enforcementcount 0 &gt;&gt;c:\users\tmcdowell\Documents\GitHub\eaglep3-reporting\EC\2017-10-01-refined-times.txt</v>
      </c>
      <c r="AI3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ID","value":"122-01"},{"id":16,"name":"Locomotive ID","value":"4041"},{"id":130,"name":"Impact","value":""},{"id":150,"name":"Time of Event (Mountain Time)","value":"07:51:00"},{"id":151,"name":"Denver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4041 --day 2017-10-01</v>
      </c>
      <c r="AN3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1"/>
        <v>https://d0f6bd738d7f1b3e5a7ca70fe4ff75f0.us-east-1.aws.found.io/app/kibana#/discover/Steve-Slow-Train-Analysis-(2080s-and-2083s)?_g=(refreshInterval:(display:Off,pause:!f,section:0,value:0),time:(from:'2017-10-01T05:54:19-0600',mode:absolute,to:'2017-10-01T08:51:00-0600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667</v>
      </c>
      <c r="B35" s="7">
        <v>4012</v>
      </c>
      <c r="C35" s="21" t="s">
        <v>195</v>
      </c>
      <c r="D35" s="21" t="s">
        <v>841</v>
      </c>
      <c r="E35" s="13">
        <v>43009.266319444447</v>
      </c>
      <c r="F35" s="13">
        <v>43009.271041666667</v>
      </c>
      <c r="G35" s="7">
        <v>52</v>
      </c>
      <c r="H35" s="21" t="s">
        <v>395</v>
      </c>
      <c r="I35" s="13">
        <v>43009.295787037037</v>
      </c>
      <c r="J35" s="7">
        <v>0</v>
      </c>
      <c r="K35" s="89" t="str">
        <f t="shared" si="0"/>
        <v>4011/4012</v>
      </c>
      <c r="L35" s="185" t="str">
        <f>VLOOKUP(A35,'Trips&amp;Operators'!$C$1:$G$99911,5,FALSE)</f>
        <v>GEBRETEKLE DAGNEW</v>
      </c>
      <c r="M35" s="6">
        <f t="shared" si="1"/>
        <v>2.47453703705105E-2</v>
      </c>
      <c r="N35" s="7">
        <f t="shared" si="2"/>
        <v>35.63333333353512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-01T05:23:30-0600',mode:absolute,to:'2017-10-01T08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27"/>
        <v>4.7500000000000001E-2</v>
      </c>
      <c r="Z35" s="204">
        <f t="shared" si="28"/>
        <v>23.3293</v>
      </c>
      <c r="AA35" s="204">
        <f t="shared" si="7"/>
        <v>23.2818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8"/>
        <v>123</v>
      </c>
      <c r="AE35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35" s="74" t="str">
        <f t="shared" si="10"/>
        <v>"C:\Program Files (x86)\AstroGrep\AstroGrep.exe" /e /r /s /spath="%USERPROFILE%\AppData\Local\Temp\OnboardLogs" /stypes="app*4012*20171001*"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7"/>
        <v>"%USERPROFILE%\Documents\GitHub\eaglep3\Utilities\RefineRTDCRunTimes.py" --tripid 123-01 --locoid 4012 --swversion DE.1.0.9.0 --startMP 204:475 --initTime 2017-10-01T06:23:30 --startdatetime 2017-10-01T06:30:18 --delay 52 --endMP 204:233293 --enddatetime 2017-10-01T07:05:56 --enforcementcount 0 &gt;&gt;c:\users\tmcdowell\Documents\GitHub\eaglep3-reporting\EC\2017-10-01-refined-times.txt</v>
      </c>
      <c r="AI3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ID","value":"123-01"},{"id":16,"name":"Locomotive ID","value":"4012"},{"id":130,"name":"Impact","value":""},{"id":150,"name":"Time of Event (Mountain Time)","value":"07:05:56"},{"id":151,"name":"Denver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4012 --day 2017-10-01</v>
      </c>
      <c r="AN3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1"/>
        <v>https://d0f6bd738d7f1b3e5a7ca70fe4ff75f0.us-east-1.aws.found.io/app/kibana#/discover/Steve-Slow-Train-Analysis-(2080s-and-2083s)?_g=(refreshInterval:(display:Off,pause:!f,section:0,value:0),time:(from:'2017-10-01T05:23:30-0600',mode:absolute,to:'2017-10-01T08:05:56-0600'))&amp;_a=(columns:!('Message%20ID',Summary),filters:!(),index:'emp_*',interval:auto,query:(query_string:(analyze_wildcard:!t,query:'%22rtdc.l.rtdc.4012%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673</v>
      </c>
      <c r="B36" s="7">
        <v>4011</v>
      </c>
      <c r="C36" s="21" t="s">
        <v>195</v>
      </c>
      <c r="D36" s="21" t="s">
        <v>367</v>
      </c>
      <c r="E36" s="13">
        <v>43009.297002314815</v>
      </c>
      <c r="F36" s="13">
        <v>43009.310601851852</v>
      </c>
      <c r="G36" s="7">
        <v>51</v>
      </c>
      <c r="H36" s="21" t="s">
        <v>368</v>
      </c>
      <c r="I36" s="13">
        <v>43009.336157407408</v>
      </c>
      <c r="J36" s="7">
        <v>0</v>
      </c>
      <c r="K36" s="89" t="str">
        <f t="shared" si="0"/>
        <v>4011/4012</v>
      </c>
      <c r="L36" s="185" t="str">
        <f>VLOOKUP(A36,'Trips&amp;Operators'!$C$1:$G$99911,5,FALSE)</f>
        <v>GEBRETEKLE DAGNEW</v>
      </c>
      <c r="M36" s="6">
        <f t="shared" si="1"/>
        <v>2.5555555555911269E-2</v>
      </c>
      <c r="N36" s="7">
        <f t="shared" si="2"/>
        <v>36.800000000512227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-01T06:07:41-0600',mode:absolute,to:'2017-10-01T09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27"/>
        <v>23.297699999999999</v>
      </c>
      <c r="Z36" s="204">
        <f t="shared" si="28"/>
        <v>1.61E-2</v>
      </c>
      <c r="AA36" s="204">
        <f t="shared" si="7"/>
        <v>23.281599999999997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8"/>
        <v>124</v>
      </c>
      <c r="AE36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36" s="74" t="str">
        <f t="shared" si="10"/>
        <v>"C:\Program Files (x86)\AstroGrep\AstroGrep.exe" /e /r /s /spath="%USERPROFILE%\AppData\Local\Temp\OnboardLogs" /stypes="app*4011*20171001*" /stext=" 14:.+((SYSTEM_STATE.+slice.+state.+changed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7"/>
        <v>"%USERPROFILE%\Documents\GitHub\eaglep3\Utilities\RefineRTDCRunTimes.py" --tripid 124-01 --locoid 4011 --swversion DE.1.0.9.0 --startMP 204:232977 --initTime 2017-10-01T07:07:41 --startdatetime 2017-10-01T07:27:16 --delay 51 --endMP 204:161 --enddatetime 2017-10-01T08:04:04 --enforcementcount 0 &gt;&gt;c:\users\tmcdowell\Documents\GitHub\eaglep3-reporting\EC\2017-10-01-refined-times.txt</v>
      </c>
      <c r="AI3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{"issue":{"subject":"","project_id":79,"tracker_id":40,"status_id":1,"priority_id":2,"assigned_to_id":338,"start_date":"2017-10-01","description":"","custom_fields":[{"id":1,"name":"Subdivision","value":"EC"},{"id":4,"name":"Milepost","value":"0.0161"},{"id":17,"name":"Train ID","value":"124-01"},{"id":16,"name":"Locomotive ID","value":"4011"},{"id":130,"name":"Impact","value":""},{"id":150,"name":"Time of Event (Mountain Time)","value":"08:04:04"},{"id":151,"name":"Denver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4011 --day 2017-10-01</v>
      </c>
      <c r="AN3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1"/>
        <v>https://d0f6bd738d7f1b3e5a7ca70fe4ff75f0.us-east-1.aws.found.io/app/kibana#/discover/Steve-Slow-Train-Analysis-(2080s-and-2083s)?_g=(refreshInterval:(display:Off,pause:!f,section:0,value:0),time:(from:'2017-10-01T06:07:41-0600',mode:absolute,to:'2017-10-01T09:04:04-0600'))&amp;_a=(columns:!('Message%20ID',Summary),filters:!(),index:'emp_*',interval:auto,query:(query_string:(analyze_wildcard:!t,query:'%22rtdc.l.rtdc.4011%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669</v>
      </c>
      <c r="B37" s="7">
        <v>4014</v>
      </c>
      <c r="C37" s="21" t="s">
        <v>195</v>
      </c>
      <c r="D37" s="21" t="s">
        <v>393</v>
      </c>
      <c r="E37" s="13">
        <v>43009.27652777778</v>
      </c>
      <c r="F37" s="13">
        <v>43009.281446759262</v>
      </c>
      <c r="G37" s="7">
        <v>54</v>
      </c>
      <c r="H37" s="21" t="s">
        <v>395</v>
      </c>
      <c r="I37" s="13">
        <v>43009.305648148147</v>
      </c>
      <c r="J37" s="7">
        <v>0</v>
      </c>
      <c r="K37" s="89" t="str">
        <f t="shared" si="0"/>
        <v>4013/4014</v>
      </c>
      <c r="L37" s="185" t="str">
        <f>VLOOKUP(A37,'Trips&amp;Operators'!$C$1:$G$99911,5,FALSE)</f>
        <v>ROBINSON KADDIBA</v>
      </c>
      <c r="M37" s="6">
        <f t="shared" si="1"/>
        <v>2.4201388885558117E-2</v>
      </c>
      <c r="N37" s="7">
        <f t="shared" si="2"/>
        <v>34.849999995203689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-01T05:38:12-0600',mode:absolute,to:'2017-10-01T08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27"/>
        <v>4.6600000000000003E-2</v>
      </c>
      <c r="Z37" s="204">
        <f t="shared" si="28"/>
        <v>23.3293</v>
      </c>
      <c r="AA37" s="204">
        <f t="shared" si="7"/>
        <v>23.282699999999998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8"/>
        <v>125</v>
      </c>
      <c r="AE37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37" s="74" t="str">
        <f t="shared" si="10"/>
        <v>"C:\Program Files (x86)\AstroGrep\AstroGrep.exe" /e /r /s /spath="%USERPROFILE%\AppData\Local\Temp\OnboardLogs" /stypes="app*4014*20171001*" /stext=" 13:.+((SYSTEM_STATE.+slice.+state.+changed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7"/>
        <v>"%USERPROFILE%\Documents\GitHub\eaglep3\Utilities\RefineRTDCRunTimes.py" --tripid 125-01 --locoid 4014 --swversion DE.1.0.9.0 --startMP 204:466 --initTime 2017-10-01T06:38:12 --startdatetime 2017-10-01T06:45:17 --delay 54 --endMP 204:233293 --enddatetime 2017-10-01T07:20:08 --enforcementcount 0 &gt;&gt;c:\users\tmcdowell\Documents\GitHub\eaglep3-reporting\EC\2017-10-01-refined-times.txt</v>
      </c>
      <c r="AI3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ID","value":"125-01"},{"id":16,"name":"Locomotive ID","value":"4014"},{"id":130,"name":"Impact","value":""},{"id":150,"name":"Time of Event (Mountain Time)","value":"07:20:08"},{"id":151,"name":"Denver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4014 --day 2017-10-01</v>
      </c>
      <c r="AN3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1"/>
        <v>https://d0f6bd738d7f1b3e5a7ca70fe4ff75f0.us-east-1.aws.found.io/app/kibana#/discover/Steve-Slow-Train-Analysis-(2080s-and-2083s)?_g=(refreshInterval:(display:Off,pause:!f,section:0,value:0),time:(from:'2017-10-01T05:38:12-0600',mode:absolute,to:'2017-10-01T08:20:08-0600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676</v>
      </c>
      <c r="B38" s="7">
        <v>4013</v>
      </c>
      <c r="C38" s="21" t="s">
        <v>195</v>
      </c>
      <c r="D38" s="21" t="s">
        <v>405</v>
      </c>
      <c r="E38" s="13">
        <v>43009.312326388892</v>
      </c>
      <c r="F38" s="13">
        <v>43009.321006944447</v>
      </c>
      <c r="G38" s="7">
        <v>55</v>
      </c>
      <c r="H38" s="21" t="s">
        <v>341</v>
      </c>
      <c r="I38" s="13">
        <v>43009.348726851851</v>
      </c>
      <c r="J38" s="7">
        <v>0</v>
      </c>
      <c r="K38" s="89" t="str">
        <f t="shared" si="0"/>
        <v>4013/4014</v>
      </c>
      <c r="L38" s="185" t="str">
        <f>VLOOKUP(A38,'Trips&amp;Operators'!$C$1:$G$99911,5,FALSE)</f>
        <v>ROBINSON KADDIBA</v>
      </c>
      <c r="M38" s="6">
        <f t="shared" si="1"/>
        <v>2.7719907404389232E-2</v>
      </c>
      <c r="N38" s="7">
        <f t="shared" si="2"/>
        <v>39.916666662320495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-01T06:29:45-0600',mode:absolute,to:'2017-10-01T09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27"/>
        <v>23.297499999999999</v>
      </c>
      <c r="Z38" s="204">
        <f t="shared" si="28"/>
        <v>1.47E-2</v>
      </c>
      <c r="AA38" s="204">
        <f t="shared" si="7"/>
        <v>23.282799999999998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8"/>
        <v>126</v>
      </c>
      <c r="AE38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38" s="74" t="str">
        <f t="shared" si="10"/>
        <v>"C:\Program Files (x86)\AstroGrep\AstroGrep.exe" /e /r /s /spath="%USERPROFILE%\AppData\Local\Temp\OnboardLogs" /stypes="app*4013*20171001*" /stext=" 14:.+((SYSTEM_STATE.+slice.+state.+changed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7"/>
        <v>"%USERPROFILE%\Documents\GitHub\eaglep3\Utilities\RefineRTDCRunTimes.py" --tripid 126-01 --locoid 4013 --swversion DE.1.0.9.0 --startMP 204:232975 --initTime 2017-10-01T07:29:45 --startdatetime 2017-10-01T07:42:15 --delay 55 --endMP 204:147 --enddatetime 2017-10-01T08:22:10 --enforcementcount 0 &gt;&gt;c:\users\tmcdowell\Documents\GitHub\eaglep3-reporting\EC\2017-10-01-refined-times.txt</v>
      </c>
      <c r="AI3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ID","value":"126-01"},{"id":16,"name":"Locomotive ID","value":"4013"},{"id":130,"name":"Impact","value":""},{"id":150,"name":"Time of Event (Mountain Time)","value":"08:22:10"},{"id":151,"name":"Denver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4013 --day 2017-10-01</v>
      </c>
      <c r="AN3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1"/>
        <v>https://d0f6bd738d7f1b3e5a7ca70fe4ff75f0.us-east-1.aws.found.io/app/kibana#/discover/Steve-Slow-Train-Analysis-(2080s-and-2083s)?_g=(refreshInterval:(display:Off,pause:!f,section:0,value:0),time:(from:'2017-10-01T06:29:45-0600',mode:absolute,to:'2017-10-01T09:22:10-0600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671</v>
      </c>
      <c r="B39" s="7">
        <v>4044</v>
      </c>
      <c r="C39" s="21" t="s">
        <v>195</v>
      </c>
      <c r="D39" s="21" t="s">
        <v>560</v>
      </c>
      <c r="E39" s="13">
        <v>43009.289097222223</v>
      </c>
      <c r="F39" s="13">
        <v>43009.291921296295</v>
      </c>
      <c r="G39" s="7">
        <v>94</v>
      </c>
      <c r="H39" s="21" t="s">
        <v>457</v>
      </c>
      <c r="I39" s="13">
        <v>43009.317685185182</v>
      </c>
      <c r="J39" s="7">
        <v>0</v>
      </c>
      <c r="K39" s="89" t="str">
        <f t="shared" si="0"/>
        <v>4043/4044</v>
      </c>
      <c r="L39" s="185" t="str">
        <f>VLOOKUP(A39,'Trips&amp;Operators'!$C$1:$G$99911,5,FALSE)</f>
        <v>WILLIAMS DONTE</v>
      </c>
      <c r="M39" s="6">
        <f t="shared" si="1"/>
        <v>2.5763888887013309E-2</v>
      </c>
      <c r="N39" s="7">
        <f t="shared" si="2"/>
        <v>37.099999997299165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-01T05:56:18-0600',mode:absolute,to:'2017-10-01T08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27"/>
        <v>4.8000000000000001E-2</v>
      </c>
      <c r="Z39" s="204">
        <f t="shared" si="28"/>
        <v>23.330400000000001</v>
      </c>
      <c r="AA39" s="204">
        <f t="shared" si="7"/>
        <v>23.282400000000003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8"/>
        <v>127</v>
      </c>
      <c r="AE39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39" s="74" t="str">
        <f t="shared" si="10"/>
        <v>"C:\Program Files (x86)\AstroGrep\AstroGrep.exe" /e /r /s /spath="%USERPROFILE%\AppData\Local\Temp\OnboardLogs" /stypes="app*4044*20171001*" /stext=" 13:.+((SYSTEM_STATE.+slice.+state.+changed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7"/>
        <v>"%USERPROFILE%\Documents\GitHub\eaglep3\Utilities\RefineRTDCRunTimes.py" --tripid 127-01 --locoid 4044 --swversion DE.1.0.9.0 --startMP 204:480 --initTime 2017-10-01T06:56:18 --startdatetime 2017-10-01T07:00:22 --delay 94 --endMP 204:233304 --enddatetime 2017-10-01T07:37:28 --enforcementcount 0 &gt;&gt;c:\users\tmcdowell\Documents\GitHub\eaglep3-reporting\EC\2017-10-01-refined-times.txt</v>
      </c>
      <c r="AI3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{"issue":{"subject":"","project_id":79,"tracker_id":40,"status_id":1,"priority_id":2,"assigned_to_id":338,"start_date":"2017-10-01","description":"","custom_fields":[{"id":1,"name":"Subdivision","value":"EC"},{"id":4,"name":"Milepost","value":"23.3304"},{"id":17,"name":"Train ID","value":"127-01"},{"id":16,"name":"Locomotive ID","value":"4044"},{"id":130,"name":"Impact","value":""},{"id":150,"name":"Time of Event (Mountain Time)","value":"07:37:28"},{"id":151,"name":"Denver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4044 --day 2017-10-01</v>
      </c>
      <c r="AN3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1"/>
        <v>https://d0f6bd738d7f1b3e5a7ca70fe4ff75f0.us-east-1.aws.found.io/app/kibana#/discover/Steve-Slow-Train-Analysis-(2080s-and-2083s)?_g=(refreshInterval:(display:Off,pause:!f,section:0,value:0),time:(from:'2017-10-01T05:56:18-0600',mode:absolute,to:'2017-10-01T08:37:28-0600'))&amp;_a=(columns:!('Message%20ID',Summary),filters:!(),index:'emp_*',interval:auto,query:(query_string:(analyze_wildcard:!t,query:'%22rtdc.l.rtdc.4044%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678</v>
      </c>
      <c r="B40" s="7">
        <v>4043</v>
      </c>
      <c r="C40" s="21" t="s">
        <v>195</v>
      </c>
      <c r="D40" s="21" t="s">
        <v>384</v>
      </c>
      <c r="E40" s="13">
        <v>43009.326828703706</v>
      </c>
      <c r="F40" s="13">
        <v>43009.331435185188</v>
      </c>
      <c r="G40" s="7">
        <v>126</v>
      </c>
      <c r="H40" s="21" t="s">
        <v>391</v>
      </c>
      <c r="I40" s="13">
        <v>43009.359351851854</v>
      </c>
      <c r="J40" s="7">
        <v>0</v>
      </c>
      <c r="K40" s="89" t="str">
        <f t="shared" si="0"/>
        <v>4043/4044</v>
      </c>
      <c r="L40" s="185" t="str">
        <f>VLOOKUP(A40,'Trips&amp;Operators'!$C$1:$G$99911,5,FALSE)</f>
        <v>WILLIAMS DONTE</v>
      </c>
      <c r="M40" s="6">
        <f t="shared" si="1"/>
        <v>2.7916666665987577E-2</v>
      </c>
      <c r="N40" s="7">
        <f t="shared" si="2"/>
        <v>40.199999999022111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-01T06:50:38-0600',mode:absolute,to:'2017-10-01T09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27"/>
        <v>23.299600000000002</v>
      </c>
      <c r="Z40" s="204">
        <f t="shared" si="28"/>
        <v>1.54E-2</v>
      </c>
      <c r="AA40" s="204">
        <f t="shared" si="7"/>
        <v>23.284200000000002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8"/>
        <v>128</v>
      </c>
      <c r="AE40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40" s="74" t="str">
        <f t="shared" si="10"/>
        <v>"C:\Program Files (x86)\AstroGrep\AstroGrep.exe" /e /r /s /spath="%USERPROFILE%\AppData\Local\Temp\OnboardLogs" /stypes="app*4043*20171001*" /stext=" 14:.+((SYSTEM_STATE.+slice.+state.+changed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7"/>
        <v>"%USERPROFILE%\Documents\GitHub\eaglep3\Utilities\RefineRTDCRunTimes.py" --tripid 128-01 --locoid 4043 --swversion DE.1.0.9.0 --startMP 204:232996 --initTime 2017-10-01T07:50:38 --startdatetime 2017-10-01T07:57:16 --delay 126 --endMP 204:154 --enddatetime 2017-10-01T08:37:28 --enforcementcount 0 &gt;&gt;c:\users\tmcdowell\Documents\GitHub\eaglep3-reporting\EC\2017-10-01-refined-times.txt</v>
      </c>
      <c r="AI4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ID","value":"128-01"},{"id":16,"name":"Locomotive ID","value":"4043"},{"id":130,"name":"Impact","value":""},{"id":150,"name":"Time of Event (Mountain Time)","value":"08:37:28"},{"id":151,"name":"Denver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4043 --day 2017-10-01</v>
      </c>
      <c r="AN4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1"/>
        <v>https://d0f6bd738d7f1b3e5a7ca70fe4ff75f0.us-east-1.aws.found.io/app/kibana#/discover/Steve-Slow-Train-Analysis-(2080s-and-2083s)?_g=(refreshInterval:(display:Off,pause:!f,section:0,value:0),time:(from:'2017-10-01T06:50:38-0600',mode:absolute,to:'2017-10-01T09:37:28-0600'))&amp;_a=(columns:!('Message%20ID',Summary),filters:!(),index:'emp_*',interval:auto,query:(query_string:(analyze_wildcard:!t,query:'%22rtdc.l.rtdc.4043%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674</v>
      </c>
      <c r="B41" s="7">
        <v>4016</v>
      </c>
      <c r="C41" s="21" t="s">
        <v>195</v>
      </c>
      <c r="D41" s="21" t="s">
        <v>369</v>
      </c>
      <c r="E41" s="13">
        <v>43009.297337962962</v>
      </c>
      <c r="F41" s="13">
        <v>43009.30228009259</v>
      </c>
      <c r="G41" s="7">
        <v>53</v>
      </c>
      <c r="H41" s="21" t="s">
        <v>395</v>
      </c>
      <c r="I41" s="13">
        <v>43009.327384259261</v>
      </c>
      <c r="J41" s="7">
        <v>0</v>
      </c>
      <c r="K41" s="89" t="str">
        <f t="shared" si="0"/>
        <v>4015/4016</v>
      </c>
      <c r="L41" s="185" t="str">
        <f>VLOOKUP(A41,'Trips&amp;Operators'!$C$1:$G$99911,5,FALSE)</f>
        <v>MAELZER KURT</v>
      </c>
      <c r="M41" s="6">
        <f t="shared" si="1"/>
        <v>2.510416667064419E-2</v>
      </c>
      <c r="N41" s="7">
        <f t="shared" si="2"/>
        <v>36.150000005727634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-01T06:08:10-0600',mode:absolute,to:'2017-10-01T08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27"/>
        <v>4.4200000000000003E-2</v>
      </c>
      <c r="Z41" s="204">
        <f t="shared" si="28"/>
        <v>23.3293</v>
      </c>
      <c r="AA41" s="204">
        <f t="shared" si="7"/>
        <v>23.2851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8"/>
        <v>129</v>
      </c>
      <c r="AE41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41" s="74" t="str">
        <f t="shared" si="10"/>
        <v>"C:\Program Files (x86)\AstroGrep\AstroGrep.exe" /e /r /s /spath="%USERPROFILE%\AppData\Local\Temp\OnboardLogs" /stypes="app*4016*20171001*" /stext=" 13:.+((SYSTEM_STATE.+slice.+state.+changed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7"/>
        <v>"%USERPROFILE%\Documents\GitHub\eaglep3\Utilities\RefineRTDCRunTimes.py" --tripid 129-01 --locoid 4016 --swversion DE.1.0.9.0 --startMP 204:442 --initTime 2017-10-01T07:08:10 --startdatetime 2017-10-01T07:15:17 --delay 53 --endMP 204:233293 --enddatetime 2017-10-01T07:51:26 --enforcementcount 0 &gt;&gt;c:\users\tmcdowell\Documents\GitHub\eaglep3-reporting\EC\2017-10-01-refined-times.txt</v>
      </c>
      <c r="AI4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ID","value":"129-01"},{"id":16,"name":"Locomotive ID","value":"4016"},{"id":130,"name":"Impact","value":""},{"id":150,"name":"Time of Event (Mountain Time)","value":"07:51:26"},{"id":151,"name":"Denver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4016 --day 2017-10-01</v>
      </c>
      <c r="AN4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1"/>
        <v>https://d0f6bd738d7f1b3e5a7ca70fe4ff75f0.us-east-1.aws.found.io/app/kibana#/discover/Steve-Slow-Train-Analysis-(2080s-and-2083s)?_g=(refreshInterval:(display:Off,pause:!f,section:0,value:0),time:(from:'2017-10-01T06:08:10-0600',mode:absolute,to:'2017-10-01T08:51:26-0600'))&amp;_a=(columns:!('Message%20ID',Summary),filters:!(),index:'emp_*',interval:auto,query:(query_string:(analyze_wildcard:!t,query:'%22rtdc.l.rtdc.4016%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680</v>
      </c>
      <c r="B42" s="7">
        <v>4015</v>
      </c>
      <c r="C42" s="21" t="s">
        <v>195</v>
      </c>
      <c r="D42" s="21" t="s">
        <v>414</v>
      </c>
      <c r="E42" s="13">
        <v>43009.334027777775</v>
      </c>
      <c r="F42" s="13">
        <v>43009.342002314814</v>
      </c>
      <c r="G42" s="7">
        <v>49</v>
      </c>
      <c r="H42" s="21" t="s">
        <v>379</v>
      </c>
      <c r="I42" s="13">
        <v>43009.368078703701</v>
      </c>
      <c r="J42" s="7">
        <v>0</v>
      </c>
      <c r="K42" s="89" t="str">
        <f t="shared" si="0"/>
        <v>4015/4016</v>
      </c>
      <c r="L42" s="185" t="str">
        <f>VLOOKUP(A42,'Trips&amp;Operators'!$C$1:$G$99911,5,FALSE)</f>
        <v>MAELZER KURT</v>
      </c>
      <c r="M42" s="6">
        <f t="shared" si="1"/>
        <v>2.6076388887304347E-2</v>
      </c>
      <c r="N42" s="7">
        <f t="shared" si="2"/>
        <v>37.54999999771826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-01T07:01:00-0600',mode:absolute,to:'2017-10-01T09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27"/>
        <v>23.2988</v>
      </c>
      <c r="Z42" s="204">
        <f t="shared" si="28"/>
        <v>1.3899999999999999E-2</v>
      </c>
      <c r="AA42" s="204">
        <f t="shared" si="7"/>
        <v>23.2849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8"/>
        <v>130</v>
      </c>
      <c r="AE42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42" s="74" t="str">
        <f t="shared" si="10"/>
        <v>"C:\Program Files (x86)\AstroGrep\AstroGrep.exe" /e /r /s /spath="%USERPROFILE%\AppData\Local\Temp\OnboardLogs" /stypes="app*4015*20171001*" /stext=" 14:.+((SYSTEM_STATE.+slice.+state.+changed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7"/>
        <v>"%USERPROFILE%\Documents\GitHub\eaglep3\Utilities\RefineRTDCRunTimes.py" --tripid 130-01 --locoid 4015 --swversion DE.1.0.9.0 --startMP 204:232988 --initTime 2017-10-01T08:01:00 --startdatetime 2017-10-01T08:12:29 --delay 49 --endMP 204:139 --enddatetime 2017-10-01T08:50:02 --enforcementcount 0 &gt;&gt;c:\users\tmcdowell\Documents\GitHub\eaglep3-reporting\EC\2017-10-01-refined-times.txt</v>
      </c>
      <c r="AI4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ID","value":"130-01"},{"id":16,"name":"Locomotive ID","value":"4015"},{"id":130,"name":"Impact","value":""},{"id":150,"name":"Time of Event (Mountain Time)","value":"08:50:02"},{"id":151,"name":"Denver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4015 --day 2017-10-01</v>
      </c>
      <c r="AN4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1"/>
        <v>https://d0f6bd738d7f1b3e5a7ca70fe4ff75f0.us-east-1.aws.found.io/app/kibana#/discover/Steve-Slow-Train-Analysis-(2080s-and-2083s)?_g=(refreshInterval:(display:Off,pause:!f,section:0,value:0),time:(from:'2017-10-01T07:01:00-0600',mode:absolute,to:'2017-10-01T09:50:02-0600'))&amp;_a=(columns:!('Message%20ID',Summary),filters:!(),index:'emp_*',interval:auto,query:(query_string:(analyze_wildcard:!t,query:'%22rtdc.l.rtdc.4015%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675</v>
      </c>
      <c r="B43" s="7">
        <v>4054</v>
      </c>
      <c r="C43" s="21" t="s">
        <v>195</v>
      </c>
      <c r="D43" s="21" t="s">
        <v>339</v>
      </c>
      <c r="E43" s="13">
        <v>43009.306481481479</v>
      </c>
      <c r="F43" s="13">
        <v>43009.323981481481</v>
      </c>
      <c r="G43" s="7">
        <v>47</v>
      </c>
      <c r="H43" s="21" t="s">
        <v>339</v>
      </c>
      <c r="I43" s="13">
        <v>43009.339432870373</v>
      </c>
      <c r="J43" s="7">
        <v>0</v>
      </c>
      <c r="K43" s="89" t="str">
        <f t="shared" si="0"/>
        <v>4053/4054</v>
      </c>
      <c r="L43" s="185" t="str">
        <f>VLOOKUP(A43,'Trips&amp;Operators'!$C$1:$G$99911,5,FALSE)</f>
        <v>LAMAR NEKESHA</v>
      </c>
      <c r="M43" s="6">
        <f t="shared" si="1"/>
        <v>1.545138889196096E-2</v>
      </c>
      <c r="N43" s="7"/>
      <c r="O43" s="7"/>
      <c r="P43" s="7">
        <f>24*60*SUM($M43:$M43)</f>
        <v>22.250000004423782</v>
      </c>
      <c r="Q43" s="22"/>
      <c r="R43" s="174" t="s">
        <v>983</v>
      </c>
      <c r="S43" s="221">
        <f>1/IF(AG43="EC",12,1)*SUM(U43:U44)</f>
        <v>0.25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-01T06:21:20-0600',mode:absolute,to:'2017-10-01T09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04" t="str">
        <f>IF(AA43&lt;VLOOKUP(AG43,Variables!$AC$3:$AD$8,2,FALSE),"Y","N")</f>
        <v>Y</v>
      </c>
      <c r="X43" s="204">
        <f t="shared" si="6"/>
        <v>1</v>
      </c>
      <c r="Y43" s="204">
        <f t="shared" si="27"/>
        <v>4.53E-2</v>
      </c>
      <c r="Z43" s="204">
        <f t="shared" si="28"/>
        <v>4.53E-2</v>
      </c>
      <c r="AA43" s="204">
        <f t="shared" si="7"/>
        <v>0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8"/>
        <v>131</v>
      </c>
      <c r="AE43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43" s="74" t="str">
        <f t="shared" si="10"/>
        <v>"C:\Program Files (x86)\AstroGrep\AstroGrep.exe" /e /r /s /spath="%USERPROFILE%\AppData\Local\Temp\OnboardLogs" /stypes="app*4054*20171001*"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7"/>
        <v>"%USERPROFILE%\Documents\GitHub\eaglep3\Utilities\RefineRTDCRunTimes.py" --tripid 131-01 --locoid 4054 --swversion DE.1.0.9.0 --startMP 204:453 --initTime 2017-10-01T07:21:20 --startdatetime 2017-10-01T07:46:32 --delay 47 --endMP 204:453 --enddatetime 2017-10-01T08:08:47 --enforcementcount 0 &gt;&gt;c:\users\tmcdowell\Documents\GitHub\eaglep3-reporting\EC\2017-10-01-refined-times.txt</v>
      </c>
      <c r="AI43" s="96" t="str">
        <f t="shared" si="18"/>
        <v>echo {"issue":{"subject":"Onboard en route failure","project_id":79,"tracker_id":40,"status_id":1,"priority_id":2,"assigned_to_id":338,"start_date":"2017-10-01","description":"","custom_fields":[{"id":1,"name":"Subdivision","value":"EC"},{"id":4,"name":"Milepost","value":"0.0453"},{"id":17,"name":"Train ID","value":"131-01"},{"id":16,"name":"Locomotive ID","value":"4054"},{"id":130,"name":"Impact","value":""},{"id":150,"name":"Time of Event (Mountain Time)","value":"08:08:47"},{"id":151,"name":"Denver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4054 --day 2017-10-01</v>
      </c>
      <c r="AN43" s="151" t="str">
        <f t="shared" si="20"/>
        <v>echo {"issue":{"subject":"Onboard en route failure","project_id":30,"tracker_id":4,"status_id":1,"priority_id":1,"assigned_to_id":10,"start_date":"2017-10-01","description":"","custom_fields":[{"id":30,"name":"Category","value":"Issue"},{"id":3,"name":"Functional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1"/>
        <v>https://d0f6bd738d7f1b3e5a7ca70fe4ff75f0.us-east-1.aws.found.io/app/kibana#/discover/Steve-Slow-Train-Analysis-(2080s-and-2083s)?_g=(refreshInterval:(display:Off,pause:!f,section:0,value:0),time:(from:'2017-10-01T06:21:20-0600',mode:absolute,to:'2017-10-01T09:08:47-0600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675</v>
      </c>
      <c r="B44" s="7">
        <v>4054</v>
      </c>
      <c r="C44" s="21" t="s">
        <v>195</v>
      </c>
      <c r="D44" s="21" t="s">
        <v>842</v>
      </c>
      <c r="E44" s="13">
        <v>43009.322685185187</v>
      </c>
      <c r="F44" s="13">
        <v>43009.323981481481</v>
      </c>
      <c r="G44" s="7">
        <v>58</v>
      </c>
      <c r="H44" s="21" t="s">
        <v>839</v>
      </c>
      <c r="I44" s="13">
        <v>43009.339432870373</v>
      </c>
      <c r="J44" s="7">
        <v>0</v>
      </c>
      <c r="K44" s="89" t="str">
        <f t="shared" si="0"/>
        <v>4053/4054</v>
      </c>
      <c r="L44" s="185" t="str">
        <f>VLOOKUP(A44,'Trips&amp;Operators'!$C$1:$G$99911,5,FALSE)</f>
        <v>LAMAR NEKESHA</v>
      </c>
      <c r="M44" s="6">
        <f t="shared" si="1"/>
        <v>1.545138889196096E-2</v>
      </c>
      <c r="N44" s="7"/>
      <c r="O44" s="7"/>
      <c r="P44" s="7"/>
      <c r="Q44" s="22"/>
      <c r="R44" s="174"/>
      <c r="S44" s="221"/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3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-01T06:44:40-0600',mode:absolute,to:'2017-10-01T09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4" s="204" t="str">
        <f>IF(AA44&lt;VLOOKUP(AG44,Variables!$AC$3:$AD$8,2,FALSE),"Y","N")</f>
        <v>Y</v>
      </c>
      <c r="X44" s="204">
        <f t="shared" si="6"/>
        <v>0</v>
      </c>
      <c r="Y44" s="204">
        <f t="shared" si="27"/>
        <v>6.4676999999999998</v>
      </c>
      <c r="Z44" s="204">
        <f t="shared" si="28"/>
        <v>23.329799999999999</v>
      </c>
      <c r="AA44" s="204">
        <f t="shared" si="7"/>
        <v>16.862099999999998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8"/>
        <v>131</v>
      </c>
      <c r="AE44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44" s="74" t="str">
        <f t="shared" si="10"/>
        <v>"C:\Program Files (x86)\AstroGrep\AstroGrep.exe" /e /r /s /spath="%USERPROFILE%\AppData\Local\Temp\OnboardLogs" /stypes="app*4054*20171001*" /stext=" 14:.+((SYSTEM_STATE.+slice.+state.+changed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7"/>
        <v>"%USERPROFILE%\Documents\GitHub\eaglep3\Utilities\RefineRTDCRunTimes.py" --tripid 131-01 --locoid 4054 --swversion DE.1.0.9.0 --startMP 204:64677 --initTime 2017-10-01T07:44:40 --startdatetime 2017-10-01T07:46:32 --delay 58 --endMP 204:233298 --enddatetime 2017-10-01T08:08:47 --enforcementcount 0 &gt;&gt;c:\users\tmcdowell\Documents\GitHub\eaglep3-reporting\EC\2017-10-01-refined-times.txt</v>
      </c>
      <c r="AI4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ID","value":"131-01"},{"id":16,"name":"Locomotive ID","value":"4054"},{"id":130,"name":"Impact","value":""},{"id":150,"name":"Time of Event (Mountain Time)","value":"08:08:47"},{"id":151,"name":"Denver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4054 --day 2017-10-01</v>
      </c>
      <c r="AN4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1"/>
        <v>https://d0f6bd738d7f1b3e5a7ca70fe4ff75f0.us-east-1.aws.found.io/app/kibana#/discover/Steve-Slow-Train-Analysis-(2080s-and-2083s)?_g=(refreshInterval:(display:Off,pause:!f,section:0,value:0),time:(from:'2017-10-01T06:44:40-0600',mode:absolute,to:'2017-10-01T09:08:47-0600'))&amp;_a=(columns:!('Message%20ID',Summary),filters:!(),index:'emp_*',interval:auto,query:(query_string:(analyze_wildcard:!t,query:'%22rtdc.l.rtdc.4054%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682</v>
      </c>
      <c r="B45" s="7">
        <v>4053</v>
      </c>
      <c r="C45" s="21" t="s">
        <v>195</v>
      </c>
      <c r="D45" s="21" t="s">
        <v>459</v>
      </c>
      <c r="E45" s="13">
        <v>43009.349606481483</v>
      </c>
      <c r="F45" s="13">
        <v>43009.35224537037</v>
      </c>
      <c r="G45" s="7">
        <v>55</v>
      </c>
      <c r="H45" s="21" t="s">
        <v>843</v>
      </c>
      <c r="I45" s="13">
        <v>43009.37767361111</v>
      </c>
      <c r="J45" s="7">
        <v>0</v>
      </c>
      <c r="K45" s="89" t="str">
        <f t="shared" si="0"/>
        <v>4053/4054</v>
      </c>
      <c r="L45" s="185" t="str">
        <f>VLOOKUP(A45,'Trips&amp;Operators'!$C$1:$G$99911,5,FALSE)</f>
        <v>LAMAR NEKESHA</v>
      </c>
      <c r="M45" s="6">
        <f t="shared" si="1"/>
        <v>2.5428240740438923E-2</v>
      </c>
      <c r="N45" s="7">
        <f t="shared" ref="N45:N76" si="29">24*60*SUM($M45:$M45)</f>
        <v>36.616666666232049</v>
      </c>
      <c r="O45" s="7"/>
      <c r="P45" s="7"/>
      <c r="Q45" s="22"/>
      <c r="R45" s="174"/>
      <c r="S45" s="221">
        <f t="shared" ref="S45:S76" si="30">1/IF(AG45="EC",12,1)*SUM(U45:U45)</f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-01T07:23:26-0600',mode:absolute,to:'2017-10-01T10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204" t="str">
        <f>IF(AA45&lt;VLOOKUP(AG45,Variables!$AC$3:$AD$8,2,FALSE),"Y","N")</f>
        <v>N</v>
      </c>
      <c r="X45" s="204">
        <f t="shared" ref="X45:X76" si="31">VALUE(LEFT(AD45,4))-VALUE(LEFT(AD44,4))</f>
        <v>1</v>
      </c>
      <c r="Y45" s="204">
        <f t="shared" si="27"/>
        <v>23.298300000000001</v>
      </c>
      <c r="Z45" s="204">
        <f t="shared" si="28"/>
        <v>1.6500000000000001E-2</v>
      </c>
      <c r="AA45" s="204">
        <f t="shared" si="7"/>
        <v>23.2818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8"/>
        <v>132</v>
      </c>
      <c r="AE45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45" s="74" t="str">
        <f t="shared" si="10"/>
        <v>"C:\Program Files (x86)\AstroGrep\AstroGrep.exe" /e /r /s /spath="%USERPROFILE%\AppData\Local\Temp\OnboardLogs" /stypes="app*4053*20171001*"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7"/>
        <v>"%USERPROFILE%\Documents\GitHub\eaglep3\Utilities\RefineRTDCRunTimes.py" --tripid 132-01 --locoid 4053 --swversion DE.1.0.9.0 --startMP 204:232983 --initTime 2017-10-01T08:23:26 --startdatetime 2017-10-01T08:27:14 --delay 55 --endMP 204:165 --enddatetime 2017-10-01T09:03:51 --enforcementcount 0 &gt;&gt;c:\users\tmcdowell\Documents\GitHub\eaglep3-reporting\EC\2017-10-01-refined-times.txt</v>
      </c>
      <c r="AI4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{"issue":{"subject":"","project_id":79,"tracker_id":40,"status_id":1,"priority_id":2,"assigned_to_id":338,"start_date":"2017-10-01","description":"","custom_fields":[{"id":1,"name":"Subdivision","value":"EC"},{"id":4,"name":"Milepost","value":"0.0165"},{"id":17,"name":"Train ID","value":"132-01"},{"id":16,"name":"Locomotive ID","value":"4053"},{"id":130,"name":"Impact","value":""},{"id":150,"name":"Time of Event (Mountain Time)","value":"09:03:51"},{"id":151,"name":"Denver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4053 --day 2017-10-01</v>
      </c>
      <c r="AN4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1"/>
        <v>https://d0f6bd738d7f1b3e5a7ca70fe4ff75f0.us-east-1.aws.found.io/app/kibana#/discover/Steve-Slow-Train-Analysis-(2080s-and-2083s)?_g=(refreshInterval:(display:Off,pause:!f,section:0,value:0),time:(from:'2017-10-01T07:23:26-0600',mode:absolute,to:'2017-10-01T10:03:51-0600'))&amp;_a=(columns:!('Message%20ID',Summary),filters:!(),index:'emp_*',interval:auto,query:(query_string:(analyze_wildcard:!t,query:'%22rtdc.l.rtdc.4053%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593</v>
      </c>
      <c r="B46" s="7">
        <v>4060</v>
      </c>
      <c r="C46" s="21" t="s">
        <v>195</v>
      </c>
      <c r="D46" s="21" t="s">
        <v>339</v>
      </c>
      <c r="E46" s="13">
        <v>43009.318692129629</v>
      </c>
      <c r="F46" s="13">
        <v>43009.32309027778</v>
      </c>
      <c r="G46" s="7">
        <v>57</v>
      </c>
      <c r="H46" s="21" t="s">
        <v>844</v>
      </c>
      <c r="I46" s="13">
        <v>43009.349166666667</v>
      </c>
      <c r="J46" s="7">
        <v>0</v>
      </c>
      <c r="K46" s="89" t="str">
        <f t="shared" si="0"/>
        <v>4059/4060</v>
      </c>
      <c r="L46" s="185" t="str">
        <f>VLOOKUP(A46,'Trips&amp;Operators'!$C$1:$G$99911,5,FALSE)</f>
        <v>DAVIS WENDY</v>
      </c>
      <c r="M46" s="6">
        <f t="shared" si="1"/>
        <v>2.6076388887304347E-2</v>
      </c>
      <c r="N46" s="7">
        <f t="shared" si="29"/>
        <v>37.54999999771826</v>
      </c>
      <c r="O46" s="7"/>
      <c r="P46" s="7"/>
      <c r="Q46" s="22"/>
      <c r="R46" s="174"/>
      <c r="S46" s="221">
        <f t="shared" si="30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-01T06:38:55-0600',mode:absolute,to:'2017-10-01T09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6" s="204" t="str">
        <f>IF(AA46&lt;VLOOKUP(AG46,Variables!$AC$3:$AD$8,2,FALSE),"Y","N")</f>
        <v>N</v>
      </c>
      <c r="X46" s="204">
        <f t="shared" si="31"/>
        <v>1</v>
      </c>
      <c r="Y46" s="204">
        <f t="shared" si="27"/>
        <v>4.53E-2</v>
      </c>
      <c r="Z46" s="204">
        <f t="shared" si="28"/>
        <v>23.328900000000001</v>
      </c>
      <c r="AA46" s="204">
        <f t="shared" si="7"/>
        <v>23.2836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8"/>
        <v>133</v>
      </c>
      <c r="AE46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46" s="74" t="str">
        <f t="shared" si="10"/>
        <v>"C:\Program Files (x86)\AstroGrep\AstroGrep.exe" /e /r /s /spath="%USERPROFILE%\AppData\Local\Temp\OnboardLogs" /stypes="app*4060*20171001*" /stext=" 14:.+((SYSTEM_STATE.+slice.+state.+changed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7"/>
        <v>"%USERPROFILE%\Documents\GitHub\eaglep3\Utilities\RefineRTDCRunTimes.py" --tripid 133-01 --locoid 4060 --swversion DE.1.0.9.0 --startMP 204:453 --initTime 2017-10-01T07:38:55 --startdatetime 2017-10-01T07:45:15 --delay 57 --endMP 204:233289 --enddatetime 2017-10-01T08:22:48 --enforcementcount 0 &gt;&gt;c:\users\tmcdowell\Documents\GitHub\eaglep3-reporting\EC\2017-10-01-refined-times.txt</v>
      </c>
      <c r="AI4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{"issue":{"subject":"","project_id":79,"tracker_id":40,"status_id":1,"priority_id":2,"assigned_to_id":338,"start_date":"2017-10-01","description":"","custom_fields":[{"id":1,"name":"Subdivision","value":"EC"},{"id":4,"name":"Milepost","value":"23.3289"},{"id":17,"name":"Train ID","value":"133-01"},{"id":16,"name":"Locomotive ID","value":"4060"},{"id":130,"name":"Impact","value":""},{"id":150,"name":"Time of Event (Mountain Time)","value":"08:22:48"},{"id":151,"name":"Denver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4060 --day 2017-10-01</v>
      </c>
      <c r="AN4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1"/>
        <v>https://d0f6bd738d7f1b3e5a7ca70fe4ff75f0.us-east-1.aws.found.io/app/kibana#/discover/Steve-Slow-Train-Analysis-(2080s-and-2083s)?_g=(refreshInterval:(display:Off,pause:!f,section:0,value:0),time:(from:'2017-10-01T06:38:55-0600',mode:absolute,to:'2017-10-01T09:22:48-0600'))&amp;_a=(columns:!('Message%20ID',Summary),filters:!(),index:'emp_*',interval:auto,query:(query_string:(analyze_wildcard:!t,query:'%22rtdc.l.rtdc.4060%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684</v>
      </c>
      <c r="B47" s="7">
        <v>4059</v>
      </c>
      <c r="C47" s="21" t="s">
        <v>195</v>
      </c>
      <c r="D47" s="21" t="s">
        <v>405</v>
      </c>
      <c r="E47" s="13">
        <v>43009.358263888891</v>
      </c>
      <c r="F47" s="13">
        <v>43009.362743055557</v>
      </c>
      <c r="G47" s="7">
        <v>67</v>
      </c>
      <c r="H47" s="21" t="s">
        <v>357</v>
      </c>
      <c r="I47" s="13">
        <v>43009.390902777777</v>
      </c>
      <c r="J47" s="7">
        <v>0</v>
      </c>
      <c r="K47" s="89" t="str">
        <f t="shared" si="0"/>
        <v>4059/4060</v>
      </c>
      <c r="L47" s="185" t="str">
        <f>VLOOKUP(A47,'Trips&amp;Operators'!$C$1:$G$99911,5,FALSE)</f>
        <v>DAVIS WENDY</v>
      </c>
      <c r="M47" s="6">
        <f t="shared" si="1"/>
        <v>2.8159722220152617E-2</v>
      </c>
      <c r="N47" s="7">
        <f t="shared" si="29"/>
        <v>40.549999997019768</v>
      </c>
      <c r="O47" s="7"/>
      <c r="P47" s="7"/>
      <c r="Q47" s="22"/>
      <c r="R47" s="174"/>
      <c r="S47" s="221">
        <f t="shared" si="30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-01T07:35:54-0600',mode:absolute,to:'2017-10-01T10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7" s="204" t="str">
        <f>IF(AA47&lt;VLOOKUP(AG47,Variables!$AC$3:$AD$8,2,FALSE),"Y","N")</f>
        <v>N</v>
      </c>
      <c r="X47" s="204">
        <f t="shared" si="31"/>
        <v>1</v>
      </c>
      <c r="Y47" s="204">
        <f t="shared" si="27"/>
        <v>23.297499999999999</v>
      </c>
      <c r="Z47" s="204">
        <f t="shared" si="28"/>
        <v>1.52E-2</v>
      </c>
      <c r="AA47" s="204">
        <f t="shared" si="7"/>
        <v>23.282299999999999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8"/>
        <v>134</v>
      </c>
      <c r="AE47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47" s="74" t="str">
        <f t="shared" si="10"/>
        <v>"C:\Program Files (x86)\AstroGrep\AstroGrep.exe" /e /r /s /spath="%USERPROFILE%\AppData\Local\Temp\OnboardLogs" /stypes="app*4059*20171001*"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7"/>
        <v>"%USERPROFILE%\Documents\GitHub\eaglep3\Utilities\RefineRTDCRunTimes.py" --tripid 134-01 --locoid 4059 --swversion DE.1.0.9.0 --startMP 204:232975 --initTime 2017-10-01T08:35:54 --startdatetime 2017-10-01T08:42:21 --delay 67 --endMP 204:152 --enddatetime 2017-10-01T09:22:54 --enforcementcount 0 &gt;&gt;c:\users\tmcdowell\Documents\GitHub\eaglep3-reporting\EC\2017-10-01-refined-times.txt</v>
      </c>
      <c r="AI4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ID","value":"134-01"},{"id":16,"name":"Locomotive ID","value":"4059"},{"id":130,"name":"Impact","value":""},{"id":150,"name":"Time of Event (Mountain Time)","value":"09:22:54"},{"id":151,"name":"Denver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4059 --day 2017-10-01</v>
      </c>
      <c r="AN4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1"/>
        <v>https://d0f6bd738d7f1b3e5a7ca70fe4ff75f0.us-east-1.aws.found.io/app/kibana#/discover/Steve-Slow-Train-Analysis-(2080s-and-2083s)?_g=(refreshInterval:(display:Off,pause:!f,section:0,value:0),time:(from:'2017-10-01T07:35:54-0600',mode:absolute,to:'2017-10-01T10:22:54-0600'))&amp;_a=(columns:!('Message%20ID',Summary),filters:!(),index:'emp_*',interval:auto,query:(query_string:(analyze_wildcard:!t,query:'%22rtdc.l.rtdc.4059%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679</v>
      </c>
      <c r="B48" s="7">
        <v>4042</v>
      </c>
      <c r="C48" s="21" t="s">
        <v>195</v>
      </c>
      <c r="D48" s="21" t="s">
        <v>393</v>
      </c>
      <c r="E48" s="13">
        <v>43009.328993055555</v>
      </c>
      <c r="F48" s="13">
        <v>43009.333518518521</v>
      </c>
      <c r="G48" s="7">
        <v>63</v>
      </c>
      <c r="H48" s="21" t="s">
        <v>564</v>
      </c>
      <c r="I48" s="13">
        <v>43009.35800925926</v>
      </c>
      <c r="J48" s="7">
        <v>0</v>
      </c>
      <c r="K48" s="89" t="str">
        <f t="shared" si="0"/>
        <v>4041/4042</v>
      </c>
      <c r="L48" s="185" t="str">
        <f>VLOOKUP(A48,'Trips&amp;Operators'!$C$1:$G$99911,5,FALSE)</f>
        <v>PAGE MARCUS</v>
      </c>
      <c r="M48" s="6">
        <f t="shared" si="1"/>
        <v>2.4490740739565808E-2</v>
      </c>
      <c r="N48" s="7">
        <f t="shared" si="29"/>
        <v>35.266666664974764</v>
      </c>
      <c r="O48" s="7"/>
      <c r="P48" s="7"/>
      <c r="Q48" s="22"/>
      <c r="R48" s="174"/>
      <c r="S48" s="221">
        <f t="shared" si="30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-01T06:53:45-0600',mode:absolute,to:'2017-10-01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8" s="204" t="str">
        <f>IF(AA48&lt;VLOOKUP(AG48,Variables!$AC$3:$AD$8,2,FALSE),"Y","N")</f>
        <v>N</v>
      </c>
      <c r="X48" s="204">
        <f t="shared" si="31"/>
        <v>1</v>
      </c>
      <c r="Y48" s="204">
        <f t="shared" si="27"/>
        <v>4.6600000000000003E-2</v>
      </c>
      <c r="Z48" s="204">
        <f t="shared" si="28"/>
        <v>23.332100000000001</v>
      </c>
      <c r="AA48" s="204">
        <f t="shared" si="7"/>
        <v>23.285499999999999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8"/>
        <v>135</v>
      </c>
      <c r="AE48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48" s="74" t="str">
        <f t="shared" si="10"/>
        <v>"C:\Program Files (x86)\AstroGrep\AstroGrep.exe" /e /r /s /spath="%USERPROFILE%\AppData\Local\Temp\OnboardLogs" /stypes="app*4042*20171001*" /stext=" 14:.+((SYSTEM_STATE.+slice.+state.+changed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7"/>
        <v>"%USERPROFILE%\Documents\GitHub\eaglep3\Utilities\RefineRTDCRunTimes.py" --tripid 135-01 --locoid 4042 --swversion DE.1.0.9.0 --startMP 204:466 --initTime 2017-10-01T07:53:45 --startdatetime 2017-10-01T08:00:16 --delay 63 --endMP 204:233321 --enddatetime 2017-10-01T08:35:32 --enforcementcount 0 &gt;&gt;c:\users\tmcdowell\Documents\GitHub\eaglep3-reporting\EC\2017-10-01-refined-times.txt</v>
      </c>
      <c r="AI4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ID","value":"135-01"},{"id":16,"name":"Locomotive ID","value":"4042"},{"id":130,"name":"Impact","value":""},{"id":150,"name":"Time of Event (Mountain Time)","value":"08:35:32"},{"id":151,"name":"Denver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4042 --day 2017-10-01</v>
      </c>
      <c r="AN4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1"/>
        <v>https://d0f6bd738d7f1b3e5a7ca70fe4ff75f0.us-east-1.aws.found.io/app/kibana#/discover/Steve-Slow-Train-Analysis-(2080s-and-2083s)?_g=(refreshInterval:(display:Off,pause:!f,section:0,value:0),time:(from:'2017-10-01T06:53:45-0600',mode:absolute,to:'2017-10-01T09:35:32-0600'))&amp;_a=(columns:!('Message%20ID',Summary),filters:!(),index:'emp_*',interval:auto,query:(query_string:(analyze_wildcard:!t,query:'%22rtdc.l.rtdc.4042%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687</v>
      </c>
      <c r="B49" s="7">
        <v>4041</v>
      </c>
      <c r="C49" s="21" t="s">
        <v>195</v>
      </c>
      <c r="D49" s="21" t="s">
        <v>845</v>
      </c>
      <c r="E49" s="13">
        <v>43009.368877314817</v>
      </c>
      <c r="F49" s="13">
        <v>43009.373090277775</v>
      </c>
      <c r="G49" s="7">
        <v>59</v>
      </c>
      <c r="H49" s="21" t="s">
        <v>340</v>
      </c>
      <c r="I49" s="13">
        <v>43009.398680555554</v>
      </c>
      <c r="J49" s="7">
        <v>0</v>
      </c>
      <c r="K49" s="89" t="str">
        <f t="shared" si="0"/>
        <v>4041/4042</v>
      </c>
      <c r="L49" s="185" t="str">
        <f>VLOOKUP(A49,'Trips&amp;Operators'!$C$1:$G$99911,5,FALSE)</f>
        <v>PAGE MARCUS</v>
      </c>
      <c r="M49" s="6">
        <f t="shared" si="1"/>
        <v>2.5590277778974269E-2</v>
      </c>
      <c r="N49" s="7">
        <f t="shared" si="29"/>
        <v>36.850000001722947</v>
      </c>
      <c r="O49" s="7"/>
      <c r="P49" s="7"/>
      <c r="Q49" s="22"/>
      <c r="R49" s="174"/>
      <c r="S49" s="221">
        <f t="shared" si="30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-01T07:51:11-0600',mode:absolute,to:'2017-10-01T10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9" s="204" t="str">
        <f>IF(AA49&lt;VLOOKUP(AG49,Variables!$AC$3:$AD$8,2,FALSE),"Y","N")</f>
        <v>N</v>
      </c>
      <c r="X49" s="204">
        <f t="shared" si="31"/>
        <v>1</v>
      </c>
      <c r="Y49" s="204">
        <f t="shared" si="27"/>
        <v>23.2989</v>
      </c>
      <c r="Z49" s="204">
        <f t="shared" si="28"/>
        <v>1.41E-2</v>
      </c>
      <c r="AA49" s="204">
        <f t="shared" si="7"/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8"/>
        <v>136</v>
      </c>
      <c r="AE49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49" s="74" t="str">
        <f t="shared" si="10"/>
        <v>"C:\Program Files (x86)\AstroGrep\AstroGrep.exe" /e /r /s /spath="%USERPROFILE%\AppData\Local\Temp\OnboardLogs" /stypes="app*4041*20171001*"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7"/>
        <v>"%USERPROFILE%\Documents\GitHub\eaglep3\Utilities\RefineRTDCRunTimes.py" --tripid 136-01 --locoid 4041 --swversion DE.1.0.9.0 --startMP 204:232989 --initTime 2017-10-01T08:51:11 --startdatetime 2017-10-01T08:57:15 --delay 59 --endMP 204:141 --enddatetime 2017-10-01T09:34:06 --enforcementcount 0 &gt;&gt;c:\users\tmcdowell\Documents\GitHub\eaglep3-reporting\EC\2017-10-01-refined-times.txt</v>
      </c>
      <c r="AI4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ID","value":"136-01"},{"id":16,"name":"Locomotive ID","value":"4041"},{"id":130,"name":"Impact","value":""},{"id":150,"name":"Time of Event (Mountain Time)","value":"09:34:06"},{"id":151,"name":"Denver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4041 --day 2017-10-01</v>
      </c>
      <c r="AN4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1"/>
        <v>https://d0f6bd738d7f1b3e5a7ca70fe4ff75f0.us-east-1.aws.found.io/app/kibana#/discover/Steve-Slow-Train-Analysis-(2080s-and-2083s)?_g=(refreshInterval:(display:Off,pause:!f,section:0,value:0),time:(from:'2017-10-01T07:51:11-0600',mode:absolute,to:'2017-10-01T10:34:06-0600'))&amp;_a=(columns:!('Message%20ID',Summary),filters:!(),index:'emp_*',interval:auto,query:(query_string:(analyze_wildcard:!t,query:'%22rtdc.l.rtdc.4041%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681</v>
      </c>
      <c r="B50" s="7">
        <v>4012</v>
      </c>
      <c r="C50" s="21" t="s">
        <v>195</v>
      </c>
      <c r="D50" s="21" t="s">
        <v>360</v>
      </c>
      <c r="E50" s="13">
        <v>43009.339097222219</v>
      </c>
      <c r="F50" s="13">
        <v>43009.343935185185</v>
      </c>
      <c r="G50" s="7">
        <v>62</v>
      </c>
      <c r="H50" s="21" t="s">
        <v>846</v>
      </c>
      <c r="I50" s="13">
        <v>43009.367881944447</v>
      </c>
      <c r="J50" s="7">
        <v>0</v>
      </c>
      <c r="K50" s="89" t="str">
        <f t="shared" si="0"/>
        <v>4011/4012</v>
      </c>
      <c r="L50" s="185" t="str">
        <f>VLOOKUP(A50,'Trips&amp;Operators'!$C$1:$G$99911,5,FALSE)</f>
        <v>GEBRETEKLE DAGNEW</v>
      </c>
      <c r="M50" s="6">
        <f t="shared" si="1"/>
        <v>2.3946759261889383E-2</v>
      </c>
      <c r="N50" s="7">
        <f t="shared" si="29"/>
        <v>34.483333337120712</v>
      </c>
      <c r="O50" s="7"/>
      <c r="P50" s="7"/>
      <c r="Q50" s="22"/>
      <c r="R50" s="174"/>
      <c r="S50" s="221">
        <f t="shared" si="30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-01T07:08:18-0600',mode:absolute,to:'2017-10-01T09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204" t="str">
        <f>IF(AA50&lt;VLOOKUP(AG50,Variables!$AC$3:$AD$8,2,FALSE),"Y","N")</f>
        <v>N</v>
      </c>
      <c r="X50" s="204">
        <f t="shared" si="31"/>
        <v>1</v>
      </c>
      <c r="Y50" s="204">
        <f t="shared" si="27"/>
        <v>4.6399999999999997E-2</v>
      </c>
      <c r="Z50" s="204">
        <f t="shared" si="28"/>
        <v>23.328800000000001</v>
      </c>
      <c r="AA50" s="204">
        <f t="shared" si="7"/>
        <v>23.282400000000003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8"/>
        <v>137</v>
      </c>
      <c r="AE50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50" s="74" t="str">
        <f t="shared" si="10"/>
        <v>"C:\Program Files (x86)\AstroGrep\AstroGrep.exe" /e /r /s /spath="%USERPROFILE%\AppData\Local\Temp\OnboardLogs" /stypes="app*4012*20171001*" /stext=" 14:.+((SYSTEM_STATE.+slice.+state.+changed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7"/>
        <v>"%USERPROFILE%\Documents\GitHub\eaglep3\Utilities\RefineRTDCRunTimes.py" --tripid 137-01 --locoid 4012 --swversion DE.1.0.9.0 --startMP 204:464 --initTime 2017-10-01T08:08:18 --startdatetime 2017-10-01T08:15:16 --delay 62 --endMP 204:233288 --enddatetime 2017-10-01T08:49:45 --enforcementcount 0 &gt;&gt;c:\users\tmcdowell\Documents\GitHub\eaglep3-reporting\EC\2017-10-01-refined-times.txt</v>
      </c>
      <c r="AI5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{"issue":{"subject":"","project_id":79,"tracker_id":40,"status_id":1,"priority_id":2,"assigned_to_id":338,"start_date":"2017-10-01","description":"","custom_fields":[{"id":1,"name":"Subdivision","value":"EC"},{"id":4,"name":"Milepost","value":"23.3288"},{"id":17,"name":"Train ID","value":"137-01"},{"id":16,"name":"Locomotive ID","value":"4012"},{"id":130,"name":"Impact","value":""},{"id":150,"name":"Time of Event (Mountain Time)","value":"08:49:45"},{"id":151,"name":"Denver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4012 --day 2017-10-01</v>
      </c>
      <c r="AN5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1"/>
        <v>https://d0f6bd738d7f1b3e5a7ca70fe4ff75f0.us-east-1.aws.found.io/app/kibana#/discover/Steve-Slow-Train-Analysis-(2080s-and-2083s)?_g=(refreshInterval:(display:Off,pause:!f,section:0,value:0),time:(from:'2017-10-01T07:08:18-0600',mode:absolute,to:'2017-10-01T09:49:45-0600'))&amp;_a=(columns:!('Message%20ID',Summary),filters:!(),index:'emp_*',interval:auto,query:(query_string:(analyze_wildcard:!t,query:'%22rtdc.l.rtdc.4012%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688</v>
      </c>
      <c r="B51" s="7">
        <v>4011</v>
      </c>
      <c r="C51" s="21" t="s">
        <v>195</v>
      </c>
      <c r="D51" s="21" t="s">
        <v>847</v>
      </c>
      <c r="E51" s="13">
        <v>43009.369062500002</v>
      </c>
      <c r="F51" s="13">
        <v>43009.38354166667</v>
      </c>
      <c r="G51" s="7">
        <v>49</v>
      </c>
      <c r="H51" s="21" t="s">
        <v>341</v>
      </c>
      <c r="I51" s="13">
        <v>43009.409375000003</v>
      </c>
      <c r="J51" s="7">
        <v>0</v>
      </c>
      <c r="K51" s="89" t="str">
        <f t="shared" si="0"/>
        <v>4011/4012</v>
      </c>
      <c r="L51" s="185" t="str">
        <f>VLOOKUP(A51,'Trips&amp;Operators'!$C$1:$G$99911,5,FALSE)</f>
        <v>GEBRETEKLE DAGNEW</v>
      </c>
      <c r="M51" s="6">
        <f t="shared" si="1"/>
        <v>2.5833333333139308E-2</v>
      </c>
      <c r="N51" s="7">
        <f t="shared" si="29"/>
        <v>37.199999999720603</v>
      </c>
      <c r="O51" s="7"/>
      <c r="P51" s="7"/>
      <c r="Q51" s="22"/>
      <c r="R51" s="174"/>
      <c r="S51" s="221">
        <f t="shared" si="30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-01T07:51:27-0600',mode:absolute,to:'2017-10-01T10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204" t="str">
        <f>IF(AA51&lt;VLOOKUP(AG51,Variables!$AC$3:$AD$8,2,FALSE),"Y","N")</f>
        <v>N</v>
      </c>
      <c r="X51" s="204">
        <f t="shared" si="31"/>
        <v>1</v>
      </c>
      <c r="Y51" s="204">
        <f t="shared" ref="Y51:Y82" si="32">RIGHT(D51,LEN(D51)-4)/10000</f>
        <v>23.298400000000001</v>
      </c>
      <c r="Z51" s="204">
        <f t="shared" ref="Z51:Z82" si="33">RIGHT(H51,LEN(H51)-4)/10000</f>
        <v>1.47E-2</v>
      </c>
      <c r="AA51" s="204">
        <f t="shared" si="7"/>
        <v>23.2837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8"/>
        <v>138</v>
      </c>
      <c r="AE51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51" s="74" t="str">
        <f t="shared" si="10"/>
        <v>"C:\Program Files (x86)\AstroGrep\AstroGrep.exe" /e /r /s /spath="%USERPROFILE%\AppData\Local\Temp\OnboardLogs" /stypes="app*4011*20171001*"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7"/>
        <v>"%USERPROFILE%\Documents\GitHub\eaglep3\Utilities\RefineRTDCRunTimes.py" --tripid 138-01 --locoid 4011 --swversion DE.1.0.9.0 --startMP 204:232984 --initTime 2017-10-01T08:51:27 --startdatetime 2017-10-01T09:12:18 --delay 49 --endMP 204:147 --enddatetime 2017-10-01T09:49:30 --enforcementcount 0 &gt;&gt;c:\users\tmcdowell\Documents\GitHub\eaglep3-reporting\EC\2017-10-01-refined-times.txt</v>
      </c>
      <c r="AI5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ID","value":"138-01"},{"id":16,"name":"Locomotive ID","value":"4011"},{"id":130,"name":"Impact","value":""},{"id":150,"name":"Time of Event (Mountain Time)","value":"09:49:30"},{"id":151,"name":"Denver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4011 --day 2017-10-01</v>
      </c>
      <c r="AN5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1"/>
        <v>https://d0f6bd738d7f1b3e5a7ca70fe4ff75f0.us-east-1.aws.found.io/app/kibana#/discover/Steve-Slow-Train-Analysis-(2080s-and-2083s)?_g=(refreshInterval:(display:Off,pause:!f,section:0,value:0),time:(from:'2017-10-01T07:51:27-0600',mode:absolute,to:'2017-10-01T10:49:30-0600'))&amp;_a=(columns:!('Message%20ID',Summary),filters:!(),index:'emp_*',interval:auto,query:(query_string:(analyze_wildcard:!t,query:'%22rtdc.l.rtdc.4011%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683</v>
      </c>
      <c r="B52" s="7">
        <v>4014</v>
      </c>
      <c r="C52" s="21" t="s">
        <v>195</v>
      </c>
      <c r="D52" s="21" t="s">
        <v>369</v>
      </c>
      <c r="E52" s="13">
        <v>43009.350717592592</v>
      </c>
      <c r="F52" s="13">
        <v>43009.35434027778</v>
      </c>
      <c r="G52" s="7">
        <v>57</v>
      </c>
      <c r="H52" s="21" t="s">
        <v>844</v>
      </c>
      <c r="I52" s="13">
        <v>43009.381284722222</v>
      </c>
      <c r="J52" s="7">
        <v>0</v>
      </c>
      <c r="K52" s="89" t="str">
        <f t="shared" si="0"/>
        <v>4013/4014</v>
      </c>
      <c r="L52" s="185" t="str">
        <f>VLOOKUP(A52,'Trips&amp;Operators'!$C$1:$G$99911,5,FALSE)</f>
        <v>ROBINSON KADDIBA</v>
      </c>
      <c r="M52" s="6">
        <f t="shared" si="1"/>
        <v>2.6944444442051463E-2</v>
      </c>
      <c r="N52" s="7">
        <f t="shared" si="29"/>
        <v>38.799999996554106</v>
      </c>
      <c r="O52" s="7"/>
      <c r="P52" s="7"/>
      <c r="Q52" s="22"/>
      <c r="R52" s="174"/>
      <c r="S52" s="221">
        <f t="shared" si="30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-01T07:25:02-0600',mode:absolute,to:'2017-10-01T10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04" t="str">
        <f>IF(AA52&lt;VLOOKUP(AG52,Variables!$AC$3:$AD$8,2,FALSE),"Y","N")</f>
        <v>N</v>
      </c>
      <c r="X52" s="204">
        <f t="shared" si="31"/>
        <v>1</v>
      </c>
      <c r="Y52" s="204">
        <f t="shared" si="32"/>
        <v>4.4200000000000003E-2</v>
      </c>
      <c r="Z52" s="204">
        <f t="shared" si="33"/>
        <v>23.328900000000001</v>
      </c>
      <c r="AA52" s="204">
        <f t="shared" si="7"/>
        <v>23.284700000000001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8"/>
        <v>139</v>
      </c>
      <c r="AE52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52" s="74" t="str">
        <f t="shared" si="10"/>
        <v>"C:\Program Files (x86)\AstroGrep\AstroGrep.exe" /e /r /s /spath="%USERPROFILE%\AppData\Local\Temp\OnboardLogs" /stypes="app*4014*20171001*" /stext=" 15:.+((SYSTEM_STATE.+slice.+state.+changed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7"/>
        <v>"%USERPROFILE%\Documents\GitHub\eaglep3\Utilities\RefineRTDCRunTimes.py" --tripid 139-01 --locoid 4014 --swversion DE.1.0.9.0 --startMP 204:442 --initTime 2017-10-01T08:25:02 --startdatetime 2017-10-01T08:30:15 --delay 57 --endMP 204:233289 --enddatetime 2017-10-01T09:09:03 --enforcementcount 0 &gt;&gt;c:\users\tmcdowell\Documents\GitHub\eaglep3-reporting\EC\2017-10-01-refined-times.txt</v>
      </c>
      <c r="AI5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{"issue":{"subject":"","project_id":79,"tracker_id":40,"status_id":1,"priority_id":2,"assigned_to_id":338,"start_date":"2017-10-01","description":"","custom_fields":[{"id":1,"name":"Subdivision","value":"EC"},{"id":4,"name":"Milepost","value":"23.3289"},{"id":17,"name":"Train ID","value":"139-01"},{"id":16,"name":"Locomotive ID","value":"4014"},{"id":130,"name":"Impact","value":""},{"id":150,"name":"Time of Event (Mountain Time)","value":"09:09:03"},{"id":151,"name":"Denver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4014 --day 2017-10-01</v>
      </c>
      <c r="AN5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1"/>
        <v>https://d0f6bd738d7f1b3e5a7ca70fe4ff75f0.us-east-1.aws.found.io/app/kibana#/discover/Steve-Slow-Train-Analysis-(2080s-and-2083s)?_g=(refreshInterval:(display:Off,pause:!f,section:0,value:0),time:(from:'2017-10-01T07:25:02-0600',mode:absolute,to:'2017-10-01T10:09:03-0600'))&amp;_a=(columns:!('Message%20ID',Summary),filters:!(),index:'emp_*',interval:auto,query:(query_string:(analyze_wildcard:!t,query:'%22rtdc.l.rtdc.4014%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692</v>
      </c>
      <c r="B53" s="7">
        <v>4013</v>
      </c>
      <c r="C53" s="21" t="s">
        <v>195</v>
      </c>
      <c r="D53" s="21" t="s">
        <v>565</v>
      </c>
      <c r="E53" s="13">
        <v>43009.390462962961</v>
      </c>
      <c r="F53" s="13">
        <v>43009.393935185188</v>
      </c>
      <c r="G53" s="7">
        <v>54</v>
      </c>
      <c r="H53" s="21" t="s">
        <v>391</v>
      </c>
      <c r="I53" s="13">
        <v>43009.420578703706</v>
      </c>
      <c r="J53" s="7">
        <v>0</v>
      </c>
      <c r="K53" s="89" t="str">
        <f t="shared" si="0"/>
        <v>4013/4014</v>
      </c>
      <c r="L53" s="185" t="str">
        <f>VLOOKUP(A53,'Trips&amp;Operators'!$C$1:$G$99911,5,FALSE)</f>
        <v>ROBINSON KADDIBA</v>
      </c>
      <c r="M53" s="6">
        <f t="shared" si="1"/>
        <v>2.6643518518540077E-2</v>
      </c>
      <c r="N53" s="7">
        <f t="shared" si="29"/>
        <v>38.366666666697711</v>
      </c>
      <c r="O53" s="7"/>
      <c r="P53" s="7"/>
      <c r="Q53" s="22"/>
      <c r="R53" s="174"/>
      <c r="S53" s="221">
        <f t="shared" si="30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-01T08:22:16-0600',mode:absolute,to:'2017-10-01T11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04" t="str">
        <f>IF(AA53&lt;VLOOKUP(AG53,Variables!$AC$3:$AD$8,2,FALSE),"Y","N")</f>
        <v>N</v>
      </c>
      <c r="X53" s="204">
        <f t="shared" si="31"/>
        <v>1</v>
      </c>
      <c r="Y53" s="204">
        <f t="shared" si="32"/>
        <v>23.297899999999998</v>
      </c>
      <c r="Z53" s="204">
        <f t="shared" si="33"/>
        <v>1.54E-2</v>
      </c>
      <c r="AA53" s="204">
        <f t="shared" si="7"/>
        <v>23.282499999999999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8"/>
        <v>140</v>
      </c>
      <c r="AE53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53" s="74" t="str">
        <f t="shared" si="10"/>
        <v>"C:\Program Files (x86)\AstroGrep\AstroGrep.exe" /e /r /s /spath="%USERPROFILE%\AppData\Local\Temp\OnboardLogs" /stypes="app*4013*20171001*"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7"/>
        <v>"%USERPROFILE%\Documents\GitHub\eaglep3\Utilities\RefineRTDCRunTimes.py" --tripid 140-01 --locoid 4013 --swversion DE.1.0.9.0 --startMP 204:232979 --initTime 2017-10-01T09:22:16 --startdatetime 2017-10-01T09:27:16 --delay 54 --endMP 204:154 --enddatetime 2017-10-01T10:05:38 --enforcementcount 0 &gt;&gt;c:\users\tmcdowell\Documents\GitHub\eaglep3-reporting\EC\2017-10-01-refined-times.txt</v>
      </c>
      <c r="AI5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ID","value":"140-01"},{"id":16,"name":"Locomotive ID","value":"4013"},{"id":130,"name":"Impact","value":""},{"id":150,"name":"Time of Event (Mountain Time)","value":"10:05:38"},{"id":151,"name":"Denver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4013 --day 2017-10-01</v>
      </c>
      <c r="AN5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1"/>
        <v>https://d0f6bd738d7f1b3e5a7ca70fe4ff75f0.us-east-1.aws.found.io/app/kibana#/discover/Steve-Slow-Train-Analysis-(2080s-and-2083s)?_g=(refreshInterval:(display:Off,pause:!f,section:0,value:0),time:(from:'2017-10-01T08:22:16-0600',mode:absolute,to:'2017-10-01T11:05:38-0600'))&amp;_a=(columns:!('Message%20ID',Summary),filters:!(),index:'emp_*',interval:auto,query:(query_string:(analyze_wildcard:!t,query:'%22rtdc.l.rtdc.4013%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686</v>
      </c>
      <c r="B54" s="7">
        <v>4044</v>
      </c>
      <c r="C54" s="21" t="s">
        <v>195</v>
      </c>
      <c r="D54" s="21" t="s">
        <v>406</v>
      </c>
      <c r="E54" s="13">
        <v>43009.361284722225</v>
      </c>
      <c r="F54" s="13">
        <v>43009.364756944444</v>
      </c>
      <c r="G54" s="7">
        <v>93</v>
      </c>
      <c r="H54" s="21" t="s">
        <v>846</v>
      </c>
      <c r="I54" s="13">
        <v>43009.389780092592</v>
      </c>
      <c r="J54" s="7">
        <v>0</v>
      </c>
      <c r="K54" s="89" t="str">
        <f t="shared" si="0"/>
        <v>4043/4044</v>
      </c>
      <c r="L54" s="185" t="str">
        <f>VLOOKUP(A54,'Trips&amp;Operators'!$C$1:$G$99911,5,FALSE)</f>
        <v>WILLIAMS DONTE</v>
      </c>
      <c r="M54" s="6">
        <f t="shared" si="1"/>
        <v>2.5023148147738539E-2</v>
      </c>
      <c r="N54" s="7">
        <f t="shared" si="29"/>
        <v>36.033333332743496</v>
      </c>
      <c r="O54" s="7"/>
      <c r="P54" s="7"/>
      <c r="Q54" s="22"/>
      <c r="R54" s="174"/>
      <c r="S54" s="221">
        <f t="shared" si="30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-01T07:40:15-0600',mode:absolute,to:'2017-10-01T10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4" s="204" t="str">
        <f>IF(AA54&lt;VLOOKUP(AG54,Variables!$AC$3:$AD$8,2,FALSE),"Y","N")</f>
        <v>N</v>
      </c>
      <c r="X54" s="204">
        <f t="shared" si="31"/>
        <v>1</v>
      </c>
      <c r="Y54" s="204">
        <f t="shared" si="32"/>
        <v>4.5699999999999998E-2</v>
      </c>
      <c r="Z54" s="204">
        <f t="shared" si="33"/>
        <v>23.328800000000001</v>
      </c>
      <c r="AA54" s="204">
        <f t="shared" si="7"/>
        <v>23.283100000000001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8"/>
        <v>141</v>
      </c>
      <c r="AE54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54" s="74" t="str">
        <f t="shared" si="10"/>
        <v>"C:\Program Files (x86)\AstroGrep\AstroGrep.exe" /e /r /s /spath="%USERPROFILE%\AppData\Local\Temp\OnboardLogs" /stypes="app*4044*20171001*" /stext=" 15:.+((SYSTEM_STATE.+slice.+state.+changed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7"/>
        <v>"%USERPROFILE%\Documents\GitHub\eaglep3\Utilities\RefineRTDCRunTimes.py" --tripid 141-01 --locoid 4044 --swversion DE.1.0.9.0 --startMP 204:457 --initTime 2017-10-01T08:40:15 --startdatetime 2017-10-01T08:45:15 --delay 93 --endMP 204:233288 --enddatetime 2017-10-01T09:21:17 --enforcementcount 0 &gt;&gt;c:\users\tmcdowell\Documents\GitHub\eaglep3-reporting\EC\2017-10-01-refined-times.txt</v>
      </c>
      <c r="AI5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{"issue":{"subject":"","project_id":79,"tracker_id":40,"status_id":1,"priority_id":2,"assigned_to_id":338,"start_date":"2017-10-01","description":"","custom_fields":[{"id":1,"name":"Subdivision","value":"EC"},{"id":4,"name":"Milepost","value":"23.3288"},{"id":17,"name":"Train ID","value":"141-01"},{"id":16,"name":"Locomotive ID","value":"4044"},{"id":130,"name":"Impact","value":""},{"id":150,"name":"Time of Event (Mountain Time)","value":"09:21:17"},{"id":151,"name":"Denver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4044 --day 2017-10-01</v>
      </c>
      <c r="AN5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1"/>
        <v>https://d0f6bd738d7f1b3e5a7ca70fe4ff75f0.us-east-1.aws.found.io/app/kibana#/discover/Steve-Slow-Train-Analysis-(2080s-and-2083s)?_g=(refreshInterval:(display:Off,pause:!f,section:0,value:0),time:(from:'2017-10-01T07:40:15-0600',mode:absolute,to:'2017-10-01T10:21:17-0600'))&amp;_a=(columns:!('Message%20ID',Summary),filters:!(),index:'emp_*',interval:auto,query:(query_string:(analyze_wildcard:!t,query:'%22rtdc.l.rtdc.4044%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694</v>
      </c>
      <c r="B55" s="7">
        <v>4043</v>
      </c>
      <c r="C55" s="21" t="s">
        <v>195</v>
      </c>
      <c r="D55" s="21" t="s">
        <v>571</v>
      </c>
      <c r="E55" s="13">
        <v>43009.398796296293</v>
      </c>
      <c r="F55" s="13">
        <v>43009.404328703706</v>
      </c>
      <c r="G55" s="7">
        <v>60</v>
      </c>
      <c r="H55" s="21" t="s">
        <v>382</v>
      </c>
      <c r="I55" s="13">
        <v>43009.431689814817</v>
      </c>
      <c r="J55" s="7">
        <v>0</v>
      </c>
      <c r="K55" s="89" t="str">
        <f t="shared" si="0"/>
        <v>4043/4044</v>
      </c>
      <c r="L55" s="185" t="str">
        <f>VLOOKUP(A55,'Trips&amp;Operators'!$C$1:$G$99911,5,FALSE)</f>
        <v>WILLIAMS DONTE</v>
      </c>
      <c r="M55" s="6">
        <f t="shared" si="1"/>
        <v>2.73611111115315E-2</v>
      </c>
      <c r="N55" s="7">
        <f t="shared" si="29"/>
        <v>39.40000000060536</v>
      </c>
      <c r="O55" s="7"/>
      <c r="P55" s="7"/>
      <c r="Q55" s="22"/>
      <c r="R55" s="174"/>
      <c r="S55" s="221">
        <f t="shared" si="30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-01T08:34:16-0600',mode:absolute,to:'2017-10-01T11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204" t="str">
        <f>IF(AA55&lt;VLOOKUP(AG55,Variables!$AC$3:$AD$8,2,FALSE),"Y","N")</f>
        <v>N</v>
      </c>
      <c r="X55" s="204">
        <f t="shared" si="31"/>
        <v>1</v>
      </c>
      <c r="Y55" s="204">
        <f t="shared" si="32"/>
        <v>23.295500000000001</v>
      </c>
      <c r="Z55" s="204">
        <f t="shared" si="33"/>
        <v>1.6299999999999999E-2</v>
      </c>
      <c r="AA55" s="204">
        <f t="shared" si="7"/>
        <v>23.279199999999999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8"/>
        <v>142</v>
      </c>
      <c r="AE55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55" s="74" t="str">
        <f t="shared" si="10"/>
        <v>"C:\Program Files (x86)\AstroGrep\AstroGrep.exe" /e /r /s /spath="%USERPROFILE%\AppData\Local\Temp\OnboardLogs" /stypes="app*4043*20171001*"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7"/>
        <v>"%USERPROFILE%\Documents\GitHub\eaglep3\Utilities\RefineRTDCRunTimes.py" --tripid 142-01 --locoid 4043 --swversion DE.1.0.9.0 --startMP 204:232955 --initTime 2017-10-01T09:34:16 --startdatetime 2017-10-01T09:42:14 --delay 60 --endMP 204:163 --enddatetime 2017-10-01T10:21:38 --enforcementcount 0 &gt;&gt;c:\users\tmcdowell\Documents\GitHub\eaglep3-reporting\EC\2017-10-01-refined-times.txt</v>
      </c>
      <c r="AI5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{"issue":{"subject":"","project_id":79,"tracker_id":40,"status_id":1,"priority_id":2,"assigned_to_id":338,"start_date":"2017-10-01","description":"","custom_fields":[{"id":1,"name":"Subdivision","value":"EC"},{"id":4,"name":"Milepost","value":"0.0163"},{"id":17,"name":"Train ID","value":"142-01"},{"id":16,"name":"Locomotive ID","value":"4043"},{"id":130,"name":"Impact","value":""},{"id":150,"name":"Time of Event (Mountain Time)","value":"10:21:38"},{"id":151,"name":"Denver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4043 --day 2017-10-01</v>
      </c>
      <c r="AN5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1"/>
        <v>https://d0f6bd738d7f1b3e5a7ca70fe4ff75f0.us-east-1.aws.found.io/app/kibana#/discover/Steve-Slow-Train-Analysis-(2080s-and-2083s)?_g=(refreshInterval:(display:Off,pause:!f,section:0,value:0),time:(from:'2017-10-01T08:34:16-0600',mode:absolute,to:'2017-10-01T11:21:38-0600'))&amp;_a=(columns:!('Message%20ID',Summary),filters:!(),index:'emp_*',interval:auto,query:(query_string:(analyze_wildcard:!t,query:'%22rtdc.l.rtdc.4043%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689</v>
      </c>
      <c r="B56" s="7">
        <v>4016</v>
      </c>
      <c r="C56" s="21" t="s">
        <v>195</v>
      </c>
      <c r="D56" s="21" t="s">
        <v>501</v>
      </c>
      <c r="E56" s="13">
        <v>43009.369988425926</v>
      </c>
      <c r="F56" s="13">
        <v>43009.375196759262</v>
      </c>
      <c r="G56" s="7">
        <v>48</v>
      </c>
      <c r="H56" s="21" t="s">
        <v>468</v>
      </c>
      <c r="I56" s="13">
        <v>43009.400219907409</v>
      </c>
      <c r="J56" s="7">
        <v>0</v>
      </c>
      <c r="K56" s="89" t="str">
        <f t="shared" si="0"/>
        <v>4015/4016</v>
      </c>
      <c r="L56" s="185" t="str">
        <f>VLOOKUP(A56,'Trips&amp;Operators'!$C$1:$G$99911,5,FALSE)</f>
        <v>MAELZER KURT</v>
      </c>
      <c r="M56" s="6">
        <f t="shared" si="1"/>
        <v>2.5023148147738539E-2</v>
      </c>
      <c r="N56" s="7">
        <f t="shared" si="29"/>
        <v>36.033333332743496</v>
      </c>
      <c r="O56" s="7"/>
      <c r="P56" s="7"/>
      <c r="Q56" s="22"/>
      <c r="R56" s="174"/>
      <c r="S56" s="221">
        <f t="shared" si="30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-01T07:52:47-0600',mode:absolute,to:'2017-10-01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04" t="str">
        <f>IF(AA56&lt;VLOOKUP(AG56,Variables!$AC$3:$AD$8,2,FALSE),"Y","N")</f>
        <v>N</v>
      </c>
      <c r="X56" s="204">
        <f t="shared" si="31"/>
        <v>1</v>
      </c>
      <c r="Y56" s="204">
        <f t="shared" si="32"/>
        <v>4.4900000000000002E-2</v>
      </c>
      <c r="Z56" s="204">
        <f t="shared" si="33"/>
        <v>23.329699999999999</v>
      </c>
      <c r="AA56" s="204">
        <f t="shared" si="7"/>
        <v>23.284800000000001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8"/>
        <v>143</v>
      </c>
      <c r="AE56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56" s="74" t="str">
        <f t="shared" si="10"/>
        <v>"C:\Program Files (x86)\AstroGrep\AstroGrep.exe" /e /r /s /spath="%USERPROFILE%\AppData\Local\Temp\OnboardLogs" /stypes="app*4016*20171001*" /stext=" 15:.+((SYSTEM_STATE.+slice.+state.+changed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7"/>
        <v>"%USERPROFILE%\Documents\GitHub\eaglep3\Utilities\RefineRTDCRunTimes.py" --tripid 143-01 --locoid 4016 --swversion DE.1.0.9.0 --startMP 204:449 --initTime 2017-10-01T08:52:47 --startdatetime 2017-10-01T09:00:17 --delay 48 --endMP 204:233297 --enddatetime 2017-10-01T09:36:19 --enforcementcount 0 &gt;&gt;c:\users\tmcdowell\Documents\GitHub\eaglep3-reporting\EC\2017-10-01-refined-times.txt</v>
      </c>
      <c r="AI5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{"issue":{"subject":"","project_id":79,"tracker_id":40,"status_id":1,"priority_id":2,"assigned_to_id":338,"start_date":"2017-10-01","description":"","custom_fields":[{"id":1,"name":"Subdivision","value":"EC"},{"id":4,"name":"Milepost","value":"23.3297"},{"id":17,"name":"Train ID","value":"143-01"},{"id":16,"name":"Locomotive ID","value":"4016"},{"id":130,"name":"Impact","value":""},{"id":150,"name":"Time of Event (Mountain Time)","value":"09:36:19"},{"id":151,"name":"Denver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4016 --day 2017-10-01</v>
      </c>
      <c r="AN5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1"/>
        <v>https://d0f6bd738d7f1b3e5a7ca70fe4ff75f0.us-east-1.aws.found.io/app/kibana#/discover/Steve-Slow-Train-Analysis-(2080s-and-2083s)?_g=(refreshInterval:(display:Off,pause:!f,section:0,value:0),time:(from:'2017-10-01T07:52:47-0600',mode:absolute,to:'2017-10-01T10:36:19-0600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697</v>
      </c>
      <c r="B57" s="7">
        <v>4015</v>
      </c>
      <c r="C57" s="21" t="s">
        <v>195</v>
      </c>
      <c r="D57" s="21" t="s">
        <v>845</v>
      </c>
      <c r="E57" s="13">
        <v>43009.408958333333</v>
      </c>
      <c r="F57" s="13">
        <v>43009.414826388886</v>
      </c>
      <c r="G57" s="7">
        <v>77</v>
      </c>
      <c r="H57" s="21" t="s">
        <v>338</v>
      </c>
      <c r="I57" s="13">
        <v>43009.44085648148</v>
      </c>
      <c r="J57" s="7">
        <v>0</v>
      </c>
      <c r="K57" s="89" t="str">
        <f t="shared" si="0"/>
        <v>4015/4016</v>
      </c>
      <c r="L57" s="185" t="str">
        <f>VLOOKUP(A57,'Trips&amp;Operators'!$C$1:$G$99911,5,FALSE)</f>
        <v>MAELZER KURT</v>
      </c>
      <c r="M57" s="6">
        <f t="shared" si="1"/>
        <v>2.6030092594737653E-2</v>
      </c>
      <c r="N57" s="7">
        <f t="shared" si="29"/>
        <v>37.48333333642222</v>
      </c>
      <c r="O57" s="7"/>
      <c r="P57" s="7"/>
      <c r="Q57" s="22"/>
      <c r="R57" s="174"/>
      <c r="S57" s="221">
        <f t="shared" si="30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-01T08:48:54-0600',mode:absolute,to:'2017-10-01T11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04" t="str">
        <f>IF(AA57&lt;VLOOKUP(AG57,Variables!$AC$3:$AD$8,2,FALSE),"Y","N")</f>
        <v>N</v>
      </c>
      <c r="X57" s="204">
        <f t="shared" si="31"/>
        <v>1</v>
      </c>
      <c r="Y57" s="204">
        <f t="shared" si="32"/>
        <v>23.2989</v>
      </c>
      <c r="Z57" s="204">
        <f t="shared" si="33"/>
        <v>1.43E-2</v>
      </c>
      <c r="AA57" s="204">
        <f t="shared" si="7"/>
        <v>23.284600000000001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8"/>
        <v>144</v>
      </c>
      <c r="AE57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57" s="74" t="str">
        <f t="shared" si="10"/>
        <v>"C:\Program Files (x86)\AstroGrep\AstroGrep.exe" /e /r /s /spath="%USERPROFILE%\AppData\Local\Temp\OnboardLogs" /stypes="app*4015*20171001*"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7"/>
        <v>"%USERPROFILE%\Documents\GitHub\eaglep3\Utilities\RefineRTDCRunTimes.py" --tripid 144-01 --locoid 4015 --swversion DE.1.0.9.0 --startMP 204:232989 --initTime 2017-10-01T09:48:54 --startdatetime 2017-10-01T09:57:21 --delay 77 --endMP 204:143 --enddatetime 2017-10-01T10:34:50 --enforcementcount 0 &gt;&gt;c:\users\tmcdowell\Documents\GitHub\eaglep3-reporting\EC\2017-10-01-refined-times.txt</v>
      </c>
      <c r="AI5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ID","value":"144-01"},{"id":16,"name":"Locomotive ID","value":"4015"},{"id":130,"name":"Impact","value":""},{"id":150,"name":"Time of Event (Mountain Time)","value":"10:34:50"},{"id":151,"name":"Denver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4015 --day 2017-10-01</v>
      </c>
      <c r="AN5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1"/>
        <v>https://d0f6bd738d7f1b3e5a7ca70fe4ff75f0.us-east-1.aws.found.io/app/kibana#/discover/Steve-Slow-Train-Analysis-(2080s-and-2083s)?_g=(refreshInterval:(display:Off,pause:!f,section:0,value:0),time:(from:'2017-10-01T08:48:54-0600',mode:absolute,to:'2017-10-01T11:34:50-0600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691</v>
      </c>
      <c r="B58" s="7">
        <v>4054</v>
      </c>
      <c r="C58" s="21" t="s">
        <v>195</v>
      </c>
      <c r="D58" s="21" t="s">
        <v>383</v>
      </c>
      <c r="E58" s="13">
        <v>43009.382395833331</v>
      </c>
      <c r="F58" s="13">
        <v>43009.385601851849</v>
      </c>
      <c r="G58" s="7">
        <v>72</v>
      </c>
      <c r="H58" s="21" t="s">
        <v>848</v>
      </c>
      <c r="I58" s="13">
        <v>43009.409386574072</v>
      </c>
      <c r="J58" s="7">
        <v>0</v>
      </c>
      <c r="K58" s="89" t="str">
        <f t="shared" si="0"/>
        <v>4053/4054</v>
      </c>
      <c r="L58" s="185" t="str">
        <f>VLOOKUP(A58,'Trips&amp;Operators'!$C$1:$G$99911,5,FALSE)</f>
        <v>LAMAR NEKESHA</v>
      </c>
      <c r="M58" s="6">
        <f t="shared" si="1"/>
        <v>2.3784722223354038E-2</v>
      </c>
      <c r="N58" s="7">
        <f t="shared" si="29"/>
        <v>34.250000001629815</v>
      </c>
      <c r="O58" s="7"/>
      <c r="P58" s="7"/>
      <c r="Q58" s="22"/>
      <c r="R58" s="174"/>
      <c r="S58" s="221">
        <f t="shared" si="30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-01T08:10:39-0600',mode:absolute,to:'2017-10-01T10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204" t="str">
        <f>IF(AA58&lt;VLOOKUP(AG58,Variables!$AC$3:$AD$8,2,FALSE),"Y","N")</f>
        <v>N</v>
      </c>
      <c r="X58" s="204">
        <f t="shared" si="31"/>
        <v>1</v>
      </c>
      <c r="Y58" s="204">
        <f t="shared" si="32"/>
        <v>4.6199999999999998E-2</v>
      </c>
      <c r="Z58" s="204">
        <f t="shared" si="33"/>
        <v>23.328600000000002</v>
      </c>
      <c r="AA58" s="204">
        <f t="shared" si="7"/>
        <v>23.282400000000003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8"/>
        <v>145</v>
      </c>
      <c r="AE58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58" s="74" t="str">
        <f t="shared" si="10"/>
        <v>"C:\Program Files (x86)\AstroGrep\AstroGrep.exe" /e /r /s /spath="%USERPROFILE%\AppData\Local\Temp\OnboardLogs" /stypes="app*4054*20171001*" /stext=" 15:.+((SYSTEM_STATE.+slice.+state.+changed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7"/>
        <v>"%USERPROFILE%\Documents\GitHub\eaglep3\Utilities\RefineRTDCRunTimes.py" --tripid 145-01 --locoid 4054 --swversion DE.1.0.9.0 --startMP 204:462 --initTime 2017-10-01T09:10:39 --startdatetime 2017-10-01T09:15:16 --delay 72 --endMP 204:233286 --enddatetime 2017-10-01T09:49:31 --enforcementcount 0 &gt;&gt;c:\users\tmcdowell\Documents\GitHub\eaglep3-reporting\EC\2017-10-01-refined-times.txt</v>
      </c>
      <c r="AI5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{"issue":{"subject":"","project_id":79,"tracker_id":40,"status_id":1,"priority_id":2,"assigned_to_id":338,"start_date":"2017-10-01","description":"","custom_fields":[{"id":1,"name":"Subdivision","value":"EC"},{"id":4,"name":"Milepost","value":"23.3286"},{"id":17,"name":"Train ID","value":"145-01"},{"id":16,"name":"Locomotive ID","value":"4054"},{"id":130,"name":"Impact","value":""},{"id":150,"name":"Time of Event (Mountain Time)","value":"09:49:31"},{"id":151,"name":"Denver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4054 --day 2017-10-01</v>
      </c>
      <c r="AN5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1"/>
        <v>https://d0f6bd738d7f1b3e5a7ca70fe4ff75f0.us-east-1.aws.found.io/app/kibana#/discover/Steve-Slow-Train-Analysis-(2080s-and-2083s)?_g=(refreshInterval:(display:Off,pause:!f,section:0,value:0),time:(from:'2017-10-01T08:10:39-0600',mode:absolute,to:'2017-10-01T10:49:31-0600'))&amp;_a=(columns:!('Message%20ID',Summary),filters:!(),index:'emp_*',interval:auto,query:(query_string:(analyze_wildcard:!t,query:'%22rtdc.l.rtdc.4054%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595</v>
      </c>
      <c r="B59" s="7">
        <v>4053</v>
      </c>
      <c r="C59" s="21" t="s">
        <v>195</v>
      </c>
      <c r="D59" s="21" t="s">
        <v>456</v>
      </c>
      <c r="E59" s="13">
        <v>43009.422037037039</v>
      </c>
      <c r="F59" s="13">
        <v>43009.425162037034</v>
      </c>
      <c r="G59" s="7">
        <v>62</v>
      </c>
      <c r="H59" s="21" t="s">
        <v>391</v>
      </c>
      <c r="I59" s="13">
        <v>43009.451678240737</v>
      </c>
      <c r="J59" s="7">
        <v>0</v>
      </c>
      <c r="K59" s="89" t="str">
        <f t="shared" si="0"/>
        <v>4053/4054</v>
      </c>
      <c r="L59" s="185" t="str">
        <f>VLOOKUP(A59,'Trips&amp;Operators'!$C$1:$G$99911,5,FALSE)</f>
        <v>LAMAR NEKESHA</v>
      </c>
      <c r="M59" s="6">
        <f t="shared" si="1"/>
        <v>2.6516203703067731E-2</v>
      </c>
      <c r="N59" s="7">
        <f t="shared" si="29"/>
        <v>38.183333332417533</v>
      </c>
      <c r="O59" s="7"/>
      <c r="P59" s="7"/>
      <c r="Q59" s="22"/>
      <c r="R59" s="174"/>
      <c r="S59" s="221">
        <f t="shared" si="30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-01T09:07:44-0600',mode:absolute,to:'2017-10-01T11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204" t="str">
        <f>IF(AA59&lt;VLOOKUP(AG59,Variables!$AC$3:$AD$8,2,FALSE),"Y","N")</f>
        <v>N</v>
      </c>
      <c r="X59" s="204">
        <f t="shared" si="31"/>
        <v>1</v>
      </c>
      <c r="Y59" s="204">
        <f t="shared" si="32"/>
        <v>23.2971</v>
      </c>
      <c r="Z59" s="204">
        <f t="shared" si="33"/>
        <v>1.54E-2</v>
      </c>
      <c r="AA59" s="204">
        <f t="shared" si="7"/>
        <v>23.281700000000001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8"/>
        <v>146</v>
      </c>
      <c r="AE59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59" s="74" t="str">
        <f t="shared" si="10"/>
        <v>"C:\Program Files (x86)\AstroGrep\AstroGrep.exe" /e /r /s /spath="%USERPROFILE%\AppData\Local\Temp\OnboardLogs" /stypes="app*4053*20171001*"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7"/>
        <v>"%USERPROFILE%\Documents\GitHub\eaglep3\Utilities\RefineRTDCRunTimes.py" --tripid 146-01 --locoid 4053 --swversion DE.1.0.9.0 --startMP 204:232971 --initTime 2017-10-01T10:07:44 --startdatetime 2017-10-01T10:12:14 --delay 62 --endMP 204:154 --enddatetime 2017-10-01T10:50:25 --enforcementcount 0 &gt;&gt;c:\users\tmcdowell\Documents\GitHub\eaglep3-reporting\EC\2017-10-01-refined-times.txt</v>
      </c>
      <c r="AI5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ID","value":"146-01"},{"id":16,"name":"Locomotive ID","value":"4053"},{"id":130,"name":"Impact","value":""},{"id":150,"name":"Time of Event (Mountain Time)","value":"10:50:25"},{"id":151,"name":"Denver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4053 --day 2017-10-01</v>
      </c>
      <c r="AN5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1"/>
        <v>https://d0f6bd738d7f1b3e5a7ca70fe4ff75f0.us-east-1.aws.found.io/app/kibana#/discover/Steve-Slow-Train-Analysis-(2080s-and-2083s)?_g=(refreshInterval:(display:Off,pause:!f,section:0,value:0),time:(from:'2017-10-01T09:07:44-0600',mode:absolute,to:'2017-10-01T11:50:25-0600'))&amp;_a=(columns:!('Message%20ID',Summary),filters:!(),index:'emp_*',interval:auto,query:(query_string:(analyze_wildcard:!t,query:'%22rtdc.l.rtdc.4053%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693</v>
      </c>
      <c r="B60" s="7">
        <v>4060</v>
      </c>
      <c r="C60" s="21" t="s">
        <v>195</v>
      </c>
      <c r="D60" s="21" t="s">
        <v>383</v>
      </c>
      <c r="E60" s="13">
        <v>43009.393148148149</v>
      </c>
      <c r="F60" s="13">
        <v>43009.396006944444</v>
      </c>
      <c r="G60" s="7">
        <v>54</v>
      </c>
      <c r="H60" s="21" t="s">
        <v>395</v>
      </c>
      <c r="I60" s="13">
        <v>43009.422442129631</v>
      </c>
      <c r="J60" s="7">
        <v>0</v>
      </c>
      <c r="K60" s="89" t="str">
        <f t="shared" si="0"/>
        <v>4059/4060</v>
      </c>
      <c r="L60" s="185" t="str">
        <f>VLOOKUP(A60,'Trips&amp;Operators'!$C$1:$G$99911,5,FALSE)</f>
        <v>DAVIS WENDY</v>
      </c>
      <c r="M60" s="6">
        <f t="shared" si="1"/>
        <v>2.6435185187438037E-2</v>
      </c>
      <c r="N60" s="7">
        <f t="shared" si="29"/>
        <v>38.066666669910774</v>
      </c>
      <c r="O60" s="7"/>
      <c r="P60" s="7"/>
      <c r="Q60" s="22"/>
      <c r="R60" s="174"/>
      <c r="S60" s="221">
        <f t="shared" si="30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-01T08:26:08-0600',mode:absolute,to:'2017-10-01T11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0" s="204" t="str">
        <f>IF(AA60&lt;VLOOKUP(AG60,Variables!$AC$3:$AD$8,2,FALSE),"Y","N")</f>
        <v>N</v>
      </c>
      <c r="X60" s="204">
        <f t="shared" si="31"/>
        <v>1</v>
      </c>
      <c r="Y60" s="204">
        <f t="shared" si="32"/>
        <v>4.6199999999999998E-2</v>
      </c>
      <c r="Z60" s="204">
        <f t="shared" si="33"/>
        <v>23.3293</v>
      </c>
      <c r="AA60" s="204">
        <f t="shared" si="7"/>
        <v>23.283100000000001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8"/>
        <v>147</v>
      </c>
      <c r="AE60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60" s="74" t="str">
        <f t="shared" si="10"/>
        <v>"C:\Program Files (x86)\AstroGrep\AstroGrep.exe" /e /r /s /spath="%USERPROFILE%\AppData\Local\Temp\OnboardLogs" /stypes="app*4060*20171001*" /stext=" 16:.+((SYSTEM_STATE.+slice.+state.+changed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7"/>
        <v>"%USERPROFILE%\Documents\GitHub\eaglep3\Utilities\RefineRTDCRunTimes.py" --tripid 147-01 --locoid 4060 --swversion DE.1.0.9.0 --startMP 204:462 --initTime 2017-10-01T09:26:08 --startdatetime 2017-10-01T09:30:15 --delay 54 --endMP 204:233293 --enddatetime 2017-10-01T10:08:19 --enforcementcount 0 &gt;&gt;c:\users\tmcdowell\Documents\GitHub\eaglep3-reporting\EC\2017-10-01-refined-times.txt</v>
      </c>
      <c r="AI6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ID","value":"147-01"},{"id":16,"name":"Locomotive ID","value":"4060"},{"id":130,"name":"Impact","value":""},{"id":150,"name":"Time of Event (Mountain Time)","value":"10:08:19"},{"id":151,"name":"Denver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4060 --day 2017-10-01</v>
      </c>
      <c r="AN6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1"/>
        <v>https://d0f6bd738d7f1b3e5a7ca70fe4ff75f0.us-east-1.aws.found.io/app/kibana#/discover/Steve-Slow-Train-Analysis-(2080s-and-2083s)?_g=(refreshInterval:(display:Off,pause:!f,section:0,value:0),time:(from:'2017-10-01T08:26:08-0600',mode:absolute,to:'2017-10-01T11:08:19-0600'))&amp;_a=(columns:!('Message%20ID',Summary),filters:!(),index:'emp_*',interval:auto,query:(query_string:(analyze_wildcard:!t,query:'%22rtdc.l.rtdc.4060%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596</v>
      </c>
      <c r="B61" s="7">
        <v>4059</v>
      </c>
      <c r="C61" s="21" t="s">
        <v>195</v>
      </c>
      <c r="D61" s="21" t="s">
        <v>392</v>
      </c>
      <c r="E61" s="13">
        <v>43009.431006944447</v>
      </c>
      <c r="F61" s="13">
        <v>43009.435590277775</v>
      </c>
      <c r="G61" s="7">
        <v>64</v>
      </c>
      <c r="H61" s="21" t="s">
        <v>391</v>
      </c>
      <c r="I61" s="13">
        <v>43009.463773148149</v>
      </c>
      <c r="J61" s="7">
        <v>0</v>
      </c>
      <c r="K61" s="89" t="str">
        <f t="shared" si="0"/>
        <v>4059/4060</v>
      </c>
      <c r="L61" s="185" t="str">
        <f>VLOOKUP(A61,'Trips&amp;Operators'!$C$1:$G$99911,5,FALSE)</f>
        <v>DAVIS WENDY</v>
      </c>
      <c r="M61" s="6">
        <f t="shared" si="1"/>
        <v>2.8182870373711921E-2</v>
      </c>
      <c r="N61" s="7">
        <f t="shared" si="29"/>
        <v>40.583333338145167</v>
      </c>
      <c r="O61" s="7"/>
      <c r="P61" s="7"/>
      <c r="Q61" s="22"/>
      <c r="R61" s="174"/>
      <c r="S61" s="221">
        <f t="shared" si="30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1" s="204" t="str">
        <f>IF(AA61&lt;VLOOKUP(AG61,Variables!$AC$3:$AD$8,2,FALSE),"Y","N")</f>
        <v>N</v>
      </c>
      <c r="X61" s="204">
        <f t="shared" si="31"/>
        <v>1</v>
      </c>
      <c r="Y61" s="204">
        <f t="shared" si="32"/>
        <v>23.298100000000002</v>
      </c>
      <c r="Z61" s="204">
        <f t="shared" si="33"/>
        <v>1.54E-2</v>
      </c>
      <c r="AA61" s="204">
        <f t="shared" si="7"/>
        <v>23.282700000000002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8"/>
        <v>148</v>
      </c>
      <c r="AE61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61" s="74" t="str">
        <f t="shared" si="10"/>
        <v>"C:\Program Files (x86)\AstroGrep\AstroGrep.exe" /e /r /s /spath="%USERPROFILE%\AppData\Local\Temp\OnboardLogs" /stypes="app*4059*20171001*"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7"/>
        <v>"%USERPROFILE%\Documents\GitHub\eaglep3\Utilities\RefineRTDCRunTimes.py" --tripid 148-01 --locoid 4059 --swversion DE.1.0.9.0 --startMP 204:232981 --initTime 2017-10-01T10:20:39 --startdatetime 2017-10-01T10:27:15 --delay 64 --endMP 204:154 --enddatetime 2017-10-01T11:07:50 --enforcementcount 0 &gt;&gt;c:\users\tmcdowell\Documents\GitHub\eaglep3-reporting\EC\2017-10-01-refined-times.txt</v>
      </c>
      <c r="AI6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ID","value":"148-01"},{"id":16,"name":"Locomotive ID","value":"4059"},{"id":130,"name":"Impact","value":""},{"id":150,"name":"Time of Event (Mountain Time)","value":"11:07:50"},{"id":151,"name":"Denver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4059 --day 2017-10-01</v>
      </c>
      <c r="AN6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1"/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Message%20ID',Summary),filters:!(),index:'emp_*',interval:auto,query:(query_string:(analyze_wildcard:!t,query:'%22rtdc.l.rtdc.4059%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4042</v>
      </c>
      <c r="C62" s="21" t="s">
        <v>195</v>
      </c>
      <c r="D62" s="21" t="s">
        <v>387</v>
      </c>
      <c r="E62" s="13">
        <v>43009.400243055556</v>
      </c>
      <c r="F62" s="13">
        <v>43009.406446759262</v>
      </c>
      <c r="G62" s="7">
        <v>61</v>
      </c>
      <c r="H62" s="21" t="s">
        <v>848</v>
      </c>
      <c r="I62" s="13">
        <v>43009.431446759256</v>
      </c>
      <c r="J62" s="7">
        <v>0</v>
      </c>
      <c r="K62" s="89" t="str">
        <f t="shared" si="0"/>
        <v>4041/4042</v>
      </c>
      <c r="L62" s="185" t="str">
        <f>VLOOKUP(A62,'Trips&amp;Operators'!$C$1:$G$99911,5,FALSE)</f>
        <v>LANGERAK WILLIAM</v>
      </c>
      <c r="M62" s="6">
        <f t="shared" si="1"/>
        <v>2.4999999994179234E-2</v>
      </c>
      <c r="N62" s="7">
        <f t="shared" si="29"/>
        <v>35.999999991618097</v>
      </c>
      <c r="O62" s="7"/>
      <c r="P62" s="7"/>
      <c r="Q62" s="22"/>
      <c r="R62" s="174"/>
      <c r="S62" s="221">
        <f t="shared" si="30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-01T08:36:21-0600',mode:absolute,to:'2017-10-01T11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2" s="204" t="str">
        <f>IF(AA62&lt;VLOOKUP(AG62,Variables!$AC$3:$AD$8,2,FALSE),"Y","N")</f>
        <v>N</v>
      </c>
      <c r="X62" s="204">
        <f t="shared" si="31"/>
        <v>1</v>
      </c>
      <c r="Y62" s="204">
        <f t="shared" si="32"/>
        <v>4.7100000000000003E-2</v>
      </c>
      <c r="Z62" s="204">
        <f t="shared" si="33"/>
        <v>23.328600000000002</v>
      </c>
      <c r="AA62" s="204">
        <f t="shared" si="7"/>
        <v>23.281500000000001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8"/>
        <v>149</v>
      </c>
      <c r="AE62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62" s="74" t="str">
        <f t="shared" si="10"/>
        <v>"C:\Program Files (x86)\AstroGrep\AstroGrep.exe" /e /r /s /spath="%USERPROFILE%\AppData\Local\Temp\OnboardLogs" /stypes="app*4042*20171001*" /stext=" 16:.+((SYSTEM_STATE.+slice.+state.+changed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7"/>
        <v>"%USERPROFILE%\Documents\GitHub\eaglep3\Utilities\RefineRTDCRunTimes.py" --tripid 149-01 --locoid 4042 --swversion DE.1.0.9.0 --startMP 204:471 --initTime 2017-10-01T09:36:21 --startdatetime 2017-10-01T09:45:17 --delay 61 --endMP 204:233286 --enddatetime 2017-10-01T10:21:17 --enforcementcount 0 &gt;&gt;c:\users\tmcdowell\Documents\GitHub\eaglep3-reporting\EC\2017-10-01-refined-times.txt</v>
      </c>
      <c r="AI6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{"issue":{"subject":"","project_id":79,"tracker_id":40,"status_id":1,"priority_id":2,"assigned_to_id":338,"start_date":"2017-10-01","description":"","custom_fields":[{"id":1,"name":"Subdivision","value":"EC"},{"id":4,"name":"Milepost","value":"23.3286"},{"id":17,"name":"Train ID","value":"149-01"},{"id":16,"name":"Locomotive ID","value":"4042"},{"id":130,"name":"Impact","value":""},{"id":150,"name":"Time of Event (Mountain Time)","value":"10:21:17"},{"id":151,"name":"Denver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4042 --day 2017-10-01</v>
      </c>
      <c r="AN6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1"/>
        <v>https://d0f6bd738d7f1b3e5a7ca70fe4ff75f0.us-east-1.aws.found.io/app/kibana#/discover/Steve-Slow-Train-Analysis-(2080s-and-2083s)?_g=(refreshInterval:(display:Off,pause:!f,section:0,value:0),time:(from:'2017-10-01T08:36:21-0600',mode:absolute,to:'2017-10-01T11:21:17-0600'))&amp;_a=(columns:!('Message%20ID',Summary),filters:!(),index:'emp_*',interval:auto,query:(query_string:(analyze_wildcard:!t,query:'%22rtdc.l.rtdc.4042%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701</v>
      </c>
      <c r="B63" s="7">
        <v>4041</v>
      </c>
      <c r="C63" s="21" t="s">
        <v>195</v>
      </c>
      <c r="D63" s="21" t="s">
        <v>849</v>
      </c>
      <c r="E63" s="13">
        <v>43009.43273148148</v>
      </c>
      <c r="F63" s="13">
        <v>43009.44604166667</v>
      </c>
      <c r="G63" s="7">
        <v>65</v>
      </c>
      <c r="H63" s="21" t="s">
        <v>362</v>
      </c>
      <c r="I63" s="13">
        <v>43009.473657407405</v>
      </c>
      <c r="J63" s="7">
        <v>0</v>
      </c>
      <c r="K63" s="89" t="str">
        <f t="shared" si="0"/>
        <v>4041/4042</v>
      </c>
      <c r="L63" s="185" t="str">
        <f>VLOOKUP(A63,'Trips&amp;Operators'!$C$1:$G$99911,5,FALSE)</f>
        <v>LANGERAK WILLIAM</v>
      </c>
      <c r="M63" s="6">
        <f t="shared" si="1"/>
        <v>2.7615740735200234E-2</v>
      </c>
      <c r="N63" s="7">
        <f t="shared" si="29"/>
        <v>39.766666658688337</v>
      </c>
      <c r="O63" s="7"/>
      <c r="P63" s="7"/>
      <c r="Q63" s="22"/>
      <c r="R63" s="174"/>
      <c r="S63" s="221">
        <f t="shared" si="30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-01T09:23:08-0600',mode:absolute,to:'2017-10-01T12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3" s="204" t="str">
        <f>IF(AA63&lt;VLOOKUP(AG63,Variables!$AC$3:$AD$8,2,FALSE),"Y","N")</f>
        <v>N</v>
      </c>
      <c r="X63" s="204">
        <f t="shared" si="31"/>
        <v>1</v>
      </c>
      <c r="Y63" s="204">
        <f t="shared" si="32"/>
        <v>23.2973</v>
      </c>
      <c r="Z63" s="204">
        <f t="shared" si="33"/>
        <v>1.38E-2</v>
      </c>
      <c r="AA63" s="204">
        <f t="shared" si="7"/>
        <v>23.2835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8"/>
        <v>150</v>
      </c>
      <c r="AE63" s="77" t="str">
        <f t="shared" si="9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63" s="74" t="str">
        <f t="shared" si="10"/>
        <v>"C:\Program Files (x86)\AstroGrep\AstroGrep.exe" /e /r /s /spath="%USERPROFILE%\AppData\Local\Temp\OnboardLogs" /stypes="app*4041*20171001*"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7"/>
        <v>"%USERPROFILE%\Documents\GitHub\eaglep3\Utilities\RefineRTDCRunTimes.py" --tripid 150-01 --locoid 4041 --swversion DE.1.0.9.0 --startMP 204:232973 --initTime 2017-10-01T10:23:08 --startdatetime 2017-10-01T10:42:18 --delay 65 --endMP 204:138 --enddatetime 2017-10-01T11:22:04 --enforcementcount 0 &gt;&gt;c:\users\tmcdowell\Documents\GitHub\eaglep3-reporting\EC\2017-10-01-refined-times.txt</v>
      </c>
      <c r="AI6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ID","value":"150-01"},{"id":16,"name":"Locomotive ID","value":"4041"},{"id":130,"name":"Impact","value":""},{"id":150,"name":"Time of Event (Mountain Time)","value":"11:22:04"},{"id":151,"name":"Denver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4041 --day 2017-10-01</v>
      </c>
      <c r="AN6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1"/>
        <v>https://d0f6bd738d7f1b3e5a7ca70fe4ff75f0.us-east-1.aws.found.io/app/kibana#/discover/Steve-Slow-Train-Analysis-(2080s-and-2083s)?_g=(refreshInterval:(display:Off,pause:!f,section:0,value:0),time:(from:'2017-10-01T09:23:08-0600',mode:absolute,to:'2017-10-01T12:22:04-0600'))&amp;_a=(columns:!('Message%20ID',Summary),filters:!(),index:'emp_*',interval:auto,query:(query_string:(analyze_wildcard:!t,query:'%22rtdc.l.rtdc.4041%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698</v>
      </c>
      <c r="B64" s="7">
        <v>4012</v>
      </c>
      <c r="C64" s="21" t="s">
        <v>195</v>
      </c>
      <c r="D64" s="21" t="s">
        <v>501</v>
      </c>
      <c r="E64" s="13">
        <v>43009.411585648151</v>
      </c>
      <c r="F64" s="13">
        <v>43009.41684027778</v>
      </c>
      <c r="G64" s="7">
        <v>64</v>
      </c>
      <c r="H64" s="21" t="s">
        <v>498</v>
      </c>
      <c r="I64" s="13">
        <v>43009.441747685189</v>
      </c>
      <c r="J64" s="7">
        <v>0</v>
      </c>
      <c r="K64" s="89" t="str">
        <f t="shared" si="0"/>
        <v>4011/4012</v>
      </c>
      <c r="L64" s="185" t="str">
        <f>VLOOKUP(A64,'Trips&amp;Operators'!$C$1:$G$99911,5,FALSE)</f>
        <v>GEBRETEKLE DAGNEW</v>
      </c>
      <c r="M64" s="6">
        <f t="shared" si="1"/>
        <v>2.4907407409045845E-2</v>
      </c>
      <c r="N64" s="7">
        <f t="shared" si="29"/>
        <v>35.866666669026017</v>
      </c>
      <c r="O64" s="7"/>
      <c r="P64" s="7"/>
      <c r="Q64" s="22"/>
      <c r="R64" s="174"/>
      <c r="S64" s="221">
        <f t="shared" si="30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-01T08:52:41-0600',mode:absolute,to:'2017-10-01T11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204" t="str">
        <f>IF(AA64&lt;VLOOKUP(AG64,Variables!$AC$3:$AD$8,2,FALSE),"Y","N")</f>
        <v>N</v>
      </c>
      <c r="X64" s="204">
        <f t="shared" si="31"/>
        <v>1</v>
      </c>
      <c r="Y64" s="204">
        <f t="shared" si="32"/>
        <v>4.4900000000000002E-2</v>
      </c>
      <c r="Z64" s="204">
        <f t="shared" si="33"/>
        <v>23.33</v>
      </c>
      <c r="AA64" s="204">
        <f t="shared" si="7"/>
        <v>23.2851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8"/>
        <v>151</v>
      </c>
      <c r="AE64" s="77" t="str">
        <f t="shared" si="9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64" s="74" t="str">
        <f t="shared" si="10"/>
        <v>"C:\Program Files (x86)\AstroGrep\AstroGrep.exe" /e /r /s /spath="%USERPROFILE%\AppData\Local\Temp\OnboardLogs" /stypes="app*4012*20171001*" /stext=" 16:.+((SYSTEM_STATE.+slice.+state.+changed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7"/>
        <v>"%USERPROFILE%\Documents\GitHub\eaglep3\Utilities\RefineRTDCRunTimes.py" --tripid 151-01 --locoid 4012 --swversion DE.1.0.9.0 --startMP 204:449 --initTime 2017-10-01T09:52:41 --startdatetime 2017-10-01T10:00:15 --delay 64 --endMP 204:233300 --enddatetime 2017-10-01T10:36:07 --enforcementcount 0 &gt;&gt;c:\users\tmcdowell\Documents\GitHub\eaglep3-reporting\EC\2017-10-01-refined-times.txt</v>
      </c>
      <c r="AI6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{"issue":{"subject":"","project_id":79,"tracker_id":40,"status_id":1,"priority_id":2,"assigned_to_id":338,"start_date":"2017-10-01","description":"","custom_fields":[{"id":1,"name":"Subdivision","value":"EC"},{"id":4,"name":"Milepost","value":"23.33"},{"id":17,"name":"Train ID","value":"151-01"},{"id":16,"name":"Locomotive ID","value":"4012"},{"id":130,"name":"Impact","value":""},{"id":150,"name":"Time of Event (Mountain Time)","value":"10:36:07"},{"id":151,"name":"Denver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4012 --day 2017-10-01</v>
      </c>
      <c r="AN6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1"/>
        <v>https://d0f6bd738d7f1b3e5a7ca70fe4ff75f0.us-east-1.aws.found.io/app/kibana#/discover/Steve-Slow-Train-Analysis-(2080s-and-2083s)?_g=(refreshInterval:(display:Off,pause:!f,section:0,value:0),time:(from:'2017-10-01T08:52:41-0600',mode:absolute,to:'2017-10-01T11:36:07-0600'))&amp;_a=(columns:!('Message%20ID',Summary),filters:!(),index:'emp_*',interval:auto,query:(query_string:(analyze_wildcard:!t,query:'%22rtdc.l.rtdc.4012%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703</v>
      </c>
      <c r="B65" s="7">
        <v>4011</v>
      </c>
      <c r="C65" s="21" t="s">
        <v>195</v>
      </c>
      <c r="D65" s="21" t="s">
        <v>459</v>
      </c>
      <c r="E65" s="13">
        <v>43009.443449074075</v>
      </c>
      <c r="F65" s="13">
        <v>43009.456435185188</v>
      </c>
      <c r="G65" s="7">
        <v>56</v>
      </c>
      <c r="H65" s="21" t="s">
        <v>850</v>
      </c>
      <c r="I65" s="13">
        <v>43009.483368055553</v>
      </c>
      <c r="J65" s="7">
        <v>0</v>
      </c>
      <c r="K65" s="89" t="str">
        <f t="shared" si="0"/>
        <v>4011/4012</v>
      </c>
      <c r="L65" s="185" t="str">
        <f>VLOOKUP(A65,'Trips&amp;Operators'!$C$1:$G$99911,5,FALSE)</f>
        <v>GEBRETEKLE DAGNEW</v>
      </c>
      <c r="M65" s="6">
        <f t="shared" si="1"/>
        <v>2.693287036527181E-2</v>
      </c>
      <c r="N65" s="7">
        <f t="shared" si="29"/>
        <v>38.783333325991407</v>
      </c>
      <c r="O65" s="7"/>
      <c r="P65" s="7"/>
      <c r="Q65" s="22"/>
      <c r="R65" s="174"/>
      <c r="S65" s="221">
        <f t="shared" si="30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-01T09:38:34-0600',mode:absolute,to:'2017-10-01T12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5" s="204" t="str">
        <f>IF(AA65&lt;VLOOKUP(AG65,Variables!$AC$3:$AD$8,2,FALSE),"Y","N")</f>
        <v>N</v>
      </c>
      <c r="X65" s="204">
        <f t="shared" si="31"/>
        <v>1</v>
      </c>
      <c r="Y65" s="204">
        <f t="shared" si="32"/>
        <v>23.298300000000001</v>
      </c>
      <c r="Z65" s="204">
        <f t="shared" si="33"/>
        <v>1.72E-2</v>
      </c>
      <c r="AA65" s="204">
        <f t="shared" si="7"/>
        <v>23.281100000000002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8"/>
        <v>152</v>
      </c>
      <c r="AE65" s="77" t="str">
        <f t="shared" si="9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65" s="74" t="str">
        <f t="shared" si="10"/>
        <v>"C:\Program Files (x86)\AstroGrep\AstroGrep.exe" /e /r /s /spath="%USERPROFILE%\AppData\Local\Temp\OnboardLogs" /stypes="app*4011*20171001*"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7"/>
        <v>"%USERPROFILE%\Documents\GitHub\eaglep3\Utilities\RefineRTDCRunTimes.py" --tripid 152-01 --locoid 4011 --swversion DE.1.0.9.0 --startMP 204:232983 --initTime 2017-10-01T10:38:34 --startdatetime 2017-10-01T10:57:16 --delay 56 --endMP 204:172 --enddatetime 2017-10-01T11:36:03 --enforcementcount 0 &gt;&gt;c:\users\tmcdowell\Documents\GitHub\eaglep3-reporting\EC\2017-10-01-refined-times.txt</v>
      </c>
      <c r="AI6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{"issue":{"subject":"","project_id":79,"tracker_id":40,"status_id":1,"priority_id":2,"assigned_to_id":338,"start_date":"2017-10-01","description":"","custom_fields":[{"id":1,"name":"Subdivision","value":"EC"},{"id":4,"name":"Milepost","value":"0.0172"},{"id":17,"name":"Train ID","value":"152-01"},{"id":16,"name":"Locomotive ID","value":"4011"},{"id":130,"name":"Impact","value":""},{"id":150,"name":"Time of Event (Mountain Time)","value":"11:36:03"},{"id":151,"name":"Denver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4011 --day 2017-10-01</v>
      </c>
      <c r="AN6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1"/>
        <v>https://d0f6bd738d7f1b3e5a7ca70fe4ff75f0.us-east-1.aws.found.io/app/kibana#/discover/Steve-Slow-Train-Analysis-(2080s-and-2083s)?_g=(refreshInterval:(display:Off,pause:!f,section:0,value:0),time:(from:'2017-10-01T09:38:34-0600',mode:absolute,to:'2017-10-01T12:36:03-0600'))&amp;_a=(columns:!('Message%20ID',Summary),filters:!(),index:'emp_*',interval:auto,query:(query_string:(analyze_wildcard:!t,query:'%22rtdc.l.rtdc.4011%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700</v>
      </c>
      <c r="B66" s="7">
        <v>4014</v>
      </c>
      <c r="C66" s="21" t="s">
        <v>195</v>
      </c>
      <c r="D66" s="21" t="s">
        <v>393</v>
      </c>
      <c r="E66" s="13">
        <v>43009.422430555554</v>
      </c>
      <c r="F66" s="13">
        <v>43009.427291666667</v>
      </c>
      <c r="G66" s="7">
        <v>81</v>
      </c>
      <c r="H66" s="21" t="s">
        <v>496</v>
      </c>
      <c r="I66" s="13">
        <v>43009.451793981483</v>
      </c>
      <c r="J66" s="7">
        <v>0</v>
      </c>
      <c r="K66" s="89" t="str">
        <f t="shared" si="0"/>
        <v>4013/4014</v>
      </c>
      <c r="L66" s="185" t="str">
        <f>VLOOKUP(A66,'Trips&amp;Operators'!$C$1:$G$99911,5,FALSE)</f>
        <v>BADERTSCHER DIANE</v>
      </c>
      <c r="M66" s="6">
        <f t="shared" si="1"/>
        <v>2.4502314816345461E-2</v>
      </c>
      <c r="N66" s="7">
        <f t="shared" si="29"/>
        <v>35.283333335537463</v>
      </c>
      <c r="O66" s="7"/>
      <c r="P66" s="7"/>
      <c r="Q66" s="22"/>
      <c r="R66" s="174"/>
      <c r="S66" s="221">
        <f t="shared" si="30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-01T09:08:18-0600',mode:absolute,to:'2017-10-01T11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204" t="str">
        <f>IF(AA66&lt;VLOOKUP(AG66,Variables!$AC$3:$AD$8,2,FALSE),"Y","N")</f>
        <v>N</v>
      </c>
      <c r="X66" s="204">
        <f t="shared" si="31"/>
        <v>1</v>
      </c>
      <c r="Y66" s="204">
        <f t="shared" si="32"/>
        <v>4.6600000000000003E-2</v>
      </c>
      <c r="Z66" s="204">
        <f t="shared" si="33"/>
        <v>23.329899999999999</v>
      </c>
      <c r="AA66" s="204">
        <f t="shared" si="7"/>
        <v>23.283299999999997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8"/>
        <v>153</v>
      </c>
      <c r="AE66" s="77" t="str">
        <f t="shared" si="9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66" s="74" t="str">
        <f t="shared" si="10"/>
        <v>"C:\Program Files (x86)\AstroGrep\AstroGrep.exe" /e /r /s /spath="%USERPROFILE%\AppData\Local\Temp\OnboardLogs" /stypes="app*4014*20171001*" /stext=" 16:.+((SYSTEM_STATE.+slice.+state.+changed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7"/>
        <v>"%USERPROFILE%\Documents\GitHub\eaglep3\Utilities\RefineRTDCRunTimes.py" --tripid 153-01 --locoid 4014 --swversion DE.1.0.9.0 --startMP 204:466 --initTime 2017-10-01T10:08:18 --startdatetime 2017-10-01T10:15:18 --delay 81 --endMP 204:233299 --enddatetime 2017-10-01T10:50:35 --enforcementcount 0 &gt;&gt;c:\users\tmcdowell\Documents\GitHub\eaglep3-reporting\EC\2017-10-01-refined-times.txt</v>
      </c>
      <c r="AI6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{"issue":{"subject":"","project_id":79,"tracker_id":40,"status_id":1,"priority_id":2,"assigned_to_id":338,"start_date":"2017-10-01","description":"","custom_fields":[{"id":1,"name":"Subdivision","value":"EC"},{"id":4,"name":"Milepost","value":"23.3299"},{"id":17,"name":"Train ID","value":"153-01"},{"id":16,"name":"Locomotive ID","value":"4014"},{"id":130,"name":"Impact","value":""},{"id":150,"name":"Time of Event (Mountain Time)","value":"10:50:35"},{"id":151,"name":"Denver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4014 --day 2017-10-01</v>
      </c>
      <c r="AN6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1"/>
        <v>https://d0f6bd738d7f1b3e5a7ca70fe4ff75f0.us-east-1.aws.found.io/app/kibana#/discover/Steve-Slow-Train-Analysis-(2080s-and-2083s)?_g=(refreshInterval:(display:Off,pause:!f,section:0,value:0),time:(from:'2017-10-01T09:08:18-0600',mode:absolute,to:'2017-10-01T11:50:35-0600'))&amp;_a=(columns:!('Message%20ID',Summary),filters:!(),index:'emp_*',interval:auto,query:(query_string:(analyze_wildcard:!t,query:'%22rtdc.l.rtdc.4014%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707</v>
      </c>
      <c r="B67" s="7">
        <v>4013</v>
      </c>
      <c r="C67" s="21" t="s">
        <v>195</v>
      </c>
      <c r="D67" s="21" t="s">
        <v>401</v>
      </c>
      <c r="E67" s="13">
        <v>43009.463692129626</v>
      </c>
      <c r="F67" s="13">
        <v>43009.467002314814</v>
      </c>
      <c r="G67" s="7">
        <v>83</v>
      </c>
      <c r="H67" s="21" t="s">
        <v>851</v>
      </c>
      <c r="I67" s="13">
        <v>43009.494247685187</v>
      </c>
      <c r="J67" s="7">
        <v>0</v>
      </c>
      <c r="K67" s="89" t="str">
        <f t="shared" si="0"/>
        <v>4013/4014</v>
      </c>
      <c r="L67" s="185" t="str">
        <f>VLOOKUP(A67,'Trips&amp;Operators'!$C$1:$G$99911,5,FALSE)</f>
        <v>BADERTSCHER DIANE</v>
      </c>
      <c r="M67" s="6">
        <f t="shared" si="1"/>
        <v>2.7245370372838806E-2</v>
      </c>
      <c r="N67" s="7">
        <f t="shared" si="29"/>
        <v>39.233333336887881</v>
      </c>
      <c r="O67" s="7"/>
      <c r="P67" s="7"/>
      <c r="Q67" s="22"/>
      <c r="R67" s="174"/>
      <c r="S67" s="221">
        <f t="shared" si="30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-01T10:07:43-0600',mode:absolute,to:'2017-10-01T12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204" t="str">
        <f>IF(AA67&lt;VLOOKUP(AG67,Variables!$AC$3:$AD$8,2,FALSE),"Y","N")</f>
        <v>N</v>
      </c>
      <c r="X67" s="204">
        <f t="shared" si="31"/>
        <v>1</v>
      </c>
      <c r="Y67" s="204">
        <f t="shared" si="32"/>
        <v>23.298200000000001</v>
      </c>
      <c r="Z67" s="204">
        <f t="shared" si="33"/>
        <v>1.2699999999999999E-2</v>
      </c>
      <c r="AA67" s="204">
        <f t="shared" si="7"/>
        <v>23.285500000000003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8"/>
        <v>154</v>
      </c>
      <c r="AE67" s="77" t="str">
        <f t="shared" si="9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67" s="74" t="str">
        <f t="shared" si="10"/>
        <v>"C:\Program Files (x86)\AstroGrep\AstroGrep.exe" /e /r /s /spath="%USERPROFILE%\AppData\Local\Temp\OnboardLogs" /stypes="app*4013*20171001*" /stext=" 17:.+((SYSTEM_STATE.+slice.+state.+changed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7"/>
        <v>"%USERPROFILE%\Documents\GitHub\eaglep3\Utilities\RefineRTDCRunTimes.py" --tripid 154-01 --locoid 4013 --swversion DE.1.0.9.0 --startMP 204:232982 --initTime 2017-10-01T11:07:43 --startdatetime 2017-10-01T11:12:29 --delay 83 --endMP 204:127 --enddatetime 2017-10-01T11:51:43 --enforcementcount 0 &gt;&gt;c:\users\tmcdowell\Documents\GitHub\eaglep3-reporting\EC\2017-10-01-refined-times.txt</v>
      </c>
      <c r="AI6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{"issue":{"subject":"","project_id":79,"tracker_id":40,"status_id":1,"priority_id":2,"assigned_to_id":338,"start_date":"2017-10-01","description":"","custom_fields":[{"id":1,"name":"Subdivision","value":"EC"},{"id":4,"name":"Milepost","value":"0.0127"},{"id":17,"name":"Train ID","value":"154-01"},{"id":16,"name":"Locomotive ID","value":"4013"},{"id":130,"name":"Impact","value":""},{"id":150,"name":"Time of Event (Mountain Time)","value":"11:51:43"},{"id":151,"name":"Denver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4013 --day 2017-10-01</v>
      </c>
      <c r="AN6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1"/>
        <v>https://d0f6bd738d7f1b3e5a7ca70fe4ff75f0.us-east-1.aws.found.io/app/kibana#/discover/Steve-Slow-Train-Analysis-(2080s-and-2083s)?_g=(refreshInterval:(display:Off,pause:!f,section:0,value:0),time:(from:'2017-10-01T10:07:43-0600',mode:absolute,to:'2017-10-01T12:51:43-0600'))&amp;_a=(columns:!('Message%20ID',Summary),filters:!(),index:'emp_*',interval:auto,query:(query_string:(analyze_wildcard:!t,query:'%22rtdc.l.rtdc.4013%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594</v>
      </c>
      <c r="B68" s="7">
        <v>4044</v>
      </c>
      <c r="C68" s="21" t="s">
        <v>195</v>
      </c>
      <c r="D68" s="21" t="s">
        <v>387</v>
      </c>
      <c r="E68" s="13">
        <v>43009.433368055557</v>
      </c>
      <c r="F68" s="13">
        <v>43009.437743055554</v>
      </c>
      <c r="G68" s="7">
        <v>79</v>
      </c>
      <c r="H68" s="21" t="s">
        <v>498</v>
      </c>
      <c r="I68" s="13">
        <v>43009.464814814812</v>
      </c>
      <c r="J68" s="7">
        <v>0</v>
      </c>
      <c r="K68" s="89" t="str">
        <f t="shared" si="0"/>
        <v>4043/4044</v>
      </c>
      <c r="L68" s="185" t="str">
        <f>VLOOKUP(A68,'Trips&amp;Operators'!$C$1:$G$99911,5,FALSE)</f>
        <v>WILLIAMS DONTE</v>
      </c>
      <c r="M68" s="6">
        <f t="shared" si="1"/>
        <v>2.7071759257523809E-2</v>
      </c>
      <c r="N68" s="7">
        <f t="shared" si="29"/>
        <v>38.983333330834284</v>
      </c>
      <c r="O68" s="7"/>
      <c r="P68" s="7"/>
      <c r="Q68" s="22"/>
      <c r="R68" s="174"/>
      <c r="S68" s="221">
        <f t="shared" si="30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-01T09:24:03-0600',mode:absolute,to:'2017-10-01T12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8" s="204" t="str">
        <f>IF(AA68&lt;VLOOKUP(AG68,Variables!$AC$3:$AD$8,2,FALSE),"Y","N")</f>
        <v>N</v>
      </c>
      <c r="X68" s="204">
        <f t="shared" si="31"/>
        <v>1</v>
      </c>
      <c r="Y68" s="204">
        <f t="shared" si="32"/>
        <v>4.7100000000000003E-2</v>
      </c>
      <c r="Z68" s="204">
        <f t="shared" si="33"/>
        <v>23.33</v>
      </c>
      <c r="AA68" s="204">
        <f t="shared" si="7"/>
        <v>23.282899999999998</v>
      </c>
      <c r="AB68" s="54" t="str">
        <f>VLOOKUP(A68,Enforcements!$C$7:$K$11,8,0)</f>
        <v>Bulletin (2)</v>
      </c>
      <c r="AC68" s="51" t="str">
        <f>VLOOKUP(A68,Enforcements!$C$7:$E$11,3,0)</f>
        <v>GRADE CROSSING</v>
      </c>
      <c r="AD68" s="179">
        <f t="shared" si="8"/>
        <v>155</v>
      </c>
      <c r="AE68" s="77" t="str">
        <f t="shared" si="9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68" s="74" t="str">
        <f t="shared" si="10"/>
        <v>"C:\Program Files (x86)\AstroGrep\AstroGrep.exe" /e /r /s /spath="%USERPROFILE%\AppData\Local\Temp\OnboardLogs" /stypes="app*4044*20171001*" /stext=" 17:.+((SYSTEM_STATE.+slice.+state.+changed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7"/>
        <v>"%USERPROFILE%\Documents\GitHub\eaglep3\Utilities\RefineRTDCRunTimes.py" --tripid 155-01 --locoid 4044 --swversion DE.1.0.9.0 --startMP 204:471 --initTime 2017-10-01T10:24:03 --startdatetime 2017-10-01T10:30:21 --delay 79 --endMP 204:233300 --enddatetime 2017-10-01T11:09:20 --enforcementcount 0 &gt;&gt;c:\users\tmcdowell\Documents\GitHub\eaglep3-reporting\EC\2017-10-01-refined-times.txt</v>
      </c>
      <c r="AI6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{"issue":{"subject":"","project_id":79,"tracker_id":40,"status_id":1,"priority_id":2,"assigned_to_id":338,"start_date":"2017-10-01","description":"","custom_fields":[{"id":1,"name":"Subdivision","value":"EC"},{"id":4,"name":"Milepost","value":"23.33"},{"id":17,"name":"Train ID","value":"155-01"},{"id":16,"name":"Locomotive ID","value":"4044"},{"id":130,"name":"Impact","value":""},{"id":150,"name":"Time of Event (Mountain Time)","value":"11:09:20"},{"id":151,"name":"Denver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4044 --day 2017-10-01</v>
      </c>
      <c r="AN6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1"/>
        <v>https://d0f6bd738d7f1b3e5a7ca70fe4ff75f0.us-east-1.aws.found.io/app/kibana#/discover/Steve-Slow-Train-Analysis-(2080s-and-2083s)?_g=(refreshInterval:(display:Off,pause:!f,section:0,value:0),time:(from:'2017-10-01T09:24:03-0600',mode:absolute,to:'2017-10-01T12:09:20-0600'))&amp;_a=(columns:!('Message%20ID',Summary),filters:!(),index:'emp_*',interval:auto,query:(query_string:(analyze_wildcard:!t,query:'%22rtdc.l.rtdc.4044%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709</v>
      </c>
      <c r="B69" s="7">
        <v>4043</v>
      </c>
      <c r="C69" s="21" t="s">
        <v>195</v>
      </c>
      <c r="D69" s="21" t="s">
        <v>491</v>
      </c>
      <c r="E69" s="13">
        <v>43009.472048611111</v>
      </c>
      <c r="F69" s="13">
        <v>43009.477256944447</v>
      </c>
      <c r="G69" s="7">
        <v>67</v>
      </c>
      <c r="H69" s="21" t="s">
        <v>364</v>
      </c>
      <c r="I69" s="13">
        <v>43009.505416666667</v>
      </c>
      <c r="J69" s="7">
        <v>0</v>
      </c>
      <c r="K69" s="89" t="str">
        <f t="shared" si="0"/>
        <v>4043/4044</v>
      </c>
      <c r="L69" s="185" t="str">
        <f>VLOOKUP(A69,'Trips&amp;Operators'!$C$1:$G$99911,5,FALSE)</f>
        <v>WILLIAMS DONTE</v>
      </c>
      <c r="M69" s="6">
        <f t="shared" si="1"/>
        <v>2.8159722220152617E-2</v>
      </c>
      <c r="N69" s="7">
        <f t="shared" si="29"/>
        <v>40.549999997019768</v>
      </c>
      <c r="O69" s="7"/>
      <c r="P69" s="7"/>
      <c r="Q69" s="22"/>
      <c r="R69" s="174"/>
      <c r="S69" s="221">
        <f t="shared" si="30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-01T10:19:45-0600',mode:absolute,to:'2017-10-01T13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9" s="204" t="str">
        <f>IF(AA69&lt;VLOOKUP(AG69,Variables!$AC$3:$AD$8,2,FALSE),"Y","N")</f>
        <v>N</v>
      </c>
      <c r="X69" s="204">
        <f t="shared" si="31"/>
        <v>1</v>
      </c>
      <c r="Y69" s="204">
        <f t="shared" si="32"/>
        <v>23.299099999999999</v>
      </c>
      <c r="Z69" s="204">
        <f t="shared" si="33"/>
        <v>1.5599999999999999E-2</v>
      </c>
      <c r="AA69" s="204">
        <f t="shared" si="7"/>
        <v>23.2835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8"/>
        <v>156</v>
      </c>
      <c r="AE69" s="77" t="str">
        <f t="shared" si="9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69" s="74" t="str">
        <f t="shared" si="10"/>
        <v>"C:\Program Files (x86)\AstroGrep\AstroGrep.exe" /e /r /s /spath="%USERPROFILE%\AppData\Local\Temp\OnboardLogs" /stypes="app*4043*20171001*" /stext=" 18:.+((SYSTEM_STATE.+slice.+state.+changed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7"/>
        <v>"%USERPROFILE%\Documents\GitHub\eaglep3\Utilities\RefineRTDCRunTimes.py" --tripid 156-01 --locoid 4043 --swversion DE.1.0.9.0 --startMP 204:232991 --initTime 2017-10-01T11:19:45 --startdatetime 2017-10-01T11:27:15 --delay 67 --endMP 204:156 --enddatetime 2017-10-01T12:07:48 --enforcementcount 0 &gt;&gt;c:\users\tmcdowell\Documents\GitHub\eaglep3-reporting\EC\2017-10-01-refined-times.txt</v>
      </c>
      <c r="AI69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ID","value":"156-01"},{"id":16,"name":"Locomotive ID","value":"4043"},{"id":130,"name":"Impact","value":""},{"id":150,"name":"Time of Event (Mountain Time)","value":"12:07:48"},{"id":151,"name":"Denver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4043 --day 2017-10-01</v>
      </c>
      <c r="AN69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1"/>
        <v>https://d0f6bd738d7f1b3e5a7ca70fe4ff75f0.us-east-1.aws.found.io/app/kibana#/discover/Steve-Slow-Train-Analysis-(2080s-and-2083s)?_g=(refreshInterval:(display:Off,pause:!f,section:0,value:0),time:(from:'2017-10-01T10:19:45-0600',mode:absolute,to:'2017-10-01T13:07:48-0600'))&amp;_a=(columns:!('Message%20ID',Summary),filters:!(),index:'emp_*',interval:auto,query:(query_string:(analyze_wildcard:!t,query:'%22rtdc.l.rtdc.4043%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702</v>
      </c>
      <c r="B70" s="7">
        <v>4016</v>
      </c>
      <c r="C70" s="21" t="s">
        <v>195</v>
      </c>
      <c r="D70" s="21" t="s">
        <v>406</v>
      </c>
      <c r="E70" s="13">
        <v>43009.443090277775</v>
      </c>
      <c r="F70" s="13">
        <v>43009.44809027778</v>
      </c>
      <c r="G70" s="7">
        <v>69</v>
      </c>
      <c r="H70" s="21" t="s">
        <v>447</v>
      </c>
      <c r="I70" s="13">
        <v>43009.471886574072</v>
      </c>
      <c r="J70" s="7">
        <v>0</v>
      </c>
      <c r="K70" s="89" t="str">
        <f t="shared" si="0"/>
        <v>4015/4016</v>
      </c>
      <c r="L70" s="185" t="str">
        <f>VLOOKUP(A70,'Trips&amp;Operators'!$C$1:$G$99911,5,FALSE)</f>
        <v>MCREYNOLDS KYLE</v>
      </c>
      <c r="M70" s="6">
        <f t="shared" si="1"/>
        <v>2.3796296292857733E-2</v>
      </c>
      <c r="N70" s="7">
        <f t="shared" si="29"/>
        <v>34.266666661715135</v>
      </c>
      <c r="O70" s="7"/>
      <c r="P70" s="7"/>
      <c r="Q70" s="22"/>
      <c r="R70" s="174"/>
      <c r="S70" s="221">
        <f t="shared" si="30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-01T09:38:03-0600',mode:absolute,to:'2017-10-01T12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204" t="str">
        <f>IF(AA70&lt;VLOOKUP(AG70,Variables!$AC$3:$AD$8,2,FALSE),"Y","N")</f>
        <v>N</v>
      </c>
      <c r="X70" s="204">
        <f t="shared" si="31"/>
        <v>1</v>
      </c>
      <c r="Y70" s="204">
        <f t="shared" si="32"/>
        <v>4.5699999999999998E-2</v>
      </c>
      <c r="Z70" s="204">
        <f t="shared" si="33"/>
        <v>23.3309</v>
      </c>
      <c r="AA70" s="204">
        <f t="shared" si="7"/>
        <v>23.2852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8"/>
        <v>157</v>
      </c>
      <c r="AE70" s="77" t="str">
        <f t="shared" si="9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70" s="74" t="str">
        <f t="shared" si="10"/>
        <v>"C:\Program Files (x86)\AstroGrep\AstroGrep.exe" /e /r /s /spath="%USERPROFILE%\AppData\Local\Temp\OnboardLogs" /stypes="app*4016*20171001*" /stext=" 17:.+((SYSTEM_STATE.+slice.+state.+changed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7"/>
        <v>"%USERPROFILE%\Documents\GitHub\eaglep3\Utilities\RefineRTDCRunTimes.py" --tripid 157-01 --locoid 4016 --swversion DE.1.0.9.0 --startMP 204:457 --initTime 2017-10-01T10:38:03 --startdatetime 2017-10-01T10:45:15 --delay 69 --endMP 204:233309 --enddatetime 2017-10-01T11:19:31 --enforcementcount 0 &gt;&gt;c:\users\tmcdowell\Documents\GitHub\eaglep3-reporting\EC\2017-10-01-refined-times.txt</v>
      </c>
      <c r="AI70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{"issue":{"subject":"","project_id":79,"tracker_id":40,"status_id":1,"priority_id":2,"assigned_to_id":338,"start_date":"2017-10-01","description":"","custom_fields":[{"id":1,"name":"Subdivision","value":"EC"},{"id":4,"name":"Milepost","value":"23.3309"},{"id":17,"name":"Train ID","value":"157-01"},{"id":16,"name":"Locomotive ID","value":"4016"},{"id":130,"name":"Impact","value":""},{"id":150,"name":"Time of Event (Mountain Time)","value":"11:19:31"},{"id":151,"name":"Denver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4016 --day 2017-10-01</v>
      </c>
      <c r="AN70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1"/>
        <v>https://d0f6bd738d7f1b3e5a7ca70fe4ff75f0.us-east-1.aws.found.io/app/kibana#/discover/Steve-Slow-Train-Analysis-(2080s-and-2083s)?_g=(refreshInterval:(display:Off,pause:!f,section:0,value:0),time:(from:'2017-10-01T09:38:03-0600',mode:absolute,to:'2017-10-01T12:19:31-0600'))&amp;_a=(columns:!('Message%20ID',Summary),filters:!(),index:'emp_*',interval:auto,query:(query_string:(analyze_wildcard:!t,query:'%22rtdc.l.rtdc.4016%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713</v>
      </c>
      <c r="B71" s="7">
        <v>4015</v>
      </c>
      <c r="C71" s="21" t="s">
        <v>195</v>
      </c>
      <c r="D71" s="21" t="s">
        <v>847</v>
      </c>
      <c r="E71" s="13">
        <v>43009.481631944444</v>
      </c>
      <c r="F71" s="13">
        <v>43009.487650462965</v>
      </c>
      <c r="G71" s="7">
        <v>76</v>
      </c>
      <c r="H71" s="21" t="s">
        <v>338</v>
      </c>
      <c r="I71" s="13">
        <v>43009.514953703707</v>
      </c>
      <c r="J71" s="7">
        <v>0</v>
      </c>
      <c r="K71" s="89" t="str">
        <f t="shared" si="0"/>
        <v>4015/4016</v>
      </c>
      <c r="L71" s="185" t="str">
        <f>VLOOKUP(A71,'Trips&amp;Operators'!$C$1:$G$99911,5,FALSE)</f>
        <v>MCREYNOLDS KYLE</v>
      </c>
      <c r="M71" s="6">
        <f t="shared" si="1"/>
        <v>2.7303240742185153E-2</v>
      </c>
      <c r="N71" s="7">
        <f t="shared" si="29"/>
        <v>39.31666666874662</v>
      </c>
      <c r="O71" s="7"/>
      <c r="P71" s="7"/>
      <c r="Q71" s="22"/>
      <c r="R71" s="174"/>
      <c r="S71" s="221">
        <f t="shared" si="30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-01T10:33:33-0600',mode:absolute,to:'2017-10-01T13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204" t="str">
        <f>IF(AA71&lt;VLOOKUP(AG71,Variables!$AC$3:$AD$8,2,FALSE),"Y","N")</f>
        <v>N</v>
      </c>
      <c r="X71" s="204">
        <f t="shared" si="31"/>
        <v>1</v>
      </c>
      <c r="Y71" s="204">
        <f t="shared" si="32"/>
        <v>23.298400000000001</v>
      </c>
      <c r="Z71" s="204">
        <f t="shared" si="33"/>
        <v>1.43E-2</v>
      </c>
      <c r="AA71" s="204">
        <f t="shared" si="7"/>
        <v>23.284100000000002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8"/>
        <v>158</v>
      </c>
      <c r="AE71" s="77" t="str">
        <f t="shared" si="9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71" s="74" t="str">
        <f t="shared" si="10"/>
        <v>"C:\Program Files (x86)\AstroGrep\AstroGrep.exe" /e /r /s /spath="%USERPROFILE%\AppData\Local\Temp\OnboardLogs" /stypes="app*4015*20171001*"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7"/>
        <v>"%USERPROFILE%\Documents\GitHub\eaglep3\Utilities\RefineRTDCRunTimes.py" --tripid 158-01 --locoid 4015 --swversion DE.1.0.9.0 --startMP 204:232984 --initTime 2017-10-01T11:33:33 --startdatetime 2017-10-01T11:42:13 --delay 76 --endMP 204:143 --enddatetime 2017-10-01T12:21:32 --enforcementcount 0 &gt;&gt;c:\users\tmcdowell\Documents\GitHub\eaglep3-reporting\EC\2017-10-01-refined-times.txt</v>
      </c>
      <c r="AI71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ID","value":"158-01"},{"id":16,"name":"Locomotive ID","value":"4015"},{"id":130,"name":"Impact","value":""},{"id":150,"name":"Time of Event (Mountain Time)","value":"12:21:32"},{"id":151,"name":"Denver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4015 --day 2017-10-01</v>
      </c>
      <c r="AN71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1"/>
        <v>https://d0f6bd738d7f1b3e5a7ca70fe4ff75f0.us-east-1.aws.found.io/app/kibana#/discover/Steve-Slow-Train-Analysis-(2080s-and-2083s)?_g=(refreshInterval:(display:Off,pause:!f,section:0,value:0),time:(from:'2017-10-01T10:33:33-0600',mode:absolute,to:'2017-10-01T13:21:32-0600'))&amp;_a=(columns:!('Message%20ID',Summary),filters:!(),index:'emp_*',interval:auto,query:(query_string:(analyze_wildcard:!t,query:'%22rtdc.l.rtdc.4015%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705</v>
      </c>
      <c r="B72" s="7">
        <v>4054</v>
      </c>
      <c r="C72" s="21" t="s">
        <v>195</v>
      </c>
      <c r="D72" s="21" t="s">
        <v>474</v>
      </c>
      <c r="E72" s="13">
        <v>43009.454085648147</v>
      </c>
      <c r="F72" s="13">
        <v>43009.458518518521</v>
      </c>
      <c r="G72" s="7">
        <v>50</v>
      </c>
      <c r="H72" s="21" t="s">
        <v>852</v>
      </c>
      <c r="I72" s="13">
        <v>43009.483055555553</v>
      </c>
      <c r="J72" s="7">
        <v>0</v>
      </c>
      <c r="K72" s="89" t="str">
        <f t="shared" si="0"/>
        <v>4053/4054</v>
      </c>
      <c r="L72" s="185" t="str">
        <f>VLOOKUP(A72,'Trips&amp;Operators'!$C$1:$G$99911,5,FALSE)</f>
        <v>LAMAR NEKESHA</v>
      </c>
      <c r="M72" s="6">
        <f t="shared" si="1"/>
        <v>2.4537037032132503E-2</v>
      </c>
      <c r="N72" s="7">
        <f t="shared" si="29"/>
        <v>35.333333326270804</v>
      </c>
      <c r="O72" s="7"/>
      <c r="P72" s="7"/>
      <c r="Q72" s="22"/>
      <c r="R72" s="174"/>
      <c r="S72" s="221">
        <f t="shared" si="30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-01T09:53:53-0600',mode:absolute,to:'2017-10-01T12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2" s="204" t="str">
        <f>IF(AA72&lt;VLOOKUP(AG72,Variables!$AC$3:$AD$8,2,FALSE),"Y","N")</f>
        <v>N</v>
      </c>
      <c r="X72" s="204">
        <f t="shared" si="31"/>
        <v>1</v>
      </c>
      <c r="Y72" s="204">
        <f t="shared" si="32"/>
        <v>4.6699999999999998E-2</v>
      </c>
      <c r="Z72" s="204">
        <f t="shared" si="33"/>
        <v>23.3308</v>
      </c>
      <c r="AA72" s="204">
        <f t="shared" si="7"/>
        <v>23.284099999999999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8"/>
        <v>159</v>
      </c>
      <c r="AE72" s="77" t="str">
        <f t="shared" si="9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72" s="74" t="str">
        <f t="shared" si="10"/>
        <v>"C:\Program Files (x86)\AstroGrep\AstroGrep.exe" /e /r /s /spath="%USERPROFILE%\AppData\Local\Temp\OnboardLogs" /stypes="app*4054*20171001*" /stext=" 17:.+((SYSTEM_STATE.+slice.+state.+changed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7"/>
        <v>"%USERPROFILE%\Documents\GitHub\eaglep3\Utilities\RefineRTDCRunTimes.py" --tripid 159-01 --locoid 4054 --swversion DE.1.0.9.0 --startMP 204:467 --initTime 2017-10-01T10:53:53 --startdatetime 2017-10-01T11:00:16 --delay 50 --endMP 204:233308 --enddatetime 2017-10-01T11:35:36 --enforcementcount 0 &gt;&gt;c:\users\tmcdowell\Documents\GitHub\eaglep3-reporting\EC\2017-10-01-refined-times.txt</v>
      </c>
      <c r="AI72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{"issue":{"subject":"","project_id":79,"tracker_id":40,"status_id":1,"priority_id":2,"assigned_to_id":338,"start_date":"2017-10-01","description":"","custom_fields":[{"id":1,"name":"Subdivision","value":"EC"},{"id":4,"name":"Milepost","value":"23.3308"},{"id":17,"name":"Train ID","value":"159-01"},{"id":16,"name":"Locomotive ID","value":"4054"},{"id":130,"name":"Impact","value":""},{"id":150,"name":"Time of Event (Mountain Time)","value":"11:35:36"},{"id":151,"name":"Denver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4054 --day 2017-10-01</v>
      </c>
      <c r="AN72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1"/>
        <v>https://d0f6bd738d7f1b3e5a7ca70fe4ff75f0.us-east-1.aws.found.io/app/kibana#/discover/Steve-Slow-Train-Analysis-(2080s-and-2083s)?_g=(refreshInterval:(display:Off,pause:!f,section:0,value:0),time:(from:'2017-10-01T09:53:53-0600',mode:absolute,to:'2017-10-01T12:35:36-0600'))&amp;_a=(columns:!('Message%20ID',Summary),filters:!(),index:'emp_*',interval:auto,query:(query_string:(analyze_wildcard:!t,query:'%22rtdc.l.rtdc.4054%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598</v>
      </c>
      <c r="B73" s="7">
        <v>4053</v>
      </c>
      <c r="C73" s="21" t="s">
        <v>195</v>
      </c>
      <c r="D73" s="21" t="s">
        <v>853</v>
      </c>
      <c r="E73" s="13">
        <v>43009.48537037037</v>
      </c>
      <c r="F73" s="13">
        <v>43009.498078703706</v>
      </c>
      <c r="G73" s="7">
        <v>49</v>
      </c>
      <c r="H73" s="21" t="s">
        <v>854</v>
      </c>
      <c r="I73" s="13">
        <v>43009.526018518518</v>
      </c>
      <c r="J73" s="7">
        <v>0</v>
      </c>
      <c r="K73" s="89" t="str">
        <f t="shared" si="0"/>
        <v>4053/4054</v>
      </c>
      <c r="L73" s="185" t="str">
        <f>VLOOKUP(A73,'Trips&amp;Operators'!$C$1:$G$99911,5,FALSE)</f>
        <v>LAMAR NEKESHA</v>
      </c>
      <c r="M73" s="6">
        <f t="shared" si="1"/>
        <v>2.7939814812270924E-2</v>
      </c>
      <c r="N73" s="7">
        <f t="shared" si="29"/>
        <v>40.233333329670131</v>
      </c>
      <c r="O73" s="7"/>
      <c r="P73" s="7"/>
      <c r="Q73" s="22"/>
      <c r="R73" s="174"/>
      <c r="S73" s="221">
        <f t="shared" si="30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-01T10:38:56-0600',mode:absolute,to:'2017-10-01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3" s="204" t="str">
        <f>IF(AA73&lt;VLOOKUP(AG73,Variables!$AC$3:$AD$8,2,FALSE),"Y","N")</f>
        <v>N</v>
      </c>
      <c r="X73" s="204">
        <f t="shared" si="31"/>
        <v>1</v>
      </c>
      <c r="Y73" s="204">
        <f t="shared" si="32"/>
        <v>23.299299999999999</v>
      </c>
      <c r="Z73" s="204">
        <f t="shared" si="33"/>
        <v>2.12E-2</v>
      </c>
      <c r="AA73" s="204">
        <f t="shared" si="7"/>
        <v>23.278099999999998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8"/>
        <v>160</v>
      </c>
      <c r="AE73" s="77" t="str">
        <f t="shared" si="9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73" s="74" t="str">
        <f t="shared" si="10"/>
        <v>"C:\Program Files (x86)\AstroGrep\AstroGrep.exe" /e /r /s /spath="%USERPROFILE%\AppData\Local\Temp\OnboardLogs" /stypes="app*4053*20171001*"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7"/>
        <v>"%USERPROFILE%\Documents\GitHub\eaglep3\Utilities\RefineRTDCRunTimes.py" --tripid 160-01 --locoid 4053 --swversion DE.1.0.9.0 --startMP 204:232993 --initTime 2017-10-01T11:38:56 --startdatetime 2017-10-01T11:57:14 --delay 49 --endMP 204:212 --enddatetime 2017-10-01T12:37:28 --enforcementcount 0 &gt;&gt;c:\users\tmcdowell\Documents\GitHub\eaglep3-reporting\EC\2017-10-01-refined-times.txt</v>
      </c>
      <c r="AI73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{"issue":{"subject":"","project_id":79,"tracker_id":40,"status_id":1,"priority_id":2,"assigned_to_id":338,"start_date":"2017-10-01","description":"","custom_fields":[{"id":1,"name":"Subdivision","value":"EC"},{"id":4,"name":"Milepost","value":"0.0212"},{"id":17,"name":"Train ID","value":"160-01"},{"id":16,"name":"Locomotive ID","value":"4053"},{"id":130,"name":"Impact","value":""},{"id":150,"name":"Time of Event (Mountain Time)","value":"12:37:28"},{"id":151,"name":"Denver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4053 --day 2017-10-01</v>
      </c>
      <c r="AN73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1"/>
        <v>https://d0f6bd738d7f1b3e5a7ca70fe4ff75f0.us-east-1.aws.found.io/app/kibana#/discover/Steve-Slow-Train-Analysis-(2080s-and-2083s)?_g=(refreshInterval:(display:Off,pause:!f,section:0,value:0),time:(from:'2017-10-01T10:38:56-0600',mode:absolute,to:'2017-10-01T13:37:28-0600'))&amp;_a=(columns:!('Message%20ID',Summary),filters:!(),index:'emp_*',interval:auto,query:(query_string:(analyze_wildcard:!t,query:'%22rtdc.l.rtdc.4053%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597</v>
      </c>
      <c r="B74" s="7">
        <v>4060</v>
      </c>
      <c r="C74" s="21" t="s">
        <v>195</v>
      </c>
      <c r="D74" s="21" t="s">
        <v>393</v>
      </c>
      <c r="E74" s="13">
        <v>43009.466956018521</v>
      </c>
      <c r="F74" s="13">
        <v>43009.469178240739</v>
      </c>
      <c r="G74" s="7">
        <v>94</v>
      </c>
      <c r="H74" s="21" t="s">
        <v>395</v>
      </c>
      <c r="I74" s="13">
        <v>43009.496041666665</v>
      </c>
      <c r="J74" s="7">
        <v>0</v>
      </c>
      <c r="K74" s="89" t="str">
        <f t="shared" si="0"/>
        <v>4059/4060</v>
      </c>
      <c r="L74" s="185" t="str">
        <f>VLOOKUP(A74,'Trips&amp;Operators'!$C$1:$G$99911,5,FALSE)</f>
        <v>DAVIS MICHAEL</v>
      </c>
      <c r="M74" s="6">
        <f t="shared" si="1"/>
        <v>2.6863425926421769E-2</v>
      </c>
      <c r="N74" s="7">
        <f t="shared" si="29"/>
        <v>38.683333334047347</v>
      </c>
      <c r="O74" s="7"/>
      <c r="P74" s="7"/>
      <c r="Q74" s="22"/>
      <c r="R74" s="174"/>
      <c r="S74" s="221">
        <f t="shared" si="30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-01T10:12:25-0600',mode:absolute,to:'2017-10-01T12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4" s="204" t="str">
        <f>IF(AA74&lt;VLOOKUP(AG74,Variables!$AC$3:$AD$8,2,FALSE),"Y","N")</f>
        <v>N</v>
      </c>
      <c r="X74" s="204">
        <f t="shared" si="31"/>
        <v>1</v>
      </c>
      <c r="Y74" s="204">
        <f t="shared" si="32"/>
        <v>4.6600000000000003E-2</v>
      </c>
      <c r="Z74" s="204">
        <f t="shared" si="33"/>
        <v>23.3293</v>
      </c>
      <c r="AA74" s="204">
        <f t="shared" si="7"/>
        <v>23.282699999999998</v>
      </c>
      <c r="AB74" s="54" t="str">
        <f>VLOOKUP(A74,Enforcements!$C$7:$K$11,8,0)</f>
        <v>Bulletin (2)</v>
      </c>
      <c r="AC74" s="51" t="str">
        <f>VLOOKUP(A74,Enforcements!$C$7:$E$11,3,0)</f>
        <v>GRADE CROSSING</v>
      </c>
      <c r="AD74" s="179">
        <f t="shared" si="8"/>
        <v>161</v>
      </c>
      <c r="AE74" s="77" t="str">
        <f t="shared" si="9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74" s="74" t="str">
        <f t="shared" si="10"/>
        <v>"C:\Program Files (x86)\AstroGrep\AstroGrep.exe" /e /r /s /spath="%USERPROFILE%\AppData\Local\Temp\OnboardLogs" /stypes="app*4060*20171001*" /stext=" 17:.+((SYSTEM_STATE.+slice.+state.+changed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7"/>
        <v>"%USERPROFILE%\Documents\GitHub\eaglep3\Utilities\RefineRTDCRunTimes.py" --tripid 161-01 --locoid 4060 --swversion DE.1.0.9.0 --startMP 204:466 --initTime 2017-10-01T11:12:25 --startdatetime 2017-10-01T11:15:37 --delay 94 --endMP 204:233293 --enddatetime 2017-10-01T11:54:18 --enforcementcount 0 &gt;&gt;c:\users\tmcdowell\Documents\GitHub\eaglep3-reporting\EC\2017-10-01-refined-times.txt</v>
      </c>
      <c r="AI74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{"issue":{"subject":"","project_id":79,"tracker_id":40,"status_id":1,"priority_id":2,"assigned_to_id":338,"start_date":"2017-10-01","description":"","custom_fields":[{"id":1,"name":"Subdivision","value":"EC"},{"id":4,"name":"Milepost","value":"23.3293"},{"id":17,"name":"Train ID","value":"161-01"},{"id":16,"name":"Locomotive ID","value":"4060"},{"id":130,"name":"Impact","value":""},{"id":150,"name":"Time of Event (Mountain Time)","value":"11:54:18"},{"id":151,"name":"Denver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4060 --day 2017-10-01</v>
      </c>
      <c r="AN74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1"/>
        <v>https://d0f6bd738d7f1b3e5a7ca70fe4ff75f0.us-east-1.aws.found.io/app/kibana#/discover/Steve-Slow-Train-Analysis-(2080s-and-2083s)?_g=(refreshInterval:(display:Off,pause:!f,section:0,value:0),time:(from:'2017-10-01T10:12:25-0600',mode:absolute,to:'2017-10-01T12:54:18-0600'))&amp;_a=(columns:!('Message%20ID',Summary),filters:!(),index:'emp_*',interval:auto,query:(query_string:(analyze_wildcard:!t,query:'%22rtdc.l.rtdc.4060%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723</v>
      </c>
      <c r="B75" s="7">
        <v>4059</v>
      </c>
      <c r="C75" s="21" t="s">
        <v>195</v>
      </c>
      <c r="D75" s="21" t="s">
        <v>448</v>
      </c>
      <c r="E75" s="13">
        <v>43009.506273148145</v>
      </c>
      <c r="F75" s="13">
        <v>43009.50880787037</v>
      </c>
      <c r="G75" s="7">
        <v>76</v>
      </c>
      <c r="H75" s="21" t="s">
        <v>855</v>
      </c>
      <c r="I75" s="13">
        <v>43009.537604166668</v>
      </c>
      <c r="J75" s="7">
        <v>0</v>
      </c>
      <c r="K75" s="89" t="str">
        <f t="shared" si="0"/>
        <v>4059/4060</v>
      </c>
      <c r="L75" s="185" t="str">
        <f>VLOOKUP(A75,'Trips&amp;Operators'!$C$1:$G$99911,5,FALSE)</f>
        <v>DAVIS MICHAEL</v>
      </c>
      <c r="M75" s="6">
        <f t="shared" si="1"/>
        <v>2.8796296297514345E-2</v>
      </c>
      <c r="N75" s="7">
        <f t="shared" si="29"/>
        <v>41.466666668420658</v>
      </c>
      <c r="O75" s="7"/>
      <c r="P75" s="7"/>
      <c r="Q75" s="22"/>
      <c r="R75" s="174"/>
      <c r="S75" s="221">
        <f t="shared" si="30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-01T11:09:02-0600',mode:absolute,to:'2017-10-01T13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5" s="204" t="str">
        <f>IF(AA75&lt;VLOOKUP(AG75,Variables!$AC$3:$AD$8,2,FALSE),"Y","N")</f>
        <v>N</v>
      </c>
      <c r="X75" s="204">
        <f t="shared" si="31"/>
        <v>1</v>
      </c>
      <c r="Y75" s="204">
        <f t="shared" si="32"/>
        <v>23.3</v>
      </c>
      <c r="Z75" s="204">
        <f t="shared" si="33"/>
        <v>1.7399999999999999E-2</v>
      </c>
      <c r="AA75" s="204">
        <f t="shared" si="7"/>
        <v>23.282600000000002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8"/>
        <v>162</v>
      </c>
      <c r="AE75" s="77" t="str">
        <f t="shared" si="9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75" s="74" t="str">
        <f t="shared" si="10"/>
        <v>"C:\Program Files (x86)\AstroGrep\AstroGrep.exe" /e /r /s /spath="%USERPROFILE%\AppData\Local\Temp\OnboardLogs" /stypes="app*4059*20171001*" /stext=" 18:.+((SYSTEM_STATE.+slice.+state.+changed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7"/>
        <v>"%USERPROFILE%\Documents\GitHub\eaglep3\Utilities\RefineRTDCRunTimes.py" --tripid 162-01 --locoid 4059 --swversion DE.1.0.9.0 --startMP 204:233000 --initTime 2017-10-01T12:09:02 --startdatetime 2017-10-01T12:12:41 --delay 76 --endMP 204:174 --enddatetime 2017-10-01T12:54:09 --enforcementcount 0 &gt;&gt;c:\users\tmcdowell\Documents\GitHub\eaglep3-reporting\EC\2017-10-01-refined-times.txt</v>
      </c>
      <c r="AI75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{"issue":{"subject":"","project_id":79,"tracker_id":40,"status_id":1,"priority_id":2,"assigned_to_id":338,"start_date":"2017-10-01","description":"","custom_fields":[{"id":1,"name":"Subdivision","value":"EC"},{"id":4,"name":"Milepost","value":"0.0174"},{"id":17,"name":"Train ID","value":"162-01"},{"id":16,"name":"Locomotive ID","value":"4059"},{"id":130,"name":"Impact","value":""},{"id":150,"name":"Time of Event (Mountain Time)","value":"12:54:09"},{"id":151,"name":"Denver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4059 --day 2017-10-01</v>
      </c>
      <c r="AN75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1"/>
        <v>https://d0f6bd738d7f1b3e5a7ca70fe4ff75f0.us-east-1.aws.found.io/app/kibana#/discover/Steve-Slow-Train-Analysis-(2080s-and-2083s)?_g=(refreshInterval:(display:Off,pause:!f,section:0,value:0),time:(from:'2017-10-01T11:09:02-0600',mode:absolute,to:'2017-10-01T13:54:09-0600'))&amp;_a=(columns:!('Message%20ID',Summary),filters:!(),index:'emp_*',interval:auto,query:(query_string:(analyze_wildcard:!t,query:'%22rtdc.l.rtdc.4059%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710</v>
      </c>
      <c r="B76" s="7">
        <v>4042</v>
      </c>
      <c r="C76" s="21" t="s">
        <v>195</v>
      </c>
      <c r="D76" s="21" t="s">
        <v>356</v>
      </c>
      <c r="E76" s="13">
        <v>43009.475335648145</v>
      </c>
      <c r="F76" s="13">
        <v>43009.47934027778</v>
      </c>
      <c r="G76" s="7">
        <v>165</v>
      </c>
      <c r="H76" s="21" t="s">
        <v>475</v>
      </c>
      <c r="I76" s="13">
        <v>43009.503935185188</v>
      </c>
      <c r="J76" s="7">
        <v>0</v>
      </c>
      <c r="K76" s="89" t="str">
        <f t="shared" si="0"/>
        <v>4041/4042</v>
      </c>
      <c r="L76" s="185" t="str">
        <f>VLOOKUP(A76,'Trips&amp;Operators'!$C$1:$G$99911,5,FALSE)</f>
        <v>SAFIEF AEIMEN</v>
      </c>
      <c r="M76" s="6">
        <f t="shared" si="1"/>
        <v>2.4594907408754807E-2</v>
      </c>
      <c r="N76" s="7">
        <f t="shared" si="29"/>
        <v>35.416666668606922</v>
      </c>
      <c r="O76" s="7"/>
      <c r="P76" s="7"/>
      <c r="Q76" s="22"/>
      <c r="R76" s="174"/>
      <c r="S76" s="221">
        <f t="shared" si="30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-01T10:24:29-0600',mode:absolute,to:'2017-10-01T13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6" s="204" t="str">
        <f>IF(AA76&lt;VLOOKUP(AG76,Variables!$AC$3:$AD$8,2,FALSE),"Y","N")</f>
        <v>N</v>
      </c>
      <c r="X76" s="204">
        <f t="shared" si="31"/>
        <v>1</v>
      </c>
      <c r="Y76" s="204">
        <f t="shared" si="32"/>
        <v>4.58E-2</v>
      </c>
      <c r="Z76" s="204">
        <f t="shared" si="33"/>
        <v>23.332899999999999</v>
      </c>
      <c r="AA76" s="204">
        <f t="shared" si="7"/>
        <v>23.287099999999999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8"/>
        <v>163</v>
      </c>
      <c r="AE76" s="77" t="str">
        <f t="shared" si="9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76" s="74" t="str">
        <f t="shared" si="10"/>
        <v>"C:\Program Files (x86)\AstroGrep\AstroGrep.exe" /e /r /s /spath="%USERPROFILE%\AppData\Local\Temp\OnboardLogs" /stypes="app*4042*20171001*" /stext=" 18:.+((SYSTEM_STATE.+slice.+state.+changed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7"/>
        <v>"%USERPROFILE%\Documents\GitHub\eaglep3\Utilities\RefineRTDCRunTimes.py" --tripid 163-01 --locoid 4042 --swversion DE.1.0.9.0 --startMP 204:458 --initTime 2017-10-01T11:24:29 --startdatetime 2017-10-01T11:30:15 --delay 165 --endMP 204:233329 --enddatetime 2017-10-01T12:05:40 --enforcementcount 0 &gt;&gt;c:\users\tmcdowell\Documents\GitHub\eaglep3-reporting\EC\2017-10-01-refined-times.txt</v>
      </c>
      <c r="AI76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{"issue":{"subject":"","project_id":79,"tracker_id":40,"status_id":1,"priority_id":2,"assigned_to_id":338,"start_date":"2017-10-01","description":"","custom_fields":[{"id":1,"name":"Subdivision","value":"EC"},{"id":4,"name":"Milepost","value":"23.3329"},{"id":17,"name":"Train ID","value":"163-01"},{"id":16,"name":"Locomotive ID","value":"4042"},{"id":130,"name":"Impact","value":""},{"id":150,"name":"Time of Event (Mountain Time)","value":"12:05:40"},{"id":151,"name":"Denver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4042 --day 2017-10-01</v>
      </c>
      <c r="AN76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1"/>
        <v>https://d0f6bd738d7f1b3e5a7ca70fe4ff75f0.us-east-1.aws.found.io/app/kibana#/discover/Steve-Slow-Train-Analysis-(2080s-and-2083s)?_g=(refreshInterval:(display:Off,pause:!f,section:0,value:0),time:(from:'2017-10-01T10:24:29-0600',mode:absolute,to:'2017-10-01T13:05:40-0600'))&amp;_a=(columns:!('Message%20ID',Summary),filters:!(),index:'emp_*',interval:auto,query:(query_string:(analyze_wildcard:!t,query:'%22rtdc.l.rtdc.4042%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722</v>
      </c>
      <c r="B77" s="7">
        <v>4041</v>
      </c>
      <c r="C77" s="21" t="s">
        <v>195</v>
      </c>
      <c r="D77" s="21" t="s">
        <v>856</v>
      </c>
      <c r="E77" s="13">
        <v>43009.505590277775</v>
      </c>
      <c r="F77" s="13">
        <v>43009.518935185188</v>
      </c>
      <c r="G77" s="7">
        <v>90</v>
      </c>
      <c r="H77" s="21" t="s">
        <v>341</v>
      </c>
      <c r="I77" s="13">
        <v>43009.544236111113</v>
      </c>
      <c r="J77" s="7">
        <v>0</v>
      </c>
      <c r="K77" s="89" t="str">
        <f t="shared" ref="K77:K140" si="34">IF(ISEVEN(B77),(B77-1)&amp;"/"&amp;B77,B77&amp;"/"&amp;(B77+1))</f>
        <v>4041/4042</v>
      </c>
      <c r="L77" s="185" t="str">
        <f>VLOOKUP(A77,'Trips&amp;Operators'!$C$1:$G$99911,5,FALSE)</f>
        <v>SAFIEF AEIMEN</v>
      </c>
      <c r="M77" s="6">
        <f t="shared" ref="M77:M140" si="35">I77-F77</f>
        <v>2.5300925924966577E-2</v>
      </c>
      <c r="N77" s="7">
        <f t="shared" ref="N77:N108" si="36">24*60*SUM($M77:$M77)</f>
        <v>36.433333331951872</v>
      </c>
      <c r="O77" s="7"/>
      <c r="P77" s="7"/>
      <c r="Q77" s="22"/>
      <c r="R77" s="174"/>
      <c r="S77" s="221">
        <f t="shared" ref="S77:S108" si="37">1/IF(AG77="EC",12,1)*SUM(U77:U77)</f>
        <v>1</v>
      </c>
      <c r="T77" s="174" t="str">
        <f t="shared" ref="T77:T140" si="38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-01T11:08:03-0600',mode:absolute,to:'2017-10-01T14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7" s="204" t="str">
        <f>IF(AA77&lt;VLOOKUP(AG77,Variables!$AC$3:$AD$8,2,FALSE),"Y","N")</f>
        <v>N</v>
      </c>
      <c r="X77" s="204">
        <f t="shared" ref="X77:X108" si="40">VALUE(LEFT(AD77,4))-VALUE(LEFT(AD76,4))</f>
        <v>1</v>
      </c>
      <c r="Y77" s="204">
        <f t="shared" si="32"/>
        <v>23.302499999999998</v>
      </c>
      <c r="Z77" s="204">
        <f t="shared" si="33"/>
        <v>1.47E-2</v>
      </c>
      <c r="AA77" s="204">
        <f t="shared" ref="AA77:AA140" si="41">ABS(Z77-Y77)</f>
        <v>23.287799999999997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2">VALUE(LEFT(A77,LEN(A77)-3))</f>
        <v>164</v>
      </c>
      <c r="AE77" s="77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77" s="7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/stypes="app*4041*20171001*"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5">DetSubdiv(A77)</f>
        <v>EC</v>
      </c>
      <c r="AH77" s="78" t="str">
        <f t="shared" si="17"/>
        <v>"%USERPROFILE%\Documents\GitHub\eaglep3\Utilities\RefineRTDCRunTimes.py" --tripid 164-01 --locoid 4041 --swversion DE.1.0.9.0 --startMP 204:233025 --initTime 2017-10-01T12:08:03 --startdatetime 2017-10-01T12:27:16 --delay 90 --endMP 204:147 --enddatetime 2017-10-01T13:03:42 --enforcementcount 0 &gt;&gt;c:\users\tmcdowell\Documents\GitHub\eaglep3-reporting\EC\2017-10-01-refined-times.txt</v>
      </c>
      <c r="AI77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ID","value":"164-01"},{"id":16,"name":"Locomotive ID","value":"4041"},{"id":130,"name":"Impact","value":""},{"id":150,"name":"Time of Event (Mountain Time)","value":"13:03:42"},{"id":151,"name":"Denver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4041 --day 2017-10-01</v>
      </c>
      <c r="AN77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1"/>
        <v>https://d0f6bd738d7f1b3e5a7ca70fe4ff75f0.us-east-1.aws.found.io/app/kibana#/discover/Steve-Slow-Train-Analysis-(2080s-and-2083s)?_g=(refreshInterval:(display:Off,pause:!f,section:0,value:0),time:(from:'2017-10-01T11:08:03-0600',mode:absolute,to:'2017-10-01T14:03:42-0600'))&amp;_a=(columns:!('Message%20ID',Summary),filters:!(),index:'emp_*',interval:auto,query:(query_string:(analyze_wildcard:!t,query:'%22rtdc.l.rtdc.4041%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714</v>
      </c>
      <c r="B78" s="7">
        <v>4012</v>
      </c>
      <c r="C78" s="21" t="s">
        <v>195</v>
      </c>
      <c r="D78" s="21" t="s">
        <v>458</v>
      </c>
      <c r="E78" s="13">
        <v>43009.485069444447</v>
      </c>
      <c r="F78" s="13">
        <v>43009.489733796298</v>
      </c>
      <c r="G78" s="7">
        <v>58</v>
      </c>
      <c r="H78" s="21" t="s">
        <v>496</v>
      </c>
      <c r="I78" s="13">
        <v>43009.514131944445</v>
      </c>
      <c r="J78" s="7">
        <v>0</v>
      </c>
      <c r="K78" s="89" t="str">
        <f t="shared" si="34"/>
        <v>4011/4012</v>
      </c>
      <c r="L78" s="185" t="str">
        <f>VLOOKUP(A78,'Trips&amp;Operators'!$C$1:$G$99911,5,FALSE)</f>
        <v>GUZMAN DANNY</v>
      </c>
      <c r="M78" s="6">
        <f t="shared" si="35"/>
        <v>2.4398148147156462E-2</v>
      </c>
      <c r="N78" s="7">
        <f t="shared" si="36"/>
        <v>35.133333331905305</v>
      </c>
      <c r="O78" s="7"/>
      <c r="P78" s="7"/>
      <c r="Q78" s="22"/>
      <c r="R78" s="174"/>
      <c r="S78" s="221">
        <f t="shared" si="37"/>
        <v>1</v>
      </c>
      <c r="T78" s="174" t="str">
        <f t="shared" si="38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9"/>
        <v>https://d0f6bd738d7f1b3e5a7ca70fe4ff75f0.us-east-1.aws.found.io/app/kibana#/discover/Steve-Slow-Train-Analysis-(2080s-and-2083s)?_g=(refreshInterval:(display:Off,pause:!f,section:0,value:0),time:(from:'2017-10-01T10:38:30-0600',mode:absolute,to:'2017-10-01T13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204" t="str">
        <f>IF(AA78&lt;VLOOKUP(AG78,Variables!$AC$3:$AD$8,2,FALSE),"Y","N")</f>
        <v>N</v>
      </c>
      <c r="X78" s="204">
        <f t="shared" si="40"/>
        <v>1</v>
      </c>
      <c r="Y78" s="204">
        <f t="shared" si="32"/>
        <v>4.7699999999999999E-2</v>
      </c>
      <c r="Z78" s="204">
        <f t="shared" si="33"/>
        <v>23.329899999999999</v>
      </c>
      <c r="AA78" s="204">
        <f t="shared" si="41"/>
        <v>23.2822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2"/>
        <v>165</v>
      </c>
      <c r="AE78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78" s="74" t="str">
        <f t="shared" si="44"/>
        <v>"C:\Program Files (x86)\AstroGrep\AstroGrep.exe" /e /r /s /spath="%USERPROFILE%\AppData\Local\Temp\OnboardLogs" /stypes="app*4012*20171001*" /stext=" 18:.+((SYSTEM_STATE.+slice.+state.+changed )|(ment ac)|(multiple cpu faults)|(system.+state.+changed )|(\[timeout)|(PRM\|1\|D)|(kpr)|(kdp)|(train st.+moving)|(\|lc)|(penalty))"</v>
      </c>
      <c r="AG78" s="182" t="str">
        <f t="shared" si="45"/>
        <v>EC</v>
      </c>
      <c r="AH78" s="78" t="str">
        <f t="shared" si="17"/>
        <v>"%USERPROFILE%\Documents\GitHub\eaglep3\Utilities\RefineRTDCRunTimes.py" --tripid 165-01 --locoid 4012 --swversion DE.1.0.9.0 --startMP 204:477 --initTime 2017-10-01T11:38:30 --startdatetime 2017-10-01T11:45:13 --delay 58 --endMP 204:233299 --enddatetime 2017-10-01T12:20:21 --enforcementcount 0 &gt;&gt;c:\users\tmcdowell\Documents\GitHub\eaglep3-reporting\EC\2017-10-01-refined-times.txt</v>
      </c>
      <c r="AI78" s="96" t="str">
        <f t="shared" si="18"/>
        <v>echo {"issue":{"subject":"","project_id":79,"tracker_id":40,"status_id":1,"priority_id":2,"assigned_to_id":338,"start_date":"2017-10-01","description":"","custom_fields":[{"id":1,"name":"Subdivision","value":"EC"},{"id":4,"name":"Milepost","value":"23.3299"},{"id":17,"name":"Train ID","value":"165-01"},{"id":16,"name":"Locomotive ID","value":"4012"},{"id":130,"name":"Impact","value":""},{"id":150,"name":"Time of Event (Mountain Time)","value":"12:20:21"},{"id":151,"name":"Denver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9"/>
        <v>start /low /b %USERPROFILE%\Documents\GitHub\eaglep3\Utilities\DownloadLogsFromS3.py --loco 4012 --day 2017-10-01</v>
      </c>
      <c r="AN78" s="151" t="str">
        <f t="shared" si="20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1"/>
        <v>https://d0f6bd738d7f1b3e5a7ca70fe4ff75f0.us-east-1.aws.found.io/app/kibana#/discover/Steve-Slow-Train-Analysis-(2080s-and-2083s)?_g=(refreshInterval:(display:Off,pause:!f,section:0,value:0),time:(from:'2017-10-01T10:38:30-0600',mode:absolute,to:'2017-10-01T13:20:21-0600'))&amp;_a=(columns:!('Message%20ID',Summary),filters:!(),index:'emp_*',interval:auto,query:(query_string:(analyze_wildcard:!t,query:'%22rtdc.l.rtdc.4012%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725</v>
      </c>
      <c r="B79" s="7">
        <v>4011</v>
      </c>
      <c r="C79" s="21" t="s">
        <v>195</v>
      </c>
      <c r="D79" s="21" t="s">
        <v>572</v>
      </c>
      <c r="E79" s="13">
        <v>43009.515902777777</v>
      </c>
      <c r="F79" s="13">
        <v>43009.529363425929</v>
      </c>
      <c r="G79" s="7">
        <v>71</v>
      </c>
      <c r="H79" s="21" t="s">
        <v>361</v>
      </c>
      <c r="I79" s="13">
        <v>43009.555405092593</v>
      </c>
      <c r="J79" s="7">
        <v>0</v>
      </c>
      <c r="K79" s="89" t="str">
        <f t="shared" si="34"/>
        <v>4011/4012</v>
      </c>
      <c r="L79" s="185" t="str">
        <f>VLOOKUP(A79,'Trips&amp;Operators'!$C$1:$G$99911,5,FALSE)</f>
        <v>GUZMAN DANNY</v>
      </c>
      <c r="M79" s="6">
        <f t="shared" si="35"/>
        <v>2.6041666664241347E-2</v>
      </c>
      <c r="N79" s="7">
        <f t="shared" si="36"/>
        <v>37.49999999650754</v>
      </c>
      <c r="O79" s="7"/>
      <c r="P79" s="7"/>
      <c r="Q79" s="22"/>
      <c r="R79" s="174"/>
      <c r="S79" s="221">
        <f t="shared" si="37"/>
        <v>1</v>
      </c>
      <c r="T79" s="174" t="str">
        <f t="shared" si="38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9"/>
        <v>https://d0f6bd738d7f1b3e5a7ca70fe4ff75f0.us-east-1.aws.found.io/app/kibana#/discover/Steve-Slow-Train-Analysis-(2080s-and-2083s)?_g=(refreshInterval:(display:Off,pause:!f,section:0,value:0),time:(from:'2017-10-01T11:22:54-0600',mode:absolute,to:'2017-10-01T14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204" t="str">
        <f>IF(AA79&lt;VLOOKUP(AG79,Variables!$AC$3:$AD$8,2,FALSE),"Y","N")</f>
        <v>N</v>
      </c>
      <c r="X79" s="204">
        <f t="shared" si="40"/>
        <v>1</v>
      </c>
      <c r="Y79" s="204">
        <f t="shared" si="32"/>
        <v>23.299199999999999</v>
      </c>
      <c r="Z79" s="204">
        <f t="shared" si="33"/>
        <v>1.4500000000000001E-2</v>
      </c>
      <c r="AA79" s="204">
        <f t="shared" si="41"/>
        <v>23.284699999999997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2"/>
        <v>166</v>
      </c>
      <c r="AE79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79" s="74" t="str">
        <f t="shared" si="44"/>
        <v>"C:\Program Files (x86)\AstroGrep\AstroGrep.exe" /e /r /s /spath="%USERPROFILE%\AppData\Local\Temp\OnboardLogs" /stypes="app*4011*20171001*" /stext=" 19:.+((SYSTEM_STATE.+slice.+state.+changed )|(ment ac)|(multiple cpu faults)|(system.+state.+changed )|(\[timeout)|(PRM\|1\|D)|(kpr)|(kdp)|(train st.+moving)|(\|lc)|(penalty))"</v>
      </c>
      <c r="AG79" s="182" t="str">
        <f t="shared" si="45"/>
        <v>EC</v>
      </c>
      <c r="AH79" s="78" t="str">
        <f t="shared" ref="AH79:AH149" si="4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166-01 --locoid 4011 --swversion DE.1.0.9.0 --startMP 204:232992 --initTime 2017-10-01T12:22:54 --startdatetime 2017-10-01T12:42:17 --delay 71 --endMP 204:145 --enddatetime 2017-10-01T13:19:47 --enforcementcount 0 &gt;&gt;c:\users\tmcdowell\Documents\GitHub\eaglep3-reporting\EC\2017-10-01-refined-times.txt</v>
      </c>
      <c r="AI79" s="96" t="str">
        <f t="shared" ref="AI79:AI149" si="4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ID","value":"166-01"},{"id":16,"name":"Locomotive ID","value":"4011"},{"id":130,"name":"Impact","value":""},{"id":150,"name":"Time of Event (Mountain Time)","value":"13:19:47"},{"id":151,"name":"Denver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9" si="48">"start /low /b "&amp;dls3logs&amp;" --loco "&amp;B79&amp;" --day "&amp;TEXT(F79,"YYYY-MM-DD")</f>
        <v>start /low /b %USERPROFILE%\Documents\GitHub\eaglep3\Utilities\DownloadLogsFromS3.py --loco 4011 --day 2017-10-01</v>
      </c>
      <c r="AN79" s="151" t="str">
        <f t="shared" ref="AN79:AN149" si="4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9" si="5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-01T11:22:54-0600',mode:absolute,to:'2017-10-01T14:19:47-0600'))&amp;_a=(columns:!('Message%20ID',Summary),filters:!(),index:'emp_*',interval:auto,query:(query_string:(analyze_wildcard:!t,query:'%22rtdc.l.rtdc.4011%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718</v>
      </c>
      <c r="B80" s="7">
        <v>4014</v>
      </c>
      <c r="C80" s="21" t="s">
        <v>195</v>
      </c>
      <c r="D80" s="21" t="s">
        <v>857</v>
      </c>
      <c r="E80" s="13">
        <v>43009.496111111112</v>
      </c>
      <c r="F80" s="13">
        <v>43009.500185185185</v>
      </c>
      <c r="G80" s="7">
        <v>54</v>
      </c>
      <c r="H80" s="21" t="s">
        <v>457</v>
      </c>
      <c r="I80" s="13">
        <v>43009.525706018518</v>
      </c>
      <c r="J80" s="7">
        <v>0</v>
      </c>
      <c r="K80" s="89" t="str">
        <f t="shared" si="34"/>
        <v>4013/4014</v>
      </c>
      <c r="L80" s="185" t="str">
        <f>VLOOKUP(A80,'Trips&amp;Operators'!$C$1:$G$99911,5,FALSE)</f>
        <v>BADERTSCHER DIANE</v>
      </c>
      <c r="M80" s="6">
        <f t="shared" si="35"/>
        <v>2.5520833332848269E-2</v>
      </c>
      <c r="N80" s="7">
        <f t="shared" si="36"/>
        <v>36.749999999301508</v>
      </c>
      <c r="O80" s="7"/>
      <c r="P80" s="7"/>
      <c r="Q80" s="22"/>
      <c r="R80" s="174"/>
      <c r="S80" s="221">
        <f t="shared" si="37"/>
        <v>1</v>
      </c>
      <c r="T80" s="174" t="str">
        <f t="shared" si="38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9"/>
        <v>https://d0f6bd738d7f1b3e5a7ca70fe4ff75f0.us-east-1.aws.found.io/app/kibana#/discover/Steve-Slow-Train-Analysis-(2080s-and-2083s)?_g=(refreshInterval:(display:Off,pause:!f,section:0,value:0),time:(from:'2017-10-01T10:54:24-0600',mode:absolute,to:'2017-10-01T13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4" t="str">
        <f>IF(AA80&lt;VLOOKUP(AG80,Variables!$AC$3:$AD$8,2,FALSE),"Y","N")</f>
        <v>N</v>
      </c>
      <c r="X80" s="204">
        <f t="shared" si="40"/>
        <v>1</v>
      </c>
      <c r="Y80" s="204">
        <f t="shared" si="32"/>
        <v>4.2900000000000001E-2</v>
      </c>
      <c r="Z80" s="204">
        <f t="shared" si="33"/>
        <v>23.330400000000001</v>
      </c>
      <c r="AA80" s="204">
        <f t="shared" si="41"/>
        <v>23.287500000000001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2"/>
        <v>167</v>
      </c>
      <c r="AE80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80" s="74" t="str">
        <f t="shared" si="44"/>
        <v>"C:\Program Files (x86)\AstroGrep\AstroGrep.exe" /e /r /s /spath="%USERPROFILE%\AppData\Local\Temp\OnboardLogs" /stypes="app*4014*20171001*" /stext=" 18:.+((SYSTEM_STATE.+slice.+state.+changed )|(ment ac)|(multiple cpu faults)|(system.+state.+changed )|(\[timeout)|(PRM\|1\|D)|(kpr)|(kdp)|(train st.+moving)|(\|lc)|(penalty))"</v>
      </c>
      <c r="AG80" s="182" t="str">
        <f t="shared" si="45"/>
        <v>EC</v>
      </c>
      <c r="AH80" s="78" t="str">
        <f t="shared" si="46"/>
        <v>"%USERPROFILE%\Documents\GitHub\eaglep3\Utilities\RefineRTDCRunTimes.py" --tripid 167-01 --locoid 4014 --swversion DE.1.0.9.0 --startMP 204:429 --initTime 2017-10-01T11:54:24 --startdatetime 2017-10-01T12:00:16 --delay 54 --endMP 204:233304 --enddatetime 2017-10-01T12:37:01 --enforcementcount 0 &gt;&gt;c:\users\tmcdowell\Documents\GitHub\eaglep3-reporting\EC\2017-10-01-refined-times.txt</v>
      </c>
      <c r="AI8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{"issue":{"subject":"","project_id":79,"tracker_id":40,"status_id":1,"priority_id":2,"assigned_to_id":338,"start_date":"2017-10-01","description":"","custom_fields":[{"id":1,"name":"Subdivision","value":"EC"},{"id":4,"name":"Milepost","value":"23.3304"},{"id":17,"name":"Train ID","value":"167-01"},{"id":16,"name":"Locomotive ID","value":"4014"},{"id":130,"name":"Impact","value":""},{"id":150,"name":"Time of Event (Mountain Time)","value":"12:37:01"},{"id":151,"name":"Denver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8"/>
        <v>start /low /b %USERPROFILE%\Documents\GitHub\eaglep3\Utilities\DownloadLogsFromS3.py --loco 4014 --day 2017-10-01</v>
      </c>
      <c r="AN8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0"/>
        <v>https://d0f6bd738d7f1b3e5a7ca70fe4ff75f0.us-east-1.aws.found.io/app/kibana#/discover/Steve-Slow-Train-Analysis-(2080s-and-2083s)?_g=(refreshInterval:(display:Off,pause:!f,section:0,value:0),time:(from:'2017-10-01T10:54:24-0600',mode:absolute,to:'2017-10-01T13:37:01-0600'))&amp;_a=(columns:!('Message%20ID',Summary),filters:!(),index:'emp_*',interval:auto,query:(query_string:(analyze_wildcard:!t,query:'%22rtdc.l.rtdc.4014%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600</v>
      </c>
      <c r="B81" s="7">
        <v>4013</v>
      </c>
      <c r="C81" s="21" t="s">
        <v>195</v>
      </c>
      <c r="D81" s="21" t="s">
        <v>392</v>
      </c>
      <c r="E81" s="13">
        <v>43009.532337962963</v>
      </c>
      <c r="F81" s="13">
        <v>43009.539756944447</v>
      </c>
      <c r="G81" s="7">
        <v>57</v>
      </c>
      <c r="H81" s="21" t="s">
        <v>858</v>
      </c>
      <c r="I81" s="13">
        <v>43009.567314814813</v>
      </c>
      <c r="J81" s="7">
        <v>0</v>
      </c>
      <c r="K81" s="89" t="str">
        <f t="shared" si="34"/>
        <v>4013/4014</v>
      </c>
      <c r="L81" s="185" t="str">
        <f>VLOOKUP(A81,'Trips&amp;Operators'!$C$1:$G$99911,5,FALSE)</f>
        <v>BADERTSCHER DIANE</v>
      </c>
      <c r="M81" s="6">
        <f t="shared" si="35"/>
        <v>2.7557870365853887E-2</v>
      </c>
      <c r="N81" s="7">
        <f t="shared" si="36"/>
        <v>39.683333326829597</v>
      </c>
      <c r="O81" s="7"/>
      <c r="P81" s="7"/>
      <c r="Q81" s="22"/>
      <c r="R81" s="174"/>
      <c r="S81" s="221">
        <f t="shared" si="37"/>
        <v>1</v>
      </c>
      <c r="T81" s="174" t="str">
        <f t="shared" si="38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9"/>
        <v>https://d0f6bd738d7f1b3e5a7ca70fe4ff75f0.us-east-1.aws.found.io/app/kibana#/discover/Steve-Slow-Train-Analysis-(2080s-and-2083s)?_g=(refreshInterval:(display:Off,pause:!f,section:0,value:0),time:(from:'2017-10-01T11:46:34-0600',mode:absolute,to:'2017-10-01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4" t="str">
        <f>IF(AA81&lt;VLOOKUP(AG81,Variables!$AC$3:$AD$8,2,FALSE),"Y","N")</f>
        <v>N</v>
      </c>
      <c r="X81" s="204">
        <f t="shared" si="40"/>
        <v>1</v>
      </c>
      <c r="Y81" s="204">
        <f t="shared" si="32"/>
        <v>23.298100000000002</v>
      </c>
      <c r="Z81" s="204">
        <f t="shared" si="33"/>
        <v>1.2999999999999999E-2</v>
      </c>
      <c r="AA81" s="204">
        <f t="shared" si="41"/>
        <v>23.2851</v>
      </c>
      <c r="AB81" s="54" t="str">
        <f>VLOOKUP(A81,Enforcements!$C$7:$K$11,8,0)</f>
        <v>Speed (6)</v>
      </c>
      <c r="AC81" s="51" t="str">
        <f>VLOOKUP(A81,Enforcements!$C$7:$E$11,3,0)</f>
        <v>PERMANENT SPEED RESTRICTION</v>
      </c>
      <c r="AD81" s="179">
        <f t="shared" si="42"/>
        <v>168</v>
      </c>
      <c r="AE81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81" s="74" t="str">
        <f t="shared" si="44"/>
        <v>"C:\Program Files (x86)\AstroGrep\AstroGrep.exe" /e /r /s /spath="%USERPROFILE%\AppData\Local\Temp\OnboardLogs" /stypes="app*4013*20171001*" /stext=" 19:.+((SYSTEM_STATE.+slice.+state.+changed )|(ment ac)|(multiple cpu faults)|(system.+state.+changed )|(\[timeout)|(PRM\|1\|D)|(kpr)|(kdp)|(train st.+moving)|(\|lc)|(penalty))"</v>
      </c>
      <c r="AG81" s="182" t="str">
        <f t="shared" si="45"/>
        <v>EC</v>
      </c>
      <c r="AH81" s="78" t="str">
        <f t="shared" si="46"/>
        <v>"%USERPROFILE%\Documents\GitHub\eaglep3\Utilities\RefineRTDCRunTimes.py" --tripid 168-01 --locoid 4013 --swversion DE.1.0.9.0 --startMP 204:232981 --initTime 2017-10-01T12:46:34 --startdatetime 2017-10-01T12:57:15 --delay 57 --endMP 204:130 --enddatetime 2017-10-01T13:36:56 --enforcementcount 0 &gt;&gt;c:\users\tmcdowell\Documents\GitHub\eaglep3-reporting\EC\2017-10-01-refined-times.txt</v>
      </c>
      <c r="AI8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{"issue":{"subject":"","project_id":79,"tracker_id":40,"status_id":1,"priority_id":2,"assigned_to_id":338,"start_date":"2017-10-01","description":"","custom_fields":[{"id":1,"name":"Subdivision","value":"EC"},{"id":4,"name":"Milepost","value":"0.013"},{"id":17,"name":"Train ID","value":"168-01"},{"id":16,"name":"Locomotive ID","value":"4013"},{"id":130,"name":"Impact","value":""},{"id":150,"name":"Time of Event (Mountain Time)","value":"13:36:56"},{"id":151,"name":"Denver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8"/>
        <v>start /low /b %USERPROFILE%\Documents\GitHub\eaglep3\Utilities\DownloadLogsFromS3.py --loco 4013 --day 2017-10-01</v>
      </c>
      <c r="AN8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0"/>
        <v>https://d0f6bd738d7f1b3e5a7ca70fe4ff75f0.us-east-1.aws.found.io/app/kibana#/discover/Steve-Slow-Train-Analysis-(2080s-and-2083s)?_g=(refreshInterval:(display:Off,pause:!f,section:0,value:0),time:(from:'2017-10-01T11:46:34-0600',mode:absolute,to:'2017-10-01T14:36:56-0600'))&amp;_a=(columns:!('Message%20ID',Summary),filters:!(),index:'emp_*',interval:auto,query:(query_string:(analyze_wildcard:!t,query:'%22rtdc.l.rtdc.4013%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724</v>
      </c>
      <c r="B82" s="7">
        <v>4044</v>
      </c>
      <c r="C82" s="21" t="s">
        <v>195</v>
      </c>
      <c r="D82" s="21" t="s">
        <v>458</v>
      </c>
      <c r="E82" s="13">
        <v>43009.507662037038</v>
      </c>
      <c r="F82" s="13">
        <v>43009.510613425926</v>
      </c>
      <c r="G82" s="7">
        <v>88</v>
      </c>
      <c r="H82" s="21" t="s">
        <v>473</v>
      </c>
      <c r="I82" s="13">
        <v>43009.535497685189</v>
      </c>
      <c r="J82" s="7">
        <v>0</v>
      </c>
      <c r="K82" s="89" t="str">
        <f t="shared" si="34"/>
        <v>4043/4044</v>
      </c>
      <c r="L82" s="185" t="str">
        <f>VLOOKUP(A82,'Trips&amp;Operators'!$C$1:$G$99911,5,FALSE)</f>
        <v>BERLING GARY</v>
      </c>
      <c r="M82" s="6">
        <f t="shared" si="35"/>
        <v>2.4884259262762498E-2</v>
      </c>
      <c r="N82" s="7">
        <f t="shared" si="36"/>
        <v>35.833333338377997</v>
      </c>
      <c r="O82" s="7"/>
      <c r="P82" s="7"/>
      <c r="Q82" s="22"/>
      <c r="R82" s="174"/>
      <c r="S82" s="221">
        <f t="shared" si="37"/>
        <v>1</v>
      </c>
      <c r="T82" s="174" t="str">
        <f t="shared" si="38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9"/>
        <v>https://d0f6bd738d7f1b3e5a7ca70fe4ff75f0.us-east-1.aws.found.io/app/kibana#/discover/Steve-Slow-Train-Analysis-(2080s-and-2083s)?_g=(refreshInterval:(display:Off,pause:!f,section:0,value:0),time:(from:'2017-10-01T11:11:02-0600',mode:absolute,to:'2017-10-01T13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204" t="str">
        <f>IF(AA82&lt;VLOOKUP(AG82,Variables!$AC$3:$AD$8,2,FALSE),"Y","N")</f>
        <v>N</v>
      </c>
      <c r="X82" s="204">
        <f t="shared" si="40"/>
        <v>1</v>
      </c>
      <c r="Y82" s="204">
        <f t="shared" si="32"/>
        <v>4.7699999999999999E-2</v>
      </c>
      <c r="Z82" s="204">
        <f t="shared" si="33"/>
        <v>23.331099999999999</v>
      </c>
      <c r="AA82" s="204">
        <f t="shared" si="41"/>
        <v>23.2834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2"/>
        <v>169</v>
      </c>
      <c r="AE82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82" s="74" t="str">
        <f t="shared" si="44"/>
        <v>"C:\Program Files (x86)\AstroGrep\AstroGrep.exe" /e /r /s /spath="%USERPROFILE%\AppData\Local\Temp\OnboardLogs" /stypes="app*4044*20171001*" /stext=" 18:.+((SYSTEM_STATE.+slice.+state.+changed )|(ment ac)|(multiple cpu faults)|(system.+state.+changed )|(\[timeout)|(PRM\|1\|D)|(kpr)|(kdp)|(train st.+moving)|(\|lc)|(penalty))"</v>
      </c>
      <c r="AG82" s="182" t="str">
        <f t="shared" si="45"/>
        <v>EC</v>
      </c>
      <c r="AH82" s="78" t="str">
        <f t="shared" si="46"/>
        <v>"%USERPROFILE%\Documents\GitHub\eaglep3\Utilities\RefineRTDCRunTimes.py" --tripid 169-01 --locoid 4044 --swversion DE.1.0.9.0 --startMP 204:477 --initTime 2017-10-01T12:11:02 --startdatetime 2017-10-01T12:15:17 --delay 88 --endMP 204:233311 --enddatetime 2017-10-01T12:51:07 --enforcementcount 0 &gt;&gt;c:\users\tmcdowell\Documents\GitHub\eaglep3-reporting\EC\2017-10-01-refined-times.txt</v>
      </c>
      <c r="AI8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{"issue":{"subject":"","project_id":79,"tracker_id":40,"status_id":1,"priority_id":2,"assigned_to_id":338,"start_date":"2017-10-01","description":"","custom_fields":[{"id":1,"name":"Subdivision","value":"EC"},{"id":4,"name":"Milepost","value":"23.3311"},{"id":17,"name":"Train ID","value":"169-01"},{"id":16,"name":"Locomotive ID","value":"4044"},{"id":130,"name":"Impact","value":""},{"id":150,"name":"Time of Event (Mountain Time)","value":"12:51:07"},{"id":151,"name":"Denver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8"/>
        <v>start /low /b %USERPROFILE%\Documents\GitHub\eaglep3\Utilities\DownloadLogsFromS3.py --loco 4044 --day 2017-10-01</v>
      </c>
      <c r="AN8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0"/>
        <v>https://d0f6bd738d7f1b3e5a7ca70fe4ff75f0.us-east-1.aws.found.io/app/kibana#/discover/Steve-Slow-Train-Analysis-(2080s-and-2083s)?_g=(refreshInterval:(display:Off,pause:!f,section:0,value:0),time:(from:'2017-10-01T11:11:02-0600',mode:absolute,to:'2017-10-01T13:51:07-0600'))&amp;_a=(columns:!('Message%20ID',Summary),filters:!(),index:'emp_*',interval:auto,query:(query_string:(analyze_wildcard:!t,query:'%22rtdc.l.rtdc.4044%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730</v>
      </c>
      <c r="B83" s="7">
        <v>4043</v>
      </c>
      <c r="C83" s="21" t="s">
        <v>195</v>
      </c>
      <c r="D83" s="21" t="s">
        <v>476</v>
      </c>
      <c r="E83" s="13">
        <v>43009.544976851852</v>
      </c>
      <c r="F83" s="13">
        <v>43009.550162037034</v>
      </c>
      <c r="G83" s="7">
        <v>106</v>
      </c>
      <c r="H83" s="21" t="s">
        <v>338</v>
      </c>
      <c r="I83" s="13">
        <v>43009.577581018515</v>
      </c>
      <c r="J83" s="7">
        <v>0</v>
      </c>
      <c r="K83" s="89" t="str">
        <f t="shared" si="34"/>
        <v>4043/4044</v>
      </c>
      <c r="L83" s="185" t="str">
        <f>VLOOKUP(A83,'Trips&amp;Operators'!$C$1:$G$99911,5,FALSE)</f>
        <v>BERLING GARY</v>
      </c>
      <c r="M83" s="6">
        <f t="shared" si="35"/>
        <v>2.7418981480877846E-2</v>
      </c>
      <c r="N83" s="7">
        <f t="shared" si="36"/>
        <v>39.483333332464099</v>
      </c>
      <c r="O83" s="7"/>
      <c r="P83" s="7"/>
      <c r="Q83" s="22"/>
      <c r="R83" s="174"/>
      <c r="S83" s="221">
        <f t="shared" si="37"/>
        <v>1</v>
      </c>
      <c r="T83" s="174" t="str">
        <f t="shared" si="38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9"/>
        <v>https://d0f6bd738d7f1b3e5a7ca70fe4ff75f0.us-east-1.aws.found.io/app/kibana#/discover/Steve-Slow-Train-Analysis-(2080s-and-2083s)?_g=(refreshInterval:(display:Off,pause:!f,section:0,value:0),time:(from:'2017-10-01T12:04:46-0600',mode:absolute,to:'2017-10-01T14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204" t="str">
        <f>IF(AA83&lt;VLOOKUP(AG83,Variables!$AC$3:$AD$8,2,FALSE),"Y","N")</f>
        <v>N</v>
      </c>
      <c r="X83" s="204">
        <f t="shared" si="40"/>
        <v>1</v>
      </c>
      <c r="Y83" s="204">
        <f t="shared" ref="Y83:Y101" si="51">RIGHT(D83,LEN(D83)-4)/10000</f>
        <v>23.299399999999999</v>
      </c>
      <c r="Z83" s="204">
        <f t="shared" ref="Z83:Z101" si="52">RIGHT(H83,LEN(H83)-4)/10000</f>
        <v>1.43E-2</v>
      </c>
      <c r="AA83" s="204">
        <f t="shared" si="41"/>
        <v>23.2851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2"/>
        <v>170</v>
      </c>
      <c r="AE83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83" s="74" t="str">
        <f t="shared" si="44"/>
        <v>"C:\Program Files (x86)\AstroGrep\AstroGrep.exe" /e /r /s /spath="%USERPROFILE%\AppData\Local\Temp\OnboardLogs" /stypes="app*4043*20171001*" /stext=" 19:.+((SYSTEM_STATE.+slice.+state.+changed )|(ment ac)|(multiple cpu faults)|(system.+state.+changed )|(\[timeout)|(PRM\|1\|D)|(kpr)|(kdp)|(train st.+moving)|(\|lc)|(penalty))"</v>
      </c>
      <c r="AG83" s="182" t="str">
        <f t="shared" si="45"/>
        <v>EC</v>
      </c>
      <c r="AH83" s="78" t="str">
        <f t="shared" si="46"/>
        <v>"%USERPROFILE%\Documents\GitHub\eaglep3\Utilities\RefineRTDCRunTimes.py" --tripid 170-01 --locoid 4043 --swversion DE.1.0.9.0 --startMP 204:232994 --initTime 2017-10-01T13:04:46 --startdatetime 2017-10-01T13:12:14 --delay 106 --endMP 204:143 --enddatetime 2017-10-01T13:51:43 --enforcementcount 0 &gt;&gt;c:\users\tmcdowell\Documents\GitHub\eaglep3-reporting\EC\2017-10-01-refined-times.txt</v>
      </c>
      <c r="AI8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ID","value":"170-01"},{"id":16,"name":"Locomotive ID","value":"4043"},{"id":130,"name":"Impact","value":""},{"id":150,"name":"Time of Event (Mountain Time)","value":"13:51:43"},{"id":151,"name":"Denver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8"/>
        <v>start /low /b %USERPROFILE%\Documents\GitHub\eaglep3\Utilities\DownloadLogsFromS3.py --loco 4043 --day 2017-10-01</v>
      </c>
      <c r="AN83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0"/>
        <v>https://d0f6bd738d7f1b3e5a7ca70fe4ff75f0.us-east-1.aws.found.io/app/kibana#/discover/Steve-Slow-Train-Analysis-(2080s-and-2083s)?_g=(refreshInterval:(display:Off,pause:!f,section:0,value:0),time:(from:'2017-10-01T12:04:46-0600',mode:absolute,to:'2017-10-01T14:51:43-0600'))&amp;_a=(columns:!('Message%20ID',Summary),filters:!(),index:'emp_*',interval:auto,query:(query_string:(analyze_wildcard:!t,query:'%22rtdc.l.rtdc.4043%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726</v>
      </c>
      <c r="B84" s="7">
        <v>4016</v>
      </c>
      <c r="C84" s="21" t="s">
        <v>195</v>
      </c>
      <c r="D84" s="21" t="s">
        <v>561</v>
      </c>
      <c r="E84" s="13">
        <v>43009.518877314818</v>
      </c>
      <c r="F84" s="13">
        <v>43009.521006944444</v>
      </c>
      <c r="G84" s="7">
        <v>79</v>
      </c>
      <c r="H84" s="21" t="s">
        <v>556</v>
      </c>
      <c r="I84" s="13">
        <v>43009.545902777776</v>
      </c>
      <c r="J84" s="7">
        <v>0</v>
      </c>
      <c r="K84" s="89" t="str">
        <f t="shared" si="34"/>
        <v>4015/4016</v>
      </c>
      <c r="L84" s="185" t="str">
        <f>VLOOKUP(A84,'Trips&amp;Operators'!$C$1:$G$99911,5,FALSE)</f>
        <v>GONZALEZ ARMANDO</v>
      </c>
      <c r="M84" s="6">
        <f t="shared" si="35"/>
        <v>2.4895833332266193E-2</v>
      </c>
      <c r="N84" s="7">
        <f t="shared" si="36"/>
        <v>35.849999998463318</v>
      </c>
      <c r="O84" s="7"/>
      <c r="P84" s="7"/>
      <c r="Q84" s="22"/>
      <c r="R84" s="174"/>
      <c r="S84" s="221">
        <f t="shared" si="37"/>
        <v>1</v>
      </c>
      <c r="T84" s="174" t="str">
        <f t="shared" si="38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9"/>
        <v>https://d0f6bd738d7f1b3e5a7ca70fe4ff75f0.us-east-1.aws.found.io/app/kibana#/discover/Steve-Slow-Train-Analysis-(2080s-and-2083s)?_g=(refreshInterval:(display:Off,pause:!f,section:0,value:0),time:(from:'2017-10-01T11:27:11-0600',mode:absolute,to:'2017-10-01T14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204" t="str">
        <f>IF(AA84&lt;VLOOKUP(AG84,Variables!$AC$3:$AD$8,2,FALSE),"Y","N")</f>
        <v>N</v>
      </c>
      <c r="X84" s="204">
        <f t="shared" si="40"/>
        <v>1</v>
      </c>
      <c r="Y84" s="204">
        <f t="shared" si="51"/>
        <v>4.6899999999999997E-2</v>
      </c>
      <c r="Z84" s="204">
        <f t="shared" si="52"/>
        <v>23.331900000000001</v>
      </c>
      <c r="AA84" s="204">
        <f t="shared" si="41"/>
        <v>23.285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2"/>
        <v>171</v>
      </c>
      <c r="AE84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84" s="74" t="str">
        <f t="shared" si="44"/>
        <v>"C:\Program Files (x86)\AstroGrep\AstroGrep.exe" /e /r /s /spath="%USERPROFILE%\AppData\Local\Temp\OnboardLogs" /stypes="app*4016*20171001*" /stext=" 19:.+((SYSTEM_STATE.+slice.+state.+changed )|(ment ac)|(multiple cpu faults)|(system.+state.+changed )|(\[timeout)|(PRM\|1\|D)|(kpr)|(kdp)|(train st.+moving)|(\|lc)|(penalty))"</v>
      </c>
      <c r="AG84" s="182" t="str">
        <f t="shared" si="45"/>
        <v>EC</v>
      </c>
      <c r="AH84" s="78" t="str">
        <f t="shared" si="46"/>
        <v>"%USERPROFILE%\Documents\GitHub\eaglep3\Utilities\RefineRTDCRunTimes.py" --tripid 171-01 --locoid 4016 --swversion DE.1.0.9.0 --startMP 204:469 --initTime 2017-10-01T12:27:11 --startdatetime 2017-10-01T12:30:15 --delay 79 --endMP 204:233319 --enddatetime 2017-10-01T13:06:06 --enforcementcount 0 &gt;&gt;c:\users\tmcdowell\Documents\GitHub\eaglep3-reporting\EC\2017-10-01-refined-times.txt</v>
      </c>
      <c r="AI8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{"issue":{"subject":"","project_id":79,"tracker_id":40,"status_id":1,"priority_id":2,"assigned_to_id":338,"start_date":"2017-10-01","description":"","custom_fields":[{"id":1,"name":"Subdivision","value":"EC"},{"id":4,"name":"Milepost","value":"23.3319"},{"id":17,"name":"Train ID","value":"171-01"},{"id":16,"name":"Locomotive ID","value":"4016"},{"id":130,"name":"Impact","value":""},{"id":150,"name":"Time of Event (Mountain Time)","value":"13:06:06"},{"id":151,"name":"Denver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8"/>
        <v>start /low /b %USERPROFILE%\Documents\GitHub\eaglep3\Utilities\DownloadLogsFromS3.py --loco 4016 --day 2017-10-01</v>
      </c>
      <c r="AN84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0"/>
        <v>https://d0f6bd738d7f1b3e5a7ca70fe4ff75f0.us-east-1.aws.found.io/app/kibana#/discover/Steve-Slow-Train-Analysis-(2080s-and-2083s)?_g=(refreshInterval:(display:Off,pause:!f,section:0,value:0),time:(from:'2017-10-01T11:27:11-0600',mode:absolute,to:'2017-10-01T14:06:06-0600'))&amp;_a=(columns:!('Message%20ID',Summary),filters:!(),index:'emp_*',interval:auto,query:(query_string:(analyze_wildcard:!t,query:'%22rtdc.l.rtdc.4016%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733</v>
      </c>
      <c r="B85" s="7">
        <v>4015</v>
      </c>
      <c r="C85" s="21" t="s">
        <v>195</v>
      </c>
      <c r="D85" s="21" t="s">
        <v>566</v>
      </c>
      <c r="E85" s="13">
        <v>43009.555671296293</v>
      </c>
      <c r="F85" s="13">
        <v>43009.560578703706</v>
      </c>
      <c r="G85" s="7">
        <v>79</v>
      </c>
      <c r="H85" s="21" t="s">
        <v>337</v>
      </c>
      <c r="I85" s="13">
        <v>43009.588425925926</v>
      </c>
      <c r="J85" s="7">
        <v>0</v>
      </c>
      <c r="K85" s="89" t="str">
        <f t="shared" si="34"/>
        <v>4015/4016</v>
      </c>
      <c r="L85" s="185" t="str">
        <f>VLOOKUP(A85,'Trips&amp;Operators'!$C$1:$G$99911,5,FALSE)</f>
        <v>GONZALEZ ARMANDO</v>
      </c>
      <c r="M85" s="6">
        <f t="shared" si="35"/>
        <v>2.7847222219861578E-2</v>
      </c>
      <c r="N85" s="7">
        <f t="shared" si="36"/>
        <v>40.099999996600673</v>
      </c>
      <c r="O85" s="7"/>
      <c r="P85" s="7"/>
      <c r="Q85" s="22"/>
      <c r="R85" s="174"/>
      <c r="S85" s="221">
        <f t="shared" si="37"/>
        <v>1</v>
      </c>
      <c r="T85" s="174" t="str">
        <f t="shared" si="38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9"/>
        <v>https://d0f6bd738d7f1b3e5a7ca70fe4ff75f0.us-east-1.aws.found.io/app/kibana#/discover/Steve-Slow-Train-Analysis-(2080s-and-2083s)?_g=(refreshInterval:(display:Off,pause:!f,section:0,value:0),time:(from:'2017-10-01T12:20:10-0600',mode:absolute,to:'2017-10-01T15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204" t="str">
        <f>IF(AA85&lt;VLOOKUP(AG85,Variables!$AC$3:$AD$8,2,FALSE),"Y","N")</f>
        <v>N</v>
      </c>
      <c r="X85" s="204">
        <f t="shared" si="40"/>
        <v>1</v>
      </c>
      <c r="Y85" s="204">
        <f t="shared" si="51"/>
        <v>23.301100000000002</v>
      </c>
      <c r="Z85" s="204">
        <f t="shared" si="52"/>
        <v>1.49E-2</v>
      </c>
      <c r="AA85" s="204">
        <f t="shared" si="41"/>
        <v>23.286200000000001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2"/>
        <v>172</v>
      </c>
      <c r="AE85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85" s="74" t="str">
        <f t="shared" si="44"/>
        <v>"C:\Program Files (x86)\AstroGrep\AstroGrep.exe" /e /r /s /spath="%USERPROFILE%\AppData\Local\Temp\OnboardLogs" /stypes="app*4015*20171001*" /stext=" 20:.+((SYSTEM_STATE.+slice.+state.+changed )|(ment ac)|(multiple cpu faults)|(system.+state.+changed )|(\[timeout)|(PRM\|1\|D)|(kpr)|(kdp)|(train st.+moving)|(\|lc)|(penalty))"</v>
      </c>
      <c r="AG85" s="182" t="str">
        <f t="shared" si="45"/>
        <v>EC</v>
      </c>
      <c r="AH85" s="78" t="str">
        <f t="shared" si="46"/>
        <v>"%USERPROFILE%\Documents\GitHub\eaglep3\Utilities\RefineRTDCRunTimes.py" --tripid 172-01 --locoid 4015 --swversion DE.1.0.9.0 --startMP 204:233011 --initTime 2017-10-01T13:20:10 --startdatetime 2017-10-01T13:27:14 --delay 79 --endMP 204:149 --enddatetime 2017-10-01T14:07:20 --enforcementcount 0 &gt;&gt;c:\users\tmcdowell\Documents\GitHub\eaglep3-reporting\EC\2017-10-01-refined-times.txt</v>
      </c>
      <c r="AI8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{"issue":{"subject":"","project_id":79,"tracker_id":40,"status_id":1,"priority_id":2,"assigned_to_id":338,"start_date":"2017-10-01","description":"","custom_fields":[{"id":1,"name":"Subdivision","value":"EC"},{"id":4,"name":"Milepost","value":"0.0149"},{"id":17,"name":"Train ID","value":"172-01"},{"id":16,"name":"Locomotive ID","value":"4015"},{"id":130,"name":"Impact","value":""},{"id":150,"name":"Time of Event (Mountain Time)","value":"14:07:20"},{"id":151,"name":"Denver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8"/>
        <v>start /low /b %USERPROFILE%\Documents\GitHub\eaglep3\Utilities\DownloadLogsFromS3.py --loco 4015 --day 2017-10-01</v>
      </c>
      <c r="AN8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0"/>
        <v>https://d0f6bd738d7f1b3e5a7ca70fe4ff75f0.us-east-1.aws.found.io/app/kibana#/discover/Steve-Slow-Train-Analysis-(2080s-and-2083s)?_g=(refreshInterval:(display:Off,pause:!f,section:0,value:0),time:(from:'2017-10-01T12:20:10-0600',mode:absolute,to:'2017-10-01T15:07:20-0600'))&amp;_a=(columns:!('Message%20ID',Summary),filters:!(),index:'emp_*',interval:auto,query:(query_string:(analyze_wildcard:!t,query:'%22rtdc.l.rtdc.4015%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728</v>
      </c>
      <c r="B86" s="7">
        <v>4054</v>
      </c>
      <c r="C86" s="21" t="s">
        <v>195</v>
      </c>
      <c r="D86" s="21" t="s">
        <v>859</v>
      </c>
      <c r="E86" s="13">
        <v>43009.528587962966</v>
      </c>
      <c r="F86" s="13">
        <v>43009.531493055554</v>
      </c>
      <c r="G86" s="7">
        <v>68</v>
      </c>
      <c r="H86" s="21" t="s">
        <v>469</v>
      </c>
      <c r="I86" s="13">
        <v>43009.556527777779</v>
      </c>
      <c r="J86" s="7">
        <v>0</v>
      </c>
      <c r="K86" s="89" t="str">
        <f t="shared" si="34"/>
        <v>4053/4054</v>
      </c>
      <c r="L86" s="185" t="str">
        <f>VLOOKUP(A86,'Trips&amp;Operators'!$C$1:$G$99911,5,FALSE)</f>
        <v>SMITH MICHAEL</v>
      </c>
      <c r="M86" s="6">
        <f t="shared" si="35"/>
        <v>2.5034722224518191E-2</v>
      </c>
      <c r="N86" s="7">
        <f t="shared" si="36"/>
        <v>36.050000003306195</v>
      </c>
      <c r="O86" s="7"/>
      <c r="P86" s="7"/>
      <c r="Q86" s="22"/>
      <c r="R86" s="174"/>
      <c r="S86" s="221">
        <f t="shared" si="37"/>
        <v>1</v>
      </c>
      <c r="T86" s="174" t="str">
        <f t="shared" si="38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9"/>
        <v>https://d0f6bd738d7f1b3e5a7ca70fe4ff75f0.us-east-1.aws.found.io/app/kibana#/discover/Steve-Slow-Train-Analysis-(2080s-and-2083s)?_g=(refreshInterval:(display:Off,pause:!f,section:0,value:0),time:(from:'2017-10-01T11:41:10-0600',mode:absolute,to:'2017-10-01T14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204" t="str">
        <f>IF(AA86&lt;VLOOKUP(AG86,Variables!$AC$3:$AD$8,2,FALSE),"Y","N")</f>
        <v>N</v>
      </c>
      <c r="X86" s="204">
        <f t="shared" si="40"/>
        <v>1</v>
      </c>
      <c r="Y86" s="204">
        <f t="shared" si="51"/>
        <v>5.0900000000000001E-2</v>
      </c>
      <c r="Z86" s="204">
        <f t="shared" si="52"/>
        <v>23.330500000000001</v>
      </c>
      <c r="AA86" s="204">
        <f t="shared" si="41"/>
        <v>23.279600000000002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2"/>
        <v>173</v>
      </c>
      <c r="AE86" s="77" t="str">
        <f t="shared" si="43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86" s="74" t="str">
        <f t="shared" si="44"/>
        <v>"C:\Program Files (x86)\AstroGrep\AstroGrep.exe" /e /r /s /spath="%USERPROFILE%\AppData\Local\Temp\OnboardLogs" /stypes="app*4054*20171001*" /stext=" 19:.+((SYSTEM_STATE.+slice.+state.+changed )|(ment ac)|(multiple cpu faults)|(system.+state.+changed )|(\[timeout)|(PRM\|1\|D)|(kpr)|(kdp)|(train st.+moving)|(\|lc)|(penalty))"</v>
      </c>
      <c r="AG86" s="182" t="str">
        <f t="shared" si="45"/>
        <v>EC</v>
      </c>
      <c r="AH86" s="78" t="str">
        <f t="shared" si="46"/>
        <v>"%USERPROFILE%\Documents\GitHub\eaglep3\Utilities\RefineRTDCRunTimes.py" --tripid 173-01 --locoid 4054 --swversion DE.1.0.9.0 --startMP 204:509 --initTime 2017-10-01T12:41:10 --startdatetime 2017-10-01T12:45:21 --delay 68 --endMP 204:233305 --enddatetime 2017-10-01T13:21:24 --enforcementcount 0 &gt;&gt;c:\users\tmcdowell\Documents\GitHub\eaglep3-reporting\EC\2017-10-01-refined-times.txt</v>
      </c>
      <c r="AI8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{"issue":{"subject":"","project_id":79,"tracker_id":40,"status_id":1,"priority_id":2,"assigned_to_id":338,"start_date":"2017-10-01","description":"","custom_fields":[{"id":1,"name":"Subdivision","value":"EC"},{"id":4,"name":"Milepost","value":"23.3305"},{"id":17,"name":"Train ID","value":"173-01"},{"id":16,"name":"Locomotive ID","value":"4054"},{"id":130,"name":"Impact","value":""},{"id":150,"name":"Time of Event (Mountain Time)","value":"13:21:24"},{"id":151,"name":"Denver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8"/>
        <v>start /low /b %USERPROFILE%\Documents\GitHub\eaglep3\Utilities\DownloadLogsFromS3.py --loco 4054 --day 2017-10-01</v>
      </c>
      <c r="AN8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0"/>
        <v>https://d0f6bd738d7f1b3e5a7ca70fe4ff75f0.us-east-1.aws.found.io/app/kibana#/discover/Steve-Slow-Train-Analysis-(2080s-and-2083s)?_g=(refreshInterval:(display:Off,pause:!f,section:0,value:0),time:(from:'2017-10-01T11:41:10-0600',mode:absolute,to:'2017-10-01T14:21:24-0600'))&amp;_a=(columns:!('Message%20ID',Summary),filters:!(),index:'emp_*',interval:auto,query:(query_string:(analyze_wildcard:!t,query:'%22rtdc.l.rtdc.4054%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602</v>
      </c>
      <c r="B87" s="7">
        <v>4053</v>
      </c>
      <c r="C87" s="21" t="s">
        <v>195</v>
      </c>
      <c r="D87" s="21" t="s">
        <v>860</v>
      </c>
      <c r="E87" s="13">
        <v>43009.562152777777</v>
      </c>
      <c r="F87" s="13">
        <v>43009.571053240739</v>
      </c>
      <c r="G87" s="7">
        <v>73</v>
      </c>
      <c r="H87" s="21" t="s">
        <v>861</v>
      </c>
      <c r="I87" s="13">
        <v>43009.608298611114</v>
      </c>
      <c r="J87" s="7">
        <v>0</v>
      </c>
      <c r="K87" s="89" t="str">
        <f t="shared" si="34"/>
        <v>4053/4054</v>
      </c>
      <c r="L87" s="185" t="str">
        <f>VLOOKUP(A87,'Trips&amp;Operators'!$C$1:$G$99911,5,FALSE)</f>
        <v>SMITH MICHAEL</v>
      </c>
      <c r="M87" s="6">
        <f t="shared" si="35"/>
        <v>3.7245370374876074E-2</v>
      </c>
      <c r="N87" s="7">
        <f t="shared" si="36"/>
        <v>53.633333339821547</v>
      </c>
      <c r="O87" s="7"/>
      <c r="P87" s="7"/>
      <c r="Q87" s="22"/>
      <c r="R87" s="174" t="s">
        <v>984</v>
      </c>
      <c r="S87" s="221">
        <f t="shared" si="37"/>
        <v>1</v>
      </c>
      <c r="T87" s="174" t="str">
        <f t="shared" si="38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9"/>
        <v>https://d0f6bd738d7f1b3e5a7ca70fe4ff75f0.us-east-1.aws.found.io/app/kibana#/discover/Steve-Slow-Train-Analysis-(2080s-and-2083s)?_g=(refreshInterval:(display:Off,pause:!f,section:0,value:0),time:(from:'2017-10-01T12:29:30-0600',mode:absolute,to:'2017-10-01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204" t="str">
        <f>IF(AA87&lt;VLOOKUP(AG87,Variables!$AC$3:$AD$8,2,FALSE),"Y","N")</f>
        <v>N</v>
      </c>
      <c r="X87" s="204">
        <f t="shared" si="40"/>
        <v>1</v>
      </c>
      <c r="Y87" s="204">
        <f t="shared" si="51"/>
        <v>23.2986</v>
      </c>
      <c r="Z87" s="204">
        <f t="shared" si="52"/>
        <v>8.9300000000000004E-2</v>
      </c>
      <c r="AA87" s="204">
        <f t="shared" si="41"/>
        <v>23.209299999999999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2"/>
        <v>174</v>
      </c>
      <c r="AE87" s="77" t="str">
        <f t="shared" si="43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87" s="74" t="str">
        <f t="shared" si="44"/>
        <v>"C:\Program Files (x86)\AstroGrep\AstroGrep.exe" /e /r /s /spath="%USERPROFILE%\AppData\Local\Temp\OnboardLogs" /stypes="app*4053*20171001*" /stext=" 20:.+((SYSTEM_STATE.+slice.+state.+changed )|(ment ac)|(multiple cpu faults)|(system.+state.+changed )|(\[timeout)|(PRM\|1\|D)|(kpr)|(kdp)|(train st.+moving)|(\|lc)|(penalty))"</v>
      </c>
      <c r="AG87" s="182" t="str">
        <f t="shared" si="45"/>
        <v>EC</v>
      </c>
      <c r="AH87" s="78" t="str">
        <f t="shared" si="46"/>
        <v>"%USERPROFILE%\Documents\GitHub\eaglep3\Utilities\RefineRTDCRunTimes.py" --tripid 174-01 --locoid 4053 --swversion DE.1.0.9.0 --startMP 204:232986 --initTime 2017-10-01T13:29:30 --startdatetime 2017-10-01T13:42:19 --delay 73 --endMP 204:893 --enddatetime 2017-10-01T14:35:57 --enforcementcount 0 &gt;&gt;c:\users\tmcdowell\Documents\GitHub\eaglep3-reporting\EC\2017-10-01-refined-times.txt</v>
      </c>
      <c r="AI87" s="96" t="str">
        <f t="shared" si="47"/>
        <v>echo {"issue":{"subject":"Trip delay due to propulsion fault","project_id":79,"tracker_id":40,"status_id":1,"priority_id":2,"assigned_to_id":338,"start_date":"2017-10-01","description":"","custom_fields":[{"id":1,"name":"Subdivision","value":"EC"},{"id":4,"name":"Milepost","value":"0.0893"},{"id":17,"name":"Train ID","value":"174-01"},{"id":16,"name":"Locomotive ID","value":"4053"},{"id":130,"name":"Impact","value":""},{"id":150,"name":"Time of Event (Mountain Time)","value":"14:35:57"},{"id":151,"name":"Denver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8"/>
        <v>start /low /b %USERPROFILE%\Documents\GitHub\eaglep3\Utilities\DownloadLogsFromS3.py --loco 4053 --day 2017-10-01</v>
      </c>
      <c r="AN87" s="151" t="str">
        <f t="shared" si="49"/>
        <v>echo {"issue":{"subject":"Trip delay due to propulsion fault","project_id":30,"tracker_id":4,"status_id":1,"priority_id":1,"assigned_to_id":10,"start_date":"2017-10-01","description":"","custom_fields":[{"id":30,"name":"Category","value":"Issue"},{"id":3,"name":"Functional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0"/>
        <v>https://d0f6bd738d7f1b3e5a7ca70fe4ff75f0.us-east-1.aws.found.io/app/kibana#/discover/Steve-Slow-Train-Analysis-(2080s-and-2083s)?_g=(refreshInterval:(display:Off,pause:!f,section:0,value:0),time:(from:'2017-10-01T12:29:30-0600',mode:absolute,to:'2017-10-01T15:35:57-0600'))&amp;_a=(columns:!('Message%20ID',Summary),filters:!(),index:'emp_*',interval:auto,query:(query_string:(analyze_wildcard:!t,query:'%22rtdc.l.rtdc.4053%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599</v>
      </c>
      <c r="B88" s="7">
        <v>4060</v>
      </c>
      <c r="C88" s="21" t="s">
        <v>195</v>
      </c>
      <c r="D88" s="21" t="s">
        <v>494</v>
      </c>
      <c r="E88" s="13">
        <v>43009.540196759262</v>
      </c>
      <c r="F88" s="13">
        <v>43009.542048611111</v>
      </c>
      <c r="G88" s="7">
        <v>58</v>
      </c>
      <c r="H88" s="21" t="s">
        <v>862</v>
      </c>
      <c r="I88" s="13">
        <v>43009.56994212963</v>
      </c>
      <c r="J88" s="7">
        <v>0</v>
      </c>
      <c r="K88" s="89" t="str">
        <f t="shared" si="34"/>
        <v>4059/4060</v>
      </c>
      <c r="L88" s="185" t="str">
        <f>VLOOKUP(A88,'Trips&amp;Operators'!$C$1:$G$99911,5,FALSE)</f>
        <v>DAVIS MICHAEL</v>
      </c>
      <c r="M88" s="6">
        <f t="shared" si="35"/>
        <v>2.789351851970423E-2</v>
      </c>
      <c r="N88" s="7">
        <f t="shared" si="36"/>
        <v>40.166666668374091</v>
      </c>
      <c r="O88" s="7"/>
      <c r="P88" s="7"/>
      <c r="Q88" s="22"/>
      <c r="R88" s="174"/>
      <c r="S88" s="221">
        <f t="shared" si="37"/>
        <v>1</v>
      </c>
      <c r="T88" s="174" t="str">
        <f t="shared" si="38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9"/>
        <v>https://d0f6bd738d7f1b3e5a7ca70fe4ff75f0.us-east-1.aws.found.io/app/kibana#/discover/Steve-Slow-Train-Analysis-(2080s-and-2083s)?_g=(refreshInterval:(display:Off,pause:!f,section:0,value:0),time:(from:'2017-10-01T11:57:53-0600',mode:absolute,to:'2017-10-01T14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8" s="204" t="str">
        <f>IF(AA88&lt;VLOOKUP(AG88,Variables!$AC$3:$AD$8,2,FALSE),"Y","N")</f>
        <v>N</v>
      </c>
      <c r="X88" s="204">
        <f t="shared" si="40"/>
        <v>1</v>
      </c>
      <c r="Y88" s="204">
        <f t="shared" si="51"/>
        <v>4.8800000000000003E-2</v>
      </c>
      <c r="Z88" s="204">
        <f t="shared" si="52"/>
        <v>23.330200000000001</v>
      </c>
      <c r="AA88" s="204">
        <f t="shared" si="41"/>
        <v>23.281400000000001</v>
      </c>
      <c r="AB88" s="54" t="str">
        <f>VLOOKUP(A88,Enforcements!$C$7:$K$11,8,0)</f>
        <v>Bulletin (2)</v>
      </c>
      <c r="AC88" s="51" t="str">
        <f>VLOOKUP(A88,Enforcements!$C$7:$E$11,3,0)</f>
        <v>GRADE CROSSING</v>
      </c>
      <c r="AD88" s="179">
        <f t="shared" si="42"/>
        <v>175</v>
      </c>
      <c r="AE88" s="77" t="str">
        <f t="shared" si="43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88" s="74" t="str">
        <f t="shared" si="44"/>
        <v>"C:\Program Files (x86)\AstroGrep\AstroGrep.exe" /e /r /s /spath="%USERPROFILE%\AppData\Local\Temp\OnboardLogs" /stypes="app*4060*20171001*" /stext=" 19:.+((SYSTEM_STATE.+slice.+state.+changed )|(ment ac)|(multiple cpu faults)|(system.+state.+changed )|(\[timeout)|(PRM\|1\|D)|(kpr)|(kdp)|(train st.+moving)|(\|lc)|(penalty))"</v>
      </c>
      <c r="AG88" s="182" t="str">
        <f t="shared" si="45"/>
        <v>EC</v>
      </c>
      <c r="AH88" s="78" t="str">
        <f t="shared" si="46"/>
        <v>"%USERPROFILE%\Documents\GitHub\eaglep3\Utilities\RefineRTDCRunTimes.py" --tripid 175-01 --locoid 4060 --swversion DE.1.0.9.0 --startMP 204:488 --initTime 2017-10-01T12:57:53 --startdatetime 2017-10-01T13:00:33 --delay 58 --endMP 204:233302 --enddatetime 2017-10-01T13:40:43 --enforcementcount 0 &gt;&gt;c:\users\tmcdowell\Documents\GitHub\eaglep3-reporting\EC\2017-10-01-refined-times.txt</v>
      </c>
      <c r="AI8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{"issue":{"subject":"","project_id":79,"tracker_id":40,"status_id":1,"priority_id":2,"assigned_to_id":338,"start_date":"2017-10-01","description":"","custom_fields":[{"id":1,"name":"Subdivision","value":"EC"},{"id":4,"name":"Milepost","value":"23.3302"},{"id":17,"name":"Train ID","value":"175-01"},{"id":16,"name":"Locomotive ID","value":"4060"},{"id":130,"name":"Impact","value":""},{"id":150,"name":"Time of Event (Mountain Time)","value":"13:40:43"},{"id":151,"name":"Denver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8"/>
        <v>start /low /b %USERPROFILE%\Documents\GitHub\eaglep3\Utilities\DownloadLogsFromS3.py --loco 4060 --day 2017-10-01</v>
      </c>
      <c r="AN8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0"/>
        <v>https://d0f6bd738d7f1b3e5a7ca70fe4ff75f0.us-east-1.aws.found.io/app/kibana#/discover/Steve-Slow-Train-Analysis-(2080s-and-2083s)?_g=(refreshInterval:(display:Off,pause:!f,section:0,value:0),time:(from:'2017-10-01T11:57:53-0600',mode:absolute,to:'2017-10-01T14:40:43-0600'))&amp;_a=(columns:!('Message%20ID',Summary),filters:!(),index:'emp_*',interval:auto,query:(query_string:(analyze_wildcard:!t,query:'%22rtdc.l.rtdc.4060%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737</v>
      </c>
      <c r="B89" s="7">
        <v>4059</v>
      </c>
      <c r="C89" s="21" t="s">
        <v>195</v>
      </c>
      <c r="D89" s="21" t="s">
        <v>559</v>
      </c>
      <c r="E89" s="13">
        <v>43009.578842592593</v>
      </c>
      <c r="F89" s="13">
        <v>43009.581724537034</v>
      </c>
      <c r="G89" s="7">
        <v>70</v>
      </c>
      <c r="H89" s="21" t="s">
        <v>863</v>
      </c>
      <c r="I89" s="13">
        <v>43009.611354166664</v>
      </c>
      <c r="J89" s="7">
        <v>0</v>
      </c>
      <c r="K89" s="89" t="str">
        <f t="shared" si="34"/>
        <v>4059/4060</v>
      </c>
      <c r="L89" s="185" t="str">
        <f>VLOOKUP(A89,'Trips&amp;Operators'!$C$1:$G$99911,5,FALSE)</f>
        <v>DAVIS MICHAEL</v>
      </c>
      <c r="M89" s="6">
        <f t="shared" si="35"/>
        <v>2.9629629629198462E-2</v>
      </c>
      <c r="N89" s="7">
        <f t="shared" si="36"/>
        <v>42.666666666045785</v>
      </c>
      <c r="O89" s="7"/>
      <c r="P89" s="7"/>
      <c r="Q89" s="22"/>
      <c r="R89" s="174"/>
      <c r="S89" s="221">
        <f t="shared" si="37"/>
        <v>1</v>
      </c>
      <c r="T89" s="174" t="str">
        <f t="shared" si="38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9"/>
        <v>https://d0f6bd738d7f1b3e5a7ca70fe4ff75f0.us-east-1.aws.found.io/app/kibana#/discover/Steve-Slow-Train-Analysis-(2080s-and-2083s)?_g=(refreshInterval:(display:Off,pause:!f,section:0,value:0),time:(from:'2017-10-01T12:53:32-0600',mode:absolute,to:'2017-10-01T15:40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9" s="204" t="str">
        <f>IF(AA89&lt;VLOOKUP(AG89,Variables!$AC$3:$AD$8,2,FALSE),"Y","N")</f>
        <v>N</v>
      </c>
      <c r="X89" s="204">
        <f t="shared" si="40"/>
        <v>1</v>
      </c>
      <c r="Y89" s="204">
        <f t="shared" si="51"/>
        <v>23.3002</v>
      </c>
      <c r="Z89" s="204">
        <f t="shared" si="52"/>
        <v>0.19980000000000001</v>
      </c>
      <c r="AA89" s="204">
        <f t="shared" si="41"/>
        <v>23.1004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2"/>
        <v>176</v>
      </c>
      <c r="AE89" s="77" t="str">
        <f t="shared" si="43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89" s="74" t="str">
        <f t="shared" si="44"/>
        <v>"C:\Program Files (x86)\AstroGrep\AstroGrep.exe" /e /r /s /spath="%USERPROFILE%\AppData\Local\Temp\OnboardLogs" /stypes="app*4059*20171001*" /stext=" 20:.+((SYSTEM_STATE.+slice.+state.+changed )|(ment ac)|(multiple cpu faults)|(system.+state.+changed )|(\[timeout)|(PRM\|1\|D)|(kpr)|(kdp)|(train st.+moving)|(\|lc)|(penalty))"</v>
      </c>
      <c r="AG89" s="182" t="str">
        <f t="shared" si="45"/>
        <v>EC</v>
      </c>
      <c r="AH89" s="78" t="str">
        <f t="shared" si="46"/>
        <v>"%USERPROFILE%\Documents\GitHub\eaglep3\Utilities\RefineRTDCRunTimes.py" --tripid 176-01 --locoid 4059 --swversion DE.1.0.9.0 --startMP 204:233002 --initTime 2017-10-01T13:53:32 --startdatetime 2017-10-01T13:57:41 --delay 70 --endMP 204:1998 --enddatetime 2017-10-01T14:40:21 --enforcementcount 0 &gt;&gt;c:\users\tmcdowell\Documents\GitHub\eaglep3-reporting\EC\2017-10-01-refined-times.txt</v>
      </c>
      <c r="AI8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{"issue":{"subject":"","project_id":79,"tracker_id":40,"status_id":1,"priority_id":2,"assigned_to_id":338,"start_date":"2017-10-01","description":"","custom_fields":[{"id":1,"name":"Subdivision","value":"EC"},{"id":4,"name":"Milepost","value":"0.1998"},{"id":17,"name":"Train ID","value":"176-01"},{"id":16,"name":"Locomotive ID","value":"4059"},{"id":130,"name":"Impact","value":""},{"id":150,"name":"Time of Event (Mountain Time)","value":"14:40:21"},{"id":151,"name":"Denver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8"/>
        <v>start /low /b %USERPROFILE%\Documents\GitHub\eaglep3\Utilities\DownloadLogsFromS3.py --loco 4059 --day 2017-10-01</v>
      </c>
      <c r="AN89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0"/>
        <v>https://d0f6bd738d7f1b3e5a7ca70fe4ff75f0.us-east-1.aws.found.io/app/kibana#/discover/Steve-Slow-Train-Analysis-(2080s-and-2083s)?_g=(refreshInterval:(display:Off,pause:!f,section:0,value:0),time:(from:'2017-10-01T12:53:32-0600',mode:absolute,to:'2017-10-01T15:40:21-0600'))&amp;_a=(columns:!('Message%20ID',Summary),filters:!(),index:'emp_*',interval:auto,query:(query_string:(analyze_wildcard:!t,query:'%22rtdc.l.rtdc.4059%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732</v>
      </c>
      <c r="B90" s="7">
        <v>4042</v>
      </c>
      <c r="C90" s="21" t="s">
        <v>195</v>
      </c>
      <c r="D90" s="21" t="s">
        <v>561</v>
      </c>
      <c r="E90" s="13">
        <v>43009.549050925925</v>
      </c>
      <c r="F90" s="13">
        <v>43009.552361111113</v>
      </c>
      <c r="G90" s="7">
        <v>77</v>
      </c>
      <c r="H90" s="21" t="s">
        <v>469</v>
      </c>
      <c r="I90" s="13">
        <v>43009.576643518521</v>
      </c>
      <c r="J90" s="7">
        <v>0</v>
      </c>
      <c r="K90" s="89" t="str">
        <f t="shared" si="34"/>
        <v>4041/4042</v>
      </c>
      <c r="L90" s="185" t="str">
        <f>VLOOKUP(A90,'Trips&amp;Operators'!$C$1:$G$99911,5,FALSE)</f>
        <v>SAFIEF AEIMEN</v>
      </c>
      <c r="M90" s="6">
        <f t="shared" si="35"/>
        <v>2.4282407408463769E-2</v>
      </c>
      <c r="N90" s="7">
        <f t="shared" si="36"/>
        <v>34.966666668187827</v>
      </c>
      <c r="O90" s="7"/>
      <c r="P90" s="7"/>
      <c r="Q90" s="22"/>
      <c r="R90" s="174"/>
      <c r="S90" s="221">
        <f t="shared" si="37"/>
        <v>1</v>
      </c>
      <c r="T90" s="174" t="str">
        <f t="shared" si="38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9"/>
        <v>https://d0f6bd738d7f1b3e5a7ca70fe4ff75f0.us-east-1.aws.found.io/app/kibana#/discover/Steve-Slow-Train-Analysis-(2080s-and-2083s)?_g=(refreshInterval:(display:Off,pause:!f,section:0,value:0),time:(from:'2017-10-01T12:10:38-0600',mode:absolute,to:'2017-10-01T14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204" t="str">
        <f>IF(AA90&lt;VLOOKUP(AG90,Variables!$AC$3:$AD$8,2,FALSE),"Y","N")</f>
        <v>N</v>
      </c>
      <c r="X90" s="204">
        <f t="shared" si="40"/>
        <v>1</v>
      </c>
      <c r="Y90" s="204">
        <f t="shared" si="51"/>
        <v>4.6899999999999997E-2</v>
      </c>
      <c r="Z90" s="204">
        <f t="shared" si="52"/>
        <v>23.330500000000001</v>
      </c>
      <c r="AA90" s="204">
        <f t="shared" si="41"/>
        <v>23.2836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2"/>
        <v>177</v>
      </c>
      <c r="AE90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90" s="74" t="str">
        <f t="shared" si="44"/>
        <v>"C:\Program Files (x86)\AstroGrep\AstroGrep.exe" /e /r /s /spath="%USERPROFILE%\AppData\Local\Temp\OnboardLogs" /stypes="app*4042*20171001*" /stext=" 19:.+((SYSTEM_STATE.+slice.+state.+changed )|(ment ac)|(multiple cpu faults)|(system.+state.+changed )|(\[timeout)|(PRM\|1\|D)|(kpr)|(kdp)|(train st.+moving)|(\|lc)|(penalty))"</v>
      </c>
      <c r="AG90" s="182" t="str">
        <f t="shared" si="45"/>
        <v>EC</v>
      </c>
      <c r="AH90" s="78" t="str">
        <f t="shared" si="46"/>
        <v>"%USERPROFILE%\Documents\GitHub\eaglep3\Utilities\RefineRTDCRunTimes.py" --tripid 177-01 --locoid 4042 --swversion DE.1.0.9.0 --startMP 204:469 --initTime 2017-10-01T13:10:38 --startdatetime 2017-10-01T13:15:24 --delay 77 --endMP 204:233305 --enddatetime 2017-10-01T13:50:22 --enforcementcount 0 &gt;&gt;c:\users\tmcdowell\Documents\GitHub\eaglep3-reporting\EC\2017-10-01-refined-times.txt</v>
      </c>
      <c r="AI9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{"issue":{"subject":"","project_id":79,"tracker_id":40,"status_id":1,"priority_id":2,"assigned_to_id":338,"start_date":"2017-10-01","description":"","custom_fields":[{"id":1,"name":"Subdivision","value":"EC"},{"id":4,"name":"Milepost","value":"23.3305"},{"id":17,"name":"Train ID","value":"177-01"},{"id":16,"name":"Locomotive ID","value":"4042"},{"id":130,"name":"Impact","value":""},{"id":150,"name":"Time of Event (Mountain Time)","value":"13:50:22"},{"id":151,"name":"Denver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8"/>
        <v>start /low /b %USERPROFILE%\Documents\GitHub\eaglep3\Utilities\DownloadLogsFromS3.py --loco 4042 --day 2017-10-01</v>
      </c>
      <c r="AN9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0"/>
        <v>https://d0f6bd738d7f1b3e5a7ca70fe4ff75f0.us-east-1.aws.found.io/app/kibana#/discover/Steve-Slow-Train-Analysis-(2080s-and-2083s)?_g=(refreshInterval:(display:Off,pause:!f,section:0,value:0),time:(from:'2017-10-01T12:10:38-0600',mode:absolute,to:'2017-10-01T14:50:22-0600'))&amp;_a=(columns:!('Message%20ID',Summary),filters:!(),index:'emp_*',interval:auto,query:(query_string:(analyze_wildcard:!t,query:'%22rtdc.l.rtdc.4042%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739</v>
      </c>
      <c r="B91" s="7">
        <v>4041</v>
      </c>
      <c r="C91" s="21" t="s">
        <v>195</v>
      </c>
      <c r="D91" s="21" t="s">
        <v>384</v>
      </c>
      <c r="E91" s="13">
        <v>43009.582094907404</v>
      </c>
      <c r="F91" s="13">
        <v>43009.593946759262</v>
      </c>
      <c r="G91" s="7">
        <v>65</v>
      </c>
      <c r="H91" s="21" t="s">
        <v>364</v>
      </c>
      <c r="I91" s="13">
        <v>43009.621712962966</v>
      </c>
      <c r="J91" s="7">
        <v>0</v>
      </c>
      <c r="K91" s="89" t="str">
        <f t="shared" si="34"/>
        <v>4041/4042</v>
      </c>
      <c r="L91" s="185" t="str">
        <f>VLOOKUP(A91,'Trips&amp;Operators'!$C$1:$G$99911,5,FALSE)</f>
        <v>SAFIEF AEIMEN</v>
      </c>
      <c r="M91" s="6">
        <f t="shared" si="35"/>
        <v>2.7766203704231884E-2</v>
      </c>
      <c r="N91" s="7">
        <f t="shared" si="36"/>
        <v>39.983333334093913</v>
      </c>
      <c r="O91" s="7"/>
      <c r="P91" s="7"/>
      <c r="Q91" s="22"/>
      <c r="R91" s="174"/>
      <c r="S91" s="221">
        <f t="shared" si="37"/>
        <v>1</v>
      </c>
      <c r="T91" s="174" t="str">
        <f t="shared" si="38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9"/>
        <v>https://d0f6bd738d7f1b3e5a7ca70fe4ff75f0.us-east-1.aws.found.io/app/kibana#/discover/Steve-Slow-Train-Analysis-(2080s-and-2083s)?_g=(refreshInterval:(display:Off,pause:!f,section:0,value:0),time:(from:'2017-10-01T12:58:13-0600',mode:absolute,to:'2017-10-01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1" s="204" t="str">
        <f>IF(AA91&lt;VLOOKUP(AG91,Variables!$AC$3:$AD$8,2,FALSE),"Y","N")</f>
        <v>N</v>
      </c>
      <c r="X91" s="204">
        <f t="shared" si="40"/>
        <v>1</v>
      </c>
      <c r="Y91" s="204">
        <f t="shared" si="51"/>
        <v>23.299600000000002</v>
      </c>
      <c r="Z91" s="204">
        <f t="shared" si="52"/>
        <v>1.5599999999999999E-2</v>
      </c>
      <c r="AA91" s="204">
        <f t="shared" si="41"/>
        <v>23.284000000000002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2"/>
        <v>178</v>
      </c>
      <c r="AE91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91" s="74" t="str">
        <f t="shared" si="44"/>
        <v>"C:\Program Files (x86)\AstroGrep\AstroGrep.exe" /e /r /s /spath="%USERPROFILE%\AppData\Local\Temp\OnboardLogs" /stypes="app*4041*20171001*" /stext=" 20:.+((SYSTEM_STATE.+slice.+state.+changed )|(ment ac)|(multiple cpu faults)|(system.+state.+changed )|(\[timeout)|(PRM\|1\|D)|(kpr)|(kdp)|(train st.+moving)|(\|lc)|(penalty))"</v>
      </c>
      <c r="AG91" s="182" t="str">
        <f t="shared" si="45"/>
        <v>EC</v>
      </c>
      <c r="AH91" s="78" t="str">
        <f t="shared" si="46"/>
        <v>"%USERPROFILE%\Documents\GitHub\eaglep3\Utilities\RefineRTDCRunTimes.py" --tripid 178-01 --locoid 4041 --swversion DE.1.0.9.0 --startMP 204:232996 --initTime 2017-10-01T13:58:13 --startdatetime 2017-10-01T14:15:17 --delay 65 --endMP 204:156 --enddatetime 2017-10-01T14:55:16 --enforcementcount 0 &gt;&gt;c:\users\tmcdowell\Documents\GitHub\eaglep3-reporting\EC\2017-10-01-refined-times.txt</v>
      </c>
      <c r="AI9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ID","value":"178-01"},{"id":16,"name":"Locomotive ID","value":"4041"},{"id":130,"name":"Impact","value":""},{"id":150,"name":"Time of Event (Mountain Time)","value":"14:55:16"},{"id":151,"name":"Denver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8"/>
        <v>start /low /b %USERPROFILE%\Documents\GitHub\eaglep3\Utilities\DownloadLogsFromS3.py --loco 4041 --day 2017-10-01</v>
      </c>
      <c r="AN9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0"/>
        <v>https://d0f6bd738d7f1b3e5a7ca70fe4ff75f0.us-east-1.aws.found.io/app/kibana#/discover/Steve-Slow-Train-Analysis-(2080s-and-2083s)?_g=(refreshInterval:(display:Off,pause:!f,section:0,value:0),time:(from:'2017-10-01T12:58:13-0600',mode:absolute,to:'2017-10-01T15:55:16-0600'))&amp;_a=(columns:!('Message%20ID',Summary),filters:!(),index:'emp_*',interval:auto,query:(query_string:(analyze_wildcard:!t,query:'%22rtdc.l.rtdc.4041%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734</v>
      </c>
      <c r="B92" s="7">
        <v>4012</v>
      </c>
      <c r="C92" s="21" t="s">
        <v>195</v>
      </c>
      <c r="D92" s="21" t="s">
        <v>385</v>
      </c>
      <c r="E92" s="13">
        <v>43009.557002314818</v>
      </c>
      <c r="F92" s="13">
        <v>43009.562650462962</v>
      </c>
      <c r="G92" s="7">
        <v>75</v>
      </c>
      <c r="H92" s="21" t="s">
        <v>864</v>
      </c>
      <c r="I92" s="13">
        <v>43009.587557870371</v>
      </c>
      <c r="J92" s="7">
        <v>0</v>
      </c>
      <c r="K92" s="89" t="str">
        <f t="shared" si="34"/>
        <v>4011/4012</v>
      </c>
      <c r="L92" s="185" t="str">
        <f>VLOOKUP(A92,'Trips&amp;Operators'!$C$1:$G$99911,5,FALSE)</f>
        <v>GUZMAN DANNY</v>
      </c>
      <c r="M92" s="6">
        <f t="shared" si="35"/>
        <v>2.4907407409045845E-2</v>
      </c>
      <c r="N92" s="7">
        <f t="shared" si="36"/>
        <v>35.866666669026017</v>
      </c>
      <c r="O92" s="7"/>
      <c r="P92" s="7"/>
      <c r="Q92" s="22"/>
      <c r="R92" s="174"/>
      <c r="S92" s="221">
        <f t="shared" si="37"/>
        <v>1</v>
      </c>
      <c r="T92" s="174" t="str">
        <f t="shared" si="38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9"/>
        <v>https://d0f6bd738d7f1b3e5a7ca70fe4ff75f0.us-east-1.aws.found.io/app/kibana#/discover/Steve-Slow-Train-Analysis-(2080s-and-2083s)?_g=(refreshInterval:(display:Off,pause:!f,section:0,value:0),time:(from:'2017-10-01T12:22:05-0600',mode:absolute,to:'2017-10-01T15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204" t="str">
        <f>IF(AA92&lt;VLOOKUP(AG92,Variables!$AC$3:$AD$8,2,FALSE),"Y","N")</f>
        <v>N</v>
      </c>
      <c r="X92" s="204">
        <f t="shared" si="40"/>
        <v>1</v>
      </c>
      <c r="Y92" s="204">
        <f t="shared" si="51"/>
        <v>4.5100000000000001E-2</v>
      </c>
      <c r="Z92" s="204">
        <f t="shared" si="52"/>
        <v>23.331499999999998</v>
      </c>
      <c r="AA92" s="204">
        <f t="shared" si="41"/>
        <v>23.286399999999997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2"/>
        <v>179</v>
      </c>
      <c r="AE92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92" s="74" t="str">
        <f t="shared" si="44"/>
        <v>"C:\Program Files (x86)\AstroGrep\AstroGrep.exe" /e /r /s /spath="%USERPROFILE%\AppData\Local\Temp\OnboardLogs" /stypes="app*4012*20171001*" /stext=" 20:.+((SYSTEM_STATE.+slice.+state.+changed )|(ment ac)|(multiple cpu faults)|(system.+state.+changed )|(\[timeout)|(PRM\|1\|D)|(kpr)|(kdp)|(train st.+moving)|(\|lc)|(penalty))"</v>
      </c>
      <c r="AG92" s="182" t="str">
        <f t="shared" si="45"/>
        <v>EC</v>
      </c>
      <c r="AH92" s="78" t="str">
        <f t="shared" si="46"/>
        <v>"%USERPROFILE%\Documents\GitHub\eaglep3\Utilities\RefineRTDCRunTimes.py" --tripid 179-01 --locoid 4012 --swversion DE.1.0.9.0 --startMP 204:451 --initTime 2017-10-01T13:22:05 --startdatetime 2017-10-01T13:30:13 --delay 75 --endMP 204:233315 --enddatetime 2017-10-01T14:06:05 --enforcementcount 0 &gt;&gt;c:\users\tmcdowell\Documents\GitHub\eaglep3-reporting\EC\2017-10-01-refined-times.txt</v>
      </c>
      <c r="AI9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{"issue":{"subject":"","project_id":79,"tracker_id":40,"status_id":1,"priority_id":2,"assigned_to_id":338,"start_date":"2017-10-01","description":"","custom_fields":[{"id":1,"name":"Subdivision","value":"EC"},{"id":4,"name":"Milepost","value":"23.3315"},{"id":17,"name":"Train ID","value":"179-01"},{"id":16,"name":"Locomotive ID","value":"4012"},{"id":130,"name":"Impact","value":""},{"id":150,"name":"Time of Event (Mountain Time)","value":"14:06:05"},{"id":151,"name":"Denver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8"/>
        <v>start /low /b %USERPROFILE%\Documents\GitHub\eaglep3\Utilities\DownloadLogsFromS3.py --loco 4012 --day 2017-10-01</v>
      </c>
      <c r="AN9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0"/>
        <v>https://d0f6bd738d7f1b3e5a7ca70fe4ff75f0.us-east-1.aws.found.io/app/kibana#/discover/Steve-Slow-Train-Analysis-(2080s-and-2083s)?_g=(refreshInterval:(display:Off,pause:!f,section:0,value:0),time:(from:'2017-10-01T12:22:05-0600',mode:absolute,to:'2017-10-01T15:06:05-0600'))&amp;_a=(columns:!('Message%20ID',Summary),filters:!(),index:'emp_*',interval:auto,query:(query_string:(analyze_wildcard:!t,query:'%22rtdc.l.rtdc.4012%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740</v>
      </c>
      <c r="B93" s="7">
        <v>4011</v>
      </c>
      <c r="C93" s="21" t="s">
        <v>195</v>
      </c>
      <c r="D93" s="21" t="s">
        <v>845</v>
      </c>
      <c r="E93" s="13">
        <v>43009.58865740741</v>
      </c>
      <c r="F93" s="13">
        <v>43009.602256944447</v>
      </c>
      <c r="G93" s="7">
        <v>51</v>
      </c>
      <c r="H93" s="21" t="s">
        <v>341</v>
      </c>
      <c r="I93" s="13">
        <v>43009.629074074073</v>
      </c>
      <c r="J93" s="7">
        <v>0</v>
      </c>
      <c r="K93" s="89" t="str">
        <f t="shared" si="34"/>
        <v>4011/4012</v>
      </c>
      <c r="L93" s="185" t="str">
        <f>VLOOKUP(A93,'Trips&amp;Operators'!$C$1:$G$99911,5,FALSE)</f>
        <v>GUZMAN DANNY</v>
      </c>
      <c r="M93" s="6">
        <f t="shared" si="35"/>
        <v>2.6817129626579117E-2</v>
      </c>
      <c r="N93" s="7">
        <f t="shared" si="36"/>
        <v>38.616666662273929</v>
      </c>
      <c r="O93" s="7"/>
      <c r="P93" s="7"/>
      <c r="Q93" s="22"/>
      <c r="R93" s="174"/>
      <c r="S93" s="221">
        <f t="shared" si="37"/>
        <v>1</v>
      </c>
      <c r="T93" s="174" t="str">
        <f t="shared" si="38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9"/>
        <v>https://d0f6bd738d7f1b3e5a7ca70fe4ff75f0.us-east-1.aws.found.io/app/kibana#/discover/Steve-Slow-Train-Analysis-(2080s-and-2083s)?_g=(refreshInterval:(display:Off,pause:!f,section:0,value:0),time:(from:'2017-10-01T13:07:40-0600',mode:absolute,to:'2017-10-01T16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3" s="204" t="str">
        <f>IF(AA93&lt;VLOOKUP(AG93,Variables!$AC$3:$AD$8,2,FALSE),"Y","N")</f>
        <v>N</v>
      </c>
      <c r="X93" s="204">
        <f t="shared" si="40"/>
        <v>1</v>
      </c>
      <c r="Y93" s="204">
        <f t="shared" si="51"/>
        <v>23.2989</v>
      </c>
      <c r="Z93" s="204">
        <f t="shared" si="52"/>
        <v>1.47E-2</v>
      </c>
      <c r="AA93" s="204">
        <f t="shared" si="41"/>
        <v>23.284199999999998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2"/>
        <v>180</v>
      </c>
      <c r="AE93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93" s="74" t="str">
        <f t="shared" si="44"/>
        <v>"C:\Program Files (x86)\AstroGrep\AstroGrep.exe" /e /r /s /spath="%USERPROFILE%\AppData\Local\Temp\OnboardLogs" /stypes="app*4011*20171001*" /stext=" 21:.+((SYSTEM_STATE.+slice.+state.+changed )|(ment ac)|(multiple cpu faults)|(system.+state.+changed )|(\[timeout)|(PRM\|1\|D)|(kpr)|(kdp)|(train st.+moving)|(\|lc)|(penalty))"</v>
      </c>
      <c r="AG93" s="182" t="str">
        <f t="shared" si="45"/>
        <v>EC</v>
      </c>
      <c r="AH93" s="78" t="str">
        <f t="shared" si="46"/>
        <v>"%USERPROFILE%\Documents\GitHub\eaglep3\Utilities\RefineRTDCRunTimes.py" --tripid 180-01 --locoid 4011 --swversion DE.1.0.9.0 --startMP 204:232989 --initTime 2017-10-01T14:07:40 --startdatetime 2017-10-01T14:27:15 --delay 51 --endMP 204:147 --enddatetime 2017-10-01T15:05:52 --enforcementcount 0 &gt;&gt;c:\users\tmcdowell\Documents\GitHub\eaglep3-reporting\EC\2017-10-01-refined-times.txt</v>
      </c>
      <c r="AI9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ID","value":"180-01"},{"id":16,"name":"Locomotive ID","value":"4011"},{"id":130,"name":"Impact","value":""},{"id":150,"name":"Time of Event (Mountain Time)","value":"15:05:52"},{"id":151,"name":"Denver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8"/>
        <v>start /low /b %USERPROFILE%\Documents\GitHub\eaglep3\Utilities\DownloadLogsFromS3.py --loco 4011 --day 2017-10-01</v>
      </c>
      <c r="AN93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0"/>
        <v>https://d0f6bd738d7f1b3e5a7ca70fe4ff75f0.us-east-1.aws.found.io/app/kibana#/discover/Steve-Slow-Train-Analysis-(2080s-and-2083s)?_g=(refreshInterval:(display:Off,pause:!f,section:0,value:0),time:(from:'2017-10-01T13:07:40-0600',mode:absolute,to:'2017-10-01T16:05:52-0600'))&amp;_a=(columns:!('Message%20ID',Summary),filters:!(),index:'emp_*',interval:auto,query:(query_string:(analyze_wildcard:!t,query:'%22rtdc.l.rtdc.4011%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736</v>
      </c>
      <c r="B94" s="7">
        <v>4014</v>
      </c>
      <c r="C94" s="21" t="s">
        <v>195</v>
      </c>
      <c r="D94" s="21" t="s">
        <v>477</v>
      </c>
      <c r="E94" s="13">
        <v>43009.569328703707</v>
      </c>
      <c r="F94" s="13">
        <v>43009.57309027778</v>
      </c>
      <c r="G94" s="7">
        <v>81</v>
      </c>
      <c r="H94" s="21" t="s">
        <v>472</v>
      </c>
      <c r="I94" s="13">
        <v>43009.602719907409</v>
      </c>
      <c r="J94" s="7">
        <v>0</v>
      </c>
      <c r="K94" s="89" t="str">
        <f t="shared" si="34"/>
        <v>4013/4014</v>
      </c>
      <c r="L94" s="185" t="str">
        <f>VLOOKUP(A94,'Trips&amp;Operators'!$C$1:$G$99911,5,FALSE)</f>
        <v>BADERTSCHER DIANE</v>
      </c>
      <c r="M94" s="6">
        <f t="shared" si="35"/>
        <v>2.9629629629198462E-2</v>
      </c>
      <c r="N94" s="7">
        <f t="shared" si="36"/>
        <v>42.666666666045785</v>
      </c>
      <c r="O94" s="7"/>
      <c r="P94" s="7"/>
      <c r="Q94" s="22"/>
      <c r="R94" s="174"/>
      <c r="S94" s="221">
        <f t="shared" si="37"/>
        <v>1</v>
      </c>
      <c r="T94" s="174" t="str">
        <f t="shared" si="38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9"/>
        <v>https://d0f6bd738d7f1b3e5a7ca70fe4ff75f0.us-east-1.aws.found.io/app/kibana#/discover/Steve-Slow-Train-Analysis-(2080s-and-2083s)?_g=(refreshInterval:(display:Off,pause:!f,section:0,value:0),time:(from:'2017-10-01T12:39:50-0600',mode:absolute,to:'2017-10-01T15:27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4" t="str">
        <f>IF(AA94&lt;VLOOKUP(AG94,Variables!$AC$3:$AD$8,2,FALSE),"Y","N")</f>
        <v>N</v>
      </c>
      <c r="X94" s="204">
        <f t="shared" si="40"/>
        <v>1</v>
      </c>
      <c r="Y94" s="204">
        <f t="shared" si="51"/>
        <v>4.3299999999999998E-2</v>
      </c>
      <c r="Z94" s="204">
        <f t="shared" si="52"/>
        <v>23.331800000000001</v>
      </c>
      <c r="AA94" s="204">
        <f t="shared" si="41"/>
        <v>23.288500000000003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2"/>
        <v>181</v>
      </c>
      <c r="AE94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94" s="74" t="str">
        <f t="shared" si="44"/>
        <v>"C:\Program Files (x86)\AstroGrep\AstroGrep.exe" /e /r /s /spath="%USERPROFILE%\AppData\Local\Temp\OnboardLogs" /stypes="app*4014*20171001*" /stext=" 20:.+((SYSTEM_STATE.+slice.+state.+changed )|(ment ac)|(multiple cpu faults)|(system.+state.+changed )|(\[timeout)|(PRM\|1\|D)|(kpr)|(kdp)|(train st.+moving)|(\|lc)|(penalty))"</v>
      </c>
      <c r="AG94" s="182" t="str">
        <f t="shared" si="45"/>
        <v>EC</v>
      </c>
      <c r="AH94" s="78" t="str">
        <f t="shared" si="46"/>
        <v>"%USERPROFILE%\Documents\GitHub\eaglep3\Utilities\RefineRTDCRunTimes.py" --tripid 181-01 --locoid 4014 --swversion DE.1.0.9.0 --startMP 204:433 --initTime 2017-10-01T13:39:50 --startdatetime 2017-10-01T13:45:15 --delay 81 --endMP 204:233318 --enddatetime 2017-10-01T14:27:55 --enforcementcount 0 &gt;&gt;c:\users\tmcdowell\Documents\GitHub\eaglep3-reporting\EC\2017-10-01-refined-times.txt</v>
      </c>
      <c r="AI9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{"issue":{"subject":"","project_id":79,"tracker_id":40,"status_id":1,"priority_id":2,"assigned_to_id":338,"start_date":"2017-10-01","description":"","custom_fields":[{"id":1,"name":"Subdivision","value":"EC"},{"id":4,"name":"Milepost","value":"23.3318"},{"id":17,"name":"Train ID","value":"181-01"},{"id":16,"name":"Locomotive ID","value":"4014"},{"id":130,"name":"Impact","value":""},{"id":150,"name":"Time of Event (Mountain Time)","value":"14:27:55"},{"id":151,"name":"Denver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8"/>
        <v>start /low /b %USERPROFILE%\Documents\GitHub\eaglep3\Utilities\DownloadLogsFromS3.py --loco 4014 --day 2017-10-01</v>
      </c>
      <c r="AN94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0"/>
        <v>https://d0f6bd738d7f1b3e5a7ca70fe4ff75f0.us-east-1.aws.found.io/app/kibana#/discover/Steve-Slow-Train-Analysis-(2080s-and-2083s)?_g=(refreshInterval:(display:Off,pause:!f,section:0,value:0),time:(from:'2017-10-01T12:39:50-0600',mode:absolute,to:'2017-10-01T15:27:55-0600'))&amp;_a=(columns:!('Message%20ID',Summary),filters:!(),index:'emp_*',interval:auto,query:(query_string:(analyze_wildcard:!t,query:'%22rtdc.l.rtdc.4014%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746</v>
      </c>
      <c r="B95" s="7">
        <v>4013</v>
      </c>
      <c r="C95" s="21" t="s">
        <v>195</v>
      </c>
      <c r="D95" s="21" t="s">
        <v>570</v>
      </c>
      <c r="E95" s="13">
        <v>43009.605428240742</v>
      </c>
      <c r="F95" s="13">
        <v>43009.612673611111</v>
      </c>
      <c r="G95" s="7">
        <v>59</v>
      </c>
      <c r="H95" s="21" t="s">
        <v>362</v>
      </c>
      <c r="I95" s="13">
        <v>43009.63994212963</v>
      </c>
      <c r="J95" s="7">
        <v>0</v>
      </c>
      <c r="K95" s="89" t="str">
        <f t="shared" si="34"/>
        <v>4013/4014</v>
      </c>
      <c r="L95" s="185" t="str">
        <f>VLOOKUP(A95,'Trips&amp;Operators'!$C$1:$G$99911,5,FALSE)</f>
        <v>BADERTSCHER DIANE</v>
      </c>
      <c r="M95" s="6">
        <f t="shared" si="35"/>
        <v>2.7268518519122154E-2</v>
      </c>
      <c r="N95" s="7">
        <f t="shared" si="36"/>
        <v>39.266666667535901</v>
      </c>
      <c r="O95" s="7"/>
      <c r="P95" s="7"/>
      <c r="Q95" s="22"/>
      <c r="R95" s="174"/>
      <c r="S95" s="221">
        <f t="shared" si="37"/>
        <v>1</v>
      </c>
      <c r="T95" s="174" t="str">
        <f t="shared" si="38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9"/>
        <v>https://d0f6bd738d7f1b3e5a7ca70fe4ff75f0.us-east-1.aws.found.io/app/kibana#/discover/Steve-Slow-Train-Analysis-(2080s-and-2083s)?_g=(refreshInterval:(display:Off,pause:!f,section:0,value:0),time:(from:'2017-10-01T13:31:49-0600',mode:absolute,to:'2017-10-01T16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4" t="str">
        <f>IF(AA95&lt;VLOOKUP(AG95,Variables!$AC$3:$AD$8,2,FALSE),"Y","N")</f>
        <v>N</v>
      </c>
      <c r="X95" s="204">
        <f t="shared" si="40"/>
        <v>1</v>
      </c>
      <c r="Y95" s="204">
        <f t="shared" si="51"/>
        <v>23.3005</v>
      </c>
      <c r="Z95" s="204">
        <f t="shared" si="52"/>
        <v>1.38E-2</v>
      </c>
      <c r="AA95" s="204">
        <f t="shared" si="41"/>
        <v>23.2867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2"/>
        <v>182</v>
      </c>
      <c r="AE95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95" s="74" t="str">
        <f t="shared" si="44"/>
        <v>"C:\Program Files (x86)\AstroGrep\AstroGrep.exe" /e /r /s /spath="%USERPROFILE%\AppData\Local\Temp\OnboardLogs" /stypes="app*4013*20171001*" /stext=" 21:.+((SYSTEM_STATE.+slice.+state.+changed )|(ment ac)|(multiple cpu faults)|(system.+state.+changed )|(\[timeout)|(PRM\|1\|D)|(kpr)|(kdp)|(train st.+moving)|(\|lc)|(penalty))"</v>
      </c>
      <c r="AG95" s="182" t="str">
        <f t="shared" si="45"/>
        <v>EC</v>
      </c>
      <c r="AH95" s="78" t="str">
        <f t="shared" si="46"/>
        <v>"%USERPROFILE%\Documents\GitHub\eaglep3\Utilities\RefineRTDCRunTimes.py" --tripid 182-01 --locoid 4013 --swversion DE.1.0.9.0 --startMP 204:233005 --initTime 2017-10-01T14:31:49 --startdatetime 2017-10-01T14:42:15 --delay 59 --endMP 204:138 --enddatetime 2017-10-01T15:21:31 --enforcementcount 0 &gt;&gt;c:\users\tmcdowell\Documents\GitHub\eaglep3-reporting\EC\2017-10-01-refined-times.txt</v>
      </c>
      <c r="AI9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ID","value":"182-01"},{"id":16,"name":"Locomotive ID","value":"4013"},{"id":130,"name":"Impact","value":""},{"id":150,"name":"Time of Event (Mountain Time)","value":"15:21:31"},{"id":151,"name":"Denver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8"/>
        <v>start /low /b %USERPROFILE%\Documents\GitHub\eaglep3\Utilities\DownloadLogsFromS3.py --loco 4013 --day 2017-10-01</v>
      </c>
      <c r="AN9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0"/>
        <v>https://d0f6bd738d7f1b3e5a7ca70fe4ff75f0.us-east-1.aws.found.io/app/kibana#/discover/Steve-Slow-Train-Analysis-(2080s-and-2083s)?_g=(refreshInterval:(display:Off,pause:!f,section:0,value:0),time:(from:'2017-10-01T13:31:49-0600',mode:absolute,to:'2017-10-01T16:21:31-0600'))&amp;_a=(columns:!('Message%20ID',Summary),filters:!(),index:'emp_*',interval:auto,query:(query_string:(analyze_wildcard:!t,query:'%22rtdc.l.rtdc.4013%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738</v>
      </c>
      <c r="B96" s="7">
        <v>4044</v>
      </c>
      <c r="C96" s="21" t="s">
        <v>195</v>
      </c>
      <c r="D96" s="21" t="s">
        <v>857</v>
      </c>
      <c r="E96" s="13">
        <v>43009.578958333332</v>
      </c>
      <c r="F96" s="13">
        <v>43009.583599537036</v>
      </c>
      <c r="G96" s="7">
        <v>65</v>
      </c>
      <c r="H96" s="21" t="s">
        <v>556</v>
      </c>
      <c r="I96" s="13">
        <v>43009.610289351855</v>
      </c>
      <c r="J96" s="7">
        <v>0</v>
      </c>
      <c r="K96" s="89" t="str">
        <f t="shared" si="34"/>
        <v>4043/4044</v>
      </c>
      <c r="L96" s="185" t="str">
        <f>VLOOKUP(A96,'Trips&amp;Operators'!$C$1:$G$99911,5,FALSE)</f>
        <v>BERLING GARY</v>
      </c>
      <c r="M96" s="6">
        <f t="shared" si="35"/>
        <v>2.6689814818382729E-2</v>
      </c>
      <c r="N96" s="7">
        <f t="shared" si="36"/>
        <v>38.43333333847113</v>
      </c>
      <c r="O96" s="7"/>
      <c r="P96" s="7"/>
      <c r="Q96" s="22"/>
      <c r="R96" s="174"/>
      <c r="S96" s="221">
        <f t="shared" si="37"/>
        <v>1</v>
      </c>
      <c r="T96" s="174" t="str">
        <f t="shared" si="38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9"/>
        <v>https://d0f6bd738d7f1b3e5a7ca70fe4ff75f0.us-east-1.aws.found.io/app/kibana#/discover/Steve-Slow-Train-Analysis-(2080s-and-2083s)?_g=(refreshInterval:(display:Off,pause:!f,section:0,value:0),time:(from:'2017-10-01T12:53:42-0600',mode:absolute,to:'2017-10-01T15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204" t="str">
        <f>IF(AA96&lt;VLOOKUP(AG96,Variables!$AC$3:$AD$8,2,FALSE),"Y","N")</f>
        <v>N</v>
      </c>
      <c r="X96" s="204">
        <f t="shared" si="40"/>
        <v>1</v>
      </c>
      <c r="Y96" s="204">
        <f t="shared" si="51"/>
        <v>4.2900000000000001E-2</v>
      </c>
      <c r="Z96" s="204">
        <f t="shared" si="52"/>
        <v>23.331900000000001</v>
      </c>
      <c r="AA96" s="204">
        <f t="shared" si="41"/>
        <v>23.289000000000001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2"/>
        <v>183</v>
      </c>
      <c r="AE96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96" s="74" t="str">
        <f t="shared" si="44"/>
        <v>"C:\Program Files (x86)\AstroGrep\AstroGrep.exe" /e /r /s /spath="%USERPROFILE%\AppData\Local\Temp\OnboardLogs" /stypes="app*4044*20171001*" /stext=" 20:.+((SYSTEM_STATE.+slice.+state.+changed )|(ment ac)|(multiple cpu faults)|(system.+state.+changed )|(\[timeout)|(PRM\|1\|D)|(kpr)|(kdp)|(train st.+moving)|(\|lc)|(penalty))"</v>
      </c>
      <c r="AG96" s="182" t="str">
        <f t="shared" si="45"/>
        <v>EC</v>
      </c>
      <c r="AH96" s="78" t="str">
        <f t="shared" si="46"/>
        <v>"%USERPROFILE%\Documents\GitHub\eaglep3\Utilities\RefineRTDCRunTimes.py" --tripid 183-01 --locoid 4044 --swversion DE.1.0.9.0 --startMP 204:429 --initTime 2017-10-01T13:53:42 --startdatetime 2017-10-01T14:00:23 --delay 65 --endMP 204:233319 --enddatetime 2017-10-01T14:38:49 --enforcementcount 0 &gt;&gt;c:\users\tmcdowell\Documents\GitHub\eaglep3-reporting\EC\2017-10-01-refined-times.txt</v>
      </c>
      <c r="AI9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{"issue":{"subject":"","project_id":79,"tracker_id":40,"status_id":1,"priority_id":2,"assigned_to_id":338,"start_date":"2017-10-01","description":"","custom_fields":[{"id":1,"name":"Subdivision","value":"EC"},{"id":4,"name":"Milepost","value":"23.3319"},{"id":17,"name":"Train ID","value":"183-01"},{"id":16,"name":"Locomotive ID","value":"4044"},{"id":130,"name":"Impact","value":""},{"id":150,"name":"Time of Event (Mountain Time)","value":"14:38:49"},{"id":151,"name":"Denver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8"/>
        <v>start /low /b %USERPROFILE%\Documents\GitHub\eaglep3\Utilities\DownloadLogsFromS3.py --loco 4044 --day 2017-10-01</v>
      </c>
      <c r="AN9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0"/>
        <v>https://d0f6bd738d7f1b3e5a7ca70fe4ff75f0.us-east-1.aws.found.io/app/kibana#/discover/Steve-Slow-Train-Analysis-(2080s-and-2083s)?_g=(refreshInterval:(display:Off,pause:!f,section:0,value:0),time:(from:'2017-10-01T12:53:42-0600',mode:absolute,to:'2017-10-01T15:38:49-0600'))&amp;_a=(columns:!('Message%20ID',Summary),filters:!(),index:'emp_*',interval:auto,query:(query_string:(analyze_wildcard:!t,query:'%22rtdc.l.rtdc.4044%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747</v>
      </c>
      <c r="B97" s="7">
        <v>4043</v>
      </c>
      <c r="C97" s="21" t="s">
        <v>195</v>
      </c>
      <c r="D97" s="21" t="s">
        <v>567</v>
      </c>
      <c r="E97" s="13">
        <v>43009.617291666669</v>
      </c>
      <c r="F97" s="13">
        <v>43009.623067129629</v>
      </c>
      <c r="G97" s="7">
        <v>74</v>
      </c>
      <c r="H97" s="21" t="s">
        <v>362</v>
      </c>
      <c r="I97" s="13">
        <v>43009.649317129632</v>
      </c>
      <c r="J97" s="7">
        <v>0</v>
      </c>
      <c r="K97" s="89" t="str">
        <f t="shared" si="34"/>
        <v>4043/4044</v>
      </c>
      <c r="L97" s="185" t="str">
        <f>VLOOKUP(A97,'Trips&amp;Operators'!$C$1:$G$99911,5,FALSE)</f>
        <v>BERLING GARY</v>
      </c>
      <c r="M97" s="6">
        <f t="shared" si="35"/>
        <v>2.6250000002619345E-2</v>
      </c>
      <c r="N97" s="7">
        <f t="shared" si="36"/>
        <v>37.800000003771856</v>
      </c>
      <c r="O97" s="7"/>
      <c r="P97" s="7"/>
      <c r="Q97" s="22"/>
      <c r="R97" s="174"/>
      <c r="S97" s="221">
        <f t="shared" si="37"/>
        <v>1</v>
      </c>
      <c r="T97" s="174" t="str">
        <f t="shared" si="38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9"/>
        <v>https://d0f6bd738d7f1b3e5a7ca70fe4ff75f0.us-east-1.aws.found.io/app/kibana#/discover/Steve-Slow-Train-Analysis-(2080s-and-2083s)?_g=(refreshInterval:(display:Off,pause:!f,section:0,value:0),time:(from:'2017-10-01T13:48:54-0600',mode:absolute,to:'2017-10-01T16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204" t="str">
        <f>IF(AA97&lt;VLOOKUP(AG97,Variables!$AC$3:$AD$8,2,FALSE),"Y","N")</f>
        <v>N</v>
      </c>
      <c r="X97" s="204">
        <f t="shared" si="40"/>
        <v>1</v>
      </c>
      <c r="Y97" s="204">
        <f t="shared" si="51"/>
        <v>23.301500000000001</v>
      </c>
      <c r="Z97" s="204">
        <f t="shared" si="52"/>
        <v>1.38E-2</v>
      </c>
      <c r="AA97" s="204">
        <f t="shared" si="41"/>
        <v>23.287700000000001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2"/>
        <v>184</v>
      </c>
      <c r="AE97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97" s="74" t="str">
        <f t="shared" si="44"/>
        <v>"C:\Program Files (x86)\AstroGrep\AstroGrep.exe" /e /r /s /spath="%USERPROFILE%\AppData\Local\Temp\OnboardLogs" /stypes="app*4043*20171001*" /stext=" 21:.+((SYSTEM_STATE.+slice.+state.+changed )|(ment ac)|(multiple cpu faults)|(system.+state.+changed )|(\[timeout)|(PRM\|1\|D)|(kpr)|(kdp)|(train st.+moving)|(\|lc)|(penalty))"</v>
      </c>
      <c r="AG97" s="182" t="str">
        <f t="shared" si="45"/>
        <v>EC</v>
      </c>
      <c r="AH97" s="78" t="str">
        <f t="shared" si="46"/>
        <v>"%USERPROFILE%\Documents\GitHub\eaglep3\Utilities\RefineRTDCRunTimes.py" --tripid 184-01 --locoid 4043 --swversion DE.1.0.9.0 --startMP 204:233015 --initTime 2017-10-01T14:48:54 --startdatetime 2017-10-01T14:57:13 --delay 74 --endMP 204:138 --enddatetime 2017-10-01T15:35:01 --enforcementcount 0 &gt;&gt;c:\users\tmcdowell\Documents\GitHub\eaglep3-reporting\EC\2017-10-01-refined-times.txt</v>
      </c>
      <c r="AI9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ID","value":"184-01"},{"id":16,"name":"Locomotive ID","value":"4043"},{"id":130,"name":"Impact","value":""},{"id":150,"name":"Time of Event (Mountain Time)","value":"15:35:01"},{"id":151,"name":"Denver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8"/>
        <v>start /low /b %USERPROFILE%\Documents\GitHub\eaglep3\Utilities\DownloadLogsFromS3.py --loco 4043 --day 2017-10-01</v>
      </c>
      <c r="AN97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0"/>
        <v>https://d0f6bd738d7f1b3e5a7ca70fe4ff75f0.us-east-1.aws.found.io/app/kibana#/discover/Steve-Slow-Train-Analysis-(2080s-and-2083s)?_g=(refreshInterval:(display:Off,pause:!f,section:0,value:0),time:(from:'2017-10-01T13:48:54-0600',mode:absolute,to:'2017-10-01T16:35:01-0600'))&amp;_a=(columns:!('Message%20ID',Summary),filters:!(),index:'emp_*',interval:auto,query:(query_string:(analyze_wildcard:!t,query:'%22rtdc.l.rtdc.4043%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744</v>
      </c>
      <c r="B98" s="7">
        <v>4016</v>
      </c>
      <c r="C98" s="21" t="s">
        <v>195</v>
      </c>
      <c r="D98" s="21" t="s">
        <v>383</v>
      </c>
      <c r="E98" s="13">
        <v>43009.590092592596</v>
      </c>
      <c r="F98" s="13">
        <v>43009.593900462962</v>
      </c>
      <c r="G98" s="7">
        <v>64</v>
      </c>
      <c r="H98" s="21" t="s">
        <v>493</v>
      </c>
      <c r="I98" s="13">
        <v>43009.620347222219</v>
      </c>
      <c r="J98" s="7">
        <v>0</v>
      </c>
      <c r="K98" s="89" t="str">
        <f t="shared" si="34"/>
        <v>4015/4016</v>
      </c>
      <c r="L98" s="185" t="str">
        <f>VLOOKUP(A98,'Trips&amp;Operators'!$C$1:$G$99911,5,FALSE)</f>
        <v>MCREYNOLDS KYLE</v>
      </c>
      <c r="M98" s="6">
        <f t="shared" si="35"/>
        <v>2.6446759256941732E-2</v>
      </c>
      <c r="N98" s="7">
        <f t="shared" si="36"/>
        <v>38.083333329996094</v>
      </c>
      <c r="O98" s="7"/>
      <c r="P98" s="7"/>
      <c r="Q98" s="22"/>
      <c r="R98" s="174"/>
      <c r="S98" s="221">
        <f t="shared" si="37"/>
        <v>1</v>
      </c>
      <c r="T98" s="174" t="str">
        <f t="shared" si="38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9"/>
        <v>https://d0f6bd738d7f1b3e5a7ca70fe4ff75f0.us-east-1.aws.found.io/app/kibana#/discover/Steve-Slow-Train-Analysis-(2080s-and-2083s)?_g=(refreshInterval:(display:Off,pause:!f,section:0,value:0),time:(from:'2017-10-01T13:09:44-0600',mode:absolute,to:'2017-10-01T15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204" t="str">
        <f>IF(AA98&lt;VLOOKUP(AG98,Variables!$AC$3:$AD$8,2,FALSE),"Y","N")</f>
        <v>N</v>
      </c>
      <c r="X98" s="204">
        <f t="shared" si="40"/>
        <v>1</v>
      </c>
      <c r="Y98" s="204">
        <f t="shared" si="51"/>
        <v>4.6199999999999998E-2</v>
      </c>
      <c r="Z98" s="204">
        <f t="shared" si="52"/>
        <v>23.3324</v>
      </c>
      <c r="AA98" s="204">
        <f t="shared" si="41"/>
        <v>23.286200000000001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2"/>
        <v>185</v>
      </c>
      <c r="AE98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98" s="74" t="str">
        <f t="shared" si="44"/>
        <v>"C:\Program Files (x86)\AstroGrep\AstroGrep.exe" /e /r /s /spath="%USERPROFILE%\AppData\Local\Temp\OnboardLogs" /stypes="app*4016*20171001*" /stext=" 20:.+((SYSTEM_STATE.+slice.+state.+changed )|(ment ac)|(multiple cpu faults)|(system.+state.+changed )|(\[timeout)|(PRM\|1\|D)|(kpr)|(kdp)|(train st.+moving)|(\|lc)|(penalty))"</v>
      </c>
      <c r="AG98" s="182" t="str">
        <f t="shared" si="45"/>
        <v>EC</v>
      </c>
      <c r="AH98" s="78" t="str">
        <f t="shared" si="46"/>
        <v>"%USERPROFILE%\Documents\GitHub\eaglep3\Utilities\RefineRTDCRunTimes.py" --tripid 185-01 --locoid 4016 --swversion DE.1.0.9.0 --startMP 204:462 --initTime 2017-10-01T14:09:44 --startdatetime 2017-10-01T14:15:13 --delay 64 --endMP 204:233324 --enddatetime 2017-10-01T14:53:18 --enforcementcount 0 &gt;&gt;c:\users\tmcdowell\Documents\GitHub\eaglep3-reporting\EC\2017-10-01-refined-times.txt</v>
      </c>
      <c r="AI9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{"issue":{"subject":"","project_id":79,"tracker_id":40,"status_id":1,"priority_id":2,"assigned_to_id":338,"start_date":"2017-10-01","description":"","custom_fields":[{"id":1,"name":"Subdivision","value":"EC"},{"id":4,"name":"Milepost","value":"23.3324"},{"id":17,"name":"Train ID","value":"185-01"},{"id":16,"name":"Locomotive ID","value":"4016"},{"id":130,"name":"Impact","value":""},{"id":150,"name":"Time of Event (Mountain Time)","value":"14:53:18"},{"id":151,"name":"Denver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8"/>
        <v>start /low /b %USERPROFILE%\Documents\GitHub\eaglep3\Utilities\DownloadLogsFromS3.py --loco 4016 --day 2017-10-01</v>
      </c>
      <c r="AN9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0"/>
        <v>https://d0f6bd738d7f1b3e5a7ca70fe4ff75f0.us-east-1.aws.found.io/app/kibana#/discover/Steve-Slow-Train-Analysis-(2080s-and-2083s)?_g=(refreshInterval:(display:Off,pause:!f,section:0,value:0),time:(from:'2017-10-01T13:09:44-0600',mode:absolute,to:'2017-10-01T15:53:18-0600'))&amp;_a=(columns:!('Message%20ID',Summary),filters:!(),index:'emp_*',interval:auto,query:(query_string:(analyze_wildcard:!t,query:'%22rtdc.l.rtdc.4016%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749</v>
      </c>
      <c r="B99" s="7">
        <v>4015</v>
      </c>
      <c r="C99" s="21" t="s">
        <v>195</v>
      </c>
      <c r="D99" s="21" t="s">
        <v>911</v>
      </c>
      <c r="E99" s="13">
        <v>43009.6246875</v>
      </c>
      <c r="F99" s="13">
        <v>43009.633553240739</v>
      </c>
      <c r="G99" s="7">
        <v>63</v>
      </c>
      <c r="H99" s="21" t="s">
        <v>341</v>
      </c>
      <c r="I99" s="13">
        <v>43009.659131944441</v>
      </c>
      <c r="J99" s="7">
        <v>0</v>
      </c>
      <c r="K99" s="89" t="str">
        <f t="shared" si="34"/>
        <v>4015/4016</v>
      </c>
      <c r="L99" s="185" t="str">
        <f>VLOOKUP(A99,'Trips&amp;Operators'!$C$1:$G$99911,5,FALSE)</f>
        <v>MCREYNOLDS KYLE</v>
      </c>
      <c r="M99" s="6">
        <f t="shared" si="35"/>
        <v>2.5578703702194616E-2</v>
      </c>
      <c r="N99" s="7">
        <f t="shared" si="36"/>
        <v>36.833333331160247</v>
      </c>
      <c r="O99" s="7"/>
      <c r="P99" s="7"/>
      <c r="Q99" s="22"/>
      <c r="R99" s="174"/>
      <c r="S99" s="221">
        <f t="shared" si="37"/>
        <v>1</v>
      </c>
      <c r="T99" s="174" t="str">
        <f t="shared" si="38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9"/>
        <v>https://d0f6bd738d7f1b3e5a7ca70fe4ff75f0.us-east-1.aws.found.io/app/kibana#/discover/Steve-Slow-Train-Analysis-(2080s-and-2083s)?_g=(refreshInterval:(display:Off,pause:!f,section:0,value:0),time:(from:'2017-10-01T13:59:33-0600',mode:absolute,to:'2017-10-01T16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204" t="str">
        <f>IF(AA99&lt;VLOOKUP(AG99,Variables!$AC$3:$AD$8,2,FALSE),"Y","N")</f>
        <v>N</v>
      </c>
      <c r="X99" s="204">
        <f t="shared" si="40"/>
        <v>1</v>
      </c>
      <c r="Y99" s="204">
        <f t="shared" si="51"/>
        <v>23.3003</v>
      </c>
      <c r="Z99" s="204">
        <f t="shared" si="52"/>
        <v>1.47E-2</v>
      </c>
      <c r="AA99" s="204">
        <f t="shared" si="41"/>
        <v>23.285599999999999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2"/>
        <v>186</v>
      </c>
      <c r="AE99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99" s="74" t="str">
        <f t="shared" si="44"/>
        <v>"C:\Program Files (x86)\AstroGrep\AstroGrep.exe" /e /r /s /spath="%USERPROFILE%\AppData\Local\Temp\OnboardLogs" /stypes="app*4015*20171001*" /stext=" 21:.+((SYSTEM_STATE.+slice.+state.+changed )|(ment ac)|(multiple cpu faults)|(system.+state.+changed )|(\[timeout)|(PRM\|1\|D)|(kpr)|(kdp)|(train st.+moving)|(\|lc)|(penalty))"</v>
      </c>
      <c r="AG99" s="182" t="str">
        <f t="shared" si="45"/>
        <v>EC</v>
      </c>
      <c r="AH99" s="78" t="str">
        <f t="shared" si="46"/>
        <v>"%USERPROFILE%\Documents\GitHub\eaglep3\Utilities\RefineRTDCRunTimes.py" --tripid 186-01 --locoid 4015 --swversion DE.1.0.9.0 --startMP 204:233003 --initTime 2017-10-01T14:59:33 --startdatetime 2017-10-01T15:12:19 --delay 63 --endMP 204:147 --enddatetime 2017-10-01T15:49:09 --enforcementcount 0 &gt;&gt;c:\users\tmcdowell\Documents\GitHub\eaglep3-reporting\EC\2017-10-01-refined-times.txt</v>
      </c>
      <c r="AI9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{"issue":{"subject":"","project_id":79,"tracker_id":40,"status_id":1,"priority_id":2,"assigned_to_id":338,"start_date":"2017-10-01","description":"","custom_fields":[{"id":1,"name":"Subdivision","value":"EC"},{"id":4,"name":"Milepost","value":"0.0147"},{"id":17,"name":"Train ID","value":"186-01"},{"id":16,"name":"Locomotive ID","value":"4015"},{"id":130,"name":"Impact","value":""},{"id":150,"name":"Time of Event (Mountain Time)","value":"15:49:09"},{"id":151,"name":"Denver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8"/>
        <v>start /low /b %USERPROFILE%\Documents\GitHub\eaglep3\Utilities\DownloadLogsFromS3.py --loco 4015 --day 2017-10-01</v>
      </c>
      <c r="AN99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0"/>
        <v>https://d0f6bd738d7f1b3e5a7ca70fe4ff75f0.us-east-1.aws.found.io/app/kibana#/discover/Steve-Slow-Train-Analysis-(2080s-and-2083s)?_g=(refreshInterval:(display:Off,pause:!f,section:0,value:0),time:(from:'2017-10-01T13:59:33-0600',mode:absolute,to:'2017-10-01T16:49:09-0600'))&amp;_a=(columns:!('Message%20ID',Summary),filters:!(),index:'emp_*',interval:auto,query:(query_string:(analyze_wildcard:!t,query:'%22rtdc.l.rtdc.4015%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745</v>
      </c>
      <c r="B100" s="7">
        <v>4018</v>
      </c>
      <c r="C100" s="21" t="s">
        <v>195</v>
      </c>
      <c r="D100" s="21" t="s">
        <v>347</v>
      </c>
      <c r="E100" s="13">
        <v>43009.596620370372</v>
      </c>
      <c r="F100" s="13">
        <v>43009.604328703703</v>
      </c>
      <c r="G100" s="7">
        <v>107</v>
      </c>
      <c r="H100" s="21" t="s">
        <v>564</v>
      </c>
      <c r="I100" s="13">
        <v>43009.628807870373</v>
      </c>
      <c r="J100" s="7">
        <v>0</v>
      </c>
      <c r="K100" s="89" t="str">
        <f t="shared" si="34"/>
        <v>4017/4018</v>
      </c>
      <c r="L100" s="185" t="str">
        <f>VLOOKUP(A100,'Trips&amp;Operators'!$C$1:$G$99911,5,FALSE)</f>
        <v>LOPES KIMBERLY</v>
      </c>
      <c r="M100" s="6">
        <f t="shared" si="35"/>
        <v>2.4479166670062114E-2</v>
      </c>
      <c r="N100" s="7">
        <f t="shared" si="36"/>
        <v>35.250000004889444</v>
      </c>
      <c r="O100" s="7"/>
      <c r="P100" s="7"/>
      <c r="Q100" s="22"/>
      <c r="R100" s="174"/>
      <c r="S100" s="221">
        <f t="shared" si="37"/>
        <v>1</v>
      </c>
      <c r="T100" s="174" t="str">
        <f t="shared" si="38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9"/>
        <v>https://d0f6bd738d7f1b3e5a7ca70fe4ff75f0.us-east-1.aws.found.io/app/kibana#/discover/Steve-Slow-Train-Analysis-(2080s-and-2083s)?_g=(refreshInterval:(display:Off,pause:!f,section:0,value:0),time:(from:'2017-10-01T13:19:08-0600',mode:absolute,to:'2017-10-01T16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204" t="str">
        <f>IF(AA100&lt;VLOOKUP(AG100,Variables!$AC$3:$AD$8,2,FALSE),"Y","N")</f>
        <v>N</v>
      </c>
      <c r="X100" s="204">
        <f t="shared" si="40"/>
        <v>1</v>
      </c>
      <c r="Y100" s="204">
        <f t="shared" si="51"/>
        <v>4.5499999999999999E-2</v>
      </c>
      <c r="Z100" s="204">
        <f t="shared" si="52"/>
        <v>23.332100000000001</v>
      </c>
      <c r="AA100" s="204">
        <f t="shared" si="41"/>
        <v>23.2866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2"/>
        <v>187</v>
      </c>
      <c r="AE100" s="77" t="str">
        <f t="shared" si="4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100" s="74" t="str">
        <f t="shared" si="44"/>
        <v>"C:\Program Files (x86)\AstroGrep\AstroGrep.exe" /e /r /s /spath="%USERPROFILE%\AppData\Local\Temp\OnboardLogs" /stypes="app*4018*20171001*" /stext=" 21:.+((SYSTEM_STATE.+slice.+state.+changed )|(ment ac)|(multiple cpu faults)|(system.+state.+changed )|(\[timeout)|(PRM\|1\|D)|(kpr)|(kdp)|(train st.+moving)|(\|lc)|(penalty))"</v>
      </c>
      <c r="AG100" s="182" t="str">
        <f t="shared" si="45"/>
        <v>EC</v>
      </c>
      <c r="AH100" s="78" t="str">
        <f t="shared" si="46"/>
        <v>"%USERPROFILE%\Documents\GitHub\eaglep3\Utilities\RefineRTDCRunTimes.py" --tripid 187-01 --locoid 4018 --swversion DE.1.0.9.0 --startMP 204:455 --initTime 2017-10-01T14:19:08 --startdatetime 2017-10-01T14:30:14 --delay 107 --endMP 204:233321 --enddatetime 2017-10-01T15:05:29 --enforcementcount 0 &gt;&gt;c:\users\tmcdowell\Documents\GitHub\eaglep3-reporting\EC\2017-10-01-refined-times.txt</v>
      </c>
      <c r="AI10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ID","value":"187-01"},{"id":16,"name":"Locomotive ID","value":"4018"},{"id":130,"name":"Impact","value":""},{"id":150,"name":"Time of Event (Mountain Time)","value":"15:05:29"},{"id":151,"name":"Denver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8"/>
        <v>start /low /b %USERPROFILE%\Documents\GitHub\eaglep3\Utilities\DownloadLogsFromS3.py --loco 4018 --day 2017-10-01</v>
      </c>
      <c r="AN10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0"/>
        <v>https://d0f6bd738d7f1b3e5a7ca70fe4ff75f0.us-east-1.aws.found.io/app/kibana#/discover/Steve-Slow-Train-Analysis-(2080s-and-2083s)?_g=(refreshInterval:(display:Off,pause:!f,section:0,value:0),time:(from:'2017-10-01T13:19:08-0600',mode:absolute,to:'2017-10-01T16:05:29-0600'))&amp;_a=(columns:!('Message%20ID',Summary),filters:!(),index:'emp_*',interval:auto,query:(query_string:(analyze_wildcard:!t,query:'%22rtdc.l.rtdc.4018%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751</v>
      </c>
      <c r="B101" s="7">
        <v>4017</v>
      </c>
      <c r="C101" s="21" t="s">
        <v>195</v>
      </c>
      <c r="D101" s="21" t="s">
        <v>912</v>
      </c>
      <c r="E101" s="13">
        <v>43009.639050925929</v>
      </c>
      <c r="F101" s="13">
        <v>43009.64403935185</v>
      </c>
      <c r="G101" s="7">
        <v>48</v>
      </c>
      <c r="H101" s="21" t="s">
        <v>340</v>
      </c>
      <c r="I101" s="13">
        <v>43009.670578703706</v>
      </c>
      <c r="J101" s="7">
        <v>0</v>
      </c>
      <c r="K101" s="89" t="str">
        <f t="shared" si="34"/>
        <v>4017/4018</v>
      </c>
      <c r="L101" s="185" t="str">
        <f>VLOOKUP(A101,'Trips&amp;Operators'!$C$1:$G$99911,5,FALSE)</f>
        <v>LOPES KIMBERLY</v>
      </c>
      <c r="M101" s="6">
        <f t="shared" si="35"/>
        <v>2.6539351856627036E-2</v>
      </c>
      <c r="N101" s="7">
        <f t="shared" si="36"/>
        <v>38.216666673542932</v>
      </c>
      <c r="O101" s="7"/>
      <c r="P101" s="7"/>
      <c r="Q101" s="22"/>
      <c r="R101" s="174"/>
      <c r="S101" s="221">
        <f t="shared" si="37"/>
        <v>1</v>
      </c>
      <c r="T101" s="174" t="str">
        <f t="shared" si="38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9"/>
        <v>https://d0f6bd738d7f1b3e5a7ca70fe4ff75f0.us-east-1.aws.found.io/app/kibana#/discover/Steve-Slow-Train-Analysis-(2080s-and-2083s)?_g=(refreshInterval:(display:Off,pause:!f,section:0,value:0),time:(from:'2017-10-01T14:20:14-0600',mode:absolute,to:'2017-10-01T17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204" t="str">
        <f>IF(AA101&lt;VLOOKUP(AG101,Variables!$AC$3:$AD$8,2,FALSE),"Y","N")</f>
        <v>N</v>
      </c>
      <c r="X101" s="204">
        <f t="shared" si="40"/>
        <v>1</v>
      </c>
      <c r="Y101" s="204">
        <f t="shared" si="51"/>
        <v>23.303000000000001</v>
      </c>
      <c r="Z101" s="204">
        <f t="shared" si="52"/>
        <v>1.41E-2</v>
      </c>
      <c r="AA101" s="204">
        <f t="shared" si="41"/>
        <v>23.288900000000002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2"/>
        <v>188</v>
      </c>
      <c r="AE101" s="77" t="str">
        <f t="shared" si="43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101" s="74" t="str">
        <f t="shared" si="44"/>
        <v>"C:\Program Files (x86)\AstroGrep\AstroGrep.exe" /e /r /s /spath="%USERPROFILE%\AppData\Local\Temp\OnboardLogs" /stypes="app*4017*20171001*" /stext=" 22:.+((SYSTEM_STATE.+slice.+state.+changed )|(ment ac)|(multiple cpu faults)|(system.+state.+changed )|(\[timeout)|(PRM\|1\|D)|(kpr)|(kdp)|(train st.+moving)|(\|lc)|(penalty))"</v>
      </c>
      <c r="AG101" s="182" t="str">
        <f t="shared" si="45"/>
        <v>EC</v>
      </c>
      <c r="AH101" s="78" t="str">
        <f t="shared" si="46"/>
        <v>"%USERPROFILE%\Documents\GitHub\eaglep3\Utilities\RefineRTDCRunTimes.py" --tripid 188-01 --locoid 4017 --swversion DE.1.0.9.0 --startMP 204:233030 --initTime 2017-10-01T15:20:14 --startdatetime 2017-10-01T15:27:25 --delay 48 --endMP 204:141 --enddatetime 2017-10-01T16:05:38 --enforcementcount 0 &gt;&gt;c:\users\tmcdowell\Documents\GitHub\eaglep3-reporting\EC\2017-10-01-refined-times.txt</v>
      </c>
      <c r="AI10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ID","value":"188-01"},{"id":16,"name":"Locomotive ID","value":"4017"},{"id":130,"name":"Impact","value":""},{"id":150,"name":"Time of Event (Mountain Time)","value":"16:05:38"},{"id":151,"name":"Denver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2" t="str">
        <f t="shared" si="48"/>
        <v>start /low /b %USERPROFILE%\Documents\GitHub\eaglep3\Utilities\DownloadLogsFromS3.py --loco 4017 --day 2017-10-01</v>
      </c>
      <c r="AN10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0"/>
        <v>https://d0f6bd738d7f1b3e5a7ca70fe4ff75f0.us-east-1.aws.found.io/app/kibana#/discover/Steve-Slow-Train-Analysis-(2080s-and-2083s)?_g=(refreshInterval:(display:Off,pause:!f,section:0,value:0),time:(from:'2017-10-01T14:20:14-0600',mode:absolute,to:'2017-10-01T17:05:38-0600'))&amp;_a=(columns:!('Message%20ID',Summary),filters:!(),index:'emp_*',interval:auto,query:(query_string:(analyze_wildcard:!t,query:'%22rtdc.l.rtdc.4017%22')),sort:!(Time.ISO8601,asc))</v>
      </c>
    </row>
    <row r="102" spans="1:91" s="20" customFormat="1" x14ac:dyDescent="0.25">
      <c r="A102" s="32" t="s">
        <v>604</v>
      </c>
      <c r="B102" s="7">
        <v>4050</v>
      </c>
      <c r="C102" s="21" t="s">
        <v>195</v>
      </c>
      <c r="D102" s="21" t="s">
        <v>912</v>
      </c>
      <c r="E102" s="13">
        <v>43009.639050925929</v>
      </c>
      <c r="F102" s="13">
        <v>43009.614837962959</v>
      </c>
      <c r="G102" s="7">
        <v>48</v>
      </c>
      <c r="H102" s="21" t="s">
        <v>340</v>
      </c>
      <c r="I102" s="13">
        <v>43009.63962962963</v>
      </c>
      <c r="J102" s="7">
        <v>0</v>
      </c>
      <c r="K102" s="89" t="str">
        <f t="shared" si="34"/>
        <v>4049/4050</v>
      </c>
      <c r="L102" s="185" t="str">
        <f>VLOOKUP(A102,'Trips&amp;Operators'!$C$1:$G$99911,5,FALSE)</f>
        <v>ANDERS STEVEN</v>
      </c>
      <c r="M102" s="6">
        <f t="shared" si="35"/>
        <v>2.4791666670353152E-2</v>
      </c>
      <c r="N102" s="7">
        <f t="shared" si="36"/>
        <v>35.700000005308539</v>
      </c>
      <c r="O102" s="7"/>
      <c r="P102" s="7"/>
      <c r="Q102" s="22"/>
      <c r="R102" s="174"/>
      <c r="S102" s="221">
        <f t="shared" si="37"/>
        <v>1</v>
      </c>
      <c r="T102" s="174" t="str">
        <f t="shared" si="38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9"/>
        <v>https://d0f6bd738d7f1b3e5a7ca70fe4ff75f0.us-east-1.aws.found.io/app/kibana#/discover/Steve-Slow-Train-Analysis-(2080s-and-2083s)?_g=(refreshInterval:(display:Off,pause:!f,section:0,value:0),time:(from:'2017-10-01T14:20:14-0600',mode:absolute,to:'2017-10-01T16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2" s="204" t="str">
        <f>IF(AA102&lt;VLOOKUP(AG102,Variables!$AC$3:$AD$8,2,FALSE),"Y","N")</f>
        <v>N</v>
      </c>
      <c r="X102" s="204">
        <f t="shared" si="40"/>
        <v>1</v>
      </c>
      <c r="Y102" s="204">
        <v>4.5499999999999999E-2</v>
      </c>
      <c r="Z102" s="204">
        <v>23.332100000000001</v>
      </c>
      <c r="AA102" s="204">
        <f t="shared" si="41"/>
        <v>23.2866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2"/>
        <v>189</v>
      </c>
      <c r="AE102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02" s="74" t="str">
        <f t="shared" si="44"/>
        <v>"C:\Program Files (x86)\AstroGrep\AstroGrep.exe" /e /r /s /spath="%USERPROFILE%\AppData\Local\Temp\OnboardLogs" /stypes="app*4050*20171001*" /stext=" 21:.+((SYSTEM_STATE.+slice.+state.+changed )|(ment ac)|(multiple cpu faults)|(system.+state.+changed )|(\[timeout)|(PRM\|1\|D)|(kpr)|(kdp)|(train st.+moving)|(\|lc)|(penalty))"</v>
      </c>
      <c r="AG102" s="182" t="str">
        <f t="shared" si="45"/>
        <v>EC</v>
      </c>
      <c r="AH102" s="78" t="str">
        <f t="shared" ref="AH102" si="53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189-01 --locoid 4050 --swversion DE.1.0.9.0 --startMP 204:233030 --initTime 2017-10-01T15:20:14 --startdatetime 2017-10-01T14:45:22 --delay 48 --endMP 204:141 --enddatetime 2017-10-01T15:21:04 --enforcementcount 0 &gt;&gt;c:\users\tmcdowell\Documents\GitHub\eaglep3-reporting\EC\2017-10-01-refined-times.txt</v>
      </c>
      <c r="AI102" s="96" t="str">
        <f t="shared" ref="AI102" si="54"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{"issue":{"subject":"","project_id":79,"tracker_id":40,"status_id":1,"priority_id":2,"assigned_to_id":338,"start_date":"2017-10-01","description":"","custom_fields":[{"id":1,"name":"Subdivision","value":"EC"},{"id":4,"name":"Milepost","value":"23.3321"},{"id":17,"name":"Train ID","value":"189-01"},{"id":16,"name":"Locomotive ID","value":"4050"},{"id":130,"name":"Impact","value":""},{"id":150,"name":"Time of Event (Mountain Time)","value":"15:21:04"},{"id":151,"name":"Denver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ref="AM102" si="55">"start /low /b "&amp;dls3logs&amp;" --loco "&amp;B102&amp;" --day "&amp;TEXT(F102,"YYYY-MM-DD")</f>
        <v>start /low /b %USERPROFILE%\Documents\GitHub\eaglep3\Utilities\DownloadLogsFromS3.py --loco 4050 --day 2017-10-01</v>
      </c>
      <c r="AN102" s="151" t="str">
        <f t="shared" ref="AN102" si="56"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ref="AO102" si="57"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-01T14:20:14-0600',mode:absolute,to:'2017-10-01T16:21:04-0600'))&amp;_a=(columns:!('Message%20ID',Summary),filters:!(),index:'emp_*',interval:auto,query:(query_string:(analyze_wildcard:!t,query:'%22rtdc.l.rtdc.4050%22')),sort:!(Time.ISO8601,asc))</v>
      </c>
    </row>
    <row r="103" spans="1:91" s="20" customFormat="1" x14ac:dyDescent="0.25">
      <c r="A103" s="32" t="s">
        <v>753</v>
      </c>
      <c r="B103" s="7">
        <v>4049</v>
      </c>
      <c r="C103" s="21" t="s">
        <v>195</v>
      </c>
      <c r="D103" s="21" t="s">
        <v>912</v>
      </c>
      <c r="E103" s="13">
        <v>43009.639050925929</v>
      </c>
      <c r="F103" s="13">
        <v>43009.654618055552</v>
      </c>
      <c r="G103" s="7">
        <v>48</v>
      </c>
      <c r="H103" s="21" t="s">
        <v>340</v>
      </c>
      <c r="I103" s="13">
        <v>43009.683344907404</v>
      </c>
      <c r="J103" s="7">
        <v>0</v>
      </c>
      <c r="K103" s="89" t="str">
        <f t="shared" si="34"/>
        <v>4049/4050</v>
      </c>
      <c r="L103" s="185" t="str">
        <f>VLOOKUP(A103,'Trips&amp;Operators'!$C$1:$G$99911,5,FALSE)</f>
        <v>ANDERS STEVEN</v>
      </c>
      <c r="M103" s="6">
        <f t="shared" si="35"/>
        <v>2.8726851851388346E-2</v>
      </c>
      <c r="N103" s="7">
        <f t="shared" si="36"/>
        <v>41.366666665999219</v>
      </c>
      <c r="O103" s="7"/>
      <c r="P103" s="7"/>
      <c r="Q103" s="22"/>
      <c r="R103" s="174"/>
      <c r="S103" s="221">
        <f t="shared" si="37"/>
        <v>1</v>
      </c>
      <c r="T103" s="174" t="str">
        <f t="shared" si="38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9"/>
        <v>https://d0f6bd738d7f1b3e5a7ca70fe4ff75f0.us-east-1.aws.found.io/app/kibana#/discover/Steve-Slow-Train-Analysis-(2080s-and-2083s)?_g=(refreshInterval:(display:Off,pause:!f,section:0,value:0),time:(from:'2017-10-01T14:20:14-0600',mode:absolute,to:'2017-10-01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3" s="204" t="str">
        <f>IF(AA103&lt;VLOOKUP(AG103,Variables!$AC$3:$AD$8,2,FALSE),"Y","N")</f>
        <v>N</v>
      </c>
      <c r="X103" s="204">
        <f t="shared" si="40"/>
        <v>1</v>
      </c>
      <c r="Y103" s="204">
        <v>23.303000000000001</v>
      </c>
      <c r="Z103" s="204">
        <v>1.41E-2</v>
      </c>
      <c r="AA103" s="204">
        <f t="shared" si="41"/>
        <v>23.288900000000002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2"/>
        <v>190</v>
      </c>
      <c r="AE103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03" s="74" t="str">
        <f t="shared" si="44"/>
        <v>"C:\Program Files (x86)\AstroGrep\AstroGrep.exe" /e /r /s /spath="%USERPROFILE%\AppData\Local\Temp\OnboardLogs" /stypes="app*4049*20171001*" /stext=" 22:.+((SYSTEM_STATE.+slice.+state.+changed )|(ment ac)|(multiple cpu faults)|(system.+state.+changed )|(\[timeout)|(PRM\|1\|D)|(kpr)|(kdp)|(train st.+moving)|(\|lc)|(penalty))"</v>
      </c>
      <c r="AG103" s="182" t="str">
        <f t="shared" si="45"/>
        <v>EC</v>
      </c>
      <c r="AH103" s="78" t="str">
        <f t="shared" ref="AH103" si="58"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190-01 --locoid 4049 --swversion DE.1.0.9.0 --startMP 204:233030 --initTime 2017-10-01T15:20:14 --startdatetime 2017-10-01T15:42:39 --delay 48 --endMP 204:141 --enddatetime 2017-10-01T16:24:01 --enforcementcount 0 &gt;&gt;c:\users\tmcdowell\Documents\GitHub\eaglep3-reporting\EC\2017-10-01-refined-times.txt</v>
      </c>
      <c r="AI103" s="96" t="str">
        <f t="shared" ref="AI103" si="59"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ID","value":"190-01"},{"id":16,"name":"Locomotive ID","value":"4049"},{"id":130,"name":"Impact","value":""},{"id":150,"name":"Time of Event (Mountain Time)","value":"16:24:01"},{"id":151,"name":"Denver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ref="AM103" si="60">"start /low /b "&amp;dls3logs&amp;" --loco "&amp;B103&amp;" --day "&amp;TEXT(F103,"YYYY-MM-DD")</f>
        <v>start /low /b %USERPROFILE%\Documents\GitHub\eaglep3\Utilities\DownloadLogsFromS3.py --loco 4049 --day 2017-10-01</v>
      </c>
      <c r="AN103" s="151" t="str">
        <f t="shared" ref="AN103" si="61">"echo {""issue"":{""subject"":"""&amp;R103&amp;""",""project_id"":30,""tracker_id"":4,""status_id"":"&amp;redmine_status_wcr&amp;",""priority_id"":"&amp;redmine_priority_wcr&amp;",""assigned_to_id"":"&amp;redmine_assignee_wcr&amp;",""start_date"":"""&amp;TEXT(I103-utc_offset/24,"YYYY-mm-dd")&amp;""",""description"":"""&amp;AJ103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ref="AO103" si="62"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Message%20ID',Summary),filters:!(),index:'emp_*',interval:auto,query:"&amp;"(query_string:(analyze_wildcard:!t,query:'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-01T14:20:14-0600',mode:absolute,to:'2017-10-01T17:24:01-0600'))&amp;_a=(columns:!('Message%20ID',Summary),filters:!(),index:'emp_*',interval:auto,query:(query_string:(analyze_wildcard:!t,query:'%22rtdc.l.rtdc.4049%22')),sort:!(Time.ISO8601,asc))</v>
      </c>
    </row>
    <row r="104" spans="1:91" s="20" customFormat="1" x14ac:dyDescent="0.25">
      <c r="A104" s="32" t="s">
        <v>748</v>
      </c>
      <c r="B104" s="7">
        <v>4042</v>
      </c>
      <c r="C104" s="21" t="s">
        <v>195</v>
      </c>
      <c r="D104" s="21" t="s">
        <v>371</v>
      </c>
      <c r="E104" s="13">
        <v>43009.623136574075</v>
      </c>
      <c r="F104" s="13">
        <v>43009.625439814816</v>
      </c>
      <c r="G104" s="7">
        <v>84</v>
      </c>
      <c r="H104" s="21" t="s">
        <v>919</v>
      </c>
      <c r="I104" s="13">
        <v>43009.649675925924</v>
      </c>
      <c r="J104" s="7">
        <v>0</v>
      </c>
      <c r="K104" s="89" t="str">
        <f t="shared" si="34"/>
        <v>4041/4042</v>
      </c>
      <c r="L104" s="185" t="str">
        <f>VLOOKUP(A104,'Trips&amp;Operators'!$C$1:$G$99911,5,FALSE)</f>
        <v>SAFIEF AEIMEN</v>
      </c>
      <c r="M104" s="6">
        <f t="shared" si="35"/>
        <v>2.4236111108621117E-2</v>
      </c>
      <c r="N104" s="7">
        <f t="shared" si="36"/>
        <v>34.899999996414408</v>
      </c>
      <c r="O104" s="7"/>
      <c r="P104" s="7"/>
      <c r="Q104" s="22"/>
      <c r="R104" s="174"/>
      <c r="S104" s="221">
        <f t="shared" si="37"/>
        <v>1</v>
      </c>
      <c r="T104" s="174" t="str">
        <f t="shared" si="38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9"/>
        <v>https://d0f6bd738d7f1b3e5a7ca70fe4ff75f0.us-east-1.aws.found.io/app/kibana#/discover/Steve-Slow-Train-Analysis-(2080s-and-2083s)?_g=(refreshInterval:(display:Off,pause:!f,section:0,value:0),time:(from:'2017-10-01T13:57:19-0600',mode:absolute,to:'2017-10-01T16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4" s="204" t="str">
        <f>IF(AA104&lt;VLOOKUP(AG104,Variables!$AC$3:$AD$8,2,FALSE),"Y","N")</f>
        <v>N</v>
      </c>
      <c r="X104" s="204">
        <f t="shared" si="40"/>
        <v>1</v>
      </c>
      <c r="Y104" s="204">
        <f t="shared" ref="Y104:Y113" si="63">RIGHT(D104,LEN(D104)-4)/10000</f>
        <v>4.5999999999999999E-2</v>
      </c>
      <c r="Z104" s="204">
        <f t="shared" ref="Z104:Z113" si="64">RIGHT(H104,LEN(H104)-4)/10000</f>
        <v>23.334199999999999</v>
      </c>
      <c r="AA104" s="204">
        <f t="shared" si="41"/>
        <v>23.2882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2"/>
        <v>191</v>
      </c>
      <c r="AE104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04" s="74" t="str">
        <f t="shared" si="44"/>
        <v>"C:\Program Files (x86)\AstroGrep\AstroGrep.exe" /e /r /s /spath="%USERPROFILE%\AppData\Local\Temp\OnboardLogs" /stypes="app*4042*20171001*" /stext=" 21:.+((SYSTEM_STATE.+slice.+state.+changed )|(ment ac)|(multiple cpu faults)|(system.+state.+changed )|(\[timeout)|(PRM\|1\|D)|(kpr)|(kdp)|(train st.+moving)|(\|lc)|(penalty))"</v>
      </c>
      <c r="AG104" s="182" t="str">
        <f t="shared" si="45"/>
        <v>EC</v>
      </c>
      <c r="AH104" s="78" t="str">
        <f t="shared" si="46"/>
        <v>"%USERPROFILE%\Documents\GitHub\eaglep3\Utilities\RefineRTDCRunTimes.py" --tripid 191-01 --locoid 4042 --swversion DE.1.0.9.0 --startMP 204:460 --initTime 2017-10-01T14:57:19 --startdatetime 2017-10-01T15:00:38 --delay 84 --endMP 204:233342 --enddatetime 2017-10-01T15:35:32 --enforcementcount 0 &gt;&gt;c:\users\tmcdowell\Documents\GitHub\eaglep3-reporting\EC\2017-10-01-refined-times.txt</v>
      </c>
      <c r="AI10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{"issue":{"subject":"","project_id":79,"tracker_id":40,"status_id":1,"priority_id":2,"assigned_to_id":338,"start_date":"2017-10-01","description":"","custom_fields":[{"id":1,"name":"Subdivision","value":"EC"},{"id":4,"name":"Milepost","value":"23.3342"},{"id":17,"name":"Train ID","value":"191-01"},{"id":16,"name":"Locomotive ID","value":"4042"},{"id":130,"name":"Impact","value":""},{"id":150,"name":"Time of Event (Mountain Time)","value":"15:35:32"},{"id":151,"name":"Denver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8"/>
        <v>start /low /b %USERPROFILE%\Documents\GitHub\eaglep3\Utilities\DownloadLogsFromS3.py --loco 4042 --day 2017-10-01</v>
      </c>
      <c r="AN104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0"/>
        <v>https://d0f6bd738d7f1b3e5a7ca70fe4ff75f0.us-east-1.aws.found.io/app/kibana#/discover/Steve-Slow-Train-Analysis-(2080s-and-2083s)?_g=(refreshInterval:(display:Off,pause:!f,section:0,value:0),time:(from:'2017-10-01T13:57:19-0600',mode:absolute,to:'2017-10-01T16:35:32-0600'))&amp;_a=(columns:!('Message%20ID',Summary),filters:!(),index:'emp_*',interval:auto,query:(query_string:(analyze_wildcard:!t,query:'%22rtdc.l.rtdc.4042%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607</v>
      </c>
      <c r="B105" s="7">
        <v>4041</v>
      </c>
      <c r="C105" s="21" t="s">
        <v>195</v>
      </c>
      <c r="D105" s="21" t="s">
        <v>500</v>
      </c>
      <c r="E105" s="13">
        <v>43009.651759259257</v>
      </c>
      <c r="F105" s="13">
        <v>43009.664768518516</v>
      </c>
      <c r="G105" s="7">
        <v>121</v>
      </c>
      <c r="H105" s="21" t="s">
        <v>340</v>
      </c>
      <c r="I105" s="13">
        <v>43009.69259259259</v>
      </c>
      <c r="J105" s="7">
        <v>0</v>
      </c>
      <c r="K105" s="89" t="str">
        <f t="shared" si="34"/>
        <v>4041/4042</v>
      </c>
      <c r="L105" s="185" t="str">
        <f>VLOOKUP(A105,'Trips&amp;Operators'!$C$1:$G$99911,5,FALSE)</f>
        <v>SAFIEF AEIMEN</v>
      </c>
      <c r="M105" s="6">
        <f t="shared" si="35"/>
        <v>2.7824074073578231E-2</v>
      </c>
      <c r="N105" s="7">
        <f t="shared" si="36"/>
        <v>40.066666665952653</v>
      </c>
      <c r="O105" s="7"/>
      <c r="P105" s="7"/>
      <c r="Q105" s="22"/>
      <c r="R105" s="174"/>
      <c r="S105" s="221">
        <f t="shared" si="37"/>
        <v>1</v>
      </c>
      <c r="T105" s="174" t="str">
        <f t="shared" si="38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9"/>
        <v>https://d0f6bd738d7f1b3e5a7ca70fe4ff75f0.us-east-1.aws.found.io/app/kibana#/discover/Steve-Slow-Train-Analysis-(2080s-and-2083s)?_g=(refreshInterval:(display:Off,pause:!f,section:0,value:0),time:(from:'2017-10-01T14:38:32-0600',mode:absolute,to:'2017-10-01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5" s="204" t="str">
        <f>IF(AA105&lt;VLOOKUP(AG105,Variables!$AC$3:$AD$8,2,FALSE),"Y","N")</f>
        <v>N</v>
      </c>
      <c r="X105" s="204">
        <f t="shared" si="40"/>
        <v>1</v>
      </c>
      <c r="Y105" s="204">
        <f t="shared" si="63"/>
        <v>23.304500000000001</v>
      </c>
      <c r="Z105" s="204">
        <f t="shared" si="64"/>
        <v>1.41E-2</v>
      </c>
      <c r="AA105" s="204">
        <f t="shared" si="41"/>
        <v>23.290400000000002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2"/>
        <v>192</v>
      </c>
      <c r="AE105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05" s="74" t="str">
        <f t="shared" si="44"/>
        <v>"C:\Program Files (x86)\AstroGrep\AstroGrep.exe" /e /r /s /spath="%USERPROFILE%\AppData\Local\Temp\OnboardLogs" /stypes="app*4041*20171001*" /stext=" 22:.+((SYSTEM_STATE.+slice.+state.+changed )|(ment ac)|(multiple cpu faults)|(system.+state.+changed )|(\[timeout)|(PRM\|1\|D)|(kpr)|(kdp)|(train st.+moving)|(\|lc)|(penalty))"</v>
      </c>
      <c r="AG105" s="182" t="str">
        <f t="shared" si="45"/>
        <v>EC</v>
      </c>
      <c r="AH105" s="78" t="str">
        <f t="shared" si="46"/>
        <v>"%USERPROFILE%\Documents\GitHub\eaglep3\Utilities\RefineRTDCRunTimes.py" --tripid 192-01 --locoid 4041 --swversion DE.1.0.9.0 --startMP 204:233045 --initTime 2017-10-01T15:38:32 --startdatetime 2017-10-01T15:57:16 --delay 121 --endMP 204:141 --enddatetime 2017-10-01T16:37:20 --enforcementcount 0 &gt;&gt;c:\users\tmcdowell\Documents\GitHub\eaglep3-reporting\EC\2017-10-01-refined-times.txt</v>
      </c>
      <c r="AI10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ID","value":"192-01"},{"id":16,"name":"Locomotive ID","value":"4041"},{"id":130,"name":"Impact","value":""},{"id":150,"name":"Time of Event (Mountain Time)","value":"16:37:20"},{"id":151,"name":"Denver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8"/>
        <v>start /low /b %USERPROFILE%\Documents\GitHub\eaglep3\Utilities\DownloadLogsFromS3.py --loco 4041 --day 2017-10-01</v>
      </c>
      <c r="AN10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0"/>
        <v>https://d0f6bd738d7f1b3e5a7ca70fe4ff75f0.us-east-1.aws.found.io/app/kibana#/discover/Steve-Slow-Train-Analysis-(2080s-and-2083s)?_g=(refreshInterval:(display:Off,pause:!f,section:0,value:0),time:(from:'2017-10-01T14:38:32-0600',mode:absolute,to:'2017-10-01T17:37:20-0600'))&amp;_a=(columns:!('Message%20ID',Summary),filters:!(),index:'emp_*',interval:auto,query:(query_string:(analyze_wildcard:!t,query:'%22rtdc.l.rtdc.4041%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750</v>
      </c>
      <c r="B106" s="7">
        <v>4012</v>
      </c>
      <c r="C106" s="21" t="s">
        <v>195</v>
      </c>
      <c r="D106" s="21" t="s">
        <v>560</v>
      </c>
      <c r="E106" s="13">
        <v>43009.63140046296</v>
      </c>
      <c r="F106" s="13">
        <v>43009.635578703703</v>
      </c>
      <c r="G106" s="7">
        <v>54</v>
      </c>
      <c r="H106" s="21" t="s">
        <v>558</v>
      </c>
      <c r="I106" s="13">
        <v>43009.66097222222</v>
      </c>
      <c r="J106" s="7">
        <v>0</v>
      </c>
      <c r="K106" s="89" t="str">
        <f t="shared" si="34"/>
        <v>4011/4012</v>
      </c>
      <c r="L106" s="185" t="str">
        <f>VLOOKUP(A106,'Trips&amp;Operators'!$C$1:$G$99911,5,FALSE)</f>
        <v>GUZMAN DANNY</v>
      </c>
      <c r="M106" s="6">
        <f t="shared" si="35"/>
        <v>2.5393518517375924E-2</v>
      </c>
      <c r="N106" s="7">
        <f t="shared" si="36"/>
        <v>36.56666666502133</v>
      </c>
      <c r="O106" s="7"/>
      <c r="P106" s="7"/>
      <c r="Q106" s="22"/>
      <c r="R106" s="174"/>
      <c r="S106" s="221">
        <f t="shared" si="37"/>
        <v>1</v>
      </c>
      <c r="T106" s="174" t="str">
        <f t="shared" si="38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9"/>
        <v>https://d0f6bd738d7f1b3e5a7ca70fe4ff75f0.us-east-1.aws.found.io/app/kibana#/discover/Steve-Slow-Train-Analysis-(2080s-and-2083s)?_g=(refreshInterval:(display:Off,pause:!f,section:0,value:0),time:(from:'2017-10-01T14:09:13-0600',mode:absolute,to:'2017-10-01T16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204" t="str">
        <f>IF(AA106&lt;VLOOKUP(AG106,Variables!$AC$3:$AD$8,2,FALSE),"Y","N")</f>
        <v>N</v>
      </c>
      <c r="X106" s="204">
        <f t="shared" si="40"/>
        <v>1</v>
      </c>
      <c r="Y106" s="204">
        <f t="shared" si="63"/>
        <v>4.8000000000000001E-2</v>
      </c>
      <c r="Z106" s="204">
        <f t="shared" si="64"/>
        <v>23.3278</v>
      </c>
      <c r="AA106" s="204">
        <f t="shared" si="41"/>
        <v>23.279800000000002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2"/>
        <v>193</v>
      </c>
      <c r="AE106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106" s="74" t="str">
        <f t="shared" si="44"/>
        <v>"C:\Program Files (x86)\AstroGrep\AstroGrep.exe" /e /r /s /spath="%USERPROFILE%\AppData\Local\Temp\OnboardLogs" /stypes="app*4012*20171001*" /stext=" 21:.+((SYSTEM_STATE.+slice.+state.+changed )|(ment ac)|(multiple cpu faults)|(system.+state.+changed )|(\[timeout)|(PRM\|1\|D)|(kpr)|(kdp)|(train st.+moving)|(\|lc)|(penalty))"</v>
      </c>
      <c r="AG106" s="182" t="str">
        <f t="shared" si="45"/>
        <v>EC</v>
      </c>
      <c r="AH106" s="78" t="str">
        <f t="shared" si="46"/>
        <v>"%USERPROFILE%\Documents\GitHub\eaglep3\Utilities\RefineRTDCRunTimes.py" --tripid 193-01 --locoid 4012 --swversion DE.1.0.9.0 --startMP 204:480 --initTime 2017-10-01T15:09:13 --startdatetime 2017-10-01T15:15:14 --delay 54 --endMP 204:233278 --enddatetime 2017-10-01T15:51:48 --enforcementcount 0 &gt;&gt;c:\users\tmcdowell\Documents\GitHub\eaglep3-reporting\EC\2017-10-01-refined-times.txt</v>
      </c>
      <c r="AI10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{"issue":{"subject":"","project_id":79,"tracker_id":40,"status_id":1,"priority_id":2,"assigned_to_id":338,"start_date":"2017-10-01","description":"","custom_fields":[{"id":1,"name":"Subdivision","value":"EC"},{"id":4,"name":"Milepost","value":"23.3278"},{"id":17,"name":"Train ID","value":"193-01"},{"id":16,"name":"Locomotive ID","value":"4012"},{"id":130,"name":"Impact","value":""},{"id":150,"name":"Time of Event (Mountain Time)","value":"15:51:48"},{"id":151,"name":"Denver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8"/>
        <v>start /low /b %USERPROFILE%\Documents\GitHub\eaglep3\Utilities\DownloadLogsFromS3.py --loco 4012 --day 2017-10-01</v>
      </c>
      <c r="AN10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0"/>
        <v>https://d0f6bd738d7f1b3e5a7ca70fe4ff75f0.us-east-1.aws.found.io/app/kibana#/discover/Steve-Slow-Train-Analysis-(2080s-and-2083s)?_g=(refreshInterval:(display:Off,pause:!f,section:0,value:0),time:(from:'2017-10-01T14:09:13-0600',mode:absolute,to:'2017-10-01T16:51:48-0600'))&amp;_a=(columns:!('Message%20ID',Summary),filters:!(),index:'emp_*',interval:auto,query:(query_string:(analyze_wildcard:!t,query:'%22rtdc.l.rtdc.4012%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756</v>
      </c>
      <c r="B107" s="7">
        <v>4011</v>
      </c>
      <c r="C107" s="21" t="s">
        <v>195</v>
      </c>
      <c r="D107" s="21" t="s">
        <v>849</v>
      </c>
      <c r="E107" s="13">
        <v>43009.662048611113</v>
      </c>
      <c r="F107" s="13">
        <v>43009.675185185188</v>
      </c>
      <c r="G107" s="7">
        <v>65</v>
      </c>
      <c r="H107" s="21" t="s">
        <v>391</v>
      </c>
      <c r="I107" s="13">
        <v>43009.702499999999</v>
      </c>
      <c r="J107" s="7">
        <v>0</v>
      </c>
      <c r="K107" s="89" t="str">
        <f t="shared" si="34"/>
        <v>4011/4012</v>
      </c>
      <c r="L107" s="185" t="str">
        <f>VLOOKUP(A107,'Trips&amp;Operators'!$C$1:$G$99911,5,FALSE)</f>
        <v>GUZMAN DANNY</v>
      </c>
      <c r="M107" s="6">
        <f t="shared" si="35"/>
        <v>2.7314814811688848E-2</v>
      </c>
      <c r="N107" s="7">
        <f t="shared" si="36"/>
        <v>39.333333328831941</v>
      </c>
      <c r="O107" s="7"/>
      <c r="P107" s="7"/>
      <c r="Q107" s="22"/>
      <c r="R107" s="174"/>
      <c r="S107" s="221">
        <f t="shared" si="37"/>
        <v>1</v>
      </c>
      <c r="T107" s="174" t="str">
        <f t="shared" si="38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9"/>
        <v>https://d0f6bd738d7f1b3e5a7ca70fe4ff75f0.us-east-1.aws.found.io/app/kibana#/discover/Steve-Slow-Train-Analysis-(2080s-and-2083s)?_g=(refreshInterval:(display:Off,pause:!f,section:0,value:0),time:(from:'2017-10-01T14:53:21-0600',mode:absolute,to:'2017-10-01T17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7" s="204" t="str">
        <f>IF(AA107&lt;VLOOKUP(AG107,Variables!$AC$3:$AD$8,2,FALSE),"Y","N")</f>
        <v>N</v>
      </c>
      <c r="X107" s="204">
        <f t="shared" si="40"/>
        <v>1</v>
      </c>
      <c r="Y107" s="204">
        <f t="shared" si="63"/>
        <v>23.2973</v>
      </c>
      <c r="Z107" s="204">
        <f t="shared" si="64"/>
        <v>1.54E-2</v>
      </c>
      <c r="AA107" s="204">
        <f t="shared" si="41"/>
        <v>23.2819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2"/>
        <v>194</v>
      </c>
      <c r="AE107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107" s="74" t="str">
        <f t="shared" si="44"/>
        <v>"C:\Program Files (x86)\AstroGrep\AstroGrep.exe" /e /r /s /spath="%USERPROFILE%\AppData\Local\Temp\OnboardLogs" /stypes="app*4011*20171001*" /stext=" 22:.+((SYSTEM_STATE.+slice.+state.+changed )|(ment ac)|(multiple cpu faults)|(system.+state.+changed )|(\[timeout)|(PRM\|1\|D)|(kpr)|(kdp)|(train st.+moving)|(\|lc)|(penalty))"</v>
      </c>
      <c r="AG107" s="182" t="str">
        <f t="shared" si="45"/>
        <v>EC</v>
      </c>
      <c r="AH107" s="78" t="str">
        <f t="shared" si="46"/>
        <v>"%USERPROFILE%\Documents\GitHub\eaglep3\Utilities\RefineRTDCRunTimes.py" --tripid 194-01 --locoid 4011 --swversion DE.1.0.9.0 --startMP 204:232973 --initTime 2017-10-01T15:53:21 --startdatetime 2017-10-01T16:12:16 --delay 65 --endMP 204:154 --enddatetime 2017-10-01T16:51:36 --enforcementcount 0 &gt;&gt;c:\users\tmcdowell\Documents\GitHub\eaglep3-reporting\EC\2017-10-01-refined-times.txt</v>
      </c>
      <c r="AI10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ID","value":"194-01"},{"id":16,"name":"Locomotive ID","value":"4011"},{"id":130,"name":"Impact","value":""},{"id":150,"name":"Time of Event (Mountain Time)","value":"16:51:36"},{"id":151,"name":"Denver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8"/>
        <v>start /low /b %USERPROFILE%\Documents\GitHub\eaglep3\Utilities\DownloadLogsFromS3.py --loco 4011 --day 2017-10-01</v>
      </c>
      <c r="AN107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0"/>
        <v>https://d0f6bd738d7f1b3e5a7ca70fe4ff75f0.us-east-1.aws.found.io/app/kibana#/discover/Steve-Slow-Train-Analysis-(2080s-and-2083s)?_g=(refreshInterval:(display:Off,pause:!f,section:0,value:0),time:(from:'2017-10-01T14:53:21-0600',mode:absolute,to:'2017-10-01T17:51:36-0600'))&amp;_a=(columns:!('Message%20ID',Summary),filters:!(),index:'emp_*',interval:auto,query:(query_string:(analyze_wildcard:!t,query:'%22rtdc.l.rtdc.4011%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752</v>
      </c>
      <c r="B108" s="7">
        <v>4014</v>
      </c>
      <c r="C108" s="21" t="s">
        <v>195</v>
      </c>
      <c r="D108" s="21" t="s">
        <v>467</v>
      </c>
      <c r="E108" s="13">
        <v>43009.642523148148</v>
      </c>
      <c r="F108" s="13">
        <v>43009.645995370367</v>
      </c>
      <c r="G108" s="7">
        <v>62</v>
      </c>
      <c r="H108" s="21" t="s">
        <v>461</v>
      </c>
      <c r="I108" s="13">
        <v>43009.673715277779</v>
      </c>
      <c r="J108" s="7">
        <v>0</v>
      </c>
      <c r="K108" s="89" t="str">
        <f t="shared" si="34"/>
        <v>4013/4014</v>
      </c>
      <c r="L108" s="185" t="str">
        <f>VLOOKUP(A108,'Trips&amp;Operators'!$C$1:$G$99911,5,FALSE)</f>
        <v>BADERTSCHER DIANE</v>
      </c>
      <c r="M108" s="6">
        <f t="shared" si="35"/>
        <v>2.771990741166519E-2</v>
      </c>
      <c r="N108" s="7">
        <f t="shared" si="36"/>
        <v>39.916666672797874</v>
      </c>
      <c r="O108" s="7"/>
      <c r="P108" s="7"/>
      <c r="Q108" s="22"/>
      <c r="R108" s="174"/>
      <c r="S108" s="221">
        <f t="shared" si="37"/>
        <v>1</v>
      </c>
      <c r="T108" s="174" t="str">
        <f t="shared" si="38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9"/>
        <v>https://d0f6bd738d7f1b3e5a7ca70fe4ff75f0.us-east-1.aws.found.io/app/kibana#/discover/Steve-Slow-Train-Analysis-(2080s-and-2083s)?_g=(refreshInterval:(display:Off,pause:!f,section:0,value:0),time:(from:'2017-10-01T14:25:14-0600',mode:absolute,to:'2017-10-01T17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4" t="str">
        <f>IF(AA108&lt;VLOOKUP(AG108,Variables!$AC$3:$AD$8,2,FALSE),"Y","N")</f>
        <v>N</v>
      </c>
      <c r="X108" s="204">
        <f t="shared" si="40"/>
        <v>1</v>
      </c>
      <c r="Y108" s="204">
        <f t="shared" si="63"/>
        <v>4.3499999999999997E-2</v>
      </c>
      <c r="Z108" s="204">
        <f t="shared" si="64"/>
        <v>23.3291</v>
      </c>
      <c r="AA108" s="204">
        <f t="shared" si="41"/>
        <v>23.285599999999999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2"/>
        <v>195</v>
      </c>
      <c r="AE108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08" s="74" t="str">
        <f t="shared" si="44"/>
        <v>"C:\Program Files (x86)\AstroGrep\AstroGrep.exe" /e /r /s /spath="%USERPROFILE%\AppData\Local\Temp\OnboardLogs" /stypes="app*4014*20171001*" /stext=" 22:.+((SYSTEM_STATE.+slice.+state.+changed )|(ment ac)|(multiple cpu faults)|(system.+state.+changed )|(\[timeout)|(PRM\|1\|D)|(kpr)|(kdp)|(train st.+moving)|(\|lc)|(penalty))"</v>
      </c>
      <c r="AG108" s="182" t="str">
        <f t="shared" si="45"/>
        <v>EC</v>
      </c>
      <c r="AH108" s="78" t="str">
        <f t="shared" si="46"/>
        <v>"%USERPROFILE%\Documents\GitHub\eaglep3\Utilities\RefineRTDCRunTimes.py" --tripid 195-01 --locoid 4014 --swversion DE.1.0.9.0 --startMP 204:435 --initTime 2017-10-01T15:25:14 --startdatetime 2017-10-01T15:30:14 --delay 62 --endMP 204:233291 --enddatetime 2017-10-01T16:10:09 --enforcementcount 0 &gt;&gt;c:\users\tmcdowell\Documents\GitHub\eaglep3-reporting\EC\2017-10-01-refined-times.txt</v>
      </c>
      <c r="AI10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{"issue":{"subject":"","project_id":79,"tracker_id":40,"status_id":1,"priority_id":2,"assigned_to_id":338,"start_date":"2017-10-01","description":"","custom_fields":[{"id":1,"name":"Subdivision","value":"EC"},{"id":4,"name":"Milepost","value":"23.3291"},{"id":17,"name":"Train ID","value":"195-01"},{"id":16,"name":"Locomotive ID","value":"4014"},{"id":130,"name":"Impact","value":""},{"id":150,"name":"Time of Event (Mountain Time)","value":"16:10:09"},{"id":151,"name":"Denver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8"/>
        <v>start /low /b %USERPROFILE%\Documents\GitHub\eaglep3\Utilities\DownloadLogsFromS3.py --loco 4014 --day 2017-10-01</v>
      </c>
      <c r="AN10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0"/>
        <v>https://d0f6bd738d7f1b3e5a7ca70fe4ff75f0.us-east-1.aws.found.io/app/kibana#/discover/Steve-Slow-Train-Analysis-(2080s-and-2083s)?_g=(refreshInterval:(display:Off,pause:!f,section:0,value:0),time:(from:'2017-10-01T14:25:14-0600',mode:absolute,to:'2017-10-01T17:10:09-0600'))&amp;_a=(columns:!('Message%20ID',Summary),filters:!(),index:'emp_*',interval:auto,query:(query_string:(analyze_wildcard:!t,query:'%22rtdc.l.rtdc.4014%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760</v>
      </c>
      <c r="B109" s="7">
        <v>4013</v>
      </c>
      <c r="C109" s="21" t="s">
        <v>195</v>
      </c>
      <c r="D109" s="21" t="s">
        <v>853</v>
      </c>
      <c r="E109" s="13">
        <v>43009.679432870369</v>
      </c>
      <c r="F109" s="13">
        <v>43009.685578703706</v>
      </c>
      <c r="G109" s="7">
        <v>52</v>
      </c>
      <c r="H109" s="21" t="s">
        <v>379</v>
      </c>
      <c r="I109" s="13">
        <v>43009.713692129626</v>
      </c>
      <c r="J109" s="7">
        <v>0</v>
      </c>
      <c r="K109" s="89" t="str">
        <f t="shared" si="34"/>
        <v>4013/4014</v>
      </c>
      <c r="L109" s="185" t="str">
        <f>VLOOKUP(A109,'Trips&amp;Operators'!$C$1:$G$99911,5,FALSE)</f>
        <v>BADERTSCHER DIANE</v>
      </c>
      <c r="M109" s="6">
        <f t="shared" si="35"/>
        <v>2.8113425920309965E-2</v>
      </c>
      <c r="N109" s="7">
        <f t="shared" ref="N109:N124" si="65">24*60*SUM($M109:$M109)</f>
        <v>40.483333325246349</v>
      </c>
      <c r="O109" s="7"/>
      <c r="P109" s="7"/>
      <c r="Q109" s="22"/>
      <c r="R109" s="174"/>
      <c r="S109" s="221">
        <f t="shared" ref="S109:S140" si="66">1/IF(AG109="EC",12,1)*SUM(U109:U109)</f>
        <v>1</v>
      </c>
      <c r="T109" s="174" t="str">
        <f t="shared" si="38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9"/>
        <v>https://d0f6bd738d7f1b3e5a7ca70fe4ff75f0.us-east-1.aws.found.io/app/kibana#/discover/Steve-Slow-Train-Analysis-(2080s-and-2083s)?_g=(refreshInterval:(display:Off,pause:!f,section:0,value:0),time:(from:'2017-10-01T15:18:23-0600',mode:absolute,to:'2017-10-01T18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4" t="str">
        <f>IF(AA109&lt;VLOOKUP(AG109,Variables!$AC$3:$AD$8,2,FALSE),"Y","N")</f>
        <v>N</v>
      </c>
      <c r="X109" s="204">
        <f t="shared" ref="X109:X140" si="67">VALUE(LEFT(AD109,4))-VALUE(LEFT(AD108,4))</f>
        <v>1</v>
      </c>
      <c r="Y109" s="204">
        <f t="shared" si="63"/>
        <v>23.299299999999999</v>
      </c>
      <c r="Z109" s="204">
        <f t="shared" si="64"/>
        <v>1.3899999999999999E-2</v>
      </c>
      <c r="AA109" s="204">
        <f t="shared" si="41"/>
        <v>23.285399999999999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2"/>
        <v>196</v>
      </c>
      <c r="AE109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09" s="74" t="str">
        <f t="shared" si="44"/>
        <v>"C:\Program Files (x86)\AstroGrep\AstroGrep.exe" /e /r /s /spath="%USERPROFILE%\AppData\Local\Temp\OnboardLogs" /stypes="app*4013*20171001*" /stext=" 23:.+((SYSTEM_STATE.+slice.+state.+changed )|(ment ac)|(multiple cpu faults)|(system.+state.+changed )|(\[timeout)|(PRM\|1\|D)|(kpr)|(kdp)|(train st.+moving)|(\|lc)|(penalty))"</v>
      </c>
      <c r="AG109" s="182" t="str">
        <f t="shared" si="45"/>
        <v>EC</v>
      </c>
      <c r="AH109" s="78" t="str">
        <f t="shared" si="46"/>
        <v>"%USERPROFILE%\Documents\GitHub\eaglep3\Utilities\RefineRTDCRunTimes.py" --tripid 196-01 --locoid 4013 --swversion DE.1.0.9.0 --startMP 204:232993 --initTime 2017-10-01T16:18:23 --startdatetime 2017-10-01T16:27:14 --delay 52 --endMP 204:139 --enddatetime 2017-10-01T17:07:43 --enforcementcount 0 &gt;&gt;c:\users\tmcdowell\Documents\GitHub\eaglep3-reporting\EC\2017-10-01-refined-times.txt</v>
      </c>
      <c r="AI10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ID","value":"196-01"},{"id":16,"name":"Locomotive ID","value":"4013"},{"id":130,"name":"Impact","value":""},{"id":150,"name":"Time of Event (Mountain Time)","value":"17:07:43"},{"id":151,"name":"Denver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8"/>
        <v>start /low /b %USERPROFILE%\Documents\GitHub\eaglep3\Utilities\DownloadLogsFromS3.py --loco 4013 --day 2017-10-01</v>
      </c>
      <c r="AN109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0"/>
        <v>https://d0f6bd738d7f1b3e5a7ca70fe4ff75f0.us-east-1.aws.found.io/app/kibana#/discover/Steve-Slow-Train-Analysis-(2080s-and-2083s)?_g=(refreshInterval:(display:Off,pause:!f,section:0,value:0),time:(from:'2017-10-01T15:18:23-0600',mode:absolute,to:'2017-10-01T18:07:43-0600'))&amp;_a=(columns:!('Message%20ID',Summary),filters:!(),index:'emp_*',interval:auto,query:(query_string:(analyze_wildcard:!t,query:'%22rtdc.l.rtdc.4013%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755</v>
      </c>
      <c r="B110" s="7">
        <v>4044</v>
      </c>
      <c r="C110" s="21" t="s">
        <v>195</v>
      </c>
      <c r="D110" s="21" t="s">
        <v>562</v>
      </c>
      <c r="E110" s="13">
        <v>43009.65116898148</v>
      </c>
      <c r="F110" s="13">
        <v>43009.6565625</v>
      </c>
      <c r="G110" s="7">
        <v>109</v>
      </c>
      <c r="H110" s="21" t="s">
        <v>844</v>
      </c>
      <c r="I110" s="13">
        <v>43009.682696759257</v>
      </c>
      <c r="J110" s="7">
        <v>0</v>
      </c>
      <c r="K110" s="89" t="str">
        <f t="shared" si="34"/>
        <v>4043/4044</v>
      </c>
      <c r="L110" s="185" t="str">
        <f>VLOOKUP(A110,'Trips&amp;Operators'!$C$1:$G$99911,5,FALSE)</f>
        <v>BERLING GARY</v>
      </c>
      <c r="M110" s="6">
        <f t="shared" si="35"/>
        <v>2.6134259256650694E-2</v>
      </c>
      <c r="N110" s="7">
        <f t="shared" si="65"/>
        <v>37.633333329576999</v>
      </c>
      <c r="O110" s="7"/>
      <c r="P110" s="7"/>
      <c r="Q110" s="22"/>
      <c r="R110" s="174"/>
      <c r="S110" s="221">
        <f t="shared" si="66"/>
        <v>1</v>
      </c>
      <c r="T110" s="174" t="str">
        <f t="shared" si="38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9"/>
        <v>https://d0f6bd738d7f1b3e5a7ca70fe4ff75f0.us-east-1.aws.found.io/app/kibana#/discover/Steve-Slow-Train-Analysis-(2080s-and-2083s)?_g=(refreshInterval:(display:Off,pause:!f,section:0,value:0),time:(from:'2017-10-01T14:37:41-0600',mode:absolute,to:'2017-10-01T17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204" t="str">
        <f>IF(AA110&lt;VLOOKUP(AG110,Variables!$AC$3:$AD$8,2,FALSE),"Y","N")</f>
        <v>N</v>
      </c>
      <c r="X110" s="204">
        <f t="shared" si="67"/>
        <v>1</v>
      </c>
      <c r="Y110" s="204">
        <f t="shared" si="63"/>
        <v>4.2700000000000002E-2</v>
      </c>
      <c r="Z110" s="204">
        <f t="shared" si="64"/>
        <v>23.328900000000001</v>
      </c>
      <c r="AA110" s="204">
        <f t="shared" si="41"/>
        <v>23.286200000000001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2"/>
        <v>197</v>
      </c>
      <c r="AE110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110" s="74" t="str">
        <f t="shared" si="44"/>
        <v>"C:\Program Files (x86)\AstroGrep\AstroGrep.exe" /e /r /s /spath="%USERPROFILE%\AppData\Local\Temp\OnboardLogs" /stypes="app*4044*20171001*" /stext=" 22:.+((SYSTEM_STATE.+slice.+state.+changed )|(ment ac)|(multiple cpu faults)|(system.+state.+changed )|(\[timeout)|(PRM\|1\|D)|(kpr)|(kdp)|(train st.+moving)|(\|lc)|(penalty))"</v>
      </c>
      <c r="AG110" s="182" t="str">
        <f t="shared" si="45"/>
        <v>EC</v>
      </c>
      <c r="AH110" s="78" t="str">
        <f t="shared" si="46"/>
        <v>"%USERPROFILE%\Documents\GitHub\eaglep3\Utilities\RefineRTDCRunTimes.py" --tripid 197-01 --locoid 4044 --swversion DE.1.0.9.0 --startMP 204:427 --initTime 2017-10-01T15:37:41 --startdatetime 2017-10-01T15:45:27 --delay 109 --endMP 204:233289 --enddatetime 2017-10-01T16:23:05 --enforcementcount 0 &gt;&gt;c:\users\tmcdowell\Documents\GitHub\eaglep3-reporting\EC\2017-10-01-refined-times.txt</v>
      </c>
      <c r="AI11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{"issue":{"subject":"","project_id":79,"tracker_id":40,"status_id":1,"priority_id":2,"assigned_to_id":338,"start_date":"2017-10-01","description":"","custom_fields":[{"id":1,"name":"Subdivision","value":"EC"},{"id":4,"name":"Milepost","value":"23.3289"},{"id":17,"name":"Train ID","value":"197-01"},{"id":16,"name":"Locomotive ID","value":"4044"},{"id":130,"name":"Impact","value":""},{"id":150,"name":"Time of Event (Mountain Time)","value":"16:23:05"},{"id":151,"name":"Denver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8"/>
        <v>start /low /b %USERPROFILE%\Documents\GitHub\eaglep3\Utilities\DownloadLogsFromS3.py --loco 4044 --day 2017-10-01</v>
      </c>
      <c r="AN11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0"/>
        <v>https://d0f6bd738d7f1b3e5a7ca70fe4ff75f0.us-east-1.aws.found.io/app/kibana#/discover/Steve-Slow-Train-Analysis-(2080s-and-2083s)?_g=(refreshInterval:(display:Off,pause:!f,section:0,value:0),time:(from:'2017-10-01T14:37:41-0600',mode:absolute,to:'2017-10-01T17:23:05-0600'))&amp;_a=(columns:!('Message%20ID',Summary),filters:!(),index:'emp_*',interval:auto,query:(query_string:(analyze_wildcard:!t,query:'%22rtdc.l.rtdc.4044%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764</v>
      </c>
      <c r="B111" s="7">
        <v>4043</v>
      </c>
      <c r="C111" s="21" t="s">
        <v>195</v>
      </c>
      <c r="D111" s="21" t="s">
        <v>847</v>
      </c>
      <c r="E111" s="13">
        <v>43009.693472222221</v>
      </c>
      <c r="F111" s="13">
        <v>43009.696192129632</v>
      </c>
      <c r="G111" s="7">
        <v>68</v>
      </c>
      <c r="H111" s="21" t="s">
        <v>362</v>
      </c>
      <c r="I111" s="13">
        <v>43009.724074074074</v>
      </c>
      <c r="J111" s="7">
        <v>0</v>
      </c>
      <c r="K111" s="89" t="str">
        <f t="shared" si="34"/>
        <v>4043/4044</v>
      </c>
      <c r="L111" s="185" t="str">
        <f>VLOOKUP(A111,'Trips&amp;Operators'!$C$1:$G$99911,5,FALSE)</f>
        <v>BERLING GARY</v>
      </c>
      <c r="M111" s="6">
        <f t="shared" si="35"/>
        <v>2.7881944442924578E-2</v>
      </c>
      <c r="N111" s="7">
        <f t="shared" si="65"/>
        <v>40.149999997811392</v>
      </c>
      <c r="O111" s="7"/>
      <c r="P111" s="7"/>
      <c r="Q111" s="22"/>
      <c r="R111" s="174"/>
      <c r="S111" s="221">
        <f t="shared" si="66"/>
        <v>1</v>
      </c>
      <c r="T111" s="174" t="str">
        <f t="shared" si="38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9"/>
        <v>https://d0f6bd738d7f1b3e5a7ca70fe4ff75f0.us-east-1.aws.found.io/app/kibana#/discover/Steve-Slow-Train-Analysis-(2080s-and-2083s)?_g=(refreshInterval:(display:Off,pause:!f,section:0,value:0),time:(from:'2017-10-01T15:38:36-0600',mode:absolute,to:'2017-10-01T18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204" t="str">
        <f>IF(AA111&lt;VLOOKUP(AG111,Variables!$AC$3:$AD$8,2,FALSE),"Y","N")</f>
        <v>N</v>
      </c>
      <c r="X111" s="204">
        <f t="shared" si="67"/>
        <v>1</v>
      </c>
      <c r="Y111" s="204">
        <f t="shared" si="63"/>
        <v>23.298400000000001</v>
      </c>
      <c r="Z111" s="204">
        <f t="shared" si="64"/>
        <v>1.38E-2</v>
      </c>
      <c r="AA111" s="204">
        <f t="shared" si="41"/>
        <v>23.284600000000001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2"/>
        <v>198</v>
      </c>
      <c r="AE111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111" s="74" t="str">
        <f t="shared" si="44"/>
        <v>"C:\Program Files (x86)\AstroGrep\AstroGrep.exe" /e /r /s /spath="%USERPROFILE%\AppData\Local\Temp\OnboardLogs" /stypes="app*4043*20171001*" /stext=" 23:.+((SYSTEM_STATE.+slice.+state.+changed )|(ment ac)|(multiple cpu faults)|(system.+state.+changed )|(\[timeout)|(PRM\|1\|D)|(kpr)|(kdp)|(train st.+moving)|(\|lc)|(penalty))"</v>
      </c>
      <c r="AG111" s="182" t="str">
        <f t="shared" si="45"/>
        <v>EC</v>
      </c>
      <c r="AH111" s="78" t="str">
        <f t="shared" si="46"/>
        <v>"%USERPROFILE%\Documents\GitHub\eaglep3\Utilities\RefineRTDCRunTimes.py" --tripid 198-01 --locoid 4043 --swversion DE.1.0.9.0 --startMP 204:232984 --initTime 2017-10-01T16:38:36 --startdatetime 2017-10-01T16:42:31 --delay 68 --endMP 204:138 --enddatetime 2017-10-01T17:22:40 --enforcementcount 0 &gt;&gt;c:\users\tmcdowell\Documents\GitHub\eaglep3-reporting\EC\2017-10-01-refined-times.txt</v>
      </c>
      <c r="AI11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{"issue":{"subject":"","project_id":79,"tracker_id":40,"status_id":1,"priority_id":2,"assigned_to_id":338,"start_date":"2017-10-01","description":"","custom_fields":[{"id":1,"name":"Subdivision","value":"EC"},{"id":4,"name":"Milepost","value":"0.0138"},{"id":17,"name":"Train ID","value":"198-01"},{"id":16,"name":"Locomotive ID","value":"4043"},{"id":130,"name":"Impact","value":""},{"id":150,"name":"Time of Event (Mountain Time)","value":"17:22:40"},{"id":151,"name":"Denver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8"/>
        <v>start /low /b %USERPROFILE%\Documents\GitHub\eaglep3\Utilities\DownloadLogsFromS3.py --loco 4043 --day 2017-10-01</v>
      </c>
      <c r="AN111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0"/>
        <v>https://d0f6bd738d7f1b3e5a7ca70fe4ff75f0.us-east-1.aws.found.io/app/kibana#/discover/Steve-Slow-Train-Analysis-(2080s-and-2083s)?_g=(refreshInterval:(display:Off,pause:!f,section:0,value:0),time:(from:'2017-10-01T15:38:36-0600',mode:absolute,to:'2017-10-01T18:22:40-0600'))&amp;_a=(columns:!('Message%20ID',Summary),filters:!(),index:'emp_*',interval:auto,query:(query_string:(analyze_wildcard:!t,query:'%22rtdc.l.rtdc.4043%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757</v>
      </c>
      <c r="B112" s="7">
        <v>4016</v>
      </c>
      <c r="C112" s="21" t="s">
        <v>195</v>
      </c>
      <c r="D112" s="21" t="s">
        <v>460</v>
      </c>
      <c r="E112" s="13">
        <v>43009.66207175926</v>
      </c>
      <c r="F112" s="13">
        <v>43009.666817129626</v>
      </c>
      <c r="G112" s="7">
        <v>57</v>
      </c>
      <c r="H112" s="21" t="s">
        <v>555</v>
      </c>
      <c r="I112" s="13">
        <v>43009.692835648151</v>
      </c>
      <c r="J112" s="7">
        <v>0</v>
      </c>
      <c r="K112" s="89" t="str">
        <f t="shared" si="34"/>
        <v>4015/4016</v>
      </c>
      <c r="L112" s="185" t="str">
        <f>VLOOKUP(A112,'Trips&amp;Operators'!$C$1:$G$99911,5,FALSE)</f>
        <v>MCREYNOLDS KYLE</v>
      </c>
      <c r="M112" s="6">
        <f t="shared" si="35"/>
        <v>2.6018518525233958E-2</v>
      </c>
      <c r="N112" s="7">
        <f t="shared" si="65"/>
        <v>37.466666676336899</v>
      </c>
      <c r="O112" s="7"/>
      <c r="P112" s="7"/>
      <c r="Q112" s="22"/>
      <c r="R112" s="174"/>
      <c r="S112" s="221">
        <f t="shared" si="66"/>
        <v>1</v>
      </c>
      <c r="T112" s="174" t="str">
        <f t="shared" si="38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9"/>
        <v>https://d0f6bd738d7f1b3e5a7ca70fe4ff75f0.us-east-1.aws.found.io/app/kibana#/discover/Steve-Slow-Train-Analysis-(2080s-and-2083s)?_g=(refreshInterval:(display:Off,pause:!f,section:0,value:0),time:(from:'2017-10-01T14:53:23-0600',mode:absolute,to:'2017-10-01T17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204" t="str">
        <f>IF(AA112&lt;VLOOKUP(AG112,Variables!$AC$3:$AD$8,2,FALSE),"Y","N")</f>
        <v>N</v>
      </c>
      <c r="X112" s="204">
        <f t="shared" si="67"/>
        <v>1</v>
      </c>
      <c r="Y112" s="204">
        <f t="shared" si="63"/>
        <v>4.4400000000000002E-2</v>
      </c>
      <c r="Z112" s="204">
        <f t="shared" si="64"/>
        <v>23.334599999999998</v>
      </c>
      <c r="AA112" s="204">
        <f t="shared" si="41"/>
        <v>23.290199999999999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2"/>
        <v>199</v>
      </c>
      <c r="AE112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12" s="74" t="str">
        <f t="shared" si="44"/>
        <v>"C:\Program Files (x86)\AstroGrep\AstroGrep.exe" /e /r /s /spath="%USERPROFILE%\AppData\Local\Temp\OnboardLogs" /stypes="app*4016*20171001*" /stext=" 22:.+((SYSTEM_STATE.+slice.+state.+changed )|(ment ac)|(multiple cpu faults)|(system.+state.+changed )|(\[timeout)|(PRM\|1\|D)|(kpr)|(kdp)|(train st.+moving)|(\|lc)|(penalty))"</v>
      </c>
      <c r="AG112" s="182" t="str">
        <f t="shared" si="45"/>
        <v>EC</v>
      </c>
      <c r="AH112" s="78" t="str">
        <f t="shared" si="46"/>
        <v>"%USERPROFILE%\Documents\GitHub\eaglep3\Utilities\RefineRTDCRunTimes.py" --tripid 199-01 --locoid 4016 --swversion DE.1.0.9.0 --startMP 204:444 --initTime 2017-10-01T15:53:23 --startdatetime 2017-10-01T16:00:13 --delay 57 --endMP 204:233346 --enddatetime 2017-10-01T16:37:41 --enforcementcount 0 &gt;&gt;c:\users\tmcdowell\Documents\GitHub\eaglep3-reporting\EC\2017-10-01-refined-times.txt</v>
      </c>
      <c r="AI11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{"issue":{"subject":"","project_id":79,"tracker_id":40,"status_id":1,"priority_id":2,"assigned_to_id":338,"start_date":"2017-10-01","description":"","custom_fields":[{"id":1,"name":"Subdivision","value":"EC"},{"id":4,"name":"Milepost","value":"23.3346"},{"id":17,"name":"Train ID","value":"199-01"},{"id":16,"name":"Locomotive ID","value":"4016"},{"id":130,"name":"Impact","value":""},{"id":150,"name":"Time of Event (Mountain Time)","value":"16:37:41"},{"id":151,"name":"Denver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8"/>
        <v>start /low /b %USERPROFILE%\Documents\GitHub\eaglep3\Utilities\DownloadLogsFromS3.py --loco 4016 --day 2017-10-01</v>
      </c>
      <c r="AN11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0"/>
        <v>https://d0f6bd738d7f1b3e5a7ca70fe4ff75f0.us-east-1.aws.found.io/app/kibana#/discover/Steve-Slow-Train-Analysis-(2080s-and-2083s)?_g=(refreshInterval:(display:Off,pause:!f,section:0,value:0),time:(from:'2017-10-01T14:53:23-0600',mode:absolute,to:'2017-10-01T17:37:41-0600'))&amp;_a=(columns:!('Message%20ID',Summary),filters:!(),index:'emp_*',interval:auto,query:(query_string:(analyze_wildcard:!t,query:'%22rtdc.l.rtdc.4016%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766</v>
      </c>
      <c r="B113" s="7">
        <v>4015</v>
      </c>
      <c r="C113" s="21" t="s">
        <v>195</v>
      </c>
      <c r="D113" s="21" t="s">
        <v>912</v>
      </c>
      <c r="E113" s="13">
        <v>43009.70045138889</v>
      </c>
      <c r="F113" s="13">
        <v>43009.707777777781</v>
      </c>
      <c r="G113" s="7">
        <v>55</v>
      </c>
      <c r="H113" s="21" t="s">
        <v>337</v>
      </c>
      <c r="I113" s="13">
        <v>43009.734942129631</v>
      </c>
      <c r="J113" s="7">
        <v>0</v>
      </c>
      <c r="K113" s="89" t="str">
        <f t="shared" si="34"/>
        <v>4015/4016</v>
      </c>
      <c r="L113" s="185" t="str">
        <f>VLOOKUP(A113,'Trips&amp;Operators'!$C$1:$G$99911,5,FALSE)</f>
        <v>MCREYNOLDS KYLE</v>
      </c>
      <c r="M113" s="6">
        <f t="shared" si="35"/>
        <v>2.7164351849933155E-2</v>
      </c>
      <c r="N113" s="7">
        <f t="shared" si="65"/>
        <v>39.116666663903743</v>
      </c>
      <c r="O113" s="7"/>
      <c r="P113" s="7"/>
      <c r="Q113" s="22"/>
      <c r="R113" s="174"/>
      <c r="S113" s="221">
        <f t="shared" si="66"/>
        <v>1</v>
      </c>
      <c r="T113" s="174" t="str">
        <f t="shared" si="38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9"/>
        <v>https://d0f6bd738d7f1b3e5a7ca70fe4ff75f0.us-east-1.aws.found.io/app/kibana#/discover/Steve-Slow-Train-Analysis-(2080s-and-2083s)?_g=(refreshInterval:(display:Off,pause:!f,section:0,value:0),time:(from:'2017-10-01T15:48:39-0600',mode:absolute,to:'2017-10-01T18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204" t="str">
        <f>IF(AA113&lt;VLOOKUP(AG113,Variables!$AC$3:$AD$8,2,FALSE),"Y","N")</f>
        <v>N</v>
      </c>
      <c r="X113" s="204">
        <f t="shared" si="67"/>
        <v>1</v>
      </c>
      <c r="Y113" s="204">
        <f t="shared" si="63"/>
        <v>23.303000000000001</v>
      </c>
      <c r="Z113" s="204">
        <f t="shared" si="64"/>
        <v>1.49E-2</v>
      </c>
      <c r="AA113" s="204">
        <f t="shared" si="41"/>
        <v>23.2881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2"/>
        <v>200</v>
      </c>
      <c r="AE113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13" s="74" t="str">
        <f t="shared" si="44"/>
        <v>"C:\Program Files (x86)\AstroGrep\AstroGrep.exe" /e /r /s /spath="%USERPROFILE%\AppData\Local\Temp\OnboardLogs" /stypes="app*4015*20171001*" /stext=" 23:.+((SYSTEM_STATE.+slice.+state.+changed )|(ment ac)|(multiple cpu faults)|(system.+state.+changed )|(\[timeout)|(PRM\|1\|D)|(kpr)|(kdp)|(train st.+moving)|(\|lc)|(penalty))"</v>
      </c>
      <c r="AG113" s="182" t="str">
        <f t="shared" si="45"/>
        <v>EC</v>
      </c>
      <c r="AH113" s="78" t="str">
        <f t="shared" si="46"/>
        <v>"%USERPROFILE%\Documents\GitHub\eaglep3\Utilities\RefineRTDCRunTimes.py" --tripid 200-01 --locoid 4015 --swversion DE.1.0.9.0 --startMP 204:233030 --initTime 2017-10-01T16:48:39 --startdatetime 2017-10-01T16:59:12 --delay 55 --endMP 204:149 --enddatetime 2017-10-01T17:38:19 --enforcementcount 0 &gt;&gt;c:\users\tmcdowell\Documents\GitHub\eaglep3-reporting\EC\2017-10-01-refined-times.txt</v>
      </c>
      <c r="AI11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{"issue":{"subject":"","project_id":79,"tracker_id":40,"status_id":1,"priority_id":2,"assigned_to_id":338,"start_date":"2017-10-01","description":"","custom_fields":[{"id":1,"name":"Subdivision","value":"EC"},{"id":4,"name":"Milepost","value":"0.0149"},{"id":17,"name":"Train ID","value":"200-01"},{"id":16,"name":"Locomotive ID","value":"4015"},{"id":130,"name":"Impact","value":""},{"id":150,"name":"Time of Event (Mountain Time)","value":"17:38:19"},{"id":151,"name":"Denver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8"/>
        <v>start /low /b %USERPROFILE%\Documents\GitHub\eaglep3\Utilities\DownloadLogsFromS3.py --loco 4015 --day 2017-10-01</v>
      </c>
      <c r="AN113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0"/>
        <v>https://d0f6bd738d7f1b3e5a7ca70fe4ff75f0.us-east-1.aws.found.io/app/kibana#/discover/Steve-Slow-Train-Analysis-(2080s-and-2083s)?_g=(refreshInterval:(display:Off,pause:!f,section:0,value:0),time:(from:'2017-10-01T15:48:39-0600',mode:absolute,to:'2017-10-01T18:38:19-0600'))&amp;_a=(columns:!('Message%20ID',Summary),filters:!(),index:'emp_*',interval:auto,query:(query_string:(analyze_wildcard:!t,query:'%22rtdc.l.rtdc.4015%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759</v>
      </c>
      <c r="B114" s="7">
        <v>4018</v>
      </c>
      <c r="C114" s="21" t="s">
        <v>195</v>
      </c>
      <c r="D114" s="21" t="s">
        <v>912</v>
      </c>
      <c r="E114" s="13">
        <v>43009.70045138889</v>
      </c>
      <c r="F114" s="13">
        <v>43009.677314814813</v>
      </c>
      <c r="G114" s="7">
        <v>55</v>
      </c>
      <c r="H114" s="21" t="s">
        <v>337</v>
      </c>
      <c r="I114" s="13">
        <v>43009.704340277778</v>
      </c>
      <c r="J114" s="7">
        <v>0</v>
      </c>
      <c r="K114" s="89" t="str">
        <f t="shared" si="34"/>
        <v>4017/4018</v>
      </c>
      <c r="L114" s="185" t="str">
        <f>VLOOKUP(A114,'Trips&amp;Operators'!$C$1:$G$99911,5,FALSE)</f>
        <v>SMITH MICHAEL</v>
      </c>
      <c r="M114" s="6">
        <f t="shared" si="35"/>
        <v>2.7025462964957114E-2</v>
      </c>
      <c r="N114" s="7">
        <f t="shared" si="65"/>
        <v>38.916666669538245</v>
      </c>
      <c r="O114" s="7"/>
      <c r="P114" s="7"/>
      <c r="Q114" s="22"/>
      <c r="R114" s="174"/>
      <c r="S114" s="221">
        <f t="shared" si="66"/>
        <v>1</v>
      </c>
      <c r="T114" s="174" t="str">
        <f t="shared" si="38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9"/>
        <v>https://d0f6bd738d7f1b3e5a7ca70fe4ff75f0.us-east-1.aws.found.io/app/kibana#/discover/Steve-Slow-Train-Analysis-(2080s-and-2083s)?_g=(refreshInterval:(display:Off,pause:!f,section:0,value:0),time:(from:'2017-10-01T15:48:39-0600',mode:absolute,to:'2017-10-01T17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204" t="str">
        <f>IF(AA114&lt;VLOOKUP(AG114,Variables!$AC$3:$AD$8,2,FALSE),"Y","N")</f>
        <v>N</v>
      </c>
      <c r="X114" s="204">
        <f t="shared" si="67"/>
        <v>1</v>
      </c>
      <c r="Y114" s="204">
        <v>4.4400000000000002E-2</v>
      </c>
      <c r="Z114" s="204">
        <v>23.334599999999998</v>
      </c>
      <c r="AA114" s="204">
        <f t="shared" si="41"/>
        <v>23.290199999999999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2"/>
        <v>201</v>
      </c>
      <c r="AE114" s="77" t="str">
        <f t="shared" si="4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114" s="74" t="str">
        <f t="shared" si="44"/>
        <v>"C:\Program Files (x86)\AstroGrep\AstroGrep.exe" /e /r /s /spath="%USERPROFILE%\AppData\Local\Temp\OnboardLogs" /stypes="app*4018*20171001*" /stext=" 22:.+((SYSTEM_STATE.+slice.+state.+changed )|(ment ac)|(multiple cpu faults)|(system.+state.+changed )|(\[timeout)|(PRM\|1\|D)|(kpr)|(kdp)|(train st.+moving)|(\|lc)|(penalty))"</v>
      </c>
      <c r="AG114" s="182" t="str">
        <f t="shared" si="45"/>
        <v>EC</v>
      </c>
      <c r="AH114" s="78" t="str">
        <f t="shared" ref="AH114" si="68"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201-01 --locoid 4018 --swversion DE.1.0.9.0 --startMP 204:233030 --initTime 2017-10-01T16:48:39 --startdatetime 2017-10-01T16:15:20 --delay 55 --endMP 204:149 --enddatetime 2017-10-01T16:54:15 --enforcementcount 0 &gt;&gt;c:\users\tmcdowell\Documents\GitHub\eaglep3-reporting\EC\2017-10-01-refined-times.txt</v>
      </c>
      <c r="AI114" s="96" t="str">
        <f t="shared" ref="AI114" si="69"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{"issue":{"subject":"","project_id":79,"tracker_id":40,"status_id":1,"priority_id":2,"assigned_to_id":338,"start_date":"2017-10-01","description":"","custom_fields":[{"id":1,"name":"Subdivision","value":"EC"},{"id":4,"name":"Milepost","value":"23.3346"},{"id":17,"name":"Train ID","value":"201-01"},{"id":16,"name":"Locomotive ID","value":"4018"},{"id":130,"name":"Impact","value":""},{"id":150,"name":"Time of Event (Mountain Time)","value":"16:54:15"},{"id":151,"name":"Denver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ref="AM114" si="70">"start /low /b "&amp;dls3logs&amp;" --loco "&amp;B114&amp;" --day "&amp;TEXT(F114,"YYYY-MM-DD")</f>
        <v>start /low /b %USERPROFILE%\Documents\GitHub\eaglep3\Utilities\DownloadLogsFromS3.py --loco 4018 --day 2017-10-01</v>
      </c>
      <c r="AN114" s="151" t="str">
        <f t="shared" ref="AN114" si="71"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ref="AO114" si="72"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-01T15:48:39-0600',mode:absolute,to:'2017-10-01T17:54:15-0600'))&amp;_a=(columns:!('Message%20ID',Summary),filters:!(),index:'emp_*',interval:auto,query:(query_string:(analyze_wildcard:!t,query:'%22rtdc.l.rtdc.4018%22')),sort:!(Time.ISO8601,asc))</v>
      </c>
    </row>
    <row r="115" spans="1:91" s="20" customFormat="1" x14ac:dyDescent="0.25">
      <c r="A115" s="32" t="s">
        <v>768</v>
      </c>
      <c r="B115" s="7">
        <v>4017</v>
      </c>
      <c r="C115" s="21" t="s">
        <v>195</v>
      </c>
      <c r="D115" s="21" t="s">
        <v>414</v>
      </c>
      <c r="E115" s="13">
        <v>43009.706574074073</v>
      </c>
      <c r="F115" s="13">
        <v>43009.716898148145</v>
      </c>
      <c r="G115" s="7">
        <v>100</v>
      </c>
      <c r="H115" s="21" t="s">
        <v>361</v>
      </c>
      <c r="I115" s="13">
        <v>43009.744155092594</v>
      </c>
      <c r="J115" s="7">
        <v>0</v>
      </c>
      <c r="K115" s="89" t="str">
        <f t="shared" si="34"/>
        <v>4017/4018</v>
      </c>
      <c r="L115" s="185" t="str">
        <f>VLOOKUP(A115,'Trips&amp;Operators'!$C$1:$G$99911,5,FALSE)</f>
        <v>SMITH MICHAEL</v>
      </c>
      <c r="M115" s="6">
        <f t="shared" si="35"/>
        <v>2.7256944449618459E-2</v>
      </c>
      <c r="N115" s="7">
        <f t="shared" si="65"/>
        <v>39.250000007450581</v>
      </c>
      <c r="O115" s="7"/>
      <c r="P115" s="7"/>
      <c r="Q115" s="22"/>
      <c r="R115" s="174"/>
      <c r="S115" s="221">
        <f t="shared" si="66"/>
        <v>1</v>
      </c>
      <c r="T115" s="174" t="str">
        <f t="shared" si="38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9"/>
        <v>https://d0f6bd738d7f1b3e5a7ca70fe4ff75f0.us-east-1.aws.found.io/app/kibana#/discover/Steve-Slow-Train-Analysis-(2080s-and-2083s)?_g=(refreshInterval:(display:Off,pause:!f,section:0,value:0),time:(from:'2017-10-01T15:57:28-0600',mode:absolute,to:'2017-10-01T18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04" t="str">
        <f>IF(AA115&lt;VLOOKUP(AG115,Variables!$AC$3:$AD$8,2,FALSE),"Y","N")</f>
        <v>N</v>
      </c>
      <c r="X115" s="204">
        <f t="shared" si="67"/>
        <v>1</v>
      </c>
      <c r="Y115" s="204">
        <f t="shared" ref="Y115:Y129" si="73">RIGHT(D115,LEN(D115)-4)/10000</f>
        <v>23.2988</v>
      </c>
      <c r="Z115" s="204">
        <f t="shared" ref="Z115:Z129" si="74">RIGHT(H115,LEN(H115)-4)/10000</f>
        <v>1.4500000000000001E-2</v>
      </c>
      <c r="AA115" s="204">
        <f t="shared" si="41"/>
        <v>23.284299999999998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2"/>
        <v>202</v>
      </c>
      <c r="AE115" s="77" t="str">
        <f t="shared" si="43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115" s="74" t="str">
        <f t="shared" si="44"/>
        <v>"C:\Program Files (x86)\AstroGrep\AstroGrep.exe" /e /r /s /spath="%USERPROFILE%\AppData\Local\Temp\OnboardLogs" /stypes="app*4017*20171001*" /stext=" 23:.+((SYSTEM_STATE.+slice.+state.+changed )|(ment ac)|(multiple cpu faults)|(system.+state.+changed )|(\[timeout)|(PRM\|1\|D)|(kpr)|(kdp)|(train st.+moving)|(\|lc)|(penalty))"</v>
      </c>
      <c r="AG115" s="182" t="str">
        <f t="shared" si="45"/>
        <v>EC</v>
      </c>
      <c r="AH115" s="78" t="str">
        <f t="shared" si="46"/>
        <v>"%USERPROFILE%\Documents\GitHub\eaglep3\Utilities\RefineRTDCRunTimes.py" --tripid 202-01 --locoid 4017 --swversion DE.1.0.9.0 --startMP 204:232988 --initTime 2017-10-01T16:57:28 --startdatetime 2017-10-01T17:12:20 --delay 100 --endMP 204:145 --enddatetime 2017-10-01T17:51:35 --enforcementcount 0 &gt;&gt;c:\users\tmcdowell\Documents\GitHub\eaglep3-reporting\EC\2017-10-01-refined-times.txt</v>
      </c>
      <c r="AI11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{"issue":{"subject":"","project_id":79,"tracker_id":40,"status_id":1,"priority_id":2,"assigned_to_id":338,"start_date":"2017-10-01","description":"","custom_fields":[{"id":1,"name":"Subdivision","value":"EC"},{"id":4,"name":"Milepost","value":"0.0145"},{"id":17,"name":"Train ID","value":"202-01"},{"id":16,"name":"Locomotive ID","value":"4017"},{"id":130,"name":"Impact","value":""},{"id":150,"name":"Time of Event (Mountain Time)","value":"17:51:35"},{"id":151,"name":"Denver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8"/>
        <v>start /low /b %USERPROFILE%\Documents\GitHub\eaglep3\Utilities\DownloadLogsFromS3.py --loco 4017 --day 2017-10-01</v>
      </c>
      <c r="AN115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0"/>
        <v>https://d0f6bd738d7f1b3e5a7ca70fe4ff75f0.us-east-1.aws.found.io/app/kibana#/discover/Steve-Slow-Train-Analysis-(2080s-and-2083s)?_g=(refreshInterval:(display:Off,pause:!f,section:0,value:0),time:(from:'2017-10-01T15:57:28-0600',mode:absolute,to:'2017-10-01T18:51:35-0600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762</v>
      </c>
      <c r="B116" s="7">
        <v>4050</v>
      </c>
      <c r="C116" s="21" t="s">
        <v>195</v>
      </c>
      <c r="D116" s="21" t="s">
        <v>501</v>
      </c>
      <c r="E116" s="13">
        <v>43009.686053240737</v>
      </c>
      <c r="F116" s="13">
        <v>43009.688379629632</v>
      </c>
      <c r="G116" s="7">
        <v>73</v>
      </c>
      <c r="H116" s="21" t="s">
        <v>461</v>
      </c>
      <c r="I116" s="13">
        <v>43009.715891203705</v>
      </c>
      <c r="J116" s="7">
        <v>0</v>
      </c>
      <c r="K116" s="89" t="str">
        <f t="shared" si="34"/>
        <v>4049/4050</v>
      </c>
      <c r="L116" s="185" t="str">
        <f>VLOOKUP(A116,'Trips&amp;Operators'!$C$1:$G$99911,5,FALSE)</f>
        <v>DAVIS MICHAEL</v>
      </c>
      <c r="M116" s="6">
        <f t="shared" si="35"/>
        <v>2.7511574073287193E-2</v>
      </c>
      <c r="N116" s="7">
        <f t="shared" si="65"/>
        <v>39.616666665533558</v>
      </c>
      <c r="O116" s="7"/>
      <c r="P116" s="7"/>
      <c r="Q116" s="22"/>
      <c r="R116" s="174"/>
      <c r="S116" s="221">
        <f t="shared" si="66"/>
        <v>1</v>
      </c>
      <c r="T116" s="174" t="str">
        <f t="shared" si="38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9"/>
        <v>https://d0f6bd738d7f1b3e5a7ca70fe4ff75f0.us-east-1.aws.found.io/app/kibana#/discover/Steve-Slow-Train-Analysis-(2080s-and-2083s)?_g=(refreshInterval:(display:Off,pause:!f,section:0,value:0),time:(from:'2017-10-01T15:27:55-0600',mode:absolute,to:'2017-10-01T18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204" t="str">
        <f>IF(AA116&lt;VLOOKUP(AG116,Variables!$AC$3:$AD$8,2,FALSE),"Y","N")</f>
        <v>N</v>
      </c>
      <c r="X116" s="204">
        <f t="shared" si="67"/>
        <v>1</v>
      </c>
      <c r="Y116" s="204">
        <f t="shared" si="73"/>
        <v>4.4900000000000002E-2</v>
      </c>
      <c r="Z116" s="204">
        <f t="shared" si="74"/>
        <v>23.3291</v>
      </c>
      <c r="AA116" s="204">
        <f t="shared" si="41"/>
        <v>23.284200000000002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2"/>
        <v>203</v>
      </c>
      <c r="AE116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16" s="74" t="str">
        <f t="shared" si="44"/>
        <v>"C:\Program Files (x86)\AstroGrep\AstroGrep.exe" /e /r /s /spath="%USERPROFILE%\AppData\Local\Temp\OnboardLogs" /stypes="app*4050*20171001*" /stext=" 23:.+((SYSTEM_STATE.+slice.+state.+changed )|(ment ac)|(multiple cpu faults)|(system.+state.+changed )|(\[timeout)|(PRM\|1\|D)|(kpr)|(kdp)|(train st.+moving)|(\|lc)|(penalty))"</v>
      </c>
      <c r="AG116" s="182" t="str">
        <f t="shared" si="45"/>
        <v>EC</v>
      </c>
      <c r="AH116" s="78" t="str">
        <f t="shared" si="46"/>
        <v>"%USERPROFILE%\Documents\GitHub\eaglep3\Utilities\RefineRTDCRunTimes.py" --tripid 203-01 --locoid 4050 --swversion DE.1.0.9.0 --startMP 204:449 --initTime 2017-10-01T16:27:55 --startdatetime 2017-10-01T16:31:16 --delay 73 --endMP 204:233291 --enddatetime 2017-10-01T17:10:53 --enforcementcount 0 &gt;&gt;c:\users\tmcdowell\Documents\GitHub\eaglep3-reporting\EC\2017-10-01-refined-times.txt</v>
      </c>
      <c r="AI11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{"issue":{"subject":"","project_id":79,"tracker_id":40,"status_id":1,"priority_id":2,"assigned_to_id":338,"start_date":"2017-10-01","description":"","custom_fields":[{"id":1,"name":"Subdivision","value":"EC"},{"id":4,"name":"Milepost","value":"23.3291"},{"id":17,"name":"Train ID","value":"203-01"},{"id":16,"name":"Locomotive ID","value":"4050"},{"id":130,"name":"Impact","value":""},{"id":150,"name":"Time of Event (Mountain Time)","value":"17:10:53"},{"id":151,"name":"Denver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8"/>
        <v>start /low /b %USERPROFILE%\Documents\GitHub\eaglep3\Utilities\DownloadLogsFromS3.py --loco 4050 --day 2017-10-01</v>
      </c>
      <c r="AN116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0"/>
        <v>https://d0f6bd738d7f1b3e5a7ca70fe4ff75f0.us-east-1.aws.found.io/app/kibana#/discover/Steve-Slow-Train-Analysis-(2080s-and-2083s)?_g=(refreshInterval:(display:Off,pause:!f,section:0,value:0),time:(from:'2017-10-01T15:27:55-0600',mode:absolute,to:'2017-10-01T18:10:53-0600'))&amp;_a=(columns:!('Message%20ID',Summary),filters:!(),index:'emp_*',interval:auto,query:(query_string:(analyze_wildcard:!t,query:'%22rtdc.l.rtdc.4050%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771</v>
      </c>
      <c r="B117" s="7">
        <v>4049</v>
      </c>
      <c r="C117" s="21" t="s">
        <v>195</v>
      </c>
      <c r="D117" s="21" t="s">
        <v>920</v>
      </c>
      <c r="E117" s="13">
        <v>43009.725092592591</v>
      </c>
      <c r="F117" s="13">
        <v>43009.727546296293</v>
      </c>
      <c r="G117" s="7">
        <v>83</v>
      </c>
      <c r="H117" s="21" t="s">
        <v>338</v>
      </c>
      <c r="I117" s="13">
        <v>43009.755902777775</v>
      </c>
      <c r="J117" s="7">
        <v>0</v>
      </c>
      <c r="K117" s="89" t="str">
        <f t="shared" si="34"/>
        <v>4049/4050</v>
      </c>
      <c r="L117" s="185" t="str">
        <f>VLOOKUP(A117,'Trips&amp;Operators'!$C$1:$G$99911,5,FALSE)</f>
        <v>DAVIS MICHAEL</v>
      </c>
      <c r="M117" s="6">
        <f t="shared" si="35"/>
        <v>2.8356481481750961E-2</v>
      </c>
      <c r="N117" s="7">
        <f t="shared" si="65"/>
        <v>40.833333333721384</v>
      </c>
      <c r="O117" s="7"/>
      <c r="P117" s="7"/>
      <c r="Q117" s="22"/>
      <c r="R117" s="174"/>
      <c r="S117" s="221">
        <f t="shared" si="66"/>
        <v>1</v>
      </c>
      <c r="T117" s="174" t="str">
        <f t="shared" si="38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9"/>
        <v>https://d0f6bd738d7f1b3e5a7ca70fe4ff75f0.us-east-1.aws.found.io/app/kibana#/discover/Steve-Slow-Train-Analysis-(2080s-and-2083s)?_g=(refreshInterval:(display:Off,pause:!f,section:0,value:0),time:(from:'2017-10-01T16:24:08-0600',mode:absolute,to:'2017-10-01T19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204" t="str">
        <f>IF(AA117&lt;VLOOKUP(AG117,Variables!$AC$3:$AD$8,2,FALSE),"Y","N")</f>
        <v>N</v>
      </c>
      <c r="X117" s="204">
        <f t="shared" si="67"/>
        <v>1</v>
      </c>
      <c r="Y117" s="204">
        <f t="shared" si="73"/>
        <v>23.300999999999998</v>
      </c>
      <c r="Z117" s="204">
        <f t="shared" si="74"/>
        <v>1.43E-2</v>
      </c>
      <c r="AA117" s="204">
        <f t="shared" si="41"/>
        <v>23.2867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2"/>
        <v>204</v>
      </c>
      <c r="AE117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17" s="74" t="str">
        <f t="shared" si="44"/>
        <v>"C:\Program Files (x86)\AstroGrep\AstroGrep.exe" /e /r /s /spath="%USERPROFILE%\AppData\Local\Temp\OnboardLogs" /stypes="app*4049*20171002*" /stext=" 00:.+((SYSTEM_STATE.+slice.+state.+changed )|(ment ac)|(multiple cpu faults)|(system.+state.+changed )|(\[timeout)|(PRM\|1\|D)|(kpr)|(kdp)|(train st.+moving)|(\|lc)|(penalty))"</v>
      </c>
      <c r="AG117" s="182" t="str">
        <f t="shared" si="45"/>
        <v>EC</v>
      </c>
      <c r="AH117" s="78" t="str">
        <f t="shared" si="46"/>
        <v>"%USERPROFILE%\Documents\GitHub\eaglep3\Utilities\RefineRTDCRunTimes.py" --tripid 204-01 --locoid 4049 --swversion DE.1.0.9.0 --startMP 204:233010 --initTime 2017-10-01T17:24:08 --startdatetime 2017-10-01T17:27:40 --delay 83 --endMP 204:143 --enddatetime 2017-10-01T18:08:30 --enforcementcount 0 &gt;&gt;c:\users\tmcdowell\Documents\GitHub\eaglep3-reporting\EC\2017-10-01-refined-times.txt</v>
      </c>
      <c r="AI11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{"issue":{"subject":"","project_id":79,"tracker_id":40,"status_id":1,"priority_id":2,"assigned_to_id":338,"start_date":"2017-10-01","description":"","custom_fields":[{"id":1,"name":"Subdivision","value":"EC"},{"id":4,"name":"Milepost","value":"0.0143"},{"id":17,"name":"Train ID","value":"204-01"},{"id":16,"name":"Locomotive ID","value":"4049"},{"id":130,"name":"Impact","value":""},{"id":150,"name":"Time of Event (Mountain Time)","value":"18:08:30"},{"id":151,"name":"Denver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8"/>
        <v>start /low /b %USERPROFILE%\Documents\GitHub\eaglep3\Utilities\DownloadLogsFromS3.py --loco 4049 --day 2017-10-01</v>
      </c>
      <c r="AN117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0"/>
        <v>https://d0f6bd738d7f1b3e5a7ca70fe4ff75f0.us-east-1.aws.found.io/app/kibana#/discover/Steve-Slow-Train-Analysis-(2080s-and-2083s)?_g=(refreshInterval:(display:Off,pause:!f,section:0,value:0),time:(from:'2017-10-01T16:24:08-0600',mode:absolute,to:'2017-10-01T19:08:30-0600'))&amp;_a=(columns:!('Message%20ID',Summary),filters:!(),index:'emp_*',interval:auto,query:(query_string:(analyze_wildcard:!t,query:'%22rtdc.l.rtdc.4049%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765</v>
      </c>
      <c r="B118" s="7">
        <v>4042</v>
      </c>
      <c r="C118" s="21" t="s">
        <v>195</v>
      </c>
      <c r="D118" s="21" t="s">
        <v>385</v>
      </c>
      <c r="E118" s="13">
        <v>43009.695821759262</v>
      </c>
      <c r="F118" s="13">
        <v>43009.698344907411</v>
      </c>
      <c r="G118" s="7">
        <v>66</v>
      </c>
      <c r="H118" s="21" t="s">
        <v>499</v>
      </c>
      <c r="I118" s="13">
        <v>43009.724189814813</v>
      </c>
      <c r="J118" s="7">
        <v>0</v>
      </c>
      <c r="K118" s="89" t="str">
        <f t="shared" si="34"/>
        <v>4041/4042</v>
      </c>
      <c r="L118" s="185" t="str">
        <f>VLOOKUP(A118,'Trips&amp;Operators'!$C$1:$G$99911,5,FALSE)</f>
        <v>SAFIEF AEIMEN</v>
      </c>
      <c r="M118" s="6">
        <f t="shared" si="35"/>
        <v>2.5844907402643003E-2</v>
      </c>
      <c r="N118" s="7">
        <f t="shared" si="65"/>
        <v>37.216666659805924</v>
      </c>
      <c r="O118" s="7"/>
      <c r="P118" s="7"/>
      <c r="Q118" s="22"/>
      <c r="R118" s="174"/>
      <c r="S118" s="221">
        <f t="shared" si="66"/>
        <v>1</v>
      </c>
      <c r="T118" s="174" t="str">
        <f t="shared" si="38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9"/>
        <v>https://d0f6bd738d7f1b3e5a7ca70fe4ff75f0.us-east-1.aws.found.io/app/kibana#/discover/Steve-Slow-Train-Analysis-(2080s-and-2083s)?_g=(refreshInterval:(display:Off,pause:!f,section:0,value:0),time:(from:'2017-10-01T15:41:59-0600',mode:absolute,to:'2017-10-01T18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8" s="204" t="str">
        <f>IF(AA118&lt;VLOOKUP(AG118,Variables!$AC$3:$AD$8,2,FALSE),"Y","N")</f>
        <v>N</v>
      </c>
      <c r="X118" s="204">
        <f t="shared" si="67"/>
        <v>1</v>
      </c>
      <c r="Y118" s="204">
        <f t="shared" si="73"/>
        <v>4.5100000000000001E-2</v>
      </c>
      <c r="Z118" s="204">
        <f t="shared" si="74"/>
        <v>23.333400000000001</v>
      </c>
      <c r="AA118" s="204">
        <f t="shared" si="41"/>
        <v>23.2883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2"/>
        <v>205</v>
      </c>
      <c r="AE118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18" s="74" t="str">
        <f t="shared" si="44"/>
        <v>"C:\Program Files (x86)\AstroGrep\AstroGrep.exe" /e /r /s /spath="%USERPROFILE%\AppData\Local\Temp\OnboardLogs" /stypes="app*4042*20171001*" /stext=" 23:.+((SYSTEM_STATE.+slice.+state.+changed )|(ment ac)|(multiple cpu faults)|(system.+state.+changed )|(\[timeout)|(PRM\|1\|D)|(kpr)|(kdp)|(train st.+moving)|(\|lc)|(penalty))"</v>
      </c>
      <c r="AG118" s="182" t="str">
        <f t="shared" si="45"/>
        <v>EC</v>
      </c>
      <c r="AH118" s="78" t="str">
        <f t="shared" si="46"/>
        <v>"%USERPROFILE%\Documents\GitHub\eaglep3\Utilities\RefineRTDCRunTimes.py" --tripid 205-01 --locoid 4042 --swversion DE.1.0.9.0 --startMP 204:451 --initTime 2017-10-01T16:41:59 --startdatetime 2017-10-01T16:45:37 --delay 66 --endMP 204:233334 --enddatetime 2017-10-01T17:22:50 --enforcementcount 0 &gt;&gt;c:\users\tmcdowell\Documents\GitHub\eaglep3-reporting\EC\2017-10-01-refined-times.txt</v>
      </c>
      <c r="AI11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{"issue":{"subject":"","project_id":79,"tracker_id":40,"status_id":1,"priority_id":2,"assigned_to_id":338,"start_date":"2017-10-01","description":"","custom_fields":[{"id":1,"name":"Subdivision","value":"EC"},{"id":4,"name":"Milepost","value":"23.3334"},{"id":17,"name":"Train ID","value":"205-01"},{"id":16,"name":"Locomotive ID","value":"4042"},{"id":130,"name":"Impact","value":""},{"id":150,"name":"Time of Event (Mountain Time)","value":"17:22:50"},{"id":151,"name":"Denver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8"/>
        <v>start /low /b %USERPROFILE%\Documents\GitHub\eaglep3\Utilities\DownloadLogsFromS3.py --loco 4042 --day 2017-10-01</v>
      </c>
      <c r="AN118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0"/>
        <v>https://d0f6bd738d7f1b3e5a7ca70fe4ff75f0.us-east-1.aws.found.io/app/kibana#/discover/Steve-Slow-Train-Analysis-(2080s-and-2083s)?_g=(refreshInterval:(display:Off,pause:!f,section:0,value:0),time:(from:'2017-10-01T15:41:59-0600',mode:absolute,to:'2017-10-01T18:22:50-0600'))&amp;_a=(columns:!('Message%20ID',Summary),filters:!(),index:'emp_*',interval:auto,query:(query_string:(analyze_wildcard:!t,query:'%22rtdc.l.rtdc.4042%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773</v>
      </c>
      <c r="B119" s="7">
        <v>4041</v>
      </c>
      <c r="C119" s="21" t="s">
        <v>195</v>
      </c>
      <c r="D119" s="21" t="s">
        <v>911</v>
      </c>
      <c r="E119" s="13">
        <v>43009.732372685183</v>
      </c>
      <c r="F119" s="13">
        <v>43009.737847222219</v>
      </c>
      <c r="G119" s="7">
        <v>60</v>
      </c>
      <c r="H119" s="21" t="s">
        <v>364</v>
      </c>
      <c r="I119" s="13">
        <v>43009.763726851852</v>
      </c>
      <c r="J119" s="7">
        <v>0</v>
      </c>
      <c r="K119" s="89" t="str">
        <f t="shared" si="34"/>
        <v>4041/4042</v>
      </c>
      <c r="L119" s="185" t="str">
        <f>VLOOKUP(A119,'Trips&amp;Operators'!$C$1:$G$99911,5,FALSE)</f>
        <v>SAFIEF AEIMEN</v>
      </c>
      <c r="M119" s="6">
        <f t="shared" si="35"/>
        <v>2.587962963298196E-2</v>
      </c>
      <c r="N119" s="7">
        <f t="shared" si="65"/>
        <v>37.266666671494022</v>
      </c>
      <c r="O119" s="7"/>
      <c r="P119" s="7"/>
      <c r="Q119" s="22"/>
      <c r="R119" s="174"/>
      <c r="S119" s="221">
        <f t="shared" si="66"/>
        <v>1</v>
      </c>
      <c r="T119" s="174" t="str">
        <f t="shared" si="38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9"/>
        <v>https://d0f6bd738d7f1b3e5a7ca70fe4ff75f0.us-east-1.aws.found.io/app/kibana#/discover/Steve-Slow-Train-Analysis-(2080s-and-2083s)?_g=(refreshInterval:(display:Off,pause:!f,section:0,value:0),time:(from:'2017-10-01T16:34:37-0600',mode:absolute,to:'2017-10-01T19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9" s="204" t="str">
        <f>IF(AA119&lt;VLOOKUP(AG119,Variables!$AC$3:$AD$8,2,FALSE),"Y","N")</f>
        <v>N</v>
      </c>
      <c r="X119" s="204">
        <f t="shared" si="67"/>
        <v>1</v>
      </c>
      <c r="Y119" s="204">
        <f t="shared" si="73"/>
        <v>23.3003</v>
      </c>
      <c r="Z119" s="204">
        <f t="shared" si="74"/>
        <v>1.5599999999999999E-2</v>
      </c>
      <c r="AA119" s="204">
        <f t="shared" si="41"/>
        <v>23.284700000000001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2"/>
        <v>206</v>
      </c>
      <c r="AE119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19" s="74" t="str">
        <f t="shared" si="44"/>
        <v>"C:\Program Files (x86)\AstroGrep\AstroGrep.exe" /e /r /s /spath="%USERPROFILE%\AppData\Local\Temp\OnboardLogs" /stypes="app*4041*20171002*" /stext=" 00:.+((SYSTEM_STATE.+slice.+state.+changed )|(ment ac)|(multiple cpu faults)|(system.+state.+changed )|(\[timeout)|(PRM\|1\|D)|(kpr)|(kdp)|(train st.+moving)|(\|lc)|(penalty))"</v>
      </c>
      <c r="AG119" s="182" t="str">
        <f t="shared" si="45"/>
        <v>EC</v>
      </c>
      <c r="AH119" s="78" t="str">
        <f t="shared" si="46"/>
        <v>"%USERPROFILE%\Documents\GitHub\eaglep3\Utilities\RefineRTDCRunTimes.py" --tripid 206-01 --locoid 4041 --swversion DE.1.0.9.0 --startMP 204:233003 --initTime 2017-10-01T17:34:37 --startdatetime 2017-10-01T17:42:30 --delay 60 --endMP 204:156 --enddatetime 2017-10-01T18:19:46 --enforcementcount 0 &gt;&gt;c:\users\tmcdowell\Documents\GitHub\eaglep3-reporting\EC\2017-10-01-refined-times.txt</v>
      </c>
      <c r="AI11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ID","value":"206-01"},{"id":16,"name":"Locomotive ID","value":"4041"},{"id":130,"name":"Impact","value":""},{"id":150,"name":"Time of Event (Mountain Time)","value":"18:19:46"},{"id":151,"name":"Denver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8"/>
        <v>start /low /b %USERPROFILE%\Documents\GitHub\eaglep3\Utilities\DownloadLogsFromS3.py --loco 4041 --day 2017-10-01</v>
      </c>
      <c r="AN11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0"/>
        <v>https://d0f6bd738d7f1b3e5a7ca70fe4ff75f0.us-east-1.aws.found.io/app/kibana#/discover/Steve-Slow-Train-Analysis-(2080s-and-2083s)?_g=(refreshInterval:(display:Off,pause:!f,section:0,value:0),time:(from:'2017-10-01T16:34:37-0600',mode:absolute,to:'2017-10-01T19:19:46-0600'))&amp;_a=(columns:!('Message%20ID',Summary),filters:!(),index:'emp_*',interval:auto,query:(query_string:(analyze_wildcard:!t,query:'%22rtdc.l.rtdc.4041%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767</v>
      </c>
      <c r="B120" s="7">
        <v>4012</v>
      </c>
      <c r="C120" s="21" t="s">
        <v>195</v>
      </c>
      <c r="D120" s="21" t="s">
        <v>406</v>
      </c>
      <c r="E120" s="13">
        <v>43009.704467592594</v>
      </c>
      <c r="F120" s="13">
        <v>43009.708472222221</v>
      </c>
      <c r="G120" s="7">
        <v>68</v>
      </c>
      <c r="H120" s="21" t="s">
        <v>862</v>
      </c>
      <c r="I120" s="13">
        <v>43009.733958333331</v>
      </c>
      <c r="J120" s="7">
        <v>0</v>
      </c>
      <c r="K120" s="89" t="str">
        <f t="shared" si="34"/>
        <v>4011/4012</v>
      </c>
      <c r="L120" s="185" t="str">
        <f>VLOOKUP(A120,'Trips&amp;Operators'!$C$1:$G$99911,5,FALSE)</f>
        <v>GUZMAN DANNY</v>
      </c>
      <c r="M120" s="6">
        <f t="shared" si="35"/>
        <v>2.548611110978527E-2</v>
      </c>
      <c r="N120" s="7">
        <f t="shared" si="65"/>
        <v>36.699999998090789</v>
      </c>
      <c r="O120" s="7"/>
      <c r="P120" s="7"/>
      <c r="Q120" s="22"/>
      <c r="R120" s="174"/>
      <c r="S120" s="221">
        <f t="shared" si="66"/>
        <v>1</v>
      </c>
      <c r="T120" s="174" t="str">
        <f t="shared" si="38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9"/>
        <v>https://d0f6bd738d7f1b3e5a7ca70fe4ff75f0.us-east-1.aws.found.io/app/kibana#/discover/Steve-Slow-Train-Analysis-(2080s-and-2083s)?_g=(refreshInterval:(display:Off,pause:!f,section:0,value:0),time:(from:'2017-10-01T15:54:26-0600',mode:absolute,to:'2017-10-01T18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204" t="str">
        <f>IF(AA120&lt;VLOOKUP(AG120,Variables!$AC$3:$AD$8,2,FALSE),"Y","N")</f>
        <v>N</v>
      </c>
      <c r="X120" s="204">
        <f t="shared" si="67"/>
        <v>1</v>
      </c>
      <c r="Y120" s="204">
        <f t="shared" si="73"/>
        <v>4.5699999999999998E-2</v>
      </c>
      <c r="Z120" s="204">
        <f t="shared" si="74"/>
        <v>23.330200000000001</v>
      </c>
      <c r="AA120" s="204">
        <f t="shared" si="41"/>
        <v>23.284500000000001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2"/>
        <v>207</v>
      </c>
      <c r="AE120" s="77" t="str">
        <f t="shared" si="43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120" s="74" t="str">
        <f t="shared" si="44"/>
        <v>"C:\Program Files (x86)\AstroGrep\AstroGrep.exe" /e /r /s /spath="%USERPROFILE%\AppData\Local\Temp\OnboardLogs" /stypes="app*4012*20171001*" /stext=" 23:.+((SYSTEM_STATE.+slice.+state.+changed )|(ment ac)|(multiple cpu faults)|(system.+state.+changed )|(\[timeout)|(PRM\|1\|D)|(kpr)|(kdp)|(train st.+moving)|(\|lc)|(penalty))"</v>
      </c>
      <c r="AG120" s="182" t="str">
        <f t="shared" si="45"/>
        <v>EC</v>
      </c>
      <c r="AH120" s="78" t="str">
        <f t="shared" si="46"/>
        <v>"%USERPROFILE%\Documents\GitHub\eaglep3\Utilities\RefineRTDCRunTimes.py" --tripid 207-01 --locoid 4012 --swversion DE.1.0.9.0 --startMP 204:457 --initTime 2017-10-01T16:54:26 --startdatetime 2017-10-01T17:00:12 --delay 68 --endMP 204:233302 --enddatetime 2017-10-01T17:36:54 --enforcementcount 0 &gt;&gt;c:\users\tmcdowell\Documents\GitHub\eaglep3-reporting\EC\2017-10-01-refined-times.txt</v>
      </c>
      <c r="AI12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{"issue":{"subject":"","project_id":79,"tracker_id":40,"status_id":1,"priority_id":2,"assigned_to_id":338,"start_date":"2017-10-01","description":"","custom_fields":[{"id":1,"name":"Subdivision","value":"EC"},{"id":4,"name":"Milepost","value":"23.3302"},{"id":17,"name":"Train ID","value":"207-01"},{"id":16,"name":"Locomotive ID","value":"4012"},{"id":130,"name":"Impact","value":""},{"id":150,"name":"Time of Event (Mountain Time)","value":"17:36:54"},{"id":151,"name":"Denver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8"/>
        <v>start /low /b %USERPROFILE%\Documents\GitHub\eaglep3\Utilities\DownloadLogsFromS3.py --loco 4012 --day 2017-10-01</v>
      </c>
      <c r="AN120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0"/>
        <v>https://d0f6bd738d7f1b3e5a7ca70fe4ff75f0.us-east-1.aws.found.io/app/kibana#/discover/Steve-Slow-Train-Analysis-(2080s-and-2083s)?_g=(refreshInterval:(display:Off,pause:!f,section:0,value:0),time:(from:'2017-10-01T15:54:26-0600',mode:absolute,to:'2017-10-01T18:36:54-0600'))&amp;_a=(columns:!('Message%20ID',Summary),filters:!(),index:'emp_*',interval:auto,query:(query_string:(analyze_wildcard:!t,query:'%22rtdc.l.rtdc.4012%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774</v>
      </c>
      <c r="B121" s="7">
        <v>4011</v>
      </c>
      <c r="C121" s="21" t="s">
        <v>195</v>
      </c>
      <c r="D121" s="21" t="s">
        <v>392</v>
      </c>
      <c r="E121" s="13">
        <v>43009.735960648148</v>
      </c>
      <c r="F121" s="13">
        <v>43009.748113425929</v>
      </c>
      <c r="G121" s="7">
        <v>51</v>
      </c>
      <c r="H121" s="21" t="s">
        <v>357</v>
      </c>
      <c r="I121" s="13">
        <v>43009.774212962962</v>
      </c>
      <c r="J121" s="7">
        <v>0</v>
      </c>
      <c r="K121" s="89" t="str">
        <f t="shared" si="34"/>
        <v>4011/4012</v>
      </c>
      <c r="L121" s="185" t="str">
        <f>VLOOKUP(A121,'Trips&amp;Operators'!$C$1:$G$99911,5,FALSE)</f>
        <v>GUZMAN DANNY</v>
      </c>
      <c r="M121" s="6">
        <f t="shared" si="35"/>
        <v>2.6099537033587694E-2</v>
      </c>
      <c r="N121" s="7">
        <f t="shared" si="65"/>
        <v>37.58333332836628</v>
      </c>
      <c r="O121" s="7"/>
      <c r="P121" s="7"/>
      <c r="Q121" s="22"/>
      <c r="R121" s="174"/>
      <c r="S121" s="221">
        <f t="shared" si="66"/>
        <v>1</v>
      </c>
      <c r="T121" s="174" t="str">
        <f t="shared" si="38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9"/>
        <v>https://d0f6bd738d7f1b3e5a7ca70fe4ff75f0.us-east-1.aws.found.io/app/kibana#/discover/Steve-Slow-Train-Analysis-(2080s-and-2083s)?_g=(refreshInterval:(display:Off,pause:!f,section:0,value:0),time:(from:'2017-10-01T16:39:47-0600',mode:absolute,to:'2017-10-01T19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1" s="204" t="str">
        <f>IF(AA121&lt;VLOOKUP(AG121,Variables!$AC$3:$AD$8,2,FALSE),"Y","N")</f>
        <v>N</v>
      </c>
      <c r="X121" s="204">
        <f t="shared" si="67"/>
        <v>1</v>
      </c>
      <c r="Y121" s="204">
        <f t="shared" si="73"/>
        <v>23.298100000000002</v>
      </c>
      <c r="Z121" s="204">
        <f t="shared" si="74"/>
        <v>1.52E-2</v>
      </c>
      <c r="AA121" s="204">
        <f t="shared" si="41"/>
        <v>23.282900000000001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2"/>
        <v>208</v>
      </c>
      <c r="AE121" s="77" t="str">
        <f t="shared" si="4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121" s="74" t="str">
        <f t="shared" si="44"/>
        <v>"C:\Program Files (x86)\AstroGrep\AstroGrep.exe" /e /r /s /spath="%USERPROFILE%\AppData\Local\Temp\OnboardLogs" /stypes="app*4011*20171002*" /stext=" 00:.+((SYSTEM_STATE.+slice.+state.+changed )|(ment ac)|(multiple cpu faults)|(system.+state.+changed )|(\[timeout)|(PRM\|1\|D)|(kpr)|(kdp)|(train st.+moving)|(\|lc)|(penalty))"</v>
      </c>
      <c r="AG121" s="182" t="str">
        <f t="shared" si="45"/>
        <v>EC</v>
      </c>
      <c r="AH121" s="78" t="str">
        <f t="shared" si="46"/>
        <v>"%USERPROFILE%\Documents\GitHub\eaglep3\Utilities\RefineRTDCRunTimes.py" --tripid 208-01 --locoid 4011 --swversion DE.1.0.9.0 --startMP 204:232981 --initTime 2017-10-01T17:39:47 --startdatetime 2017-10-01T17:57:17 --delay 51 --endMP 204:152 --enddatetime 2017-10-01T18:34:52 --enforcementcount 0 &gt;&gt;c:\users\tmcdowell\Documents\GitHub\eaglep3-reporting\EC\2017-10-01-refined-times.txt</v>
      </c>
      <c r="AI12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ID","value":"208-01"},{"id":16,"name":"Locomotive ID","value":"4011"},{"id":130,"name":"Impact","value":""},{"id":150,"name":"Time of Event (Mountain Time)","value":"18:34:52"},{"id":151,"name":"Denver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8"/>
        <v>start /low /b %USERPROFILE%\Documents\GitHub\eaglep3\Utilities\DownloadLogsFromS3.py --loco 4011 --day 2017-10-01</v>
      </c>
      <c r="AN121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0"/>
        <v>https://d0f6bd738d7f1b3e5a7ca70fe4ff75f0.us-east-1.aws.found.io/app/kibana#/discover/Steve-Slow-Train-Analysis-(2080s-and-2083s)?_g=(refreshInterval:(display:Off,pause:!f,section:0,value:0),time:(from:'2017-10-01T16:39:47-0600',mode:absolute,to:'2017-10-01T19:34:52-0600'))&amp;_a=(columns:!('Message%20ID',Summary),filters:!(),index:'emp_*',interval:auto,query:(query_string:(analyze_wildcard:!t,query:'%22rtdc.l.rtdc.4011%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608</v>
      </c>
      <c r="B122" s="7">
        <v>4014</v>
      </c>
      <c r="C122" s="21" t="s">
        <v>195</v>
      </c>
      <c r="D122" s="21" t="s">
        <v>479</v>
      </c>
      <c r="E122" s="13">
        <v>43009.715937499997</v>
      </c>
      <c r="F122" s="13">
        <v>43009.719166666669</v>
      </c>
      <c r="G122" s="7">
        <v>71</v>
      </c>
      <c r="H122" s="21" t="s">
        <v>921</v>
      </c>
      <c r="I122" s="13">
        <v>43009.744780092595</v>
      </c>
      <c r="J122" s="7">
        <v>0</v>
      </c>
      <c r="K122" s="89" t="str">
        <f t="shared" si="34"/>
        <v>4013/4014</v>
      </c>
      <c r="L122" s="185" t="str">
        <f>VLOOKUP(A122,'Trips&amp;Operators'!$C$1:$G$99911,5,FALSE)</f>
        <v>STAMBAUGH JAMES</v>
      </c>
      <c r="M122" s="6">
        <f t="shared" si="35"/>
        <v>2.5613425925257616E-2</v>
      </c>
      <c r="N122" s="7">
        <f t="shared" si="65"/>
        <v>36.883333332370967</v>
      </c>
      <c r="O122" s="7"/>
      <c r="P122" s="7"/>
      <c r="Q122" s="22"/>
      <c r="R122" s="174"/>
      <c r="S122" s="221">
        <f t="shared" si="66"/>
        <v>1</v>
      </c>
      <c r="T122" s="174" t="str">
        <f t="shared" si="38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9"/>
        <v>https://d0f6bd738d7f1b3e5a7ca70fe4ff75f0.us-east-1.aws.found.io/app/kibana#/discover/Steve-Slow-Train-Analysis-(2080s-and-2083s)?_g=(refreshInterval:(display:Off,pause:!f,section:0,value:0),time:(from:'2017-10-01T16:10:57-0600',mode:absolute,to:'2017-10-01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4" t="str">
        <f>IF(AA122&lt;VLOOKUP(AG122,Variables!$AC$3:$AD$8,2,FALSE),"Y","N")</f>
        <v>N</v>
      </c>
      <c r="X122" s="204">
        <f t="shared" si="67"/>
        <v>1</v>
      </c>
      <c r="Y122" s="204">
        <f t="shared" si="73"/>
        <v>4.2599999999999999E-2</v>
      </c>
      <c r="Z122" s="204">
        <f t="shared" si="74"/>
        <v>23.3385</v>
      </c>
      <c r="AA122" s="204">
        <f t="shared" si="41"/>
        <v>23.2959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2"/>
        <v>209</v>
      </c>
      <c r="AE122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22" s="74" t="str">
        <f t="shared" si="44"/>
        <v>"C:\Program Files (x86)\AstroGrep\AstroGrep.exe" /e /r /s /spath="%USERPROFILE%\AppData\Local\Temp\OnboardLogs" /stypes="app*4014*20171001*" /stext=" 23:.+((SYSTEM_STATE.+slice.+state.+changed )|(ment ac)|(multiple cpu faults)|(system.+state.+changed )|(\[timeout)|(PRM\|1\|D)|(kpr)|(kdp)|(train st.+moving)|(\|lc)|(penalty))"</v>
      </c>
      <c r="AG122" s="182" t="str">
        <f t="shared" si="45"/>
        <v>EC</v>
      </c>
      <c r="AH122" s="78" t="str">
        <f t="shared" si="46"/>
        <v>"%USERPROFILE%\Documents\GitHub\eaglep3\Utilities\RefineRTDCRunTimes.py" --tripid 209-01 --locoid 4014 --swversion DE.1.0.9.0 --startMP 204:426 --initTime 2017-10-01T17:10:57 --startdatetime 2017-10-01T17:15:36 --delay 71 --endMP 204:233385 --enddatetime 2017-10-01T17:52:29 --enforcementcount 0 &gt;&gt;c:\users\tmcdowell\Documents\GitHub\eaglep3-reporting\EC\2017-10-01-refined-times.txt</v>
      </c>
      <c r="AI12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{"issue":{"subject":"","project_id":79,"tracker_id":40,"status_id":1,"priority_id":2,"assigned_to_id":338,"start_date":"2017-10-01","description":"","custom_fields":[{"id":1,"name":"Subdivision","value":"EC"},{"id":4,"name":"Milepost","value":"23.3385"},{"id":17,"name":"Train ID","value":"209-01"},{"id":16,"name":"Locomotive ID","value":"4014"},{"id":130,"name":"Impact","value":""},{"id":150,"name":"Time of Event (Mountain Time)","value":"17:52:29"},{"id":151,"name":"Denver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8"/>
        <v>start /low /b %USERPROFILE%\Documents\GitHub\eaglep3\Utilities\DownloadLogsFromS3.py --loco 4014 --day 2017-10-01</v>
      </c>
      <c r="AN122" s="151" t="str">
        <f t="shared" si="4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0"/>
        <v>https://d0f6bd738d7f1b3e5a7ca70fe4ff75f0.us-east-1.aws.found.io/app/kibana#/discover/Steve-Slow-Train-Analysis-(2080s-and-2083s)?_g=(refreshInterval:(display:Off,pause:!f,section:0,value:0),time:(from:'2017-10-01T16:10:57-0600',mode:absolute,to:'2017-10-01T18:52:29-0600'))&amp;_a=(columns:!('Message%20ID',Summary),filters:!(),index:'emp_*',interval:auto,query:(query_string:(analyze_wildcard:!t,query:'%22rtdc.l.rtdc.4014%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610</v>
      </c>
      <c r="B123" s="7">
        <v>4013</v>
      </c>
      <c r="C123" s="21" t="s">
        <v>195</v>
      </c>
      <c r="D123" s="21" t="s">
        <v>856</v>
      </c>
      <c r="E123" s="13">
        <v>43009.753506944442</v>
      </c>
      <c r="F123" s="13">
        <v>43009.758634259262</v>
      </c>
      <c r="G123" s="7">
        <v>86</v>
      </c>
      <c r="H123" s="21" t="s">
        <v>851</v>
      </c>
      <c r="I123" s="13">
        <v>43009.784826388888</v>
      </c>
      <c r="J123" s="7">
        <v>0</v>
      </c>
      <c r="K123" s="89" t="str">
        <f t="shared" si="34"/>
        <v>4013/4014</v>
      </c>
      <c r="L123" s="185" t="str">
        <f>VLOOKUP(A123,'Trips&amp;Operators'!$C$1:$G$99911,5,FALSE)</f>
        <v>STAMBAUGH JAMES</v>
      </c>
      <c r="M123" s="6">
        <f t="shared" si="35"/>
        <v>2.619212962599704E-2</v>
      </c>
      <c r="N123" s="7">
        <f t="shared" si="65"/>
        <v>37.716666661435738</v>
      </c>
      <c r="O123" s="7"/>
      <c r="P123" s="7"/>
      <c r="Q123" s="22"/>
      <c r="R123" s="174"/>
      <c r="S123" s="221">
        <f t="shared" si="66"/>
        <v>1</v>
      </c>
      <c r="T123" s="174" t="str">
        <f t="shared" si="38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9"/>
        <v>https://d0f6bd738d7f1b3e5a7ca70fe4ff75f0.us-east-1.aws.found.io/app/kibana#/discover/Steve-Slow-Train-Analysis-(2080s-and-2083s)?_g=(refreshInterval:(display:Off,pause:!f,section:0,value:0),time:(from:'2017-10-01T17:05:03-0600',mode:absolute,to:'2017-10-01T19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4" t="str">
        <f>IF(AA123&lt;VLOOKUP(AG123,Variables!$AC$3:$AD$8,2,FALSE),"Y","N")</f>
        <v>N</v>
      </c>
      <c r="X123" s="204">
        <f t="shared" si="67"/>
        <v>1</v>
      </c>
      <c r="Y123" s="204">
        <f t="shared" si="73"/>
        <v>23.302499999999998</v>
      </c>
      <c r="Z123" s="204">
        <f t="shared" si="74"/>
        <v>1.2699999999999999E-2</v>
      </c>
      <c r="AA123" s="204">
        <f t="shared" si="41"/>
        <v>23.2898</v>
      </c>
      <c r="AB123" s="54" t="str">
        <f>VLOOKUP(A123,Enforcements!$C$7:$K$11,8,0)</f>
        <v>Bulletin (2)</v>
      </c>
      <c r="AC123" s="51" t="str">
        <f>VLOOKUP(A123,Enforcements!$C$7:$E$11,3,0)</f>
        <v>GRADE CROSSING</v>
      </c>
      <c r="AD123" s="179">
        <f t="shared" si="42"/>
        <v>210</v>
      </c>
      <c r="AE123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23" s="74" t="str">
        <f t="shared" si="44"/>
        <v>"C:\Program Files (x86)\AstroGrep\AstroGrep.exe" /e /r /s /spath="%USERPROFILE%\AppData\Local\Temp\OnboardLogs" /stypes="app*4013*20171002*" /stext=" 00:.+((SYSTEM_STATE.+slice.+state.+changed )|(ment ac)|(multiple cpu faults)|(system.+state.+changed )|(\[timeout)|(PRM\|1\|D)|(kpr)|(kdp)|(train st.+moving)|(\|lc)|(penalty))"</v>
      </c>
      <c r="AG123" s="182" t="str">
        <f t="shared" si="45"/>
        <v>EC</v>
      </c>
      <c r="AH123" s="78" t="str">
        <f t="shared" si="46"/>
        <v>"%USERPROFILE%\Documents\GitHub\eaglep3\Utilities\RefineRTDCRunTimes.py" --tripid 210-01 --locoid 4013 --swversion DE.1.0.9.0 --startMP 204:233025 --initTime 2017-10-01T18:05:03 --startdatetime 2017-10-01T18:12:26 --delay 86 --endMP 204:127 --enddatetime 2017-10-01T18:50:09 --enforcementcount 0 &gt;&gt;c:\users\tmcdowell\Documents\GitHub\eaglep3-reporting\EC\2017-10-01-refined-times.txt</v>
      </c>
      <c r="AI12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{"issue":{"subject":"","project_id":79,"tracker_id":40,"status_id":1,"priority_id":2,"assigned_to_id":338,"start_date":"2017-10-01","description":"","custom_fields":[{"id":1,"name":"Subdivision","value":"EC"},{"id":4,"name":"Milepost","value":"0.0127"},{"id":17,"name":"Train ID","value":"210-01"},{"id":16,"name":"Locomotive ID","value":"4013"},{"id":130,"name":"Impact","value":""},{"id":150,"name":"Time of Event (Mountain Time)","value":"18:50:09"},{"id":151,"name":"Denver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8"/>
        <v>start /low /b %USERPROFILE%\Documents\GitHub\eaglep3\Utilities\DownloadLogsFromS3.py --loco 4013 --day 2017-10-01</v>
      </c>
      <c r="AN123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0"/>
        <v>https://d0f6bd738d7f1b3e5a7ca70fe4ff75f0.us-east-1.aws.found.io/app/kibana#/discover/Steve-Slow-Train-Analysis-(2080s-and-2083s)?_g=(refreshInterval:(display:Off,pause:!f,section:0,value:0),time:(from:'2017-10-01T17:05:03-0600',mode:absolute,to:'2017-10-01T19:50:09-0600'))&amp;_a=(columns:!('Message%20ID',Summary),filters:!(),index:'emp_*',interval:auto,query:(query_string:(analyze_wildcard:!t,query:'%22rtdc.l.rtdc.4013%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772</v>
      </c>
      <c r="B124" s="7">
        <v>4044</v>
      </c>
      <c r="C124" s="21" t="s">
        <v>195</v>
      </c>
      <c r="D124" s="21" t="s">
        <v>335</v>
      </c>
      <c r="E124" s="13">
        <v>43009.726122685184</v>
      </c>
      <c r="F124" s="13">
        <v>43009.729351851849</v>
      </c>
      <c r="G124" s="7">
        <v>77</v>
      </c>
      <c r="H124" s="21" t="s">
        <v>386</v>
      </c>
      <c r="I124" s="13">
        <v>43009.754606481481</v>
      </c>
      <c r="J124" s="7">
        <v>0</v>
      </c>
      <c r="K124" s="89" t="str">
        <f t="shared" si="34"/>
        <v>4043/4044</v>
      </c>
      <c r="L124" s="185" t="str">
        <f>VLOOKUP(A124,'Trips&amp;Operators'!$C$1:$G$99911,5,FALSE)</f>
        <v>BERLING GARY</v>
      </c>
      <c r="M124" s="6">
        <f t="shared" si="35"/>
        <v>2.5254629632399883E-2</v>
      </c>
      <c r="N124" s="7">
        <f t="shared" si="65"/>
        <v>36.366666670655832</v>
      </c>
      <c r="O124" s="7"/>
      <c r="P124" s="7"/>
      <c r="Q124" s="22"/>
      <c r="R124" s="174"/>
      <c r="S124" s="221">
        <f t="shared" si="66"/>
        <v>1</v>
      </c>
      <c r="T124" s="174" t="str">
        <f t="shared" si="38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9"/>
        <v>https://d0f6bd738d7f1b3e5a7ca70fe4ff75f0.us-east-1.aws.found.io/app/kibana#/discover/Steve-Slow-Train-Analysis-(2080s-and-2083s)?_g=(refreshInterval:(display:Off,pause:!f,section:0,value:0),time:(from:'2017-10-01T16:25:37-0600',mode:absolute,to:'2017-10-01T19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204" t="str">
        <f>IF(AA124&lt;VLOOKUP(AG124,Variables!$AC$3:$AD$8,2,FALSE),"Y","N")</f>
        <v>N</v>
      </c>
      <c r="X124" s="204">
        <f t="shared" si="67"/>
        <v>1</v>
      </c>
      <c r="Y124" s="204">
        <f t="shared" si="73"/>
        <v>4.4600000000000001E-2</v>
      </c>
      <c r="Z124" s="204">
        <f t="shared" si="74"/>
        <v>23.331199999999999</v>
      </c>
      <c r="AA124" s="204">
        <f t="shared" si="41"/>
        <v>23.2866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2"/>
        <v>211</v>
      </c>
      <c r="AE124" s="77" t="str">
        <f t="shared" si="43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124" s="74" t="str">
        <f t="shared" si="44"/>
        <v>"C:\Program Files (x86)\AstroGrep\AstroGrep.exe" /e /r /s /spath="%USERPROFILE%\AppData\Local\Temp\OnboardLogs" /stypes="app*4044*20171002*" /stext=" 00:.+((SYSTEM_STATE.+slice.+state.+changed )|(ment ac)|(multiple cpu faults)|(system.+state.+changed )|(\[timeout)|(PRM\|1\|D)|(kpr)|(kdp)|(train st.+moving)|(\|lc)|(penalty))"</v>
      </c>
      <c r="AG124" s="182" t="str">
        <f t="shared" si="45"/>
        <v>EC</v>
      </c>
      <c r="AH124" s="78" t="str">
        <f t="shared" si="46"/>
        <v>"%USERPROFILE%\Documents\GitHub\eaglep3\Utilities\RefineRTDCRunTimes.py" --tripid 211-01 --locoid 4044 --swversion DE.1.0.9.0 --startMP 204:446 --initTime 2017-10-01T17:25:37 --startdatetime 2017-10-01T17:30:16 --delay 77 --endMP 204:233312 --enddatetime 2017-10-01T18:06:38 --enforcementcount 0 &gt;&gt;c:\users\tmcdowell\Documents\GitHub\eaglep3-reporting\EC\2017-10-01-refined-times.txt</v>
      </c>
      <c r="AI12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{"issue":{"subject":"","project_id":79,"tracker_id":40,"status_id":1,"priority_id":2,"assigned_to_id":338,"start_date":"2017-10-01","description":"","custom_fields":[{"id":1,"name":"Subdivision","value":"EC"},{"id":4,"name":"Milepost","value":"23.3312"},{"id":17,"name":"Train ID","value":"211-01"},{"id":16,"name":"Locomotive ID","value":"4044"},{"id":130,"name":"Impact","value":""},{"id":150,"name":"Time of Event (Mountain Time)","value":"18:06:38"},{"id":151,"name":"Denver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8"/>
        <v>start /low /b %USERPROFILE%\Documents\GitHub\eaglep3\Utilities\DownloadLogsFromS3.py --loco 4044 --day 2017-10-01</v>
      </c>
      <c r="AN124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0"/>
        <v>https://d0f6bd738d7f1b3e5a7ca70fe4ff75f0.us-east-1.aws.found.io/app/kibana#/discover/Steve-Slow-Train-Analysis-(2080s-and-2083s)?_g=(refreshInterval:(display:Off,pause:!f,section:0,value:0),time:(from:'2017-10-01T16:25:37-0600',mode:absolute,to:'2017-10-01T19:06:38-0600'))&amp;_a=(columns:!('Message%20ID',Summary),filters:!(),index:'emp_*',interval:auto,query:(query_string:(analyze_wildcard:!t,query:'%22rtdc.l.rtdc.4044%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611</v>
      </c>
      <c r="B125" s="7">
        <v>4043</v>
      </c>
      <c r="C125" s="21" t="s">
        <v>195</v>
      </c>
      <c r="D125" s="21" t="s">
        <v>388</v>
      </c>
      <c r="E125" s="13">
        <v>43009.76734953704</v>
      </c>
      <c r="F125" s="13">
        <v>43009.792893518519</v>
      </c>
      <c r="G125" s="7">
        <v>358</v>
      </c>
      <c r="H125" s="21" t="s">
        <v>922</v>
      </c>
      <c r="I125" s="13">
        <v>43009.797789351855</v>
      </c>
      <c r="J125" s="7">
        <v>0</v>
      </c>
      <c r="K125" s="89" t="str">
        <f t="shared" si="34"/>
        <v>4043/4044</v>
      </c>
      <c r="L125" s="185" t="str">
        <f>VLOOKUP(A125,'Trips&amp;Operators'!$C$1:$G$99911,5,FALSE)</f>
        <v>BERLING GARY</v>
      </c>
      <c r="M125" s="6">
        <f t="shared" si="35"/>
        <v>4.8958333354676142E-3</v>
      </c>
      <c r="N125" s="7"/>
      <c r="O125" s="7"/>
      <c r="P125" s="7">
        <f>24*60*SUM($M125:$M125)</f>
        <v>7.0500000030733645</v>
      </c>
      <c r="Q125" s="22"/>
      <c r="R125" s="174" t="s">
        <v>985</v>
      </c>
      <c r="S125" s="221">
        <f t="shared" si="66"/>
        <v>0</v>
      </c>
      <c r="T125" s="174" t="str">
        <f t="shared" si="38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216" t="str">
        <f t="shared" si="39"/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204" t="str">
        <f>IF(AA125&lt;VLOOKUP(AG125,Variables!$AC$3:$AD$8,2,FALSE),"Y","N")</f>
        <v>Y</v>
      </c>
      <c r="X125" s="204">
        <f t="shared" si="67"/>
        <v>1</v>
      </c>
      <c r="Y125" s="204">
        <f t="shared" si="73"/>
        <v>23.299800000000001</v>
      </c>
      <c r="Z125" s="204">
        <f t="shared" si="74"/>
        <v>16.382300000000001</v>
      </c>
      <c r="AA125" s="204">
        <f t="shared" si="41"/>
        <v>6.9175000000000004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2"/>
        <v>212</v>
      </c>
      <c r="AE125" s="77" t="str">
        <f t="shared" si="4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125" s="74" t="str">
        <f t="shared" si="44"/>
        <v>"C:\Program Files (x86)\AstroGrep\AstroGrep.exe" /e /r /s /spath="%USERPROFILE%\AppData\Local\Temp\OnboardLogs" /stypes="app*4043*20171002*" /stext=" 01:.+((SYSTEM_STATE.+slice.+state.+changed )|(ment ac)|(multiple cpu faults)|(system.+state.+changed )|(\[timeout)|(PRM\|1\|D)|(kpr)|(kdp)|(train st.+moving)|(\|lc)|(penalty))"</v>
      </c>
      <c r="AG125" s="182" t="str">
        <f t="shared" si="45"/>
        <v>EC</v>
      </c>
      <c r="AH125" s="78" t="str">
        <f t="shared" si="46"/>
        <v>"%USERPROFILE%\Documents\GitHub\eaglep3\Utilities\RefineRTDCRunTimes.py" --tripid 212-01 --locoid 4043 --swversion DE.1.0.9.0 --startMP 204:232998 --initTime 2017-10-01T18:24:59 --startdatetime 2017-10-01T19:01:46 --delay 358 --endMP 204:163823 --enddatetime 2017-10-01T19:08:49 --enforcementcount 0 &gt;&gt;c:\users\tmcdowell\Documents\GitHub\eaglep3-reporting\EC\2017-10-01-refined-times.txt</v>
      </c>
      <c r="AI125" s="96" t="str">
        <f t="shared" si="47"/>
        <v>echo {"issue":{"subject":"Consist incorrectly populated as FREIGHT","project_id":79,"tracker_id":40,"status_id":1,"priority_id":2,"assigned_to_id":338,"start_date":"2017-10-01","description":"","custom_fields":[{"id":1,"name":"Subdivision","value":"EC"},{"id":4,"name":"Milepost","value":"16.3823"},{"id":17,"name":"Train ID","value":"212-01"},{"id":16,"name":"Locomotive ID","value":"4043"},{"id":130,"name":"Impact","value":""},{"id":150,"name":"Time of Event (Mountain Time)","value":"19:08:49"},{"id":151,"name":"Denver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8"/>
        <v>start /low /b %USERPROFILE%\Documents\GitHub\eaglep3\Utilities\DownloadLogsFromS3.py --loco 4043 --day 2017-10-01</v>
      </c>
      <c r="AN125" s="151" t="str">
        <f t="shared" si="49"/>
        <v>echo {"issue":{"subject":"Consist incorrectly populated as FREIGHT","project_id":30,"tracker_id":4,"status_id":1,"priority_id":1,"assigned_to_id":10,"start_date":"2017-10-02","description":"","custom_fields":[{"id":30,"name":"Category","value":"Issue"},{"id":3,"name":"Functional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0"/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Message%20ID',Summary),filters:!(),index:'emp_*',interval:auto,query:(query_string:(analyze_wildcard:!t,query:'%22rtdc.l.rtdc.4043%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775</v>
      </c>
      <c r="B126" s="7">
        <v>4016</v>
      </c>
      <c r="C126" s="21" t="s">
        <v>195</v>
      </c>
      <c r="D126" s="21" t="s">
        <v>360</v>
      </c>
      <c r="E126" s="13">
        <v>43009.737361111111</v>
      </c>
      <c r="F126" s="13">
        <v>43009.740011574075</v>
      </c>
      <c r="G126" s="7">
        <v>93</v>
      </c>
      <c r="H126" s="21" t="s">
        <v>386</v>
      </c>
      <c r="I126" s="13">
        <v>43009.765081018515</v>
      </c>
      <c r="J126" s="7">
        <v>0</v>
      </c>
      <c r="K126" s="89" t="str">
        <f t="shared" si="34"/>
        <v>4015/4016</v>
      </c>
      <c r="L126" s="185" t="str">
        <f>VLOOKUP(A126,'Trips&amp;Operators'!$C$1:$G$99911,5,FALSE)</f>
        <v>LOZA FIDEL</v>
      </c>
      <c r="M126" s="6">
        <f t="shared" si="35"/>
        <v>2.5069444440305233E-2</v>
      </c>
      <c r="N126" s="7">
        <f t="shared" ref="N126:N157" si="75">24*60*SUM($M126:$M126)</f>
        <v>36.099999994039536</v>
      </c>
      <c r="O126" s="7"/>
      <c r="P126" s="7"/>
      <c r="Q126" s="22"/>
      <c r="R126" s="174"/>
      <c r="S126" s="221">
        <f t="shared" si="66"/>
        <v>1</v>
      </c>
      <c r="T126" s="174" t="str">
        <f t="shared" si="38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9"/>
        <v>https://d0f6bd738d7f1b3e5a7ca70fe4ff75f0.us-east-1.aws.found.io/app/kibana#/discover/Steve-Slow-Train-Analysis-(2080s-and-2083s)?_g=(refreshInterval:(display:Off,pause:!f,section:0,value:0),time:(from:'2017-10-01T16:41:48-0600',mode:absolute,to:'2017-10-01T19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6" s="204" t="str">
        <f>IF(AA126&lt;VLOOKUP(AG126,Variables!$AC$3:$AD$8,2,FALSE),"Y","N")</f>
        <v>N</v>
      </c>
      <c r="X126" s="204">
        <f t="shared" si="67"/>
        <v>1</v>
      </c>
      <c r="Y126" s="204">
        <f t="shared" si="73"/>
        <v>4.6399999999999997E-2</v>
      </c>
      <c r="Z126" s="204">
        <f t="shared" si="74"/>
        <v>23.331199999999999</v>
      </c>
      <c r="AA126" s="204">
        <f t="shared" si="41"/>
        <v>23.284800000000001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2"/>
        <v>213</v>
      </c>
      <c r="AE126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26" s="74" t="str">
        <f t="shared" si="44"/>
        <v>"C:\Program Files (x86)\AstroGrep\AstroGrep.exe" /e /r /s /spath="%USERPROFILE%\AppData\Local\Temp\OnboardLogs" /stypes="app*4016*20171002*" /stext=" 00:.+((SYSTEM_STATE.+slice.+state.+changed )|(ment ac)|(multiple cpu faults)|(system.+state.+changed )|(\[timeout)|(PRM\|1\|D)|(kpr)|(kdp)|(train st.+moving)|(\|lc)|(penalty))"</v>
      </c>
      <c r="AG126" s="182" t="str">
        <f t="shared" si="45"/>
        <v>EC</v>
      </c>
      <c r="AH126" s="78" t="str">
        <f t="shared" si="46"/>
        <v>"%USERPROFILE%\Documents\GitHub\eaglep3\Utilities\RefineRTDCRunTimes.py" --tripid 213-01 --locoid 4016 --swversion DE.1.0.9.0 --startMP 204:464 --initTime 2017-10-01T17:41:48 --startdatetime 2017-10-01T17:45:37 --delay 93 --endMP 204:233312 --enddatetime 2017-10-01T18:21:43 --enforcementcount 0 &gt;&gt;c:\users\tmcdowell\Documents\GitHub\eaglep3-reporting\EC\2017-10-01-refined-times.txt</v>
      </c>
      <c r="AI12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{"issue":{"subject":"","project_id":79,"tracker_id":40,"status_id":1,"priority_id":2,"assigned_to_id":338,"start_date":"2017-10-01","description":"","custom_fields":[{"id":1,"name":"Subdivision","value":"EC"},{"id":4,"name":"Milepost","value":"23.3312"},{"id":17,"name":"Train ID","value":"213-01"},{"id":16,"name":"Locomotive ID","value":"4016"},{"id":130,"name":"Impact","value":""},{"id":150,"name":"Time of Event (Mountain Time)","value":"18:21:43"},{"id":151,"name":"Denver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8"/>
        <v>start /low /b %USERPROFILE%\Documents\GitHub\eaglep3\Utilities\DownloadLogsFromS3.py --loco 4016 --day 2017-10-01</v>
      </c>
      <c r="AN126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0"/>
        <v>https://d0f6bd738d7f1b3e5a7ca70fe4ff75f0.us-east-1.aws.found.io/app/kibana#/discover/Steve-Slow-Train-Analysis-(2080s-and-2083s)?_g=(refreshInterval:(display:Off,pause:!f,section:0,value:0),time:(from:'2017-10-01T16:41:48-0600',mode:absolute,to:'2017-10-01T19:21:43-0600'))&amp;_a=(columns:!('Message%20ID',Summary),filters:!(),index:'emp_*',interval:auto,query:(query_string:(analyze_wildcard:!t,query:'%22rtdc.l.rtdc.4016%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785</v>
      </c>
      <c r="B127" s="7">
        <v>4015</v>
      </c>
      <c r="C127" s="21" t="s">
        <v>195</v>
      </c>
      <c r="D127" s="21" t="s">
        <v>847</v>
      </c>
      <c r="E127" s="13">
        <v>43009.777812499997</v>
      </c>
      <c r="F127" s="13">
        <v>43009.779560185183</v>
      </c>
      <c r="G127" s="7">
        <v>76</v>
      </c>
      <c r="H127" s="21" t="s">
        <v>364</v>
      </c>
      <c r="I127" s="13">
        <v>43009.8121875</v>
      </c>
      <c r="J127" s="7">
        <v>0</v>
      </c>
      <c r="K127" s="89" t="str">
        <f t="shared" si="34"/>
        <v>4015/4016</v>
      </c>
      <c r="L127" s="185" t="str">
        <f>VLOOKUP(A127,'Trips&amp;Operators'!$C$1:$G$99911,5,FALSE)</f>
        <v>LOZA FIDEL</v>
      </c>
      <c r="M127" s="6">
        <f t="shared" si="35"/>
        <v>3.2627314816636499E-2</v>
      </c>
      <c r="N127" s="7">
        <f t="shared" si="75"/>
        <v>46.983333335956559</v>
      </c>
      <c r="O127" s="7"/>
      <c r="P127" s="7"/>
      <c r="Q127" s="22"/>
      <c r="R127" s="174"/>
      <c r="S127" s="221">
        <f t="shared" si="66"/>
        <v>1</v>
      </c>
      <c r="T127" s="174" t="str">
        <f t="shared" si="38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9"/>
        <v>https://d0f6bd738d7f1b3e5a7ca70fe4ff75f0.us-east-1.aws.found.io/app/kibana#/discover/Steve-Slow-Train-Analysis-(2080s-and-2083s)?_g=(refreshInterval:(display:Off,pause:!f,section:0,value:0),time:(from:'2017-10-01T17:40:03-0600',mode:absolute,to:'2017-10-01T20:29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204" t="str">
        <f>IF(AA127&lt;VLOOKUP(AG127,Variables!$AC$3:$AD$8,2,FALSE),"Y","N")</f>
        <v>N</v>
      </c>
      <c r="X127" s="204">
        <f t="shared" si="67"/>
        <v>1</v>
      </c>
      <c r="Y127" s="204">
        <f t="shared" si="73"/>
        <v>23.298400000000001</v>
      </c>
      <c r="Z127" s="204">
        <f t="shared" si="74"/>
        <v>1.5599999999999999E-2</v>
      </c>
      <c r="AA127" s="204">
        <f t="shared" si="41"/>
        <v>23.282800000000002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2"/>
        <v>214</v>
      </c>
      <c r="AE127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27" s="74" t="str">
        <f t="shared" si="44"/>
        <v>"C:\Program Files (x86)\AstroGrep\AstroGrep.exe" /e /r /s /spath="%USERPROFILE%\AppData\Local\Temp\OnboardLogs" /stypes="app*4015*20171002*" /stext=" 01:.+((SYSTEM_STATE.+slice.+state.+changed )|(ment ac)|(multiple cpu faults)|(system.+state.+changed )|(\[timeout)|(PRM\|1\|D)|(kpr)|(kdp)|(train st.+moving)|(\|lc)|(penalty))"</v>
      </c>
      <c r="AG127" s="182" t="str">
        <f t="shared" si="45"/>
        <v>EC</v>
      </c>
      <c r="AH127" s="78" t="str">
        <f t="shared" si="46"/>
        <v>"%USERPROFILE%\Documents\GitHub\eaglep3\Utilities\RefineRTDCRunTimes.py" --tripid 214-01 --locoid 4015 --swversion DE.1.0.9.0 --startMP 204:232984 --initTime 2017-10-01T18:40:03 --startdatetime 2017-10-01T18:42:34 --delay 76 --endMP 204:156 --enddatetime 2017-10-01T19:29:33 --enforcementcount 0 &gt;&gt;c:\users\tmcdowell\Documents\GitHub\eaglep3-reporting\EC\2017-10-01-refined-times.txt</v>
      </c>
      <c r="AI12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{"issue":{"subject":"","project_id":79,"tracker_id":40,"status_id":1,"priority_id":2,"assigned_to_id":338,"start_date":"2017-10-01","description":"","custom_fields":[{"id":1,"name":"Subdivision","value":"EC"},{"id":4,"name":"Milepost","value":"0.0156"},{"id":17,"name":"Train ID","value":"214-01"},{"id":16,"name":"Locomotive ID","value":"4015"},{"id":130,"name":"Impact","value":""},{"id":150,"name":"Time of Event (Mountain Time)","value":"19:29:33"},{"id":151,"name":"Denver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8"/>
        <v>start /low /b %USERPROFILE%\Documents\GitHub\eaglep3\Utilities\DownloadLogsFromS3.py --loco 4015 --day 2017-10-01</v>
      </c>
      <c r="AN127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01:29:33"},{"id":29,"name":"Sharepoint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0"/>
        <v>https://d0f6bd738d7f1b3e5a7ca70fe4ff75f0.us-east-1.aws.found.io/app/kibana#/discover/Steve-Slow-Train-Analysis-(2080s-and-2083s)?_g=(refreshInterval:(display:Off,pause:!f,section:0,value:0),time:(from:'2017-10-01T17:40:03-0600',mode:absolute,to:'2017-10-01T20:29:33-0600'))&amp;_a=(columns:!('Message%20ID',Summary),filters:!(),index:'emp_*',interval:auto,query:(query_string:(analyze_wildcard:!t,query:'%22rtdc.l.rtdc.4015%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776</v>
      </c>
      <c r="B128" s="7">
        <v>4018</v>
      </c>
      <c r="C128" s="21" t="s">
        <v>195</v>
      </c>
      <c r="D128" s="21" t="s">
        <v>369</v>
      </c>
      <c r="E128" s="13">
        <v>43009.745925925927</v>
      </c>
      <c r="F128" s="13">
        <v>43009.7502662037</v>
      </c>
      <c r="G128" s="7">
        <v>65</v>
      </c>
      <c r="H128" s="21" t="s">
        <v>839</v>
      </c>
      <c r="I128" s="13">
        <v>43009.779618055552</v>
      </c>
      <c r="J128" s="7">
        <v>0</v>
      </c>
      <c r="K128" s="89" t="str">
        <f t="shared" si="34"/>
        <v>4017/4018</v>
      </c>
      <c r="L128" s="185" t="str">
        <f>VLOOKUP(A128,'Trips&amp;Operators'!$C$1:$G$99911,5,FALSE)</f>
        <v>SMITH MICHAEL</v>
      </c>
      <c r="M128" s="6">
        <f t="shared" si="35"/>
        <v>2.9351851851970423E-2</v>
      </c>
      <c r="N128" s="7">
        <f t="shared" si="75"/>
        <v>42.266666666837409</v>
      </c>
      <c r="O128" s="7"/>
      <c r="P128" s="7"/>
      <c r="Q128" s="22"/>
      <c r="R128" s="174"/>
      <c r="S128" s="221">
        <f t="shared" si="66"/>
        <v>1</v>
      </c>
      <c r="T128" s="174" t="str">
        <f t="shared" si="38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9"/>
        <v>https://d0f6bd738d7f1b3e5a7ca70fe4ff75f0.us-east-1.aws.found.io/app/kibana#/discover/Steve-Slow-Train-Analysis-(2080s-and-2083s)?_g=(refreshInterval:(display:Off,pause:!f,section:0,value:0),time:(from:'2017-10-01T16:54:08-0600',mode:absolute,to:'2017-10-01T19:42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8" s="204" t="str">
        <f>IF(AA128&lt;VLOOKUP(AG128,Variables!$AC$3:$AD$8,2,FALSE),"Y","N")</f>
        <v>N</v>
      </c>
      <c r="X128" s="204">
        <f t="shared" si="67"/>
        <v>1</v>
      </c>
      <c r="Y128" s="204">
        <f t="shared" si="73"/>
        <v>4.4200000000000003E-2</v>
      </c>
      <c r="Z128" s="204">
        <f t="shared" si="74"/>
        <v>23.329799999999999</v>
      </c>
      <c r="AA128" s="204">
        <f t="shared" si="41"/>
        <v>23.285599999999999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2"/>
        <v>215</v>
      </c>
      <c r="AE128" s="77" t="str">
        <f t="shared" si="4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128" s="74" t="str">
        <f t="shared" si="44"/>
        <v>"C:\Program Files (x86)\AstroGrep\AstroGrep.exe" /e /r /s /spath="%USERPROFILE%\AppData\Local\Temp\OnboardLogs" /stypes="app*4018*20171002*" /stext=" 00:.+((SYSTEM_STATE.+slice.+state.+changed )|(ment ac)|(multiple cpu faults)|(system.+state.+changed )|(\[timeout)|(PRM\|1\|D)|(kpr)|(kdp)|(train st.+moving)|(\|lc)|(penalty))"</v>
      </c>
      <c r="AG128" s="182" t="str">
        <f t="shared" si="45"/>
        <v>EC</v>
      </c>
      <c r="AH128" s="78" t="str">
        <f t="shared" si="46"/>
        <v>"%USERPROFILE%\Documents\GitHub\eaglep3\Utilities\RefineRTDCRunTimes.py" --tripid 215-01 --locoid 4018 --swversion DE.1.0.9.0 --startMP 204:442 --initTime 2017-10-01T17:54:08 --startdatetime 2017-10-01T18:00:23 --delay 65 --endMP 204:233298 --enddatetime 2017-10-01T18:42:39 --enforcementcount 0 &gt;&gt;c:\users\tmcdowell\Documents\GitHub\eaglep3-reporting\EC\2017-10-01-refined-times.txt</v>
      </c>
      <c r="AI12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ID","value":"215-01"},{"id":16,"name":"Locomotive ID","value":"4018"},{"id":130,"name":"Impact","value":""},{"id":150,"name":"Time of Event (Mountain Time)","value":"18:42:39"},{"id":151,"name":"Denver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8"/>
        <v>start /low /b %USERPROFILE%\Documents\GitHub\eaglep3\Utilities\DownloadLogsFromS3.py --loco 4018 --day 2017-10-01</v>
      </c>
      <c r="AN128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00:42:39"},{"id":29,"name":"Sharepoint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0"/>
        <v>https://d0f6bd738d7f1b3e5a7ca70fe4ff75f0.us-east-1.aws.found.io/app/kibana#/discover/Steve-Slow-Train-Analysis-(2080s-and-2083s)?_g=(refreshInterval:(display:Off,pause:!f,section:0,value:0),time:(from:'2017-10-01T16:54:08-0600',mode:absolute,to:'2017-10-01T19:42:39-0600'))&amp;_a=(columns:!('Message%20ID',Summary),filters:!(),index:'emp_*',interval:auto,query:(query_string:(analyze_wildcard:!t,query:'%22rtdc.l.rtdc.4018%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613</v>
      </c>
      <c r="B129" s="7">
        <v>4017</v>
      </c>
      <c r="C129" s="21" t="s">
        <v>195</v>
      </c>
      <c r="D129" s="21" t="s">
        <v>459</v>
      </c>
      <c r="E129" s="13">
        <v>43009.784120370372</v>
      </c>
      <c r="F129" s="13">
        <v>43009.789837962962</v>
      </c>
      <c r="G129" s="7">
        <v>57</v>
      </c>
      <c r="H129" s="21" t="s">
        <v>391</v>
      </c>
      <c r="I129" s="13">
        <v>43009.817615740743</v>
      </c>
      <c r="J129" s="7">
        <v>0</v>
      </c>
      <c r="K129" s="89" t="str">
        <f t="shared" si="34"/>
        <v>4017/4018</v>
      </c>
      <c r="L129" s="185" t="str">
        <f>VLOOKUP(A129,'Trips&amp;Operators'!$C$1:$G$99911,5,FALSE)</f>
        <v>SMITH MICHAEL</v>
      </c>
      <c r="M129" s="6">
        <f t="shared" si="35"/>
        <v>2.7777777781011537E-2</v>
      </c>
      <c r="N129" s="7">
        <f t="shared" si="75"/>
        <v>40.000000004656613</v>
      </c>
      <c r="O129" s="7"/>
      <c r="P129" s="7"/>
      <c r="Q129" s="22"/>
      <c r="R129" s="174"/>
      <c r="S129" s="221">
        <f t="shared" si="66"/>
        <v>1</v>
      </c>
      <c r="T129" s="174" t="str">
        <f t="shared" si="38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9"/>
        <v>https://d0f6bd738d7f1b3e5a7ca70fe4ff75f0.us-east-1.aws.found.io/app/kibana#/discover/Steve-Slow-Train-Analysis-(2080s-and-2083s)?_g=(refreshInterval:(display:Off,pause:!f,section:0,value:0),time:(from:'2017-10-01T17:49:08-0600',mode:absolute,to:'2017-10-01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9" s="204" t="str">
        <f>IF(AA129&lt;VLOOKUP(AG129,Variables!$AC$3:$AD$8,2,FALSE),"Y","N")</f>
        <v>N</v>
      </c>
      <c r="X129" s="204">
        <f t="shared" si="67"/>
        <v>1</v>
      </c>
      <c r="Y129" s="204">
        <f t="shared" si="73"/>
        <v>23.298300000000001</v>
      </c>
      <c r="Z129" s="204">
        <f t="shared" si="74"/>
        <v>1.54E-2</v>
      </c>
      <c r="AA129" s="204">
        <f t="shared" si="41"/>
        <v>23.282900000000001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2"/>
        <v>216</v>
      </c>
      <c r="AE129" s="77" t="str">
        <f t="shared" si="43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129" s="74" t="str">
        <f t="shared" si="44"/>
        <v>"C:\Program Files (x86)\AstroGrep\AstroGrep.exe" /e /r /s /spath="%USERPROFILE%\AppData\Local\Temp\OnboardLogs" /stypes="app*4017*20171002*" /stext=" 01:.+((SYSTEM_STATE.+slice.+state.+changed )|(ment ac)|(multiple cpu faults)|(system.+state.+changed )|(\[timeout)|(PRM\|1\|D)|(kpr)|(kdp)|(train st.+moving)|(\|lc)|(penalty))"</v>
      </c>
      <c r="AG129" s="182" t="str">
        <f t="shared" si="45"/>
        <v>EC</v>
      </c>
      <c r="AH129" s="78" t="str">
        <f t="shared" si="46"/>
        <v>"%USERPROFILE%\Documents\GitHub\eaglep3\Utilities\RefineRTDCRunTimes.py" --tripid 216-01 --locoid 4017 --swversion DE.1.0.9.0 --startMP 204:232983 --initTime 2017-10-01T18:49:08 --startdatetime 2017-10-01T18:57:22 --delay 57 --endMP 204:154 --enddatetime 2017-10-01T19:37:22 --enforcementcount 0 &gt;&gt;c:\users\tmcdowell\Documents\GitHub\eaglep3-reporting\EC\2017-10-01-refined-times.txt</v>
      </c>
      <c r="AI12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ID","value":"216-01"},{"id":16,"name":"Locomotive ID","value":"4017"},{"id":130,"name":"Impact","value":""},{"id":150,"name":"Time of Event (Mountain Time)","value":"19:37:22"},{"id":151,"name":"Denver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8"/>
        <v>start /low /b %USERPROFILE%\Documents\GitHub\eaglep3\Utilities\DownloadLogsFromS3.py --loco 4017 --day 2017-10-01</v>
      </c>
      <c r="AN12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0"/>
        <v>https://d0f6bd738d7f1b3e5a7ca70fe4ff75f0.us-east-1.aws.found.io/app/kibana#/discover/Steve-Slow-Train-Analysis-(2080s-and-2083s)?_g=(refreshInterval:(display:Off,pause:!f,section:0,value:0),time:(from:'2017-10-01T17:49:08-0600',mode:absolute,to:'2017-10-01T20:37:22-0600'))&amp;_a=(columns:!('Message%20ID',Summary),filters:!(),index:'emp_*',interval:auto,query:(query_string:(analyze_wildcard:!t,query:'%22rtdc.l.rtdc.4017%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782</v>
      </c>
      <c r="B130" s="7">
        <v>4050</v>
      </c>
      <c r="C130" s="21" t="s">
        <v>195</v>
      </c>
      <c r="D130" s="21" t="s">
        <v>459</v>
      </c>
      <c r="E130" s="13">
        <v>43009.784120370372</v>
      </c>
      <c r="F130" s="13">
        <v>43009.760682870372</v>
      </c>
      <c r="G130" s="7">
        <v>57</v>
      </c>
      <c r="H130" s="21" t="s">
        <v>391</v>
      </c>
      <c r="I130" s="13">
        <v>43009.79246527778</v>
      </c>
      <c r="J130" s="7">
        <v>0</v>
      </c>
      <c r="K130" s="89" t="str">
        <f t="shared" si="34"/>
        <v>4049/4050</v>
      </c>
      <c r="L130" s="185" t="str">
        <f>VLOOKUP(A130,'Trips&amp;Operators'!$C$1:$G$99911,5,FALSE)</f>
        <v>ELBAUM MIKE</v>
      </c>
      <c r="M130" s="6">
        <f t="shared" si="35"/>
        <v>3.178240740817273E-2</v>
      </c>
      <c r="N130" s="7">
        <f t="shared" si="75"/>
        <v>45.766666667768732</v>
      </c>
      <c r="O130" s="7"/>
      <c r="P130" s="7"/>
      <c r="Q130" s="22"/>
      <c r="R130" s="174"/>
      <c r="S130" s="221">
        <f t="shared" si="66"/>
        <v>1</v>
      </c>
      <c r="T130" s="174" t="str">
        <f t="shared" si="38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9"/>
        <v>https://d0f6bd738d7f1b3e5a7ca70fe4ff75f0.us-east-1.aws.found.io/app/kibana#/discover/Steve-Slow-Train-Analysis-(2080s-and-2083s)?_g=(refreshInterval:(display:Off,pause:!f,section:0,value:0),time:(from:'2017-10-01T17:49:08-0600',mode:absolute,to:'2017-10-01T20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204" t="str">
        <f>IF(AA130&lt;VLOOKUP(AG130,Variables!$AC$3:$AD$8,2,FALSE),"Y","N")</f>
        <v>N</v>
      </c>
      <c r="X130" s="204">
        <f t="shared" si="67"/>
        <v>1</v>
      </c>
      <c r="Y130" s="204">
        <v>4.4200000000000003E-2</v>
      </c>
      <c r="Z130" s="204">
        <v>23.329799999999999</v>
      </c>
      <c r="AA130" s="204">
        <f t="shared" si="41"/>
        <v>23.285599999999999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2"/>
        <v>217</v>
      </c>
      <c r="AE130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30" s="74" t="str">
        <f t="shared" si="44"/>
        <v>"C:\Program Files (x86)\AstroGrep\AstroGrep.exe" /e /r /s /spath="%USERPROFILE%\AppData\Local\Temp\OnboardLogs" /stypes="app*4050*20171002*" /stext=" 01:.+((SYSTEM_STATE.+slice.+state.+changed )|(ment ac)|(multiple cpu faults)|(system.+state.+changed )|(\[timeout)|(PRM\|1\|D)|(kpr)|(kdp)|(train st.+moving)|(\|lc)|(penalty))"</v>
      </c>
      <c r="AG130" s="182" t="str">
        <f t="shared" si="45"/>
        <v>EC</v>
      </c>
      <c r="AH130" s="78" t="str">
        <f t="shared" ref="AH130" si="76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217-01 --locoid 4050 --swversion DE.1.0.9.0 --startMP 204:232983 --initTime 2017-10-01T18:49:08 --startdatetime 2017-10-01T18:15:23 --delay 57 --endMP 204:154 --enddatetime 2017-10-01T19:01:09 --enforcementcount 0 &gt;&gt;c:\users\tmcdowell\Documents\GitHub\eaglep3-reporting\EC\2017-10-01-refined-times.txt</v>
      </c>
      <c r="AI130" s="96" t="str">
        <f t="shared" ref="AI130" si="77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{"issue":{"subject":"","project_id":79,"tracker_id":40,"status_id":1,"priority_id":2,"assigned_to_id":338,"start_date":"2017-10-01","description":"","custom_fields":[{"id":1,"name":"Subdivision","value":"EC"},{"id":4,"name":"Milepost","value":"23.3298"},{"id":17,"name":"Train ID","value":"217-01"},{"id":16,"name":"Locomotive ID","value":"4050"},{"id":130,"name":"Impact","value":""},{"id":150,"name":"Time of Event (Mountain Time)","value":"19:01:09"},{"id":151,"name":"Denver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ref="AM130" si="78">"start /low /b "&amp;dls3logs&amp;" --loco "&amp;B130&amp;" --day "&amp;TEXT(F130,"YYYY-MM-DD")</f>
        <v>start /low /b %USERPROFILE%\Documents\GitHub\eaglep3\Utilities\DownloadLogsFromS3.py --loco 4050 --day 2017-10-01</v>
      </c>
      <c r="AN130" s="151" t="str">
        <f t="shared" ref="AN130" si="79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ref="AO130" si="80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-01T17:49:08-0600',mode:absolute,to:'2017-10-01T20:01:09-0600'))&amp;_a=(columns:!('Message%20ID',Summary),filters:!(),index:'emp_*',interval:auto,query:(query_string:(analyze_wildcard:!t,query:'%22rtdc.l.rtdc.4050%22')),sort:!(Time.ISO8601,asc))</v>
      </c>
    </row>
    <row r="131" spans="1:91" s="20" customFormat="1" x14ac:dyDescent="0.25">
      <c r="A131" s="32" t="s">
        <v>791</v>
      </c>
      <c r="B131" s="7">
        <v>4049</v>
      </c>
      <c r="C131" s="21" t="s">
        <v>195</v>
      </c>
      <c r="D131" s="21" t="s">
        <v>459</v>
      </c>
      <c r="E131" s="13">
        <v>43009.784120370372</v>
      </c>
      <c r="F131" s="13">
        <v>43009.800196759257</v>
      </c>
      <c r="G131" s="7">
        <v>57</v>
      </c>
      <c r="H131" s="21" t="s">
        <v>391</v>
      </c>
      <c r="I131" s="13">
        <v>43009.827210648145</v>
      </c>
      <c r="J131" s="7">
        <v>0</v>
      </c>
      <c r="K131" s="89" t="str">
        <f t="shared" si="34"/>
        <v>4049/4050</v>
      </c>
      <c r="L131" s="185" t="str">
        <f>VLOOKUP(A131,'Trips&amp;Operators'!$C$1:$G$99911,5,FALSE)</f>
        <v>ELBAUM MIKE</v>
      </c>
      <c r="M131" s="6">
        <f t="shared" si="35"/>
        <v>2.7013888888177462E-2</v>
      </c>
      <c r="N131" s="7">
        <f t="shared" si="75"/>
        <v>38.899999998975545</v>
      </c>
      <c r="O131" s="7"/>
      <c r="P131" s="7"/>
      <c r="Q131" s="22"/>
      <c r="R131" s="174"/>
      <c r="S131" s="221">
        <f t="shared" si="66"/>
        <v>1</v>
      </c>
      <c r="T131" s="174" t="str">
        <f t="shared" si="38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9"/>
        <v>https://d0f6bd738d7f1b3e5a7ca70fe4ff75f0.us-east-1.aws.found.io/app/kibana#/discover/Steve-Slow-Train-Analysis-(2080s-and-2083s)?_g=(refreshInterval:(display:Off,pause:!f,section:0,value:0),time:(from:'2017-10-01T17:49:08-0600',mode:absolute,to:'2017-10-01T20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204" t="str">
        <f>IF(AA131&lt;VLOOKUP(AG131,Variables!$AC$3:$AD$8,2,FALSE),"Y","N")</f>
        <v>N</v>
      </c>
      <c r="X131" s="204">
        <f t="shared" si="67"/>
        <v>1</v>
      </c>
      <c r="Y131" s="204">
        <v>23.298300000000001</v>
      </c>
      <c r="Z131" s="204">
        <v>1.54E-2</v>
      </c>
      <c r="AA131" s="204">
        <f t="shared" si="41"/>
        <v>23.282900000000001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2"/>
        <v>218</v>
      </c>
      <c r="AE131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31" s="74" t="str">
        <f t="shared" si="44"/>
        <v>"C:\Program Files (x86)\AstroGrep\AstroGrep.exe" /e /r /s /spath="%USERPROFILE%\AppData\Local\Temp\OnboardLogs" /stypes="app*4049*20171002*" /stext=" 01:.+((SYSTEM_STATE.+slice.+state.+changed )|(ment ac)|(multiple cpu faults)|(system.+state.+changed )|(\[timeout)|(PRM\|1\|D)|(kpr)|(kdp)|(train st.+moving)|(\|lc)|(penalty))"</v>
      </c>
      <c r="AG131" s="182" t="str">
        <f t="shared" si="45"/>
        <v>EC</v>
      </c>
      <c r="AH131" s="78" t="str">
        <f t="shared" ref="AH131" si="81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218-01 --locoid 4049 --swversion DE.1.0.9.0 --startMP 204:232983 --initTime 2017-10-01T18:49:08 --startdatetime 2017-10-01T19:12:17 --delay 57 --endMP 204:154 --enddatetime 2017-10-01T19:51:11 --enforcementcount 0 &gt;&gt;c:\users\tmcdowell\Documents\GitHub\eaglep3-reporting\EC\2017-10-01-refined-times.txt</v>
      </c>
      <c r="AI131" s="96" t="str">
        <f t="shared" ref="AI131" si="82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ID","value":"218-01"},{"id":16,"name":"Locomotive ID","value":"4049"},{"id":130,"name":"Impact","value":""},{"id":150,"name":"Time of Event (Mountain Time)","value":"19:51:11"},{"id":151,"name":"Denver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ref="AM131" si="83">"start /low /b "&amp;dls3logs&amp;" --loco "&amp;B131&amp;" --day "&amp;TEXT(F131,"YYYY-MM-DD")</f>
        <v>start /low /b %USERPROFILE%\Documents\GitHub\eaglep3\Utilities\DownloadLogsFromS3.py --loco 4049 --day 2017-10-01</v>
      </c>
      <c r="AN131" s="151" t="str">
        <f t="shared" ref="AN131" si="84"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ref="AO131" si="85"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-01T17:49:08-0600',mode:absolute,to:'2017-10-01T20:51:11-0600'))&amp;_a=(columns:!('Message%20ID',Summary),filters:!(),index:'emp_*',interval:auto,query:(query_string:(analyze_wildcard:!t,query:'%22rtdc.l.rtdc.4049%22')),sort:!(Time.ISO8601,asc))</v>
      </c>
    </row>
    <row r="132" spans="1:91" s="20" customFormat="1" x14ac:dyDescent="0.25">
      <c r="A132" s="32" t="s">
        <v>783</v>
      </c>
      <c r="B132" s="7">
        <v>4042</v>
      </c>
      <c r="C132" s="21" t="s">
        <v>195</v>
      </c>
      <c r="D132" s="21" t="s">
        <v>923</v>
      </c>
      <c r="E132" s="13">
        <v>43009.766157407408</v>
      </c>
      <c r="F132" s="13">
        <v>43009.771122685182</v>
      </c>
      <c r="G132" s="7">
        <v>84</v>
      </c>
      <c r="H132" s="21" t="s">
        <v>924</v>
      </c>
      <c r="I132" s="13">
        <v>43009.79891203704</v>
      </c>
      <c r="J132" s="7">
        <v>0</v>
      </c>
      <c r="K132" s="89" t="str">
        <f t="shared" si="34"/>
        <v>4041/4042</v>
      </c>
      <c r="L132" s="185" t="str">
        <f>VLOOKUP(A132,'Trips&amp;Operators'!$C$1:$G$99911,5,FALSE)</f>
        <v>DUNCAN SHEILA</v>
      </c>
      <c r="M132" s="6">
        <f t="shared" si="35"/>
        <v>2.7789351857791189E-2</v>
      </c>
      <c r="N132" s="7">
        <f t="shared" si="75"/>
        <v>40.016666675219312</v>
      </c>
      <c r="O132" s="7"/>
      <c r="P132" s="7"/>
      <c r="Q132" s="22"/>
      <c r="R132" s="174"/>
      <c r="S132" s="221">
        <f t="shared" si="66"/>
        <v>1</v>
      </c>
      <c r="T132" s="174" t="str">
        <f t="shared" si="38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9"/>
        <v>https://d0f6bd738d7f1b3e5a7ca70fe4ff75f0.us-east-1.aws.found.io/app/kibana#/discover/Steve-Slow-Train-Analysis-(2080s-and-2083s)?_g=(refreshInterval:(display:Off,pause:!f,section:0,value:0),time:(from:'2017-10-01T17:23:16-0600',mode:absolute,to:'2017-10-01T20:10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2" s="204" t="str">
        <f>IF(AA132&lt;VLOOKUP(AG132,Variables!$AC$3:$AD$8,2,FALSE),"Y","N")</f>
        <v>N</v>
      </c>
      <c r="X132" s="204">
        <f t="shared" si="67"/>
        <v>1</v>
      </c>
      <c r="Y132" s="204">
        <f t="shared" ref="Y132:Y145" si="86">RIGHT(D132,LEN(D132)-4)/10000</f>
        <v>4.2200000000000001E-2</v>
      </c>
      <c r="Z132" s="204">
        <f t="shared" ref="Z132:Z145" si="87">RIGHT(H132,LEN(H132)-4)/10000</f>
        <v>23.337399999999999</v>
      </c>
      <c r="AA132" s="204">
        <f t="shared" si="41"/>
        <v>23.295199999999998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2"/>
        <v>219</v>
      </c>
      <c r="AE132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32" s="74" t="str">
        <f t="shared" si="44"/>
        <v>"C:\Program Files (x86)\AstroGrep\AstroGrep.exe" /e /r /s /spath="%USERPROFILE%\AppData\Local\Temp\OnboardLogs" /stypes="app*4042*20171002*" /stext=" 01:.+((SYSTEM_STATE.+slice.+state.+changed )|(ment ac)|(multiple cpu faults)|(system.+state.+changed )|(\[timeout)|(PRM\|1\|D)|(kpr)|(kdp)|(train st.+moving)|(\|lc)|(penalty))"</v>
      </c>
      <c r="AG132" s="182" t="str">
        <f t="shared" si="45"/>
        <v>EC</v>
      </c>
      <c r="AH132" s="78" t="str">
        <f t="shared" si="46"/>
        <v>"%USERPROFILE%\Documents\GitHub\eaglep3\Utilities\RefineRTDCRunTimes.py" --tripid 219-01 --locoid 4042 --swversion DE.1.0.9.0 --startMP 204:422 --initTime 2017-10-01T18:23:16 --startdatetime 2017-10-01T18:30:25 --delay 84 --endMP 204:233374 --enddatetime 2017-10-01T19:10:26 --enforcementcount 0 &gt;&gt;c:\users\tmcdowell\Documents\GitHub\eaglep3-reporting\EC\2017-10-01-refined-times.txt</v>
      </c>
      <c r="AI13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{"issue":{"subject":"","project_id":79,"tracker_id":40,"status_id":1,"priority_id":2,"assigned_to_id":338,"start_date":"2017-10-01","description":"","custom_fields":[{"id":1,"name":"Subdivision","value":"EC"},{"id":4,"name":"Milepost","value":"23.3374"},{"id":17,"name":"Train ID","value":"219-01"},{"id":16,"name":"Locomotive ID","value":"4042"},{"id":130,"name":"Impact","value":""},{"id":150,"name":"Time of Event (Mountain Time)","value":"19:10:26"},{"id":151,"name":"Denver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8"/>
        <v>start /low /b %USERPROFILE%\Documents\GitHub\eaglep3\Utilities\DownloadLogsFromS3.py --loco 4042 --day 2017-10-01</v>
      </c>
      <c r="AN132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01:10:26"},{"id":29,"name":"Sharepoint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0"/>
        <v>https://d0f6bd738d7f1b3e5a7ca70fe4ff75f0.us-east-1.aws.found.io/app/kibana#/discover/Steve-Slow-Train-Analysis-(2080s-and-2083s)?_g=(refreshInterval:(display:Off,pause:!f,section:0,value:0),time:(from:'2017-10-01T17:23:16-0600',mode:absolute,to:'2017-10-01T20:10:26-0600'))&amp;_a=(columns:!('Message%20ID',Summary),filters:!(),index:'emp_*',interval:auto,query:(query_string:(analyze_wildcard:!t,query:'%22rtdc.l.rtdc.4042%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796</v>
      </c>
      <c r="B133" s="7">
        <v>4041</v>
      </c>
      <c r="C133" s="21" t="s">
        <v>195</v>
      </c>
      <c r="D133" s="21" t="s">
        <v>925</v>
      </c>
      <c r="E133" s="13">
        <v>43009.807951388888</v>
      </c>
      <c r="F133" s="13">
        <v>43009.810752314814</v>
      </c>
      <c r="G133" s="7">
        <v>67</v>
      </c>
      <c r="H133" s="21" t="s">
        <v>379</v>
      </c>
      <c r="I133" s="13">
        <v>43009.837754629632</v>
      </c>
      <c r="J133" s="7">
        <v>0</v>
      </c>
      <c r="K133" s="89" t="str">
        <f t="shared" si="34"/>
        <v>4041/4042</v>
      </c>
      <c r="L133" s="185" t="str">
        <f>VLOOKUP(A133,'Trips&amp;Operators'!$C$1:$G$99911,5,FALSE)</f>
        <v>DUNCAN SHEILA</v>
      </c>
      <c r="M133" s="6">
        <f t="shared" si="35"/>
        <v>2.7002314818673767E-2</v>
      </c>
      <c r="N133" s="7">
        <f t="shared" si="75"/>
        <v>38.883333338890225</v>
      </c>
      <c r="O133" s="7"/>
      <c r="P133" s="7"/>
      <c r="Q133" s="22"/>
      <c r="R133" s="174"/>
      <c r="S133" s="221">
        <f t="shared" si="66"/>
        <v>1</v>
      </c>
      <c r="T133" s="174" t="str">
        <f t="shared" si="38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9"/>
        <v>https://d0f6bd738d7f1b3e5a7ca70fe4ff75f0.us-east-1.aws.found.io/app/kibana#/discover/Steve-Slow-Train-Analysis-(2080s-and-2083s)?_g=(refreshInterval:(display:Off,pause:!f,section:0,value:0),time:(from:'2017-10-01T18:23:27-0600',mode:absolute,to:'2017-10-01T21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3" s="204" t="str">
        <f>IF(AA133&lt;VLOOKUP(AG133,Variables!$AC$3:$AD$8,2,FALSE),"Y","N")</f>
        <v>N</v>
      </c>
      <c r="X133" s="204">
        <f t="shared" si="67"/>
        <v>1</v>
      </c>
      <c r="Y133" s="204">
        <f t="shared" si="86"/>
        <v>23.3049</v>
      </c>
      <c r="Z133" s="204">
        <f t="shared" si="87"/>
        <v>1.3899999999999999E-2</v>
      </c>
      <c r="AA133" s="204">
        <f t="shared" si="41"/>
        <v>23.291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2"/>
        <v>220</v>
      </c>
      <c r="AE133" s="77" t="str">
        <f t="shared" si="4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33" s="74" t="str">
        <f t="shared" si="44"/>
        <v>"C:\Program Files (x86)\AstroGrep\AstroGrep.exe" /e /r /s /spath="%USERPROFILE%\AppData\Local\Temp\OnboardLogs" /stypes="app*4041*20171002*" /stext=" 02:.+((SYSTEM_STATE.+slice.+state.+changed )|(ment ac)|(multiple cpu faults)|(system.+state.+changed )|(\[timeout)|(PRM\|1\|D)|(kpr)|(kdp)|(train st.+moving)|(\|lc)|(penalty))"</v>
      </c>
      <c r="AG133" s="182" t="str">
        <f t="shared" si="45"/>
        <v>EC</v>
      </c>
      <c r="AH133" s="78" t="str">
        <f t="shared" si="46"/>
        <v>"%USERPROFILE%\Documents\GitHub\eaglep3\Utilities\RefineRTDCRunTimes.py" --tripid 220-01 --locoid 4041 --swversion DE.1.0.9.0 --startMP 204:233049 --initTime 2017-10-01T19:23:27 --startdatetime 2017-10-01T19:27:29 --delay 67 --endMP 204:139 --enddatetime 2017-10-01T20:06:22 --enforcementcount 0 &gt;&gt;c:\users\tmcdowell\Documents\GitHub\eaglep3-reporting\EC\2017-10-01-refined-times.txt</v>
      </c>
      <c r="AI13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{"issue":{"subject":"","project_id":79,"tracker_id":40,"status_id":1,"priority_id":2,"assigned_to_id":338,"start_date":"2017-10-01","description":"","custom_fields":[{"id":1,"name":"Subdivision","value":"EC"},{"id":4,"name":"Milepost","value":"0.0139"},{"id":17,"name":"Train ID","value":"220-01"},{"id":16,"name":"Locomotive ID","value":"4041"},{"id":130,"name":"Impact","value":""},{"id":150,"name":"Time of Event (Mountain Time)","value":"20:06:22"},{"id":151,"name":"Denver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8"/>
        <v>start /low /b %USERPROFILE%\Documents\GitHub\eaglep3\Utilities\DownloadLogsFromS3.py --loco 4041 --day 2017-10-01</v>
      </c>
      <c r="AN133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0"/>
        <v>https://d0f6bd738d7f1b3e5a7ca70fe4ff75f0.us-east-1.aws.found.io/app/kibana#/discover/Steve-Slow-Train-Analysis-(2080s-and-2083s)?_g=(refreshInterval:(display:Off,pause:!f,section:0,value:0),time:(from:'2017-10-01T18:23:27-0600',mode:absolute,to:'2017-10-01T21:06:22-0600'))&amp;_a=(columns:!('Message%20ID',Summary),filters:!(),index:'emp_*',interval:auto,query:(query_string:(analyze_wildcard:!t,query:'%22rtdc.l.rtdc.4041%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788</v>
      </c>
      <c r="B134" s="7">
        <v>4014</v>
      </c>
      <c r="C134" s="21" t="s">
        <v>195</v>
      </c>
      <c r="D134" s="21" t="s">
        <v>463</v>
      </c>
      <c r="E134" s="13">
        <v>43009.787777777776</v>
      </c>
      <c r="F134" s="13">
        <v>43009.791956018518</v>
      </c>
      <c r="G134" s="7">
        <v>83</v>
      </c>
      <c r="H134" s="21" t="s">
        <v>926</v>
      </c>
      <c r="I134" s="13">
        <v>43009.816666666666</v>
      </c>
      <c r="J134" s="7">
        <v>0</v>
      </c>
      <c r="K134" s="89" t="str">
        <f t="shared" si="34"/>
        <v>4013/4014</v>
      </c>
      <c r="L134" s="185" t="str">
        <f>VLOOKUP(A134,'Trips&amp;Operators'!$C$1:$G$99911,5,FALSE)</f>
        <v>STAMBAUGH JAMES</v>
      </c>
      <c r="M134" s="6">
        <f t="shared" si="35"/>
        <v>2.47106481474475E-2</v>
      </c>
      <c r="N134" s="7">
        <f t="shared" si="75"/>
        <v>35.583333332324401</v>
      </c>
      <c r="O134" s="7"/>
      <c r="P134" s="7"/>
      <c r="Q134" s="22"/>
      <c r="R134" s="174"/>
      <c r="S134" s="221">
        <f t="shared" si="66"/>
        <v>1</v>
      </c>
      <c r="T134" s="174" t="str">
        <f t="shared" si="38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9"/>
        <v>https://d0f6bd738d7f1b3e5a7ca70fe4ff75f0.us-east-1.aws.found.io/app/kibana#/discover/Steve-Slow-Train-Analysis-(2080s-and-2083s)?_g=(refreshInterval:(display:Off,pause:!f,section:0,value:0),time:(from:'2017-10-01T17:54:24-0600',mode:absolute,to:'2017-10-01T20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4" t="str">
        <f>IF(AA134&lt;VLOOKUP(AG134,Variables!$AC$3:$AD$8,2,FALSE),"Y","N")</f>
        <v>N</v>
      </c>
      <c r="X134" s="204">
        <f t="shared" si="67"/>
        <v>1</v>
      </c>
      <c r="Y134" s="204">
        <f t="shared" si="86"/>
        <v>4.3099999999999999E-2</v>
      </c>
      <c r="Z134" s="204">
        <f t="shared" si="87"/>
        <v>23.340599999999998</v>
      </c>
      <c r="AA134" s="204">
        <f t="shared" si="41"/>
        <v>23.297499999999999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2"/>
        <v>221</v>
      </c>
      <c r="AE134" s="77" t="str">
        <f t="shared" si="43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34" s="74" t="str">
        <f t="shared" si="44"/>
        <v>"C:\Program Files (x86)\AstroGrep\AstroGrep.exe" /e /r /s /spath="%USERPROFILE%\AppData\Local\Temp\OnboardLogs" /stypes="app*4014*20171002*" /stext=" 01:.+((SYSTEM_STATE.+slice.+state.+changed )|(ment ac)|(multiple cpu faults)|(system.+state.+changed )|(\[timeout)|(PRM\|1\|D)|(kpr)|(kdp)|(train st.+moving)|(\|lc)|(penalty))"</v>
      </c>
      <c r="AG134" s="182" t="str">
        <f t="shared" si="45"/>
        <v>EC</v>
      </c>
      <c r="AH134" s="78" t="str">
        <f t="shared" si="46"/>
        <v>"%USERPROFILE%\Documents\GitHub\eaglep3\Utilities\RefineRTDCRunTimes.py" --tripid 221-01 --locoid 4014 --swversion DE.1.0.9.0 --startMP 204:431 --initTime 2017-10-01T18:54:24 --startdatetime 2017-10-01T19:00:25 --delay 83 --endMP 204:233406 --enddatetime 2017-10-01T19:36:00 --enforcementcount 0 &gt;&gt;c:\users\tmcdowell\Documents\GitHub\eaglep3-reporting\EC\2017-10-01-refined-times.txt</v>
      </c>
      <c r="AI13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{"issue":{"subject":"","project_id":79,"tracker_id":40,"status_id":1,"priority_id":2,"assigned_to_id":338,"start_date":"2017-10-01","description":"","custom_fields":[{"id":1,"name":"Subdivision","value":"EC"},{"id":4,"name":"Milepost","value":"23.3406"},{"id":17,"name":"Train ID","value":"221-01"},{"id":16,"name":"Locomotive ID","value":"4014"},{"id":130,"name":"Impact","value":""},{"id":150,"name":"Time of Event (Mountain Time)","value":"19:36:00"},{"id":151,"name":"Denver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8"/>
        <v>start /low /b %USERPROFILE%\Documents\GitHub\eaglep3\Utilities\DownloadLogsFromS3.py --loco 4014 --day 2017-10-01</v>
      </c>
      <c r="AN134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0"/>
        <v>https://d0f6bd738d7f1b3e5a7ca70fe4ff75f0.us-east-1.aws.found.io/app/kibana#/discover/Steve-Slow-Train-Analysis-(2080s-and-2083s)?_g=(refreshInterval:(display:Off,pause:!f,section:0,value:0),time:(from:'2017-10-01T17:54:24-0600',mode:absolute,to:'2017-10-01T20:36:00-0600'))&amp;_a=(columns:!('Message%20ID',Summary),filters:!(),index:'emp_*',interval:auto,query:(query_string:(analyze_wildcard:!t,query:'%22rtdc.l.rtdc.4014%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803</v>
      </c>
      <c r="B135" s="7">
        <v>4013</v>
      </c>
      <c r="C135" s="21" t="s">
        <v>195</v>
      </c>
      <c r="D135" s="21" t="s">
        <v>927</v>
      </c>
      <c r="E135" s="13">
        <v>43009.828298611108</v>
      </c>
      <c r="F135" s="13">
        <v>43009.831921296296</v>
      </c>
      <c r="G135" s="7">
        <v>54</v>
      </c>
      <c r="H135" s="21" t="s">
        <v>357</v>
      </c>
      <c r="I135" s="13">
        <v>43009.858518518522</v>
      </c>
      <c r="J135" s="7">
        <v>0</v>
      </c>
      <c r="K135" s="89" t="str">
        <f t="shared" si="34"/>
        <v>4013/4014</v>
      </c>
      <c r="L135" s="185" t="str">
        <f>VLOOKUP(A135,'Trips&amp;Operators'!$C$1:$G$99911,5,FALSE)</f>
        <v>STAMBAUGH JAMES</v>
      </c>
      <c r="M135" s="6">
        <f t="shared" si="35"/>
        <v>2.6597222225973383E-2</v>
      </c>
      <c r="N135" s="7">
        <f t="shared" si="75"/>
        <v>38.300000005401671</v>
      </c>
      <c r="O135" s="7"/>
      <c r="P135" s="7"/>
      <c r="Q135" s="22"/>
      <c r="R135" s="174"/>
      <c r="S135" s="221">
        <f t="shared" si="66"/>
        <v>1</v>
      </c>
      <c r="T135" s="174" t="str">
        <f t="shared" si="38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9"/>
        <v>https://d0f6bd738d7f1b3e5a7ca70fe4ff75f0.us-east-1.aws.found.io/app/kibana#/discover/Steve-Slow-Train-Analysis-(2080s-and-2083s)?_g=(refreshInterval:(display:Off,pause:!f,section:0,value:0),time:(from:'2017-10-01T18:52:45-0600',mode:absolute,to:'2017-10-01T21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4" t="str">
        <f>IF(AA135&lt;VLOOKUP(AG135,Variables!$AC$3:$AD$8,2,FALSE),"Y","N")</f>
        <v>N</v>
      </c>
      <c r="X135" s="204">
        <f t="shared" si="67"/>
        <v>1</v>
      </c>
      <c r="Y135" s="204">
        <f t="shared" si="86"/>
        <v>23.310400000000001</v>
      </c>
      <c r="Z135" s="204">
        <f t="shared" si="87"/>
        <v>1.52E-2</v>
      </c>
      <c r="AA135" s="204">
        <f t="shared" si="41"/>
        <v>23.295200000000001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2"/>
        <v>222</v>
      </c>
      <c r="AE135" s="77" t="str">
        <f t="shared" si="43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35" s="74" t="str">
        <f t="shared" si="44"/>
        <v>"C:\Program Files (x86)\AstroGrep\AstroGrep.exe" /e /r /s /spath="%USERPROFILE%\AppData\Local\Temp\OnboardLogs" /stypes="app*4013*20171002*" /stext=" 02:.+((SYSTEM_STATE.+slice.+state.+changed )|(ment ac)|(multiple cpu faults)|(system.+state.+changed )|(\[timeout)|(PRM\|1\|D)|(kpr)|(kdp)|(train st.+moving)|(\|lc)|(penalty))"</v>
      </c>
      <c r="AG135" s="182" t="str">
        <f t="shared" si="45"/>
        <v>EC</v>
      </c>
      <c r="AH135" s="78" t="str">
        <f t="shared" si="46"/>
        <v>"%USERPROFILE%\Documents\GitHub\eaglep3\Utilities\RefineRTDCRunTimes.py" --tripid 222-01 --locoid 4013 --swversion DE.1.0.9.0 --startMP 204:233104 --initTime 2017-10-01T19:52:45 --startdatetime 2017-10-01T19:57:58 --delay 54 --endMP 204:152 --enddatetime 2017-10-01T20:36:16 --enforcementcount 0 &gt;&gt;c:\users\tmcdowell\Documents\GitHub\eaglep3-reporting\EC\2017-10-01-refined-times.txt</v>
      </c>
      <c r="AI13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{"issue":{"subject":"","project_id":79,"tracker_id":40,"status_id":1,"priority_id":2,"assigned_to_id":338,"start_date":"2017-10-01","description":"","custom_fields":[{"id":1,"name":"Subdivision","value":"EC"},{"id":4,"name":"Milepost","value":"0.0152"},{"id":17,"name":"Train ID","value":"222-01"},{"id":16,"name":"Locomotive ID","value":"4013"},{"id":130,"name":"Impact","value":""},{"id":150,"name":"Time of Event (Mountain Time)","value":"20:36:16"},{"id":151,"name":"Denver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8"/>
        <v>start /low /b %USERPROFILE%\Documents\GitHub\eaglep3\Utilities\DownloadLogsFromS3.py --loco 4013 --day 2017-10-01</v>
      </c>
      <c r="AN135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0"/>
        <v>https://d0f6bd738d7f1b3e5a7ca70fe4ff75f0.us-east-1.aws.found.io/app/kibana#/discover/Steve-Slow-Train-Analysis-(2080s-and-2083s)?_g=(refreshInterval:(display:Off,pause:!f,section:0,value:0),time:(from:'2017-10-01T18:52:45-0600',mode:absolute,to:'2017-10-01T21:36:16-0600'))&amp;_a=(columns:!('Message%20ID',Summary),filters:!(),index:'emp_*',interval:auto,query:(query_string:(analyze_wildcard:!t,query:'%22rtdc.l.rtdc.4013%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798</v>
      </c>
      <c r="B136" s="7">
        <v>4016</v>
      </c>
      <c r="C136" s="21" t="s">
        <v>195</v>
      </c>
      <c r="D136" s="21" t="s">
        <v>460</v>
      </c>
      <c r="E136" s="13">
        <v>43009.813101851854</v>
      </c>
      <c r="F136" s="13">
        <v>43009.814664351848</v>
      </c>
      <c r="G136" s="7">
        <v>49</v>
      </c>
      <c r="H136" s="21" t="s">
        <v>928</v>
      </c>
      <c r="I136" s="13">
        <v>43009.838495370372</v>
      </c>
      <c r="J136" s="7">
        <v>0</v>
      </c>
      <c r="K136" s="89" t="str">
        <f t="shared" si="34"/>
        <v>4015/4016</v>
      </c>
      <c r="L136" s="185" t="str">
        <f>VLOOKUP(A136,'Trips&amp;Operators'!$C$1:$G$99911,5,FALSE)</f>
        <v>LOZA FIDEL</v>
      </c>
      <c r="M136" s="6">
        <f t="shared" si="35"/>
        <v>2.383101852319669E-2</v>
      </c>
      <c r="N136" s="7">
        <f t="shared" si="75"/>
        <v>34.316666673403233</v>
      </c>
      <c r="O136" s="7"/>
      <c r="P136" s="7"/>
      <c r="Q136" s="22"/>
      <c r="R136" s="174"/>
      <c r="S136" s="221">
        <f t="shared" si="66"/>
        <v>1</v>
      </c>
      <c r="T136" s="174" t="str">
        <f t="shared" si="38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9"/>
        <v>https://d0f6bd738d7f1b3e5a7ca70fe4ff75f0.us-east-1.aws.found.io/app/kibana#/discover/Steve-Slow-Train-Analysis-(2080s-and-2083s)?_g=(refreshInterval:(display:Off,pause:!f,section:0,value:0),time:(from:'2017-10-01T18:30:52-0600',mode:absolute,to:'2017-10-01T21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6" s="204" t="str">
        <f>IF(AA136&lt;VLOOKUP(AG136,Variables!$AC$3:$AD$8,2,FALSE),"Y","N")</f>
        <v>N</v>
      </c>
      <c r="X136" s="204">
        <f t="shared" si="67"/>
        <v>1</v>
      </c>
      <c r="Y136" s="204">
        <f t="shared" si="86"/>
        <v>4.4400000000000002E-2</v>
      </c>
      <c r="Z136" s="204">
        <f t="shared" si="87"/>
        <v>23.338899999999999</v>
      </c>
      <c r="AA136" s="204">
        <f t="shared" si="41"/>
        <v>23.294499999999999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2"/>
        <v>223</v>
      </c>
      <c r="AE136" s="77" t="str">
        <f t="shared" si="43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36" s="74" t="str">
        <f t="shared" si="44"/>
        <v>"C:\Program Files (x86)\AstroGrep\AstroGrep.exe" /e /r /s /spath="%USERPROFILE%\AppData\Local\Temp\OnboardLogs" /stypes="app*4016*20171002*" /stext=" 02:.+((SYSTEM_STATE.+slice.+state.+changed )|(ment ac)|(multiple cpu faults)|(system.+state.+changed )|(\[timeout)|(PRM\|1\|D)|(kpr)|(kdp)|(train st.+moving)|(\|lc)|(penalty))"</v>
      </c>
      <c r="AG136" s="182" t="str">
        <f t="shared" si="45"/>
        <v>EC</v>
      </c>
      <c r="AH136" s="78" t="str">
        <f t="shared" si="46"/>
        <v>"%USERPROFILE%\Documents\GitHub\eaglep3\Utilities\RefineRTDCRunTimes.py" --tripid 223-01 --locoid 4016 --swversion DE.1.0.9.0 --startMP 204:444 --initTime 2017-10-01T19:30:52 --startdatetime 2017-10-01T19:33:07 --delay 49 --endMP 204:233389 --enddatetime 2017-10-01T20:07:26 --enforcementcount 0 &gt;&gt;c:\users\tmcdowell\Documents\GitHub\eaglep3-reporting\EC\2017-10-01-refined-times.txt</v>
      </c>
      <c r="AI136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{"issue":{"subject":"","project_id":79,"tracker_id":40,"status_id":1,"priority_id":2,"assigned_to_id":338,"start_date":"2017-10-01","description":"","custom_fields":[{"id":1,"name":"Subdivision","value":"EC"},{"id":4,"name":"Milepost","value":"23.3389"},{"id":17,"name":"Train ID","value":"223-01"},{"id":16,"name":"Locomotive ID","value":"4016"},{"id":130,"name":"Impact","value":""},{"id":150,"name":"Time of Event (Mountain Time)","value":"20:07:26"},{"id":151,"name":"Denver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8"/>
        <v>start /low /b %USERPROFILE%\Documents\GitHub\eaglep3\Utilities\DownloadLogsFromS3.py --loco 4016 --day 2017-10-01</v>
      </c>
      <c r="AN136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0"/>
        <v>https://d0f6bd738d7f1b3e5a7ca70fe4ff75f0.us-east-1.aws.found.io/app/kibana#/discover/Steve-Slow-Train-Analysis-(2080s-and-2083s)?_g=(refreshInterval:(display:Off,pause:!f,section:0,value:0),time:(from:'2017-10-01T18:30:52-0600',mode:absolute,to:'2017-10-01T21:07:26-0600'))&amp;_a=(columns:!('Message%20ID',Summary),filters:!(),index:'emp_*',interval:auto,query:(query_string:(analyze_wildcard:!t,query:'%22rtdc.l.rtdc.4016%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4015</v>
      </c>
      <c r="C137" s="21" t="s">
        <v>195</v>
      </c>
      <c r="D137" s="21" t="s">
        <v>929</v>
      </c>
      <c r="E137" s="13">
        <v>43009.849340277775</v>
      </c>
      <c r="F137" s="13">
        <v>43009.852280092593</v>
      </c>
      <c r="G137" s="7">
        <v>144</v>
      </c>
      <c r="H137" s="21" t="s">
        <v>391</v>
      </c>
      <c r="I137" s="13">
        <v>43009.877337962964</v>
      </c>
      <c r="J137" s="7">
        <v>0</v>
      </c>
      <c r="K137" s="89" t="str">
        <f t="shared" si="34"/>
        <v>4015/4016</v>
      </c>
      <c r="L137" s="185" t="str">
        <f>VLOOKUP(A137,'Trips&amp;Operators'!$C$1:$G$99911,5,FALSE)</f>
        <v>LOZA FIDEL</v>
      </c>
      <c r="M137" s="6">
        <f t="shared" si="35"/>
        <v>2.5057870370801538E-2</v>
      </c>
      <c r="N137" s="7">
        <f t="shared" si="75"/>
        <v>36.083333333954215</v>
      </c>
      <c r="O137" s="7"/>
      <c r="P137" s="7"/>
      <c r="Q137" s="22"/>
      <c r="R137" s="174"/>
      <c r="S137" s="221">
        <f t="shared" si="66"/>
        <v>1</v>
      </c>
      <c r="T137" s="174" t="str">
        <f t="shared" si="38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9"/>
        <v>https://d0f6bd738d7f1b3e5a7ca70fe4ff75f0.us-east-1.aws.found.io/app/kibana#/discover/Steve-Slow-Train-Analysis-(2080s-and-2083s)?_g=(refreshInterval:(display:Off,pause:!f,section:0,value:0),time:(from:'2017-10-01T19:23:03-0600',mode:absolute,to:'2017-10-01T22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7" s="204" t="str">
        <f>IF(AA137&lt;VLOOKUP(AG137,Variables!$AC$3:$AD$8,2,FALSE),"Y","N")</f>
        <v>N</v>
      </c>
      <c r="X137" s="204">
        <f t="shared" si="67"/>
        <v>1</v>
      </c>
      <c r="Y137" s="204">
        <f t="shared" si="86"/>
        <v>23.31</v>
      </c>
      <c r="Z137" s="204">
        <f t="shared" si="87"/>
        <v>1.54E-2</v>
      </c>
      <c r="AA137" s="204">
        <f t="shared" si="41"/>
        <v>23.294599999999999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2"/>
        <v>224</v>
      </c>
      <c r="AE137" s="77" t="str">
        <f t="shared" si="43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37" s="74" t="str">
        <f t="shared" si="44"/>
        <v>"C:\Program Files (x86)\AstroGrep\AstroGrep.exe" /e /r /s /spath="%USERPROFILE%\AppData\Local\Temp\OnboardLogs" /stypes="app*4015*20171002*" /stext=" 03:.+((SYSTEM_STATE.+slice.+state.+changed )|(ment ac)|(multiple cpu faults)|(system.+state.+changed )|(\[timeout)|(PRM\|1\|D)|(kpr)|(kdp)|(train st.+moving)|(\|lc)|(penalty))"</v>
      </c>
      <c r="AG137" s="182" t="str">
        <f t="shared" si="45"/>
        <v>EC</v>
      </c>
      <c r="AH137" s="78" t="str">
        <f t="shared" si="46"/>
        <v>"%USERPROFILE%\Documents\GitHub\eaglep3\Utilities\RefineRTDCRunTimes.py" --tripid 224-01 --locoid 4015 --swversion DE.1.0.9.0 --startMP 204:233100 --initTime 2017-10-01T20:23:03 --startdatetime 2017-10-01T20:27:17 --delay 144 --endMP 204:154 --enddatetime 2017-10-01T21:03:22 --enforcementcount 0 &gt;&gt;c:\users\tmcdowell\Documents\GitHub\eaglep3-reporting\EC\2017-10-01-refined-times.txt</v>
      </c>
      <c r="AI137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{"issue":{"subject":"","project_id":79,"tracker_id":40,"status_id":1,"priority_id":2,"assigned_to_id":338,"start_date":"2017-10-01","description":"","custom_fields":[{"id":1,"name":"Subdivision","value":"EC"},{"id":4,"name":"Milepost","value":"0.0154"},{"id":17,"name":"Train ID","value":"224-01"},{"id":16,"name":"Locomotive ID","value":"4015"},{"id":130,"name":"Impact","value":""},{"id":150,"name":"Time of Event (Mountain Time)","value":"21:03:22"},{"id":151,"name":"Denver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8"/>
        <v>start /low /b %USERPROFILE%\Documents\GitHub\eaglep3\Utilities\DownloadLogsFromS3.py --loco 4015 --day 2017-10-01</v>
      </c>
      <c r="AN137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0"/>
        <v>https://d0f6bd738d7f1b3e5a7ca70fe4ff75f0.us-east-1.aws.found.io/app/kibana#/discover/Steve-Slow-Train-Analysis-(2080s-and-2083s)?_g=(refreshInterval:(display:Off,pause:!f,section:0,value:0),time:(from:'2017-10-01T19:23:03-0600',mode:absolute,to:'2017-10-01T22:03:22-0600'))&amp;_a=(columns:!('Message%20ID',Summary),filters:!(),index:'emp_*',interval:auto,query:(query_string:(analyze_wildcard:!t,query:'%22rtdc.l.rtdc.4015%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802</v>
      </c>
      <c r="B138" s="7">
        <v>4050</v>
      </c>
      <c r="C138" s="21" t="s">
        <v>195</v>
      </c>
      <c r="D138" s="21" t="s">
        <v>394</v>
      </c>
      <c r="E138" s="13">
        <v>43009.828148148146</v>
      </c>
      <c r="F138" s="13">
        <v>43009.833472222221</v>
      </c>
      <c r="G138" s="7">
        <v>51</v>
      </c>
      <c r="H138" s="21" t="s">
        <v>930</v>
      </c>
      <c r="I138" s="13">
        <v>43009.857916666668</v>
      </c>
      <c r="J138" s="7">
        <v>0</v>
      </c>
      <c r="K138" s="89" t="str">
        <f t="shared" si="34"/>
        <v>4049/4050</v>
      </c>
      <c r="L138" s="185" t="str">
        <f>VLOOKUP(A138,'Trips&amp;Operators'!$C$1:$G$99911,5,FALSE)</f>
        <v>ELBAUM MIKE</v>
      </c>
      <c r="M138" s="6">
        <f t="shared" si="35"/>
        <v>2.4444444446999114E-2</v>
      </c>
      <c r="N138" s="7">
        <f t="shared" si="75"/>
        <v>35.200000003678724</v>
      </c>
      <c r="O138" s="7"/>
      <c r="P138" s="7"/>
      <c r="Q138" s="22"/>
      <c r="R138" s="174"/>
      <c r="S138" s="221">
        <f t="shared" si="66"/>
        <v>1</v>
      </c>
      <c r="T138" s="174" t="str">
        <f t="shared" si="38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9"/>
        <v>https://d0f6bd738d7f1b3e5a7ca70fe4ff75f0.us-east-1.aws.found.io/app/kibana#/discover/Steve-Slow-Train-Analysis-(2080s-and-2083s)?_g=(refreshInterval:(display:Off,pause:!f,section:0,value:0),time:(from:'2017-10-01T18:52:32-0600',mode:absolute,to:'2017-10-01T21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204" t="str">
        <f>IF(AA138&lt;VLOOKUP(AG138,Variables!$AC$3:$AD$8,2,FALSE),"Y","N")</f>
        <v>N</v>
      </c>
      <c r="X138" s="204">
        <f t="shared" si="67"/>
        <v>1</v>
      </c>
      <c r="Y138" s="204">
        <f t="shared" si="86"/>
        <v>4.4699999999999997E-2</v>
      </c>
      <c r="Z138" s="204">
        <f t="shared" si="87"/>
        <v>23.334</v>
      </c>
      <c r="AA138" s="204">
        <f t="shared" si="41"/>
        <v>23.289300000000001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2"/>
        <v>225</v>
      </c>
      <c r="AE138" s="77" t="str">
        <f t="shared" si="4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38" s="74" t="str">
        <f t="shared" si="44"/>
        <v>"C:\Program Files (x86)\AstroGrep\AstroGrep.exe" /e /r /s /spath="%USERPROFILE%\AppData\Local\Temp\OnboardLogs" /stypes="app*4050*20171002*" /stext=" 02:.+((SYSTEM_STATE.+slice.+state.+changed )|(ment ac)|(multiple cpu faults)|(system.+state.+changed )|(\[timeout)|(PRM\|1\|D)|(kpr)|(kdp)|(train st.+moving)|(\|lc)|(penalty))"</v>
      </c>
      <c r="AG138" s="182" t="str">
        <f t="shared" si="45"/>
        <v>EC</v>
      </c>
      <c r="AH138" s="78" t="str">
        <f t="shared" si="46"/>
        <v>"%USERPROFILE%\Documents\GitHub\eaglep3\Utilities\RefineRTDCRunTimes.py" --tripid 225-01 --locoid 4050 --swversion DE.1.0.9.0 --startMP 204:447 --initTime 2017-10-01T19:52:32 --startdatetime 2017-10-01T20:00:12 --delay 51 --endMP 204:233340 --enddatetime 2017-10-01T20:35:24 --enforcementcount 0 &gt;&gt;c:\users\tmcdowell\Documents\GitHub\eaglep3-reporting\EC\2017-10-01-refined-times.txt</v>
      </c>
      <c r="AI13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{"issue":{"subject":"","project_id":79,"tracker_id":40,"status_id":1,"priority_id":2,"assigned_to_id":338,"start_date":"2017-10-01","description":"","custom_fields":[{"id":1,"name":"Subdivision","value":"EC"},{"id":4,"name":"Milepost","value":"23.334"},{"id":17,"name":"Train ID","value":"225-01"},{"id":16,"name":"Locomotive ID","value":"4050"},{"id":130,"name":"Impact","value":""},{"id":150,"name":"Time of Event (Mountain Time)","value":"20:35:24"},{"id":151,"name":"Denver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8"/>
        <v>start /low /b %USERPROFILE%\Documents\GitHub\eaglep3\Utilities\DownloadLogsFromS3.py --loco 4050 --day 2017-10-01</v>
      </c>
      <c r="AN138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0"/>
        <v>https://d0f6bd738d7f1b3e5a7ca70fe4ff75f0.us-east-1.aws.found.io/app/kibana#/discover/Steve-Slow-Train-Analysis-(2080s-and-2083s)?_g=(refreshInterval:(display:Off,pause:!f,section:0,value:0),time:(from:'2017-10-01T18:52:32-0600',mode:absolute,to:'2017-10-01T21:35:24-0600'))&amp;_a=(columns:!('Message%20ID',Summary),filters:!(),index:'emp_*',interval:auto,query:(query_string:(analyze_wildcard:!t,query:'%22rtdc.l.rtdc.4050%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808</v>
      </c>
      <c r="B139" s="7">
        <v>4049</v>
      </c>
      <c r="C139" s="21" t="s">
        <v>195</v>
      </c>
      <c r="D139" s="21" t="s">
        <v>856</v>
      </c>
      <c r="E139" s="13">
        <v>43009.858842592592</v>
      </c>
      <c r="F139" s="13">
        <v>43009.873229166667</v>
      </c>
      <c r="G139" s="7">
        <v>59</v>
      </c>
      <c r="H139" s="21" t="s">
        <v>340</v>
      </c>
      <c r="I139" s="13">
        <v>43009.898553240739</v>
      </c>
      <c r="J139" s="7">
        <v>0</v>
      </c>
      <c r="K139" s="89" t="str">
        <f t="shared" si="34"/>
        <v>4049/4050</v>
      </c>
      <c r="L139" s="185" t="str">
        <f>VLOOKUP(A139,'Trips&amp;Operators'!$C$1:$G$99911,5,FALSE)</f>
        <v>ELBAUM MIKE</v>
      </c>
      <c r="M139" s="6">
        <f t="shared" si="35"/>
        <v>2.5324074071249925E-2</v>
      </c>
      <c r="N139" s="7">
        <f t="shared" si="75"/>
        <v>36.466666662599891</v>
      </c>
      <c r="O139" s="7"/>
      <c r="P139" s="7"/>
      <c r="Q139" s="22"/>
      <c r="R139" s="174"/>
      <c r="S139" s="221">
        <f t="shared" si="66"/>
        <v>1</v>
      </c>
      <c r="T139" s="174" t="str">
        <f t="shared" si="38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9"/>
        <v>https://d0f6bd738d7f1b3e5a7ca70fe4ff75f0.us-east-1.aws.found.io/app/kibana#/discover/Steve-Slow-Train-Analysis-(2080s-and-2083s)?_g=(refreshInterval:(display:Off,pause:!f,section:0,value:0),time:(from:'2017-10-01T19:36:44-0600',mode:absolute,to:'2017-10-01T22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204" t="str">
        <f>IF(AA139&lt;VLOOKUP(AG139,Variables!$AC$3:$AD$8,2,FALSE),"Y","N")</f>
        <v>N</v>
      </c>
      <c r="X139" s="204">
        <f t="shared" si="67"/>
        <v>1</v>
      </c>
      <c r="Y139" s="204">
        <f t="shared" si="86"/>
        <v>23.302499999999998</v>
      </c>
      <c r="Z139" s="204">
        <f t="shared" si="87"/>
        <v>1.41E-2</v>
      </c>
      <c r="AA139" s="204">
        <f t="shared" si="41"/>
        <v>23.288399999999999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2"/>
        <v>226</v>
      </c>
      <c r="AE139" s="77" t="str">
        <f t="shared" si="4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39" s="74" t="str">
        <f t="shared" si="44"/>
        <v>"C:\Program Files (x86)\AstroGrep\AstroGrep.exe" /e /r /s /spath="%USERPROFILE%\AppData\Local\Temp\OnboardLogs" /stypes="app*4049*20171002*" /stext=" 03:.+((SYSTEM_STATE.+slice.+state.+changed )|(ment ac)|(multiple cpu faults)|(system.+state.+changed )|(\[timeout)|(PRM\|1\|D)|(kpr)|(kdp)|(train st.+moving)|(\|lc)|(penalty))"</v>
      </c>
      <c r="AG139" s="182" t="str">
        <f t="shared" si="45"/>
        <v>EC</v>
      </c>
      <c r="AH139" s="78" t="str">
        <f t="shared" si="46"/>
        <v>"%USERPROFILE%\Documents\GitHub\eaglep3\Utilities\RefineRTDCRunTimes.py" --tripid 226-01 --locoid 4049 --swversion DE.1.0.9.0 --startMP 204:233025 --initTime 2017-10-01T20:36:44 --startdatetime 2017-10-01T20:57:27 --delay 59 --endMP 204:141 --enddatetime 2017-10-01T21:33:55 --enforcementcount 0 &gt;&gt;c:\users\tmcdowell\Documents\GitHub\eaglep3-reporting\EC\2017-10-01-refined-times.txt</v>
      </c>
      <c r="AI139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{"issue":{"subject":"","project_id":79,"tracker_id":40,"status_id":1,"priority_id":2,"assigned_to_id":338,"start_date":"2017-10-01","description":"","custom_fields":[{"id":1,"name":"Subdivision","value":"EC"},{"id":4,"name":"Milepost","value":"0.0141"},{"id":17,"name":"Train ID","value":"226-01"},{"id":16,"name":"Locomotive ID","value":"4049"},{"id":130,"name":"Impact","value":""},{"id":150,"name":"Time of Event (Mountain Time)","value":"21:33:55"},{"id":151,"name":"Denver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8"/>
        <v>start /low /b %USERPROFILE%\Documents\GitHub\eaglep3\Utilities\DownloadLogsFromS3.py --loco 4049 --day 2017-10-01</v>
      </c>
      <c r="AN13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0"/>
        <v>https://d0f6bd738d7f1b3e5a7ca70fe4ff75f0.us-east-1.aws.found.io/app/kibana#/discover/Steve-Slow-Train-Analysis-(2080s-and-2083s)?_g=(refreshInterval:(display:Off,pause:!f,section:0,value:0),time:(from:'2017-10-01T19:36:44-0600',mode:absolute,to:'2017-10-01T22:33:55-0600'))&amp;_a=(columns:!('Message%20ID',Summary),filters:!(),index:'emp_*',interval:auto,query:(query_string:(analyze_wildcard:!t,query:'%22rtdc.l.rtdc.4049%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805</v>
      </c>
      <c r="B140" s="7">
        <v>4042</v>
      </c>
      <c r="C140" s="21" t="s">
        <v>195</v>
      </c>
      <c r="D140" s="21" t="s">
        <v>460</v>
      </c>
      <c r="E140" s="13">
        <v>43009.838923611111</v>
      </c>
      <c r="F140" s="13">
        <v>43009.854386574072</v>
      </c>
      <c r="G140" s="7">
        <v>71</v>
      </c>
      <c r="H140" s="21" t="s">
        <v>931</v>
      </c>
      <c r="I140" s="13">
        <v>43009.87940972222</v>
      </c>
      <c r="J140" s="7">
        <v>0</v>
      </c>
      <c r="K140" s="89" t="str">
        <f t="shared" si="34"/>
        <v>4041/4042</v>
      </c>
      <c r="L140" s="185" t="str">
        <f>VLOOKUP(A140,'Trips&amp;Operators'!$C$1:$G$99911,5,FALSE)</f>
        <v>DUNCAN SHEILA</v>
      </c>
      <c r="M140" s="6">
        <f t="shared" si="35"/>
        <v>2.5023148147738539E-2</v>
      </c>
      <c r="N140" s="7">
        <f t="shared" si="75"/>
        <v>36.033333332743496</v>
      </c>
      <c r="O140" s="7"/>
      <c r="P140" s="7"/>
      <c r="Q140" s="22"/>
      <c r="R140" s="174"/>
      <c r="S140" s="221">
        <f t="shared" si="66"/>
        <v>1</v>
      </c>
      <c r="T140" s="174" t="str">
        <f t="shared" si="38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9"/>
        <v>https://d0f6bd738d7f1b3e5a7ca70fe4ff75f0.us-east-1.aws.found.io/app/kibana#/discover/Steve-Slow-Train-Analysis-(2080s-and-2083s)?_g=(refreshInterval:(display:Off,pause:!f,section:0,value:0),time:(from:'2017-10-01T19:08:03-0600',mode:absolute,to:'2017-10-01T22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0" s="204" t="str">
        <f>IF(AA140&lt;VLOOKUP(AG140,Variables!$AC$3:$AD$8,2,FALSE),"Y","N")</f>
        <v>N</v>
      </c>
      <c r="X140" s="204">
        <f t="shared" si="67"/>
        <v>1</v>
      </c>
      <c r="Y140" s="204">
        <f t="shared" si="86"/>
        <v>4.4400000000000002E-2</v>
      </c>
      <c r="Z140" s="204">
        <f t="shared" si="87"/>
        <v>23.336600000000001</v>
      </c>
      <c r="AA140" s="204">
        <f t="shared" si="41"/>
        <v>23.292200000000001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2"/>
        <v>227</v>
      </c>
      <c r="AE140" s="77" t="str">
        <f t="shared" si="4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40" s="74" t="str">
        <f t="shared" si="44"/>
        <v>"C:\Program Files (x86)\AstroGrep\AstroGrep.exe" /e /r /s /spath="%USERPROFILE%\AppData\Local\Temp\OnboardLogs" /stypes="app*4042*20171002*" /stext=" 03:.+((SYSTEM_STATE.+slice.+state.+changed )|(ment ac)|(multiple cpu faults)|(system.+state.+changed )|(\[timeout)|(PRM\|1\|D)|(kpr)|(kdp)|(train st.+moving)|(\|lc)|(penalty))"</v>
      </c>
      <c r="AG140" s="182" t="str">
        <f t="shared" si="45"/>
        <v>EC</v>
      </c>
      <c r="AH140" s="78" t="str">
        <f t="shared" si="46"/>
        <v>"%USERPROFILE%\Documents\GitHub\eaglep3\Utilities\RefineRTDCRunTimes.py" --tripid 227-01 --locoid 4042 --swversion DE.1.0.9.0 --startMP 204:444 --initTime 2017-10-01T20:08:03 --startdatetime 2017-10-01T20:30:19 --delay 71 --endMP 204:233366 --enddatetime 2017-10-01T21:06:21 --enforcementcount 0 &gt;&gt;c:\users\tmcdowell\Documents\GitHub\eaglep3-reporting\EC\2017-10-01-refined-times.txt</v>
      </c>
      <c r="AI140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{"issue":{"subject":"","project_id":79,"tracker_id":40,"status_id":1,"priority_id":2,"assigned_to_id":338,"start_date":"2017-10-01","description":"","custom_fields":[{"id":1,"name":"Subdivision","value":"EC"},{"id":4,"name":"Milepost","value":"23.3366"},{"id":17,"name":"Train ID","value":"227-01"},{"id":16,"name":"Locomotive ID","value":"4042"},{"id":130,"name":"Impact","value":""},{"id":150,"name":"Time of Event (Mountain Time)","value":"21:06:21"},{"id":151,"name":"Denver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8"/>
        <v>start /low /b %USERPROFILE%\Documents\GitHub\eaglep3\Utilities\DownloadLogsFromS3.py --loco 4042 --day 2017-10-01</v>
      </c>
      <c r="AN140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0"/>
        <v>https://d0f6bd738d7f1b3e5a7ca70fe4ff75f0.us-east-1.aws.found.io/app/kibana#/discover/Steve-Slow-Train-Analysis-(2080s-and-2083s)?_g=(refreshInterval:(display:Off,pause:!f,section:0,value:0),time:(from:'2017-10-01T19:08:03-0600',mode:absolute,to:'2017-10-01T22:06:21-0600'))&amp;_a=(columns:!('Message%20ID',Summary),filters:!(),index:'emp_*',interval:auto,query:(query_string:(analyze_wildcard:!t,query:'%22rtdc.l.rtdc.4042%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615</v>
      </c>
      <c r="B141" s="7">
        <v>4041</v>
      </c>
      <c r="C141" s="21" t="s">
        <v>195</v>
      </c>
      <c r="D141" s="21" t="s">
        <v>932</v>
      </c>
      <c r="E141" s="13">
        <v>43009.889050925929</v>
      </c>
      <c r="F141" s="13">
        <v>43009.893935185188</v>
      </c>
      <c r="G141" s="7">
        <v>59</v>
      </c>
      <c r="H141" s="21" t="s">
        <v>462</v>
      </c>
      <c r="I141" s="13">
        <v>43009.920416666668</v>
      </c>
      <c r="J141" s="7">
        <v>0</v>
      </c>
      <c r="K141" s="89" t="str">
        <f t="shared" ref="K141:K204" si="88">IF(ISEVEN(B141),(B141-1)&amp;"/"&amp;B141,B141&amp;"/"&amp;(B141+1))</f>
        <v>4041/4042</v>
      </c>
      <c r="L141" s="185" t="str">
        <f>VLOOKUP(A141,'Trips&amp;Operators'!$C$1:$G$99911,5,FALSE)</f>
        <v>DUNCAN SHEILA</v>
      </c>
      <c r="M141" s="6">
        <f t="shared" ref="M141:M204" si="89">I141-F141</f>
        <v>2.6481481480004732E-2</v>
      </c>
      <c r="N141" s="7">
        <f t="shared" si="75"/>
        <v>38.133333331206813</v>
      </c>
      <c r="O141" s="7"/>
      <c r="P141" s="7"/>
      <c r="Q141" s="22"/>
      <c r="R141" s="174"/>
      <c r="S141" s="221">
        <f t="shared" ref="S141:S172" si="90">1/IF(AG141="EC",12,1)*SUM(U141:U141)</f>
        <v>1</v>
      </c>
      <c r="T141" s="174" t="str">
        <f t="shared" ref="T141:T204" si="91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9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-01T20:20:14-0600',mode:absolute,to:'2017-10-01T23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1" s="204" t="str">
        <f>IF(AA141&lt;VLOOKUP(AG141,Variables!$AC$3:$AD$8,2,FALSE),"Y","N")</f>
        <v>N</v>
      </c>
      <c r="X141" s="204">
        <f t="shared" ref="X141:X158" si="93">VALUE(LEFT(AD141,4))-VALUE(LEFT(AD140,4))</f>
        <v>1</v>
      </c>
      <c r="Y141" s="204">
        <f t="shared" si="86"/>
        <v>23.3066</v>
      </c>
      <c r="Z141" s="204">
        <f t="shared" si="87"/>
        <v>1.29E-2</v>
      </c>
      <c r="AA141" s="204">
        <f t="shared" ref="AA141:AA204" si="94">ABS(Z141-Y141)</f>
        <v>23.293700000000001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95">VALUE(LEFT(A141,LEN(A141)-3))</f>
        <v>228</v>
      </c>
      <c r="AE141" s="77" t="str">
        <f t="shared" ref="AE141:AE204" si="9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41" s="74" t="str">
        <f t="shared" ref="AF141:AF204" si="9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/stypes="app*4041*20171002*"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98">DetSubdiv(A141)</f>
        <v>EC</v>
      </c>
      <c r="AH141" s="78" t="str">
        <f t="shared" si="46"/>
        <v>"%USERPROFILE%\Documents\GitHub\eaglep3\Utilities\RefineRTDCRunTimes.py" --tripid 228-01 --locoid 4041 --swversion DE.1.0.9.0 --startMP 204:233066 --initTime 2017-10-01T21:20:14 --startdatetime 2017-10-01T21:27:16 --delay 59 --endMP 204:129 --enddatetime 2017-10-01T22:05:24 --enforcementcount 0 &gt;&gt;c:\users\tmcdowell\Documents\GitHub\eaglep3-reporting\EC\2017-10-01-refined-times.txt</v>
      </c>
      <c r="AI141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{"issue":{"subject":"","project_id":79,"tracker_id":40,"status_id":1,"priority_id":2,"assigned_to_id":338,"start_date":"2017-10-01","description":"","custom_fields":[{"id":1,"name":"Subdivision","value":"EC"},{"id":4,"name":"Milepost","value":"0.0129"},{"id":17,"name":"Train ID","value":"228-01"},{"id":16,"name":"Locomotive ID","value":"4041"},{"id":130,"name":"Impact","value":""},{"id":150,"name":"Time of Event (Mountain Time)","value":"22:05:24"},{"id":151,"name":"Denver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8"/>
        <v>start /low /b %USERPROFILE%\Documents\GitHub\eaglep3\Utilities\DownloadLogsFromS3.py --loco 4041 --day 2017-10-01</v>
      </c>
      <c r="AN141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0"/>
        <v>https://d0f6bd738d7f1b3e5a7ca70fe4ff75f0.us-east-1.aws.found.io/app/kibana#/discover/Steve-Slow-Train-Analysis-(2080s-and-2083s)?_g=(refreshInterval:(display:Off,pause:!f,section:0,value:0),time:(from:'2017-10-01T20:20:14-0600',mode:absolute,to:'2017-10-01T23:05:24-0600'))&amp;_a=(columns:!('Message%20ID',Summary),filters:!(),index:'emp_*',interval:auto,query:(query_string:(analyze_wildcard:!t,query:'%22rtdc.l.rtdc.4041%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810</v>
      </c>
      <c r="B142" s="7">
        <v>4014</v>
      </c>
      <c r="C142" s="21" t="s">
        <v>195</v>
      </c>
      <c r="D142" s="21" t="s">
        <v>347</v>
      </c>
      <c r="E142" s="13">
        <v>43009.860092592593</v>
      </c>
      <c r="F142" s="13">
        <v>43009.875300925924</v>
      </c>
      <c r="G142" s="7">
        <v>63</v>
      </c>
      <c r="H142" s="21" t="s">
        <v>933</v>
      </c>
      <c r="I142" s="13">
        <v>43009.899768518517</v>
      </c>
      <c r="J142" s="7">
        <v>0</v>
      </c>
      <c r="K142" s="89" t="str">
        <f t="shared" si="88"/>
        <v>4013/4014</v>
      </c>
      <c r="L142" s="185" t="str">
        <f>VLOOKUP(A142,'Trips&amp;Operators'!$C$1:$G$99911,5,FALSE)</f>
        <v>STAMBAUGH JAMES</v>
      </c>
      <c r="M142" s="6">
        <f t="shared" si="89"/>
        <v>2.4467592593282461E-2</v>
      </c>
      <c r="N142" s="7">
        <f t="shared" si="75"/>
        <v>35.233333334326744</v>
      </c>
      <c r="O142" s="7"/>
      <c r="P142" s="7"/>
      <c r="Q142" s="22"/>
      <c r="R142" s="174"/>
      <c r="S142" s="221">
        <f t="shared" si="90"/>
        <v>1</v>
      </c>
      <c r="T142" s="174" t="str">
        <f t="shared" si="91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92"/>
        <v>https://d0f6bd738d7f1b3e5a7ca70fe4ff75f0.us-east-1.aws.found.io/app/kibana#/discover/Steve-Slow-Train-Analysis-(2080s-and-2083s)?_g=(refreshInterval:(display:Off,pause:!f,section:0,value:0),time:(from:'2017-10-01T19:38:32-0600',mode:absolute,to:'2017-10-01T22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4" t="str">
        <f>IF(AA142&lt;VLOOKUP(AG142,Variables!$AC$3:$AD$8,2,FALSE),"Y","N")</f>
        <v>N</v>
      </c>
      <c r="X142" s="204">
        <f t="shared" si="93"/>
        <v>1</v>
      </c>
      <c r="Y142" s="204">
        <f t="shared" si="86"/>
        <v>4.5499999999999999E-2</v>
      </c>
      <c r="Z142" s="204">
        <f t="shared" si="87"/>
        <v>23.344799999999999</v>
      </c>
      <c r="AA142" s="204">
        <f t="shared" si="94"/>
        <v>23.299299999999999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95"/>
        <v>229</v>
      </c>
      <c r="AE142" s="77" t="str">
        <f t="shared" si="96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42" s="74" t="str">
        <f t="shared" si="97"/>
        <v>"C:\Program Files (x86)\AstroGrep\AstroGrep.exe" /e /r /s /spath="%USERPROFILE%\AppData\Local\Temp\OnboardLogs" /stypes="app*4014*20171002*" /stext=" 03:.+((SYSTEM_STATE.+slice.+state.+changed )|(ment ac)|(multiple cpu faults)|(system.+state.+changed )|(\[timeout)|(PRM\|1\|D)|(kpr)|(kdp)|(train st.+moving)|(\|lc)|(penalty))"</v>
      </c>
      <c r="AG142" s="182" t="str">
        <f t="shared" si="98"/>
        <v>EC</v>
      </c>
      <c r="AH142" s="78" t="str">
        <f t="shared" si="46"/>
        <v>"%USERPROFILE%\Documents\GitHub\eaglep3\Utilities\RefineRTDCRunTimes.py" --tripid 229-01 --locoid 4014 --swversion DE.1.0.9.0 --startMP 204:455 --initTime 2017-10-01T20:38:32 --startdatetime 2017-10-01T21:00:26 --delay 63 --endMP 204:233448 --enddatetime 2017-10-01T21:35:40 --enforcementcount 0 &gt;&gt;c:\users\tmcdowell\Documents\GitHub\eaglep3-reporting\EC\2017-10-01-refined-times.txt</v>
      </c>
      <c r="AI142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{"issue":{"subject":"","project_id":79,"tracker_id":40,"status_id":1,"priority_id":2,"assigned_to_id":338,"start_date":"2017-10-01","description":"","custom_fields":[{"id":1,"name":"Subdivision","value":"EC"},{"id":4,"name":"Milepost","value":"23.3448"},{"id":17,"name":"Train ID","value":"229-01"},{"id":16,"name":"Locomotive ID","value":"4014"},{"id":130,"name":"Impact","value":""},{"id":150,"name":"Time of Event (Mountain Time)","value":"21:35:40"},{"id":151,"name":"Denver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8"/>
        <v>start /low /b %USERPROFILE%\Documents\GitHub\eaglep3\Utilities\DownloadLogsFromS3.py --loco 4014 --day 2017-10-01</v>
      </c>
      <c r="AN142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0"/>
        <v>https://d0f6bd738d7f1b3e5a7ca70fe4ff75f0.us-east-1.aws.found.io/app/kibana#/discover/Steve-Slow-Train-Analysis-(2080s-and-2083s)?_g=(refreshInterval:(display:Off,pause:!f,section:0,value:0),time:(from:'2017-10-01T19:38:32-0600',mode:absolute,to:'2017-10-01T22:35:40-0600'))&amp;_a=(columns:!('Message%20ID',Summary),filters:!(),index:'emp_*',interval:auto,query:(query_string:(analyze_wildcard:!t,query:'%22rtdc.l.rtdc.4014%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814</v>
      </c>
      <c r="B143" s="7">
        <v>4013</v>
      </c>
      <c r="C143" s="21" t="s">
        <v>195</v>
      </c>
      <c r="D143" s="21" t="s">
        <v>934</v>
      </c>
      <c r="E143" s="13">
        <v>43009.910868055558</v>
      </c>
      <c r="F143" s="13">
        <v>43009.915023148147</v>
      </c>
      <c r="G143" s="7">
        <v>67</v>
      </c>
      <c r="H143" s="21" t="s">
        <v>446</v>
      </c>
      <c r="I143" s="13">
        <v>43009.940613425926</v>
      </c>
      <c r="J143" s="7">
        <v>0</v>
      </c>
      <c r="K143" s="89" t="str">
        <f t="shared" si="88"/>
        <v>4013/4014</v>
      </c>
      <c r="L143" s="185" t="str">
        <f>VLOOKUP(A143,'Trips&amp;Operators'!$C$1:$G$99911,5,FALSE)</f>
        <v>STAMBAUGH JAMES</v>
      </c>
      <c r="M143" s="6">
        <f t="shared" si="89"/>
        <v>2.5590277778974269E-2</v>
      </c>
      <c r="N143" s="7">
        <f t="shared" si="75"/>
        <v>36.850000001722947</v>
      </c>
      <c r="O143" s="7"/>
      <c r="P143" s="7"/>
      <c r="Q143" s="22"/>
      <c r="R143" s="174"/>
      <c r="S143" s="221">
        <f t="shared" si="90"/>
        <v>1</v>
      </c>
      <c r="T143" s="174" t="str">
        <f t="shared" si="91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92"/>
        <v>https://d0f6bd738d7f1b3e5a7ca70fe4ff75f0.us-east-1.aws.found.io/app/kibana#/discover/Steve-Slow-Train-Analysis-(2080s-and-2083s)?_g=(refreshInterval:(display:Off,pause:!f,section:0,value:0),time:(from:'2017-10-01T20:51:39-0600',mode:absolute,to:'2017-10-01T23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4" t="str">
        <f>IF(AA143&lt;VLOOKUP(AG143,Variables!$AC$3:$AD$8,2,FALSE),"Y","N")</f>
        <v>N</v>
      </c>
      <c r="X143" s="204">
        <f t="shared" si="93"/>
        <v>1</v>
      </c>
      <c r="Y143" s="204">
        <f t="shared" si="86"/>
        <v>23.314900000000002</v>
      </c>
      <c r="Z143" s="204">
        <f t="shared" si="87"/>
        <v>1.34E-2</v>
      </c>
      <c r="AA143" s="204">
        <f t="shared" si="94"/>
        <v>23.301500000000001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95"/>
        <v>230</v>
      </c>
      <c r="AE143" s="77" t="str">
        <f t="shared" si="96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43" s="74" t="str">
        <f t="shared" si="97"/>
        <v>"C:\Program Files (x86)\AstroGrep\AstroGrep.exe" /e /r /s /spath="%USERPROFILE%\AppData\Local\Temp\OnboardLogs" /stypes="app*4013*20171002*" /stext=" 04:.+((SYSTEM_STATE.+slice.+state.+changed )|(ment ac)|(multiple cpu faults)|(system.+state.+changed )|(\[timeout)|(PRM\|1\|D)|(kpr)|(kdp)|(train st.+moving)|(\|lc)|(penalty))"</v>
      </c>
      <c r="AG143" s="182" t="str">
        <f t="shared" si="98"/>
        <v>EC</v>
      </c>
      <c r="AH143" s="78" t="str">
        <f t="shared" si="46"/>
        <v>"%USERPROFILE%\Documents\GitHub\eaglep3\Utilities\RefineRTDCRunTimes.py" --tripid 230-01 --locoid 4013 --swversion DE.1.0.9.0 --startMP 204:233149 --initTime 2017-10-01T21:51:39 --startdatetime 2017-10-01T21:57:38 --delay 67 --endMP 204:134 --enddatetime 2017-10-01T22:34:29 --enforcementcount 0 &gt;&gt;c:\users\tmcdowell\Documents\GitHub\eaglep3-reporting\EC\2017-10-01-refined-times.txt</v>
      </c>
      <c r="AI143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{"issue":{"subject":"","project_id":79,"tracker_id":40,"status_id":1,"priority_id":2,"assigned_to_id":338,"start_date":"2017-10-01","description":"","custom_fields":[{"id":1,"name":"Subdivision","value":"EC"},{"id":4,"name":"Milepost","value":"0.0134"},{"id":17,"name":"Train ID","value":"230-01"},{"id":16,"name":"Locomotive ID","value":"4013"},{"id":130,"name":"Impact","value":""},{"id":150,"name":"Time of Event (Mountain Time)","value":"22:34:29"},{"id":151,"name":"Denver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8"/>
        <v>start /low /b %USERPROFILE%\Documents\GitHub\eaglep3\Utilities\DownloadLogsFromS3.py --loco 4013 --day 2017-10-01</v>
      </c>
      <c r="AN143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50"/>
        <v>https://d0f6bd738d7f1b3e5a7ca70fe4ff75f0.us-east-1.aws.found.io/app/kibana#/discover/Steve-Slow-Train-Analysis-(2080s-and-2083s)?_g=(refreshInterval:(display:Off,pause:!f,section:0,value:0),time:(from:'2017-10-01T20:51:39-0600',mode:absolute,to:'2017-10-01T23:34:29-0600'))&amp;_a=(columns:!('Message%20ID',Summary),filters:!(),index:'emp_*',interval:auto,query:(query_string:(analyze_wildcard:!t,query:'%22rtdc.l.rtdc.4013%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812</v>
      </c>
      <c r="B144" s="7">
        <v>4016</v>
      </c>
      <c r="C144" s="21" t="s">
        <v>195</v>
      </c>
      <c r="D144" s="21" t="s">
        <v>360</v>
      </c>
      <c r="E144" s="13">
        <v>43009.883668981478</v>
      </c>
      <c r="F144" s="13">
        <v>43009.896018518521</v>
      </c>
      <c r="G144" s="7">
        <v>96</v>
      </c>
      <c r="H144" s="21" t="s">
        <v>495</v>
      </c>
      <c r="I144" s="13">
        <v>43009.920636574076</v>
      </c>
      <c r="J144" s="7">
        <v>0</v>
      </c>
      <c r="K144" s="89" t="str">
        <f t="shared" si="88"/>
        <v>4015/4016</v>
      </c>
      <c r="L144" s="185" t="str">
        <f>VLOOKUP(A144,'Trips&amp;Operators'!$C$1:$G$99911,5,FALSE)</f>
        <v>LOZA FIDEL</v>
      </c>
      <c r="M144" s="6">
        <f t="shared" si="89"/>
        <v>2.4618055555038154E-2</v>
      </c>
      <c r="N144" s="7">
        <f t="shared" si="75"/>
        <v>35.449999999254942</v>
      </c>
      <c r="O144" s="7"/>
      <c r="P144" s="7"/>
      <c r="Q144" s="22"/>
      <c r="R144" s="174"/>
      <c r="S144" s="221">
        <f t="shared" si="90"/>
        <v>1</v>
      </c>
      <c r="T144" s="174" t="str">
        <f t="shared" si="91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92"/>
        <v>https://d0f6bd738d7f1b3e5a7ca70fe4ff75f0.us-east-1.aws.found.io/app/kibana#/discover/Steve-Slow-Train-Analysis-(2080s-and-2083s)?_g=(refreshInterval:(display:Off,pause:!f,section:0,value:0),time:(from:'2017-10-01T20:12:29-0600',mode:absolute,to:'2017-10-01T23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204" t="str">
        <f>IF(AA144&lt;VLOOKUP(AG144,Variables!$AC$3:$AD$8,2,FALSE),"Y","N")</f>
        <v>N</v>
      </c>
      <c r="X144" s="204">
        <f t="shared" si="93"/>
        <v>1</v>
      </c>
      <c r="Y144" s="204">
        <f t="shared" si="86"/>
        <v>4.6399999999999997E-2</v>
      </c>
      <c r="Z144" s="204">
        <f t="shared" si="87"/>
        <v>23.3306</v>
      </c>
      <c r="AA144" s="204">
        <f t="shared" si="94"/>
        <v>23.284200000000002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95"/>
        <v>231</v>
      </c>
      <c r="AE144" s="77" t="str">
        <f t="shared" si="96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44" s="74" t="str">
        <f t="shared" si="97"/>
        <v>"C:\Program Files (x86)\AstroGrep\AstroGrep.exe" /e /r /s /spath="%USERPROFILE%\AppData\Local\Temp\OnboardLogs" /stypes="app*4016*20171002*" /stext=" 04:.+((SYSTEM_STATE.+slice.+state.+changed )|(ment ac)|(multiple cpu faults)|(system.+state.+changed )|(\[timeout)|(PRM\|1\|D)|(kpr)|(kdp)|(train st.+moving)|(\|lc)|(penalty))"</v>
      </c>
      <c r="AG144" s="182" t="str">
        <f t="shared" si="98"/>
        <v>EC</v>
      </c>
      <c r="AH144" s="78" t="str">
        <f t="shared" si="46"/>
        <v>"%USERPROFILE%\Documents\GitHub\eaglep3\Utilities\RefineRTDCRunTimes.py" --tripid 231-01 --locoid 4016 --swversion DE.1.0.9.0 --startMP 204:464 --initTime 2017-10-01T21:12:29 --startdatetime 2017-10-01T21:30:16 --delay 96 --endMP 204:233306 --enddatetime 2017-10-01T22:05:43 --enforcementcount 0 &gt;&gt;c:\users\tmcdowell\Documents\GitHub\eaglep3-reporting\EC\2017-10-01-refined-times.txt</v>
      </c>
      <c r="AI144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{"issue":{"subject":"","project_id":79,"tracker_id":40,"status_id":1,"priority_id":2,"assigned_to_id":338,"start_date":"2017-10-01","description":"","custom_fields":[{"id":1,"name":"Subdivision","value":"EC"},{"id":4,"name":"Milepost","value":"23.3306"},{"id":17,"name":"Train ID","value":"231-01"},{"id":16,"name":"Locomotive ID","value":"4016"},{"id":130,"name":"Impact","value":""},{"id":150,"name":"Time of Event (Mountain Time)","value":"22:05:43"},{"id":151,"name":"Denver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48"/>
        <v>start /low /b %USERPROFILE%\Documents\GitHub\eaglep3\Utilities\DownloadLogsFromS3.py --loco 4016 --day 2017-10-01</v>
      </c>
      <c r="AN144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50"/>
        <v>https://d0f6bd738d7f1b3e5a7ca70fe4ff75f0.us-east-1.aws.found.io/app/kibana#/discover/Steve-Slow-Train-Analysis-(2080s-and-2083s)?_g=(refreshInterval:(display:Off,pause:!f,section:0,value:0),time:(from:'2017-10-01T20:12:29-0600',mode:absolute,to:'2017-10-01T23:05:43-0600'))&amp;_a=(columns:!('Message%20ID',Summary),filters:!(),index:'emp_*',interval:auto,query:(query_string:(analyze_wildcard:!t,query:'%22rtdc.l.rtdc.4016%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816</v>
      </c>
      <c r="B145" s="7">
        <v>4015</v>
      </c>
      <c r="C145" s="21" t="s">
        <v>195</v>
      </c>
      <c r="D145" s="21" t="s">
        <v>935</v>
      </c>
      <c r="E145" s="13">
        <v>43009.933761574073</v>
      </c>
      <c r="F145" s="13">
        <v>43009.935914351852</v>
      </c>
      <c r="G145" s="7">
        <v>80</v>
      </c>
      <c r="H145" s="21" t="s">
        <v>382</v>
      </c>
      <c r="I145" s="13">
        <v>43009.962418981479</v>
      </c>
      <c r="J145" s="7">
        <v>0</v>
      </c>
      <c r="K145" s="89" t="str">
        <f t="shared" si="88"/>
        <v>4015/4016</v>
      </c>
      <c r="L145" s="185" t="str">
        <f>VLOOKUP(A145,'Trips&amp;Operators'!$C$1:$G$99911,5,FALSE)</f>
        <v>LOZA FIDEL</v>
      </c>
      <c r="M145" s="6">
        <f t="shared" si="89"/>
        <v>2.6504629626288079E-2</v>
      </c>
      <c r="N145" s="7">
        <f t="shared" si="75"/>
        <v>38.166666661854833</v>
      </c>
      <c r="O145" s="7"/>
      <c r="P145" s="7"/>
      <c r="Q145" s="22"/>
      <c r="R145" s="174"/>
      <c r="S145" s="221">
        <f t="shared" si="90"/>
        <v>1</v>
      </c>
      <c r="T145" s="174" t="str">
        <f t="shared" si="91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92"/>
        <v>https://d0f6bd738d7f1b3e5a7ca70fe4ff75f0.us-east-1.aws.found.io/app/kibana#/discover/Steve-Slow-Train-Analysis-(2080s-and-2083s)?_g=(refreshInterval:(display:Off,pause:!f,section:0,value:0),time:(from:'2017-10-01T21:24:37-0600',mode:absolute,to:'2017-10-02T00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204" t="str">
        <f>IF(AA145&lt;VLOOKUP(AG145,Variables!$AC$3:$AD$8,2,FALSE),"Y","N")</f>
        <v>N</v>
      </c>
      <c r="X145" s="204">
        <f t="shared" si="93"/>
        <v>1</v>
      </c>
      <c r="Y145" s="204">
        <f t="shared" si="86"/>
        <v>23.303999999999998</v>
      </c>
      <c r="Z145" s="204">
        <f t="shared" si="87"/>
        <v>1.6299999999999999E-2</v>
      </c>
      <c r="AA145" s="204">
        <f t="shared" si="94"/>
        <v>23.287699999999997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95"/>
        <v>232</v>
      </c>
      <c r="AE145" s="77" t="str">
        <f t="shared" si="96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145" s="74" t="str">
        <f t="shared" si="97"/>
        <v>"C:\Program Files (x86)\AstroGrep\AstroGrep.exe" /e /r /s /spath="%USERPROFILE%\AppData\Local\Temp\OnboardLogs" /stypes="app*4015*20171002*" /stext=" 05:.+((SYSTEM_STATE.+slice.+state.+changed )|(ment ac)|(multiple cpu faults)|(system.+state.+changed )|(\[timeout)|(PRM\|1\|D)|(kpr)|(kdp)|(train st.+moving)|(\|lc)|(penalty))"</v>
      </c>
      <c r="AG145" s="182" t="str">
        <f t="shared" si="98"/>
        <v>EC</v>
      </c>
      <c r="AH145" s="78" t="str">
        <f t="shared" si="46"/>
        <v>"%USERPROFILE%\Documents\GitHub\eaglep3\Utilities\RefineRTDCRunTimes.py" --tripid 232-01 --locoid 4015 --swversion DE.1.0.9.0 --startMP 204:233040 --initTime 2017-10-01T22:24:37 --startdatetime 2017-10-01T22:27:43 --delay 80 --endMP 204:163 --enddatetime 2017-10-01T23:05:53 --enforcementcount 0 &gt;&gt;c:\users\tmcdowell\Documents\GitHub\eaglep3-reporting\EC\2017-10-01-refined-times.txt</v>
      </c>
      <c r="AI145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{"issue":{"subject":"","project_id":79,"tracker_id":40,"status_id":1,"priority_id":2,"assigned_to_id":338,"start_date":"2017-10-01","description":"","custom_fields":[{"id":1,"name":"Subdivision","value":"EC"},{"id":4,"name":"Milepost","value":"0.0163"},{"id":17,"name":"Train ID","value":"232-01"},{"id":16,"name":"Locomotive ID","value":"4015"},{"id":130,"name":"Impact","value":""},{"id":150,"name":"Time of Event (Mountain Time)","value":"23:05:53"},{"id":151,"name":"Denver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48"/>
        <v>start /low /b %USERPROFILE%\Documents\GitHub\eaglep3\Utilities\DownloadLogsFromS3.py --loco 4015 --day 2017-10-01</v>
      </c>
      <c r="AN145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50"/>
        <v>https://d0f6bd738d7f1b3e5a7ca70fe4ff75f0.us-east-1.aws.found.io/app/kibana#/discover/Steve-Slow-Train-Analysis-(2080s-and-2083s)?_g=(refreshInterval:(display:Off,pause:!f,section:0,value:0),time:(from:'2017-10-01T21:24:37-0600',mode:absolute,to:'2017-10-02T00:05:53-0600'))&amp;_a=(columns:!('Message%20ID',Summary),filters:!(),index:'emp_*',interval:auto,query:(query_string:(analyze_wildcard:!t,query:'%22rtdc.l.rtdc.4015%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813</v>
      </c>
      <c r="B146" s="7">
        <v>4050</v>
      </c>
      <c r="C146" s="21" t="s">
        <v>195</v>
      </c>
      <c r="D146" s="21" t="s">
        <v>935</v>
      </c>
      <c r="E146" s="13">
        <v>43009.933761574073</v>
      </c>
      <c r="F146" s="13">
        <v>43009.91679398148</v>
      </c>
      <c r="G146" s="7">
        <v>80</v>
      </c>
      <c r="H146" s="21" t="s">
        <v>382</v>
      </c>
      <c r="I146" s="13">
        <v>43009.940868055557</v>
      </c>
      <c r="J146" s="7">
        <v>0</v>
      </c>
      <c r="K146" s="89" t="str">
        <f t="shared" si="88"/>
        <v>4049/4050</v>
      </c>
      <c r="L146" s="185" t="str">
        <f>VLOOKUP(A146,'Trips&amp;Operators'!$C$1:$G$99911,5,FALSE)</f>
        <v>ELBAUM MIKE</v>
      </c>
      <c r="M146" s="6">
        <f t="shared" si="89"/>
        <v>2.4074074077361729E-2</v>
      </c>
      <c r="N146" s="7">
        <f t="shared" si="75"/>
        <v>34.66666667140089</v>
      </c>
      <c r="O146" s="7"/>
      <c r="P146" s="7"/>
      <c r="Q146" s="22"/>
      <c r="R146" s="174"/>
      <c r="S146" s="221">
        <f t="shared" si="90"/>
        <v>1</v>
      </c>
      <c r="T146" s="174" t="str">
        <f t="shared" si="91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92"/>
        <v>https://d0f6bd738d7f1b3e5a7ca70fe4ff75f0.us-east-1.aws.found.io/app/kibana#/discover/Steve-Slow-Train-Analysis-(2080s-and-2083s)?_g=(refreshInterval:(display:Off,pause:!f,section:0,value:0),time:(from:'2017-10-01T21:24:37-0600',mode:absolute,to:'2017-10-01T23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204" t="str">
        <f>IF(AA146&lt;VLOOKUP(AG146,Variables!$AC$3:$AD$8,2,FALSE),"Y","N")</f>
        <v>N</v>
      </c>
      <c r="X146" s="204">
        <f t="shared" si="93"/>
        <v>1</v>
      </c>
      <c r="Y146" s="204">
        <v>4.6399999999999997E-2</v>
      </c>
      <c r="Z146" s="204">
        <v>23.3306</v>
      </c>
      <c r="AA146" s="204">
        <f t="shared" si="94"/>
        <v>23.284200000000002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95"/>
        <v>233</v>
      </c>
      <c r="AE146" s="77" t="str">
        <f t="shared" si="96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146" s="74" t="str">
        <f t="shared" si="97"/>
        <v>"C:\Program Files (x86)\AstroGrep\AstroGrep.exe" /e /r /s /spath="%USERPROFILE%\AppData\Local\Temp\OnboardLogs" /stypes="app*4050*20171002*" /stext=" 04:.+((SYSTEM_STATE.+slice.+state.+changed )|(ment ac)|(multiple cpu faults)|(system.+state.+changed )|(\[timeout)|(PRM\|1\|D)|(kpr)|(kdp)|(train st.+moving)|(\|lc)|(penalty))"</v>
      </c>
      <c r="AG146" s="182" t="str">
        <f t="shared" si="98"/>
        <v>EC</v>
      </c>
      <c r="AH146" s="78" t="str">
        <f t="shared" ref="AH146" si="99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233-01 --locoid 4050 --swversion DE.1.0.9.0 --startMP 204:233040 --initTime 2017-10-01T22:24:37 --startdatetime 2017-10-01T22:00:11 --delay 80 --endMP 204:163 --enddatetime 2017-10-01T22:34:51 --enforcementcount 0 &gt;&gt;c:\users\tmcdowell\Documents\GitHub\eaglep3-reporting\EC\2017-10-01-refined-times.txt</v>
      </c>
      <c r="AI146" s="96" t="str">
        <f t="shared" ref="AI146" si="100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{"issue":{"subject":"","project_id":79,"tracker_id":40,"status_id":1,"priority_id":2,"assigned_to_id":338,"start_date":"2017-10-01","description":"","custom_fields":[{"id":1,"name":"Subdivision","value":"EC"},{"id":4,"name":"Milepost","value":"23.3306"},{"id":17,"name":"Train ID","value":"233-01"},{"id":16,"name":"Locomotive ID","value":"4050"},{"id":130,"name":"Impact","value":""},{"id":150,"name":"Time of Event (Mountain Time)","value":"22:34:51"},{"id":151,"name":"Denver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ref="AM146" si="101">"start /low /b "&amp;dls3logs&amp;" --loco "&amp;B146&amp;" --day "&amp;TEXT(F146,"YYYY-MM-DD")</f>
        <v>start /low /b %USERPROFILE%\Documents\GitHub\eaglep3\Utilities\DownloadLogsFromS3.py --loco 4050 --day 2017-10-01</v>
      </c>
      <c r="AN146" s="151" t="str">
        <f t="shared" ref="AN146" si="102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" si="103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-01T21:24:37-0600',mode:absolute,to:'2017-10-01T23:34:51-0600'))&amp;_a=(columns:!('Message%20ID',Summary),filters:!(),index:'emp_*',interval:auto,query:(query_string:(analyze_wildcard:!t,query:'%22rtdc.l.rtdc.4050%22')),sort:!(Time.ISO8601,asc))</v>
      </c>
    </row>
    <row r="147" spans="1:91" s="20" customFormat="1" x14ac:dyDescent="0.25">
      <c r="A147" s="32" t="s">
        <v>817</v>
      </c>
      <c r="B147" s="7">
        <v>4049</v>
      </c>
      <c r="C147" s="21" t="s">
        <v>195</v>
      </c>
      <c r="D147" s="21" t="s">
        <v>935</v>
      </c>
      <c r="E147" s="13">
        <v>43009.933761574073</v>
      </c>
      <c r="F147" s="13">
        <v>43009.956435185188</v>
      </c>
      <c r="G147" s="7">
        <v>80</v>
      </c>
      <c r="H147" s="21" t="s">
        <v>382</v>
      </c>
      <c r="I147" s="13">
        <v>43009.982233796298</v>
      </c>
      <c r="J147" s="7">
        <v>0</v>
      </c>
      <c r="K147" s="89" t="str">
        <f t="shared" si="88"/>
        <v>4049/4050</v>
      </c>
      <c r="L147" s="185" t="str">
        <f>VLOOKUP(A147,'Trips&amp;Operators'!$C$1:$G$99911,5,FALSE)</f>
        <v>ELBAUM MIKE</v>
      </c>
      <c r="M147" s="6">
        <f t="shared" si="89"/>
        <v>2.5798611110076308E-2</v>
      </c>
      <c r="N147" s="7">
        <f t="shared" si="75"/>
        <v>37.149999998509884</v>
      </c>
      <c r="O147" s="7"/>
      <c r="P147" s="7"/>
      <c r="Q147" s="22"/>
      <c r="R147" s="174"/>
      <c r="S147" s="221">
        <f t="shared" si="90"/>
        <v>1</v>
      </c>
      <c r="T147" s="174" t="str">
        <f t="shared" si="91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92"/>
        <v>https://d0f6bd738d7f1b3e5a7ca70fe4ff75f0.us-east-1.aws.found.io/app/kibana#/discover/Steve-Slow-Train-Analysis-(2080s-and-2083s)?_g=(refreshInterval:(display:Off,pause:!f,section:0,value:0),time:(from:'2017-10-01T21:24:37-0600',mode:absolute,to:'2017-10-02T00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204" t="str">
        <f>IF(AA147&lt;VLOOKUP(AG147,Variables!$AC$3:$AD$8,2,FALSE),"Y","N")</f>
        <v>N</v>
      </c>
      <c r="X147" s="204">
        <f t="shared" si="93"/>
        <v>1</v>
      </c>
      <c r="Y147" s="204">
        <v>23.303999999999998</v>
      </c>
      <c r="Z147" s="204">
        <v>1.6299999999999999E-2</v>
      </c>
      <c r="AA147" s="204">
        <f t="shared" si="94"/>
        <v>23.287699999999997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95"/>
        <v>234</v>
      </c>
      <c r="AE147" s="77" t="str">
        <f t="shared" si="96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147" s="74" t="str">
        <f t="shared" si="97"/>
        <v>"C:\Program Files (x86)\AstroGrep\AstroGrep.exe" /e /r /s /spath="%USERPROFILE%\AppData\Local\Temp\OnboardLogs" /stypes="app*4049*20171002*" /stext=" 05:.+((SYSTEM_STATE.+slice.+state.+changed )|(ment ac)|(multiple cpu faults)|(system.+state.+changed )|(\[timeout)|(PRM\|1\|D)|(kpr)|(kdp)|(train st.+moving)|(\|lc)|(penalty))"</v>
      </c>
      <c r="AG147" s="182" t="str">
        <f t="shared" si="98"/>
        <v>EC</v>
      </c>
      <c r="AH147" s="78" t="str">
        <f t="shared" ref="AH147" si="104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234-01 --locoid 4049 --swversion DE.1.0.9.0 --startMP 204:233040 --initTime 2017-10-01T22:24:37 --startdatetime 2017-10-01T22:57:16 --delay 80 --endMP 204:163 --enddatetime 2017-10-01T23:34:25 --enforcementcount 0 &gt;&gt;c:\users\tmcdowell\Documents\GitHub\eaglep3-reporting\EC\2017-10-01-refined-times.txt</v>
      </c>
      <c r="AI147" s="96" t="str">
        <f t="shared" ref="AI147" si="105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{"issue":{"subject":"","project_id":79,"tracker_id":40,"status_id":1,"priority_id":2,"assigned_to_id":338,"start_date":"2017-10-01","description":"","custom_fields":[{"id":1,"name":"Subdivision","value":"EC"},{"id":4,"name":"Milepost","value":"0.0163"},{"id":17,"name":"Train ID","value":"234-01"},{"id":16,"name":"Locomotive ID","value":"4049"},{"id":130,"name":"Impact","value":""},{"id":150,"name":"Time of Event (Mountain Time)","value":"23:34:25"},{"id":151,"name":"Denver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ref="AM147" si="106">"start /low /b "&amp;dls3logs&amp;" --loco "&amp;B147&amp;" --day "&amp;TEXT(F147,"YYYY-MM-DD")</f>
        <v>start /low /b %USERPROFILE%\Documents\GitHub\eaglep3\Utilities\DownloadLogsFromS3.py --loco 4049 --day 2017-10-01</v>
      </c>
      <c r="AN147" s="151" t="str">
        <f t="shared" ref="AN147" si="107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" si="108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-01T21:24:37-0600',mode:absolute,to:'2017-10-02T00:34:25-0600'))&amp;_a=(columns:!('Message%20ID',Summary),filters:!(),index:'emp_*',interval:auto,query:(query_string:(analyze_wildcard:!t,query:'%22rtdc.l.rtdc.4049%22')),sort:!(Time.ISO8601,asc))</v>
      </c>
    </row>
    <row r="148" spans="1:91" s="20" customFormat="1" x14ac:dyDescent="0.25">
      <c r="A148" s="32" t="s">
        <v>617</v>
      </c>
      <c r="B148" s="7">
        <v>4042</v>
      </c>
      <c r="C148" s="21" t="s">
        <v>195</v>
      </c>
      <c r="D148" s="21" t="s">
        <v>385</v>
      </c>
      <c r="E148" s="13">
        <v>43009.922037037039</v>
      </c>
      <c r="F148" s="13">
        <v>43009.937685185185</v>
      </c>
      <c r="G148" s="7">
        <v>51</v>
      </c>
      <c r="H148" s="21" t="s">
        <v>555</v>
      </c>
      <c r="I148" s="13">
        <v>43009.96193287037</v>
      </c>
      <c r="J148" s="7">
        <v>0</v>
      </c>
      <c r="K148" s="89" t="str">
        <f t="shared" si="88"/>
        <v>4041/4042</v>
      </c>
      <c r="L148" s="185" t="str">
        <f>VLOOKUP(A148,'Trips&amp;Operators'!$C$1:$G$99911,5,FALSE)</f>
        <v>DUNCAN SHEILA</v>
      </c>
      <c r="M148" s="6">
        <f t="shared" si="89"/>
        <v>2.4247685185400769E-2</v>
      </c>
      <c r="N148" s="7">
        <f t="shared" si="75"/>
        <v>34.916666666977108</v>
      </c>
      <c r="O148" s="7"/>
      <c r="P148" s="7"/>
      <c r="Q148" s="22"/>
      <c r="R148" s="174"/>
      <c r="S148" s="221">
        <f t="shared" si="90"/>
        <v>1</v>
      </c>
      <c r="T148" s="174" t="str">
        <f t="shared" si="91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92"/>
        <v>https://d0f6bd738d7f1b3e5a7ca70fe4ff75f0.us-east-1.aws.found.io/app/kibana#/discover/Steve-Slow-Train-Analysis-(2080s-and-2083s)?_g=(refreshInterval:(display:Off,pause:!f,section:0,value:0),time:(from:'2017-10-01T21:07:44-0600',mode:absolute,to:'2017-10-02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204" t="str">
        <f>IF(AA148&lt;VLOOKUP(AG148,Variables!$AC$3:$AD$8,2,FALSE),"Y","N")</f>
        <v>N</v>
      </c>
      <c r="X148" s="204">
        <f t="shared" si="93"/>
        <v>1</v>
      </c>
      <c r="Y148" s="204">
        <f t="shared" ref="Y148:Y156" si="109">RIGHT(D148,LEN(D148)-4)/10000</f>
        <v>4.5100000000000001E-2</v>
      </c>
      <c r="Z148" s="204">
        <f t="shared" ref="Z148:Z156" si="110">RIGHT(H148,LEN(H148)-4)/10000</f>
        <v>23.334599999999998</v>
      </c>
      <c r="AA148" s="204">
        <f t="shared" si="94"/>
        <v>23.289499999999997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95"/>
        <v>235</v>
      </c>
      <c r="AE148" s="77" t="str">
        <f t="shared" si="96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148" s="74" t="str">
        <f t="shared" si="97"/>
        <v>"C:\Program Files (x86)\AstroGrep\AstroGrep.exe" /e /r /s /spath="%USERPROFILE%\AppData\Local\Temp\OnboardLogs" /stypes="app*4042*20171002*" /stext=" 05:.+((SYSTEM_STATE.+slice.+state.+changed )|(ment ac)|(multiple cpu faults)|(system.+state.+changed )|(\[timeout)|(PRM\|1\|D)|(kpr)|(kdp)|(train st.+moving)|(\|lc)|(penalty))"</v>
      </c>
      <c r="AG148" s="182" t="str">
        <f t="shared" si="98"/>
        <v>EC</v>
      </c>
      <c r="AH148" s="78" t="str">
        <f t="shared" si="46"/>
        <v>"%USERPROFILE%\Documents\GitHub\eaglep3\Utilities\RefineRTDCRunTimes.py" --tripid 235-01 --locoid 4042 --swversion DE.1.0.9.0 --startMP 204:451 --initTime 2017-10-01T22:07:44 --startdatetime 2017-10-01T22:30:16 --delay 51 --endMP 204:233346 --enddatetime 2017-10-01T23:05:11 --enforcementcount 0 &gt;&gt;c:\users\tmcdowell\Documents\GitHub\eaglep3-reporting\EC\2017-10-01-refined-times.txt</v>
      </c>
      <c r="AI148" s="96" t="str">
        <f t="shared" si="47"/>
        <v>echo {"issue":{"subject":"","project_id":79,"tracker_id":40,"status_id":1,"priority_id":2,"assigned_to_id":338,"start_date":"2017-10-01","description":"","custom_fields":[{"id":1,"name":"Subdivision","value":"EC"},{"id":4,"name":"Milepost","value":"23.3346"},{"id":17,"name":"Train ID","value":"235-01"},{"id":16,"name":"Locomotive ID","value":"4042"},{"id":130,"name":"Impact","value":""},{"id":150,"name":"Time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48"/>
        <v>start /low /b %USERPROFILE%\Documents\GitHub\eaglep3\Utilities\DownloadLogsFromS3.py --loco 4042 --day 2017-10-01</v>
      </c>
      <c r="AN148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50"/>
        <v>https://d0f6bd738d7f1b3e5a7ca70fe4ff75f0.us-east-1.aws.found.io/app/kibana#/discover/Steve-Slow-Train-Analysis-(2080s-and-2083s)?_g=(refreshInterval:(display:Off,pause:!f,section:0,value:0),time:(from:'2017-10-01T21:07:44-0600',mode:absolute,to:'2017-10-02T00:05:11-0600'))&amp;_a=(columns:!('Message%20ID',Summary),filters:!(),index:'emp_*',interval:auto,query:(query_string:(analyze_wildcard:!t,query:'%22rtdc.l.rtdc.4042%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820</v>
      </c>
      <c r="B149" s="7">
        <v>4041</v>
      </c>
      <c r="C149" s="21" t="s">
        <v>195</v>
      </c>
      <c r="D149" s="21" t="s">
        <v>569</v>
      </c>
      <c r="E149" s="13">
        <v>43009.963055555556</v>
      </c>
      <c r="F149" s="13">
        <v>43009.977453703701</v>
      </c>
      <c r="G149" s="7">
        <v>57</v>
      </c>
      <c r="H149" s="21" t="s">
        <v>362</v>
      </c>
      <c r="I149" s="13">
        <v>43010.003807870373</v>
      </c>
      <c r="J149" s="7">
        <v>0</v>
      </c>
      <c r="K149" s="89" t="str">
        <f t="shared" si="88"/>
        <v>4041/4042</v>
      </c>
      <c r="L149" s="185" t="str">
        <f>VLOOKUP(A149,'Trips&amp;Operators'!$C$1:$G$99911,5,FALSE)</f>
        <v>DUNCAN SHEILA</v>
      </c>
      <c r="M149" s="6">
        <f t="shared" si="89"/>
        <v>2.6354166671808343E-2</v>
      </c>
      <c r="N149" s="7">
        <f t="shared" si="75"/>
        <v>37.950000007404014</v>
      </c>
      <c r="O149" s="7"/>
      <c r="P149" s="7"/>
      <c r="Q149" s="22"/>
      <c r="R149" s="174"/>
      <c r="S149" s="221">
        <f t="shared" si="90"/>
        <v>1</v>
      </c>
      <c r="T149" s="174" t="str">
        <f t="shared" si="91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92"/>
        <v>https://d0f6bd738d7f1b3e5a7ca70fe4ff75f0.us-east-1.aws.found.io/app/kibana#/discover/Steve-Slow-Train-Analysis-(2080s-and-2083s)?_g=(refreshInterval:(display:Off,pause:!f,section:0,value:0),time:(from:'2017-10-01T22:06:48-0600',mode:absolute,to:'2017-10-02T01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204" t="str">
        <f>IF(AA149&lt;VLOOKUP(AG149,Variables!$AC$3:$AD$8,2,FALSE),"Y","N")</f>
        <v>N</v>
      </c>
      <c r="X149" s="204">
        <f t="shared" si="93"/>
        <v>1</v>
      </c>
      <c r="Y149" s="204">
        <f t="shared" si="109"/>
        <v>23.3019</v>
      </c>
      <c r="Z149" s="204">
        <f t="shared" si="110"/>
        <v>1.38E-2</v>
      </c>
      <c r="AA149" s="204">
        <f t="shared" si="94"/>
        <v>23.2881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95"/>
        <v>236</v>
      </c>
      <c r="AE149" s="77" t="str">
        <f t="shared" si="96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149" s="74" t="str">
        <f t="shared" si="97"/>
        <v>"C:\Program Files (x86)\AstroGrep\AstroGrep.exe" /e /r /s /spath="%USERPROFILE%\AppData\Local\Temp\OnboardLogs" /stypes="app*4041*20171002*" /stext=" 06:.+((SYSTEM_STATE.+slice.+state.+changed )|(ment ac)|(multiple cpu faults)|(system.+state.+changed )|(\[timeout)|(PRM\|1\|D)|(kpr)|(kdp)|(train st.+moving)|(\|lc)|(penalty))"</v>
      </c>
      <c r="AG149" s="182" t="str">
        <f t="shared" si="98"/>
        <v>EC</v>
      </c>
      <c r="AH149" s="78" t="str">
        <f t="shared" si="46"/>
        <v>"%USERPROFILE%\Documents\GitHub\eaglep3\Utilities\RefineRTDCRunTimes.py" --tripid 236-01 --locoid 4041 --swversion DE.1.0.9.0 --startMP 204:233019 --initTime 2017-10-01T23:06:48 --startdatetime 2017-10-01T23:27:32 --delay 57 --endMP 204:138 --enddatetime 2017-10-02T00:05:29 --enforcementcount 0 &gt;&gt;c:\users\tmcdowell\Documents\GitHub\eaglep3-reporting\EC\2017-10-01-refined-times.txt</v>
      </c>
      <c r="AI149" s="96" t="str">
        <f t="shared" si="47"/>
        <v>echo {"issue":{"subject":"","project_id":79,"tracker_id":40,"status_id":1,"priority_id":2,"assigned_to_id":338,"start_date":"2017-10-02","description":"","custom_fields":[{"id":1,"name":"Subdivision","value":"EC"},{"id":4,"name":"Milepost","value":"0.0138"},{"id":17,"name":"Train ID","value":"236-01"},{"id":16,"name":"Locomotive ID","value":"4041"},{"id":130,"name":"Impact","value":""},{"id":150,"name":"Time of Event (Mountain Time)","value":"00:05:29"},{"id":151,"name":"Denver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48"/>
        <v>start /low /b %USERPROFILE%\Documents\GitHub\eaglep3\Utilities\DownloadLogsFromS3.py --loco 4041 --day 2017-10-01</v>
      </c>
      <c r="AN149" s="151" t="str">
        <f t="shared" si="4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50"/>
        <v>https://d0f6bd738d7f1b3e5a7ca70fe4ff75f0.us-east-1.aws.found.io/app/kibana#/discover/Steve-Slow-Train-Analysis-(2080s-and-2083s)?_g=(refreshInterval:(display:Off,pause:!f,section:0,value:0),time:(from:'2017-10-01T22:06:48-0600',mode:absolute,to:'2017-10-02T01:05:29-0600'))&amp;_a=(columns:!('Message%20ID',Summary),filters:!(),index:'emp_*',interval:auto,query:(query_string:(analyze_wildcard:!t,query:'%22rtdc.l.rtdc.4041%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818</v>
      </c>
      <c r="B150" s="7">
        <v>4014</v>
      </c>
      <c r="C150" s="21" t="s">
        <v>195</v>
      </c>
      <c r="D150" s="21" t="s">
        <v>347</v>
      </c>
      <c r="E150" s="13">
        <v>43009.942175925928</v>
      </c>
      <c r="F150" s="13">
        <v>43009.958773148152</v>
      </c>
      <c r="G150" s="7">
        <v>74</v>
      </c>
      <c r="H150" s="21" t="s">
        <v>936</v>
      </c>
      <c r="I150" s="13">
        <v>43009.98300925926</v>
      </c>
      <c r="J150" s="7">
        <v>0</v>
      </c>
      <c r="K150" s="89" t="str">
        <f t="shared" si="88"/>
        <v>4013/4014</v>
      </c>
      <c r="L150" s="185" t="str">
        <f>VLOOKUP(A150,'Trips&amp;Operators'!$C$1:$G$99911,5,FALSE)</f>
        <v>STAMBAUGH JAMES</v>
      </c>
      <c r="M150" s="6">
        <f t="shared" si="89"/>
        <v>2.4236111108621117E-2</v>
      </c>
      <c r="N150" s="7">
        <f t="shared" si="75"/>
        <v>34.899999996414408</v>
      </c>
      <c r="O150" s="7"/>
      <c r="P150" s="7"/>
      <c r="Q150" s="22"/>
      <c r="R150" s="174"/>
      <c r="S150" s="221">
        <f t="shared" si="90"/>
        <v>1</v>
      </c>
      <c r="T150" s="174" t="str">
        <f t="shared" si="91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92"/>
        <v>https://d0f6bd738d7f1b3e5a7ca70fe4ff75f0.us-east-1.aws.found.io/app/kibana#/discover/Steve-Slow-Train-Analysis-(2080s-and-2083s)?_g=(refreshInterval:(display:Off,pause:!f,section:0,value:0),time:(from:'2017-10-01T21:36:44-0600',mode:absolute,to:'2017-10-02T00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4" t="str">
        <f>IF(AA150&lt;VLOOKUP(AG150,Variables!$AC$3:$AD$8,2,FALSE),"Y","N")</f>
        <v>N</v>
      </c>
      <c r="X150" s="204">
        <f t="shared" si="93"/>
        <v>1</v>
      </c>
      <c r="Y150" s="204">
        <f t="shared" si="109"/>
        <v>4.5499999999999999E-2</v>
      </c>
      <c r="Z150" s="204">
        <f t="shared" si="110"/>
        <v>23.339099999999998</v>
      </c>
      <c r="AA150" s="204">
        <f t="shared" si="94"/>
        <v>23.293599999999998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95"/>
        <v>237</v>
      </c>
      <c r="AE150" s="77" t="str">
        <f t="shared" si="96"/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AF150" s="74" t="str">
        <f t="shared" si="97"/>
        <v>"C:\Program Files (x86)\AstroGrep\AstroGrep.exe" /e /r /s /spath="%USERPROFILE%\AppData\Local\Temp\OnboardLogs" /stypes="app*4014*20171002*" /stext=" 05:.+((SYSTEM_STATE.+slice.+state.+changed )|(ment ac)|(multiple cpu faults)|(system.+state.+changed )|(\[timeout)|(PRM\|1\|D)|(kpr)|(kdp)|(train st.+moving)|(\|lc)|(penalty))"</v>
      </c>
      <c r="AG150" s="182" t="str">
        <f t="shared" si="98"/>
        <v>EC</v>
      </c>
      <c r="AH150" s="78" t="str">
        <f t="shared" ref="AH150:AH216" si="111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237-01 --locoid 4014 --swversion DE.1.0.9.0 --startMP 204:455 --initTime 2017-10-01T22:36:44 --startdatetime 2017-10-01T23:00:38 --delay 74 --endMP 204:233391 --enddatetime 2017-10-01T23:35:32 --enforcementcount 0 &gt;&gt;c:\users\tmcdowell\Documents\GitHub\eaglep3-reporting\EC\2017-10-01-refined-times.txt</v>
      </c>
      <c r="AI150" s="96" t="str">
        <f t="shared" ref="AI150:AI216" si="112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{"issue":{"subject":"","project_id":79,"tracker_id":40,"status_id":1,"priority_id":2,"assigned_to_id":338,"start_date":"2017-10-01","description":"","custom_fields":[{"id":1,"name":"Subdivision","value":"EC"},{"id":4,"name":"Milepost","value":"23.3391"},{"id":17,"name":"Train ID","value":"237-01"},{"id":16,"name":"Locomotive ID","value":"4014"},{"id":130,"name":"Impact","value":""},{"id":150,"name":"Time of Event (Mountain Time)","value":"23:35:32"},{"id":151,"name":"Denver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ref="AM150:AM216" si="113">"start /low /b "&amp;dls3logs&amp;" --loco "&amp;B150&amp;" --day "&amp;TEXT(F150,"YYYY-MM-DD")</f>
        <v>start /low /b %USERPROFILE%\Documents\GitHub\eaglep3\Utilities\DownloadLogsFromS3.py --loco 4014 --day 2017-10-01</v>
      </c>
      <c r="AN150" s="151" t="str">
        <f t="shared" ref="AN150:AN216" si="114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:AO216" si="115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-01T21:36:44-0600',mode:absolute,to:'2017-10-02T00:35:32-0600'))&amp;_a=(columns:!('Message%20ID',Summary),filters:!(),index:'emp_*',interval:auto,query:(query_string:(analyze_wildcard:!t,query:'%22rtdc.l.rtdc.4014%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824</v>
      </c>
      <c r="B151" s="7">
        <v>4013</v>
      </c>
      <c r="C151" s="21" t="s">
        <v>195</v>
      </c>
      <c r="D151" s="21" t="s">
        <v>937</v>
      </c>
      <c r="E151" s="13">
        <v>43009.992662037039</v>
      </c>
      <c r="F151" s="13">
        <v>43009.998402777775</v>
      </c>
      <c r="G151" s="7">
        <v>58</v>
      </c>
      <c r="H151" s="21" t="s">
        <v>337</v>
      </c>
      <c r="I151" s="13">
        <v>43010.023854166669</v>
      </c>
      <c r="J151" s="7">
        <v>0</v>
      </c>
      <c r="K151" s="89" t="str">
        <f t="shared" si="88"/>
        <v>4013/4014</v>
      </c>
      <c r="L151" s="185" t="str">
        <f>VLOOKUP(A151,'Trips&amp;Operators'!$C$1:$G$99911,5,FALSE)</f>
        <v>STAMBAUGH JAMES</v>
      </c>
      <c r="M151" s="6">
        <f t="shared" si="89"/>
        <v>2.5451388893998228E-2</v>
      </c>
      <c r="N151" s="7">
        <f t="shared" si="75"/>
        <v>36.650000007357448</v>
      </c>
      <c r="O151" s="7"/>
      <c r="P151" s="7"/>
      <c r="Q151" s="22"/>
      <c r="R151" s="174"/>
      <c r="S151" s="221">
        <f t="shared" si="90"/>
        <v>1</v>
      </c>
      <c r="T151" s="174" t="str">
        <f t="shared" si="91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92"/>
        <v>https://d0f6bd738d7f1b3e5a7ca70fe4ff75f0.us-east-1.aws.found.io/app/kibana#/discover/Steve-Slow-Train-Analysis-(2080s-and-2083s)?_g=(refreshInterval:(display:Off,pause:!f,section:0,value:0),time:(from:'2017-10-01T22:49:26-0600',mode:absolute,to:'2017-10-02T01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4" t="str">
        <f>IF(AA151&lt;VLOOKUP(AG151,Variables!$AC$3:$AD$8,2,FALSE),"Y","N")</f>
        <v>N</v>
      </c>
      <c r="X151" s="204">
        <f t="shared" si="93"/>
        <v>1</v>
      </c>
      <c r="Y151" s="204">
        <f t="shared" si="109"/>
        <v>23.3172</v>
      </c>
      <c r="Z151" s="204">
        <f t="shared" si="110"/>
        <v>1.49E-2</v>
      </c>
      <c r="AA151" s="204">
        <f t="shared" si="94"/>
        <v>23.302299999999999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95"/>
        <v>238</v>
      </c>
      <c r="AE151" s="77" t="str">
        <f t="shared" si="96"/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AF151" s="74" t="str">
        <f t="shared" si="97"/>
        <v>"C:\Program Files (x86)\AstroGrep\AstroGrep.exe" /e /r /s /spath="%USERPROFILE%\AppData\Local\Temp\OnboardLogs" /stypes="app*4013*20171002*" /stext=" 06:.+((SYSTEM_STATE.+slice.+state.+changed )|(ment ac)|(multiple cpu faults)|(system.+state.+changed )|(\[timeout)|(PRM\|1\|D)|(kpr)|(kdp)|(train st.+moving)|(\|lc)|(penalty))"</v>
      </c>
      <c r="AG151" s="182" t="str">
        <f t="shared" si="98"/>
        <v>EC</v>
      </c>
      <c r="AH151" s="78" t="str">
        <f t="shared" si="111"/>
        <v>"%USERPROFILE%\Documents\GitHub\eaglep3\Utilities\RefineRTDCRunTimes.py" --tripid 238-01 --locoid 4013 --swversion DE.1.0.9.0 --startMP 204:233172 --initTime 2017-10-01T23:49:26 --startdatetime 2017-10-01T23:57:42 --delay 58 --endMP 204:149 --enddatetime 2017-10-02T00:34:21 --enforcementcount 0 &gt;&gt;c:\users\tmcdowell\Documents\GitHub\eaglep3-reporting\EC\2017-10-01-refined-times.txt</v>
      </c>
      <c r="AI151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{"issue":{"subject":"","project_id":79,"tracker_id":40,"status_id":1,"priority_id":2,"assigned_to_id":338,"start_date":"2017-10-02","description":"","custom_fields":[{"id":1,"name":"Subdivision","value":"EC"},{"id":4,"name":"Milepost","value":"0.0149"},{"id":17,"name":"Train ID","value":"238-01"},{"id":16,"name":"Locomotive ID","value":"4013"},{"id":130,"name":"Impact","value":""},{"id":150,"name":"Time of Event (Mountain Time)","value":"00:34:21"},{"id":151,"name":"Denver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13"/>
        <v>start /low /b %USERPROFILE%\Documents\GitHub\eaglep3\Utilities\DownloadLogsFromS3.py --loco 4013 --day 2017-10-01</v>
      </c>
      <c r="AN151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115"/>
        <v>https://d0f6bd738d7f1b3e5a7ca70fe4ff75f0.us-east-1.aws.found.io/app/kibana#/discover/Steve-Slow-Train-Analysis-(2080s-and-2083s)?_g=(refreshInterval:(display:Off,pause:!f,section:0,value:0),time:(from:'2017-10-01T22:49:26-0600',mode:absolute,to:'2017-10-02T01:34:21-0600'))&amp;_a=(columns:!('Message%20ID',Summary),filters:!(),index:'emp_*',interval:auto,query:(query_string:(analyze_wildcard:!t,query:'%22rtdc.l.rtdc.4013%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821</v>
      </c>
      <c r="B152" s="7">
        <v>4016</v>
      </c>
      <c r="C152" s="21" t="s">
        <v>195</v>
      </c>
      <c r="D152" s="21" t="s">
        <v>492</v>
      </c>
      <c r="E152" s="13">
        <v>43009.96570601852</v>
      </c>
      <c r="F152" s="13">
        <v>43009.979351851849</v>
      </c>
      <c r="G152" s="7">
        <v>66</v>
      </c>
      <c r="H152" s="21" t="s">
        <v>495</v>
      </c>
      <c r="I152" s="13">
        <v>43010.003449074073</v>
      </c>
      <c r="J152" s="7">
        <v>0</v>
      </c>
      <c r="K152" s="89" t="str">
        <f t="shared" si="88"/>
        <v>4015/4016</v>
      </c>
      <c r="L152" s="185" t="str">
        <f>VLOOKUP(A152,'Trips&amp;Operators'!$C$1:$G$99911,5,FALSE)</f>
        <v>LOZA FIDEL</v>
      </c>
      <c r="M152" s="6">
        <f t="shared" si="89"/>
        <v>2.4097222223645076E-2</v>
      </c>
      <c r="N152" s="7">
        <f t="shared" si="75"/>
        <v>34.70000000204891</v>
      </c>
      <c r="O152" s="7"/>
      <c r="P152" s="7"/>
      <c r="Q152" s="22"/>
      <c r="R152" s="174"/>
      <c r="S152" s="221">
        <f t="shared" si="90"/>
        <v>1</v>
      </c>
      <c r="T152" s="174" t="str">
        <f t="shared" si="91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92"/>
        <v>https://d0f6bd738d7f1b3e5a7ca70fe4ff75f0.us-east-1.aws.found.io/app/kibana#/discover/Steve-Slow-Train-Analysis-(2080s-and-2083s)?_g=(refreshInterval:(display:Off,pause:!f,section:0,value:0),time:(from:'2017-10-01T22:10:37-0600',mode:absolute,to:'2017-10-02T01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204" t="str">
        <f>IF(AA152&lt;VLOOKUP(AG152,Variables!$AC$3:$AD$8,2,FALSE),"Y","N")</f>
        <v>N</v>
      </c>
      <c r="X152" s="204">
        <f t="shared" si="93"/>
        <v>1</v>
      </c>
      <c r="Y152" s="204">
        <f t="shared" si="109"/>
        <v>4.7300000000000002E-2</v>
      </c>
      <c r="Z152" s="204">
        <f t="shared" si="110"/>
        <v>23.3306</v>
      </c>
      <c r="AA152" s="204">
        <f t="shared" si="94"/>
        <v>23.283300000000001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95"/>
        <v>239</v>
      </c>
      <c r="AE152" s="77" t="str">
        <f t="shared" si="96"/>
        <v>aws s3 cp s3://rtdc.mdm.uploadarchive.raw/RTDC4016/ "%USERPROFILE%\AppData\Local\Temp\OnboardLogs"\RTDC4016\2017-10-01 --exclude "*" --recursive --include "*20171001*" &amp; "%USERPROFILE%\Documents\GitHub\mrs-test-scripts\Headless Mode &amp; Sideloading\WalkAndUnGZ.bat" "%USERPROFILE%\AppData\Local\Temp\OnboardLogs"\RTDC4016\2017-10-01 &amp; 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</v>
      </c>
      <c r="AF152" s="74" t="str">
        <f t="shared" si="97"/>
        <v>"C:\Program Files (x86)\AstroGrep\AstroGrep.exe" /e /r /s /spath="%USERPROFILE%\AppData\Local\Temp\OnboardLogs" /stypes="app*4016*20171002*" /stext=" 06:.+((SYSTEM_STATE.+slice.+state.+changed )|(ment ac)|(multiple cpu faults)|(system.+state.+changed )|(\[timeout)|(PRM\|1\|D)|(kpr)|(kdp)|(train st.+moving)|(\|lc)|(penalty))"</v>
      </c>
      <c r="AG152" s="182" t="str">
        <f t="shared" si="98"/>
        <v>EC</v>
      </c>
      <c r="AH152" s="78" t="str">
        <f t="shared" si="111"/>
        <v>"%USERPROFILE%\Documents\GitHub\eaglep3\Utilities\RefineRTDCRunTimes.py" --tripid 239-01 --locoid 4016 --swversion DE.1.0.9.0 --startMP 204:473 --initTime 2017-10-01T23:10:37 --startdatetime 2017-10-01T23:30:16 --delay 66 --endMP 204:233306 --enddatetime 2017-10-02T00:04:58 --enforcementcount 0 &gt;&gt;c:\users\tmcdowell\Documents\GitHub\eaglep3-reporting\EC\2017-10-01-refined-times.txt</v>
      </c>
      <c r="AI152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ID","value":"239-01"},{"id":16,"name":"Locomotive ID","value":"4016"},{"id":130,"name":"Impact","value":""},{"id":150,"name":"Time of Event (Mountain Time)","value":"00:04:58"},{"id":151,"name":"Denver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13"/>
        <v>start /low /b %USERPROFILE%\Documents\GitHub\eaglep3\Utilities\DownloadLogsFromS3.py --loco 4016 --day 2017-10-01</v>
      </c>
      <c r="AN152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115"/>
        <v>https://d0f6bd738d7f1b3e5a7ca70fe4ff75f0.us-east-1.aws.found.io/app/kibana#/discover/Steve-Slow-Train-Analysis-(2080s-and-2083s)?_g=(refreshInterval:(display:Off,pause:!f,section:0,value:0),time:(from:'2017-10-01T22:10:37-0600',mode:absolute,to:'2017-10-02T01:04:58-0600'))&amp;_a=(columns:!('Message%20ID',Summary),filters:!(),index:'emp_*',interval:auto,query:(query_string:(analyze_wildcard:!t,query:'%22rtdc.l.rtdc.4016%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825</v>
      </c>
      <c r="B153" s="7">
        <v>4015</v>
      </c>
      <c r="C153" s="21" t="s">
        <v>195</v>
      </c>
      <c r="D153" s="21" t="s">
        <v>920</v>
      </c>
      <c r="E153" s="13">
        <v>43010.017291666663</v>
      </c>
      <c r="F153" s="13">
        <v>43010.019155092596</v>
      </c>
      <c r="G153" s="7">
        <v>78</v>
      </c>
      <c r="H153" s="21" t="s">
        <v>563</v>
      </c>
      <c r="I153" s="13">
        <v>43010.044502314813</v>
      </c>
      <c r="J153" s="7">
        <v>0</v>
      </c>
      <c r="K153" s="89" t="str">
        <f t="shared" si="88"/>
        <v>4015/4016</v>
      </c>
      <c r="L153" s="185" t="str">
        <f>VLOOKUP(A153,'Trips&amp;Operators'!$C$1:$G$99911,5,FALSE)</f>
        <v>LOZA FIDEL</v>
      </c>
      <c r="M153" s="6">
        <f t="shared" si="89"/>
        <v>2.5347222217533272E-2</v>
      </c>
      <c r="N153" s="7">
        <f t="shared" si="75"/>
        <v>36.499999993247911</v>
      </c>
      <c r="O153" s="7"/>
      <c r="P153" s="7"/>
      <c r="Q153" s="22"/>
      <c r="R153" s="174"/>
      <c r="S153" s="221">
        <f t="shared" si="90"/>
        <v>1</v>
      </c>
      <c r="T153" s="174" t="str">
        <f t="shared" si="91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92"/>
        <v>https://d0f6bd738d7f1b3e5a7ca70fe4ff75f0.us-east-1.aws.found.io/app/kibana#/discover/Steve-Slow-Train-Analysis-(2080s-and-2083s)?_g=(refreshInterval:(display:Off,pause:!f,section:0,value:0),time:(from:'2017-10-01T23:24:54-0600',mode:absolute,to:'2017-10-02T02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204" t="str">
        <f>IF(AA153&lt;VLOOKUP(AG153,Variables!$AC$3:$AD$8,2,FALSE),"Y","N")</f>
        <v>N</v>
      </c>
      <c r="X153" s="204">
        <f t="shared" si="93"/>
        <v>1</v>
      </c>
      <c r="Y153" s="204">
        <f t="shared" si="109"/>
        <v>23.300999999999998</v>
      </c>
      <c r="Z153" s="204">
        <f t="shared" si="110"/>
        <v>1.67E-2</v>
      </c>
      <c r="AA153" s="204">
        <f t="shared" si="94"/>
        <v>23.284299999999998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95"/>
        <v>240</v>
      </c>
      <c r="AE153" s="77" t="str">
        <f t="shared" si="96"/>
        <v>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 &amp; aws s3 cp s3://rtdc.mdm.uploadarchive.raw/RTDC4015/ "%USERPROFILE%\AppData\Local\Temp\OnboardLogs"\RTDC4015\2017-10-03 --exclude "*" --recursive --include "*20171003*" &amp; "%USERPROFILE%\Documents\GitHub\mrs-test-scripts\Headless Mode &amp; Sideloading\WalkAndUnGZ.bat" "%USERPROFILE%\AppData\Local\Temp\OnboardLogs"\RTDC4015\2017-10-03</v>
      </c>
      <c r="AF153" s="74" t="str">
        <f t="shared" si="97"/>
        <v>"C:\Program Files (x86)\AstroGrep\AstroGrep.exe" /e /r /s /spath="%USERPROFILE%\AppData\Local\Temp\OnboardLogs" /stypes="app*4015*20171002*" /stext=" 07:.+((SYSTEM_STATE.+slice.+state.+changed )|(ment ac)|(multiple cpu faults)|(system.+state.+changed )|(\[timeout)|(PRM\|1\|D)|(kpr)|(kdp)|(train st.+moving)|(\|lc)|(penalty))"</v>
      </c>
      <c r="AG153" s="182" t="str">
        <f t="shared" si="98"/>
        <v>EC</v>
      </c>
      <c r="AH153" s="78" t="str">
        <f t="shared" si="111"/>
        <v>"%USERPROFILE%\Documents\GitHub\eaglep3\Utilities\RefineRTDCRunTimes.py" --tripid 240-01 --locoid 4015 --swversion DE.1.0.9.0 --startMP 204:233010 --initTime 2017-10-02T00:24:54 --startdatetime 2017-10-02T00:27:35 --delay 78 --endMP 204:167 --enddatetime 2017-10-02T01:04:05 --enforcementcount 0 &gt;&gt;c:\users\tmcdowell\Documents\GitHub\eaglep3-reporting\EC\2017-10-01-refined-times.txt</v>
      </c>
      <c r="AI153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{"issue":{"subject":"","project_id":79,"tracker_id":40,"status_id":1,"priority_id":2,"assigned_to_id":338,"start_date":"2017-10-02","description":"","custom_fields":[{"id":1,"name":"Subdivision","value":"EC"},{"id":4,"name":"Milepost","value":"0.0167"},{"id":17,"name":"Train ID","value":"240-01"},{"id":16,"name":"Locomotive ID","value":"4015"},{"id":130,"name":"Impact","value":""},{"id":150,"name":"Time of Event (Mountain Time)","value":"01:04:05"},{"id":151,"name":"Denver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13"/>
        <v>start /low /b %USERPROFILE%\Documents\GitHub\eaglep3\Utilities\DownloadLogsFromS3.py --loco 4015 --day 2017-10-02</v>
      </c>
      <c r="AN153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115"/>
        <v>https://d0f6bd738d7f1b3e5a7ca70fe4ff75f0.us-east-1.aws.found.io/app/kibana#/discover/Steve-Slow-Train-Analysis-(2080s-and-2083s)?_g=(refreshInterval:(display:Off,pause:!f,section:0,value:0),time:(from:'2017-10-01T23:24:54-0600',mode:absolute,to:'2017-10-02T02:04:05-0600'))&amp;_a=(columns:!('Message%20ID',Summary),filters:!(),index:'emp_*',interval:auto,query:(query_string:(analyze_wildcard:!t,query:'%22rtdc.l.rtdc.4015%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823</v>
      </c>
      <c r="B154" s="7">
        <v>4050</v>
      </c>
      <c r="C154" s="21" t="s">
        <v>195</v>
      </c>
      <c r="D154" s="21" t="s">
        <v>335</v>
      </c>
      <c r="E154" s="13">
        <v>43009.988981481481</v>
      </c>
      <c r="F154" s="13">
        <v>43010.000127314815</v>
      </c>
      <c r="G154" s="7">
        <v>71</v>
      </c>
      <c r="H154" s="21" t="s">
        <v>495</v>
      </c>
      <c r="I154" s="13">
        <v>43010.024594907409</v>
      </c>
      <c r="J154" s="7">
        <v>0</v>
      </c>
      <c r="K154" s="89" t="str">
        <f t="shared" si="88"/>
        <v>4049/4050</v>
      </c>
      <c r="L154" s="185" t="str">
        <f>VLOOKUP(A154,'Trips&amp;Operators'!$C$1:$G$99911,5,FALSE)</f>
        <v>ELBAUM MIKE</v>
      </c>
      <c r="M154" s="6">
        <f t="shared" si="89"/>
        <v>2.4467592593282461E-2</v>
      </c>
      <c r="N154" s="7">
        <f t="shared" si="75"/>
        <v>35.233333334326744</v>
      </c>
      <c r="O154" s="7"/>
      <c r="P154" s="7"/>
      <c r="Q154" s="22"/>
      <c r="R154" s="174"/>
      <c r="S154" s="221">
        <f t="shared" si="90"/>
        <v>1</v>
      </c>
      <c r="T154" s="174" t="str">
        <f t="shared" si="91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92"/>
        <v>https://d0f6bd738d7f1b3e5a7ca70fe4ff75f0.us-east-1.aws.found.io/app/kibana#/discover/Steve-Slow-Train-Analysis-(2080s-and-2083s)?_g=(refreshInterval:(display:Off,pause:!f,section:0,value:0),time:(from:'2017-10-01T22:44:08-0600',mode:absolute,to:'2017-10-02T01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204" t="str">
        <f>IF(AA154&lt;VLOOKUP(AG154,Variables!$AC$3:$AD$8,2,FALSE),"Y","N")</f>
        <v>N</v>
      </c>
      <c r="X154" s="204">
        <f t="shared" si="93"/>
        <v>1</v>
      </c>
      <c r="Y154" s="204">
        <f t="shared" si="109"/>
        <v>4.4600000000000001E-2</v>
      </c>
      <c r="Z154" s="204">
        <f t="shared" si="110"/>
        <v>23.3306</v>
      </c>
      <c r="AA154" s="204">
        <f t="shared" si="94"/>
        <v>23.286000000000001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95"/>
        <v>241</v>
      </c>
      <c r="AE154" s="77" t="str">
        <f t="shared" si="96"/>
        <v>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 &amp; aws s3 cp s3://rtdc.mdm.uploadarchive.raw/RTDC4050/ "%USERPROFILE%\AppData\Local\Temp\OnboardLogs"\RTDC4050\2017-10-03 --exclude "*" --recursive --include "*20171003*" &amp; "%USERPROFILE%\Documents\GitHub\mrs-test-scripts\Headless Mode &amp; Sideloading\WalkAndUnGZ.bat" "%USERPROFILE%\AppData\Local\Temp\OnboardLogs"\RTDC4050\2017-10-03</v>
      </c>
      <c r="AF154" s="74" t="str">
        <f t="shared" si="97"/>
        <v>"C:\Program Files (x86)\AstroGrep\AstroGrep.exe" /e /r /s /spath="%USERPROFILE%\AppData\Local\Temp\OnboardLogs" /stypes="app*4050*20171002*" /stext=" 06:.+((SYSTEM_STATE.+slice.+state.+changed )|(ment ac)|(multiple cpu faults)|(system.+state.+changed )|(\[timeout)|(PRM\|1\|D)|(kpr)|(kdp)|(train st.+moving)|(\|lc)|(penalty))"</v>
      </c>
      <c r="AG154" s="182" t="str">
        <f t="shared" si="98"/>
        <v>EC</v>
      </c>
      <c r="AH154" s="78" t="str">
        <f t="shared" si="111"/>
        <v>"%USERPROFILE%\Documents\GitHub\eaglep3\Utilities\RefineRTDCRunTimes.py" --tripid 241-01 --locoid 4050 --swversion DE.1.0.9.0 --startMP 204:446 --initTime 2017-10-01T23:44:08 --startdatetime 2017-10-02T00:00:11 --delay 71 --endMP 204:233306 --enddatetime 2017-10-02T00:35:25 --enforcementcount 0 &gt;&gt;c:\users\tmcdowell\Documents\GitHub\eaglep3-reporting\EC\2017-10-01-refined-times.txt</v>
      </c>
      <c r="AI154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{"issue":{"subject":"","project_id":79,"tracker_id":40,"status_id":1,"priority_id":2,"assigned_to_id":338,"start_date":"2017-10-02","description":"","custom_fields":[{"id":1,"name":"Subdivision","value":"EC"},{"id":4,"name":"Milepost","value":"23.3306"},{"id":17,"name":"Train ID","value":"241-01"},{"id":16,"name":"Locomotive ID","value":"4050"},{"id":130,"name":"Impact","value":""},{"id":150,"name":"Time of Event (Mountain Time)","value":"00:35:25"},{"id":151,"name":"Denver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13"/>
        <v>start /low /b %USERPROFILE%\Documents\GitHub\eaglep3\Utilities\DownloadLogsFromS3.py --loco 4050 --day 2017-10-02</v>
      </c>
      <c r="AN154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115"/>
        <v>https://d0f6bd738d7f1b3e5a7ca70fe4ff75f0.us-east-1.aws.found.io/app/kibana#/discover/Steve-Slow-Train-Analysis-(2080s-and-2083s)?_g=(refreshInterval:(display:Off,pause:!f,section:0,value:0),time:(from:'2017-10-01T22:44:08-0600',mode:absolute,to:'2017-10-02T01:35:25-0600'))&amp;_a=(columns:!('Message%20ID',Summary),filters:!(),index:'emp_*',interval:auto,query:(query_string:(analyze_wildcard:!t,query:'%22rtdc.l.rtdc.4050%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826</v>
      </c>
      <c r="B155" s="7">
        <v>4049</v>
      </c>
      <c r="C155" s="21" t="s">
        <v>195</v>
      </c>
      <c r="D155" s="21" t="s">
        <v>384</v>
      </c>
      <c r="E155" s="13">
        <v>43010.025625000002</v>
      </c>
      <c r="F155" s="13">
        <v>43010.03974537037</v>
      </c>
      <c r="G155" s="7">
        <v>66</v>
      </c>
      <c r="H155" s="21" t="s">
        <v>938</v>
      </c>
      <c r="I155" s="13">
        <v>43010.064710648148</v>
      </c>
      <c r="J155" s="7">
        <v>0</v>
      </c>
      <c r="K155" s="89" t="str">
        <f t="shared" si="88"/>
        <v>4049/4050</v>
      </c>
      <c r="L155" s="185" t="str">
        <f>VLOOKUP(A155,'Trips&amp;Operators'!$C$1:$G$99911,5,FALSE)</f>
        <v>ELBAUM MIKE</v>
      </c>
      <c r="M155" s="6">
        <f t="shared" si="89"/>
        <v>2.4965277778392192E-2</v>
      </c>
      <c r="N155" s="7">
        <f t="shared" si="75"/>
        <v>35.950000000884756</v>
      </c>
      <c r="O155" s="7"/>
      <c r="P155" s="7"/>
      <c r="Q155" s="22"/>
      <c r="R155" s="174"/>
      <c r="S155" s="221">
        <f t="shared" si="90"/>
        <v>1</v>
      </c>
      <c r="T155" s="174" t="str">
        <f t="shared" si="91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92"/>
        <v>https://d0f6bd738d7f1b3e5a7ca70fe4ff75f0.us-east-1.aws.found.io/app/kibana#/discover/Steve-Slow-Train-Analysis-(2080s-and-2083s)?_g=(refreshInterval:(display:Off,pause:!f,section:0,value:0),time:(from:'2017-10-01T23:36:54-0600',mode:absolute,to:'2017-10-02T02:33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204" t="str">
        <f>IF(AA155&lt;VLOOKUP(AG155,Variables!$AC$3:$AD$8,2,FALSE),"Y","N")</f>
        <v>N</v>
      </c>
      <c r="X155" s="204">
        <f t="shared" si="93"/>
        <v>1</v>
      </c>
      <c r="Y155" s="204">
        <f t="shared" si="109"/>
        <v>23.299600000000002</v>
      </c>
      <c r="Z155" s="204">
        <f t="shared" si="110"/>
        <v>1.6E-2</v>
      </c>
      <c r="AA155" s="204">
        <f t="shared" si="94"/>
        <v>23.283600000000003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95"/>
        <v>242</v>
      </c>
      <c r="AE155" s="77" t="str">
        <f t="shared" si="96"/>
        <v>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 &amp; aws s3 cp s3://rtdc.mdm.uploadarchive.raw/RTDC4049/ "%USERPROFILE%\AppData\Local\Temp\OnboardLogs"\RTDC4049\2017-10-03 --exclude "*" --recursive --include "*20171003*" &amp; "%USERPROFILE%\Documents\GitHub\mrs-test-scripts\Headless Mode &amp; Sideloading\WalkAndUnGZ.bat" "%USERPROFILE%\AppData\Local\Temp\OnboardLogs"\RTDC4049\2017-10-03</v>
      </c>
      <c r="AF155" s="74" t="str">
        <f t="shared" si="97"/>
        <v>"C:\Program Files (x86)\AstroGrep\AstroGrep.exe" /e /r /s /spath="%USERPROFILE%\AppData\Local\Temp\OnboardLogs" /stypes="app*4049*20171002*" /stext=" 07:.+((SYSTEM_STATE.+slice.+state.+changed )|(ment ac)|(multiple cpu faults)|(system.+state.+changed )|(\[timeout)|(PRM\|1\|D)|(kpr)|(kdp)|(train st.+moving)|(\|lc)|(penalty))"</v>
      </c>
      <c r="AG155" s="182" t="str">
        <f t="shared" si="98"/>
        <v>EC</v>
      </c>
      <c r="AH155" s="78" t="str">
        <f t="shared" si="111"/>
        <v>"%USERPROFILE%\Documents\GitHub\eaglep3\Utilities\RefineRTDCRunTimes.py" --tripid 242-01 --locoid 4049 --swversion DE.1.0.9.0 --startMP 204:232996 --initTime 2017-10-02T00:36:54 --startdatetime 2017-10-02T00:57:14 --delay 66 --endMP 204:160 --enddatetime 2017-10-02T01:33:11 --enforcementcount 0 &gt;&gt;c:\users\tmcdowell\Documents\GitHub\eaglep3-reporting\EC\2017-10-01-refined-times.txt</v>
      </c>
      <c r="AI155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{"issue":{"subject":"","project_id":79,"tracker_id":40,"status_id":1,"priority_id":2,"assigned_to_id":338,"start_date":"2017-10-02","description":"","custom_fields":[{"id":1,"name":"Subdivision","value":"EC"},{"id":4,"name":"Milepost","value":"0.016"},{"id":17,"name":"Train ID","value":"242-01"},{"id":16,"name":"Locomotive ID","value":"4049"},{"id":130,"name":"Impact","value":""},{"id":150,"name":"Time of Event (Mountain Time)","value":"01:33:11"},{"id":151,"name":"Denver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13"/>
        <v>start /low /b %USERPROFILE%\Documents\GitHub\eaglep3\Utilities\DownloadLogsFromS3.py --loco 4049 --day 2017-10-02</v>
      </c>
      <c r="AN155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115"/>
        <v>https://d0f6bd738d7f1b3e5a7ca70fe4ff75f0.us-east-1.aws.found.io/app/kibana#/discover/Steve-Slow-Train-Analysis-(2080s-and-2083s)?_g=(refreshInterval:(display:Off,pause:!f,section:0,value:0),time:(from:'2017-10-01T23:36:54-0600',mode:absolute,to:'2017-10-02T02:33:11-0600'))&amp;_a=(columns:!('Message%20ID',Summary),filters:!(),index:'emp_*',interval:auto,query:(query_string:(analyze_wildcard:!t,query:'%22rtdc.l.rtdc.4049%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619</v>
      </c>
      <c r="B156" s="7">
        <v>4042</v>
      </c>
      <c r="C156" s="21" t="s">
        <v>195</v>
      </c>
      <c r="D156" s="21" t="s">
        <v>470</v>
      </c>
      <c r="E156" s="13">
        <v>43010.004884259259</v>
      </c>
      <c r="F156" s="13">
        <v>43010.020995370367</v>
      </c>
      <c r="G156" s="7">
        <v>57</v>
      </c>
      <c r="H156" s="21" t="s">
        <v>939</v>
      </c>
      <c r="I156" s="13">
        <v>43010.044942129629</v>
      </c>
      <c r="J156" s="7">
        <v>0</v>
      </c>
      <c r="K156" s="89" t="str">
        <f t="shared" si="88"/>
        <v>4041/4042</v>
      </c>
      <c r="L156" s="185" t="str">
        <f>VLOOKUP(A156,'Trips&amp;Operators'!$C$1:$G$99911,5,FALSE)</f>
        <v>DUNCAN SHEILA</v>
      </c>
      <c r="M156" s="6">
        <f t="shared" si="89"/>
        <v>2.3946759261889383E-2</v>
      </c>
      <c r="N156" s="7">
        <f t="shared" si="75"/>
        <v>34.483333337120712</v>
      </c>
      <c r="O156" s="7"/>
      <c r="P156" s="7"/>
      <c r="Q156" s="22"/>
      <c r="R156" s="174"/>
      <c r="S156" s="221">
        <f t="shared" si="90"/>
        <v>1</v>
      </c>
      <c r="T156" s="174" t="str">
        <f t="shared" si="91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92"/>
        <v>https://d0f6bd738d7f1b3e5a7ca70fe4ff75f0.us-east-1.aws.found.io/app/kibana#/discover/Steve-Slow-Train-Analysis-(2080s-and-2083s)?_g=(refreshInterval:(display:Off,pause:!f,section:0,value:0),time:(from:'2017-10-01T23:07:02-0600',mode:absolute,to:'2017-10-02T02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04" t="str">
        <f>IF(AA156&lt;VLOOKUP(AG156,Variables!$AC$3:$AD$8,2,FALSE),"Y","N")</f>
        <v>N</v>
      </c>
      <c r="X156" s="204">
        <f t="shared" si="93"/>
        <v>1</v>
      </c>
      <c r="Y156" s="204">
        <f t="shared" si="109"/>
        <v>4.3799999999999999E-2</v>
      </c>
      <c r="Z156" s="204">
        <f t="shared" si="110"/>
        <v>23.334099999999999</v>
      </c>
      <c r="AA156" s="204">
        <f t="shared" si="94"/>
        <v>23.290299999999998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95"/>
        <v>243</v>
      </c>
      <c r="AE156" s="77" t="str">
        <f t="shared" si="96"/>
        <v>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 &amp; 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</v>
      </c>
      <c r="AF156" s="74" t="str">
        <f t="shared" si="97"/>
        <v>"C:\Program Files (x86)\AstroGrep\AstroGrep.exe" /e /r /s /spath="%USERPROFILE%\AppData\Local\Temp\OnboardLogs" /stypes="app*4042*20171002*" /stext=" 07:.+((SYSTEM_STATE.+slice.+state.+changed )|(ment ac)|(multiple cpu faults)|(system.+state.+changed )|(\[timeout)|(PRM\|1\|D)|(kpr)|(kdp)|(train st.+moving)|(\|lc)|(penalty))"</v>
      </c>
      <c r="AG156" s="182" t="str">
        <f t="shared" si="98"/>
        <v>EC</v>
      </c>
      <c r="AH156" s="78" t="str">
        <f t="shared" si="111"/>
        <v>"%USERPROFILE%\Documents\GitHub\eaglep3\Utilities\RefineRTDCRunTimes.py" --tripid 243-01 --locoid 4042 --swversion DE.1.0.9.0 --startMP 204:438 --initTime 2017-10-02T00:07:02 --startdatetime 2017-10-02T00:30:14 --delay 57 --endMP 204:233341 --enddatetime 2017-10-02T01:04:43 --enforcementcount 0 &gt;&gt;c:\users\tmcdowell\Documents\GitHub\eaglep3-reporting\EC\2017-10-01-refined-times.txt</v>
      </c>
      <c r="AI156" s="96" t="str">
        <f t="shared" si="112"/>
        <v>echo {"issue":{"subject":"","project_id":79,"tracker_id":40,"status_id":1,"priority_id":2,"assigned_to_id":338,"start_date":"2017-10-02","description":"","custom_fields":[{"id":1,"name":"Subdivision","value":"EC"},{"id":4,"name":"Milepost","value":"23.3341"},{"id":17,"name":"Train ID","value":"243-01"},{"id":16,"name":"Locomotive ID","value":"4042"},{"id":130,"name":"Impact","value":""},{"id":150,"name":"Time of Event (Mountain Time)","value":"01:04:43"},{"id":151,"name":"Denver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13"/>
        <v>start /low /b %USERPROFILE%\Documents\GitHub\eaglep3\Utilities\DownloadLogsFromS3.py --loco 4042 --day 2017-10-02</v>
      </c>
      <c r="AN156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115"/>
        <v>https://d0f6bd738d7f1b3e5a7ca70fe4ff75f0.us-east-1.aws.found.io/app/kibana#/discover/Steve-Slow-Train-Analysis-(2080s-and-2083s)?_g=(refreshInterval:(display:Off,pause:!f,section:0,value:0),time:(from:'2017-10-01T23:07:02-0600',mode:absolute,to:'2017-10-02T02:04:43-0600'))&amp;_a=(columns:!('Message%20ID',Summary),filters:!(),index:'emp_*',interval:auto,query:(query_string:(analyze_wildcard:!t,query:'%22rtdc.l.rtdc.4042%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829</v>
      </c>
      <c r="B157" s="7">
        <v>4041</v>
      </c>
      <c r="C157" s="21" t="s">
        <v>195</v>
      </c>
      <c r="D157" s="21" t="s">
        <v>470</v>
      </c>
      <c r="E157" s="13">
        <v>43010.004884259259</v>
      </c>
      <c r="F157" s="13">
        <v>43010.060787037037</v>
      </c>
      <c r="G157" s="7">
        <v>57</v>
      </c>
      <c r="H157" s="21" t="s">
        <v>939</v>
      </c>
      <c r="I157" s="13">
        <v>43010.086261574077</v>
      </c>
      <c r="J157" s="7">
        <v>0</v>
      </c>
      <c r="K157" s="89" t="str">
        <f t="shared" si="88"/>
        <v>4041/4042</v>
      </c>
      <c r="L157" s="185" t="str">
        <f>VLOOKUP(A157,'Trips&amp;Operators'!$C$1:$G$99911,5,FALSE)</f>
        <v>DUNCAN SHEILA</v>
      </c>
      <c r="M157" s="6">
        <f t="shared" si="89"/>
        <v>2.5474537040281575E-2</v>
      </c>
      <c r="N157" s="7">
        <f t="shared" si="75"/>
        <v>36.683333338005468</v>
      </c>
      <c r="O157" s="7"/>
      <c r="P157" s="7"/>
      <c r="Q157" s="22"/>
      <c r="R157" s="174"/>
      <c r="S157" s="221">
        <f t="shared" si="90"/>
        <v>1</v>
      </c>
      <c r="T157" s="174" t="str">
        <f t="shared" si="91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92"/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04" t="str">
        <f>IF(AA157&lt;VLOOKUP(AG157,Variables!$AC$3:$AD$8,2,FALSE),"Y","N")</f>
        <v>N</v>
      </c>
      <c r="X157" s="204">
        <f t="shared" si="93"/>
        <v>1</v>
      </c>
      <c r="Y157" s="204">
        <v>23.299600000000002</v>
      </c>
      <c r="Z157" s="204">
        <v>1.6E-2</v>
      </c>
      <c r="AA157" s="204">
        <f t="shared" si="94"/>
        <v>23.283600000000003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95"/>
        <v>244</v>
      </c>
      <c r="AE157" s="77" t="str">
        <f t="shared" si="96"/>
        <v>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 &amp; aws s3 cp s3://rtdc.mdm.uploadarchive.raw/RTDC4041/ "%USERPROFILE%\AppData\Local\Temp\OnboardLogs"\RTDC4041\2017-10-03 --exclude "*" --recursive --include "*20171003*" &amp; "%USERPROFILE%\Documents\GitHub\mrs-test-scripts\Headless Mode &amp; Sideloading\WalkAndUnGZ.bat" "%USERPROFILE%\AppData\Local\Temp\OnboardLogs"\RTDC4041\2017-10-03</v>
      </c>
      <c r="AF157" s="74" t="str">
        <f t="shared" si="97"/>
        <v>"C:\Program Files (x86)\AstroGrep\AstroGrep.exe" /e /r /s /spath="%USERPROFILE%\AppData\Local\Temp\OnboardLogs" /stypes="app*4041*20171002*" /stext=" 08:.+((SYSTEM_STATE.+slice.+state.+changed )|(ment ac)|(multiple cpu faults)|(system.+state.+changed )|(\[timeout)|(PRM\|1\|D)|(kpr)|(kdp)|(train st.+moving)|(\|lc)|(penalty))"</v>
      </c>
      <c r="AG157" s="182" t="str">
        <f t="shared" si="98"/>
        <v>EC</v>
      </c>
      <c r="AH157" s="78" t="str">
        <f t="shared" ref="AH157" si="11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244-01 --locoid 4041 --swversion DE.1.0.9.0 --startMP 204:438 --initTime 2017-10-02T00:07:02 --startdatetime 2017-10-02T01:27:32 --delay 57 --endMP 204:233341 --enddatetime 2017-10-02T02:04:13 --enforcementcount 0 &gt;&gt;c:\users\tmcdowell\Documents\GitHub\eaglep3-reporting\EC\2017-10-01-refined-times.txt</v>
      </c>
      <c r="AI157" s="96" t="str">
        <f t="shared" ref="AI157" si="11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{"issue":{"subject":"","project_id":79,"tracker_id":40,"status_id":1,"priority_id":2,"assigned_to_id":338,"start_date":"2017-10-02","description":"","custom_fields":[{"id":1,"name":"Subdivision","value":"EC"},{"id":4,"name":"Milepost","value":"0.016"},{"id":17,"name":"Train ID","value":"244-01"},{"id":16,"name":"Locomotive ID","value":"4041"},{"id":130,"name":"Impact","value":""},{"id":150,"name":"Time of Event (Mountain Time)","value":"02:04:13"},{"id":151,"name":"Denver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ref="AM157" si="118">"start /low /b "&amp;dls3logs&amp;" --loco "&amp;B157&amp;" --day "&amp;TEXT(F157,"YYYY-MM-DD")</f>
        <v>start /low /b %USERPROFILE%\Documents\GitHub\eaglep3\Utilities\DownloadLogsFromS3.py --loco 4041 --day 2017-10-02</v>
      </c>
      <c r="AN157" s="151" t="str">
        <f t="shared" ref="AN157" si="119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08:04:13"},{"id":29,"name":"Sharepoint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120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Message%20ID',Summary),filters:!(),index:'emp_*',interval:auto,query:(query_string:(analyze_wildcard:!t,query:'%22rtdc.l.rtdc.4041%22')),sort:!(Time.ISO8601,asc))</v>
      </c>
    </row>
    <row r="158" spans="1:91" s="20" customFormat="1" x14ac:dyDescent="0.25">
      <c r="A158" s="32" t="s">
        <v>786</v>
      </c>
      <c r="B158" s="7">
        <v>4012</v>
      </c>
      <c r="C158" s="21" t="s">
        <v>195</v>
      </c>
      <c r="D158" s="21" t="s">
        <v>470</v>
      </c>
      <c r="E158" s="13">
        <v>43010.004884259259</v>
      </c>
      <c r="F158" s="13">
        <v>43010.060787037037</v>
      </c>
      <c r="G158" s="7">
        <v>57</v>
      </c>
      <c r="H158" s="21" t="s">
        <v>939</v>
      </c>
      <c r="I158" s="13">
        <v>43010.086261574077</v>
      </c>
      <c r="J158" s="7">
        <v>0</v>
      </c>
      <c r="K158" s="89" t="str">
        <f t="shared" si="88"/>
        <v>4011/4012</v>
      </c>
      <c r="L158" s="185" t="str">
        <f>VLOOKUP(A158,'Trips&amp;Operators'!$C$1:$G$99911,5,FALSE)</f>
        <v>KILLION DAVID</v>
      </c>
      <c r="M158" s="6">
        <f t="shared" si="89"/>
        <v>2.5474537040281575E-2</v>
      </c>
      <c r="N158" s="7"/>
      <c r="O158" s="7"/>
      <c r="P158" s="7">
        <f>24*60*SUM($M158:$M158)</f>
        <v>36.683333338005468</v>
      </c>
      <c r="Q158" s="22"/>
      <c r="R158" s="174" t="s">
        <v>988</v>
      </c>
      <c r="S158" s="221">
        <f t="shared" si="90"/>
        <v>0</v>
      </c>
      <c r="T158" s="174" t="str">
        <f t="shared" si="91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16" t="str">
        <f t="shared" si="92"/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204" t="str">
        <f>IF(AA158&lt;VLOOKUP(AG158,Variables!$AC$3:$AD$8,2,FALSE),"Y","N")</f>
        <v>N</v>
      </c>
      <c r="X158" s="204">
        <f t="shared" si="93"/>
        <v>51</v>
      </c>
      <c r="Y158" s="204">
        <v>23.299600000000002</v>
      </c>
      <c r="Z158" s="204">
        <v>1.6E-2</v>
      </c>
      <c r="AA158" s="204">
        <f t="shared" si="94"/>
        <v>23.283600000000003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95"/>
        <v>295</v>
      </c>
      <c r="AE158" s="77" t="str">
        <f t="shared" si="96"/>
        <v>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 &amp; aws s3 cp s3://rtdc.mdm.uploadarchive.raw/RTDC4012/ "%USERPROFILE%\AppData\Local\Temp\OnboardLogs"\RTDC4012\2017-10-03 --exclude "*" --recursive --include "*20171003*" &amp; "%USERPROFILE%\Documents\GitHub\mrs-test-scripts\Headless Mode &amp; Sideloading\WalkAndUnGZ.bat" "%USERPROFILE%\AppData\Local\Temp\OnboardLogs"\RTDC4012\2017-10-03</v>
      </c>
      <c r="AF158" s="74" t="str">
        <f t="shared" si="97"/>
        <v>"C:\Program Files (x86)\AstroGrep\AstroGrep.exe" /e /r /s /spath="%USERPROFILE%\AppData\Local\Temp\OnboardLogs" /stypes="app*4012*20171002*" /stext=" 08:.+((SYSTEM_STATE.+slice.+state.+changed )|(ment ac)|(multiple cpu faults)|(system.+state.+changed )|(\[timeout)|(PRM\|1\|D)|(kpr)|(kdp)|(train st.+moving)|(\|lc)|(penalty))"</v>
      </c>
      <c r="AG158" s="182" t="str">
        <f t="shared" si="98"/>
        <v>EC</v>
      </c>
      <c r="AH158" s="78" t="str">
        <f t="shared" ref="AH158" si="121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295-01 --locoid 4012 --swversion DE.1.0.9.0 --startMP 204:438 --initTime 2017-10-02T00:07:02 --startdatetime 2017-10-02T01:27:32 --delay 57 --endMP 204:233341 --enddatetime 2017-10-02T02:04:13 --enforcementcount 0 &gt;&gt;c:\users\tmcdowell\Documents\GitHub\eaglep3-reporting\EC\2017-10-01-refined-times.txt</v>
      </c>
      <c r="AI158" s="96" t="str">
        <f t="shared" ref="AI158" si="122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{"issue":{"subject":"Unable to init due to TMDS consist issue","project_id":79,"tracker_id":40,"status_id":1,"priority_id":2,"assigned_to_id":338,"start_date":"2017-10-02","description":"","custom_fields":[{"id":1,"name":"Subdivision","value":"EC"},{"id":4,"name":"Milepost","value":"0.016"},{"id":17,"name":"Train ID","value":"295-01"},{"id":16,"name":"Locomotive ID","value":"4012"},{"id":130,"name":"Impact","value":""},{"id":150,"name":"Time of Event (Mountain Time)","value":"02:04:13"},{"id":151,"name":"Denver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ref="AM158" si="123">"start /low /b "&amp;dls3logs&amp;" --loco "&amp;B158&amp;" --day "&amp;TEXT(F158,"YYYY-MM-DD")</f>
        <v>start /low /b %USERPROFILE%\Documents\GitHub\eaglep3\Utilities\DownloadLogsFromS3.py --loco 4012 --day 2017-10-02</v>
      </c>
      <c r="AN158" s="151" t="str">
        <f t="shared" ref="AN158" si="124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{"issue":{"subject":"Unable to init due to TMDS consist issue","project_id":30,"tracker_id":4,"status_id":1,"priority_id":1,"assigned_to_id":10,"start_date":"2017-10-02","description":"","custom_fields":[{"id":30,"name":"Category","value":"Issue"},{"id":3,"name":"Functional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08:04:13"},{"id":29,"name":"Sharepoint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ref="AO158" si="125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-01T23:07:02-0600',mode:absolute,to:'2017-10-02T03:04:13-0600'))&amp;_a=(columns:!('Message%20ID',Summary),filters:!(),index:'emp_*',interval:auto,query:(query_string:(analyze_wildcard:!t,query:'%22rtdc.l.rtdc.4012%22')),sort:!(Time.ISO8601,asc))</v>
      </c>
    </row>
    <row r="159" spans="1:91" s="20" customFormat="1" x14ac:dyDescent="0.25">
      <c r="A159" s="32" t="s">
        <v>800</v>
      </c>
      <c r="B159" s="7">
        <v>4011</v>
      </c>
      <c r="C159" s="21" t="s">
        <v>195</v>
      </c>
      <c r="D159" s="21" t="s">
        <v>849</v>
      </c>
      <c r="E159" s="13">
        <v>43009.820937500001</v>
      </c>
      <c r="F159" s="13">
        <v>43009.822291666664</v>
      </c>
      <c r="G159" s="7">
        <v>71</v>
      </c>
      <c r="H159" s="21" t="s">
        <v>372</v>
      </c>
      <c r="I159" s="13">
        <v>43009.849108796298</v>
      </c>
      <c r="J159" s="7">
        <v>0</v>
      </c>
      <c r="K159" s="89" t="str">
        <f t="shared" si="88"/>
        <v>4011/4012</v>
      </c>
      <c r="L159" s="185" t="str">
        <f>VLOOKUP(A159,'Trips&amp;Operators'!$C$1:$G$99911,5,FALSE)</f>
        <v>KILLION DAVID</v>
      </c>
      <c r="M159" s="6">
        <f t="shared" si="89"/>
        <v>2.6817129633855075E-2</v>
      </c>
      <c r="N159" s="7">
        <f>24*60*SUM($M159:$M159)</f>
        <v>38.616666672751307</v>
      </c>
      <c r="O159" s="7"/>
      <c r="P159" s="7"/>
      <c r="Q159" s="22"/>
      <c r="R159" s="174" t="s">
        <v>986</v>
      </c>
      <c r="S159" s="221">
        <f t="shared" si="90"/>
        <v>1</v>
      </c>
      <c r="T159" s="174" t="str">
        <f t="shared" si="91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92"/>
        <v>https://d0f6bd738d7f1b3e5a7ca70fe4ff75f0.us-east-1.aws.found.io/app/kibana#/discover/Steve-Slow-Train-Analysis-(2080s-and-2083s)?_g=(refreshInterval:(display:Off,pause:!f,section:0,value:0),time:(from:'2017-10-01T18:42:09-0600',mode:absolute,to:'2017-10-01T21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204" t="str">
        <f>IF(AA159&lt;VLOOKUP(AG159,Variables!$AC$3:$AD$8,2,FALSE),"Y","N")</f>
        <v>N</v>
      </c>
      <c r="X159" s="204">
        <f t="shared" ref="X159:X161" si="126">VALUE(LEFT(AD159,4))-VALUE(LEFT(AD158,4))</f>
        <v>1</v>
      </c>
      <c r="Y159" s="204">
        <f>RIGHT(D159,LEN(D159)-4)/10000</f>
        <v>23.2973</v>
      </c>
      <c r="Z159" s="204">
        <f>RIGHT(H159,LEN(H159)-4)/10000</f>
        <v>1.5800000000000002E-2</v>
      </c>
      <c r="AA159" s="204">
        <f t="shared" si="94"/>
        <v>23.281500000000001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95"/>
        <v>296</v>
      </c>
      <c r="AE159" s="77" t="str">
        <f t="shared" si="96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159" s="74" t="str">
        <f t="shared" si="97"/>
        <v>"C:\Program Files (x86)\AstroGrep\AstroGrep.exe" /e /r /s /spath="%USERPROFILE%\AppData\Local\Temp\OnboardLogs" /stypes="app*4011*20171002*" /stext=" 02:.+((SYSTEM_STATE.+slice.+state.+changed )|(ment ac)|(multiple cpu faults)|(system.+state.+changed )|(\[timeout)|(PRM\|1\|D)|(kpr)|(kdp)|(train st.+moving)|(\|lc)|(penalty))"</v>
      </c>
      <c r="AG159" s="182" t="str">
        <f t="shared" si="98"/>
        <v>EC</v>
      </c>
      <c r="AH159" s="78" t="str">
        <f t="shared" si="111"/>
        <v>"%USERPROFILE%\Documents\GitHub\eaglep3\Utilities\RefineRTDCRunTimes.py" --tripid 296-01 --locoid 4011 --swversion DE.1.0.9.0 --startMP 204:232973 --initTime 2017-10-01T19:42:09 --startdatetime 2017-10-01T19:44:06 --delay 71 --endMP 204:158 --enddatetime 2017-10-01T20:22:43 --enforcementcount 0 &gt;&gt;c:\users\tmcdowell\Documents\GitHub\eaglep3-reporting\EC\2017-10-01-refined-times.txt</v>
      </c>
      <c r="AI159" s="96" t="str">
        <f t="shared" si="112"/>
        <v>echo {"issue":{"subject":"Go Broncos!  Go Rockies!","project_id":79,"tracker_id":40,"status_id":1,"priority_id":2,"assigned_to_id":338,"start_date":"2017-10-01","description":"","custom_fields":[{"id":1,"name":"Subdivision","value":"EC"},{"id":4,"name":"Milepost","value":"0.0158"},{"id":17,"name":"Train ID","value":"296-01"},{"id":16,"name":"Locomotive ID","value":"4011"},{"id":130,"name":"Impact","value":""},{"id":150,"name":"Time of Event (Mountain Time)","value":"20:22:43"},{"id":151,"name":"Denver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13"/>
        <v>start /low /b %USERPROFILE%\Documents\GitHub\eaglep3\Utilities\DownloadLogsFromS3.py --loco 4011 --day 2017-10-01</v>
      </c>
      <c r="AN159" s="151" t="str">
        <f t="shared" si="114"/>
        <v>echo {"issue":{"subject":"Go Broncos!  Go Rockies!","project_id":30,"tracker_id":4,"status_id":1,"priority_id":1,"assigned_to_id":10,"start_date":"2017-10-02","description":"","custom_fields":[{"id":30,"name":"Category","value":"Issue"},{"id":3,"name":"Functional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115"/>
        <v>https://d0f6bd738d7f1b3e5a7ca70fe4ff75f0.us-east-1.aws.found.io/app/kibana#/discover/Steve-Slow-Train-Analysis-(2080s-and-2083s)?_g=(refreshInterval:(display:Off,pause:!f,section:0,value:0),time:(from:'2017-10-01T18:42:09-0600',mode:absolute,to:'2017-10-01T21:22:43-0600'))&amp;_a=(columns:!('Message%20ID',Summary),filters:!(),index:'emp_*',interval:auto,query:(query_string:(analyze_wildcard:!t,query:'%22rtdc.l.rtdc.4011%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793</v>
      </c>
      <c r="B160" s="7">
        <v>4008</v>
      </c>
      <c r="C160" s="21" t="s">
        <v>195</v>
      </c>
      <c r="D160" s="21" t="s">
        <v>849</v>
      </c>
      <c r="E160" s="13">
        <v>43009.820937500001</v>
      </c>
      <c r="F160" s="13">
        <v>43009.802835648145</v>
      </c>
      <c r="G160" s="7">
        <v>71</v>
      </c>
      <c r="H160" s="21" t="s">
        <v>372</v>
      </c>
      <c r="I160" s="13">
        <v>43009.830416666664</v>
      </c>
      <c r="J160" s="7">
        <v>0</v>
      </c>
      <c r="K160" s="89" t="str">
        <f t="shared" si="88"/>
        <v>4007/4008</v>
      </c>
      <c r="L160" s="185" t="str">
        <f>VLOOKUP(A160,'Trips&amp;Operators'!$C$1:$G$99911,5,FALSE)</f>
        <v>CASSIDY BRANDON</v>
      </c>
      <c r="M160" s="6">
        <f t="shared" si="89"/>
        <v>2.7581018519413192E-2</v>
      </c>
      <c r="N160" s="7">
        <f>24*60*SUM($M160:$M160)</f>
        <v>39.716666667954996</v>
      </c>
      <c r="O160" s="7"/>
      <c r="P160" s="7"/>
      <c r="Q160" s="22"/>
      <c r="R160" s="174" t="s">
        <v>986</v>
      </c>
      <c r="S160" s="221">
        <f t="shared" si="90"/>
        <v>1</v>
      </c>
      <c r="T160" s="174" t="str">
        <f t="shared" si="91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92"/>
        <v>https://d0f6bd738d7f1b3e5a7ca70fe4ff75f0.us-east-1.aws.found.io/app/kibana#/discover/Steve-Slow-Train-Analysis-(2080s-and-2083s)?_g=(refreshInterval:(display:Off,pause:!f,section:0,value:0),time:(from:'2017-10-01T18:42:09-0600',mode:absolute,to:'2017-10-01T20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204" t="str">
        <f>IF(AA160&lt;VLOOKUP(AG160,Variables!$AC$3:$AD$8,2,FALSE),"Y","N")</f>
        <v>N</v>
      </c>
      <c r="X160" s="204">
        <f t="shared" si="126"/>
        <v>1</v>
      </c>
      <c r="Y160" s="204">
        <v>4.3799999999999999E-2</v>
      </c>
      <c r="Z160" s="204">
        <v>23.334099999999999</v>
      </c>
      <c r="AA160" s="204">
        <f t="shared" si="94"/>
        <v>23.290299999999998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95"/>
        <v>297</v>
      </c>
      <c r="AE160" s="77" t="str">
        <f t="shared" si="96"/>
        <v>aws s3 cp s3://rtdc.mdm.uploadarchive.raw/RTDC4008/ "%USERPROFILE%\AppData\Local\Temp\OnboardLogs"\RTDC4008\2017-10-01 --exclude "*" --recursive --include "*20171001*" &amp; "%USERPROFILE%\Documents\GitHub\mrs-test-scripts\Headless Mode &amp; Sideloading\WalkAndUnGZ.bat" "%USERPROFILE%\AppData\Local\Temp\OnboardLogs"\RTDC4008\2017-10-01 &amp; aws s3 cp s3://rtdc.mdm.uploadarchive.raw/RTDC4008/ "%USERPROFILE%\AppData\Local\Temp\OnboardLogs"\RTDC4008\2017-10-02 --exclude "*" --recursive --include "*20171002*" &amp; "%USERPROFILE%\Documents\GitHub\mrs-test-scripts\Headless Mode &amp; Sideloading\WalkAndUnGZ.bat" "%USERPROFILE%\AppData\Local\Temp\OnboardLogs"\RTDC4008\2017-10-02</v>
      </c>
      <c r="AF160" s="74" t="str">
        <f t="shared" si="97"/>
        <v>"C:\Program Files (x86)\AstroGrep\AstroGrep.exe" /e /r /s /spath="%USERPROFILE%\AppData\Local\Temp\OnboardLogs" /stypes="app*4008*20171002*" /stext=" 01:.+((SYSTEM_STATE.+slice.+state.+changed )|(ment ac)|(multiple cpu faults)|(system.+state.+changed )|(\[timeout)|(PRM\|1\|D)|(kpr)|(kdp)|(train st.+moving)|(\|lc)|(penalty))"</v>
      </c>
      <c r="AG160" s="182" t="str">
        <f t="shared" si="98"/>
        <v>EC</v>
      </c>
      <c r="AH160" s="78" t="str">
        <f t="shared" ref="AH160" si="127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297-01 --locoid 4008 --swversion DE.1.0.9.0 --startMP 204:232973 --initTime 2017-10-01T19:42:09 --startdatetime 2017-10-01T19:16:05 --delay 71 --endMP 204:158 --enddatetime 2017-10-01T19:55:48 --enforcementcount 0 &gt;&gt;c:\users\tmcdowell\Documents\GitHub\eaglep3-reporting\EC\2017-10-01-refined-times.txt</v>
      </c>
      <c r="AI160" s="96" t="str">
        <f t="shared" ref="AI160" si="128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{"issue":{"subject":"Go Broncos!  Go Rockies!","project_id":79,"tracker_id":40,"status_id":1,"priority_id":2,"assigned_to_id":338,"start_date":"2017-10-01","description":"","custom_fields":[{"id":1,"name":"Subdivision","value":"EC"},{"id":4,"name":"Milepost","value":"23.3341"},{"id":17,"name":"Train ID","value":"297-01"},{"id":16,"name":"Locomotive ID","value":"4008"},{"id":130,"name":"Impact","value":""},{"id":150,"name":"Time of Event (Mountain Time)","value":"19:55:48"},{"id":151,"name":"Denver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ref="AM160" si="129">"start /low /b "&amp;dls3logs&amp;" --loco "&amp;B160&amp;" --day "&amp;TEXT(F160,"YYYY-MM-DD")</f>
        <v>start /low /b %USERPROFILE%\Documents\GitHub\eaglep3\Utilities\DownloadLogsFromS3.py --loco 4008 --day 2017-10-01</v>
      </c>
      <c r="AN160" s="151" t="str">
        <f t="shared" ref="AN160" si="130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{"issue":{"subject":"Go Broncos!  Go Rockies!","project_id":30,"tracker_id":4,"status_id":1,"priority_id":1,"assigned_to_id":10,"start_date":"2017-10-02","description":"","custom_fields":[{"id":30,"name":"Category","value":"Issue"},{"id":3,"name":"Functional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ref="AO160" si="131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-01T18:42:09-0600',mode:absolute,to:'2017-10-01T20:55:48-0600'))&amp;_a=(columns:!('Message%20ID',Summary),filters:!(),index:'emp_*',interval:auto,query:(query_string:(analyze_wildcard:!t,query:'%22rtdc.l.rtdc.4008%22')),sort:!(Time.ISO8601,asc))</v>
      </c>
    </row>
    <row r="161" spans="1:91" s="20" customFormat="1" x14ac:dyDescent="0.25">
      <c r="A161" s="32" t="s">
        <v>804</v>
      </c>
      <c r="B161" s="7">
        <v>4007</v>
      </c>
      <c r="C161" s="21" t="s">
        <v>195</v>
      </c>
      <c r="D161" s="21" t="s">
        <v>940</v>
      </c>
      <c r="E161" s="13">
        <v>43009.838101851848</v>
      </c>
      <c r="F161" s="13">
        <v>43009.841886574075</v>
      </c>
      <c r="G161" s="7">
        <v>96</v>
      </c>
      <c r="H161" s="21" t="s">
        <v>941</v>
      </c>
      <c r="I161" s="13">
        <v>43009.868634259263</v>
      </c>
      <c r="J161" s="7">
        <v>0</v>
      </c>
      <c r="K161" s="89" t="str">
        <f t="shared" si="88"/>
        <v>4007/4008</v>
      </c>
      <c r="L161" s="185" t="str">
        <f>VLOOKUP(A161,'Trips&amp;Operators'!$C$1:$G$99911,5,FALSE)</f>
        <v>CASSIDY BRANDON</v>
      </c>
      <c r="M161" s="6">
        <f t="shared" si="89"/>
        <v>2.6747685187729076E-2</v>
      </c>
      <c r="N161" s="7">
        <f>24*60*SUM($M161:$M161)</f>
        <v>38.516666670329869</v>
      </c>
      <c r="O161" s="7"/>
      <c r="P161" s="7"/>
      <c r="Q161" s="22"/>
      <c r="R161" s="174" t="s">
        <v>986</v>
      </c>
      <c r="S161" s="221">
        <f t="shared" si="90"/>
        <v>1</v>
      </c>
      <c r="T161" s="174" t="str">
        <f t="shared" si="91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92"/>
        <v>https://d0f6bd738d7f1b3e5a7ca70fe4ff75f0.us-east-1.aws.found.io/app/kibana#/discover/Steve-Slow-Train-Analysis-(2080s-and-2083s)?_g=(refreshInterval:(display:Off,pause:!f,section:0,value:0),time:(from:'2017-10-01T19:06:52-0600',mode:absolute,to:'2017-10-01T21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204" t="str">
        <f>IF(AA161&lt;VLOOKUP(AG161,Variables!$AC$3:$AD$8,2,FALSE),"Y","N")</f>
        <v>N</v>
      </c>
      <c r="X161" s="204">
        <f t="shared" si="126"/>
        <v>1</v>
      </c>
      <c r="Y161" s="204">
        <f t="shared" ref="Y161:Y192" si="132">RIGHT(D161,LEN(D161)-4)/10000</f>
        <v>23.3078</v>
      </c>
      <c r="Z161" s="204">
        <f t="shared" ref="Z161:Z192" si="133">RIGHT(H161,LEN(H161)-4)/10000</f>
        <v>0.17180000000000001</v>
      </c>
      <c r="AA161" s="204">
        <f t="shared" si="94"/>
        <v>23.135999999999999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95"/>
        <v>298</v>
      </c>
      <c r="AE161" s="77" t="str">
        <f t="shared" si="96"/>
        <v>aws s3 cp s3://rtdc.mdm.uploadarchive.raw/RTDC4007/ "%USERPROFILE%\AppData\Local\Temp\OnboardLogs"\RTDC4007\2017-10-01 --exclude "*" --recursive --include "*20171001*" &amp; "%USERPROFILE%\Documents\GitHub\mrs-test-scripts\Headless Mode &amp; Sideloading\WalkAndUnGZ.bat" "%USERPROFILE%\AppData\Local\Temp\OnboardLogs"\RTDC4007\2017-10-01 &amp; aws s3 cp s3://rtdc.mdm.uploadarchive.raw/RTDC4007/ "%USERPROFILE%\AppData\Local\Temp\OnboardLogs"\RTDC4007\2017-10-02 --exclude "*" --recursive --include "*20171002*" &amp; "%USERPROFILE%\Documents\GitHub\mrs-test-scripts\Headless Mode &amp; Sideloading\WalkAndUnGZ.bat" "%USERPROFILE%\AppData\Local\Temp\OnboardLogs"\RTDC4007\2017-10-02</v>
      </c>
      <c r="AF161" s="74" t="str">
        <f t="shared" si="97"/>
        <v>"C:\Program Files (x86)\AstroGrep\AstroGrep.exe" /e /r /s /spath="%USERPROFILE%\AppData\Local\Temp\OnboardLogs" /stypes="app*4007*20171002*" /stext=" 02:.+((SYSTEM_STATE.+slice.+state.+changed )|(ment ac)|(multiple cpu faults)|(system.+state.+changed )|(\[timeout)|(PRM\|1\|D)|(kpr)|(kdp)|(train st.+moving)|(\|lc)|(penalty))"</v>
      </c>
      <c r="AG161" s="182" t="str">
        <f t="shared" si="98"/>
        <v>EC</v>
      </c>
      <c r="AH161" s="78" t="str">
        <f t="shared" si="111"/>
        <v>"%USERPROFILE%\Documents\GitHub\eaglep3\Utilities\RefineRTDCRunTimes.py" --tripid 298-01 --locoid 4007 --swversion DE.1.0.9.0 --startMP 204:233078 --initTime 2017-10-01T20:06:52 --startdatetime 2017-10-01T20:12:19 --delay 96 --endMP 204:1718 --enddatetime 2017-10-01T20:50:50 --enforcementcount 0 &gt;&gt;c:\users\tmcdowell\Documents\GitHub\eaglep3-reporting\EC\2017-10-01-refined-times.txt</v>
      </c>
      <c r="AI161" s="96" t="str">
        <f t="shared" si="112"/>
        <v>echo {"issue":{"subject":"Go Broncos!  Go Rockies!","project_id":79,"tracker_id":40,"status_id":1,"priority_id":2,"assigned_to_id":338,"start_date":"2017-10-01","description":"","custom_fields":[{"id":1,"name":"Subdivision","value":"EC"},{"id":4,"name":"Milepost","value":"0.1718"},{"id":17,"name":"Train ID","value":"298-01"},{"id":16,"name":"Locomotive ID","value":"4007"},{"id":130,"name":"Impact","value":""},{"id":150,"name":"Time of Event (Mountain Time)","value":"20:50:50"},{"id":151,"name":"Denver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13"/>
        <v>start /low /b %USERPROFILE%\Documents\GitHub\eaglep3\Utilities\DownloadLogsFromS3.py --loco 4007 --day 2017-10-01</v>
      </c>
      <c r="AN161" s="151" t="str">
        <f t="shared" si="114"/>
        <v>echo {"issue":{"subject":"Go Broncos!  Go Rockies!","project_id":30,"tracker_id":4,"status_id":1,"priority_id":1,"assigned_to_id":10,"start_date":"2017-10-02","description":"","custom_fields":[{"id":30,"name":"Category","value":"Issue"},{"id":3,"name":"Functional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115"/>
        <v>https://d0f6bd738d7f1b3e5a7ca70fe4ff75f0.us-east-1.aws.found.io/app/kibana#/discover/Steve-Slow-Train-Analysis-(2080s-and-2083s)?_g=(refreshInterval:(display:Off,pause:!f,section:0,value:0),time:(from:'2017-10-01T19:06:52-0600',mode:absolute,to:'2017-10-01T21:50:50-0600'))&amp;_a=(columns:!('Message%20ID',Summary),filters:!(),index:'emp_*',interval:auto,query:(query_string:(analyze_wildcard:!t,query:'%22rtdc.l.rtdc.4007%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659</v>
      </c>
      <c r="B162" s="7">
        <v>4023</v>
      </c>
      <c r="C162" s="21" t="s">
        <v>195</v>
      </c>
      <c r="D162" s="21" t="s">
        <v>865</v>
      </c>
      <c r="E162" s="13">
        <v>43009.229618055557</v>
      </c>
      <c r="F162" s="13">
        <v>43009.239236111112</v>
      </c>
      <c r="G162" s="7">
        <v>58</v>
      </c>
      <c r="H162" s="21" t="s">
        <v>579</v>
      </c>
      <c r="I162" s="13">
        <v>43009.247523148151</v>
      </c>
      <c r="J162" s="7">
        <v>0</v>
      </c>
      <c r="K162" s="89" t="str">
        <f t="shared" si="88"/>
        <v>4023/4024</v>
      </c>
      <c r="L162" s="185" t="str">
        <f>VLOOKUP(A162,'Trips&amp;Operators'!$C$1:$G$99911,5,FALSE)</f>
        <v>MACDONALD THOMAS</v>
      </c>
      <c r="M162" s="6">
        <f t="shared" si="89"/>
        <v>8.2870370388263837E-3</v>
      </c>
      <c r="N162" s="7">
        <f>24*60*SUM($M162:$M162)</f>
        <v>11.933333335909992</v>
      </c>
      <c r="O162" s="7"/>
      <c r="P162" s="7"/>
      <c r="Q162" s="22"/>
      <c r="R162" s="174"/>
      <c r="S162" s="221">
        <f t="shared" si="90"/>
        <v>1</v>
      </c>
      <c r="T162" s="174" t="str">
        <f t="shared" si="91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92"/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1502</v>
      </c>
      <c r="Y162" s="204">
        <f t="shared" si="132"/>
        <v>5.859</v>
      </c>
      <c r="Z162" s="204">
        <f t="shared" si="133"/>
        <v>7.1999999999999995E-2</v>
      </c>
      <c r="AA162" s="204">
        <f t="shared" si="94"/>
        <v>5.7869999999999999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95"/>
        <v>1800</v>
      </c>
      <c r="AE162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2" s="74" t="str">
        <f t="shared" si="97"/>
        <v>"C:\Program Files (x86)\AstroGrep\AstroGrep.exe" /e /r /s /spath="%USERPROFILE%\AppData\Local\Temp\OnboardLogs" /stypes="app*4023*20171001*" /stext=" 11:.+((SYSTEM_STATE.+slice.+state.+changed )|(ment ac)|(multiple cpu faults)|(system.+state.+changed )|(\[timeout)|(PRM\|1\|D)|(kpr)|(kdp)|(train st.+moving)|(\|lc)|(penalty))"</v>
      </c>
      <c r="AG162" s="182" t="str">
        <f t="shared" si="98"/>
        <v>NW</v>
      </c>
      <c r="AH162" s="78" t="str">
        <f t="shared" si="111"/>
        <v>"%USERPROFILE%\Documents\GitHub\eaglep3\Utilities\RefineRTDCRunTimes.py" --tripid 1800-01 --locoid 4023 --swversion DE.1.0.9.0 --startMP 300:58590 --initTime 2017-10-01T05:30:39 --startdatetime 2017-10-01T05:44:30 --delay 58 --endMP 204:720 --enddatetime 2017-10-01T05:56:26 --enforcementcount 0 &gt;&gt;c:\users\tmcdowell\Documents\GitHub\eaglep3-reporting\EC\2017-10-01-refined-times.txt</v>
      </c>
      <c r="AI16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{"issue":{"subject":"","project_id":79,"tracker_id":40,"status_id":1,"priority_id":2,"assigned_to_id":338,"start_date":"2017-10-01","description":"","custom_fields":[{"id":1,"name":"Subdivision","value":"NW"},{"id":4,"name":"Milepost","value":"0.072"},{"id":17,"name":"Train ID","value":"1800-01"},{"id":16,"name":"Locomotive ID","value":"4023"},{"id":130,"name":"Impact","value":""},{"id":150,"name":"Time of Event (Mountain Time)","value":"05:56:26"},{"id":151,"name":"Denver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13"/>
        <v>start /low /b %USERPROFILE%\Documents\GitHub\eaglep3\Utilities\DownloadLogsFromS3.py --loco 4023 --day 2017-10-01</v>
      </c>
      <c r="AN16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115"/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Message%20ID',Summary),filters:!(),index:'emp_*',interval:auto,query:(query_string:(analyze_wildcard:!t,query:'%22rtdc.l.rtdc.4023%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987</v>
      </c>
      <c r="B163" s="7">
        <v>4024</v>
      </c>
      <c r="C163" s="21" t="s">
        <v>195</v>
      </c>
      <c r="D163" s="21" t="s">
        <v>865</v>
      </c>
      <c r="E163" s="13">
        <v>43009.229618055557</v>
      </c>
      <c r="F163" s="13">
        <v>43009.230949074074</v>
      </c>
      <c r="G163" s="7">
        <v>58</v>
      </c>
      <c r="H163" s="21" t="s">
        <v>579</v>
      </c>
      <c r="I163" s="13">
        <v>43009.247523148151</v>
      </c>
      <c r="J163" s="7">
        <v>0</v>
      </c>
      <c r="K163" s="89" t="str">
        <f t="shared" si="88"/>
        <v>4023/4024</v>
      </c>
      <c r="L163" s="185" t="e">
        <f>VLOOKUP(A163,'Trips&amp;Operators'!$C$1:$G$99911,5,FALSE)</f>
        <v>#N/A</v>
      </c>
      <c r="M163" s="6">
        <f t="shared" si="89"/>
        <v>1.6574074077652767E-2</v>
      </c>
      <c r="N163" s="7"/>
      <c r="O163" s="7"/>
      <c r="P163" s="7">
        <f>24*60*SUM($M163:$M163)</f>
        <v>23.866666671819985</v>
      </c>
      <c r="Q163" s="22"/>
      <c r="R163" s="174" t="s">
        <v>989</v>
      </c>
      <c r="S163" s="221">
        <f t="shared" si="90"/>
        <v>0</v>
      </c>
      <c r="T163" s="174" t="str">
        <f t="shared" si="91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216" t="str">
        <f t="shared" si="92"/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 t="shared" si="132"/>
        <v>5.859</v>
      </c>
      <c r="Z163" s="204">
        <f t="shared" si="133"/>
        <v>7.1999999999999995E-2</v>
      </c>
      <c r="AA163" s="204">
        <f t="shared" si="94"/>
        <v>5.7869999999999999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95"/>
        <v>1801</v>
      </c>
      <c r="AE163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3" s="74" t="str">
        <f t="shared" si="97"/>
        <v>"C:\Program Files (x86)\AstroGrep\AstroGrep.exe" /e /r /s /spath="%USERPROFILE%\AppData\Local\Temp\OnboardLogs" /stypes="app*4024*20171001*" /stext=" 11:.+((SYSTEM_STATE.+slice.+state.+changed )|(ment ac)|(multiple cpu faults)|(system.+state.+changed )|(\[timeout)|(PRM\|1\|D)|(kpr)|(kdp)|(train st.+moving)|(\|lc)|(penalty))"</v>
      </c>
      <c r="AG163" s="182" t="str">
        <f t="shared" si="98"/>
        <v>NW</v>
      </c>
      <c r="AH163" s="78" t="str">
        <f t="shared" ref="AH163" si="134"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1801-01 --locoid 4024 --swversion DE.1.0.9.0 --startMP 300:58590 --initTime 2017-10-01T05:30:39 --startdatetime 2017-10-01T05:32:34 --delay 58 --endMP 204:720 --enddatetime 2017-10-01T05:56:26 --enforcementcount 0 &gt;&gt;c:\users\tmcdowell\Documents\GitHub\eaglep3-reporting\EC\2017-10-01-refined-times.txt</v>
      </c>
      <c r="AI163" s="96" t="str">
        <f t="shared" ref="AI163" si="135"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--insecure -X POST -H ""Content-Type: application/json"" -H ""X-Redmine-API-Key: "&amp;redm_api_key&amp;""" "&amp;redm_url&amp;" --data @-"</f>
        <v>echo {"issue":{"subject":"Unable to init due to Wi-MAX data drop","project_id":79,"tracker_id":40,"status_id":1,"priority_id":2,"assigned_to_id":338,"start_date":"2017-10-01","description":"","custom_fields":[{"id":1,"name":"Subdivision","value":"NW"},{"id":4,"name":"Milepost","value":"0.072"},{"id":17,"name":"Train ID","value":"1801-01"},{"id":16,"name":"Locomotive ID","value":"4024"},{"id":130,"name":"Impact","value":""},{"id":150,"name":"Time of Event (Mountain Time)","value":"05:56:26"},{"id":151,"name":"Denver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ref="AM163" si="136">"start /low /b "&amp;dls3logs&amp;" --loco "&amp;B163&amp;" --day "&amp;TEXT(F163,"YYYY-MM-DD")</f>
        <v>start /low /b %USERPROFILE%\Documents\GitHub\eaglep3\Utilities\DownloadLogsFromS3.py --loco 4024 --day 2017-10-01</v>
      </c>
      <c r="AN163" s="151" t="str">
        <f t="shared" ref="AN163" si="137">"echo {""issue"":{""subject"":"""&amp;R163&amp;""",""project_id"":30,""tracker_id"":4,""status_id"":"&amp;redmine_status_wcr&amp;",""priority_id"":"&amp;redmine_priority_wcr&amp;",""assigned_to_id"":"&amp;redmine_assignee_wcr&amp;",""start_date"":"""&amp;TEXT(I163-utc_offset/24,"YYYY-mm-dd")&amp;""",""description"":"""&amp;AJ163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{"issue":{"subject":"Unable to init due to Wi-MAX data drop","project_id":30,"tracker_id":4,"status_id":1,"priority_id":1,"assigned_to_id":10,"start_date":"2017-10-01","description":"","custom_fields":[{"id":30,"name":"Category","value":"Issue"},{"id":3,"name":"Functional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ref="AO163" si="138"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Message%20ID',Summary),filters:!(),index:'emp_*',interval:auto,query:"&amp;"(query_string:(analyze_wildcard:!t,query:'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-01T04:30:39-0600',mode:absolute,to:'2017-10-01T06:56:26-0600'))&amp;_a=(columns:!('Message%20ID',Summary),filters:!(),index:'emp_*',interval:auto,query:(query_string:(analyze_wildcard:!t,query:'%22rtdc.l.rtdc.4024%22')),sort:!(Time.ISO8601,asc))</v>
      </c>
    </row>
    <row r="164" spans="1:91" s="20" customFormat="1" x14ac:dyDescent="0.25">
      <c r="A164" s="32" t="s">
        <v>668</v>
      </c>
      <c r="B164" s="7">
        <v>4023</v>
      </c>
      <c r="C164" s="21" t="s">
        <v>195</v>
      </c>
      <c r="D164" s="21" t="s">
        <v>866</v>
      </c>
      <c r="E164" s="13">
        <v>43009.276400462964</v>
      </c>
      <c r="F164" s="13">
        <v>43009.278020833335</v>
      </c>
      <c r="G164" s="7">
        <v>56</v>
      </c>
      <c r="H164" s="21" t="s">
        <v>867</v>
      </c>
      <c r="I164" s="13">
        <v>43009.290752314817</v>
      </c>
      <c r="J164" s="7">
        <v>0</v>
      </c>
      <c r="K164" s="89" t="str">
        <f t="shared" si="88"/>
        <v>4023/4024</v>
      </c>
      <c r="L164" s="185" t="str">
        <f>VLOOKUP(A164,'Trips&amp;Operators'!$C$1:$G$99911,5,FALSE)</f>
        <v>MACDONALD THOMAS</v>
      </c>
      <c r="M164" s="6">
        <f t="shared" si="89"/>
        <v>1.2731481481750961E-2</v>
      </c>
      <c r="N164" s="7">
        <f t="shared" ref="N164:N178" si="139">24*60*SUM($M164:$M164)</f>
        <v>18.333333333721384</v>
      </c>
      <c r="O164" s="7"/>
      <c r="P164" s="7"/>
      <c r="Q164" s="22"/>
      <c r="R164" s="174"/>
      <c r="S164" s="221">
        <f t="shared" si="90"/>
        <v>1</v>
      </c>
      <c r="T164" s="174" t="str">
        <f t="shared" si="91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92"/>
        <v>https://d0f6bd738d7f1b3e5a7ca70fe4ff75f0.us-east-1.aws.found.io/app/kibana#/discover/Steve-Slow-Train-Analysis-(2080s-and-2083s)?_g=(refreshInterval:(display:Off,pause:!f,section:0,value:0),time:(from:'2017-10-01T05:38:01-0600',mode:absolute,to:'2017-10-01T07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4" s="204" t="str">
        <f>IF(AA164&lt;VLOOKUP(AG164,Variables!$AC$3:$AD$8,2,FALSE),"Y","N")</f>
        <v>N</v>
      </c>
      <c r="X164" s="204">
        <f>VALUE(LEFT(AD164,4))-VALUE(LEFT(AD162,4))</f>
        <v>2</v>
      </c>
      <c r="Y164" s="204">
        <f t="shared" si="132"/>
        <v>5.8578999999999999</v>
      </c>
      <c r="Z164" s="204">
        <f t="shared" si="133"/>
        <v>7.3599999999999999E-2</v>
      </c>
      <c r="AA164" s="204">
        <f t="shared" si="94"/>
        <v>5.7843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95"/>
        <v>1802</v>
      </c>
      <c r="AE164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4" s="74" t="str">
        <f t="shared" si="97"/>
        <v>"C:\Program Files (x86)\AstroGrep\AstroGrep.exe" /e /r /s /spath="%USERPROFILE%\AppData\Local\Temp\OnboardLogs" /stypes="app*4023*20171001*" /stext=" 12:.+((SYSTEM_STATE.+slice.+state.+changed )|(ment ac)|(multiple cpu faults)|(system.+state.+changed )|(\[timeout)|(PRM\|1\|D)|(kpr)|(kdp)|(train st.+moving)|(\|lc)|(penalty))"</v>
      </c>
      <c r="AG164" s="182" t="str">
        <f t="shared" si="98"/>
        <v>NW</v>
      </c>
      <c r="AH164" s="78" t="str">
        <f t="shared" si="111"/>
        <v>"%USERPROFILE%\Documents\GitHub\eaglep3\Utilities\RefineRTDCRunTimes.py" --tripid 1802-01 --locoid 4023 --swversion DE.1.0.9.0 --startMP 300:58579 --initTime 2017-10-01T06:38:01 --startdatetime 2017-10-01T06:40:21 --delay 56 --endMP 204:736 --enddatetime 2017-10-01T06:58:41 --enforcementcount 0 &gt;&gt;c:\users\tmcdowell\Documents\GitHub\eaglep3-reporting\EC\2017-10-01-refined-times.txt</v>
      </c>
      <c r="AI16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{"issue":{"subject":"","project_id":79,"tracker_id":40,"status_id":1,"priority_id":2,"assigned_to_id":338,"start_date":"2017-10-01","description":"","custom_fields":[{"id":1,"name":"Subdivision","value":"NW"},{"id":4,"name":"Milepost","value":"0.0736"},{"id":17,"name":"Train ID","value":"1802-01"},{"id":16,"name":"Locomotive ID","value":"4023"},{"id":130,"name":"Impact","value":""},{"id":150,"name":"Time of Event (Mountain Time)","value":"06:58:41"},{"id":151,"name":"Denver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13"/>
        <v>start /low /b %USERPROFILE%\Documents\GitHub\eaglep3\Utilities\DownloadLogsFromS3.py --loco 4023 --day 2017-10-01</v>
      </c>
      <c r="AN16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12:58:41"},{"id":29,"name":"Sharepoint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115"/>
        <v>https://d0f6bd738d7f1b3e5a7ca70fe4ff75f0.us-east-1.aws.found.io/app/kibana#/discover/Steve-Slow-Train-Analysis-(2080s-and-2083s)?_g=(refreshInterval:(display:Off,pause:!f,section:0,value:0),time:(from:'2017-10-01T05:38:01-0600',mode:absolute,to:'2017-10-01T07:58:41-0600'))&amp;_a=(columns:!('Message%20ID',Summary),filters:!(),index:'emp_*',interval:auto,query:(query_string:(analyze_wildcard:!t,query:'%22rtdc.l.rtdc.4023%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672</v>
      </c>
      <c r="B165" s="7">
        <v>4024</v>
      </c>
      <c r="C165" s="21" t="s">
        <v>195</v>
      </c>
      <c r="D165" s="21" t="s">
        <v>580</v>
      </c>
      <c r="E165" s="13">
        <v>43009.296215277776</v>
      </c>
      <c r="F165" s="13">
        <v>43009.298159722224</v>
      </c>
      <c r="G165" s="7">
        <v>66</v>
      </c>
      <c r="H165" s="21" t="s">
        <v>868</v>
      </c>
      <c r="I165" s="13">
        <v>43009.307546296295</v>
      </c>
      <c r="J165" s="7">
        <v>0</v>
      </c>
      <c r="K165" s="89" t="str">
        <f t="shared" si="88"/>
        <v>4023/4024</v>
      </c>
      <c r="L165" s="185" t="str">
        <f>VLOOKUP(A165,'Trips&amp;Operators'!$C$1:$G$99911,5,FALSE)</f>
        <v>MACDONALD THOMAS</v>
      </c>
      <c r="M165" s="6">
        <f t="shared" si="89"/>
        <v>9.3865740709588863E-3</v>
      </c>
      <c r="N165" s="7">
        <f t="shared" si="139"/>
        <v>13.516666662180796</v>
      </c>
      <c r="O165" s="7"/>
      <c r="P165" s="7"/>
      <c r="Q165" s="22"/>
      <c r="R165" s="174"/>
      <c r="S165" s="221">
        <f t="shared" si="90"/>
        <v>1</v>
      </c>
      <c r="T165" s="174" t="str">
        <f t="shared" si="91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92"/>
        <v>https://d0f6bd738d7f1b3e5a7ca70fe4ff75f0.us-east-1.aws.found.io/app/kibana#/discover/Steve-Slow-Train-Analysis-(2080s-and-2083s)?_g=(refreshInterval:(display:Off,pause:!f,section:0,value:0),time:(from:'2017-10-01T06:06:33-0600',mode:absolute,to:'2017-10-01T08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5" s="204" t="str">
        <f>IF(AA165&lt;VLOOKUP(AG165,Variables!$AC$3:$AD$8,2,FALSE),"Y","N")</f>
        <v>N</v>
      </c>
      <c r="X165" s="204">
        <f t="shared" ref="X165:X196" si="140">VALUE(LEFT(AD165,4))-VALUE(LEFT(AD164,4))</f>
        <v>1</v>
      </c>
      <c r="Y165" s="204">
        <f t="shared" si="132"/>
        <v>0.1021</v>
      </c>
      <c r="Z165" s="204">
        <f t="shared" si="133"/>
        <v>5.8920000000000003</v>
      </c>
      <c r="AA165" s="204">
        <f t="shared" si="94"/>
        <v>5.7899000000000003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95"/>
        <v>1803</v>
      </c>
      <c r="AE165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5" s="74" t="str">
        <f t="shared" si="97"/>
        <v>"C:\Program Files (x86)\AstroGrep\AstroGrep.exe" /e /r /s /spath="%USERPROFILE%\AppData\Local\Temp\OnboardLogs" /stypes="app*4024*20171001*" /stext=" 13:.+((SYSTEM_STATE.+slice.+state.+changed )|(ment ac)|(multiple cpu faults)|(system.+state.+changed )|(\[timeout)|(PRM\|1\|D)|(kpr)|(kdp)|(train st.+moving)|(\|lc)|(penalty))"</v>
      </c>
      <c r="AG165" s="182" t="str">
        <f t="shared" si="98"/>
        <v>NW</v>
      </c>
      <c r="AH165" s="78" t="str">
        <f t="shared" si="111"/>
        <v>"%USERPROFILE%\Documents\GitHub\eaglep3\Utilities\RefineRTDCRunTimes.py" --tripid 1803-01 --locoid 4024 --swversion DE.1.0.9.0 --startMP 204:1021 --initTime 2017-10-01T07:06:33 --startdatetime 2017-10-01T07:09:21 --delay 66 --endMP 300:58920 --enddatetime 2017-10-01T07:22:52 --enforcementcount 0 &gt;&gt;c:\users\tmcdowell\Documents\GitHub\eaglep3-reporting\EC\2017-10-01-refined-times.txt</v>
      </c>
      <c r="AI16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{"issue":{"subject":"","project_id":79,"tracker_id":40,"status_id":1,"priority_id":2,"assigned_to_id":338,"start_date":"2017-10-01","description":"","custom_fields":[{"id":1,"name":"Subdivision","value":"NW"},{"id":4,"name":"Milepost","value":"5.892"},{"id":17,"name":"Train ID","value":"1803-01"},{"id":16,"name":"Locomotive ID","value":"4024"},{"id":130,"name":"Impact","value":""},{"id":150,"name":"Time of Event (Mountain Time)","value":"07:22:52"},{"id":151,"name":"Denver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13"/>
        <v>start /low /b %USERPROFILE%\Documents\GitHub\eaglep3\Utilities\DownloadLogsFromS3.py --loco 4024 --day 2017-10-01</v>
      </c>
      <c r="AN16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115"/>
        <v>https://d0f6bd738d7f1b3e5a7ca70fe4ff75f0.us-east-1.aws.found.io/app/kibana#/discover/Steve-Slow-Train-Analysis-(2080s-and-2083s)?_g=(refreshInterval:(display:Off,pause:!f,section:0,value:0),time:(from:'2017-10-01T06:06:33-0600',mode:absolute,to:'2017-10-01T08:22:52-0600'))&amp;_a=(columns:!('Message%20ID',Summary),filters:!(),index:'emp_*',interval:auto,query:(query_string:(analyze_wildcard:!t,query:'%22rtdc.l.rtdc.4024%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677</v>
      </c>
      <c r="B166" s="7">
        <v>4023</v>
      </c>
      <c r="C166" s="21" t="s">
        <v>195</v>
      </c>
      <c r="D166" s="21" t="s">
        <v>869</v>
      </c>
      <c r="E166" s="13">
        <v>43009.308148148149</v>
      </c>
      <c r="F166" s="13">
        <v>43009.319803240738</v>
      </c>
      <c r="G166" s="7">
        <v>950</v>
      </c>
      <c r="H166" s="21" t="s">
        <v>870</v>
      </c>
      <c r="I166" s="13">
        <v>43009.331099537034</v>
      </c>
      <c r="J166" s="7">
        <v>0</v>
      </c>
      <c r="K166" s="89" t="str">
        <f t="shared" si="88"/>
        <v>4023/4024</v>
      </c>
      <c r="L166" s="185" t="str">
        <f>VLOOKUP(A166,'Trips&amp;Operators'!$C$1:$G$99911,5,FALSE)</f>
        <v>MACDONALD THOMAS</v>
      </c>
      <c r="M166" s="6">
        <f t="shared" si="89"/>
        <v>1.1296296295768116E-2</v>
      </c>
      <c r="N166" s="7">
        <f t="shared" si="139"/>
        <v>16.266666665906087</v>
      </c>
      <c r="O166" s="7"/>
      <c r="P166" s="7"/>
      <c r="Q166" s="22"/>
      <c r="R166" s="174"/>
      <c r="S166" s="221">
        <f t="shared" si="90"/>
        <v>1</v>
      </c>
      <c r="T166" s="174" t="str">
        <f t="shared" si="91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92"/>
        <v>https://d0f6bd738d7f1b3e5a7ca70fe4ff75f0.us-east-1.aws.found.io/app/kibana#/discover/Steve-Slow-Train-Analysis-(2080s-and-2083s)?_g=(refreshInterval:(display:Off,pause:!f,section:0,value:0),time:(from:'2017-10-01T06:23:44-0600',mode:absolute,to:'2017-10-01T08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6" s="204" t="str">
        <f>IF(AA166&lt;VLOOKUP(AG166,Variables!$AC$3:$AD$8,2,FALSE),"Y","N")</f>
        <v>N</v>
      </c>
      <c r="X166" s="204">
        <f t="shared" si="140"/>
        <v>1</v>
      </c>
      <c r="Y166" s="204">
        <f t="shared" si="132"/>
        <v>5.8608000000000002</v>
      </c>
      <c r="Z166" s="204">
        <f t="shared" si="133"/>
        <v>7.3400000000000007E-2</v>
      </c>
      <c r="AA166" s="204">
        <f t="shared" si="94"/>
        <v>5.7873999999999999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95"/>
        <v>1804</v>
      </c>
      <c r="AE166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6" s="74" t="str">
        <f t="shared" si="97"/>
        <v>"C:\Program Files (x86)\AstroGrep\AstroGrep.exe" /e /r /s /spath="%USERPROFILE%\AppData\Local\Temp\OnboardLogs" /stypes="app*4023*20171001*" /stext=" 13:.+((SYSTEM_STATE.+slice.+state.+changed )|(ment ac)|(multiple cpu faults)|(system.+state.+changed )|(\[timeout)|(PRM\|1\|D)|(kpr)|(kdp)|(train st.+moving)|(\|lc)|(penalty))"</v>
      </c>
      <c r="AG166" s="182" t="str">
        <f t="shared" si="98"/>
        <v>NW</v>
      </c>
      <c r="AH166" s="78" t="str">
        <f t="shared" si="111"/>
        <v>"%USERPROFILE%\Documents\GitHub\eaglep3\Utilities\RefineRTDCRunTimes.py" --tripid 1804-01 --locoid 4023 --swversion DE.1.0.9.0 --startMP 300:58608 --initTime 2017-10-01T07:23:44 --startdatetime 2017-10-01T07:40:31 --delay 950 --endMP 204:734 --enddatetime 2017-10-01T07:56:47 --enforcementcount 0 &gt;&gt;c:\users\tmcdowell\Documents\GitHub\eaglep3-reporting\EC\2017-10-01-refined-times.txt</v>
      </c>
      <c r="AI16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{"issue":{"subject":"","project_id":79,"tracker_id":40,"status_id":1,"priority_id":2,"assigned_to_id":338,"start_date":"2017-10-01","description":"","custom_fields":[{"id":1,"name":"Subdivision","value":"NW"},{"id":4,"name":"Milepost","value":"0.0734"},{"id":17,"name":"Train ID","value":"1804-01"},{"id":16,"name":"Locomotive ID","value":"4023"},{"id":130,"name":"Impact","value":""},{"id":150,"name":"Time of Event (Mountain Time)","value":"07:56:47"},{"id":151,"name":"Denver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13"/>
        <v>start /low /b %USERPROFILE%\Documents\GitHub\eaglep3\Utilities\DownloadLogsFromS3.py --loco 4023 --day 2017-10-01</v>
      </c>
      <c r="AN16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13:56:47"},{"id":29,"name":"Sharepoint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115"/>
        <v>https://d0f6bd738d7f1b3e5a7ca70fe4ff75f0.us-east-1.aws.found.io/app/kibana#/discover/Steve-Slow-Train-Analysis-(2080s-and-2083s)?_g=(refreshInterval:(display:Off,pause:!f,section:0,value:0),time:(from:'2017-10-01T06:23:44-0600',mode:absolute,to:'2017-10-01T08:56:47-0600'))&amp;_a=(columns:!('Message%20ID',Summary),filters:!(),index:'emp_*',interval:auto,query:(query_string:(analyze_wildcard:!t,query:'%22rtdc.l.rtdc.4023%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592</v>
      </c>
      <c r="B167" s="7">
        <v>4024</v>
      </c>
      <c r="C167" s="21" t="s">
        <v>195</v>
      </c>
      <c r="D167" s="21" t="s">
        <v>871</v>
      </c>
      <c r="E167" s="13">
        <v>43009.339467592596</v>
      </c>
      <c r="F167" s="13">
        <v>43009.340960648151</v>
      </c>
      <c r="G167" s="7">
        <v>76</v>
      </c>
      <c r="H167" s="21" t="s">
        <v>872</v>
      </c>
      <c r="I167" s="13">
        <v>43009.350972222222</v>
      </c>
      <c r="J167" s="7">
        <v>0</v>
      </c>
      <c r="K167" s="89" t="str">
        <f t="shared" si="88"/>
        <v>4023/4024</v>
      </c>
      <c r="L167" s="185" t="str">
        <f>VLOOKUP(A167,'Trips&amp;Operators'!$C$1:$G$99911,5,FALSE)</f>
        <v>MACDONALD THOMAS</v>
      </c>
      <c r="M167" s="6">
        <f t="shared" si="89"/>
        <v>1.0011574071540963E-2</v>
      </c>
      <c r="N167" s="7">
        <f t="shared" si="139"/>
        <v>14.416666663018987</v>
      </c>
      <c r="O167" s="7"/>
      <c r="P167" s="7"/>
      <c r="Q167" s="22"/>
      <c r="R167" s="174"/>
      <c r="S167" s="221">
        <f t="shared" si="90"/>
        <v>1</v>
      </c>
      <c r="T167" s="174" t="str">
        <f t="shared" si="91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92"/>
        <v>https://d0f6bd738d7f1b3e5a7ca70fe4ff75f0.us-east-1.aws.found.io/app/kibana#/discover/Steve-Slow-Train-Analysis-(2080s-and-2083s)?_g=(refreshInterval:(display:Off,pause:!f,section:0,value:0),time:(from:'2017-10-01T07:08:50-0600',mode:absolute,to:'2017-10-01T09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 t="shared" si="140"/>
        <v>1</v>
      </c>
      <c r="Y167" s="204">
        <f t="shared" si="132"/>
        <v>0.10199999999999999</v>
      </c>
      <c r="Z167" s="204">
        <f t="shared" si="133"/>
        <v>5.8912000000000004</v>
      </c>
      <c r="AA167" s="204">
        <f t="shared" si="94"/>
        <v>5.7892000000000001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95"/>
        <v>1805</v>
      </c>
      <c r="AE167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7" s="74" t="str">
        <f t="shared" si="97"/>
        <v>"C:\Program Files (x86)\AstroGrep\AstroGrep.exe" /e /r /s /spath="%USERPROFILE%\AppData\Local\Temp\OnboardLogs" /stypes="app*4024*20171001*" /stext=" 14:.+((SYSTEM_STATE.+slice.+state.+changed )|(ment ac)|(multiple cpu faults)|(system.+state.+changed )|(\[timeout)|(PRM\|1\|D)|(kpr)|(kdp)|(train st.+moving)|(\|lc)|(penalty))"</v>
      </c>
      <c r="AG167" s="182" t="str">
        <f t="shared" si="98"/>
        <v>NW</v>
      </c>
      <c r="AH167" s="78" t="str">
        <f t="shared" si="111"/>
        <v>"%USERPROFILE%\Documents\GitHub\eaglep3\Utilities\RefineRTDCRunTimes.py" --tripid 1805-01 --locoid 4024 --swversion DE.1.0.9.0 --startMP 204:1020 --initTime 2017-10-01T08:08:50 --startdatetime 2017-10-01T08:10:59 --delay 76 --endMP 300:58912 --enddatetime 2017-10-01T08:25:24 --enforcementcount 0 &gt;&gt;c:\users\tmcdowell\Documents\GitHub\eaglep3-reporting\EC\2017-10-01-refined-times.txt</v>
      </c>
      <c r="AI16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{"issue":{"subject":"","project_id":79,"tracker_id":40,"status_id":1,"priority_id":2,"assigned_to_id":338,"start_date":"2017-10-01","description":"","custom_fields":[{"id":1,"name":"Subdivision","value":"NW"},{"id":4,"name":"Milepost","value":"5.8912"},{"id":17,"name":"Train ID","value":"1805-01"},{"id":16,"name":"Locomotive ID","value":"4024"},{"id":130,"name":"Impact","value":""},{"id":150,"name":"Time of Event (Mountain Time)","value":"08:25:24"},{"id":151,"name":"Denver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13"/>
        <v>start /low /b %USERPROFILE%\Documents\GitHub\eaglep3\Utilities\DownloadLogsFromS3.py --loco 4024 --day 2017-10-01</v>
      </c>
      <c r="AN167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115"/>
        <v>https://d0f6bd738d7f1b3e5a7ca70fe4ff75f0.us-east-1.aws.found.io/app/kibana#/discover/Steve-Slow-Train-Analysis-(2080s-and-2083s)?_g=(refreshInterval:(display:Off,pause:!f,section:0,value:0),time:(from:'2017-10-01T07:08:50-0600',mode:absolute,to:'2017-10-01T09:25:24-0600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685</v>
      </c>
      <c r="B168" s="7">
        <v>4023</v>
      </c>
      <c r="C168" s="21" t="s">
        <v>195</v>
      </c>
      <c r="D168" s="21" t="s">
        <v>873</v>
      </c>
      <c r="E168" s="13">
        <v>43009.3515625</v>
      </c>
      <c r="F168" s="13">
        <v>43009.361574074072</v>
      </c>
      <c r="G168" s="7">
        <v>812</v>
      </c>
      <c r="H168" s="21" t="s">
        <v>874</v>
      </c>
      <c r="I168" s="13">
        <v>43009.372013888889</v>
      </c>
      <c r="J168" s="7">
        <v>0</v>
      </c>
      <c r="K168" s="89" t="str">
        <f t="shared" si="88"/>
        <v>4023/4024</v>
      </c>
      <c r="L168" s="185" t="str">
        <f>VLOOKUP(A168,'Trips&amp;Operators'!$C$1:$G$99911,5,FALSE)</f>
        <v>MACDONALD THOMAS</v>
      </c>
      <c r="M168" s="6">
        <f t="shared" si="89"/>
        <v>1.0439814817800652E-2</v>
      </c>
      <c r="N168" s="7">
        <f t="shared" si="139"/>
        <v>15.033333337632939</v>
      </c>
      <c r="O168" s="7"/>
      <c r="P168" s="7"/>
      <c r="Q168" s="22"/>
      <c r="R168" s="174"/>
      <c r="S168" s="221">
        <f t="shared" si="90"/>
        <v>1</v>
      </c>
      <c r="T168" s="174" t="str">
        <f t="shared" si="91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92"/>
        <v>https://d0f6bd738d7f1b3e5a7ca70fe4ff75f0.us-east-1.aws.found.io/app/kibana#/discover/Steve-Slow-Train-Analysis-(2080s-and-2083s)?_g=(refreshInterval:(display:Off,pause:!f,section:0,value:0),time:(from:'2017-10-01T07:26:15-0600',mode:absolute,to:'2017-10-01T09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 t="shared" si="140"/>
        <v>1</v>
      </c>
      <c r="Y168" s="204">
        <f t="shared" si="132"/>
        <v>5.8596000000000004</v>
      </c>
      <c r="Z168" s="204">
        <f t="shared" si="133"/>
        <v>7.17E-2</v>
      </c>
      <c r="AA168" s="204">
        <f t="shared" si="94"/>
        <v>5.7879000000000005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95"/>
        <v>1806</v>
      </c>
      <c r="AE168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68" s="74" t="str">
        <f t="shared" si="97"/>
        <v>"C:\Program Files (x86)\AstroGrep\AstroGrep.exe" /e /r /s /spath="%USERPROFILE%\AppData\Local\Temp\OnboardLogs" /stypes="app*4023*20171001*" /stext=" 14:.+((SYSTEM_STATE.+slice.+state.+changed )|(ment ac)|(multiple cpu faults)|(system.+state.+changed )|(\[timeout)|(PRM\|1\|D)|(kpr)|(kdp)|(train st.+moving)|(\|lc)|(penalty))"</v>
      </c>
      <c r="AG168" s="182" t="str">
        <f t="shared" si="98"/>
        <v>NW</v>
      </c>
      <c r="AH168" s="78" t="str">
        <f t="shared" si="111"/>
        <v>"%USERPROFILE%\Documents\GitHub\eaglep3\Utilities\RefineRTDCRunTimes.py" --tripid 1806-01 --locoid 4023 --swversion DE.1.0.9.0 --startMP 300:58596 --initTime 2017-10-01T08:26:15 --startdatetime 2017-10-01T08:40:40 --delay 812 --endMP 204:717 --enddatetime 2017-10-01T08:55:42 --enforcementcount 0 &gt;&gt;c:\users\tmcdowell\Documents\GitHub\eaglep3-reporting\EC\2017-10-01-refined-times.txt</v>
      </c>
      <c r="AI16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{"issue":{"subject":"","project_id":79,"tracker_id":40,"status_id":1,"priority_id":2,"assigned_to_id":338,"start_date":"2017-10-01","description":"","custom_fields":[{"id":1,"name":"Subdivision","value":"NW"},{"id":4,"name":"Milepost","value":"0.0717"},{"id":17,"name":"Train ID","value":"1806-01"},{"id":16,"name":"Locomotive ID","value":"4023"},{"id":130,"name":"Impact","value":""},{"id":150,"name":"Time of Event (Mountain Time)","value":"08:55:42"},{"id":151,"name":"Denver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13"/>
        <v>start /low /b %USERPROFILE%\Documents\GitHub\eaglep3\Utilities\DownloadLogsFromS3.py --loco 4023 --day 2017-10-01</v>
      </c>
      <c r="AN168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14:55:42"},{"id":29,"name":"Sharepoint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115"/>
        <v>https://d0f6bd738d7f1b3e5a7ca70fe4ff75f0.us-east-1.aws.found.io/app/kibana#/discover/Steve-Slow-Train-Analysis-(2080s-and-2083s)?_g=(refreshInterval:(display:Off,pause:!f,section:0,value:0),time:(from:'2017-10-01T07:26:15-0600',mode:absolute,to:'2017-10-01T09:55:42-0600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690</v>
      </c>
      <c r="B169" s="7">
        <v>4024</v>
      </c>
      <c r="C169" s="21" t="s">
        <v>195</v>
      </c>
      <c r="D169" s="21" t="s">
        <v>875</v>
      </c>
      <c r="E169" s="13">
        <v>43009.378923611112</v>
      </c>
      <c r="F169" s="13">
        <v>43009.382152777776</v>
      </c>
      <c r="G169" s="7">
        <v>90</v>
      </c>
      <c r="H169" s="21" t="s">
        <v>876</v>
      </c>
      <c r="I169" s="13">
        <v>43009.392326388886</v>
      </c>
      <c r="J169" s="7">
        <v>0</v>
      </c>
      <c r="K169" s="89" t="str">
        <f t="shared" si="88"/>
        <v>4023/4024</v>
      </c>
      <c r="L169" s="185" t="str">
        <f>VLOOKUP(A169,'Trips&amp;Operators'!$C$1:$G$99911,5,FALSE)</f>
        <v>MACDONALD THOMAS</v>
      </c>
      <c r="M169" s="6">
        <f t="shared" si="89"/>
        <v>1.0173611110076308E-2</v>
      </c>
      <c r="N169" s="7">
        <f t="shared" si="139"/>
        <v>14.649999998509884</v>
      </c>
      <c r="O169" s="7"/>
      <c r="P169" s="7"/>
      <c r="Q169" s="22"/>
      <c r="R169" s="174"/>
      <c r="S169" s="221">
        <f t="shared" si="90"/>
        <v>1</v>
      </c>
      <c r="T169" s="174" t="str">
        <f t="shared" si="91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92"/>
        <v>https://d0f6bd738d7f1b3e5a7ca70fe4ff75f0.us-east-1.aws.found.io/app/kibana#/discover/Steve-Slow-Train-Analysis-(2080s-and-2083s)?_g=(refreshInterval:(display:Off,pause:!f,section:0,value:0),time:(from:'2017-10-01T08:05:39-0600',mode:absolute,to:'2017-10-01T10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9" s="204" t="str">
        <f>IF(AA169&lt;VLOOKUP(AG169,Variables!$AC$3:$AD$8,2,FALSE),"Y","N")</f>
        <v>N</v>
      </c>
      <c r="X169" s="204">
        <f t="shared" si="140"/>
        <v>1</v>
      </c>
      <c r="Y169" s="204">
        <f t="shared" si="132"/>
        <v>0.12659999999999999</v>
      </c>
      <c r="Z169" s="204">
        <f t="shared" si="133"/>
        <v>5.8906999999999998</v>
      </c>
      <c r="AA169" s="204">
        <f t="shared" si="94"/>
        <v>5.7641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95"/>
        <v>1807</v>
      </c>
      <c r="AE169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69" s="74" t="str">
        <f t="shared" si="97"/>
        <v>"C:\Program Files (x86)\AstroGrep\AstroGrep.exe" /e /r /s /spath="%USERPROFILE%\AppData\Local\Temp\OnboardLogs" /stypes="app*4024*20171001*" /stext=" 15:.+((SYSTEM_STATE.+slice.+state.+changed )|(ment ac)|(multiple cpu faults)|(system.+state.+changed )|(\[timeout)|(PRM\|1\|D)|(kpr)|(kdp)|(train st.+moving)|(\|lc)|(penalty))"</v>
      </c>
      <c r="AG169" s="182" t="str">
        <f t="shared" si="98"/>
        <v>NW</v>
      </c>
      <c r="AH169" s="78" t="str">
        <f t="shared" si="111"/>
        <v>"%USERPROFILE%\Documents\GitHub\eaglep3\Utilities\RefineRTDCRunTimes.py" --tripid 1807-01 --locoid 4024 --swversion DE.1.0.9.0 --startMP 204:1266 --initTime 2017-10-01T09:05:39 --startdatetime 2017-10-01T09:10:18 --delay 90 --endMP 300:58907 --enddatetime 2017-10-01T09:24:57 --enforcementcount 0 &gt;&gt;c:\users\tmcdowell\Documents\GitHub\eaglep3-reporting\EC\2017-10-01-refined-times.txt</v>
      </c>
      <c r="AI169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{"issue":{"subject":"","project_id":79,"tracker_id":40,"status_id":1,"priority_id":2,"assigned_to_id":338,"start_date":"2017-10-01","description":"","custom_fields":[{"id":1,"name":"Subdivision","value":"NW"},{"id":4,"name":"Milepost","value":"5.8907"},{"id":17,"name":"Train ID","value":"1807-01"},{"id":16,"name":"Locomotive ID","value":"4024"},{"id":130,"name":"Impact","value":""},{"id":150,"name":"Time of Event (Mountain Time)","value":"09:24:57"},{"id":151,"name":"Denver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13"/>
        <v>start /low /b %USERPROFILE%\Documents\GitHub\eaglep3\Utilities\DownloadLogsFromS3.py --loco 4024 --day 2017-10-01</v>
      </c>
      <c r="AN169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115"/>
        <v>https://d0f6bd738d7f1b3e5a7ca70fe4ff75f0.us-east-1.aws.found.io/app/kibana#/discover/Steve-Slow-Train-Analysis-(2080s-and-2083s)?_g=(refreshInterval:(display:Off,pause:!f,section:0,value:0),time:(from:'2017-10-01T08:05:39-0600',mode:absolute,to:'2017-10-01T10:24:57-0600'))&amp;_a=(columns:!('Message%20ID',Summary),filters:!(),index:'emp_*',interval:auto,query:(query_string:(analyze_wildcard:!t,query:'%22rtdc.l.rtdc.4024%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696</v>
      </c>
      <c r="B170" s="7">
        <v>4023</v>
      </c>
      <c r="C170" s="21" t="s">
        <v>195</v>
      </c>
      <c r="D170" s="21" t="s">
        <v>877</v>
      </c>
      <c r="E170" s="13">
        <v>43009.393125000002</v>
      </c>
      <c r="F170" s="13">
        <v>43009.403969907406</v>
      </c>
      <c r="G170" s="7">
        <v>898</v>
      </c>
      <c r="H170" s="21" t="s">
        <v>878</v>
      </c>
      <c r="I170" s="13">
        <v>43009.413912037038</v>
      </c>
      <c r="J170" s="7">
        <v>0</v>
      </c>
      <c r="K170" s="89" t="str">
        <f t="shared" si="88"/>
        <v>4023/4024</v>
      </c>
      <c r="L170" s="185" t="str">
        <f>VLOOKUP(A170,'Trips&amp;Operators'!$C$1:$G$99911,5,FALSE)</f>
        <v>MACDONALD THOMAS</v>
      </c>
      <c r="M170" s="6">
        <f t="shared" si="89"/>
        <v>9.9421296326909214E-3</v>
      </c>
      <c r="N170" s="7">
        <f t="shared" si="139"/>
        <v>14.316666671074927</v>
      </c>
      <c r="O170" s="7"/>
      <c r="P170" s="7"/>
      <c r="Q170" s="22"/>
      <c r="R170" s="174"/>
      <c r="S170" s="221">
        <f t="shared" si="90"/>
        <v>1</v>
      </c>
      <c r="T170" s="174" t="str">
        <f t="shared" si="91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92"/>
        <v>https://d0f6bd738d7f1b3e5a7ca70fe4ff75f0.us-east-1.aws.found.io/app/kibana#/discover/Steve-Slow-Train-Analysis-(2080s-and-2083s)?_g=(refreshInterval:(display:Off,pause:!f,section:0,value:0),time:(from:'2017-10-01T08:26:06-0600',mode:absolute,to:'2017-10-01T10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0" s="204" t="str">
        <f>IF(AA170&lt;VLOOKUP(AG170,Variables!$AC$3:$AD$8,2,FALSE),"Y","N")</f>
        <v>N</v>
      </c>
      <c r="X170" s="204">
        <f t="shared" si="140"/>
        <v>1</v>
      </c>
      <c r="Y170" s="204">
        <f t="shared" si="132"/>
        <v>5.8593999999999999</v>
      </c>
      <c r="Z170" s="204">
        <f t="shared" si="133"/>
        <v>7.6100000000000001E-2</v>
      </c>
      <c r="AA170" s="204">
        <f t="shared" si="94"/>
        <v>5.7832999999999997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95"/>
        <v>1808</v>
      </c>
      <c r="AE170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0" s="74" t="str">
        <f t="shared" si="97"/>
        <v>"C:\Program Files (x86)\AstroGrep\AstroGrep.exe" /e /r /s /spath="%USERPROFILE%\AppData\Local\Temp\OnboardLogs" /stypes="app*4023*20171001*" /stext=" 15:.+((SYSTEM_STATE.+slice.+state.+changed )|(ment ac)|(multiple cpu faults)|(system.+state.+changed )|(\[timeout)|(PRM\|1\|D)|(kpr)|(kdp)|(train st.+moving)|(\|lc)|(penalty))"</v>
      </c>
      <c r="AG170" s="182" t="str">
        <f t="shared" si="98"/>
        <v>NW</v>
      </c>
      <c r="AH170" s="78" t="str">
        <f t="shared" si="111"/>
        <v>"%USERPROFILE%\Documents\GitHub\eaglep3\Utilities\RefineRTDCRunTimes.py" --tripid 1808-01 --locoid 4023 --swversion DE.1.0.9.0 --startMP 300:58594 --initTime 2017-10-01T09:26:06 --startdatetime 2017-10-01T09:41:43 --delay 898 --endMP 204:761 --enddatetime 2017-10-01T09:56:02 --enforcementcount 0 &gt;&gt;c:\users\tmcdowell\Documents\GitHub\eaglep3-reporting\EC\2017-10-01-refined-times.txt</v>
      </c>
      <c r="AI170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{"issue":{"subject":"","project_id":79,"tracker_id":40,"status_id":1,"priority_id":2,"assigned_to_id":338,"start_date":"2017-10-01","description":"","custom_fields":[{"id":1,"name":"Subdivision","value":"NW"},{"id":4,"name":"Milepost","value":"0.0761"},{"id":17,"name":"Train ID","value":"1808-01"},{"id":16,"name":"Locomotive ID","value":"4023"},{"id":130,"name":"Impact","value":""},{"id":150,"name":"Time of Event (Mountain Time)","value":"09:56:02"},{"id":151,"name":"Denver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13"/>
        <v>start /low /b %USERPROFILE%\Documents\GitHub\eaglep3\Utilities\DownloadLogsFromS3.py --loco 4023 --day 2017-10-01</v>
      </c>
      <c r="AN17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15:56:02"},{"id":29,"name":"Sharepoint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115"/>
        <v>https://d0f6bd738d7f1b3e5a7ca70fe4ff75f0.us-east-1.aws.found.io/app/kibana#/discover/Steve-Slow-Train-Analysis-(2080s-and-2083s)?_g=(refreshInterval:(display:Off,pause:!f,section:0,value:0),time:(from:'2017-10-01T08:26:06-0600',mode:absolute,to:'2017-10-01T10:56:02-0600'))&amp;_a=(columns:!('Message%20ID',Summary),filters:!(),index:'emp_*',interval:auto,query:(query_string:(analyze_wildcard:!t,query:'%22rtdc.l.rtdc.4023%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699</v>
      </c>
      <c r="B171" s="7">
        <v>4024</v>
      </c>
      <c r="C171" s="21" t="s">
        <v>195</v>
      </c>
      <c r="D171" s="21" t="s">
        <v>879</v>
      </c>
      <c r="E171" s="13">
        <v>43009.422662037039</v>
      </c>
      <c r="F171" s="13">
        <v>43009.423773148148</v>
      </c>
      <c r="G171" s="7">
        <v>55</v>
      </c>
      <c r="H171" s="21" t="s">
        <v>880</v>
      </c>
      <c r="I171" s="13">
        <v>43009.432997685188</v>
      </c>
      <c r="J171" s="7">
        <v>0</v>
      </c>
      <c r="K171" s="89" t="str">
        <f t="shared" si="88"/>
        <v>4023/4024</v>
      </c>
      <c r="L171" s="185" t="str">
        <f>VLOOKUP(A171,'Trips&amp;Operators'!$C$1:$G$99911,5,FALSE)</f>
        <v>MACDONALD THOMAS</v>
      </c>
      <c r="M171" s="6">
        <f t="shared" si="89"/>
        <v>9.2245370396994986E-3</v>
      </c>
      <c r="N171" s="7">
        <f t="shared" si="139"/>
        <v>13.283333337167278</v>
      </c>
      <c r="O171" s="7"/>
      <c r="P171" s="7"/>
      <c r="Q171" s="22"/>
      <c r="R171" s="174"/>
      <c r="S171" s="221">
        <f t="shared" si="90"/>
        <v>1</v>
      </c>
      <c r="T171" s="174" t="str">
        <f t="shared" si="91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92"/>
        <v>https://d0f6bd738d7f1b3e5a7ca70fe4ff75f0.us-east-1.aws.found.io/app/kibana#/discover/Steve-Slow-Train-Analysis-(2080s-and-2083s)?_g=(refreshInterval:(display:Off,pause:!f,section:0,value:0),time:(from:'2017-10-01T09:08:38-0600',mode:absolute,to:'2017-10-01T11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04" t="str">
        <f>IF(AA171&lt;VLOOKUP(AG171,Variables!$AC$3:$AD$8,2,FALSE),"Y","N")</f>
        <v>N</v>
      </c>
      <c r="X171" s="204">
        <f t="shared" si="140"/>
        <v>1</v>
      </c>
      <c r="Y171" s="204">
        <f t="shared" si="132"/>
        <v>0.1046</v>
      </c>
      <c r="Z171" s="204">
        <f t="shared" si="133"/>
        <v>5.8925999999999998</v>
      </c>
      <c r="AA171" s="204">
        <f t="shared" si="94"/>
        <v>5.7880000000000003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95"/>
        <v>1809</v>
      </c>
      <c r="AE171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1" s="74" t="str">
        <f t="shared" si="97"/>
        <v>"C:\Program Files (x86)\AstroGrep\AstroGrep.exe" /e /r /s /spath="%USERPROFILE%\AppData\Local\Temp\OnboardLogs" /stypes="app*4024*20171001*" /stext=" 16:.+((SYSTEM_STATE.+slice.+state.+changed )|(ment ac)|(multiple cpu faults)|(system.+state.+changed )|(\[timeout)|(PRM\|1\|D)|(kpr)|(kdp)|(train st.+moving)|(\|lc)|(penalty))"</v>
      </c>
      <c r="AG171" s="182" t="str">
        <f t="shared" si="98"/>
        <v>NW</v>
      </c>
      <c r="AH171" s="78" t="str">
        <f t="shared" si="111"/>
        <v>"%USERPROFILE%\Documents\GitHub\eaglep3\Utilities\RefineRTDCRunTimes.py" --tripid 1809-01 --locoid 4024 --swversion DE.1.0.9.0 --startMP 204:1046 --initTime 2017-10-01T10:08:38 --startdatetime 2017-10-01T10:10:14 --delay 55 --endMP 300:58926 --enddatetime 2017-10-01T10:23:31 --enforcementcount 0 &gt;&gt;c:\users\tmcdowell\Documents\GitHub\eaglep3-reporting\EC\2017-10-01-refined-times.txt</v>
      </c>
      <c r="AI171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{"issue":{"subject":"","project_id":79,"tracker_id":40,"status_id":1,"priority_id":2,"assigned_to_id":338,"start_date":"2017-10-01","description":"","custom_fields":[{"id":1,"name":"Subdivision","value":"NW"},{"id":4,"name":"Milepost","value":"5.8926"},{"id":17,"name":"Train ID","value":"1809-01"},{"id":16,"name":"Locomotive ID","value":"4024"},{"id":130,"name":"Impact","value":""},{"id":150,"name":"Time of Event (Mountain Time)","value":"10:23:31"},{"id":151,"name":"Denver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13"/>
        <v>start /low /b %USERPROFILE%\Documents\GitHub\eaglep3\Utilities\DownloadLogsFromS3.py --loco 4024 --day 2017-10-01</v>
      </c>
      <c r="AN171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115"/>
        <v>https://d0f6bd738d7f1b3e5a7ca70fe4ff75f0.us-east-1.aws.found.io/app/kibana#/discover/Steve-Slow-Train-Analysis-(2080s-and-2083s)?_g=(refreshInterval:(display:Off,pause:!f,section:0,value:0),time:(from:'2017-10-01T09:08:38-0600',mode:absolute,to:'2017-10-01T11:23:31-0600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704</v>
      </c>
      <c r="B172" s="7">
        <v>4023</v>
      </c>
      <c r="C172" s="21" t="s">
        <v>195</v>
      </c>
      <c r="D172" s="21" t="s">
        <v>881</v>
      </c>
      <c r="E172" s="13">
        <v>43009.433645833335</v>
      </c>
      <c r="F172" s="13">
        <v>43009.4453587963</v>
      </c>
      <c r="G172" s="7">
        <v>972</v>
      </c>
      <c r="H172" s="21" t="s">
        <v>882</v>
      </c>
      <c r="I172" s="13">
        <v>43009.455300925925</v>
      </c>
      <c r="J172" s="7">
        <v>0</v>
      </c>
      <c r="K172" s="89" t="str">
        <f t="shared" si="88"/>
        <v>4023/4024</v>
      </c>
      <c r="L172" s="185" t="str">
        <f>VLOOKUP(A172,'Trips&amp;Operators'!$C$1:$G$99911,5,FALSE)</f>
        <v>MACDONALD THOMAS</v>
      </c>
      <c r="M172" s="6">
        <f t="shared" si="89"/>
        <v>9.9421296254149638E-3</v>
      </c>
      <c r="N172" s="7">
        <f t="shared" si="139"/>
        <v>14.316666660597548</v>
      </c>
      <c r="O172" s="7"/>
      <c r="P172" s="7"/>
      <c r="Q172" s="22"/>
      <c r="R172" s="174"/>
      <c r="S172" s="221">
        <f t="shared" si="90"/>
        <v>1</v>
      </c>
      <c r="T172" s="174" t="str">
        <f t="shared" si="91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92"/>
        <v>https://d0f6bd738d7f1b3e5a7ca70fe4ff75f0.us-east-1.aws.found.io/app/kibana#/discover/Steve-Slow-Train-Analysis-(2080s-and-2083s)?_g=(refreshInterval:(display:Off,pause:!f,section:0,value:0),time:(from:'2017-10-01T09:24:27-0600',mode:absolute,to:'2017-10-01T11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04" t="str">
        <f>IF(AA172&lt;VLOOKUP(AG172,Variables!$AC$3:$AD$8,2,FALSE),"Y","N")</f>
        <v>N</v>
      </c>
      <c r="X172" s="204">
        <f t="shared" si="140"/>
        <v>1</v>
      </c>
      <c r="Y172" s="204">
        <f t="shared" si="132"/>
        <v>5.8597999999999999</v>
      </c>
      <c r="Z172" s="204">
        <f t="shared" si="133"/>
        <v>7.5399999999999995E-2</v>
      </c>
      <c r="AA172" s="204">
        <f t="shared" si="94"/>
        <v>5.7843999999999998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95"/>
        <v>1810</v>
      </c>
      <c r="AE172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2" s="74" t="str">
        <f t="shared" si="97"/>
        <v>"C:\Program Files (x86)\AstroGrep\AstroGrep.exe" /e /r /s /spath="%USERPROFILE%\AppData\Local\Temp\OnboardLogs" /stypes="app*4023*20171001*" /stext=" 16:.+((SYSTEM_STATE.+slice.+state.+changed )|(ment ac)|(multiple cpu faults)|(system.+state.+changed )|(\[timeout)|(PRM\|1\|D)|(kpr)|(kdp)|(train st.+moving)|(\|lc)|(penalty))"</v>
      </c>
      <c r="AG172" s="182" t="str">
        <f t="shared" si="98"/>
        <v>NW</v>
      </c>
      <c r="AH172" s="78" t="str">
        <f t="shared" si="111"/>
        <v>"%USERPROFILE%\Documents\GitHub\eaglep3\Utilities\RefineRTDCRunTimes.py" --tripid 1810-01 --locoid 4023 --swversion DE.1.0.9.0 --startMP 300:58598 --initTime 2017-10-01T10:24:27 --startdatetime 2017-10-01T10:41:19 --delay 972 --endMP 204:754 --enddatetime 2017-10-01T10:55:38 --enforcementcount 0 &gt;&gt;c:\users\tmcdowell\Documents\GitHub\eaglep3-reporting\EC\2017-10-01-refined-times.txt</v>
      </c>
      <c r="AI17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{"issue":{"subject":"","project_id":79,"tracker_id":40,"status_id":1,"priority_id":2,"assigned_to_id":338,"start_date":"2017-10-01","description":"","custom_fields":[{"id":1,"name":"Subdivision","value":"NW"},{"id":4,"name":"Milepost","value":"0.0754"},{"id":17,"name":"Train ID","value":"1810-01"},{"id":16,"name":"Locomotive ID","value":"4023"},{"id":130,"name":"Impact","value":""},{"id":150,"name":"Time of Event (Mountain Time)","value":"10:55:38"},{"id":151,"name":"Denver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13"/>
        <v>start /low /b %USERPROFILE%\Documents\GitHub\eaglep3\Utilities\DownloadLogsFromS3.py --loco 4023 --day 2017-10-01</v>
      </c>
      <c r="AN17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16:55:38"},{"id":29,"name":"Sharepoint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115"/>
        <v>https://d0f6bd738d7f1b3e5a7ca70fe4ff75f0.us-east-1.aws.found.io/app/kibana#/discover/Steve-Slow-Train-Analysis-(2080s-and-2083s)?_g=(refreshInterval:(display:Off,pause:!f,section:0,value:0),time:(from:'2017-10-01T09:24:27-0600',mode:absolute,to:'2017-10-01T11:55:38-0600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706</v>
      </c>
      <c r="B173" s="7">
        <v>4024</v>
      </c>
      <c r="C173" s="21" t="s">
        <v>195</v>
      </c>
      <c r="D173" s="21" t="s">
        <v>883</v>
      </c>
      <c r="E173" s="13">
        <v>43009.463541666664</v>
      </c>
      <c r="F173" s="13">
        <v>43009.46533564815</v>
      </c>
      <c r="G173" s="7">
        <v>74</v>
      </c>
      <c r="H173" s="21" t="s">
        <v>868</v>
      </c>
      <c r="I173" s="13">
        <v>43009.474687499998</v>
      </c>
      <c r="J173" s="7">
        <v>0</v>
      </c>
      <c r="K173" s="89" t="str">
        <f t="shared" si="88"/>
        <v>4023/4024</v>
      </c>
      <c r="L173" s="185" t="str">
        <f>VLOOKUP(A173,'Trips&amp;Operators'!$C$1:$G$99911,5,FALSE)</f>
        <v>MACDONALD THOMAS</v>
      </c>
      <c r="M173" s="6">
        <f t="shared" si="89"/>
        <v>9.3518518478958867E-3</v>
      </c>
      <c r="N173" s="7">
        <f t="shared" si="139"/>
        <v>13.466666660970077</v>
      </c>
      <c r="O173" s="7"/>
      <c r="P173" s="7"/>
      <c r="Q173" s="22"/>
      <c r="R173" s="174"/>
      <c r="S173" s="221">
        <f t="shared" ref="S173:S179" si="141">1/IF(AG173="EC",12,1)*SUM(U173:U173)</f>
        <v>1</v>
      </c>
      <c r="T173" s="174" t="str">
        <f t="shared" si="91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92"/>
        <v>https://d0f6bd738d7f1b3e5a7ca70fe4ff75f0.us-east-1.aws.found.io/app/kibana#/discover/Steve-Slow-Train-Analysis-(2080s-and-2083s)?_g=(refreshInterval:(display:Off,pause:!f,section:0,value:0),time:(from:'2017-10-01T10:07:30-0600',mode:absolute,to:'2017-10-01T12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3" s="204" t="str">
        <f>IF(AA173&lt;VLOOKUP(AG173,Variables!$AC$3:$AD$8,2,FALSE),"Y","N")</f>
        <v>N</v>
      </c>
      <c r="X173" s="204">
        <f t="shared" si="140"/>
        <v>1</v>
      </c>
      <c r="Y173" s="204">
        <f t="shared" si="132"/>
        <v>0.1048</v>
      </c>
      <c r="Z173" s="204">
        <f t="shared" si="133"/>
        <v>5.8920000000000003</v>
      </c>
      <c r="AA173" s="204">
        <f t="shared" si="94"/>
        <v>5.7872000000000003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95"/>
        <v>1811</v>
      </c>
      <c r="AE173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3" s="74" t="str">
        <f t="shared" si="97"/>
        <v>"C:\Program Files (x86)\AstroGrep\AstroGrep.exe" /e /r /s /spath="%USERPROFILE%\AppData\Local\Temp\OnboardLogs" /stypes="app*4024*20171001*" /stext=" 17:.+((SYSTEM_STATE.+slice.+state.+changed )|(ment ac)|(multiple cpu faults)|(system.+state.+changed )|(\[timeout)|(PRM\|1\|D)|(kpr)|(kdp)|(train st.+moving)|(\|lc)|(penalty))"</v>
      </c>
      <c r="AG173" s="182" t="str">
        <f t="shared" si="98"/>
        <v>NW</v>
      </c>
      <c r="AH173" s="78" t="str">
        <f t="shared" si="111"/>
        <v>"%USERPROFILE%\Documents\GitHub\eaglep3\Utilities\RefineRTDCRunTimes.py" --tripid 1811-01 --locoid 4024 --swversion DE.1.0.9.0 --startMP 204:1048 --initTime 2017-10-01T11:07:30 --startdatetime 2017-10-01T11:10:05 --delay 74 --endMP 300:58920 --enddatetime 2017-10-01T11:23:33 --enforcementcount 0 &gt;&gt;c:\users\tmcdowell\Documents\GitHub\eaglep3-reporting\EC\2017-10-01-refined-times.txt</v>
      </c>
      <c r="AI173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{"issue":{"subject":"","project_id":79,"tracker_id":40,"status_id":1,"priority_id":2,"assigned_to_id":338,"start_date":"2017-10-01","description":"","custom_fields":[{"id":1,"name":"Subdivision","value":"NW"},{"id":4,"name":"Milepost","value":"5.892"},{"id":17,"name":"Train ID","value":"1811-01"},{"id":16,"name":"Locomotive ID","value":"4024"},{"id":130,"name":"Impact","value":""},{"id":150,"name":"Time of Event (Mountain Time)","value":"11:23:33"},{"id":151,"name":"Denver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13"/>
        <v>start /low /b %USERPROFILE%\Documents\GitHub\eaglep3\Utilities\DownloadLogsFromS3.py --loco 4024 --day 2017-10-01</v>
      </c>
      <c r="AN17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115"/>
        <v>https://d0f6bd738d7f1b3e5a7ca70fe4ff75f0.us-east-1.aws.found.io/app/kibana#/discover/Steve-Slow-Train-Analysis-(2080s-and-2083s)?_g=(refreshInterval:(display:Off,pause:!f,section:0,value:0),time:(from:'2017-10-01T10:07:30-0600',mode:absolute,to:'2017-10-01T12:23:33-0600'))&amp;_a=(columns:!('Message%20ID',Summary),filters:!(),index:'emp_*',interval:auto,query:(query_string:(analyze_wildcard:!t,query:'%22rtdc.l.rtdc.4024%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717</v>
      </c>
      <c r="B174" s="7">
        <v>4023</v>
      </c>
      <c r="C174" s="21" t="s">
        <v>195</v>
      </c>
      <c r="D174" s="21" t="s">
        <v>884</v>
      </c>
      <c r="E174" s="13">
        <v>43009.475405092591</v>
      </c>
      <c r="F174" s="13">
        <v>43009.486550925925</v>
      </c>
      <c r="G174" s="7">
        <v>912</v>
      </c>
      <c r="H174" s="21" t="s">
        <v>885</v>
      </c>
      <c r="I174" s="13">
        <v>43009.499259259261</v>
      </c>
      <c r="J174" s="7">
        <v>0</v>
      </c>
      <c r="K174" s="89" t="str">
        <f t="shared" si="88"/>
        <v>4023/4024</v>
      </c>
      <c r="L174" s="185" t="str">
        <f>VLOOKUP(A174,'Trips&amp;Operators'!$C$1:$G$99911,5,FALSE)</f>
        <v>MACDONALD THOMAS</v>
      </c>
      <c r="M174" s="6">
        <f t="shared" si="89"/>
        <v>1.2708333335467614E-2</v>
      </c>
      <c r="N174" s="7">
        <f t="shared" si="139"/>
        <v>18.300000003073364</v>
      </c>
      <c r="O174" s="7"/>
      <c r="P174" s="7"/>
      <c r="Q174" s="22"/>
      <c r="R174" s="174"/>
      <c r="S174" s="221">
        <f t="shared" si="141"/>
        <v>1</v>
      </c>
      <c r="T174" s="174" t="str">
        <f t="shared" si="91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92"/>
        <v>https://d0f6bd738d7f1b3e5a7ca70fe4ff75f0.us-east-1.aws.found.io/app/kibana#/discover/Steve-Slow-Train-Analysis-(2080s-and-2083s)?_g=(refreshInterval:(display:Off,pause:!f,section:0,value:0),time:(from:'2017-10-01T10:24:35-0600',mode:absolute,to:'2017-10-01T12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204" t="str">
        <f>IF(AA174&lt;VLOOKUP(AG174,Variables!$AC$3:$AD$8,2,FALSE),"Y","N")</f>
        <v>N</v>
      </c>
      <c r="X174" s="204">
        <f t="shared" si="140"/>
        <v>1</v>
      </c>
      <c r="Y174" s="204">
        <f t="shared" si="132"/>
        <v>5.8604000000000003</v>
      </c>
      <c r="Z174" s="204">
        <f t="shared" si="133"/>
        <v>7.0300000000000001E-2</v>
      </c>
      <c r="AA174" s="204">
        <f t="shared" si="94"/>
        <v>5.7901000000000007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95"/>
        <v>1812</v>
      </c>
      <c r="AE174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4" s="74" t="str">
        <f t="shared" si="97"/>
        <v>"C:\Program Files (x86)\AstroGrep\AstroGrep.exe" /e /r /s /spath="%USERPROFILE%\AppData\Local\Temp\OnboardLogs" /stypes="app*4023*20171001*" /stext=" 17:.+((SYSTEM_STATE.+slice.+state.+changed )|(ment ac)|(multiple cpu faults)|(system.+state.+changed )|(\[timeout)|(PRM\|1\|D)|(kpr)|(kdp)|(train st.+moving)|(\|lc)|(penalty))"</v>
      </c>
      <c r="AG174" s="182" t="str">
        <f t="shared" si="98"/>
        <v>NW</v>
      </c>
      <c r="AH174" s="78" t="str">
        <f t="shared" si="111"/>
        <v>"%USERPROFILE%\Documents\GitHub\eaglep3\Utilities\RefineRTDCRunTimes.py" --tripid 1812-01 --locoid 4023 --swversion DE.1.0.9.0 --startMP 300:58604 --initTime 2017-10-01T11:24:35 --startdatetime 2017-10-01T11:40:38 --delay 912 --endMP 204:703 --enddatetime 2017-10-01T11:58:56 --enforcementcount 0 &gt;&gt;c:\users\tmcdowell\Documents\GitHub\eaglep3-reporting\EC\2017-10-01-refined-times.txt</v>
      </c>
      <c r="AI17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{"issue":{"subject":"","project_id":79,"tracker_id":40,"status_id":1,"priority_id":2,"assigned_to_id":338,"start_date":"2017-10-01","description":"","custom_fields":[{"id":1,"name":"Subdivision","value":"NW"},{"id":4,"name":"Milepost","value":"0.0703"},{"id":17,"name":"Train ID","value":"1812-01"},{"id":16,"name":"Locomotive ID","value":"4023"},{"id":130,"name":"Impact","value":""},{"id":150,"name":"Time of Event (Mountain Time)","value":"11:58:56"},{"id":151,"name":"Denver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113"/>
        <v>start /low /b %USERPROFILE%\Documents\GitHub\eaglep3\Utilities\DownloadLogsFromS3.py --loco 4023 --day 2017-10-01</v>
      </c>
      <c r="AN17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17:58:56"},{"id":29,"name":"Sharepoint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115"/>
        <v>https://d0f6bd738d7f1b3e5a7ca70fe4ff75f0.us-east-1.aws.found.io/app/kibana#/discover/Steve-Slow-Train-Analysis-(2080s-and-2083s)?_g=(refreshInterval:(display:Off,pause:!f,section:0,value:0),time:(from:'2017-10-01T10:24:35-0600',mode:absolute,to:'2017-10-01T12:58:56-0600'))&amp;_a=(columns:!('Message%20ID',Summary),filters:!(),index:'emp_*',interval:auto,query:(query_string:(analyze_wildcard:!t,query:'%22rtdc.l.rtdc.4023%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719</v>
      </c>
      <c r="B175" s="7">
        <v>4024</v>
      </c>
      <c r="C175" s="21" t="s">
        <v>195</v>
      </c>
      <c r="D175" s="21" t="s">
        <v>886</v>
      </c>
      <c r="E175" s="13">
        <v>43009.502974537034</v>
      </c>
      <c r="F175" s="13">
        <v>43009.50644675926</v>
      </c>
      <c r="G175" s="7">
        <v>119</v>
      </c>
      <c r="H175" s="21" t="s">
        <v>887</v>
      </c>
      <c r="I175" s="13">
        <v>43009.516215277778</v>
      </c>
      <c r="J175" s="7">
        <v>0</v>
      </c>
      <c r="K175" s="89" t="str">
        <f t="shared" si="88"/>
        <v>4023/4024</v>
      </c>
      <c r="L175" s="185" t="str">
        <f>VLOOKUP(A175,'Trips&amp;Operators'!$C$1:$G$99911,5,FALSE)</f>
        <v>GUNTHIER ERIC</v>
      </c>
      <c r="M175" s="6">
        <f t="shared" si="89"/>
        <v>9.7685185173759237E-3</v>
      </c>
      <c r="N175" s="7">
        <f t="shared" si="139"/>
        <v>14.06666666502133</v>
      </c>
      <c r="O175" s="7"/>
      <c r="P175" s="7"/>
      <c r="Q175" s="22"/>
      <c r="R175" s="174"/>
      <c r="S175" s="221">
        <f t="shared" si="141"/>
        <v>1</v>
      </c>
      <c r="T175" s="174" t="str">
        <f t="shared" si="91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92"/>
        <v>https://d0f6bd738d7f1b3e5a7ca70fe4ff75f0.us-east-1.aws.found.io/app/kibana#/discover/Steve-Slow-Train-Analysis-(2080s-and-2083s)?_g=(refreshInterval:(display:Off,pause:!f,section:0,value:0),time:(from:'2017-10-01T11:04:17-0600',mode:absolute,to:'2017-10-01T13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04" t="str">
        <f>IF(AA175&lt;VLOOKUP(AG175,Variables!$AC$3:$AD$8,2,FALSE),"Y","N")</f>
        <v>N</v>
      </c>
      <c r="X175" s="204">
        <f t="shared" si="140"/>
        <v>1</v>
      </c>
      <c r="Y175" s="204">
        <f t="shared" si="132"/>
        <v>9.8799999999999999E-2</v>
      </c>
      <c r="Z175" s="204">
        <f t="shared" si="133"/>
        <v>5.8943000000000003</v>
      </c>
      <c r="AA175" s="204">
        <f t="shared" si="94"/>
        <v>5.7955000000000005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95"/>
        <v>1813</v>
      </c>
      <c r="AE175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5" s="74" t="str">
        <f t="shared" si="97"/>
        <v>"C:\Program Files (x86)\AstroGrep\AstroGrep.exe" /e /r /s /spath="%USERPROFILE%\AppData\Local\Temp\OnboardLogs" /stypes="app*4024*20171001*" /stext=" 18:.+((SYSTEM_STATE.+slice.+state.+changed )|(ment ac)|(multiple cpu faults)|(system.+state.+changed )|(\[timeout)|(PRM\|1\|D)|(kpr)|(kdp)|(train st.+moving)|(\|lc)|(penalty))"</v>
      </c>
      <c r="AG175" s="182" t="str">
        <f t="shared" si="98"/>
        <v>NW</v>
      </c>
      <c r="AH175" s="78" t="str">
        <f t="shared" si="111"/>
        <v>"%USERPROFILE%\Documents\GitHub\eaglep3\Utilities\RefineRTDCRunTimes.py" --tripid 1813-01 --locoid 4024 --swversion DE.1.0.9.0 --startMP 204:988 --initTime 2017-10-01T12:04:17 --startdatetime 2017-10-01T12:09:17 --delay 119 --endMP 300:58943 --enddatetime 2017-10-01T12:23:21 --enforcementcount 0 &gt;&gt;c:\users\tmcdowell\Documents\GitHub\eaglep3-reporting\EC\2017-10-01-refined-times.txt</v>
      </c>
      <c r="AI17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{"issue":{"subject":"","project_id":79,"tracker_id":40,"status_id":1,"priority_id":2,"assigned_to_id":338,"start_date":"2017-10-01","description":"","custom_fields":[{"id":1,"name":"Subdivision","value":"NW"},{"id":4,"name":"Milepost","value":"5.8943"},{"id":17,"name":"Train ID","value":"1813-01"},{"id":16,"name":"Locomotive ID","value":"4024"},{"id":130,"name":"Impact","value":""},{"id":150,"name":"Time of Event (Mountain Time)","value":"12:23:21"},{"id":151,"name":"Denver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13"/>
        <v>start /low /b %USERPROFILE%\Documents\GitHub\eaglep3\Utilities\DownloadLogsFromS3.py --loco 4024 --day 2017-10-01</v>
      </c>
      <c r="AN17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115"/>
        <v>https://d0f6bd738d7f1b3e5a7ca70fe4ff75f0.us-east-1.aws.found.io/app/kibana#/discover/Steve-Slow-Train-Analysis-(2080s-and-2083s)?_g=(refreshInterval:(display:Off,pause:!f,section:0,value:0),time:(from:'2017-10-01T11:04:17-0600',mode:absolute,to:'2017-10-01T13:23:21-0600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727</v>
      </c>
      <c r="B176" s="7">
        <v>4023</v>
      </c>
      <c r="C176" s="21" t="s">
        <v>195</v>
      </c>
      <c r="D176" s="21" t="s">
        <v>581</v>
      </c>
      <c r="E176" s="13">
        <v>43009.521284722221</v>
      </c>
      <c r="F176" s="13">
        <v>43009.529976851853</v>
      </c>
      <c r="G176" s="7">
        <v>62</v>
      </c>
      <c r="H176" s="21" t="s">
        <v>888</v>
      </c>
      <c r="I176" s="13">
        <v>43009.538715277777</v>
      </c>
      <c r="J176" s="7">
        <v>0</v>
      </c>
      <c r="K176" s="89" t="str">
        <f t="shared" si="88"/>
        <v>4023/4024</v>
      </c>
      <c r="L176" s="185" t="str">
        <f>VLOOKUP(A176,'Trips&amp;Operators'!$C$1:$G$99911,5,FALSE)</f>
        <v>GUNTHIER ERIC</v>
      </c>
      <c r="M176" s="6">
        <f t="shared" si="89"/>
        <v>8.7384259240934625E-3</v>
      </c>
      <c r="N176" s="7">
        <f t="shared" si="139"/>
        <v>12.583333330694586</v>
      </c>
      <c r="O176" s="7"/>
      <c r="P176" s="7"/>
      <c r="Q176" s="22"/>
      <c r="R176" s="174"/>
      <c r="S176" s="221">
        <f t="shared" si="141"/>
        <v>1</v>
      </c>
      <c r="T176" s="174" t="str">
        <f t="shared" si="91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92"/>
        <v>https://d0f6bd738d7f1b3e5a7ca70fe4ff75f0.us-east-1.aws.found.io/app/kibana#/discover/Steve-Slow-Train-Analysis-(2080s-and-2083s)?_g=(refreshInterval:(display:Off,pause:!f,section:0,value:0),time:(from:'2017-10-01T11:30:39-0600',mode:absolute,to:'2017-10-01T13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04" t="str">
        <f>IF(AA176&lt;VLOOKUP(AG176,Variables!$AC$3:$AD$8,2,FALSE),"Y","N")</f>
        <v>N</v>
      </c>
      <c r="X176" s="204">
        <f t="shared" si="140"/>
        <v>1</v>
      </c>
      <c r="Y176" s="204">
        <f t="shared" si="132"/>
        <v>5.8625999999999996</v>
      </c>
      <c r="Z176" s="204">
        <f t="shared" si="133"/>
        <v>6.8500000000000005E-2</v>
      </c>
      <c r="AA176" s="204">
        <f t="shared" si="94"/>
        <v>5.7940999999999994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95"/>
        <v>1814</v>
      </c>
      <c r="AE176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6" s="74" t="str">
        <f t="shared" si="97"/>
        <v>"C:\Program Files (x86)\AstroGrep\AstroGrep.exe" /e /r /s /spath="%USERPROFILE%\AppData\Local\Temp\OnboardLogs" /stypes="app*4023*20171001*" /stext=" 18:.+((SYSTEM_STATE.+slice.+state.+changed )|(ment ac)|(multiple cpu faults)|(system.+state.+changed )|(\[timeout)|(PRM\|1\|D)|(kpr)|(kdp)|(train st.+moving)|(\|lc)|(penalty))"</v>
      </c>
      <c r="AG176" s="182" t="str">
        <f t="shared" si="98"/>
        <v>NW</v>
      </c>
      <c r="AH176" s="78" t="str">
        <f t="shared" si="111"/>
        <v>"%USERPROFILE%\Documents\GitHub\eaglep3\Utilities\RefineRTDCRunTimes.py" --tripid 1814-01 --locoid 4023 --swversion DE.1.0.9.0 --startMP 300:58626 --initTime 2017-10-01T12:30:39 --startdatetime 2017-10-01T12:43:10 --delay 62 --endMP 204:685 --enddatetime 2017-10-01T12:55:45 --enforcementcount 0 &gt;&gt;c:\users\tmcdowell\Documents\GitHub\eaglep3-reporting\EC\2017-10-01-refined-times.txt</v>
      </c>
      <c r="AI17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{"issue":{"subject":"","project_id":79,"tracker_id":40,"status_id":1,"priority_id":2,"assigned_to_id":338,"start_date":"2017-10-01","description":"","custom_fields":[{"id":1,"name":"Subdivision","value":"NW"},{"id":4,"name":"Milepost","value":"0.0685"},{"id":17,"name":"Train ID","value":"1814-01"},{"id":16,"name":"Locomotive ID","value":"4023"},{"id":130,"name":"Impact","value":""},{"id":150,"name":"Time of Event (Mountain Time)","value":"12:55:45"},{"id":151,"name":"Denver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13"/>
        <v>start /low /b %USERPROFILE%\Documents\GitHub\eaglep3\Utilities\DownloadLogsFromS3.py --loco 4023 --day 2017-10-01</v>
      </c>
      <c r="AN17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18:55:45"},{"id":29,"name":"Sharepoint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115"/>
        <v>https://d0f6bd738d7f1b3e5a7ca70fe4ff75f0.us-east-1.aws.found.io/app/kibana#/discover/Steve-Slow-Train-Analysis-(2080s-and-2083s)?_g=(refreshInterval:(display:Off,pause:!f,section:0,value:0),time:(from:'2017-10-01T11:30:39-0600',mode:absolute,to:'2017-10-01T13:55:45-0600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731</v>
      </c>
      <c r="B177" s="7">
        <v>4024</v>
      </c>
      <c r="C177" s="21" t="s">
        <v>195</v>
      </c>
      <c r="D177" s="21" t="s">
        <v>503</v>
      </c>
      <c r="E177" s="13">
        <v>43009.546261574076</v>
      </c>
      <c r="F177" s="13">
        <v>43009.548206018517</v>
      </c>
      <c r="G177" s="7">
        <v>67</v>
      </c>
      <c r="H177" s="21" t="s">
        <v>889</v>
      </c>
      <c r="I177" s="13">
        <v>43009.557500000003</v>
      </c>
      <c r="J177" s="7">
        <v>0</v>
      </c>
      <c r="K177" s="89" t="str">
        <f t="shared" si="88"/>
        <v>4023/4024</v>
      </c>
      <c r="L177" s="185" t="str">
        <f>VLOOKUP(A177,'Trips&amp;Operators'!$C$1:$G$99911,5,FALSE)</f>
        <v>MACDONALD THOMAS</v>
      </c>
      <c r="M177" s="6">
        <f t="shared" si="89"/>
        <v>9.2939814858254977E-3</v>
      </c>
      <c r="N177" s="7">
        <f t="shared" si="139"/>
        <v>13.383333339588717</v>
      </c>
      <c r="O177" s="7"/>
      <c r="P177" s="7"/>
      <c r="Q177" s="22"/>
      <c r="R177" s="174"/>
      <c r="S177" s="221">
        <f t="shared" si="141"/>
        <v>1</v>
      </c>
      <c r="T177" s="174" t="str">
        <f t="shared" si="91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92"/>
        <v>https://d0f6bd738d7f1b3e5a7ca70fe4ff75f0.us-east-1.aws.found.io/app/kibana#/discover/Steve-Slow-Train-Analysis-(2080s-and-2083s)?_g=(refreshInterval:(display:Off,pause:!f,section:0,value:0),time:(from:'2017-10-01T12:06:37-0600',mode:absolute,to:'2017-10-01T14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04" t="str">
        <f>IF(AA177&lt;VLOOKUP(AG177,Variables!$AC$3:$AD$8,2,FALSE),"Y","N")</f>
        <v>N</v>
      </c>
      <c r="X177" s="204">
        <f t="shared" si="140"/>
        <v>1</v>
      </c>
      <c r="Y177" s="204">
        <f t="shared" si="132"/>
        <v>9.7900000000000001E-2</v>
      </c>
      <c r="Z177" s="204">
        <f t="shared" si="133"/>
        <v>5.8897000000000004</v>
      </c>
      <c r="AA177" s="204">
        <f t="shared" si="94"/>
        <v>5.7918000000000003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95"/>
        <v>1815</v>
      </c>
      <c r="AE177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7" s="74" t="str">
        <f t="shared" si="97"/>
        <v>"C:\Program Files (x86)\AstroGrep\AstroGrep.exe" /e /r /s /spath="%USERPROFILE%\AppData\Local\Temp\OnboardLogs" /stypes="app*4024*20171001*" /stext=" 19:.+((SYSTEM_STATE.+slice.+state.+changed )|(ment ac)|(multiple cpu faults)|(system.+state.+changed )|(\[timeout)|(PRM\|1\|D)|(kpr)|(kdp)|(train st.+moving)|(\|lc)|(penalty))"</v>
      </c>
      <c r="AG177" s="182" t="str">
        <f t="shared" si="98"/>
        <v>NW</v>
      </c>
      <c r="AH177" s="78" t="str">
        <f t="shared" si="111"/>
        <v>"%USERPROFILE%\Documents\GitHub\eaglep3\Utilities\RefineRTDCRunTimes.py" --tripid 1815-01 --locoid 4024 --swversion DE.1.0.9.0 --startMP 204:979 --initTime 2017-10-01T13:06:37 --startdatetime 2017-10-01T13:09:25 --delay 67 --endMP 300:58897 --enddatetime 2017-10-01T13:22:48 --enforcementcount 0 &gt;&gt;c:\users\tmcdowell\Documents\GitHub\eaglep3-reporting\EC\2017-10-01-refined-times.txt</v>
      </c>
      <c r="AI17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{"issue":{"subject":"","project_id":79,"tracker_id":40,"status_id":1,"priority_id":2,"assigned_to_id":338,"start_date":"2017-10-01","description":"","custom_fields":[{"id":1,"name":"Subdivision","value":"NW"},{"id":4,"name":"Milepost","value":"5.8897"},{"id":17,"name":"Train ID","value":"1815-01"},{"id":16,"name":"Locomotive ID","value":"4024"},{"id":130,"name":"Impact","value":""},{"id":150,"name":"Time of Event (Mountain Time)","value":"13:22:48"},{"id":151,"name":"Denver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13"/>
        <v>start /low /b %USERPROFILE%\Documents\GitHub\eaglep3\Utilities\DownloadLogsFromS3.py --loco 4024 --day 2017-10-01</v>
      </c>
      <c r="AN177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115"/>
        <v>https://d0f6bd738d7f1b3e5a7ca70fe4ff75f0.us-east-1.aws.found.io/app/kibana#/discover/Steve-Slow-Train-Analysis-(2080s-and-2083s)?_g=(refreshInterval:(display:Off,pause:!f,section:0,value:0),time:(from:'2017-10-01T12:06:37-0600',mode:absolute,to:'2017-10-01T14:22:48-0600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735</v>
      </c>
      <c r="B178" s="7">
        <v>4023</v>
      </c>
      <c r="C178" s="21" t="s">
        <v>195</v>
      </c>
      <c r="D178" s="21" t="s">
        <v>866</v>
      </c>
      <c r="E178" s="13">
        <v>43009.558310185188</v>
      </c>
      <c r="F178" s="13">
        <v>43009.57</v>
      </c>
      <c r="G178" s="7">
        <v>964</v>
      </c>
      <c r="H178" s="21" t="s">
        <v>890</v>
      </c>
      <c r="I178" s="13">
        <v>43009.580127314817</v>
      </c>
      <c r="J178" s="7">
        <v>0</v>
      </c>
      <c r="K178" s="89" t="str">
        <f t="shared" si="88"/>
        <v>4023/4024</v>
      </c>
      <c r="L178" s="185" t="str">
        <f>VLOOKUP(A178,'Trips&amp;Operators'!$C$1:$G$99911,5,FALSE)</f>
        <v>MACDONALD THOMAS</v>
      </c>
      <c r="M178" s="6">
        <f t="shared" si="89"/>
        <v>1.0127314817509614E-2</v>
      </c>
      <c r="N178" s="7">
        <f t="shared" si="139"/>
        <v>14.583333337213844</v>
      </c>
      <c r="O178" s="7"/>
      <c r="P178" s="7"/>
      <c r="Q178" s="22"/>
      <c r="R178" s="174"/>
      <c r="S178" s="221">
        <f t="shared" si="141"/>
        <v>1</v>
      </c>
      <c r="T178" s="174" t="str">
        <f t="shared" si="91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92"/>
        <v>https://d0f6bd738d7f1b3e5a7ca70fe4ff75f0.us-east-1.aws.found.io/app/kibana#/discover/Steve-Slow-Train-Analysis-(2080s-and-2083s)?_g=(refreshInterval:(display:Off,pause:!f,section:0,value:0),time:(from:'2017-10-01T12:23:58-0600',mode:absolute,to:'2017-10-01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04" t="str">
        <f>IF(AA178&lt;VLOOKUP(AG178,Variables!$AC$3:$AD$8,2,FALSE),"Y","N")</f>
        <v>N</v>
      </c>
      <c r="X178" s="204">
        <f t="shared" si="140"/>
        <v>1</v>
      </c>
      <c r="Y178" s="204">
        <f t="shared" si="132"/>
        <v>5.8578999999999999</v>
      </c>
      <c r="Z178" s="204">
        <f t="shared" si="133"/>
        <v>7.4099999999999999E-2</v>
      </c>
      <c r="AA178" s="204">
        <f t="shared" si="94"/>
        <v>5.7838000000000003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95"/>
        <v>1816</v>
      </c>
      <c r="AE178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78" s="74" t="str">
        <f t="shared" si="97"/>
        <v>"C:\Program Files (x86)\AstroGrep\AstroGrep.exe" /e /r /s /spath="%USERPROFILE%\AppData\Local\Temp\OnboardLogs" /stypes="app*4023*20171001*" /stext=" 19:.+((SYSTEM_STATE.+slice.+state.+changed )|(ment ac)|(multiple cpu faults)|(system.+state.+changed )|(\[timeout)|(PRM\|1\|D)|(kpr)|(kdp)|(train st.+moving)|(\|lc)|(penalty))"</v>
      </c>
      <c r="AG178" s="182" t="str">
        <f t="shared" si="98"/>
        <v>NW</v>
      </c>
      <c r="AH178" s="78" t="str">
        <f t="shared" si="111"/>
        <v>"%USERPROFILE%\Documents\GitHub\eaglep3\Utilities\RefineRTDCRunTimes.py" --tripid 1816-01 --locoid 4023 --swversion DE.1.0.9.0 --startMP 300:58579 --initTime 2017-10-01T13:23:58 --startdatetime 2017-10-01T13:40:48 --delay 964 --endMP 204:741 --enddatetime 2017-10-01T13:55:23 --enforcementcount 0 &gt;&gt;c:\users\tmcdowell\Documents\GitHub\eaglep3-reporting\EC\2017-10-01-refined-times.txt</v>
      </c>
      <c r="AI17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{"issue":{"subject":"","project_id":79,"tracker_id":40,"status_id":1,"priority_id":2,"assigned_to_id":338,"start_date":"2017-10-01","description":"","custom_fields":[{"id":1,"name":"Subdivision","value":"NW"},{"id":4,"name":"Milepost","value":"0.0741"},{"id":17,"name":"Train ID","value":"1816-01"},{"id":16,"name":"Locomotive ID","value":"4023"},{"id":130,"name":"Impact","value":""},{"id":150,"name":"Time of Event (Mountain Time)","value":"13:55:23"},{"id":151,"name":"Denver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13"/>
        <v>start /low /b %USERPROFILE%\Documents\GitHub\eaglep3\Utilities\DownloadLogsFromS3.py --loco 4023 --day 2017-10-01</v>
      </c>
      <c r="AN178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115"/>
        <v>https://d0f6bd738d7f1b3e5a7ca70fe4ff75f0.us-east-1.aws.found.io/app/kibana#/discover/Steve-Slow-Train-Analysis-(2080s-and-2083s)?_g=(refreshInterval:(display:Off,pause:!f,section:0,value:0),time:(from:'2017-10-01T12:23:58-0600',mode:absolute,to:'2017-10-01T14:55:23-0600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601</v>
      </c>
      <c r="B179" s="7">
        <v>4024</v>
      </c>
      <c r="C179" s="21" t="s">
        <v>195</v>
      </c>
      <c r="D179" s="21" t="s">
        <v>580</v>
      </c>
      <c r="E179" s="13">
        <v>43009.58797453704</v>
      </c>
      <c r="F179" s="13">
        <v>43009.59</v>
      </c>
      <c r="G179" s="7">
        <v>47</v>
      </c>
      <c r="H179" s="21" t="s">
        <v>891</v>
      </c>
      <c r="I179" s="13">
        <v>43009.590138888889</v>
      </c>
      <c r="J179" s="7">
        <v>0</v>
      </c>
      <c r="K179" s="89" t="str">
        <f t="shared" si="88"/>
        <v>4023/4024</v>
      </c>
      <c r="L179" s="185" t="str">
        <f>VLOOKUP(A179,'Trips&amp;Operators'!$C$1:$G$99911,5,FALSE)</f>
        <v>HOLCOMB KAMDEN</v>
      </c>
      <c r="M179" s="6">
        <f t="shared" si="89"/>
        <v>1.3888889225199819E-4</v>
      </c>
      <c r="N179" s="7"/>
      <c r="O179" s="7"/>
      <c r="P179" s="7">
        <f>24*60*SUM($M179:$M179)</f>
        <v>0.20000000484287739</v>
      </c>
      <c r="Q179" s="22"/>
      <c r="R179" s="174" t="s">
        <v>990</v>
      </c>
      <c r="S179" s="221">
        <f t="shared" si="141"/>
        <v>0</v>
      </c>
      <c r="T179" s="174" t="str">
        <f t="shared" si="91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216" t="str">
        <f t="shared" si="92"/>
        <v>https://d0f6bd738d7f1b3e5a7ca70fe4ff75f0.us-east-1.aws.found.io/app/kibana#/discover/Steve-Slow-Train-Analysis-(2080s-and-2083s)?_g=(refreshInterval:(display:Off,pause:!f,section:0,value:0),time:(from:'2017-10-01T13:06:41-0600',mode:absolute,to:'2017-10-01T15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04" t="str">
        <f>IF(AA179&lt;VLOOKUP(AG179,Variables!$AC$3:$AD$8,2,FALSE),"Y","N")</f>
        <v>Y</v>
      </c>
      <c r="X179" s="204">
        <f t="shared" si="140"/>
        <v>1</v>
      </c>
      <c r="Y179" s="204">
        <f t="shared" si="132"/>
        <v>0.1021</v>
      </c>
      <c r="Z179" s="204">
        <f t="shared" si="133"/>
        <v>0.192</v>
      </c>
      <c r="AA179" s="204">
        <f t="shared" si="94"/>
        <v>8.9900000000000008E-2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95"/>
        <v>1817</v>
      </c>
      <c r="AE179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79" s="74" t="str">
        <f t="shared" si="97"/>
        <v>"C:\Program Files (x86)\AstroGrep\AstroGrep.exe" /e /r /s /spath="%USERPROFILE%\AppData\Local\Temp\OnboardLogs" /stypes="app*4024*20171001*" /stext=" 20:.+((SYSTEM_STATE.+slice.+state.+changed )|(ment ac)|(multiple cpu faults)|(system.+state.+changed )|(\[timeout)|(PRM\|1\|D)|(kpr)|(kdp)|(train st.+moving)|(\|lc)|(penalty))"</v>
      </c>
      <c r="AG179" s="182" t="str">
        <f t="shared" si="98"/>
        <v>NW</v>
      </c>
      <c r="AH179" s="78" t="str">
        <f t="shared" si="111"/>
        <v>"%USERPROFILE%\Documents\GitHub\eaglep3\Utilities\RefineRTDCRunTimes.py" --tripid 1817-01 --locoid 4024 --swversion DE.1.0.9.0 --startMP 204:1021 --initTime 2017-10-01T14:06:41 --startdatetime 2017-10-01T14:09:36 --delay 47 --endMP 204:1920 --enddatetime 2017-10-01T14:09:48 --enforcementcount 0 &gt;&gt;c:\users\tmcdowell\Documents\GitHub\eaglep3-reporting\EC\2017-10-01-refined-times.txt</v>
      </c>
      <c r="AI179" s="96" t="str">
        <f t="shared" si="112"/>
        <v>echo {"issue":{"subject":"Poor GPS at DUS","project_id":79,"tracker_id":40,"status_id":1,"priority_id":2,"assigned_to_id":338,"start_date":"2017-10-01","description":"","custom_fields":[{"id":1,"name":"Subdivision","value":"NW"},{"id":4,"name":"Milepost","value":"0.192"},{"id":17,"name":"Train ID","value":"1817-01"},{"id":16,"name":"Locomotive ID","value":"4024"},{"id":130,"name":"Impact","value":""},{"id":150,"name":"Time of Event (Mountain Time)","value":"14:09:48"},{"id":151,"name":"Denver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13"/>
        <v>start /low /b %USERPROFILE%\Documents\GitHub\eaglep3\Utilities\DownloadLogsFromS3.py --loco 4024 --day 2017-10-01</v>
      </c>
      <c r="AN179" s="151" t="str">
        <f t="shared" si="114"/>
        <v>echo {"issue":{"subject":"Poor GPS at DUS","project_id":30,"tracker_id":4,"status_id":1,"priority_id":1,"assigned_to_id":10,"start_date":"2017-10-01","description":"","custom_fields":[{"id":30,"name":"Category","value":"Issue"},{"id":3,"name":"Functional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115"/>
        <v>https://d0f6bd738d7f1b3e5a7ca70fe4ff75f0.us-east-1.aws.found.io/app/kibana#/discover/Steve-Slow-Train-Analysis-(2080s-and-2083s)?_g=(refreshInterval:(display:Off,pause:!f,section:0,value:0),time:(from:'2017-10-01T13:06:41-0600',mode:absolute,to:'2017-10-01T15:09:48-0600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601</v>
      </c>
      <c r="B180" s="7">
        <v>4024</v>
      </c>
      <c r="C180" s="21" t="s">
        <v>195</v>
      </c>
      <c r="D180" s="21" t="s">
        <v>580</v>
      </c>
      <c r="E180" s="13">
        <v>43009.583379629628</v>
      </c>
      <c r="F180" s="13">
        <v>43009.59</v>
      </c>
      <c r="G180" s="7">
        <v>55</v>
      </c>
      <c r="H180" s="21" t="s">
        <v>580</v>
      </c>
      <c r="I180" s="13">
        <v>43009.590138888889</v>
      </c>
      <c r="J180" s="7">
        <v>0</v>
      </c>
      <c r="K180" s="89" t="str">
        <f t="shared" si="88"/>
        <v>4023/4024</v>
      </c>
      <c r="L180" s="185" t="str">
        <f>VLOOKUP(A180,'Trips&amp;Operators'!$C$1:$G$99911,5,FALSE)</f>
        <v>HOLCOMB KAMDEN</v>
      </c>
      <c r="M180" s="6">
        <f t="shared" si="89"/>
        <v>1.3888889225199819E-4</v>
      </c>
      <c r="N180" s="7"/>
      <c r="O180" s="7"/>
      <c r="P180" s="7"/>
      <c r="Q180" s="22"/>
      <c r="R180" s="174"/>
      <c r="S180" s="221"/>
      <c r="T180" s="174" t="str">
        <f t="shared" si="91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216" t="str">
        <f t="shared" si="92"/>
        <v>https://d0f6bd738d7f1b3e5a7ca70fe4ff75f0.us-east-1.aws.found.io/app/kibana#/discover/Steve-Slow-Train-Analysis-(2080s-and-2083s)?_g=(refreshInterval:(display:Off,pause:!f,section:0,value:0),time:(from:'2017-10-01T13:00:04-0600',mode:absolute,to:'2017-10-01T15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0" s="204" t="str">
        <f>IF(AA180&lt;VLOOKUP(AG180,Variables!$AC$3:$AD$8,2,FALSE),"Y","N")</f>
        <v>Y</v>
      </c>
      <c r="X180" s="204">
        <f t="shared" si="140"/>
        <v>0</v>
      </c>
      <c r="Y180" s="204">
        <f t="shared" si="132"/>
        <v>0.1021</v>
      </c>
      <c r="Z180" s="204">
        <f t="shared" si="133"/>
        <v>0.1021</v>
      </c>
      <c r="AA180" s="204">
        <f t="shared" si="94"/>
        <v>0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95"/>
        <v>1817</v>
      </c>
      <c r="AE180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0" s="74" t="str">
        <f t="shared" si="97"/>
        <v>"C:\Program Files (x86)\AstroGrep\AstroGrep.exe" /e /r /s /spath="%USERPROFILE%\AppData\Local\Temp\OnboardLogs" /stypes="app*4024*20171001*" /stext=" 20:.+((SYSTEM_STATE.+slice.+state.+changed )|(ment ac)|(multiple cpu faults)|(system.+state.+changed )|(\[timeout)|(PRM\|1\|D)|(kpr)|(kdp)|(train st.+moving)|(\|lc)|(penalty))"</v>
      </c>
      <c r="AG180" s="182" t="str">
        <f t="shared" si="98"/>
        <v>NW</v>
      </c>
      <c r="AH180" s="78" t="str">
        <f t="shared" si="111"/>
        <v>"%USERPROFILE%\Documents\GitHub\eaglep3\Utilities\RefineRTDCRunTimes.py" --tripid 1817-01 --locoid 4024 --swversion DE.1.0.9.0 --startMP 204:1021 --initTime 2017-10-01T14:00:04 --startdatetime 2017-10-01T14:09:36 --delay 55 --endMP 204:1021 --enddatetime 2017-10-01T14:09:48 --enforcementcount 0 &gt;&gt;c:\users\tmcdowell\Documents\GitHub\eaglep3-reporting\EC\2017-10-01-refined-times.txt</v>
      </c>
      <c r="AI180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{"issue":{"subject":"","project_id":79,"tracker_id":40,"status_id":1,"priority_id":2,"assigned_to_id":338,"start_date":"2017-10-01","description":"","custom_fields":[{"id":1,"name":"Subdivision","value":"NW"},{"id":4,"name":"Milepost","value":"0.1021"},{"id":17,"name":"Train ID","value":"1817-01"},{"id":16,"name":"Locomotive ID","value":"4024"},{"id":130,"name":"Impact","value":""},{"id":150,"name":"Time of Event (Mountain Time)","value":"14:09:48"},{"id":151,"name":"Denver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13"/>
        <v>start /low /b %USERPROFILE%\Documents\GitHub\eaglep3\Utilities\DownloadLogsFromS3.py --loco 4024 --day 2017-10-01</v>
      </c>
      <c r="AN18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115"/>
        <v>https://d0f6bd738d7f1b3e5a7ca70fe4ff75f0.us-east-1.aws.found.io/app/kibana#/discover/Steve-Slow-Train-Analysis-(2080s-and-2083s)?_g=(refreshInterval:(display:Off,pause:!f,section:0,value:0),time:(from:'2017-10-01T13:00:04-0600',mode:absolute,to:'2017-10-01T15:09:48-0600'))&amp;_a=(columns:!('Message%20ID',Summary),filters:!(),index:'emp_*',interval:auto,query:(query_string:(analyze_wildcard:!t,query:'%22rtdc.l.rtdc.4024%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603</v>
      </c>
      <c r="B181" s="7">
        <v>4023</v>
      </c>
      <c r="C181" s="21" t="s">
        <v>195</v>
      </c>
      <c r="D181" s="21" t="s">
        <v>892</v>
      </c>
      <c r="E181" s="13">
        <v>43009.609513888892</v>
      </c>
      <c r="F181" s="13">
        <v>43009.611620370371</v>
      </c>
      <c r="G181" s="7">
        <v>100</v>
      </c>
      <c r="H181" s="21" t="s">
        <v>582</v>
      </c>
      <c r="I181" s="13">
        <v>43009.621666666666</v>
      </c>
      <c r="J181" s="7">
        <v>0</v>
      </c>
      <c r="K181" s="89" t="str">
        <f t="shared" si="88"/>
        <v>4023/4024</v>
      </c>
      <c r="L181" s="185" t="str">
        <f>VLOOKUP(A181,'Trips&amp;Operators'!$C$1:$G$99911,5,FALSE)</f>
        <v>HOLCOMB KAMDEN</v>
      </c>
      <c r="M181" s="6">
        <f t="shared" si="89"/>
        <v>1.0046296294603962E-2</v>
      </c>
      <c r="N181" s="7">
        <f t="shared" ref="N181:N222" si="142">24*60*SUM($M181:$M181)</f>
        <v>14.466666664229706</v>
      </c>
      <c r="O181" s="7"/>
      <c r="P181" s="7"/>
      <c r="Q181" s="22"/>
      <c r="R181" s="174"/>
      <c r="S181" s="221">
        <f t="shared" ref="S181:S222" si="143">1/IF(AG181="EC",12,1)*SUM(U181:U181)</f>
        <v>1</v>
      </c>
      <c r="T181" s="174" t="str">
        <f t="shared" si="91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92"/>
        <v>https://d0f6bd738d7f1b3e5a7ca70fe4ff75f0.us-east-1.aws.found.io/app/kibana#/discover/Steve-Slow-Train-Analysis-(2080s-and-2083s)?_g=(refreshInterval:(display:Off,pause:!f,section:0,value:0),time:(from:'2017-10-01T13:37:42-0600',mode:absolute,to:'2017-10-01T15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1" s="204" t="str">
        <f>IF(AA181&lt;VLOOKUP(AG181,Variables!$AC$3:$AD$8,2,FALSE),"Y","N")</f>
        <v>N</v>
      </c>
      <c r="X181" s="204">
        <f t="shared" si="140"/>
        <v>1</v>
      </c>
      <c r="Y181" s="204">
        <f t="shared" si="132"/>
        <v>5.8686999999999996</v>
      </c>
      <c r="Z181" s="204">
        <f t="shared" si="133"/>
        <v>6.7799999999999999E-2</v>
      </c>
      <c r="AA181" s="204">
        <f t="shared" si="94"/>
        <v>5.8008999999999995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95"/>
        <v>1818</v>
      </c>
      <c r="AE181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1" s="74" t="str">
        <f t="shared" si="97"/>
        <v>"C:\Program Files (x86)\AstroGrep\AstroGrep.exe" /e /r /s /spath="%USERPROFILE%\AppData\Local\Temp\OnboardLogs" /stypes="app*4023*20171001*" /stext=" 20:.+((SYSTEM_STATE.+slice.+state.+changed )|(ment ac)|(multiple cpu faults)|(system.+state.+changed )|(\[timeout)|(PRM\|1\|D)|(kpr)|(kdp)|(train st.+moving)|(\|lc)|(penalty))"</v>
      </c>
      <c r="AG181" s="182" t="str">
        <f t="shared" si="98"/>
        <v>NW</v>
      </c>
      <c r="AH181" s="78" t="str">
        <f t="shared" si="111"/>
        <v>"%USERPROFILE%\Documents\GitHub\eaglep3\Utilities\RefineRTDCRunTimes.py" --tripid 1818-01 --locoid 4023 --swversion DE.1.0.9.0 --startMP 300:58687 --initTime 2017-10-01T14:37:42 --startdatetime 2017-10-01T14:40:44 --delay 100 --endMP 204:678 --enddatetime 2017-10-01T14:55:12 --enforcementcount 0 &gt;&gt;c:\users\tmcdowell\Documents\GitHub\eaglep3-reporting\EC\2017-10-01-refined-times.txt</v>
      </c>
      <c r="AI181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{"issue":{"subject":"","project_id":79,"tracker_id":40,"status_id":1,"priority_id":2,"assigned_to_id":338,"start_date":"2017-10-01","description":"","custom_fields":[{"id":1,"name":"Subdivision","value":"NW"},{"id":4,"name":"Milepost","value":"0.0678"},{"id":17,"name":"Train ID","value":"1818-01"},{"id":16,"name":"Locomotive ID","value":"4023"},{"id":130,"name":"Impact","value":""},{"id":150,"name":"Time of Event (Mountain Time)","value":"14:55:12"},{"id":151,"name":"Denver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13"/>
        <v>start /low /b %USERPROFILE%\Documents\GitHub\eaglep3\Utilities\DownloadLogsFromS3.py --loco 4023 --day 2017-10-01</v>
      </c>
      <c r="AN181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115"/>
        <v>https://d0f6bd738d7f1b3e5a7ca70fe4ff75f0.us-east-1.aws.found.io/app/kibana#/discover/Steve-Slow-Train-Analysis-(2080s-and-2083s)?_g=(refreshInterval:(display:Off,pause:!f,section:0,value:0),time:(from:'2017-10-01T13:37:42-0600',mode:absolute,to:'2017-10-01T15:55:12-0600'))&amp;_a=(columns:!('Message%20ID',Summary),filters:!(),index:'emp_*',interval:auto,query:(query_string:(analyze_wildcard:!t,query:'%22rtdc.l.rtdc.4023%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605</v>
      </c>
      <c r="B182" s="7">
        <v>4024</v>
      </c>
      <c r="C182" s="21" t="s">
        <v>195</v>
      </c>
      <c r="D182" s="21" t="s">
        <v>893</v>
      </c>
      <c r="E182" s="13">
        <v>43009.628854166665</v>
      </c>
      <c r="F182" s="13">
        <v>43009.631793981483</v>
      </c>
      <c r="G182" s="7">
        <v>97</v>
      </c>
      <c r="H182" s="21" t="s">
        <v>894</v>
      </c>
      <c r="I182" s="13">
        <v>43009.641134259262</v>
      </c>
      <c r="J182" s="7">
        <v>0</v>
      </c>
      <c r="K182" s="89" t="str">
        <f t="shared" si="88"/>
        <v>4023/4024</v>
      </c>
      <c r="L182" s="185" t="str">
        <f>VLOOKUP(A182,'Trips&amp;Operators'!$C$1:$G$99911,5,FALSE)</f>
        <v>HOLCOMB KAMDEN</v>
      </c>
      <c r="M182" s="6">
        <f t="shared" si="89"/>
        <v>9.340277778392192E-3</v>
      </c>
      <c r="N182" s="7">
        <f t="shared" si="142"/>
        <v>13.450000000884756</v>
      </c>
      <c r="O182" s="7"/>
      <c r="P182" s="7"/>
      <c r="Q182" s="22"/>
      <c r="R182" s="174"/>
      <c r="S182" s="221">
        <f t="shared" si="143"/>
        <v>1</v>
      </c>
      <c r="T182" s="174" t="str">
        <f t="shared" si="91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92"/>
        <v>https://d0f6bd738d7f1b3e5a7ca70fe4ff75f0.us-east-1.aws.found.io/app/kibana#/discover/Steve-Slow-Train-Analysis-(2080s-and-2083s)?_g=(refreshInterval:(display:Off,pause:!f,section:0,value:0),time:(from:'2017-10-01T14:05:33-0600',mode:absolute,to:'2017-10-01T16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2" s="204" t="str">
        <f>IF(AA182&lt;VLOOKUP(AG182,Variables!$AC$3:$AD$8,2,FALSE),"Y","N")</f>
        <v>N</v>
      </c>
      <c r="X182" s="204">
        <f t="shared" si="140"/>
        <v>1</v>
      </c>
      <c r="Y182" s="204">
        <f t="shared" si="132"/>
        <v>9.5699999999999993E-2</v>
      </c>
      <c r="Z182" s="204">
        <f t="shared" si="133"/>
        <v>5.9001000000000001</v>
      </c>
      <c r="AA182" s="204">
        <f t="shared" si="94"/>
        <v>5.8044000000000002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95"/>
        <v>1819</v>
      </c>
      <c r="AE182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2" s="74" t="str">
        <f t="shared" si="97"/>
        <v>"C:\Program Files (x86)\AstroGrep\AstroGrep.exe" /e /r /s /spath="%USERPROFILE%\AppData\Local\Temp\OnboardLogs" /stypes="app*4024*20171001*" /stext=" 21:.+((SYSTEM_STATE.+slice.+state.+changed )|(ment ac)|(multiple cpu faults)|(system.+state.+changed )|(\[timeout)|(PRM\|1\|D)|(kpr)|(kdp)|(train st.+moving)|(\|lc)|(penalty))"</v>
      </c>
      <c r="AG182" s="182" t="str">
        <f t="shared" si="98"/>
        <v>NW</v>
      </c>
      <c r="AH182" s="78" t="str">
        <f t="shared" si="111"/>
        <v>"%USERPROFILE%\Documents\GitHub\eaglep3\Utilities\RefineRTDCRunTimes.py" --tripid 1819-01 --locoid 4024 --swversion DE.1.0.9.0 --startMP 204:957 --initTime 2017-10-01T15:05:33 --startdatetime 2017-10-01T15:09:47 --delay 97 --endMP 300:59001 --enddatetime 2017-10-01T15:23:14 --enforcementcount 0 &gt;&gt;c:\users\tmcdowell\Documents\GitHub\eaglep3-reporting\EC\2017-10-01-refined-times.txt</v>
      </c>
      <c r="AI18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{"issue":{"subject":"","project_id":79,"tracker_id":40,"status_id":1,"priority_id":2,"assigned_to_id":338,"start_date":"2017-10-01","description":"","custom_fields":[{"id":1,"name":"Subdivision","value":"NW"},{"id":4,"name":"Milepost","value":"5.9001"},{"id":17,"name":"Train ID","value":"1819-01"},{"id":16,"name":"Locomotive ID","value":"4024"},{"id":130,"name":"Impact","value":""},{"id":150,"name":"Time of Event (Mountain Time)","value":"15:23:14"},{"id":151,"name":"Denver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13"/>
        <v>start /low /b %USERPROFILE%\Documents\GitHub\eaglep3\Utilities\DownloadLogsFromS3.py --loco 4024 --day 2017-10-01</v>
      </c>
      <c r="AN18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115"/>
        <v>https://d0f6bd738d7f1b3e5a7ca70fe4ff75f0.us-east-1.aws.found.io/app/kibana#/discover/Steve-Slow-Train-Analysis-(2080s-and-2083s)?_g=(refreshInterval:(display:Off,pause:!f,section:0,value:0),time:(from:'2017-10-01T14:05:33-0600',mode:absolute,to:'2017-10-01T16:23:14-0600'))&amp;_a=(columns:!('Message%20ID',Summary),filters:!(),index:'emp_*',interval:auto,query:(query_string:(analyze_wildcard:!t,query:'%22rtdc.l.rtdc.4024%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754</v>
      </c>
      <c r="B183" s="7">
        <v>4023</v>
      </c>
      <c r="C183" s="21" t="s">
        <v>195</v>
      </c>
      <c r="D183" s="21" t="s">
        <v>895</v>
      </c>
      <c r="E183" s="13">
        <v>43009.651099537034</v>
      </c>
      <c r="F183" s="13">
        <v>43009.652407407404</v>
      </c>
      <c r="G183" s="7">
        <v>48</v>
      </c>
      <c r="H183" s="21" t="s">
        <v>505</v>
      </c>
      <c r="I183" s="13">
        <v>43009.663865740738</v>
      </c>
      <c r="J183" s="7">
        <v>0</v>
      </c>
      <c r="K183" s="89" t="str">
        <f t="shared" si="88"/>
        <v>4023/4024</v>
      </c>
      <c r="L183" s="185" t="str">
        <f>VLOOKUP(A183,'Trips&amp;Operators'!$C$1:$G$99911,5,FALSE)</f>
        <v>HOLCOMB KAMDEN</v>
      </c>
      <c r="M183" s="6">
        <f t="shared" si="89"/>
        <v>1.1458333334303461E-2</v>
      </c>
      <c r="N183" s="7">
        <f t="shared" si="142"/>
        <v>16.500000001396984</v>
      </c>
      <c r="O183" s="7"/>
      <c r="P183" s="7"/>
      <c r="Q183" s="22"/>
      <c r="R183" s="174"/>
      <c r="S183" s="221">
        <f t="shared" si="143"/>
        <v>1</v>
      </c>
      <c r="T183" s="174" t="str">
        <f t="shared" si="91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92"/>
        <v>https://d0f6bd738d7f1b3e5a7ca70fe4ff75f0.us-east-1.aws.found.io/app/kibana#/discover/Steve-Slow-Train-Analysis-(2080s-and-2083s)?_g=(refreshInterval:(display:Off,pause:!f,section:0,value:0),time:(from:'2017-10-01T14:37:35-0600',mode:absolute,to:'2017-10-01T16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3" s="204" t="str">
        <f>IF(AA183&lt;VLOOKUP(AG183,Variables!$AC$3:$AD$8,2,FALSE),"Y","N")</f>
        <v>N</v>
      </c>
      <c r="X183" s="204">
        <f t="shared" si="140"/>
        <v>1</v>
      </c>
      <c r="Y183" s="204">
        <f t="shared" si="132"/>
        <v>5.8685</v>
      </c>
      <c r="Z183" s="204">
        <f t="shared" si="133"/>
        <v>6.8400000000000002E-2</v>
      </c>
      <c r="AA183" s="204">
        <f t="shared" si="94"/>
        <v>5.8001000000000005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95"/>
        <v>1820</v>
      </c>
      <c r="AE183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3" s="74" t="str">
        <f t="shared" si="97"/>
        <v>"C:\Program Files (x86)\AstroGrep\AstroGrep.exe" /e /r /s /spath="%USERPROFILE%\AppData\Local\Temp\OnboardLogs" /stypes="app*4023*20171001*" /stext=" 21:.+((SYSTEM_STATE.+slice.+state.+changed )|(ment ac)|(multiple cpu faults)|(system.+state.+changed )|(\[timeout)|(PRM\|1\|D)|(kpr)|(kdp)|(train st.+moving)|(\|lc)|(penalty))"</v>
      </c>
      <c r="AG183" s="182" t="str">
        <f t="shared" si="98"/>
        <v>NW</v>
      </c>
      <c r="AH183" s="78" t="str">
        <f t="shared" si="111"/>
        <v>"%USERPROFILE%\Documents\GitHub\eaglep3\Utilities\RefineRTDCRunTimes.py" --tripid 1820-01 --locoid 4023 --swversion DE.1.0.9.0 --startMP 300:58685 --initTime 2017-10-01T15:37:35 --startdatetime 2017-10-01T15:39:28 --delay 48 --endMP 204:684 --enddatetime 2017-10-01T15:55:58 --enforcementcount 0 &gt;&gt;c:\users\tmcdowell\Documents\GitHub\eaglep3-reporting\EC\2017-10-01-refined-times.txt</v>
      </c>
      <c r="AI183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{"issue":{"subject":"","project_id":79,"tracker_id":40,"status_id":1,"priority_id":2,"assigned_to_id":338,"start_date":"2017-10-01","description":"","custom_fields":[{"id":1,"name":"Subdivision","value":"NW"},{"id":4,"name":"Milepost","value":"0.0684"},{"id":17,"name":"Train ID","value":"1820-01"},{"id":16,"name":"Locomotive ID","value":"4023"},{"id":130,"name":"Impact","value":""},{"id":150,"name":"Time of Event (Mountain Time)","value":"15:55:58"},{"id":151,"name":"Denver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13"/>
        <v>start /low /b %USERPROFILE%\Documents\GitHub\eaglep3\Utilities\DownloadLogsFromS3.py --loco 4023 --day 2017-10-01</v>
      </c>
      <c r="AN18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115"/>
        <v>https://d0f6bd738d7f1b3e5a7ca70fe4ff75f0.us-east-1.aws.found.io/app/kibana#/discover/Steve-Slow-Train-Analysis-(2080s-and-2083s)?_g=(refreshInterval:(display:Off,pause:!f,section:0,value:0),time:(from:'2017-10-01T14:37:35-0600',mode:absolute,to:'2017-10-01T16:55:58-0600'))&amp;_a=(columns:!('Message%20ID',Summary),filters:!(),index:'emp_*',interval:auto,query:(query_string:(analyze_wildcard:!t,query:'%22rtdc.l.rtdc.4023%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758</v>
      </c>
      <c r="B184" s="7">
        <v>4024</v>
      </c>
      <c r="C184" s="21" t="s">
        <v>195</v>
      </c>
      <c r="D184" s="21" t="s">
        <v>504</v>
      </c>
      <c r="E184" s="13">
        <v>43009.669953703706</v>
      </c>
      <c r="F184" s="13">
        <v>43009.673136574071</v>
      </c>
      <c r="G184" s="7">
        <v>48</v>
      </c>
      <c r="H184" s="21" t="s">
        <v>896</v>
      </c>
      <c r="I184" s="13">
        <v>43009.68346064815</v>
      </c>
      <c r="J184" s="7">
        <v>0</v>
      </c>
      <c r="K184" s="89" t="str">
        <f t="shared" si="88"/>
        <v>4023/4024</v>
      </c>
      <c r="L184" s="185" t="str">
        <f>VLOOKUP(A184,'Trips&amp;Operators'!$C$1:$G$99911,5,FALSE)</f>
        <v>HOLCOMB KAMDEN</v>
      </c>
      <c r="M184" s="6">
        <f t="shared" si="89"/>
        <v>1.0324074079107959E-2</v>
      </c>
      <c r="N184" s="7">
        <f t="shared" si="142"/>
        <v>14.866666673915461</v>
      </c>
      <c r="O184" s="7"/>
      <c r="P184" s="7"/>
      <c r="Q184" s="22"/>
      <c r="R184" s="174"/>
      <c r="S184" s="221">
        <f t="shared" si="143"/>
        <v>1</v>
      </c>
      <c r="T184" s="174" t="str">
        <f t="shared" si="91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92"/>
        <v>https://d0f6bd738d7f1b3e5a7ca70fe4ff75f0.us-east-1.aws.found.io/app/kibana#/discover/Steve-Slow-Train-Analysis-(2080s-and-2083s)?_g=(refreshInterval:(display:Off,pause:!f,section:0,value:0),time:(from:'2017-10-01T15:04:44-0600',mode:absolute,to:'2017-10-01T17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4" s="204" t="str">
        <f>IF(AA184&lt;VLOOKUP(AG184,Variables!$AC$3:$AD$8,2,FALSE),"Y","N")</f>
        <v>N</v>
      </c>
      <c r="X184" s="204">
        <f t="shared" si="140"/>
        <v>1</v>
      </c>
      <c r="Y184" s="204">
        <f t="shared" si="132"/>
        <v>9.64E-2</v>
      </c>
      <c r="Z184" s="204">
        <f t="shared" si="133"/>
        <v>5.8993000000000002</v>
      </c>
      <c r="AA184" s="204">
        <f t="shared" si="94"/>
        <v>5.8029000000000002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95"/>
        <v>1821</v>
      </c>
      <c r="AE184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4" s="74" t="str">
        <f t="shared" si="97"/>
        <v>"C:\Program Files (x86)\AstroGrep\AstroGrep.exe" /e /r /s /spath="%USERPROFILE%\AppData\Local\Temp\OnboardLogs" /stypes="app*4024*20171001*" /stext=" 22:.+((SYSTEM_STATE.+slice.+state.+changed )|(ment ac)|(multiple cpu faults)|(system.+state.+changed )|(\[timeout)|(PRM\|1\|D)|(kpr)|(kdp)|(train st.+moving)|(\|lc)|(penalty))"</v>
      </c>
      <c r="AG184" s="182" t="str">
        <f t="shared" si="98"/>
        <v>NW</v>
      </c>
      <c r="AH184" s="78" t="str">
        <f t="shared" si="111"/>
        <v>"%USERPROFILE%\Documents\GitHub\eaglep3\Utilities\RefineRTDCRunTimes.py" --tripid 1821-01 --locoid 4024 --swversion DE.1.0.9.0 --startMP 204:964 --initTime 2017-10-01T16:04:44 --startdatetime 2017-10-01T16:09:19 --delay 48 --endMP 300:58993 --enddatetime 2017-10-01T16:24:11 --enforcementcount 0 &gt;&gt;c:\users\tmcdowell\Documents\GitHub\eaglep3-reporting\EC\2017-10-01-refined-times.txt</v>
      </c>
      <c r="AI18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{"issue":{"subject":"","project_id":79,"tracker_id":40,"status_id":1,"priority_id":2,"assigned_to_id":338,"start_date":"2017-10-01","description":"","custom_fields":[{"id":1,"name":"Subdivision","value":"NW"},{"id":4,"name":"Milepost","value":"5.8993"},{"id":17,"name":"Train ID","value":"1821-01"},{"id":16,"name":"Locomotive ID","value":"4024"},{"id":130,"name":"Impact","value":""},{"id":150,"name":"Time of Event (Mountain Time)","value":"16:24:11"},{"id":151,"name":"Denver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13"/>
        <v>start /low /b %USERPROFILE%\Documents\GitHub\eaglep3\Utilities\DownloadLogsFromS3.py --loco 4024 --day 2017-10-01</v>
      </c>
      <c r="AN18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115"/>
        <v>https://d0f6bd738d7f1b3e5a7ca70fe4ff75f0.us-east-1.aws.found.io/app/kibana#/discover/Steve-Slow-Train-Analysis-(2080s-and-2083s)?_g=(refreshInterval:(display:Off,pause:!f,section:0,value:0),time:(from:'2017-10-01T15:04:44-0600',mode:absolute,to:'2017-10-01T17:24:11-0600'))&amp;_a=(columns:!('Message%20ID',Summary),filters:!(),index:'emp_*',interval:auto,query:(query_string:(analyze_wildcard:!t,query:'%22rtdc.l.rtdc.4024%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763</v>
      </c>
      <c r="B185" s="7">
        <v>4023</v>
      </c>
      <c r="C185" s="21" t="s">
        <v>195</v>
      </c>
      <c r="D185" s="21" t="s">
        <v>897</v>
      </c>
      <c r="E185" s="13">
        <v>43009.690428240741</v>
      </c>
      <c r="F185" s="13">
        <v>43009.69462962963</v>
      </c>
      <c r="G185" s="7">
        <v>51</v>
      </c>
      <c r="H185" s="21" t="s">
        <v>898</v>
      </c>
      <c r="I185" s="13">
        <v>43009.705393518518</v>
      </c>
      <c r="J185" s="7">
        <v>0</v>
      </c>
      <c r="K185" s="89" t="str">
        <f t="shared" si="88"/>
        <v>4023/4024</v>
      </c>
      <c r="L185" s="185" t="str">
        <f>VLOOKUP(A185,'Trips&amp;Operators'!$C$1:$G$99911,5,FALSE)</f>
        <v>HOLCOMB KAMDEN</v>
      </c>
      <c r="M185" s="6">
        <f t="shared" si="89"/>
        <v>1.0763888887595385E-2</v>
      </c>
      <c r="N185" s="7">
        <f t="shared" si="142"/>
        <v>15.499999998137355</v>
      </c>
      <c r="O185" s="7"/>
      <c r="P185" s="7"/>
      <c r="Q185" s="22"/>
      <c r="R185" s="174"/>
      <c r="S185" s="221">
        <f t="shared" si="143"/>
        <v>1</v>
      </c>
      <c r="T185" s="174" t="str">
        <f t="shared" si="91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92"/>
        <v>https://d0f6bd738d7f1b3e5a7ca70fe4ff75f0.us-east-1.aws.found.io/app/kibana#/discover/Steve-Slow-Train-Analysis-(2080s-and-2083s)?_g=(refreshInterval:(display:Off,pause:!f,section:0,value:0),time:(from:'2017-10-01T15:34:13-0600',mode:absolute,to:'2017-10-01T17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5" s="204" t="str">
        <f>IF(AA185&lt;VLOOKUP(AG185,Variables!$AC$3:$AD$8,2,FALSE),"Y","N")</f>
        <v>N</v>
      </c>
      <c r="X185" s="204">
        <f t="shared" si="140"/>
        <v>1</v>
      </c>
      <c r="Y185" s="204">
        <f t="shared" si="132"/>
        <v>5.8674999999999997</v>
      </c>
      <c r="Z185" s="204">
        <f t="shared" si="133"/>
        <v>6.9099999999999995E-2</v>
      </c>
      <c r="AA185" s="204">
        <f t="shared" si="94"/>
        <v>5.7984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95"/>
        <v>1822</v>
      </c>
      <c r="AE185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5" s="74" t="str">
        <f t="shared" si="97"/>
        <v>"C:\Program Files (x86)\AstroGrep\AstroGrep.exe" /e /r /s /spath="%USERPROFILE%\AppData\Local\Temp\OnboardLogs" /stypes="app*4023*20171001*" /stext=" 22:.+((SYSTEM_STATE.+slice.+state.+changed )|(ment ac)|(multiple cpu faults)|(system.+state.+changed )|(\[timeout)|(PRM\|1\|D)|(kpr)|(kdp)|(train st.+moving)|(\|lc)|(penalty))"</v>
      </c>
      <c r="AG185" s="182" t="str">
        <f t="shared" si="98"/>
        <v>NW</v>
      </c>
      <c r="AH185" s="78" t="str">
        <f t="shared" si="111"/>
        <v>"%USERPROFILE%\Documents\GitHub\eaglep3\Utilities\RefineRTDCRunTimes.py" --tripid 1822-01 --locoid 4023 --swversion DE.1.0.9.0 --startMP 300:58675 --initTime 2017-10-01T16:34:13 --startdatetime 2017-10-01T16:40:16 --delay 51 --endMP 204:691 --enddatetime 2017-10-01T16:55:46 --enforcementcount 0 &gt;&gt;c:\users\tmcdowell\Documents\GitHub\eaglep3-reporting\EC\2017-10-01-refined-times.txt</v>
      </c>
      <c r="AI18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{"issue":{"subject":"","project_id":79,"tracker_id":40,"status_id":1,"priority_id":2,"assigned_to_id":338,"start_date":"2017-10-01","description":"","custom_fields":[{"id":1,"name":"Subdivision","value":"NW"},{"id":4,"name":"Milepost","value":"0.0691"},{"id":17,"name":"Train ID","value":"1822-01"},{"id":16,"name":"Locomotive ID","value":"4023"},{"id":130,"name":"Impact","value":""},{"id":150,"name":"Time of Event (Mountain Time)","value":"16:55:46"},{"id":151,"name":"Denver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113"/>
        <v>start /low /b %USERPROFILE%\Documents\GitHub\eaglep3\Utilities\DownloadLogsFromS3.py --loco 4023 --day 2017-10-01</v>
      </c>
      <c r="AN18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115"/>
        <v>https://d0f6bd738d7f1b3e5a7ca70fe4ff75f0.us-east-1.aws.found.io/app/kibana#/discover/Steve-Slow-Train-Analysis-(2080s-and-2083s)?_g=(refreshInterval:(display:Off,pause:!f,section:0,value:0),time:(from:'2017-10-01T15:34:13-0600',mode:absolute,to:'2017-10-01T17:55:46-0600'))&amp;_a=(columns:!('Message%20ID',Summary),filters:!(),index:'emp_*',interval:auto,query:(query_string:(analyze_wildcard:!t,query:'%22rtdc.l.rtdc.4023%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769</v>
      </c>
      <c r="B186" s="7">
        <v>4024</v>
      </c>
      <c r="C186" s="21" t="s">
        <v>195</v>
      </c>
      <c r="D186" s="21" t="s">
        <v>899</v>
      </c>
      <c r="E186" s="13">
        <v>43009.713275462964</v>
      </c>
      <c r="F186" s="13">
        <v>43009.714930555558</v>
      </c>
      <c r="G186" s="7">
        <v>43</v>
      </c>
      <c r="H186" s="21" t="s">
        <v>900</v>
      </c>
      <c r="I186" s="13">
        <v>43009.726087962961</v>
      </c>
      <c r="J186" s="7">
        <v>0</v>
      </c>
      <c r="K186" s="89" t="str">
        <f t="shared" si="88"/>
        <v>4023/4024</v>
      </c>
      <c r="L186" s="185" t="str">
        <f>VLOOKUP(A186,'Trips&amp;Operators'!$C$1:$G$99911,5,FALSE)</f>
        <v>HOLCOMB KAMDEN</v>
      </c>
      <c r="M186" s="6">
        <f t="shared" si="89"/>
        <v>1.1157407403516117E-2</v>
      </c>
      <c r="N186" s="7">
        <f t="shared" si="142"/>
        <v>16.066666661063209</v>
      </c>
      <c r="O186" s="7"/>
      <c r="P186" s="7"/>
      <c r="Q186" s="22"/>
      <c r="R186" s="174"/>
      <c r="S186" s="221">
        <f t="shared" si="143"/>
        <v>1</v>
      </c>
      <c r="T186" s="174" t="str">
        <f t="shared" si="91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92"/>
        <v>https://d0f6bd738d7f1b3e5a7ca70fe4ff75f0.us-east-1.aws.found.io/app/kibana#/discover/Steve-Slow-Train-Analysis-(2080s-and-2083s)?_g=(refreshInterval:(display:Off,pause:!f,section:0,value:0),time:(from:'2017-10-01T16:07:07-0600',mode:absolute,to:'2017-10-01T18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6" s="204" t="str">
        <f>IF(AA186&lt;VLOOKUP(AG186,Variables!$AC$3:$AD$8,2,FALSE),"Y","N")</f>
        <v>N</v>
      </c>
      <c r="X186" s="204">
        <f t="shared" si="140"/>
        <v>1</v>
      </c>
      <c r="Y186" s="204">
        <f t="shared" si="132"/>
        <v>9.74E-2</v>
      </c>
      <c r="Z186" s="204">
        <f t="shared" si="133"/>
        <v>5.9005000000000001</v>
      </c>
      <c r="AA186" s="204">
        <f t="shared" si="94"/>
        <v>5.8030999999999997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95"/>
        <v>1823</v>
      </c>
      <c r="AE186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6" s="74" t="str">
        <f t="shared" si="97"/>
        <v>"C:\Program Files (x86)\AstroGrep\AstroGrep.exe" /e /r /s /spath="%USERPROFILE%\AppData\Local\Temp\OnboardLogs" /stypes="app*4024*20171001*" /stext=" 23:.+((SYSTEM_STATE.+slice.+state.+changed )|(ment ac)|(multiple cpu faults)|(system.+state.+changed )|(\[timeout)|(PRM\|1\|D)|(kpr)|(kdp)|(train st.+moving)|(\|lc)|(penalty))"</v>
      </c>
      <c r="AG186" s="182" t="str">
        <f t="shared" si="98"/>
        <v>NW</v>
      </c>
      <c r="AH186" s="78" t="str">
        <f t="shared" si="111"/>
        <v>"%USERPROFILE%\Documents\GitHub\eaglep3\Utilities\RefineRTDCRunTimes.py" --tripid 1823-01 --locoid 4024 --swversion DE.1.0.9.0 --startMP 204:974 --initTime 2017-10-01T17:07:07 --startdatetime 2017-10-01T17:09:30 --delay 43 --endMP 300:59005 --enddatetime 2017-10-01T17:25:34 --enforcementcount 0 &gt;&gt;c:\users\tmcdowell\Documents\GitHub\eaglep3-reporting\EC\2017-10-01-refined-times.txt</v>
      </c>
      <c r="AI18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{"issue":{"subject":"","project_id":79,"tracker_id":40,"status_id":1,"priority_id":2,"assigned_to_id":338,"start_date":"2017-10-01","description":"","custom_fields":[{"id":1,"name":"Subdivision","value":"NW"},{"id":4,"name":"Milepost","value":"5.9005"},{"id":17,"name":"Train ID","value":"1823-01"},{"id":16,"name":"Locomotive ID","value":"4024"},{"id":130,"name":"Impact","value":""},{"id":150,"name":"Time of Event (Mountain Time)","value":"17:25:34"},{"id":151,"name":"Denver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13"/>
        <v>start /low /b %USERPROFILE%\Documents\GitHub\eaglep3\Utilities\DownloadLogsFromS3.py --loco 4024 --day 2017-10-01</v>
      </c>
      <c r="AN18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115"/>
        <v>https://d0f6bd738d7f1b3e5a7ca70fe4ff75f0.us-east-1.aws.found.io/app/kibana#/discover/Steve-Slow-Train-Analysis-(2080s-and-2083s)?_g=(refreshInterval:(display:Off,pause:!f,section:0,value:0),time:(from:'2017-10-01T16:07:07-0600',mode:absolute,to:'2017-10-01T18:25:34-0600'))&amp;_a=(columns:!('Message%20ID',Summary),filters:!(),index:'emp_*',interval:auto,query:(query_string:(analyze_wildcard:!t,query:'%22rtdc.l.rtdc.4024%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609</v>
      </c>
      <c r="B187" s="7">
        <v>4023</v>
      </c>
      <c r="C187" s="21" t="s">
        <v>195</v>
      </c>
      <c r="D187" s="21" t="s">
        <v>901</v>
      </c>
      <c r="E187" s="13">
        <v>43009.733749999999</v>
      </c>
      <c r="F187" s="13">
        <v>43009.735173611109</v>
      </c>
      <c r="G187" s="7">
        <v>54</v>
      </c>
      <c r="H187" s="21" t="s">
        <v>902</v>
      </c>
      <c r="I187" s="13">
        <v>43009.747013888889</v>
      </c>
      <c r="J187" s="7">
        <v>0</v>
      </c>
      <c r="K187" s="89" t="str">
        <f t="shared" si="88"/>
        <v>4023/4024</v>
      </c>
      <c r="L187" s="185" t="str">
        <f>VLOOKUP(A187,'Trips&amp;Operators'!$C$1:$G$99911,5,FALSE)</f>
        <v>HOLCOMB KAMDEN</v>
      </c>
      <c r="M187" s="6">
        <f t="shared" si="89"/>
        <v>1.1840277780720498E-2</v>
      </c>
      <c r="N187" s="7">
        <f t="shared" si="142"/>
        <v>17.050000004237518</v>
      </c>
      <c r="O187" s="7"/>
      <c r="P187" s="7"/>
      <c r="Q187" s="22"/>
      <c r="R187" s="174"/>
      <c r="S187" s="221">
        <f t="shared" si="143"/>
        <v>1</v>
      </c>
      <c r="T187" s="174" t="str">
        <f t="shared" si="91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92"/>
        <v>https://d0f6bd738d7f1b3e5a7ca70fe4ff75f0.us-east-1.aws.found.io/app/kibana#/discover/Steve-Slow-Train-Analysis-(2080s-and-2083s)?_g=(refreshInterval:(display:Off,pause:!f,section:0,value:0),time:(from:'2017-10-01T16:36:36-0600',mode:absolute,to:'2017-10-01T18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204" t="str">
        <f>IF(AA187&lt;VLOOKUP(AG187,Variables!$AC$3:$AD$8,2,FALSE),"Y","N")</f>
        <v>N</v>
      </c>
      <c r="X187" s="204">
        <f t="shared" si="140"/>
        <v>1</v>
      </c>
      <c r="Y187" s="204">
        <f t="shared" si="132"/>
        <v>5.8681000000000001</v>
      </c>
      <c r="Z187" s="204">
        <f t="shared" si="133"/>
        <v>7.3099999999999998E-2</v>
      </c>
      <c r="AA187" s="204">
        <f t="shared" si="94"/>
        <v>5.7949999999999999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95"/>
        <v>1824</v>
      </c>
      <c r="AE187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7" s="74" t="str">
        <f t="shared" si="97"/>
        <v>"C:\Program Files (x86)\AstroGrep\AstroGrep.exe" /e /r /s /spath="%USERPROFILE%\AppData\Local\Temp\OnboardLogs" /stypes="app*4023*20171001*" /stext=" 23:.+((SYSTEM_STATE.+slice.+state.+changed )|(ment ac)|(multiple cpu faults)|(system.+state.+changed )|(\[timeout)|(PRM\|1\|D)|(kpr)|(kdp)|(train st.+moving)|(\|lc)|(penalty))"</v>
      </c>
      <c r="AG187" s="182" t="str">
        <f t="shared" si="98"/>
        <v>NW</v>
      </c>
      <c r="AH187" s="78" t="str">
        <f t="shared" si="111"/>
        <v>"%USERPROFILE%\Documents\GitHub\eaglep3\Utilities\RefineRTDCRunTimes.py" --tripid 1824-01 --locoid 4023 --swversion DE.1.0.9.0 --startMP 300:58681 --initTime 2017-10-01T17:36:36 --startdatetime 2017-10-01T17:38:39 --delay 54 --endMP 204:731 --enddatetime 2017-10-01T17:55:42 --enforcementcount 0 &gt;&gt;c:\users\tmcdowell\Documents\GitHub\eaglep3-reporting\EC\2017-10-01-refined-times.txt</v>
      </c>
      <c r="AI18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{"issue":{"subject":"","project_id":79,"tracker_id":40,"status_id":1,"priority_id":2,"assigned_to_id":338,"start_date":"2017-10-01","description":"","custom_fields":[{"id":1,"name":"Subdivision","value":"NW"},{"id":4,"name":"Milepost","value":"0.0731"},{"id":17,"name":"Train ID","value":"1824-01"},{"id":16,"name":"Locomotive ID","value":"4023"},{"id":130,"name":"Impact","value":""},{"id":150,"name":"Time of Event (Mountain Time)","value":"17:55:42"},{"id":151,"name":"Denver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13"/>
        <v>start /low /b %USERPROFILE%\Documents\GitHub\eaglep3\Utilities\DownloadLogsFromS3.py --loco 4023 --day 2017-10-01</v>
      </c>
      <c r="AN187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115"/>
        <v>https://d0f6bd738d7f1b3e5a7ca70fe4ff75f0.us-east-1.aws.found.io/app/kibana#/discover/Steve-Slow-Train-Analysis-(2080s-and-2083s)?_g=(refreshInterval:(display:Off,pause:!f,section:0,value:0),time:(from:'2017-10-01T16:36:36-0600',mode:absolute,to:'2017-10-01T18:55:42-0600'))&amp;_a=(columns:!('Message%20ID',Summary),filters:!(),index:'emp_*',interval:auto,query:(query_string:(analyze_wildcard:!t,query:'%22rtdc.l.rtdc.4023%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781</v>
      </c>
      <c r="B188" s="7">
        <v>4024</v>
      </c>
      <c r="C188" s="21" t="s">
        <v>195</v>
      </c>
      <c r="D188" s="21" t="s">
        <v>903</v>
      </c>
      <c r="E188" s="13">
        <v>43009.752997685187</v>
      </c>
      <c r="F188" s="13">
        <v>43009.756620370368</v>
      </c>
      <c r="G188" s="7">
        <v>58</v>
      </c>
      <c r="H188" s="21" t="s">
        <v>904</v>
      </c>
      <c r="I188" s="13">
        <v>43009.767974537041</v>
      </c>
      <c r="J188" s="7">
        <v>0</v>
      </c>
      <c r="K188" s="89" t="str">
        <f t="shared" si="88"/>
        <v>4023/4024</v>
      </c>
      <c r="L188" s="185" t="str">
        <f>VLOOKUP(A188,'Trips&amp;Operators'!$C$1:$G$99911,5,FALSE)</f>
        <v>HOLCOMB KAMDEN</v>
      </c>
      <c r="M188" s="6">
        <f t="shared" si="89"/>
        <v>1.135416667239042E-2</v>
      </c>
      <c r="N188" s="7">
        <f t="shared" si="142"/>
        <v>16.350000008242205</v>
      </c>
      <c r="O188" s="7"/>
      <c r="P188" s="7"/>
      <c r="Q188" s="22"/>
      <c r="R188" s="174"/>
      <c r="S188" s="221">
        <f t="shared" si="143"/>
        <v>1</v>
      </c>
      <c r="T188" s="174" t="str">
        <f t="shared" si="91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92"/>
        <v>https://d0f6bd738d7f1b3e5a7ca70fe4ff75f0.us-east-1.aws.found.io/app/kibana#/discover/Steve-Slow-Train-Analysis-(2080s-and-2083s)?_g=(refreshInterval:(display:Off,pause:!f,section:0,value:0),time:(from:'2017-10-01T17:04:19-0600',mode:absolute,to:'2017-10-01T19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8" s="204" t="str">
        <f>IF(AA188&lt;VLOOKUP(AG188,Variables!$AC$3:$AD$8,2,FALSE),"Y","N")</f>
        <v>N</v>
      </c>
      <c r="X188" s="204">
        <f t="shared" si="140"/>
        <v>1</v>
      </c>
      <c r="Y188" s="204">
        <f t="shared" si="132"/>
        <v>0.10340000000000001</v>
      </c>
      <c r="Z188" s="204">
        <f t="shared" si="133"/>
        <v>5.8992000000000004</v>
      </c>
      <c r="AA188" s="204">
        <f t="shared" si="94"/>
        <v>5.7958000000000007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95"/>
        <v>1825</v>
      </c>
      <c r="AE188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88" s="74" t="str">
        <f t="shared" si="97"/>
        <v>"C:\Program Files (x86)\AstroGrep\AstroGrep.exe" /e /r /s /spath="%USERPROFILE%\AppData\Local\Temp\OnboardLogs" /stypes="app*4024*20171002*" /stext=" 00:.+((SYSTEM_STATE.+slice.+state.+changed )|(ment ac)|(multiple cpu faults)|(system.+state.+changed )|(\[timeout)|(PRM\|1\|D)|(kpr)|(kdp)|(train st.+moving)|(\|lc)|(penalty))"</v>
      </c>
      <c r="AG188" s="182" t="str">
        <f t="shared" si="98"/>
        <v>NW</v>
      </c>
      <c r="AH188" s="78" t="str">
        <f t="shared" si="111"/>
        <v>"%USERPROFILE%\Documents\GitHub\eaglep3\Utilities\RefineRTDCRunTimes.py" --tripid 1825-01 --locoid 4024 --swversion DE.1.0.9.0 --startMP 204:1034 --initTime 2017-10-01T18:04:19 --startdatetime 2017-10-01T18:09:32 --delay 58 --endMP 300:58992 --enddatetime 2017-10-01T18:25:53 --enforcementcount 0 &gt;&gt;c:\users\tmcdowell\Documents\GitHub\eaglep3-reporting\EC\2017-10-01-refined-times.txt</v>
      </c>
      <c r="AI18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{"issue":{"subject":"","project_id":79,"tracker_id":40,"status_id":1,"priority_id":2,"assigned_to_id":338,"start_date":"2017-10-01","description":"","custom_fields":[{"id":1,"name":"Subdivision","value":"NW"},{"id":4,"name":"Milepost","value":"5.8992"},{"id":17,"name":"Train ID","value":"1825-01"},{"id":16,"name":"Locomotive ID","value":"4024"},{"id":130,"name":"Impact","value":""},{"id":150,"name":"Time of Event (Mountain Time)","value":"18:25:53"},{"id":151,"name":"Denver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13"/>
        <v>start /low /b %USERPROFILE%\Documents\GitHub\eaglep3\Utilities\DownloadLogsFromS3.py --loco 4024 --day 2017-10-01</v>
      </c>
      <c r="AN188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115"/>
        <v>https://d0f6bd738d7f1b3e5a7ca70fe4ff75f0.us-east-1.aws.found.io/app/kibana#/discover/Steve-Slow-Train-Analysis-(2080s-and-2083s)?_g=(refreshInterval:(display:Off,pause:!f,section:0,value:0),time:(from:'2017-10-01T17:04:19-0600',mode:absolute,to:'2017-10-01T19:25:53-0600'))&amp;_a=(columns:!('Message%20ID',Summary),filters:!(),index:'emp_*',interval:auto,query:(query_string:(analyze_wildcard:!t,query:'%22rtdc.l.rtdc.4024%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784</v>
      </c>
      <c r="B189" s="7">
        <v>4023</v>
      </c>
      <c r="C189" s="21" t="s">
        <v>195</v>
      </c>
      <c r="D189" s="21" t="s">
        <v>905</v>
      </c>
      <c r="E189" s="13">
        <v>43009.777407407404</v>
      </c>
      <c r="F189" s="13">
        <v>43009.778680555559</v>
      </c>
      <c r="G189" s="7">
        <v>56</v>
      </c>
      <c r="H189" s="21" t="s">
        <v>906</v>
      </c>
      <c r="I189" s="13">
        <v>43009.789756944447</v>
      </c>
      <c r="J189" s="7">
        <v>0</v>
      </c>
      <c r="K189" s="89" t="str">
        <f t="shared" si="88"/>
        <v>4023/4024</v>
      </c>
      <c r="L189" s="185" t="str">
        <f>VLOOKUP(A189,'Trips&amp;Operators'!$C$1:$G$99911,5,FALSE)</f>
        <v>HOLCOMB KAMDEN</v>
      </c>
      <c r="M189" s="6">
        <f t="shared" si="89"/>
        <v>1.1076388887886424E-2</v>
      </c>
      <c r="N189" s="7">
        <f t="shared" si="142"/>
        <v>15.94999999855645</v>
      </c>
      <c r="O189" s="7"/>
      <c r="P189" s="7"/>
      <c r="Q189" s="22"/>
      <c r="R189" s="174"/>
      <c r="S189" s="221">
        <f t="shared" si="143"/>
        <v>1</v>
      </c>
      <c r="T189" s="174" t="str">
        <f t="shared" si="91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92"/>
        <v>https://d0f6bd738d7f1b3e5a7ca70fe4ff75f0.us-east-1.aws.found.io/app/kibana#/discover/Steve-Slow-Train-Analysis-(2080s-and-2083s)?_g=(refreshInterval:(display:Off,pause:!f,section:0,value:0),time:(from:'2017-10-01T17:39:28-0600',mode:absolute,to:'2017-10-01T19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9" s="204" t="str">
        <f>IF(AA189&lt;VLOOKUP(AG189,Variables!$AC$3:$AD$8,2,FALSE),"Y","N")</f>
        <v>N</v>
      </c>
      <c r="X189" s="204">
        <f t="shared" si="140"/>
        <v>1</v>
      </c>
      <c r="Y189" s="204">
        <f t="shared" si="132"/>
        <v>5.8672000000000004</v>
      </c>
      <c r="Z189" s="204">
        <f t="shared" si="133"/>
        <v>7.0800000000000002E-2</v>
      </c>
      <c r="AA189" s="204">
        <f t="shared" si="94"/>
        <v>5.7964000000000002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95"/>
        <v>1826</v>
      </c>
      <c r="AE189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89" s="74" t="str">
        <f t="shared" si="97"/>
        <v>"C:\Program Files (x86)\AstroGrep\AstroGrep.exe" /e /r /s /spath="%USERPROFILE%\AppData\Local\Temp\OnboardLogs" /stypes="app*4023*20171002*" /stext=" 00:.+((SYSTEM_STATE.+slice.+state.+changed )|(ment ac)|(multiple cpu faults)|(system.+state.+changed )|(\[timeout)|(PRM\|1\|D)|(kpr)|(kdp)|(train st.+moving)|(\|lc)|(penalty))"</v>
      </c>
      <c r="AG189" s="182" t="str">
        <f t="shared" si="98"/>
        <v>NW</v>
      </c>
      <c r="AH189" s="78" t="str">
        <f t="shared" si="111"/>
        <v>"%USERPROFILE%\Documents\GitHub\eaglep3\Utilities\RefineRTDCRunTimes.py" --tripid 1826-01 --locoid 4023 --swversion DE.1.0.9.0 --startMP 300:58672 --initTime 2017-10-01T18:39:28 --startdatetime 2017-10-01T18:41:18 --delay 56 --endMP 204:708 --enddatetime 2017-10-01T18:57:15 --enforcementcount 0 &gt;&gt;c:\users\tmcdowell\Documents\GitHub\eaglep3-reporting\EC\2017-10-01-refined-times.txt</v>
      </c>
      <c r="AI189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{"issue":{"subject":"","project_id":79,"tracker_id":40,"status_id":1,"priority_id":2,"assigned_to_id":338,"start_date":"2017-10-01","description":"","custom_fields":[{"id":1,"name":"Subdivision","value":"NW"},{"id":4,"name":"Milepost","value":"0.0708"},{"id":17,"name":"Train ID","value":"1826-01"},{"id":16,"name":"Locomotive ID","value":"4023"},{"id":130,"name":"Impact","value":""},{"id":150,"name":"Time of Event (Mountain Time)","value":"18:57:15"},{"id":151,"name":"Denver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13"/>
        <v>start /low /b %USERPROFILE%\Documents\GitHub\eaglep3\Utilities\DownloadLogsFromS3.py --loco 4023 --day 2017-10-01</v>
      </c>
      <c r="AN189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115"/>
        <v>https://d0f6bd738d7f1b3e5a7ca70fe4ff75f0.us-east-1.aws.found.io/app/kibana#/discover/Steve-Slow-Train-Analysis-(2080s-and-2083s)?_g=(refreshInterval:(display:Off,pause:!f,section:0,value:0),time:(from:'2017-10-01T17:39:28-0600',mode:absolute,to:'2017-10-01T19:57:15-0600'))&amp;_a=(columns:!('Message%20ID',Summary),filters:!(),index:'emp_*',interval:auto,query:(query_string:(analyze_wildcard:!t,query:'%22rtdc.l.rtdc.4023%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792</v>
      </c>
      <c r="B190" s="7">
        <v>4024</v>
      </c>
      <c r="C190" s="21" t="s">
        <v>195</v>
      </c>
      <c r="D190" s="21" t="s">
        <v>506</v>
      </c>
      <c r="E190" s="13">
        <v>43009.796909722223</v>
      </c>
      <c r="F190" s="13">
        <v>43009.798402777778</v>
      </c>
      <c r="G190" s="7">
        <v>47</v>
      </c>
      <c r="H190" s="21" t="s">
        <v>904</v>
      </c>
      <c r="I190" s="13">
        <v>43009.807997685188</v>
      </c>
      <c r="J190" s="7">
        <v>0</v>
      </c>
      <c r="K190" s="89" t="str">
        <f t="shared" si="88"/>
        <v>4023/4024</v>
      </c>
      <c r="L190" s="185" t="str">
        <f>VLOOKUP(A190,'Trips&amp;Operators'!$C$1:$G$99911,5,FALSE)</f>
        <v>HOLCOMB KAMDEN</v>
      </c>
      <c r="M190" s="6">
        <f t="shared" si="89"/>
        <v>9.5949074093368836E-3</v>
      </c>
      <c r="N190" s="7">
        <f t="shared" si="142"/>
        <v>13.816666669445112</v>
      </c>
      <c r="O190" s="7"/>
      <c r="P190" s="7"/>
      <c r="Q190" s="22"/>
      <c r="R190" s="174"/>
      <c r="S190" s="221">
        <f t="shared" si="143"/>
        <v>1</v>
      </c>
      <c r="T190" s="174" t="str">
        <f t="shared" si="91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92"/>
        <v>https://d0f6bd738d7f1b3e5a7ca70fe4ff75f0.us-east-1.aws.found.io/app/kibana#/discover/Steve-Slow-Train-Analysis-(2080s-and-2083s)?_g=(refreshInterval:(display:Off,pause:!f,section:0,value:0),time:(from:'2017-10-01T18:07:33-0600',mode:absolute,to:'2017-10-01T20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204" t="str">
        <f>IF(AA190&lt;VLOOKUP(AG190,Variables!$AC$3:$AD$8,2,FALSE),"Y","N")</f>
        <v>N</v>
      </c>
      <c r="X190" s="204">
        <f t="shared" si="140"/>
        <v>1</v>
      </c>
      <c r="Y190" s="204">
        <f t="shared" si="132"/>
        <v>9.9699999999999997E-2</v>
      </c>
      <c r="Z190" s="204">
        <f t="shared" si="133"/>
        <v>5.8992000000000004</v>
      </c>
      <c r="AA190" s="204">
        <f t="shared" si="94"/>
        <v>5.7995000000000001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95"/>
        <v>1827</v>
      </c>
      <c r="AE190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0" s="74" t="str">
        <f t="shared" si="97"/>
        <v>"C:\Program Files (x86)\AstroGrep\AstroGrep.exe" /e /r /s /spath="%USERPROFILE%\AppData\Local\Temp\OnboardLogs" /stypes="app*4024*20171002*" /stext=" 01:.+((SYSTEM_STATE.+slice.+state.+changed )|(ment ac)|(multiple cpu faults)|(system.+state.+changed )|(\[timeout)|(PRM\|1\|D)|(kpr)|(kdp)|(train st.+moving)|(\|lc)|(penalty))"</v>
      </c>
      <c r="AG190" s="182" t="str">
        <f t="shared" si="98"/>
        <v>NW</v>
      </c>
      <c r="AH190" s="78" t="str">
        <f t="shared" si="111"/>
        <v>"%USERPROFILE%\Documents\GitHub\eaglep3\Utilities\RefineRTDCRunTimes.py" --tripid 1827-01 --locoid 4024 --swversion DE.1.0.9.0 --startMP 204:997 --initTime 2017-10-01T19:07:33 --startdatetime 2017-10-01T19:09:42 --delay 47 --endMP 300:58992 --enddatetime 2017-10-01T19:23:31 --enforcementcount 0 &gt;&gt;c:\users\tmcdowell\Documents\GitHub\eaglep3-reporting\EC\2017-10-01-refined-times.txt</v>
      </c>
      <c r="AI190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{"issue":{"subject":"","project_id":79,"tracker_id":40,"status_id":1,"priority_id":2,"assigned_to_id":338,"start_date":"2017-10-01","description":"","custom_fields":[{"id":1,"name":"Subdivision","value":"NW"},{"id":4,"name":"Milepost","value":"5.8992"},{"id":17,"name":"Train ID","value":"1827-01"},{"id":16,"name":"Locomotive ID","value":"4024"},{"id":130,"name":"Impact","value":""},{"id":150,"name":"Time of Event (Mountain Time)","value":"19:23:31"},{"id":151,"name":"Denver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113"/>
        <v>start /low /b %USERPROFILE%\Documents\GitHub\eaglep3\Utilities\DownloadLogsFromS3.py --loco 4024 --day 2017-10-01</v>
      </c>
      <c r="AN190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115"/>
        <v>https://d0f6bd738d7f1b3e5a7ca70fe4ff75f0.us-east-1.aws.found.io/app/kibana#/discover/Steve-Slow-Train-Analysis-(2080s-and-2083s)?_g=(refreshInterval:(display:Off,pause:!f,section:0,value:0),time:(from:'2017-10-01T18:07:33-0600',mode:absolute,to:'2017-10-01T20:23:31-0600'))&amp;_a=(columns:!('Message%20ID',Summary),filters:!(),index:'emp_*',interval:auto,query:(query_string:(analyze_wildcard:!t,query:'%22rtdc.l.rtdc.4024%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799</v>
      </c>
      <c r="B191" s="7">
        <v>4023</v>
      </c>
      <c r="C191" s="21" t="s">
        <v>195</v>
      </c>
      <c r="D191" s="21" t="s">
        <v>907</v>
      </c>
      <c r="E191" s="13">
        <v>43009.817650462966</v>
      </c>
      <c r="F191" s="13">
        <v>43009.819328703707</v>
      </c>
      <c r="G191" s="7">
        <v>53</v>
      </c>
      <c r="H191" s="21" t="s">
        <v>583</v>
      </c>
      <c r="I191" s="13">
        <v>43009.831562500003</v>
      </c>
      <c r="J191" s="7">
        <v>0</v>
      </c>
      <c r="K191" s="89" t="str">
        <f t="shared" si="88"/>
        <v>4023/4024</v>
      </c>
      <c r="L191" s="185" t="str">
        <f>VLOOKUP(A191,'Trips&amp;Operators'!$C$1:$G$99911,5,FALSE)</f>
        <v>HOLCOMB KAMDEN</v>
      </c>
      <c r="M191" s="6">
        <f t="shared" si="89"/>
        <v>1.2233796296641231E-2</v>
      </c>
      <c r="N191" s="7">
        <f t="shared" si="142"/>
        <v>17.616666667163372</v>
      </c>
      <c r="O191" s="7"/>
      <c r="P191" s="7"/>
      <c r="Q191" s="22"/>
      <c r="R191" s="174"/>
      <c r="S191" s="221">
        <f t="shared" si="143"/>
        <v>1</v>
      </c>
      <c r="T191" s="174" t="str">
        <f t="shared" si="91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92"/>
        <v>https://d0f6bd738d7f1b3e5a7ca70fe4ff75f0.us-east-1.aws.found.io/app/kibana#/discover/Steve-Slow-Train-Analysis-(2080s-and-2083s)?_g=(refreshInterval:(display:Off,pause:!f,section:0,value:0),time:(from:'2017-10-01T18:37:25-0600',mode:absolute,to:'2017-10-01T20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204" t="str">
        <f>IF(AA191&lt;VLOOKUP(AG191,Variables!$AC$3:$AD$8,2,FALSE),"Y","N")</f>
        <v>N</v>
      </c>
      <c r="X191" s="204">
        <f t="shared" si="140"/>
        <v>1</v>
      </c>
      <c r="Y191" s="204">
        <f t="shared" si="132"/>
        <v>5.8678999999999997</v>
      </c>
      <c r="Z191" s="204">
        <f t="shared" si="133"/>
        <v>7.1900000000000006E-2</v>
      </c>
      <c r="AA191" s="204">
        <f t="shared" si="94"/>
        <v>5.7959999999999994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95"/>
        <v>1828</v>
      </c>
      <c r="AE191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1" s="74" t="str">
        <f t="shared" si="97"/>
        <v>"C:\Program Files (x86)\AstroGrep\AstroGrep.exe" /e /r /s /spath="%USERPROFILE%\AppData\Local\Temp\OnboardLogs" /stypes="app*4023*20171002*" /stext=" 01:.+((SYSTEM_STATE.+slice.+state.+changed )|(ment ac)|(multiple cpu faults)|(system.+state.+changed )|(\[timeout)|(PRM\|1\|D)|(kpr)|(kdp)|(train st.+moving)|(\|lc)|(penalty))"</v>
      </c>
      <c r="AG191" s="182" t="str">
        <f t="shared" si="98"/>
        <v>NW</v>
      </c>
      <c r="AH191" s="78" t="str">
        <f t="shared" si="111"/>
        <v>"%USERPROFILE%\Documents\GitHub\eaglep3\Utilities\RefineRTDCRunTimes.py" --tripid 1828-01 --locoid 4023 --swversion DE.1.0.9.0 --startMP 300:58679 --initTime 2017-10-01T19:37:25 --startdatetime 2017-10-01T19:39:50 --delay 53 --endMP 204:719 --enddatetime 2017-10-01T19:57:27 --enforcementcount 0 &gt;&gt;c:\users\tmcdowell\Documents\GitHub\eaglep3-reporting\EC\2017-10-01-refined-times.txt</v>
      </c>
      <c r="AI191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{"issue":{"subject":"","project_id":79,"tracker_id":40,"status_id":1,"priority_id":2,"assigned_to_id":338,"start_date":"2017-10-01","description":"","custom_fields":[{"id":1,"name":"Subdivision","value":"NW"},{"id":4,"name":"Milepost","value":"0.0719"},{"id":17,"name":"Train ID","value":"1828-01"},{"id":16,"name":"Locomotive ID","value":"4023"},{"id":130,"name":"Impact","value":""},{"id":150,"name":"Time of Event (Mountain Time)","value":"19:57:27"},{"id":151,"name":"Denver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113"/>
        <v>start /low /b %USERPROFILE%\Documents\GitHub\eaglep3\Utilities\DownloadLogsFromS3.py --loco 4023 --day 2017-10-01</v>
      </c>
      <c r="AN191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115"/>
        <v>https://d0f6bd738d7f1b3e5a7ca70fe4ff75f0.us-east-1.aws.found.io/app/kibana#/discover/Steve-Slow-Train-Analysis-(2080s-and-2083s)?_g=(refreshInterval:(display:Off,pause:!f,section:0,value:0),time:(from:'2017-10-01T18:37:25-0600',mode:absolute,to:'2017-10-01T20:57:27-0600'))&amp;_a=(columns:!('Message%20ID',Summary),filters:!(),index:'emp_*',interval:auto,query:(query_string:(analyze_wildcard:!t,query:'%22rtdc.l.rtdc.4023%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614</v>
      </c>
      <c r="B192" s="7">
        <v>4024</v>
      </c>
      <c r="C192" s="21" t="s">
        <v>195</v>
      </c>
      <c r="D192" s="21" t="s">
        <v>871</v>
      </c>
      <c r="E192" s="13">
        <v>43009.837442129632</v>
      </c>
      <c r="F192" s="13">
        <v>43009.839884259258</v>
      </c>
      <c r="G192" s="7">
        <v>70</v>
      </c>
      <c r="H192" s="21" t="s">
        <v>896</v>
      </c>
      <c r="I192" s="13">
        <v>43009.849363425928</v>
      </c>
      <c r="J192" s="7">
        <v>0</v>
      </c>
      <c r="K192" s="89" t="str">
        <f t="shared" si="88"/>
        <v>4023/4024</v>
      </c>
      <c r="L192" s="185" t="str">
        <f>VLOOKUP(A192,'Trips&amp;Operators'!$C$1:$G$99911,5,FALSE)</f>
        <v>HOLCOMB KAMDEN</v>
      </c>
      <c r="M192" s="6">
        <f t="shared" si="89"/>
        <v>9.4791666706441902E-3</v>
      </c>
      <c r="N192" s="7">
        <f t="shared" si="142"/>
        <v>13.650000005727634</v>
      </c>
      <c r="O192" s="7"/>
      <c r="P192" s="7"/>
      <c r="Q192" s="22"/>
      <c r="R192" s="174"/>
      <c r="S192" s="221">
        <f t="shared" si="143"/>
        <v>1</v>
      </c>
      <c r="T192" s="174" t="str">
        <f t="shared" si="91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92"/>
        <v>https://d0f6bd738d7f1b3e5a7ca70fe4ff75f0.us-east-1.aws.found.io/app/kibana#/discover/Steve-Slow-Train-Analysis-(2080s-and-2083s)?_g=(refreshInterval:(display:Off,pause:!f,section:0,value:0),time:(from:'2017-10-01T19:05:55-0600',mode:absolute,to:'2017-10-01T21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2" s="204" t="str">
        <f>IF(AA192&lt;VLOOKUP(AG192,Variables!$AC$3:$AD$8,2,FALSE),"Y","N")</f>
        <v>N</v>
      </c>
      <c r="X192" s="204">
        <f t="shared" si="140"/>
        <v>1</v>
      </c>
      <c r="Y192" s="204">
        <f t="shared" si="132"/>
        <v>0.10199999999999999</v>
      </c>
      <c r="Z192" s="204">
        <f t="shared" si="133"/>
        <v>5.8993000000000002</v>
      </c>
      <c r="AA192" s="204">
        <f t="shared" si="94"/>
        <v>5.7972999999999999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95"/>
        <v>1829</v>
      </c>
      <c r="AE192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2" s="74" t="str">
        <f t="shared" si="97"/>
        <v>"C:\Program Files (x86)\AstroGrep\AstroGrep.exe" /e /r /s /spath="%USERPROFILE%\AppData\Local\Temp\OnboardLogs" /stypes="app*4024*20171002*" /stext=" 02:.+((SYSTEM_STATE.+slice.+state.+changed )|(ment ac)|(multiple cpu faults)|(system.+state.+changed )|(\[timeout)|(PRM\|1\|D)|(kpr)|(kdp)|(train st.+moving)|(\|lc)|(penalty))"</v>
      </c>
      <c r="AG192" s="182" t="str">
        <f t="shared" si="98"/>
        <v>NW</v>
      </c>
      <c r="AH192" s="78" t="str">
        <f t="shared" si="111"/>
        <v>"%USERPROFILE%\Documents\GitHub\eaglep3\Utilities\RefineRTDCRunTimes.py" --tripid 1829-01 --locoid 4024 --swversion DE.1.0.9.0 --startMP 204:1020 --initTime 2017-10-01T20:05:55 --startdatetime 2017-10-01T20:09:26 --delay 70 --endMP 300:58993 --enddatetime 2017-10-01T20:23:05 --enforcementcount 0 &gt;&gt;c:\users\tmcdowell\Documents\GitHub\eaglep3-reporting\EC\2017-10-01-refined-times.txt</v>
      </c>
      <c r="AI192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{"issue":{"subject":"","project_id":79,"tracker_id":40,"status_id":1,"priority_id":2,"assigned_to_id":338,"start_date":"2017-10-01","description":"","custom_fields":[{"id":1,"name":"Subdivision","value":"NW"},{"id":4,"name":"Milepost","value":"5.8993"},{"id":17,"name":"Train ID","value":"1829-01"},{"id":16,"name":"Locomotive ID","value":"4024"},{"id":130,"name":"Impact","value":""},{"id":150,"name":"Time of Event (Mountain Time)","value":"20:23:05"},{"id":151,"name":"Denver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13"/>
        <v>start /low /b %USERPROFILE%\Documents\GitHub\eaglep3\Utilities\DownloadLogsFromS3.py --loco 4024 --day 2017-10-01</v>
      </c>
      <c r="AN192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115"/>
        <v>https://d0f6bd738d7f1b3e5a7ca70fe4ff75f0.us-east-1.aws.found.io/app/kibana#/discover/Steve-Slow-Train-Analysis-(2080s-and-2083s)?_g=(refreshInterval:(display:Off,pause:!f,section:0,value:0),time:(from:'2017-10-01T19:05:55-0600',mode:absolute,to:'2017-10-01T21:23:05-0600'))&amp;_a=(columns:!('Message%20ID',Summary),filters:!(),index:'emp_*',interval:auto,query:(query_string:(analyze_wildcard:!t,query:'%22rtdc.l.rtdc.4024%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809</v>
      </c>
      <c r="B193" s="7">
        <v>4023</v>
      </c>
      <c r="C193" s="21" t="s">
        <v>195</v>
      </c>
      <c r="D193" s="21" t="s">
        <v>905</v>
      </c>
      <c r="E193" s="13">
        <v>43009.860243055555</v>
      </c>
      <c r="F193" s="13">
        <v>43009.861388888887</v>
      </c>
      <c r="G193" s="7">
        <v>48</v>
      </c>
      <c r="H193" s="21" t="s">
        <v>885</v>
      </c>
      <c r="I193" s="13">
        <v>43009.87232638889</v>
      </c>
      <c r="J193" s="7">
        <v>0</v>
      </c>
      <c r="K193" s="89" t="str">
        <f t="shared" si="88"/>
        <v>4023/4024</v>
      </c>
      <c r="L193" s="185" t="str">
        <f>VLOOKUP(A193,'Trips&amp;Operators'!$C$1:$G$99911,5,FALSE)</f>
        <v>HOLCOMB KAMDEN</v>
      </c>
      <c r="M193" s="6">
        <f t="shared" si="89"/>
        <v>1.0937500002910383E-2</v>
      </c>
      <c r="N193" s="7">
        <f t="shared" si="142"/>
        <v>15.750000004190952</v>
      </c>
      <c r="O193" s="7"/>
      <c r="P193" s="7"/>
      <c r="Q193" s="22"/>
      <c r="R193" s="174"/>
      <c r="S193" s="221">
        <f t="shared" si="143"/>
        <v>1</v>
      </c>
      <c r="T193" s="174" t="str">
        <f t="shared" si="91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92"/>
        <v>https://d0f6bd738d7f1b3e5a7ca70fe4ff75f0.us-east-1.aws.found.io/app/kibana#/discover/Steve-Slow-Train-Analysis-(2080s-and-2083s)?_g=(refreshInterval:(display:Off,pause:!f,section:0,value:0),time:(from:'2017-10-01T19:38:45-0600',mode:absolute,to:'2017-10-01T21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3" s="204" t="str">
        <f>IF(AA193&lt;VLOOKUP(AG193,Variables!$AC$3:$AD$8,2,FALSE),"Y","N")</f>
        <v>N</v>
      </c>
      <c r="X193" s="204">
        <f t="shared" si="140"/>
        <v>1</v>
      </c>
      <c r="Y193" s="204">
        <f t="shared" ref="Y193:Y222" si="144">RIGHT(D193,LEN(D193)-4)/10000</f>
        <v>5.8672000000000004</v>
      </c>
      <c r="Z193" s="204">
        <f t="shared" ref="Z193:Z222" si="145">RIGHT(H193,LEN(H193)-4)/10000</f>
        <v>7.0300000000000001E-2</v>
      </c>
      <c r="AA193" s="204">
        <f t="shared" si="94"/>
        <v>5.7969000000000008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95"/>
        <v>1830</v>
      </c>
      <c r="AE193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3" s="74" t="str">
        <f t="shared" si="97"/>
        <v>"C:\Program Files (x86)\AstroGrep\AstroGrep.exe" /e /r /s /spath="%USERPROFILE%\AppData\Local\Temp\OnboardLogs" /stypes="app*4023*20171002*" /stext=" 02:.+((SYSTEM_STATE.+slice.+state.+changed )|(ment ac)|(multiple cpu faults)|(system.+state.+changed )|(\[timeout)|(PRM\|1\|D)|(kpr)|(kdp)|(train st.+moving)|(\|lc)|(penalty))"</v>
      </c>
      <c r="AG193" s="182" t="str">
        <f t="shared" si="98"/>
        <v>NW</v>
      </c>
      <c r="AH193" s="78" t="str">
        <f t="shared" si="111"/>
        <v>"%USERPROFILE%\Documents\GitHub\eaglep3\Utilities\RefineRTDCRunTimes.py" --tripid 1830-01 --locoid 4023 --swversion DE.1.0.9.0 --startMP 300:58672 --initTime 2017-10-01T20:38:45 --startdatetime 2017-10-01T20:40:24 --delay 48 --endMP 204:703 --enddatetime 2017-10-01T20:56:09 --enforcementcount 0 &gt;&gt;c:\users\tmcdowell\Documents\GitHub\eaglep3-reporting\EC\2017-10-01-refined-times.txt</v>
      </c>
      <c r="AI193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{"issue":{"subject":"","project_id":79,"tracker_id":40,"status_id":1,"priority_id":2,"assigned_to_id":338,"start_date":"2017-10-01","description":"","custom_fields":[{"id":1,"name":"Subdivision","value":"NW"},{"id":4,"name":"Milepost","value":"0.0703"},{"id":17,"name":"Train ID","value":"1830-01"},{"id":16,"name":"Locomotive ID","value":"4023"},{"id":130,"name":"Impact","value":""},{"id":150,"name":"Time of Event (Mountain Time)","value":"20:56:09"},{"id":151,"name":"Denver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113"/>
        <v>start /low /b %USERPROFILE%\Documents\GitHub\eaglep3\Utilities\DownloadLogsFromS3.py --loco 4023 --day 2017-10-01</v>
      </c>
      <c r="AN193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115"/>
        <v>https://d0f6bd738d7f1b3e5a7ca70fe4ff75f0.us-east-1.aws.found.io/app/kibana#/discover/Steve-Slow-Train-Analysis-(2080s-and-2083s)?_g=(refreshInterval:(display:Off,pause:!f,section:0,value:0),time:(from:'2017-10-01T19:38:45-0600',mode:absolute,to:'2017-10-01T21:56:09-0600'))&amp;_a=(columns:!('Message%20ID',Summary),filters:!(),index:'emp_*',interval:auto,query:(query_string:(analyze_wildcard:!t,query:'%22rtdc.l.rtdc.4023%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811</v>
      </c>
      <c r="B194" s="7">
        <v>4024</v>
      </c>
      <c r="C194" s="21" t="s">
        <v>195</v>
      </c>
      <c r="D194" s="21" t="s">
        <v>908</v>
      </c>
      <c r="E194" s="13">
        <v>43009.874895833331</v>
      </c>
      <c r="F194" s="13">
        <v>43009.881458333337</v>
      </c>
      <c r="G194" s="7">
        <v>84</v>
      </c>
      <c r="H194" s="21" t="s">
        <v>909</v>
      </c>
      <c r="I194" s="13">
        <v>43009.890543981484</v>
      </c>
      <c r="J194" s="7">
        <v>0</v>
      </c>
      <c r="K194" s="89" t="str">
        <f t="shared" si="88"/>
        <v>4023/4024</v>
      </c>
      <c r="L194" s="185" t="str">
        <f>VLOOKUP(A194,'Trips&amp;Operators'!$C$1:$G$99911,5,FALSE)</f>
        <v>HOLCOMB KAMDEN</v>
      </c>
      <c r="M194" s="6">
        <f t="shared" si="89"/>
        <v>9.0856481474475004E-3</v>
      </c>
      <c r="N194" s="7">
        <f t="shared" si="142"/>
        <v>13.083333332324401</v>
      </c>
      <c r="O194" s="7"/>
      <c r="P194" s="7"/>
      <c r="Q194" s="22"/>
      <c r="R194" s="174"/>
      <c r="S194" s="221">
        <f t="shared" si="143"/>
        <v>1</v>
      </c>
      <c r="T194" s="174" t="str">
        <f t="shared" si="91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92"/>
        <v>https://d0f6bd738d7f1b3e5a7ca70fe4ff75f0.us-east-1.aws.found.io/app/kibana#/discover/Steve-Slow-Train-Analysis-(2080s-and-2083s)?_g=(refreshInterval:(display:Off,pause:!f,section:0,value:0),time:(from:'2017-10-01T19:59:51-0600',mode:absolute,to:'2017-10-01T22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204" t="str">
        <f>IF(AA194&lt;VLOOKUP(AG194,Variables!$AC$3:$AD$8,2,FALSE),"Y","N")</f>
        <v>N</v>
      </c>
      <c r="X194" s="204">
        <f t="shared" si="140"/>
        <v>1</v>
      </c>
      <c r="Y194" s="204">
        <f t="shared" si="144"/>
        <v>9.9299999999999999E-2</v>
      </c>
      <c r="Z194" s="204">
        <f t="shared" si="145"/>
        <v>5.8997000000000002</v>
      </c>
      <c r="AA194" s="204">
        <f t="shared" si="94"/>
        <v>5.8003999999999998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95"/>
        <v>1831</v>
      </c>
      <c r="AE194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4" s="74" t="str">
        <f t="shared" si="97"/>
        <v>"C:\Program Files (x86)\AstroGrep\AstroGrep.exe" /e /r /s /spath="%USERPROFILE%\AppData\Local\Temp\OnboardLogs" /stypes="app*4024*20171002*" /stext=" 03:.+((SYSTEM_STATE.+slice.+state.+changed )|(ment ac)|(multiple cpu faults)|(system.+state.+changed )|(\[timeout)|(PRM\|1\|D)|(kpr)|(kdp)|(train st.+moving)|(\|lc)|(penalty))"</v>
      </c>
      <c r="AG194" s="182" t="str">
        <f t="shared" si="98"/>
        <v>NW</v>
      </c>
      <c r="AH194" s="78" t="str">
        <f t="shared" si="111"/>
        <v>"%USERPROFILE%\Documents\GitHub\eaglep3\Utilities\RefineRTDCRunTimes.py" --tripid 1831-01 --locoid 4024 --swversion DE.1.0.9.0 --startMP 204:993 --initTime 2017-10-01T20:59:51 --startdatetime 2017-10-01T21:09:18 --delay 84 --endMP 300:58997 --enddatetime 2017-10-01T21:22:23 --enforcementcount 0 &gt;&gt;c:\users\tmcdowell\Documents\GitHub\eaglep3-reporting\EC\2017-10-01-refined-times.txt</v>
      </c>
      <c r="AI194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{"issue":{"subject":"","project_id":79,"tracker_id":40,"status_id":1,"priority_id":2,"assigned_to_id":338,"start_date":"2017-10-01","description":"","custom_fields":[{"id":1,"name":"Subdivision","value":"NW"},{"id":4,"name":"Milepost","value":"5.8997"},{"id":17,"name":"Train ID","value":"1831-01"},{"id":16,"name":"Locomotive ID","value":"4024"},{"id":130,"name":"Impact","value":""},{"id":150,"name":"Time of Event (Mountain Time)","value":"21:22:23"},{"id":151,"name":"Denver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113"/>
        <v>start /low /b %USERPROFILE%\Documents\GitHub\eaglep3\Utilities\DownloadLogsFromS3.py --loco 4024 --day 2017-10-01</v>
      </c>
      <c r="AN194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115"/>
        <v>https://d0f6bd738d7f1b3e5a7ca70fe4ff75f0.us-east-1.aws.found.io/app/kibana#/discover/Steve-Slow-Train-Analysis-(2080s-and-2083s)?_g=(refreshInterval:(display:Off,pause:!f,section:0,value:0),time:(from:'2017-10-01T19:59:51-0600',mode:absolute,to:'2017-10-01T22:22:23-0600'))&amp;_a=(columns:!('Message%20ID',Summary),filters:!(),index:'emp_*',interval:auto,query:(query_string:(analyze_wildcard:!t,query:'%22rtdc.l.rtdc.4024%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616</v>
      </c>
      <c r="B195" s="7">
        <v>4023</v>
      </c>
      <c r="C195" s="21" t="s">
        <v>195</v>
      </c>
      <c r="D195" s="21" t="s">
        <v>901</v>
      </c>
      <c r="E195" s="13">
        <v>43009.899872685186</v>
      </c>
      <c r="F195" s="13">
        <v>43009.903252314813</v>
      </c>
      <c r="G195" s="7">
        <v>48</v>
      </c>
      <c r="H195" s="21" t="s">
        <v>480</v>
      </c>
      <c r="I195" s="13">
        <v>43009.913657407407</v>
      </c>
      <c r="J195" s="7">
        <v>0</v>
      </c>
      <c r="K195" s="89" t="str">
        <f t="shared" si="88"/>
        <v>4023/4024</v>
      </c>
      <c r="L195" s="185" t="str">
        <f>VLOOKUP(A195,'Trips&amp;Operators'!$C$1:$G$99911,5,FALSE)</f>
        <v>HOLCOMB KAMDEN</v>
      </c>
      <c r="M195" s="6">
        <f t="shared" si="89"/>
        <v>1.0405092594737653E-2</v>
      </c>
      <c r="N195" s="7">
        <f t="shared" si="142"/>
        <v>14.98333333642222</v>
      </c>
      <c r="O195" s="7"/>
      <c r="P195" s="7"/>
      <c r="Q195" s="22"/>
      <c r="R195" s="174"/>
      <c r="S195" s="221">
        <f t="shared" si="143"/>
        <v>1</v>
      </c>
      <c r="T195" s="174" t="str">
        <f t="shared" si="91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92"/>
        <v>https://d0f6bd738d7f1b3e5a7ca70fe4ff75f0.us-east-1.aws.found.io/app/kibana#/discover/Steve-Slow-Train-Analysis-(2080s-and-2083s)?_g=(refreshInterval:(display:Off,pause:!f,section:0,value:0),time:(from:'2017-10-01T20:35:49-0600',mode:absolute,to:'2017-10-01T22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204" t="str">
        <f>IF(AA195&lt;VLOOKUP(AG195,Variables!$AC$3:$AD$8,2,FALSE),"Y","N")</f>
        <v>N</v>
      </c>
      <c r="X195" s="204">
        <f t="shared" si="140"/>
        <v>1</v>
      </c>
      <c r="Y195" s="204">
        <f t="shared" si="144"/>
        <v>5.8681000000000001</v>
      </c>
      <c r="Z195" s="204">
        <f t="shared" si="145"/>
        <v>6.8699999999999997E-2</v>
      </c>
      <c r="AA195" s="204">
        <f t="shared" si="94"/>
        <v>5.7994000000000003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95"/>
        <v>1832</v>
      </c>
      <c r="AE195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5" s="74" t="str">
        <f t="shared" si="97"/>
        <v>"C:\Program Files (x86)\AstroGrep\AstroGrep.exe" /e /r /s /spath="%USERPROFILE%\AppData\Local\Temp\OnboardLogs" /stypes="app*4023*20171002*" /stext=" 03:.+((SYSTEM_STATE.+slice.+state.+changed )|(ment ac)|(multiple cpu faults)|(system.+state.+changed )|(\[timeout)|(PRM\|1\|D)|(kpr)|(kdp)|(train st.+moving)|(\|lc)|(penalty))"</v>
      </c>
      <c r="AG195" s="182" t="str">
        <f t="shared" si="98"/>
        <v>NW</v>
      </c>
      <c r="AH195" s="78" t="str">
        <f t="shared" si="111"/>
        <v>"%USERPROFILE%\Documents\GitHub\eaglep3\Utilities\RefineRTDCRunTimes.py" --tripid 1832-01 --locoid 4023 --swversion DE.1.0.9.0 --startMP 300:58681 --initTime 2017-10-01T21:35:49 --startdatetime 2017-10-01T21:40:41 --delay 48 --endMP 204:687 --enddatetime 2017-10-01T21:55:40 --enforcementcount 0 &gt;&gt;c:\users\tmcdowell\Documents\GitHub\eaglep3-reporting\EC\2017-10-01-refined-times.txt</v>
      </c>
      <c r="AI195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{"issue":{"subject":"","project_id":79,"tracker_id":40,"status_id":1,"priority_id":2,"assigned_to_id":338,"start_date":"2017-10-01","description":"","custom_fields":[{"id":1,"name":"Subdivision","value":"NW"},{"id":4,"name":"Milepost","value":"0.0687"},{"id":17,"name":"Train ID","value":"1832-01"},{"id":16,"name":"Locomotive ID","value":"4023"},{"id":130,"name":"Impact","value":""},{"id":150,"name":"Time of Event (Mountain Time)","value":"21:55:40"},{"id":151,"name":"Denver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113"/>
        <v>start /low /b %USERPROFILE%\Documents\GitHub\eaglep3\Utilities\DownloadLogsFromS3.py --loco 4023 --day 2017-10-01</v>
      </c>
      <c r="AN195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03:55:40"},{"id":29,"name":"Sharepoint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115"/>
        <v>https://d0f6bd738d7f1b3e5a7ca70fe4ff75f0.us-east-1.aws.found.io/app/kibana#/discover/Steve-Slow-Train-Analysis-(2080s-and-2083s)?_g=(refreshInterval:(display:Off,pause:!f,section:0,value:0),time:(from:'2017-10-01T20:35:49-0600',mode:absolute,to:'2017-10-01T22:55:40-0600'))&amp;_a=(columns:!('Message%20ID',Summary),filters:!(),index:'emp_*',interval:auto,query:(query_string:(analyze_wildcard:!t,query:'%22rtdc.l.rtdc.4023%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815</v>
      </c>
      <c r="B196" s="7">
        <v>4024</v>
      </c>
      <c r="C196" s="21" t="s">
        <v>195</v>
      </c>
      <c r="D196" s="21" t="s">
        <v>910</v>
      </c>
      <c r="E196" s="13">
        <v>43009.9219212963</v>
      </c>
      <c r="F196" s="13">
        <v>43009.92355324074</v>
      </c>
      <c r="G196" s="7">
        <v>53</v>
      </c>
      <c r="H196" s="21" t="s">
        <v>909</v>
      </c>
      <c r="I196" s="13">
        <v>43009.933472222219</v>
      </c>
      <c r="J196" s="7">
        <v>0</v>
      </c>
      <c r="K196" s="89" t="str">
        <f t="shared" si="88"/>
        <v>4023/4024</v>
      </c>
      <c r="L196" s="185" t="str">
        <f>VLOOKUP(A196,'Trips&amp;Operators'!$C$1:$G$99911,5,FALSE)</f>
        <v>HOLCOMB KAMDEN</v>
      </c>
      <c r="M196" s="6">
        <f t="shared" si="89"/>
        <v>9.9189814791316167E-3</v>
      </c>
      <c r="N196" s="7">
        <f t="shared" si="142"/>
        <v>14.283333329949528</v>
      </c>
      <c r="O196" s="7"/>
      <c r="P196" s="7"/>
      <c r="Q196" s="22"/>
      <c r="R196" s="174"/>
      <c r="S196" s="221">
        <f t="shared" si="143"/>
        <v>1</v>
      </c>
      <c r="T196" s="174" t="str">
        <f t="shared" si="91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92"/>
        <v>https://d0f6bd738d7f1b3e5a7ca70fe4ff75f0.us-east-1.aws.found.io/app/kibana#/discover/Steve-Slow-Train-Analysis-(2080s-and-2083s)?_g=(refreshInterval:(display:Off,pause:!f,section:0,value:0),time:(from:'2017-10-01T21:07:34-0600',mode:absolute,to:'2017-10-01T23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6" s="204" t="str">
        <f>IF(AA196&lt;VLOOKUP(AG196,Variables!$AC$3:$AD$8,2,FALSE),"Y","N")</f>
        <v>N</v>
      </c>
      <c r="X196" s="204">
        <f t="shared" si="140"/>
        <v>1</v>
      </c>
      <c r="Y196" s="204">
        <f t="shared" si="144"/>
        <v>9.7799999999999998E-2</v>
      </c>
      <c r="Z196" s="204">
        <f t="shared" si="145"/>
        <v>5.8997000000000002</v>
      </c>
      <c r="AA196" s="204">
        <f t="shared" si="94"/>
        <v>5.8018999999999998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95"/>
        <v>1833</v>
      </c>
      <c r="AE196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6" s="74" t="str">
        <f t="shared" si="97"/>
        <v>"C:\Program Files (x86)\AstroGrep\AstroGrep.exe" /e /r /s /spath="%USERPROFILE%\AppData\Local\Temp\OnboardLogs" /stypes="app*4024*20171002*" /stext=" 04:.+((SYSTEM_STATE.+slice.+state.+changed )|(ment ac)|(multiple cpu faults)|(system.+state.+changed )|(\[timeout)|(PRM\|1\|D)|(kpr)|(kdp)|(train st.+moving)|(\|lc)|(penalty))"</v>
      </c>
      <c r="AG196" s="182" t="str">
        <f t="shared" si="98"/>
        <v>NW</v>
      </c>
      <c r="AH196" s="78" t="str">
        <f t="shared" si="111"/>
        <v>"%USERPROFILE%\Documents\GitHub\eaglep3\Utilities\RefineRTDCRunTimes.py" --tripid 1833-01 --locoid 4024 --swversion DE.1.0.9.0 --startMP 204:978 --initTime 2017-10-01T22:07:34 --startdatetime 2017-10-01T22:09:55 --delay 53 --endMP 300:58997 --enddatetime 2017-10-01T22:24:12 --enforcementcount 0 &gt;&gt;c:\users\tmcdowell\Documents\GitHub\eaglep3-reporting\EC\2017-10-01-refined-times.txt</v>
      </c>
      <c r="AI196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{"issue":{"subject":"","project_id":79,"tracker_id":40,"status_id":1,"priority_id":2,"assigned_to_id":338,"start_date":"2017-10-01","description":"","custom_fields":[{"id":1,"name":"Subdivision","value":"NW"},{"id":4,"name":"Milepost","value":"5.8997"},{"id":17,"name":"Train ID","value":"1833-01"},{"id":16,"name":"Locomotive ID","value":"4024"},{"id":130,"name":"Impact","value":""},{"id":150,"name":"Time of Event (Mountain Time)","value":"22:24:12"},{"id":151,"name":"Denver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13"/>
        <v>start /low /b %USERPROFILE%\Documents\GitHub\eaglep3\Utilities\DownloadLogsFromS3.py --loco 4024 --day 2017-10-01</v>
      </c>
      <c r="AN196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115"/>
        <v>https://d0f6bd738d7f1b3e5a7ca70fe4ff75f0.us-east-1.aws.found.io/app/kibana#/discover/Steve-Slow-Train-Analysis-(2080s-and-2083s)?_g=(refreshInterval:(display:Off,pause:!f,section:0,value:0),time:(from:'2017-10-01T21:07:34-0600',mode:absolute,to:'2017-10-01T23:24:12-0600'))&amp;_a=(columns:!('Message%20ID',Summary),filters:!(),index:'emp_*',interval:auto,query:(query_string:(analyze_wildcard:!t,query:'%22rtdc.l.rtdc.4024%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819</v>
      </c>
      <c r="B197" s="7">
        <v>4023</v>
      </c>
      <c r="C197" s="21" t="s">
        <v>195</v>
      </c>
      <c r="D197" s="21" t="s">
        <v>901</v>
      </c>
      <c r="E197" s="13">
        <v>43009.94263888889</v>
      </c>
      <c r="F197" s="13">
        <v>43009.943784722222</v>
      </c>
      <c r="G197" s="7">
        <v>48</v>
      </c>
      <c r="H197" s="21" t="s">
        <v>885</v>
      </c>
      <c r="I197" s="13">
        <v>43009.955474537041</v>
      </c>
      <c r="J197" s="7">
        <v>0</v>
      </c>
      <c r="K197" s="89" t="str">
        <f t="shared" si="88"/>
        <v>4023/4024</v>
      </c>
      <c r="L197" s="185" t="str">
        <f>VLOOKUP(A197,'Trips&amp;Operators'!$C$1:$G$99911,5,FALSE)</f>
        <v>HOLCOMB KAMDEN</v>
      </c>
      <c r="M197" s="6">
        <f t="shared" si="89"/>
        <v>1.1689814818964805E-2</v>
      </c>
      <c r="N197" s="7">
        <f t="shared" si="142"/>
        <v>16.83333333930932</v>
      </c>
      <c r="O197" s="7"/>
      <c r="P197" s="7"/>
      <c r="Q197" s="22"/>
      <c r="R197" s="174"/>
      <c r="S197" s="221">
        <f t="shared" si="143"/>
        <v>1</v>
      </c>
      <c r="T197" s="174" t="str">
        <f t="shared" si="91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92"/>
        <v>https://d0f6bd738d7f1b3e5a7ca70fe4ff75f0.us-east-1.aws.found.io/app/kibana#/discover/Steve-Slow-Train-Analysis-(2080s-and-2083s)?_g=(refreshInterval:(display:Off,pause:!f,section:0,value:0),time:(from:'2017-10-01T21:37:24-0600',mode:absolute,to:'2017-10-01T23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204" t="str">
        <f>IF(AA197&lt;VLOOKUP(AG197,Variables!$AC$3:$AD$8,2,FALSE),"Y","N")</f>
        <v>N</v>
      </c>
      <c r="X197" s="204">
        <f t="shared" ref="X197:X222" si="146">VALUE(LEFT(AD197,4))-VALUE(LEFT(AD196,4))</f>
        <v>1</v>
      </c>
      <c r="Y197" s="204">
        <f t="shared" si="144"/>
        <v>5.8681000000000001</v>
      </c>
      <c r="Z197" s="204">
        <f t="shared" si="145"/>
        <v>7.0300000000000001E-2</v>
      </c>
      <c r="AA197" s="204">
        <f t="shared" si="94"/>
        <v>5.7978000000000005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95"/>
        <v>1834</v>
      </c>
      <c r="AE197" s="77" t="str">
        <f t="shared" si="96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197" s="74" t="str">
        <f t="shared" si="97"/>
        <v>"C:\Program Files (x86)\AstroGrep\AstroGrep.exe" /e /r /s /spath="%USERPROFILE%\AppData\Local\Temp\OnboardLogs" /stypes="app*4023*20171002*" /stext=" 04:.+((SYSTEM_STATE.+slice.+state.+changed )|(ment ac)|(multiple cpu faults)|(system.+state.+changed )|(\[timeout)|(PRM\|1\|D)|(kpr)|(kdp)|(train st.+moving)|(\|lc)|(penalty))"</v>
      </c>
      <c r="AG197" s="182" t="str">
        <f t="shared" si="98"/>
        <v>NW</v>
      </c>
      <c r="AH197" s="78" t="str">
        <f t="shared" si="111"/>
        <v>"%USERPROFILE%\Documents\GitHub\eaglep3\Utilities\RefineRTDCRunTimes.py" --tripid 1834-01 --locoid 4023 --swversion DE.1.0.9.0 --startMP 300:58681 --initTime 2017-10-01T22:37:24 --startdatetime 2017-10-01T22:39:03 --delay 48 --endMP 204:703 --enddatetime 2017-10-01T22:55:53 --enforcementcount 0 &gt;&gt;c:\users\tmcdowell\Documents\GitHub\eaglep3-reporting\EC\2017-10-01-refined-times.txt</v>
      </c>
      <c r="AI197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{"issue":{"subject":"","project_id":79,"tracker_id":40,"status_id":1,"priority_id":2,"assigned_to_id":338,"start_date":"2017-10-01","description":"","custom_fields":[{"id":1,"name":"Subdivision","value":"NW"},{"id":4,"name":"Milepost","value":"0.0703"},{"id":17,"name":"Train ID","value":"1834-01"},{"id":16,"name":"Locomotive ID","value":"4023"},{"id":130,"name":"Impact","value":""},{"id":150,"name":"Time of Event (Mountain Time)","value":"22:55:53"},{"id":151,"name":"Denver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13"/>
        <v>start /low /b %USERPROFILE%\Documents\GitHub\eaglep3\Utilities\DownloadLogsFromS3.py --loco 4023 --day 2017-10-01</v>
      </c>
      <c r="AN197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04:55:53"},{"id":29,"name":"Sharepoint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115"/>
        <v>https://d0f6bd738d7f1b3e5a7ca70fe4ff75f0.us-east-1.aws.found.io/app/kibana#/discover/Steve-Slow-Train-Analysis-(2080s-and-2083s)?_g=(refreshInterval:(display:Off,pause:!f,section:0,value:0),time:(from:'2017-10-01T21:37:24-0600',mode:absolute,to:'2017-10-01T23:55:53-0600'))&amp;_a=(columns:!('Message%20ID',Summary),filters:!(),index:'emp_*',interval:auto,query:(query_string:(analyze_wildcard:!t,query:'%22rtdc.l.rtdc.4023%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618</v>
      </c>
      <c r="B198" s="7">
        <v>4024</v>
      </c>
      <c r="C198" s="21" t="s">
        <v>195</v>
      </c>
      <c r="D198" s="21" t="s">
        <v>577</v>
      </c>
      <c r="E198" s="13">
        <v>43009.959004629629</v>
      </c>
      <c r="F198" s="13">
        <v>43009.965532407405</v>
      </c>
      <c r="G198" s="7">
        <v>59</v>
      </c>
      <c r="H198" s="21" t="s">
        <v>904</v>
      </c>
      <c r="I198" s="13">
        <v>43009.975023148145</v>
      </c>
      <c r="J198" s="7">
        <v>0</v>
      </c>
      <c r="K198" s="89" t="str">
        <f t="shared" si="88"/>
        <v>4023/4024</v>
      </c>
      <c r="L198" s="185" t="str">
        <f>VLOOKUP(A198,'Trips&amp;Operators'!$C$1:$G$99911,5,FALSE)</f>
        <v>HOLCOMB KAMDEN</v>
      </c>
      <c r="M198" s="6">
        <f t="shared" si="89"/>
        <v>9.4907407401478849E-3</v>
      </c>
      <c r="N198" s="7">
        <f t="shared" si="142"/>
        <v>13.666666665812954</v>
      </c>
      <c r="O198" s="7"/>
      <c r="P198" s="7"/>
      <c r="Q198" s="22"/>
      <c r="R198" s="174"/>
      <c r="S198" s="221">
        <f t="shared" si="143"/>
        <v>1</v>
      </c>
      <c r="T198" s="174" t="str">
        <f t="shared" si="91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92"/>
        <v>https://d0f6bd738d7f1b3e5a7ca70fe4ff75f0.us-east-1.aws.found.io/app/kibana#/discover/Steve-Slow-Train-Analysis-(2080s-and-2083s)?_g=(refreshInterval:(display:Off,pause:!f,section:0,value:0),time:(from:'2017-10-01T22:00:58-0600',mode:absolute,to:'2017-10-02T00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204" t="str">
        <f>IF(AA198&lt;VLOOKUP(AG198,Variables!$AC$3:$AD$8,2,FALSE),"Y","N")</f>
        <v>N</v>
      </c>
      <c r="X198" s="204">
        <f t="shared" si="146"/>
        <v>1</v>
      </c>
      <c r="Y198" s="204">
        <f t="shared" si="144"/>
        <v>9.9199999999999997E-2</v>
      </c>
      <c r="Z198" s="204">
        <f t="shared" si="145"/>
        <v>5.8992000000000004</v>
      </c>
      <c r="AA198" s="204">
        <f t="shared" si="94"/>
        <v>5.8000000000000007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95"/>
        <v>1835</v>
      </c>
      <c r="AE198" s="77" t="str">
        <f t="shared" si="96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198" s="74" t="str">
        <f t="shared" si="97"/>
        <v>"C:\Program Files (x86)\AstroGrep\AstroGrep.exe" /e /r /s /spath="%USERPROFILE%\AppData\Local\Temp\OnboardLogs" /stypes="app*4024*20171002*" /stext=" 05:.+((SYSTEM_STATE.+slice.+state.+changed )|(ment ac)|(multiple cpu faults)|(system.+state.+changed )|(\[timeout)|(PRM\|1\|D)|(kpr)|(kdp)|(train st.+moving)|(\|lc)|(penalty))"</v>
      </c>
      <c r="AG198" s="182" t="str">
        <f t="shared" si="98"/>
        <v>NW</v>
      </c>
      <c r="AH198" s="78" t="str">
        <f t="shared" si="111"/>
        <v>"%USERPROFILE%\Documents\GitHub\eaglep3\Utilities\RefineRTDCRunTimes.py" --tripid 1835-01 --locoid 4024 --swversion DE.1.0.9.0 --startMP 204:992 --initTime 2017-10-01T23:00:58 --startdatetime 2017-10-01T23:10:22 --delay 59 --endMP 300:58992 --enddatetime 2017-10-01T23:24:02 --enforcementcount 0 &gt;&gt;c:\users\tmcdowell\Documents\GitHub\eaglep3-reporting\EC\2017-10-01-refined-times.txt</v>
      </c>
      <c r="AI198" s="96" t="str">
        <f t="shared" si="112"/>
        <v>echo {"issue":{"subject":"","project_id":79,"tracker_id":40,"status_id":1,"priority_id":2,"assigned_to_id":338,"start_date":"2017-10-01","description":"","custom_fields":[{"id":1,"name":"Subdivision","value":"NW"},{"id":4,"name":"Milepost","value":"5.8992"},{"id":17,"name":"Train ID","value":"1835-01"},{"id":16,"name":"Locomotive ID","value":"4024"},{"id":130,"name":"Impact","value":""},{"id":150,"name":"Time of Event (Mountain Time)","value":"23:24:02"},{"id":151,"name":"Denver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113"/>
        <v>start /low /b %USERPROFILE%\Documents\GitHub\eaglep3\Utilities\DownloadLogsFromS3.py --loco 4024 --day 2017-10-01</v>
      </c>
      <c r="AN198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115"/>
        <v>https://d0f6bd738d7f1b3e5a7ca70fe4ff75f0.us-east-1.aws.found.io/app/kibana#/discover/Steve-Slow-Train-Analysis-(2080s-and-2083s)?_g=(refreshInterval:(display:Off,pause:!f,section:0,value:0),time:(from:'2017-10-01T22:00:58-0600',mode:absolute,to:'2017-10-02T00:24:02-0600'))&amp;_a=(columns:!('Message%20ID',Summary),filters:!(),index:'emp_*',interval:auto,query:(query_string:(analyze_wildcard:!t,query:'%22rtdc.l.rtdc.4024%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807</v>
      </c>
      <c r="B199" s="7">
        <v>4012</v>
      </c>
      <c r="C199" s="21" t="s">
        <v>195</v>
      </c>
      <c r="D199" s="21" t="s">
        <v>458</v>
      </c>
      <c r="E199" s="13">
        <v>43009.852638888886</v>
      </c>
      <c r="F199" s="13">
        <v>43009.854085648149</v>
      </c>
      <c r="G199" s="7">
        <v>64</v>
      </c>
      <c r="H199" s="21" t="s">
        <v>417</v>
      </c>
      <c r="I199" s="13">
        <v>43009.86142361111</v>
      </c>
      <c r="J199" s="7">
        <v>0</v>
      </c>
      <c r="K199" s="89" t="str">
        <f t="shared" si="88"/>
        <v>4011/4012</v>
      </c>
      <c r="L199" s="185" t="str">
        <f>VLOOKUP(A199,'Trips&amp;Operators'!$C$1:$G$99911,5,FALSE)</f>
        <v>KILLION DAVID</v>
      </c>
      <c r="M199" s="6">
        <f t="shared" si="89"/>
        <v>7.3379629611736163E-3</v>
      </c>
      <c r="N199" s="7">
        <f t="shared" si="142"/>
        <v>10.566666664090008</v>
      </c>
      <c r="O199" s="7"/>
      <c r="P199" s="7"/>
      <c r="Q199" s="22"/>
      <c r="R199" s="174"/>
      <c r="S199" s="221">
        <f t="shared" si="143"/>
        <v>1</v>
      </c>
      <c r="T199" s="174" t="str">
        <f t="shared" si="91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92"/>
        <v>https://d0f6bd738d7f1b3e5a7ca70fe4ff75f0.us-east-1.aws.found.io/app/kibana#/discover/Steve-Slow-Train-Analysis-(2080s-and-2083s)?_g=(refreshInterval:(display:Off,pause:!f,section:0,value:0),time:(from:'2017-10-01T19:27:48-0600',mode:absolute,to:'2017-10-01T21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204" t="str">
        <f>IF(AA199&lt;VLOOKUP(AG199,Variables!$AC$3:$AD$8,2,FALSE),"Y","N")</f>
        <v>Y</v>
      </c>
      <c r="X199" s="204">
        <f t="shared" si="146"/>
        <v>-1534</v>
      </c>
      <c r="Y199" s="204">
        <f t="shared" si="144"/>
        <v>4.7699999999999999E-2</v>
      </c>
      <c r="Z199" s="204">
        <f t="shared" si="145"/>
        <v>2.3346</v>
      </c>
      <c r="AA199" s="204">
        <f t="shared" si="94"/>
        <v>2.2869000000000002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95"/>
        <v>301</v>
      </c>
      <c r="AE199" s="77" t="str">
        <f t="shared" si="96"/>
        <v>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 &amp; aws s3 cp s3://rtdc.mdm.uploadarchive.raw/RTDC4012/ "%USERPROFILE%\AppData\Local\Temp\OnboardLogs"\RTDC4012\2017-10-02 --exclude "*" --recursive --include "*20171002*" &amp; "%USERPROFILE%\Documents\GitHub\mrs-test-scripts\Headless Mode &amp; Sideloading\WalkAndUnGZ.bat" "%USERPROFILE%\AppData\Local\Temp\OnboardLogs"\RTDC4012\2017-10-02</v>
      </c>
      <c r="AF199" s="74" t="str">
        <f t="shared" si="97"/>
        <v>"C:\Program Files (x86)\AstroGrep\AstroGrep.exe" /e /r /s /spath="%USERPROFILE%\AppData\Local\Temp\OnboardLogs" /stypes="app*4012*20171002*" /stext=" 02:.+((SYSTEM_STATE.+slice.+state.+changed )|(ment ac)|(multiple cpu faults)|(system.+state.+changed )|(\[timeout)|(PRM\|1\|D)|(kpr)|(kdp)|(train st.+moving)|(\|lc)|(penalty))"</v>
      </c>
      <c r="AG199" s="182" t="str">
        <f t="shared" si="98"/>
        <v>Other</v>
      </c>
      <c r="AH199" s="78" t="str">
        <f t="shared" si="111"/>
        <v>"%USERPROFILE%\Documents\GitHub\eaglep3\Utilities\RefineRTDCRunTimes.py" --tripid 301-01 --locoid 4012 --swversion DE.1.0.9.0 --startMP 204:477 --initTime 2017-10-01T20:27:48 --startdatetime 2017-10-01T20:29:53 --delay 64 --endMP 300:23346 --enddatetime 2017-10-01T20:40:27 --enforcementcount 0 &gt;&gt;c:\users\tmcdowell\Documents\GitHub\eaglep3-reporting\EC\2017-10-01-refined-times.txt</v>
      </c>
      <c r="AI199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{"issue":{"subject":"","project_id":79,"tracker_id":40,"status_id":1,"priority_id":2,"assigned_to_id":338,"start_date":"2017-10-01","description":"","custom_fields":[{"id":1,"name":"Subdivision","value":"Other"},{"id":4,"name":"Milepost","value":"2.3346"},{"id":17,"name":"Train ID","value":"301-01"},{"id":16,"name":"Locomotive ID","value":"4012"},{"id":130,"name":"Impact","value":""},{"id":150,"name":"Time of Event (Mountain Time)","value":"20:40:27"},{"id":151,"name":"Denver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113"/>
        <v>start /low /b %USERPROFILE%\Documents\GitHub\eaglep3\Utilities\DownloadLogsFromS3.py --loco 4012 --day 2017-10-01</v>
      </c>
      <c r="AN199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02:40:27"},{"id":29,"name":"Sharepoint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115"/>
        <v>https://d0f6bd738d7f1b3e5a7ca70fe4ff75f0.us-east-1.aws.found.io/app/kibana#/discover/Steve-Slow-Train-Analysis-(2080s-and-2083s)?_g=(refreshInterval:(display:Off,pause:!f,section:0,value:0),time:(from:'2017-10-01T19:27:48-0600',mode:absolute,to:'2017-10-01T21:40:27-0600'))&amp;_a=(columns:!('Message%20ID',Summary),filters:!(),index:'emp_*',interval:auto,query:(query_string:(analyze_wildcard:!t,query:'%22rtdc.l.rtdc.4012%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586</v>
      </c>
      <c r="B200" s="7">
        <v>4015</v>
      </c>
      <c r="C200" s="21" t="s">
        <v>195</v>
      </c>
      <c r="D200" s="21" t="s">
        <v>942</v>
      </c>
      <c r="E200" s="13">
        <v>43009.139745370368</v>
      </c>
      <c r="F200" s="13">
        <v>43009.143587962964</v>
      </c>
      <c r="G200" s="7">
        <v>82</v>
      </c>
      <c r="H200" s="21" t="s">
        <v>943</v>
      </c>
      <c r="I200" s="13">
        <v>43009.14744212963</v>
      </c>
      <c r="J200" s="7">
        <v>0</v>
      </c>
      <c r="K200" s="89" t="str">
        <f t="shared" si="88"/>
        <v>4015/4016</v>
      </c>
      <c r="L200" s="185" t="str">
        <f>VLOOKUP(A200,'Trips&amp;Operators'!$C$1:$G$99911,5,FALSE)</f>
        <v>MAELZER KURT</v>
      </c>
      <c r="M200" s="6">
        <f t="shared" si="89"/>
        <v>3.8541666654055007E-3</v>
      </c>
      <c r="N200" s="7">
        <f t="shared" si="142"/>
        <v>5.549999998183921</v>
      </c>
      <c r="O200" s="7"/>
      <c r="P200" s="7"/>
      <c r="Q200" s="22"/>
      <c r="R200" s="174"/>
      <c r="S200" s="221">
        <f t="shared" si="143"/>
        <v>1</v>
      </c>
      <c r="T200" s="174" t="str">
        <f t="shared" si="91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92"/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204" t="str">
        <f>IF(AA200&lt;VLOOKUP(AG200,Variables!$AC$3:$AD$8,2,FALSE),"Y","N")</f>
        <v>Y</v>
      </c>
      <c r="X200" s="204">
        <f t="shared" si="146"/>
        <v>1</v>
      </c>
      <c r="Y200" s="204">
        <f t="shared" si="144"/>
        <v>1.9581999999999999</v>
      </c>
      <c r="Z200" s="204">
        <f t="shared" si="145"/>
        <v>0.44979999999999998</v>
      </c>
      <c r="AA200" s="204">
        <f t="shared" si="94"/>
        <v>1.5084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95"/>
        <v>302</v>
      </c>
      <c r="AE200" s="77" t="str">
        <f t="shared" si="96"/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AF200" s="74" t="str">
        <f t="shared" si="97"/>
        <v>"C:\Program Files (x86)\AstroGrep\AstroGrep.exe" /e /r /s /spath="%USERPROFILE%\AppData\Local\Temp\OnboardLogs" /stypes="app*4015*20171001*" /stext=" 09:.+((SYSTEM_STATE.+slice.+state.+changed )|(ment ac)|(multiple cpu faults)|(system.+state.+changed )|(\[timeout)|(PRM\|1\|D)|(kpr)|(kdp)|(train st.+moving)|(\|lc)|(penalty))"</v>
      </c>
      <c r="AG200" s="182" t="str">
        <f t="shared" si="98"/>
        <v>Other</v>
      </c>
      <c r="AH200" s="78" t="str">
        <f t="shared" si="111"/>
        <v>"%USERPROFILE%\Documents\GitHub\eaglep3\Utilities\RefineRTDCRunTimes.py" --tripid 302-01 --locoid 4015 --swversion DE.1.0.9.0 --startMP 300:19582 --initTime 2017-10-01T03:21:14 --startdatetime 2017-10-01T03:26:46 --delay 82 --endMP 204:4498 --enddatetime 2017-10-01T03:32:19 --enforcementcount 0 &gt;&gt;c:\users\tmcdowell\Documents\GitHub\eaglep3-reporting\EC\2017-10-01-refined-times.txt</v>
      </c>
      <c r="AI200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{"issue":{"subject":"","project_id":79,"tracker_id":40,"status_id":1,"priority_id":2,"assigned_to_id":338,"start_date":"2017-10-01","description":"","custom_fields":[{"id":1,"name":"Subdivision","value":"Other"},{"id":4,"name":"Milepost","value":"0.4498"},{"id":17,"name":"Train ID","value":"302-01"},{"id":16,"name":"Locomotive ID","value":"4015"},{"id":130,"name":"Impact","value":""},{"id":150,"name":"Time of Event (Mountain Time)","value":"03:32:19"},{"id":151,"name":"Denver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113"/>
        <v>start /low /b %USERPROFILE%\Documents\GitHub\eaglep3\Utilities\DownloadLogsFromS3.py --loco 4015 --day 2017-10-01</v>
      </c>
      <c r="AN20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09:32:19"},{"id":29,"name":"Sharepoint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115"/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Message%20ID',Summary),filters:!(),index:'emp_*',interval:auto,query:(query_string:(analyze_wildcard:!t,query:'%22rtdc.l.rtdc.4015%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797</v>
      </c>
      <c r="B201" s="7">
        <v>4044</v>
      </c>
      <c r="C201" s="21" t="s">
        <v>195</v>
      </c>
      <c r="D201" s="21" t="s">
        <v>573</v>
      </c>
      <c r="E201" s="13">
        <v>43009.810439814813</v>
      </c>
      <c r="F201" s="13">
        <v>43009.819409722222</v>
      </c>
      <c r="G201" s="7">
        <v>53</v>
      </c>
      <c r="H201" s="21" t="s">
        <v>417</v>
      </c>
      <c r="I201" s="13">
        <v>43009.82571759259</v>
      </c>
      <c r="J201" s="7">
        <v>0</v>
      </c>
      <c r="K201" s="89" t="str">
        <f t="shared" si="88"/>
        <v>4043/4044</v>
      </c>
      <c r="L201" s="185" t="str">
        <f>VLOOKUP(A201,'Trips&amp;Operators'!$C$1:$G$99911,5,FALSE)</f>
        <v>BERLING GARY</v>
      </c>
      <c r="M201" s="6">
        <f t="shared" si="89"/>
        <v>6.3078703678911552E-3</v>
      </c>
      <c r="N201" s="7">
        <f t="shared" si="142"/>
        <v>9.0833333297632635</v>
      </c>
      <c r="O201" s="7"/>
      <c r="P201" s="7"/>
      <c r="Q201" s="22"/>
      <c r="R201" s="174"/>
      <c r="S201" s="221">
        <f t="shared" si="143"/>
        <v>1</v>
      </c>
      <c r="T201" s="174" t="str">
        <f t="shared" si="91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92"/>
        <v>https://d0f6bd738d7f1b3e5a7ca70fe4ff75f0.us-east-1.aws.found.io/app/kibana#/discover/Steve-Slow-Train-Analysis-(2080s-and-2083s)?_g=(refreshInterval:(display:Off,pause:!f,section:0,value:0),time:(from:'2017-10-01T18:27:02-0600',mode:absolute,to:'2017-10-01T20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04" t="str">
        <f>IF(AA201&lt;VLOOKUP(AG201,Variables!$AC$3:$AD$8,2,FALSE),"Y","N")</f>
        <v>Y</v>
      </c>
      <c r="X201" s="204">
        <f t="shared" si="146"/>
        <v>1</v>
      </c>
      <c r="Y201" s="204">
        <f t="shared" si="144"/>
        <v>0.1169</v>
      </c>
      <c r="Z201" s="204">
        <f t="shared" si="145"/>
        <v>2.3346</v>
      </c>
      <c r="AA201" s="204">
        <f t="shared" si="94"/>
        <v>2.2176999999999998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95"/>
        <v>303</v>
      </c>
      <c r="AE201" s="77" t="str">
        <f t="shared" si="96"/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AF201" s="74" t="str">
        <f t="shared" si="97"/>
        <v>"C:\Program Files (x86)\AstroGrep\AstroGrep.exe" /e /r /s /spath="%USERPROFILE%\AppData\Local\Temp\OnboardLogs" /stypes="app*4044*20171002*" /stext=" 01:.+((SYSTEM_STATE.+slice.+state.+changed )|(ment ac)|(multiple cpu faults)|(system.+state.+changed )|(\[timeout)|(PRM\|1\|D)|(kpr)|(kdp)|(train st.+moving)|(\|lc)|(penalty))"</v>
      </c>
      <c r="AG201" s="182" t="str">
        <f t="shared" si="98"/>
        <v>Other</v>
      </c>
      <c r="AH201" s="78" t="str">
        <f t="shared" si="111"/>
        <v>"%USERPROFILE%\Documents\GitHub\eaglep3\Utilities\RefineRTDCRunTimes.py" --tripid 303-01 --locoid 4044 --swversion DE.1.0.9.0 --startMP 204:1169 --initTime 2017-10-01T19:27:02 --startdatetime 2017-10-01T19:39:57 --delay 53 --endMP 300:23346 --enddatetime 2017-10-01T19:49:02 --enforcementcount 0 &gt;&gt;c:\users\tmcdowell\Documents\GitHub\eaglep3-reporting\EC\2017-10-01-refined-times.txt</v>
      </c>
      <c r="AI201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{"issue":{"subject":"","project_id":79,"tracker_id":40,"status_id":1,"priority_id":2,"assigned_to_id":338,"start_date":"2017-10-01","description":"","custom_fields":[{"id":1,"name":"Subdivision","value":"Other"},{"id":4,"name":"Milepost","value":"2.3346"},{"id":17,"name":"Train ID","value":"303-01"},{"id":16,"name":"Locomotive ID","value":"4044"},{"id":130,"name":"Impact","value":""},{"id":150,"name":"Time of Event (Mountain Time)","value":"19:49:02"},{"id":151,"name":"Denver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13"/>
        <v>start /low /b %USERPROFILE%\Documents\GitHub\eaglep3\Utilities\DownloadLogsFromS3.py --loco 4044 --day 2017-10-01</v>
      </c>
      <c r="AN201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115"/>
        <v>https://d0f6bd738d7f1b3e5a7ca70fe4ff75f0.us-east-1.aws.found.io/app/kibana#/discover/Steve-Slow-Train-Analysis-(2080s-and-2083s)?_g=(refreshInterval:(display:Off,pause:!f,section:0,value:0),time:(from:'2017-10-01T18:27:02-0600',mode:absolute,to:'2017-10-01T20:49:02-0600'))&amp;_a=(columns:!('Message%20ID',Summary),filters:!(),index:'emp_*',interval:auto,query:(query_string:(analyze_wildcard:!t,query:'%22rtdc.l.rtdc.4044%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587</v>
      </c>
      <c r="B202" s="7">
        <v>4059</v>
      </c>
      <c r="C202" s="21" t="s">
        <v>195</v>
      </c>
      <c r="D202" s="21" t="s">
        <v>944</v>
      </c>
      <c r="E202" s="13">
        <v>43009.158078703702</v>
      </c>
      <c r="F202" s="13">
        <v>43009.163935185185</v>
      </c>
      <c r="G202" s="7">
        <v>76</v>
      </c>
      <c r="H202" s="21" t="s">
        <v>945</v>
      </c>
      <c r="I202" s="13">
        <v>43009.167905092596</v>
      </c>
      <c r="J202" s="7">
        <v>0</v>
      </c>
      <c r="K202" s="89" t="str">
        <f t="shared" si="88"/>
        <v>4059/4060</v>
      </c>
      <c r="L202" s="185" t="str">
        <f>VLOOKUP(A202,'Trips&amp;Operators'!$C$1:$G$99911,5,FALSE)</f>
        <v>DAVIS WENDY</v>
      </c>
      <c r="M202" s="6">
        <f t="shared" si="89"/>
        <v>3.9699074113741517E-3</v>
      </c>
      <c r="N202" s="7">
        <f t="shared" si="142"/>
        <v>5.7166666723787785</v>
      </c>
      <c r="O202" s="7"/>
      <c r="P202" s="7"/>
      <c r="Q202" s="22"/>
      <c r="R202" s="174"/>
      <c r="S202" s="221">
        <f t="shared" si="143"/>
        <v>1</v>
      </c>
      <c r="T202" s="174" t="str">
        <f t="shared" si="91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92"/>
        <v>https://d0f6bd738d7f1b3e5a7ca70fe4ff75f0.us-east-1.aws.found.io/app/kibana#/discover/Steve-Slow-Train-Analysis-(2080s-and-2083s)?_g=(refreshInterval:(display:Off,pause:!f,section:0,value:0),time:(from:'2017-10-01T02:47:38-0600',mode:absolute,to:'2017-10-01T05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2" s="204" t="str">
        <f>IF(AA202&lt;VLOOKUP(AG202,Variables!$AC$3:$AD$8,2,FALSE),"Y","N")</f>
        <v>Y</v>
      </c>
      <c r="X202" s="204">
        <f t="shared" si="146"/>
        <v>1</v>
      </c>
      <c r="Y202" s="204">
        <f t="shared" si="144"/>
        <v>2.1977000000000002</v>
      </c>
      <c r="Z202" s="204">
        <f t="shared" si="145"/>
        <v>0.45200000000000001</v>
      </c>
      <c r="AA202" s="204">
        <f t="shared" si="94"/>
        <v>1.7457000000000003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95"/>
        <v>304</v>
      </c>
      <c r="AE202" s="77" t="str">
        <f t="shared" si="96"/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AF202" s="74" t="str">
        <f t="shared" si="97"/>
        <v>"C:\Program Files (x86)\AstroGrep\AstroGrep.exe" /e /r /s /spath="%USERPROFILE%\AppData\Local\Temp\OnboardLogs" /stypes="app*4059*20171001*" /stext=" 10:.+((SYSTEM_STATE.+slice.+state.+changed )|(ment ac)|(multiple cpu faults)|(system.+state.+changed )|(\[timeout)|(PRM\|1\|D)|(kpr)|(kdp)|(train st.+moving)|(\|lc)|(penalty))"</v>
      </c>
      <c r="AG202" s="182" t="str">
        <f t="shared" si="98"/>
        <v>Other</v>
      </c>
      <c r="AH202" s="78" t="str">
        <f t="shared" si="111"/>
        <v>"%USERPROFILE%\Documents\GitHub\eaglep3\Utilities\RefineRTDCRunTimes.py" --tripid 304-01 --locoid 4059 --swversion DE.1.0.9.0 --startMP 300:21977 --initTime 2017-10-01T03:47:38 --startdatetime 2017-10-01T03:56:04 --delay 76 --endMP 204:4520 --enddatetime 2017-10-01T04:01:47 --enforcementcount 0 &gt;&gt;c:\users\tmcdowell\Documents\GitHub\eaglep3-reporting\EC\2017-10-01-refined-times.txt</v>
      </c>
      <c r="AI202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{"issue":{"subject":"","project_id":79,"tracker_id":40,"status_id":1,"priority_id":2,"assigned_to_id":338,"start_date":"2017-10-01","description":"","custom_fields":[{"id":1,"name":"Subdivision","value":"Other"},{"id":4,"name":"Milepost","value":"0.452"},{"id":17,"name":"Train ID","value":"304-01"},{"id":16,"name":"Locomotive ID","value":"4059"},{"id":130,"name":"Impact","value":""},{"id":150,"name":"Time of Event (Mountain Time)","value":"04:01:47"},{"id":151,"name":"Denver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13"/>
        <v>start /low /b %USERPROFILE%\Documents\GitHub\eaglep3\Utilities\DownloadLogsFromS3.py --loco 4059 --day 2017-10-01</v>
      </c>
      <c r="AN20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115"/>
        <v>https://d0f6bd738d7f1b3e5a7ca70fe4ff75f0.us-east-1.aws.found.io/app/kibana#/discover/Steve-Slow-Train-Analysis-(2080s-and-2083s)?_g=(refreshInterval:(display:Off,pause:!f,section:0,value:0),time:(from:'2017-10-01T02:47:38-0600',mode:absolute,to:'2017-10-01T05:01:47-0600'))&amp;_a=(columns:!('Message%20ID',Summary),filters:!(),index:'emp_*',interval:auto,query:(query_string:(analyze_wildcard:!t,query:'%22rtdc.l.rtdc.4059%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637</v>
      </c>
      <c r="B203" s="7">
        <v>4017</v>
      </c>
      <c r="C203" s="21" t="s">
        <v>195</v>
      </c>
      <c r="D203" s="21" t="s">
        <v>946</v>
      </c>
      <c r="E203" s="13">
        <v>43009.181643518517</v>
      </c>
      <c r="F203" s="13">
        <v>43009.18677083333</v>
      </c>
      <c r="G203" s="7">
        <v>88</v>
      </c>
      <c r="H203" s="21" t="s">
        <v>575</v>
      </c>
      <c r="I203" s="13">
        <v>43009.196053240739</v>
      </c>
      <c r="J203" s="7">
        <v>0</v>
      </c>
      <c r="K203" s="89" t="str">
        <f t="shared" si="88"/>
        <v>4017/4018</v>
      </c>
      <c r="L203" s="185" t="str">
        <f>VLOOKUP(A203,'Trips&amp;Operators'!$C$1:$G$99911,5,FALSE)</f>
        <v>LANGERAK WILLIAM</v>
      </c>
      <c r="M203" s="6">
        <f t="shared" si="89"/>
        <v>9.2824074090458453E-3</v>
      </c>
      <c r="N203" s="7">
        <f t="shared" si="142"/>
        <v>13.366666669026017</v>
      </c>
      <c r="O203" s="7"/>
      <c r="P203" s="7"/>
      <c r="Q203" s="22"/>
      <c r="R203" s="174"/>
      <c r="S203" s="221">
        <f t="shared" si="143"/>
        <v>1</v>
      </c>
      <c r="T203" s="174" t="str">
        <f t="shared" si="91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92"/>
        <v>https://d0f6bd738d7f1b3e5a7ca70fe4ff75f0.us-east-1.aws.found.io/app/kibana#/discover/Steve-Slow-Train-Analysis-(2080s-and-2083s)?_g=(refreshInterval:(display:Off,pause:!f,section:0,value:0),time:(from:'2017-10-01T03:21:34-0600',mode:absolute,to:'2017-10-01T05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04" t="str">
        <f>IF(AA203&lt;VLOOKUP(AG203,Variables!$AC$3:$AD$8,2,FALSE),"Y","N")</f>
        <v>Y</v>
      </c>
      <c r="X203" s="204">
        <f t="shared" si="146"/>
        <v>2</v>
      </c>
      <c r="Y203" s="204">
        <f t="shared" si="144"/>
        <v>2.2204000000000002</v>
      </c>
      <c r="Z203" s="204">
        <f t="shared" si="145"/>
        <v>0.11559999999999999</v>
      </c>
      <c r="AA203" s="204">
        <f t="shared" si="94"/>
        <v>2.1048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95"/>
        <v>306</v>
      </c>
      <c r="AE203" s="77" t="str">
        <f t="shared" si="96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203" s="74" t="str">
        <f t="shared" si="97"/>
        <v>"C:\Program Files (x86)\AstroGrep\AstroGrep.exe" /e /r /s /spath="%USERPROFILE%\AppData\Local\Temp\OnboardLogs" /stypes="app*4017*20171001*" /stext=" 10:.+((SYSTEM_STATE.+slice.+state.+changed )|(ment ac)|(multiple cpu faults)|(system.+state.+changed )|(\[timeout)|(PRM\|1\|D)|(kpr)|(kdp)|(train st.+moving)|(\|lc)|(penalty))"</v>
      </c>
      <c r="AG203" s="182" t="str">
        <f t="shared" si="98"/>
        <v>Other</v>
      </c>
      <c r="AH203" s="78" t="str">
        <f t="shared" si="111"/>
        <v>"%USERPROFILE%\Documents\GitHub\eaglep3\Utilities\RefineRTDCRunTimes.py" --tripid 306-01 --locoid 4017 --swversion DE.1.0.9.0 --startMP 300:22204 --initTime 2017-10-01T04:21:34 --startdatetime 2017-10-01T04:28:57 --delay 88 --endMP 204:1156 --enddatetime 2017-10-01T04:42:19 --enforcementcount 0 &gt;&gt;c:\users\tmcdowell\Documents\GitHub\eaglep3-reporting\EC\2017-10-01-refined-times.txt</v>
      </c>
      <c r="AI203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{"issue":{"subject":"","project_id":79,"tracker_id":40,"status_id":1,"priority_id":2,"assigned_to_id":338,"start_date":"2017-10-01","description":"","custom_fields":[{"id":1,"name":"Subdivision","value":"Other"},{"id":4,"name":"Milepost","value":"0.1156"},{"id":17,"name":"Train ID","value":"306-01"},{"id":16,"name":"Locomotive ID","value":"4017"},{"id":130,"name":"Impact","value":""},{"id":150,"name":"Time of Event (Mountain Time)","value":"04:42:19"},{"id":151,"name":"Denver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113"/>
        <v>start /low /b %USERPROFILE%\Documents\GitHub\eaglep3\Utilities\DownloadLogsFromS3.py --loco 4017 --day 2017-10-01</v>
      </c>
      <c r="AN20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10:42:19"},{"id":29,"name":"Sharepoint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115"/>
        <v>https://d0f6bd738d7f1b3e5a7ca70fe4ff75f0.us-east-1.aws.found.io/app/kibana#/discover/Steve-Slow-Train-Analysis-(2080s-and-2083s)?_g=(refreshInterval:(display:Off,pause:!f,section:0,value:0),time:(from:'2017-10-01T03:21:34-0600',mode:absolute,to:'2017-10-01T05:42:19-0600'))&amp;_a=(columns:!('Message%20ID',Summary),filters:!(),index:'emp_*',interval:auto,query:(query_string:(analyze_wildcard:!t,query:'%22rtdc.l.rtdc.4017%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828</v>
      </c>
      <c r="B204" s="7">
        <v>4016</v>
      </c>
      <c r="C204" s="21" t="s">
        <v>195</v>
      </c>
      <c r="D204" s="21" t="s">
        <v>393</v>
      </c>
      <c r="E204" s="13">
        <v>43010.046261574076</v>
      </c>
      <c r="F204" s="13">
        <v>43010.048009259262</v>
      </c>
      <c r="G204" s="7">
        <v>70</v>
      </c>
      <c r="H204" s="21" t="s">
        <v>502</v>
      </c>
      <c r="I204" s="13">
        <v>43010.056851851848</v>
      </c>
      <c r="J204" s="7">
        <v>0</v>
      </c>
      <c r="K204" s="89" t="str">
        <f t="shared" si="88"/>
        <v>4015/4016</v>
      </c>
      <c r="L204" s="185" t="str">
        <f>VLOOKUP(A204,'Trips&amp;Operators'!$C$1:$G$99911,5,FALSE)</f>
        <v>LOZA FIDEL</v>
      </c>
      <c r="M204" s="6">
        <f t="shared" si="89"/>
        <v>8.8425925860065036E-3</v>
      </c>
      <c r="N204" s="7">
        <f t="shared" si="142"/>
        <v>12.733333323849365</v>
      </c>
      <c r="O204" s="7"/>
      <c r="P204" s="7"/>
      <c r="Q204" s="22"/>
      <c r="R204" s="174"/>
      <c r="S204" s="221">
        <f t="shared" si="143"/>
        <v>1</v>
      </c>
      <c r="T204" s="174" t="str">
        <f t="shared" si="91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92"/>
        <v>https://d0f6bd738d7f1b3e5a7ca70fe4ff75f0.us-east-1.aws.found.io/app/kibana#/discover/Steve-Slow-Train-Analysis-(2080s-and-2083s)?_g=(refreshInterval:(display:Off,pause:!f,section:0,value:0),time:(from:'2017-10-02T00:06:37-0600',mode:absolute,to:'2017-10-02T02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204" t="str">
        <f>IF(AA204&lt;VLOOKUP(AG204,Variables!$AC$3:$AD$8,2,FALSE),"Y","N")</f>
        <v>Y</v>
      </c>
      <c r="X204" s="204">
        <f t="shared" si="146"/>
        <v>1</v>
      </c>
      <c r="Y204" s="204">
        <f t="shared" si="144"/>
        <v>4.6600000000000003E-2</v>
      </c>
      <c r="Z204" s="204">
        <f t="shared" si="145"/>
        <v>2.3298999999999999</v>
      </c>
      <c r="AA204" s="204">
        <f t="shared" si="94"/>
        <v>2.2832999999999997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95"/>
        <v>307</v>
      </c>
      <c r="AE204" s="77" t="str">
        <f t="shared" si="96"/>
        <v>aws s3 cp s3://rtdc.mdm.uploadarchive.raw/RTDC4016/ "%USERPROFILE%\AppData\Local\Temp\OnboardLogs"\RTDC4016\2017-10-02 --exclude "*" --recursive --include "*20171002*" &amp; "%USERPROFILE%\Documents\GitHub\mrs-test-scripts\Headless Mode &amp; Sideloading\WalkAndUnGZ.bat" "%USERPROFILE%\AppData\Local\Temp\OnboardLogs"\RTDC4016\2017-10-02 &amp; aws s3 cp s3://rtdc.mdm.uploadarchive.raw/RTDC4016/ "%USERPROFILE%\AppData\Local\Temp\OnboardLogs"\RTDC4016\2017-10-03 --exclude "*" --recursive --include "*20171003*" &amp; "%USERPROFILE%\Documents\GitHub\mrs-test-scripts\Headless Mode &amp; Sideloading\WalkAndUnGZ.bat" "%USERPROFILE%\AppData\Local\Temp\OnboardLogs"\RTDC4016\2017-10-03</v>
      </c>
      <c r="AF204" s="74" t="str">
        <f t="shared" si="97"/>
        <v>"C:\Program Files (x86)\AstroGrep\AstroGrep.exe" /e /r /s /spath="%USERPROFILE%\AppData\Local\Temp\OnboardLogs" /stypes="app*4016*20171002*" /stext=" 07:.+((SYSTEM_STATE.+slice.+state.+changed )|(ment ac)|(multiple cpu faults)|(system.+state.+changed )|(\[timeout)|(PRM\|1\|D)|(kpr)|(kdp)|(train st.+moving)|(\|lc)|(penalty))"</v>
      </c>
      <c r="AG204" s="182" t="str">
        <f t="shared" si="98"/>
        <v>Other</v>
      </c>
      <c r="AH204" s="78" t="str">
        <f t="shared" si="111"/>
        <v>"%USERPROFILE%\Documents\GitHub\eaglep3\Utilities\RefineRTDCRunTimes.py" --tripid 307-01 --locoid 4016 --swversion DE.1.0.9.0 --startMP 204:466 --initTime 2017-10-02T01:06:37 --startdatetime 2017-10-02T01:09:08 --delay 70 --endMP 300:23299 --enddatetime 2017-10-02T01:21:52 --enforcementcount 0 &gt;&gt;c:\users\tmcdowell\Documents\GitHub\eaglep3-reporting\EC\2017-10-01-refined-times.txt</v>
      </c>
      <c r="AI204" s="96" t="str">
        <f t="shared" si="112"/>
        <v>echo {"issue":{"subject":"","project_id":79,"tracker_id":40,"status_id":1,"priority_id":2,"assigned_to_id":338,"start_date":"2017-10-02","description":"","custom_fields":[{"id":1,"name":"Subdivision","value":"Other"},{"id":4,"name":"Milepost","value":"2.3299"},{"id":17,"name":"Train ID","value":"307-01"},{"id":16,"name":"Locomotive ID","value":"4016"},{"id":130,"name":"Impact","value":""},{"id":150,"name":"Time of Event (Mountain Time)","value":"01:21:52"},{"id":151,"name":"Denver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113"/>
        <v>start /low /b %USERPROFILE%\Documents\GitHub\eaglep3\Utilities\DownloadLogsFromS3.py --loco 4016 --day 2017-10-02</v>
      </c>
      <c r="AN204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07:21:52"},{"id":29,"name":"Sharepoint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115"/>
        <v>https://d0f6bd738d7f1b3e5a7ca70fe4ff75f0.us-east-1.aws.found.io/app/kibana#/discover/Steve-Slow-Train-Analysis-(2080s-and-2083s)?_g=(refreshInterval:(display:Off,pause:!f,section:0,value:0),time:(from:'2017-10-02T00:06:37-0600',mode:absolute,to:'2017-10-02T02:21:52-0600'))&amp;_a=(columns:!('Message%20ID',Summary),filters:!(),index:'emp_*',interval:auto,query:(query_string:(analyze_wildcard:!t,query:'%22rtdc.l.rtdc.4016%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831</v>
      </c>
      <c r="B205" s="7">
        <v>4042</v>
      </c>
      <c r="C205" s="21" t="s">
        <v>195</v>
      </c>
      <c r="D205" s="21" t="s">
        <v>347</v>
      </c>
      <c r="E205" s="13">
        <v>43010.087881944448</v>
      </c>
      <c r="F205" s="13">
        <v>43010.089432870373</v>
      </c>
      <c r="G205" s="7">
        <v>66</v>
      </c>
      <c r="H205" s="21" t="s">
        <v>417</v>
      </c>
      <c r="I205" s="13">
        <v>43010.097118055557</v>
      </c>
      <c r="J205" s="7">
        <v>0</v>
      </c>
      <c r="K205" s="89" t="str">
        <f t="shared" ref="K205:K222" si="147">IF(ISEVEN(B205),(B205-1)&amp;"/"&amp;B205,B205&amp;"/"&amp;(B205+1))</f>
        <v>4041/4042</v>
      </c>
      <c r="L205" s="185" t="str">
        <f>VLOOKUP(A205,'Trips&amp;Operators'!$C$1:$G$99911,5,FALSE)</f>
        <v>DUNCAN SHEILA</v>
      </c>
      <c r="M205" s="6">
        <f t="shared" ref="M205:M222" si="148">I205-F205</f>
        <v>7.6851851845276542E-3</v>
      </c>
      <c r="N205" s="7">
        <f t="shared" si="142"/>
        <v>11.066666665719822</v>
      </c>
      <c r="O205" s="7"/>
      <c r="P205" s="7"/>
      <c r="Q205" s="22"/>
      <c r="R205" s="174"/>
      <c r="S205" s="221">
        <f t="shared" si="143"/>
        <v>1</v>
      </c>
      <c r="T205" s="174" t="str">
        <f t="shared" ref="T205:T222" si="149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2" si="15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-02T01:06:33-0600',mode:absolute,to:'2017-10-02T03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204" t="str">
        <f>IF(AA205&lt;VLOOKUP(AG205,Variables!$AC$3:$AD$8,2,FALSE),"Y","N")</f>
        <v>Y</v>
      </c>
      <c r="X205" s="204">
        <f t="shared" si="146"/>
        <v>4</v>
      </c>
      <c r="Y205" s="204">
        <f t="shared" si="144"/>
        <v>4.5499999999999999E-2</v>
      </c>
      <c r="Z205" s="204">
        <f t="shared" si="145"/>
        <v>2.3346</v>
      </c>
      <c r="AA205" s="204">
        <f t="shared" ref="AA205:AA222" si="151">ABS(Z205-Y205)</f>
        <v>2.2890999999999999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2" si="152">VALUE(LEFT(A205,LEN(A205)-3))</f>
        <v>311</v>
      </c>
      <c r="AE205" s="77" t="str">
        <f t="shared" ref="AE205:AE222" si="15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 &amp; 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</v>
      </c>
      <c r="AF205" s="74" t="str">
        <f t="shared" ref="AF205:AF222" si="15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/stypes="app*4042*20171002*" /stext=" 08:.+((SYSTEM_STATE.+slice.+state.+changed )|(ment ac)|(multiple cpu faults)|(system.+state.+changed )|(\[timeout)|(PRM\|1\|D)|(kpr)|(kdp)|(train st.+moving)|(\|lc)|(penalty))"</v>
      </c>
      <c r="AG205" s="182" t="str">
        <f t="shared" ref="AG205:AG222" si="155">DetSubdiv(A205)</f>
        <v>Other</v>
      </c>
      <c r="AH205" s="78" t="str">
        <f t="shared" si="111"/>
        <v>"%USERPROFILE%\Documents\GitHub\eaglep3\Utilities\RefineRTDCRunTimes.py" --tripid 311-01 --locoid 4042 --swversion DE.1.0.9.0 --startMP 204:455 --initTime 2017-10-02T02:06:33 --startdatetime 2017-10-02T02:08:47 --delay 66 --endMP 300:23346 --enddatetime 2017-10-02T02:19:51 --enforcementcount 0 &gt;&gt;c:\users\tmcdowell\Documents\GitHub\eaglep3-reporting\EC\2017-10-01-refined-times.txt</v>
      </c>
      <c r="AI205" s="96" t="str">
        <f t="shared" si="112"/>
        <v>echo {"issue":{"subject":"","project_id":79,"tracker_id":40,"status_id":1,"priority_id":2,"assigned_to_id":338,"start_date":"2017-10-02","description":"","custom_fields":[{"id":1,"name":"Subdivision","value":"Other"},{"id":4,"name":"Milepost","value":"2.3346"},{"id":17,"name":"Train ID","value":"311-01"},{"id":16,"name":"Locomotive ID","value":"4042"},{"id":130,"name":"Impact","value":""},{"id":150,"name":"Time of Event (Mountain Time)","value":"02:19:51"},{"id":151,"name":"Denver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113"/>
        <v>start /low /b %USERPROFILE%\Documents\GitHub\eaglep3\Utilities\DownloadLogsFromS3.py --loco 4042 --day 2017-10-02</v>
      </c>
      <c r="AN205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08:19:51"},{"id":29,"name":"Sharepoint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115"/>
        <v>https://d0f6bd738d7f1b3e5a7ca70fe4ff75f0.us-east-1.aws.found.io/app/kibana#/discover/Steve-Slow-Train-Analysis-(2080s-and-2083s)?_g=(refreshInterval:(display:Off,pause:!f,section:0,value:0),time:(from:'2017-10-02T01:06:33-0600',mode:absolute,to:'2017-10-02T03:19:51-0600'))&amp;_a=(columns:!('Message%20ID',Summary),filters:!(),index:'emp_*',interval:auto,query:(query_string:(analyze_wildcard:!t,query:'%22rtdc.l.rtdc.4042%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588</v>
      </c>
      <c r="B206" s="7">
        <v>4053</v>
      </c>
      <c r="C206" s="21" t="s">
        <v>195</v>
      </c>
      <c r="D206" s="21" t="s">
        <v>947</v>
      </c>
      <c r="E206" s="13">
        <v>43009.223680555559</v>
      </c>
      <c r="F206" s="13">
        <v>43009.227662037039</v>
      </c>
      <c r="G206" s="7">
        <v>85</v>
      </c>
      <c r="H206" s="21" t="s">
        <v>391</v>
      </c>
      <c r="I206" s="13">
        <v>43009.234791666669</v>
      </c>
      <c r="J206" s="7">
        <v>0</v>
      </c>
      <c r="K206" s="89" t="str">
        <f t="shared" si="147"/>
        <v>4053/4054</v>
      </c>
      <c r="L206" s="185" t="str">
        <f>VLOOKUP(A206,'Trips&amp;Operators'!$C$1:$G$99911,5,FALSE)</f>
        <v>LAMAR NEKESHA</v>
      </c>
      <c r="M206" s="6">
        <f t="shared" si="148"/>
        <v>7.1296296300715767E-3</v>
      </c>
      <c r="N206" s="7">
        <f t="shared" si="142"/>
        <v>10.26666666730307</v>
      </c>
      <c r="O206" s="7"/>
      <c r="P206" s="7"/>
      <c r="Q206" s="22"/>
      <c r="R206" s="174"/>
      <c r="S206" s="221">
        <f t="shared" si="143"/>
        <v>1</v>
      </c>
      <c r="T206" s="174" t="str">
        <f t="shared" si="149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50"/>
        <v>https://d0f6bd738d7f1b3e5a7ca70fe4ff75f0.us-east-1.aws.found.io/app/kibana#/discover/Steve-Slow-Train-Analysis-(2080s-and-2083s)?_g=(refreshInterval:(display:Off,pause:!f,section:0,value:0),time:(from:'2017-10-01T04:22:06-0600',mode:absolute,to:'2017-10-01T06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6" s="204" t="str">
        <f>IF(AA206&lt;VLOOKUP(AG206,Variables!$AC$3:$AD$8,2,FALSE),"Y","N")</f>
        <v>Y</v>
      </c>
      <c r="X206" s="204">
        <f t="shared" si="146"/>
        <v>1</v>
      </c>
      <c r="Y206" s="204">
        <f t="shared" si="144"/>
        <v>2.2877000000000001</v>
      </c>
      <c r="Z206" s="204">
        <f t="shared" si="145"/>
        <v>1.54E-2</v>
      </c>
      <c r="AA206" s="204">
        <f t="shared" si="151"/>
        <v>2.2723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52"/>
        <v>312</v>
      </c>
      <c r="AE206" s="77" t="str">
        <f t="shared" si="153"/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AF206" s="74" t="str">
        <f t="shared" si="154"/>
        <v>"C:\Program Files (x86)\AstroGrep\AstroGrep.exe" /e /r /s /spath="%USERPROFILE%\AppData\Local\Temp\OnboardLogs" /stypes="app*4053*20171001*" /stext=" 11:.+((SYSTEM_STATE.+slice.+state.+changed )|(ment ac)|(multiple cpu faults)|(system.+state.+changed )|(\[timeout)|(PRM\|1\|D)|(kpr)|(kdp)|(train st.+moving)|(\|lc)|(penalty))"</v>
      </c>
      <c r="AG206" s="182" t="str">
        <f t="shared" si="155"/>
        <v>Other</v>
      </c>
      <c r="AH206" s="78" t="str">
        <f t="shared" si="111"/>
        <v>"%USERPROFILE%\Documents\GitHub\eaglep3\Utilities\RefineRTDCRunTimes.py" --tripid 312-01 --locoid 4053 --swversion DE.1.0.9.0 --startMP 300:22877 --initTime 2017-10-01T05:22:06 --startdatetime 2017-10-01T05:27:50 --delay 85 --endMP 204:154 --enddatetime 2017-10-01T05:38:06 --enforcementcount 0 &gt;&gt;c:\users\tmcdowell\Documents\GitHub\eaglep3-reporting\EC\2017-10-01-refined-times.txt</v>
      </c>
      <c r="AI206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{"issue":{"subject":"","project_id":79,"tracker_id":40,"status_id":1,"priority_id":2,"assigned_to_id":338,"start_date":"2017-10-01","description":"","custom_fields":[{"id":1,"name":"Subdivision","value":"Other"},{"id":4,"name":"Milepost","value":"0.0154"},{"id":17,"name":"Train ID","value":"312-01"},{"id":16,"name":"Locomotive ID","value":"4053"},{"id":130,"name":"Impact","value":""},{"id":150,"name":"Time of Event (Mountain Time)","value":"05:38:06"},{"id":151,"name":"Denver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113"/>
        <v>start /low /b %USERPROFILE%\Documents\GitHub\eaglep3\Utilities\DownloadLogsFromS3.py --loco 4053 --day 2017-10-01</v>
      </c>
      <c r="AN20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115"/>
        <v>https://d0f6bd738d7f1b3e5a7ca70fe4ff75f0.us-east-1.aws.found.io/app/kibana#/discover/Steve-Slow-Train-Analysis-(2080s-and-2083s)?_g=(refreshInterval:(display:Off,pause:!f,section:0,value:0),time:(from:'2017-10-01T04:22:06-0600',mode:absolute,to:'2017-10-01T06:38:06-0600'))&amp;_a=(columns:!('Message%20ID',Summary),filters:!(),index:'emp_*',interval:auto,query:(query_string:(analyze_wildcard:!t,query:'%22rtdc.l.rtdc.4053%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827</v>
      </c>
      <c r="B207" s="7">
        <v>4014</v>
      </c>
      <c r="C207" s="21" t="s">
        <v>195</v>
      </c>
      <c r="D207" s="21" t="s">
        <v>474</v>
      </c>
      <c r="E207" s="13">
        <v>43010.025879629633</v>
      </c>
      <c r="F207" s="13">
        <v>43010.027511574073</v>
      </c>
      <c r="G207" s="7">
        <v>92</v>
      </c>
      <c r="H207" s="21" t="s">
        <v>948</v>
      </c>
      <c r="I207" s="13">
        <v>43010.034872685188</v>
      </c>
      <c r="J207" s="7">
        <v>0</v>
      </c>
      <c r="K207" s="89" t="str">
        <f t="shared" si="147"/>
        <v>4013/4014</v>
      </c>
      <c r="L207" s="185" t="str">
        <f>VLOOKUP(A207,'Trips&amp;Operators'!$C$1:$G$99911,5,FALSE)</f>
        <v>STAMBAUGH JAMES</v>
      </c>
      <c r="M207" s="6">
        <f t="shared" si="148"/>
        <v>7.3611111147329211E-3</v>
      </c>
      <c r="N207" s="7">
        <f t="shared" si="142"/>
        <v>10.600000005215406</v>
      </c>
      <c r="O207" s="7"/>
      <c r="P207" s="7"/>
      <c r="Q207" s="22"/>
      <c r="R207" s="174"/>
      <c r="S207" s="221">
        <f t="shared" si="143"/>
        <v>1</v>
      </c>
      <c r="T207" s="174" t="str">
        <f t="shared" si="149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50"/>
        <v>https://d0f6bd738d7f1b3e5a7ca70fe4ff75f0.us-east-1.aws.found.io/app/kibana#/discover/Steve-Slow-Train-Analysis-(2080s-and-2083s)?_g=(refreshInterval:(display:Off,pause:!f,section:0,value:0),time:(from:'2017-10-01T23:37:16-0600',mode:absolute,to:'2017-10-02T01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204" t="str">
        <f>IF(AA207&lt;VLOOKUP(AG207,Variables!$AC$3:$AD$8,2,FALSE),"Y","N")</f>
        <v>Y</v>
      </c>
      <c r="X207" s="204">
        <f t="shared" si="146"/>
        <v>1</v>
      </c>
      <c r="Y207" s="204">
        <f t="shared" si="144"/>
        <v>4.6699999999999998E-2</v>
      </c>
      <c r="Z207" s="204">
        <f t="shared" si="145"/>
        <v>2.3290999999999999</v>
      </c>
      <c r="AA207" s="204">
        <f t="shared" si="151"/>
        <v>2.2824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52"/>
        <v>313</v>
      </c>
      <c r="AE207" s="77" t="str">
        <f t="shared" si="153"/>
        <v>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 &amp; aws s3 cp s3://rtdc.mdm.uploadarchive.raw/RTDC4014/ "%USERPROFILE%\AppData\Local\Temp\OnboardLogs"\RTDC4014\2017-10-03 --exclude "*" --recursive --include "*20171003*" &amp; "%USERPROFILE%\Documents\GitHub\mrs-test-scripts\Headless Mode &amp; Sideloading\WalkAndUnGZ.bat" "%USERPROFILE%\AppData\Local\Temp\OnboardLogs"\RTDC4014\2017-10-03</v>
      </c>
      <c r="AF207" s="74" t="str">
        <f t="shared" si="154"/>
        <v>"C:\Program Files (x86)\AstroGrep\AstroGrep.exe" /e /r /s /spath="%USERPROFILE%\AppData\Local\Temp\OnboardLogs" /stypes="app*4014*20171002*" /stext=" 06:.+((SYSTEM_STATE.+slice.+state.+changed )|(ment ac)|(multiple cpu faults)|(system.+state.+changed )|(\[timeout)|(PRM\|1\|D)|(kpr)|(kdp)|(train st.+moving)|(\|lc)|(penalty))"</v>
      </c>
      <c r="AG207" s="182" t="str">
        <f t="shared" si="155"/>
        <v>Other</v>
      </c>
      <c r="AH207" s="78" t="str">
        <f t="shared" si="111"/>
        <v>"%USERPROFILE%\Documents\GitHub\eaglep3\Utilities\RefineRTDCRunTimes.py" --tripid 313-01 --locoid 4014 --swversion DE.1.0.9.0 --startMP 204:467 --initTime 2017-10-02T00:37:16 --startdatetime 2017-10-02T00:39:37 --delay 92 --endMP 300:23291 --enddatetime 2017-10-02T00:50:13 --enforcementcount 0 &gt;&gt;c:\users\tmcdowell\Documents\GitHub\eaglep3-reporting\EC\2017-10-01-refined-times.txt</v>
      </c>
      <c r="AI207" s="96" t="str">
        <f t="shared" si="112"/>
        <v>echo {"issue":{"subject":"","project_id":79,"tracker_id":40,"status_id":1,"priority_id":2,"assigned_to_id":338,"start_date":"2017-10-02","description":"","custom_fields":[{"id":1,"name":"Subdivision","value":"Other"},{"id":4,"name":"Milepost","value":"2.3291"},{"id":17,"name":"Train ID","value":"313-01"},{"id":16,"name":"Locomotive ID","value":"4014"},{"id":130,"name":"Impact","value":""},{"id":150,"name":"Time of Event (Mountain Time)","value":"00:50:13"},{"id":151,"name":"Denver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113"/>
        <v>start /low /b %USERPROFILE%\Documents\GitHub\eaglep3\Utilities\DownloadLogsFromS3.py --loco 4014 --day 2017-10-02</v>
      </c>
      <c r="AN207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06:50:13"},{"id":29,"name":"Sharepoint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115"/>
        <v>https://d0f6bd738d7f1b3e5a7ca70fe4ff75f0.us-east-1.aws.found.io/app/kibana#/discover/Steve-Slow-Train-Analysis-(2080s-and-2083s)?_g=(refreshInterval:(display:Off,pause:!f,section:0,value:0),time:(from:'2017-10-01T23:37:16-0600',mode:absolute,to:'2017-10-02T01:50:13-0600'))&amp;_a=(columns:!('Message%20ID',Summary),filters:!(),index:'emp_*',interval:auto,query:(query_string:(analyze_wildcard:!t,query:'%22rtdc.l.rtdc.4014%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652</v>
      </c>
      <c r="B208" s="7">
        <v>4024</v>
      </c>
      <c r="C208" s="21" t="s">
        <v>195</v>
      </c>
      <c r="D208" s="21" t="s">
        <v>913</v>
      </c>
      <c r="E208" s="13">
        <v>43009.218541666669</v>
      </c>
      <c r="F208" s="13">
        <v>43009.223252314812</v>
      </c>
      <c r="G208" s="7">
        <v>84</v>
      </c>
      <c r="H208" s="21" t="s">
        <v>914</v>
      </c>
      <c r="I208" s="13">
        <v>43009.228680555556</v>
      </c>
      <c r="J208" s="7">
        <v>0</v>
      </c>
      <c r="K208" s="89" t="str">
        <f t="shared" si="147"/>
        <v>4023/4024</v>
      </c>
      <c r="L208" s="185" t="str">
        <f>VLOOKUP(A208,'Trips&amp;Operators'!$C$1:$G$99911,5,FALSE)</f>
        <v>MACDONALD THOMAS</v>
      </c>
      <c r="M208" s="6">
        <f t="shared" si="148"/>
        <v>5.4282407436403446E-3</v>
      </c>
      <c r="N208" s="7">
        <f t="shared" si="142"/>
        <v>7.8166666708420962</v>
      </c>
      <c r="O208" s="7"/>
      <c r="P208" s="7"/>
      <c r="Q208" s="22"/>
      <c r="R208" s="174"/>
      <c r="S208" s="221">
        <f t="shared" si="143"/>
        <v>0</v>
      </c>
      <c r="T208" s="174" t="str">
        <f t="shared" si="149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 t="shared" si="150"/>
        <v>https://d0f6bd738d7f1b3e5a7ca70fe4ff75f0.us-east-1.aws.found.io/app/kibana#/discover/Steve-Slow-Train-Analysis-(2080s-and-2083s)?_g=(refreshInterval:(display:Off,pause:!f,section:0,value:0),time:(from:'2017-10-01T04:14:42-0600',mode:absolute,to:'2017-10-01T06:29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8" s="204" t="str">
        <f>IF(AA208&lt;VLOOKUP(AG208,Variables!$AC$3:$AD$8,2,FALSE),"Y","N")</f>
        <v>Y</v>
      </c>
      <c r="X208" s="204">
        <f t="shared" si="146"/>
        <v>1588</v>
      </c>
      <c r="Y208" s="204">
        <f t="shared" si="144"/>
        <v>2.9718</v>
      </c>
      <c r="Z208" s="204">
        <f t="shared" si="145"/>
        <v>5.891</v>
      </c>
      <c r="AA208" s="204">
        <f t="shared" si="151"/>
        <v>2.9192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52"/>
        <v>1901</v>
      </c>
      <c r="AE208" s="77" t="str">
        <f t="shared" si="153"/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AF208" s="74" t="str">
        <f t="shared" si="154"/>
        <v>"C:\Program Files (x86)\AstroGrep\AstroGrep.exe" /e /r /s /spath="%USERPROFILE%\AppData\Local\Temp\OnboardLogs" /stypes="app*4024*20171001*" /stext=" 11:.+((SYSTEM_STATE.+slice.+state.+changed )|(ment ac)|(multiple cpu faults)|(system.+state.+changed )|(\[timeout)|(PRM\|1\|D)|(kpr)|(kdp)|(train st.+moving)|(\|lc)|(penalty))"</v>
      </c>
      <c r="AG208" s="182" t="str">
        <f t="shared" si="155"/>
        <v>Other</v>
      </c>
      <c r="AH208" s="78" t="str">
        <f t="shared" si="111"/>
        <v>"%USERPROFILE%\Documents\GitHub\eaglep3\Utilities\RefineRTDCRunTimes.py" --tripid 1901-01 --locoid 4024 --swversion DE.1.0.9.0 --startMP 300:29718 --initTime 2017-10-01T05:14:42 --startdatetime 2017-10-01T05:21:29 --delay 84 --endMP 300:58910 --enddatetime 2017-10-01T05:29:18 --enforcementcount 0 &gt;&gt;c:\users\tmcdowell\Documents\GitHub\eaglep3-reporting\EC\2017-10-01-refined-times.txt</v>
      </c>
      <c r="AI208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{"issue":{"subject":"","project_id":79,"tracker_id":40,"status_id":1,"priority_id":2,"assigned_to_id":338,"start_date":"2017-10-01","description":"","custom_fields":[{"id":1,"name":"Subdivision","value":"Other"},{"id":4,"name":"Milepost","value":"5.891"},{"id":17,"name":"Train ID","value":"1901-01"},{"id":16,"name":"Locomotive ID","value":"4024"},{"id":130,"name":"Impact","value":""},{"id":150,"name":"Time of Event (Mountain Time)","value":"05:29:18"},{"id":151,"name":"Denver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113"/>
        <v>start /low /b %USERPROFILE%\Documents\GitHub\eaglep3\Utilities\DownloadLogsFromS3.py --loco 4024 --day 2017-10-01</v>
      </c>
      <c r="AN208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11:29:18"},{"id":29,"name":"Sharepoint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15"/>
        <v>https://d0f6bd738d7f1b3e5a7ca70fe4ff75f0.us-east-1.aws.found.io/app/kibana#/discover/Steve-Slow-Train-Analysis-(2080s-and-2083s)?_g=(refreshInterval:(display:Off,pause:!f,section:0,value:0),time:(from:'2017-10-01T04:14:42-0600',mode:absolute,to:'2017-10-01T06:29:18-0600'))&amp;_a=(columns:!('Message%20ID',Summary),filters:!(),index:'emp_*',interval:auto,query:(query_string:(analyze_wildcard:!t,query:'%22rtdc.l.rtdc.4024%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822</v>
      </c>
      <c r="B209" s="7">
        <v>4023</v>
      </c>
      <c r="C209" s="21" t="s">
        <v>195</v>
      </c>
      <c r="D209" s="21" t="s">
        <v>915</v>
      </c>
      <c r="E209" s="13">
        <v>43009.976377314815</v>
      </c>
      <c r="F209" s="13">
        <v>43009.977581018517</v>
      </c>
      <c r="G209" s="7">
        <v>47</v>
      </c>
      <c r="H209" s="21" t="s">
        <v>916</v>
      </c>
      <c r="I209" s="13">
        <v>43009.985717592594</v>
      </c>
      <c r="J209" s="7">
        <v>0</v>
      </c>
      <c r="K209" s="89" t="str">
        <f t="shared" si="147"/>
        <v>4023/4024</v>
      </c>
      <c r="L209" s="185" t="str">
        <f>VLOOKUP(A209,'Trips&amp;Operators'!$C$1:$G$99911,5,FALSE)</f>
        <v>HOLCOMB KAMDEN</v>
      </c>
      <c r="M209" s="6">
        <f t="shared" si="148"/>
        <v>8.1365740770706907E-3</v>
      </c>
      <c r="N209" s="7">
        <f t="shared" si="142"/>
        <v>11.716666670981795</v>
      </c>
      <c r="O209" s="7"/>
      <c r="P209" s="7"/>
      <c r="Q209" s="22"/>
      <c r="R209" s="174"/>
      <c r="S209" s="221">
        <f t="shared" si="143"/>
        <v>0</v>
      </c>
      <c r="T209" s="174" t="str">
        <f t="shared" si="149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 t="shared" si="150"/>
        <v>https://d0f6bd738d7f1b3e5a7ca70fe4ff75f0.us-east-1.aws.found.io/app/kibana#/discover/Steve-Slow-Train-Analysis-(2080s-and-2083s)?_g=(refreshInterval:(display:Off,pause:!f,section:0,value:0),time:(from:'2017-10-01T22:25:59-0600',mode:absolute,to:'2017-10-02T00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9" s="204" t="str">
        <f>IF(AA209&lt;VLOOKUP(AG209,Variables!$AC$3:$AD$8,2,FALSE),"Y","N")</f>
        <v>Y</v>
      </c>
      <c r="X209" s="204">
        <f t="shared" si="146"/>
        <v>1</v>
      </c>
      <c r="Y209" s="204">
        <f t="shared" si="144"/>
        <v>5.8682999999999996</v>
      </c>
      <c r="Z209" s="204">
        <f t="shared" si="145"/>
        <v>2.8788999999999998</v>
      </c>
      <c r="AA209" s="204">
        <f t="shared" si="151"/>
        <v>2.9893999999999998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52"/>
        <v>1902</v>
      </c>
      <c r="AE209" s="77" t="str">
        <f t="shared" si="153"/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AF209" s="74" t="str">
        <f t="shared" si="154"/>
        <v>"C:\Program Files (x86)\AstroGrep\AstroGrep.exe" /e /r /s /spath="%USERPROFILE%\AppData\Local\Temp\OnboardLogs" /stypes="app*4023*20171002*" /stext=" 05:.+((SYSTEM_STATE.+slice.+state.+changed )|(ment ac)|(multiple cpu faults)|(system.+state.+changed )|(\[timeout)|(PRM\|1\|D)|(kpr)|(kdp)|(train st.+moving)|(\|lc)|(penalty))"</v>
      </c>
      <c r="AG209" s="182" t="str">
        <f t="shared" si="155"/>
        <v>Other</v>
      </c>
      <c r="AH209" s="78" t="str">
        <f t="shared" si="111"/>
        <v>"%USERPROFILE%\Documents\GitHub\eaglep3\Utilities\RefineRTDCRunTimes.py" --tripid 1902-01 --locoid 4023 --swversion DE.1.0.9.0 --startMP 300:58683 --initTime 2017-10-01T23:25:59 --startdatetime 2017-10-01T23:27:43 --delay 47 --endMP 300:28789 --enddatetime 2017-10-01T23:39:26 --enforcementcount 0 &gt;&gt;c:\users\tmcdowell\Documents\GitHub\eaglep3-reporting\EC\2017-10-01-refined-times.txt</v>
      </c>
      <c r="AI209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{"issue":{"subject":"","project_id":79,"tracker_id":40,"status_id":1,"priority_id":2,"assigned_to_id":338,"start_date":"2017-10-01","description":"","custom_fields":[{"id":1,"name":"Subdivision","value":"Other"},{"id":4,"name":"Milepost","value":"2.8789"},{"id":17,"name":"Train ID","value":"1902-01"},{"id":16,"name":"Locomotive ID","value":"4023"},{"id":130,"name":"Impact","value":""},{"id":150,"name":"Time of Event (Mountain Time)","value":"23:39:26"},{"id":151,"name":"Denver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3"/>
        <v>start /low /b %USERPROFILE%\Documents\GitHub\eaglep3\Utilities\DownloadLogsFromS3.py --loco 4023 --day 2017-10-01</v>
      </c>
      <c r="AN209" s="151" t="str">
        <f t="shared" si="114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05:39:26"},{"id":29,"name":"Sharepoint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15"/>
        <v>https://d0f6bd738d7f1b3e5a7ca70fe4ff75f0.us-east-1.aws.found.io/app/kibana#/discover/Steve-Slow-Train-Analysis-(2080s-and-2083s)?_g=(refreshInterval:(display:Off,pause:!f,section:0,value:0),time:(from:'2017-10-01T22:25:59-0600',mode:absolute,to:'2017-10-02T00:39:26-0600'))&amp;_a=(columns:!('Message%20ID',Summary),filters:!(),index:'emp_*',interval:auto,query:(query_string:(analyze_wildcard:!t,query:'%22rtdc.l.rtdc.4023%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641</v>
      </c>
      <c r="B210" s="7">
        <v>4011</v>
      </c>
      <c r="C210" s="21" t="s">
        <v>195</v>
      </c>
      <c r="D210" s="21" t="s">
        <v>917</v>
      </c>
      <c r="E210" s="13">
        <v>43009.181944444441</v>
      </c>
      <c r="F210" s="13">
        <v>43009.188136574077</v>
      </c>
      <c r="G210" s="7">
        <v>123</v>
      </c>
      <c r="H210" s="21" t="s">
        <v>372</v>
      </c>
      <c r="I210" s="13">
        <v>43009.193194444444</v>
      </c>
      <c r="J210" s="7">
        <v>0</v>
      </c>
      <c r="K210" s="89" t="str">
        <f t="shared" si="147"/>
        <v>4011/4012</v>
      </c>
      <c r="L210" s="185" t="str">
        <f>VLOOKUP(A210,'Trips&amp;Operators'!$C$1:$G$99911,5,FALSE)</f>
        <v>GEBRETEKLE DAGNEW</v>
      </c>
      <c r="M210" s="6">
        <f t="shared" si="148"/>
        <v>5.057870366727002E-3</v>
      </c>
      <c r="N210" s="7">
        <f t="shared" si="142"/>
        <v>7.2833333280868828</v>
      </c>
      <c r="O210" s="7"/>
      <c r="P210" s="7"/>
      <c r="Q210" s="22"/>
      <c r="R210" s="174"/>
      <c r="S210" s="221">
        <f t="shared" si="143"/>
        <v>0</v>
      </c>
      <c r="T210" s="174" t="str">
        <f t="shared" si="149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 t="shared" si="150"/>
        <v>https://d0f6bd738d7f1b3e5a7ca70fe4ff75f0.us-east-1.aws.found.io/app/kibana#/discover/Steve-Slow-Train-Analysis-(2080s-and-2083s)?_g=(refreshInterval:(display:Off,pause:!f,section:0,value:0),time:(from:'2017-10-01T03:22:00-0600',mode:absolute,to:'2017-10-01T05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204" t="str">
        <f>IF(AA210&lt;VLOOKUP(AG210,Variables!$AC$3:$AD$8,2,FALSE),"Y","N")</f>
        <v>Y</v>
      </c>
      <c r="X210" s="204">
        <f t="shared" si="146"/>
        <v>5</v>
      </c>
      <c r="Y210" s="204">
        <f t="shared" si="144"/>
        <v>2.3473999999999999</v>
      </c>
      <c r="Z210" s="204">
        <f t="shared" si="145"/>
        <v>1.5800000000000002E-2</v>
      </c>
      <c r="AA210" s="204">
        <f t="shared" si="151"/>
        <v>2.3315999999999999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52"/>
        <v>1907</v>
      </c>
      <c r="AE210" s="77" t="str">
        <f t="shared" si="153"/>
        <v>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 &amp; aws s3 cp s3://rtdc.mdm.uploadarchive.raw/RTDC4011/ "%USERPROFILE%\AppData\Local\Temp\OnboardLogs"\RTDC4011\2017-10-02 --exclude "*" --recursive --include "*20171002*" &amp; "%USERPROFILE%\Documents\GitHub\mrs-test-scripts\Headless Mode &amp; Sideloading\WalkAndUnGZ.bat" "%USERPROFILE%\AppData\Local\Temp\OnboardLogs"\RTDC4011\2017-10-02</v>
      </c>
      <c r="AF210" s="74" t="str">
        <f t="shared" si="154"/>
        <v>"C:\Program Files (x86)\AstroGrep\AstroGrep.exe" /e /r /s /spath="%USERPROFILE%\AppData\Local\Temp\OnboardLogs" /stypes="app*4011*20171001*" /stext=" 10:.+((SYSTEM_STATE.+slice.+state.+changed )|(ment ac)|(multiple cpu faults)|(system.+state.+changed )|(\[timeout)|(PRM\|1\|D)|(kpr)|(kdp)|(train st.+moving)|(\|lc)|(penalty))"</v>
      </c>
      <c r="AG210" s="182" t="str">
        <f t="shared" si="155"/>
        <v>Other</v>
      </c>
      <c r="AH210" s="78" t="str">
        <f t="shared" si="111"/>
        <v>"%USERPROFILE%\Documents\GitHub\eaglep3\Utilities\RefineRTDCRunTimes.py" --tripid 1907-01 --locoid 4011 --swversion DE.1.0.9.0 --startMP 300:23474 --initTime 2017-10-01T04:22:00 --startdatetime 2017-10-01T04:30:55 --delay 123 --endMP 204:158 --enddatetime 2017-10-01T04:38:12 --enforcementcount 0 &gt;&gt;c:\users\tmcdowell\Documents\GitHub\eaglep3-reporting\EC\2017-10-01-refined-times.txt</v>
      </c>
      <c r="AI210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{"issue":{"subject":"","project_id":79,"tracker_id":40,"status_id":1,"priority_id":2,"assigned_to_id":338,"start_date":"2017-10-01","description":"","custom_fields":[{"id":1,"name":"Subdivision","value":"Other"},{"id":4,"name":"Milepost","value":"0.0158"},{"id":17,"name":"Train ID","value":"1907-01"},{"id":16,"name":"Locomotive ID","value":"4011"},{"id":130,"name":"Impact","value":""},{"id":150,"name":"Time of Event (Mountain Time)","value":"04:38:12"},{"id":151,"name":"Denver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113"/>
        <v>start /low /b %USERPROFILE%\Documents\GitHub\eaglep3\Utilities\DownloadLogsFromS3.py --loco 4011 --day 2017-10-01</v>
      </c>
      <c r="AN210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10:38:12"},{"id":29,"name":"Sharepoint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5"/>
        <v>https://d0f6bd738d7f1b3e5a7ca70fe4ff75f0.us-east-1.aws.found.io/app/kibana#/discover/Steve-Slow-Train-Analysis-(2080s-and-2083s)?_g=(refreshInterval:(display:Off,pause:!f,section:0,value:0),time:(from:'2017-10-01T03:22:00-0600',mode:absolute,to:'2017-10-01T05:38:12-0600'))&amp;_a=(columns:!('Message%20ID',Summary),filters:!(),index:'emp_*',interval:auto,query:(query_string:(analyze_wildcard:!t,query:'%22rtdc.l.rtdc.4011%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648</v>
      </c>
      <c r="B211" s="7">
        <v>4043</v>
      </c>
      <c r="C211" s="21" t="s">
        <v>195</v>
      </c>
      <c r="D211" s="21" t="s">
        <v>918</v>
      </c>
      <c r="E211" s="13">
        <v>43009.19903935185</v>
      </c>
      <c r="F211" s="13">
        <v>43009.202361111114</v>
      </c>
      <c r="G211" s="7">
        <v>81</v>
      </c>
      <c r="H211" s="21" t="s">
        <v>478</v>
      </c>
      <c r="I211" s="13">
        <v>43009.209560185183</v>
      </c>
      <c r="J211" s="7">
        <v>0</v>
      </c>
      <c r="K211" s="89" t="str">
        <f t="shared" si="147"/>
        <v>4043/4044</v>
      </c>
      <c r="L211" s="185" t="str">
        <f>VLOOKUP(A211,'Trips&amp;Operators'!$C$1:$G$99911,5,FALSE)</f>
        <v>WILLIAMS DONTE</v>
      </c>
      <c r="M211" s="6">
        <f t="shared" si="148"/>
        <v>7.1990740689216182E-3</v>
      </c>
      <c r="N211" s="7">
        <f t="shared" si="142"/>
        <v>10.36666665924713</v>
      </c>
      <c r="O211" s="7"/>
      <c r="P211" s="7"/>
      <c r="Q211" s="22"/>
      <c r="R211" s="174"/>
      <c r="S211" s="221">
        <f t="shared" si="143"/>
        <v>0</v>
      </c>
      <c r="T211" s="174" t="str">
        <f t="shared" si="149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150"/>
        <v>https://d0f6bd738d7f1b3e5a7ca70fe4ff75f0.us-east-1.aws.found.io/app/kibana#/discover/Steve-Slow-Train-Analysis-(2080s-and-2083s)?_g=(refreshInterval:(display:Off,pause:!f,section:0,value:0),time:(from:'2017-10-01T03:46:37-0600',mode:absolute,to:'2017-10-01T06:01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1" s="204" t="str">
        <f>IF(AA211&lt;VLOOKUP(AG211,Variables!$AC$3:$AD$8,2,FALSE),"Y","N")</f>
        <v>Y</v>
      </c>
      <c r="X211" s="204">
        <f t="shared" si="146"/>
        <v>2</v>
      </c>
      <c r="Y211" s="204">
        <f t="shared" si="144"/>
        <v>2.3723999999999998</v>
      </c>
      <c r="Z211" s="204">
        <f t="shared" si="145"/>
        <v>1.6899999999999998E-2</v>
      </c>
      <c r="AA211" s="204">
        <f t="shared" si="151"/>
        <v>2.3554999999999997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52"/>
        <v>1909</v>
      </c>
      <c r="AE211" s="77" t="str">
        <f t="shared" si="153"/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AF211" s="74" t="str">
        <f t="shared" si="154"/>
        <v>"C:\Program Files (x86)\AstroGrep\AstroGrep.exe" /e /r /s /spath="%USERPROFILE%\AppData\Local\Temp\OnboardLogs" /stypes="app*4043*20171001*" /stext=" 11:.+((SYSTEM_STATE.+slice.+state.+changed )|(ment ac)|(multiple cpu faults)|(system.+state.+changed )|(\[timeout)|(PRM\|1\|D)|(kpr)|(kdp)|(train st.+moving)|(\|lc)|(penalty))"</v>
      </c>
      <c r="AG211" s="182" t="str">
        <f t="shared" si="155"/>
        <v>Other</v>
      </c>
      <c r="AH211" s="78" t="str">
        <f t="shared" si="111"/>
        <v>"%USERPROFILE%\Documents\GitHub\eaglep3\Utilities\RefineRTDCRunTimes.py" --tripid 1909-01 --locoid 4043 --swversion DE.1.0.9.0 --startMP 300:23724 --initTime 2017-10-01T04:46:37 --startdatetime 2017-10-01T04:51:24 --delay 81 --endMP 204:169 --enddatetime 2017-10-01T05:01:46 --enforcementcount 0 &gt;&gt;c:\users\tmcdowell\Documents\GitHub\eaglep3-reporting\EC\2017-10-01-refined-times.txt</v>
      </c>
      <c r="AI211" s="96" t="str">
        <f t="shared" si="112"/>
        <v>echo {"issue":{"subject":"","project_id":79,"tracker_id":40,"status_id":1,"priority_id":2,"assigned_to_id":338,"start_date":"2017-10-01","description":"","custom_fields":[{"id":1,"name":"Subdivision","value":"Other"},{"id":4,"name":"Milepost","value":"0.0169"},{"id":17,"name":"Train ID","value":"1909-01"},{"id":16,"name":"Locomotive ID","value":"4043"},{"id":130,"name":"Impact","value":""},{"id":150,"name":"Time of Event (Mountain Time)","value":"05:01:46"},{"id":151,"name":"Denver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13"/>
        <v>start /low /b %USERPROFILE%\Documents\GitHub\eaglep3\Utilities\DownloadLogsFromS3.py --loco 4043 --day 2017-10-01</v>
      </c>
      <c r="AN211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11:01:46"},{"id":29,"name":"Sharepoint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5"/>
        <v>https://d0f6bd738d7f1b3e5a7ca70fe4ff75f0.us-east-1.aws.found.io/app/kibana#/discover/Steve-Slow-Train-Analysis-(2080s-and-2083s)?_g=(refreshInterval:(display:Off,pause:!f,section:0,value:0),time:(from:'2017-10-01T03:46:37-0600',mode:absolute,to:'2017-10-01T06:01:46-0600'))&amp;_a=(columns:!('Message%20ID',Summary),filters:!(),index:'emp_*',interval:auto,query:(query_string:(analyze_wildcard:!t,query:'%22rtdc.l.rtdc.4043%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632</v>
      </c>
      <c r="B212" s="7">
        <v>4042</v>
      </c>
      <c r="C212" s="21" t="s">
        <v>195</v>
      </c>
      <c r="D212" s="21" t="s">
        <v>949</v>
      </c>
      <c r="E212" s="13">
        <v>43009.124675925923</v>
      </c>
      <c r="F212" s="13">
        <v>43009.137187499997</v>
      </c>
      <c r="G212" s="7">
        <v>75</v>
      </c>
      <c r="H212" s="21" t="s">
        <v>950</v>
      </c>
      <c r="I212" s="13">
        <v>43009.138807870368</v>
      </c>
      <c r="J212" s="7">
        <v>0</v>
      </c>
      <c r="K212" s="89" t="str">
        <f t="shared" si="147"/>
        <v>4041/4042</v>
      </c>
      <c r="L212" s="185" t="str">
        <f>VLOOKUP(A212,'Trips&amp;Operators'!$C$1:$G$99911,5,FALSE)</f>
        <v>DELGADO DIANAH</v>
      </c>
      <c r="M212" s="6">
        <f t="shared" si="148"/>
        <v>1.6203703708015382E-3</v>
      </c>
      <c r="N212" s="7">
        <f t="shared" si="142"/>
        <v>2.333333333954215</v>
      </c>
      <c r="O212" s="7"/>
      <c r="P212" s="7"/>
      <c r="Q212" s="22"/>
      <c r="R212" s="174"/>
      <c r="S212" s="221">
        <f t="shared" si="143"/>
        <v>0</v>
      </c>
      <c r="T212" s="174" t="str">
        <f t="shared" si="149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150"/>
        <v>https://d0f6bd738d7f1b3e5a7ca70fe4ff75f0.us-east-1.aws.found.io/app/kibana#/discover/Steve-Slow-Train-Analysis-(2080s-and-2083s)?_g=(refreshInterval:(display:Off,pause:!f,section:0,value:0),time:(from:'2017-10-01T01:59:32-0600',mode:absolute,to:'2017-10-01T04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204" t="str">
        <f>IF(AA212&lt;VLOOKUP(AG212,Variables!$AC$3:$AD$8,2,FALSE),"Y","N")</f>
        <v>Y</v>
      </c>
      <c r="X212" s="204">
        <f t="shared" si="146"/>
        <v>-1858</v>
      </c>
      <c r="Y212" s="204">
        <f t="shared" si="144"/>
        <v>0.04</v>
      </c>
      <c r="Z212" s="204">
        <f t="shared" si="145"/>
        <v>0.32919999999999999</v>
      </c>
      <c r="AA212" s="204">
        <f t="shared" si="151"/>
        <v>0.28920000000000001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52"/>
        <v>51</v>
      </c>
      <c r="AE212" s="77" t="str">
        <f t="shared" si="153"/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AF212" s="74" t="str">
        <f t="shared" si="154"/>
        <v>"C:\Program Files (x86)\AstroGrep\AstroGrep.exe" /e /r /s /spath="%USERPROFILE%\AppData\Local\Temp\OnboardLogs" /stypes="app*4042*20171001*" /stext=" 09:.+((SYSTEM_STATE.+slice.+state.+changed )|(ment ac)|(multiple cpu faults)|(system.+state.+changed )|(\[timeout)|(PRM\|1\|D)|(kpr)|(kdp)|(train st.+moving)|(\|lc)|(penalty))"</v>
      </c>
      <c r="AG212" s="182" t="str">
        <f t="shared" si="155"/>
        <v>Shuttle/Test</v>
      </c>
      <c r="AH212" s="78" t="str">
        <f t="shared" si="111"/>
        <v>"%USERPROFILE%\Documents\GitHub\eaglep3\Utilities\RefineRTDCRunTimes.py" --tripid 51-01 --locoid 4042 --swversion DE.1.0.9.0 --startMP 204:400 --initTime 2017-10-01T02:59:32 --startdatetime 2017-10-01T03:17:33 --delay 75 --endMP 204:3292 --enddatetime 2017-10-01T03:19:53 --enforcementcount 0 &gt;&gt;c:\users\tmcdowell\Documents\GitHub\eaglep3-reporting\EC\2017-10-01-refined-times.txt</v>
      </c>
      <c r="AI212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0.3292"},{"id":17,"name":"Train ID","value":"51-01"},{"id":16,"name":"Locomotive ID","value":"4042"},{"id":130,"name":"Impact","value":""},{"id":150,"name":"Time of Event (Mountain Time)","value":"03:19:53"},{"id":151,"name":"Denver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3"/>
        <v>start /low /b %USERPROFILE%\Documents\GitHub\eaglep3\Utilities\DownloadLogsFromS3.py --loco 4042 --day 2017-10-01</v>
      </c>
      <c r="AN212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5"/>
        <v>https://d0f6bd738d7f1b3e5a7ca70fe4ff75f0.us-east-1.aws.found.io/app/kibana#/discover/Steve-Slow-Train-Analysis-(2080s-and-2083s)?_g=(refreshInterval:(display:Off,pause:!f,section:0,value:0),time:(from:'2017-10-01T01:59:32-0600',mode:absolute,to:'2017-10-01T04:19:53-0600'))&amp;_a=(columns:!('Message%20ID',Summary),filters:!(),index:'emp_*',interval:auto,query:(query_string:(analyze_wildcard:!t,query:'%22rtdc.l.rtdc.4042%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632</v>
      </c>
      <c r="B213" s="7">
        <v>4018</v>
      </c>
      <c r="C213" s="21" t="s">
        <v>195</v>
      </c>
      <c r="D213" s="21" t="s">
        <v>951</v>
      </c>
      <c r="E213" s="13">
        <v>43009.488229166665</v>
      </c>
      <c r="F213" s="13">
        <v>43009.609907407408</v>
      </c>
      <c r="G213" s="7">
        <v>105</v>
      </c>
      <c r="H213" s="21" t="s">
        <v>951</v>
      </c>
      <c r="I213" s="13">
        <v>43009.611215277779</v>
      </c>
      <c r="J213" s="7">
        <v>0</v>
      </c>
      <c r="K213" s="89" t="str">
        <f t="shared" si="147"/>
        <v>4017/4018</v>
      </c>
      <c r="L213" s="185" t="str">
        <f>VLOOKUP(A213,'Trips&amp;Operators'!$C$1:$G$99911,5,FALSE)</f>
        <v>DELGADO DIANAH</v>
      </c>
      <c r="M213" s="6">
        <f t="shared" si="148"/>
        <v>1.3078703705104999E-3</v>
      </c>
      <c r="N213" s="7">
        <f t="shared" si="142"/>
        <v>1.8833333335351199</v>
      </c>
      <c r="O213" s="7"/>
      <c r="P213" s="7"/>
      <c r="Q213" s="22"/>
      <c r="R213" s="174"/>
      <c r="S213" s="221">
        <f t="shared" si="143"/>
        <v>0</v>
      </c>
      <c r="T213" s="174" t="str">
        <f t="shared" si="149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 t="shared" si="150"/>
        <v>https://d0f6bd738d7f1b3e5a7ca70fe4ff75f0.us-east-1.aws.found.io/app/kibana#/discover/Steve-Slow-Train-Analysis-(2080s-and-2083s)?_g=(refreshInterval:(display:Off,pause:!f,section:0,value:0),time:(from:'2017-10-01T10:43:03-0600',mode:absolute,to:'2017-10-01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204" t="str">
        <f>IF(AA213&lt;VLOOKUP(AG213,Variables!$AC$3:$AD$8,2,FALSE),"Y","N")</f>
        <v>Y</v>
      </c>
      <c r="X213" s="204">
        <f t="shared" si="146"/>
        <v>0</v>
      </c>
      <c r="Y213" s="204">
        <f t="shared" si="144"/>
        <v>0.14810000000000001</v>
      </c>
      <c r="Z213" s="204">
        <f t="shared" si="145"/>
        <v>0.14810000000000001</v>
      </c>
      <c r="AA213" s="204">
        <f t="shared" si="151"/>
        <v>0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52"/>
        <v>51</v>
      </c>
      <c r="AE213" s="77" t="str">
        <f t="shared" si="15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213" s="74" t="str">
        <f t="shared" si="154"/>
        <v>"C:\Program Files (x86)\AstroGrep\AstroGrep.exe" /e /r /s /spath="%USERPROFILE%\AppData\Local\Temp\OnboardLogs" /stypes="app*4018*20171001*" /stext=" 20:.+((SYSTEM_STATE.+slice.+state.+changed )|(ment ac)|(multiple cpu faults)|(system.+state.+changed )|(\[timeout)|(PRM\|1\|D)|(kpr)|(kdp)|(train st.+moving)|(\|lc)|(penalty))"</v>
      </c>
      <c r="AG213" s="182" t="str">
        <f t="shared" si="155"/>
        <v>Shuttle/Test</v>
      </c>
      <c r="AH213" s="78" t="str">
        <f t="shared" si="111"/>
        <v>"%USERPROFILE%\Documents\GitHub\eaglep3\Utilities\RefineRTDCRunTimes.py" --tripid 51-01 --locoid 4018 --swversion DE.1.0.9.0 --startMP 204:1481 --initTime 2017-10-01T11:43:03 --startdatetime 2017-10-01T14:38:16 --delay 105 --endMP 204:1481 --enddatetime 2017-10-01T14:40:09 --enforcementcount 0 &gt;&gt;c:\users\tmcdowell\Documents\GitHub\eaglep3-reporting\EC\2017-10-01-refined-times.txt</v>
      </c>
      <c r="AI213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0.1481"},{"id":17,"name":"Train ID","value":"51-01"},{"id":16,"name":"Locomotive ID","value":"4018"},{"id":130,"name":"Impact","value":""},{"id":150,"name":"Time of Event (Mountain Time)","value":"14:40:09"},{"id":151,"name":"Denver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3"/>
        <v>start /low /b %USERPROFILE%\Documents\GitHub\eaglep3\Utilities\DownloadLogsFromS3.py --loco 4018 --day 2017-10-01</v>
      </c>
      <c r="AN213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5"/>
        <v>https://d0f6bd738d7f1b3e5a7ca70fe4ff75f0.us-east-1.aws.found.io/app/kibana#/discover/Steve-Slow-Train-Analysis-(2080s-and-2083s)?_g=(refreshInterval:(display:Off,pause:!f,section:0,value:0),time:(from:'2017-10-01T10:43:03-0600',mode:absolute,to:'2017-10-01T15:40:09-0600'))&amp;_a=(columns:!('Message%20ID',Summary),filters:!(),index:'emp_*',interval:auto,query:(query_string:(analyze_wildcard:!t,query:'%22rtdc.l.rtdc.4018%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632</v>
      </c>
      <c r="B214" s="7">
        <v>4050</v>
      </c>
      <c r="C214" s="21" t="s">
        <v>195</v>
      </c>
      <c r="D214" s="21" t="s">
        <v>952</v>
      </c>
      <c r="E214" s="13">
        <v>43009.601157407407</v>
      </c>
      <c r="F214" s="13">
        <v>43009.609907407408</v>
      </c>
      <c r="G214" s="7">
        <v>115</v>
      </c>
      <c r="H214" s="21" t="s">
        <v>953</v>
      </c>
      <c r="I214" s="13">
        <v>43009.611215277779</v>
      </c>
      <c r="J214" s="7">
        <v>0</v>
      </c>
      <c r="K214" s="89" t="str">
        <f t="shared" si="147"/>
        <v>4049/4050</v>
      </c>
      <c r="L214" s="185" t="str">
        <f>VLOOKUP(A214,'Trips&amp;Operators'!$C$1:$G$99911,5,FALSE)</f>
        <v>DELGADO DIANAH</v>
      </c>
      <c r="M214" s="6">
        <f t="shared" si="148"/>
        <v>1.3078703705104999E-3</v>
      </c>
      <c r="N214" s="7">
        <f t="shared" si="142"/>
        <v>1.8833333335351199</v>
      </c>
      <c r="O214" s="7"/>
      <c r="P214" s="7"/>
      <c r="Q214" s="22"/>
      <c r="R214" s="174"/>
      <c r="S214" s="221">
        <f t="shared" si="143"/>
        <v>0</v>
      </c>
      <c r="T214" s="174" t="str">
        <f t="shared" si="149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50"/>
        <v>https://d0f6bd738d7f1b3e5a7ca70fe4ff75f0.us-east-1.aws.found.io/app/kibana#/discover/Steve-Slow-Train-Analysis-(2080s-and-2083s)?_g=(refreshInterval:(display:Off,pause:!f,section:0,value:0),time:(from:'2017-10-01T13:25:40-0600',mode:absolute,to:'2017-10-01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204" t="str">
        <f>IF(AA214&lt;VLOOKUP(AG214,Variables!$AC$3:$AD$8,2,FALSE),"Y","N")</f>
        <v>Y</v>
      </c>
      <c r="X214" s="204">
        <f t="shared" si="146"/>
        <v>0</v>
      </c>
      <c r="Y214" s="204">
        <f t="shared" si="144"/>
        <v>0.1139</v>
      </c>
      <c r="Z214" s="204">
        <f t="shared" si="145"/>
        <v>0.34010000000000001</v>
      </c>
      <c r="AA214" s="204">
        <f t="shared" si="151"/>
        <v>0.22620000000000001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52"/>
        <v>51</v>
      </c>
      <c r="AE214" s="77" t="str">
        <f t="shared" si="153"/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AF214" s="74" t="str">
        <f t="shared" si="154"/>
        <v>"C:\Program Files (x86)\AstroGrep\AstroGrep.exe" /e /r /s /spath="%USERPROFILE%\AppData\Local\Temp\OnboardLogs" /stypes="app*4050*20171001*" /stext=" 20:.+((SYSTEM_STATE.+slice.+state.+changed )|(ment ac)|(multiple cpu faults)|(system.+state.+changed )|(\[timeout)|(PRM\|1\|D)|(kpr)|(kdp)|(train st.+moving)|(\|lc)|(penalty))"</v>
      </c>
      <c r="AG214" s="182" t="str">
        <f t="shared" si="155"/>
        <v>Shuttle/Test</v>
      </c>
      <c r="AH214" s="78" t="str">
        <f t="shared" si="111"/>
        <v>"%USERPROFILE%\Documents\GitHub\eaglep3\Utilities\RefineRTDCRunTimes.py" --tripid 51-01 --locoid 4050 --swversion DE.1.0.9.0 --startMP 204:1139 --initTime 2017-10-01T14:25:40 --startdatetime 2017-10-01T14:38:16 --delay 115 --endMP 204:3401 --enddatetime 2017-10-01T14:40:09 --enforcementcount 0 &gt;&gt;c:\users\tmcdowell\Documents\GitHub\eaglep3-reporting\EC\2017-10-01-refined-times.txt</v>
      </c>
      <c r="AI214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0.3401"},{"id":17,"name":"Train ID","value":"51-01"},{"id":16,"name":"Locomotive ID","value":"4050"},{"id":130,"name":"Impact","value":""},{"id":150,"name":"Time of Event (Mountain Time)","value":"14:40:09"},{"id":151,"name":"Denver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3"/>
        <v>start /low /b %USERPROFILE%\Documents\GitHub\eaglep3\Utilities\DownloadLogsFromS3.py --loco 4050 --day 2017-10-01</v>
      </c>
      <c r="AN214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5"/>
        <v>https://d0f6bd738d7f1b3e5a7ca70fe4ff75f0.us-east-1.aws.found.io/app/kibana#/discover/Steve-Slow-Train-Analysis-(2080s-and-2083s)?_g=(refreshInterval:(display:Off,pause:!f,section:0,value:0),time:(from:'2017-10-01T13:25:40-0600',mode:absolute,to:'2017-10-01T15:40:09-0600'))&amp;_a=(columns:!('Message%20ID',Summary),filters:!(),index:'emp_*',interval:auto,query:(query_string:(analyze_wildcard:!t,query:'%22rtdc.l.rtdc.4050%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632</v>
      </c>
      <c r="B215" s="7">
        <v>4049</v>
      </c>
      <c r="C215" s="21" t="s">
        <v>195</v>
      </c>
      <c r="D215" s="21" t="s">
        <v>954</v>
      </c>
      <c r="E215" s="13">
        <v>43009.608171296299</v>
      </c>
      <c r="F215" s="13">
        <v>43009.609907407408</v>
      </c>
      <c r="G215" s="7">
        <v>77</v>
      </c>
      <c r="H215" s="21" t="s">
        <v>336</v>
      </c>
      <c r="I215" s="13">
        <v>43009.611215277779</v>
      </c>
      <c r="J215" s="7">
        <v>0</v>
      </c>
      <c r="K215" s="89" t="str">
        <f t="shared" si="147"/>
        <v>4049/4050</v>
      </c>
      <c r="L215" s="185" t="str">
        <f>VLOOKUP(A215,'Trips&amp;Operators'!$C$1:$G$99911,5,FALSE)</f>
        <v>DELGADO DIANAH</v>
      </c>
      <c r="M215" s="6">
        <f t="shared" si="148"/>
        <v>1.3078703705104999E-3</v>
      </c>
      <c r="N215" s="7">
        <f t="shared" si="142"/>
        <v>1.8833333335351199</v>
      </c>
      <c r="O215" s="7"/>
      <c r="P215" s="7"/>
      <c r="Q215" s="22"/>
      <c r="R215" s="174"/>
      <c r="S215" s="221">
        <f t="shared" si="143"/>
        <v>0</v>
      </c>
      <c r="T215" s="174" t="str">
        <f t="shared" si="149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50"/>
        <v>https://d0f6bd738d7f1b3e5a7ca70fe4ff75f0.us-east-1.aws.found.io/app/kibana#/discover/Steve-Slow-Train-Analysis-(2080s-and-2083s)?_g=(refreshInterval:(display:Off,pause:!f,section:0,value:0),time:(from:'2017-10-01T13:35:46-0600',mode:absolute,to:'2017-10-01T15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5" s="204" t="str">
        <f>IF(AA215&lt;VLOOKUP(AG215,Variables!$AC$3:$AD$8,2,FALSE),"Y","N")</f>
        <v>Y</v>
      </c>
      <c r="X215" s="204">
        <f t="shared" si="146"/>
        <v>0</v>
      </c>
      <c r="Y215" s="204">
        <f t="shared" si="144"/>
        <v>0.30640000000000001</v>
      </c>
      <c r="Z215" s="204">
        <f t="shared" si="145"/>
        <v>1.4999999999999999E-2</v>
      </c>
      <c r="AA215" s="204">
        <f t="shared" si="151"/>
        <v>0.29139999999999999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52"/>
        <v>51</v>
      </c>
      <c r="AE215" s="77" t="str">
        <f t="shared" si="153"/>
        <v>aws s3 cp s3://rtdc.mdm.uploadarchive.raw/RTDC4049/ "%USERPROFILE%\AppData\Local\Temp\OnboardLogs"\RTDC4049\2017-10-01 --exclude "*" --recursive --include "*20171001*" &amp; "%USERPROFILE%\Documents\GitHub\mrs-test-scripts\Headless Mode &amp; Sideloading\WalkAndUnGZ.bat" "%USERPROFILE%\AppData\Local\Temp\OnboardLogs"\RTDC4049\2017-10-01 &amp; aws s3 cp s3://rtdc.mdm.uploadarchive.raw/RTDC4049/ "%USERPROFILE%\AppData\Local\Temp\OnboardLogs"\RTDC4049\2017-10-02 --exclude "*" --recursive --include "*20171002*" &amp; "%USERPROFILE%\Documents\GitHub\mrs-test-scripts\Headless Mode &amp; Sideloading\WalkAndUnGZ.bat" "%USERPROFILE%\AppData\Local\Temp\OnboardLogs"\RTDC4049\2017-10-02</v>
      </c>
      <c r="AF215" s="74" t="str">
        <f t="shared" si="154"/>
        <v>"C:\Program Files (x86)\AstroGrep\AstroGrep.exe" /e /r /s /spath="%USERPROFILE%\AppData\Local\Temp\OnboardLogs" /stypes="app*4049*20171001*" /stext=" 20:.+((SYSTEM_STATE.+slice.+state.+changed )|(ment ac)|(multiple cpu faults)|(system.+state.+changed )|(\[timeout)|(PRM\|1\|D)|(kpr)|(kdp)|(train st.+moving)|(\|lc)|(penalty))"</v>
      </c>
      <c r="AG215" s="182" t="str">
        <f t="shared" si="155"/>
        <v>Shuttle/Test</v>
      </c>
      <c r="AH215" s="78" t="str">
        <f t="shared" si="111"/>
        <v>"%USERPROFILE%\Documents\GitHub\eaglep3\Utilities\RefineRTDCRunTimes.py" --tripid 51-01 --locoid 4049 --swversion DE.1.0.9.0 --startMP 204:3064 --initTime 2017-10-01T14:35:46 --startdatetime 2017-10-01T14:38:16 --delay 77 --endMP 204:150 --enddatetime 2017-10-01T14:40:09 --enforcementcount 0 &gt;&gt;c:\users\tmcdowell\Documents\GitHub\eaglep3-reporting\EC\2017-10-01-refined-times.txt</v>
      </c>
      <c r="AI215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0.015"},{"id":17,"name":"Train ID","value":"51-01"},{"id":16,"name":"Locomotive ID","value":"4049"},{"id":130,"name":"Impact","value":""},{"id":150,"name":"Time of Event (Mountain Time)","value":"14:40:09"},{"id":151,"name":"Denver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13"/>
        <v>start /low /b %USERPROFILE%\Documents\GitHub\eaglep3\Utilities\DownloadLogsFromS3.py --loco 4049 --day 2017-10-01</v>
      </c>
      <c r="AN215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20:40:09"},{"id":29,"name":"Sharepoint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5"/>
        <v>https://d0f6bd738d7f1b3e5a7ca70fe4ff75f0.us-east-1.aws.found.io/app/kibana#/discover/Steve-Slow-Train-Analysis-(2080s-and-2083s)?_g=(refreshInterval:(display:Off,pause:!f,section:0,value:0),time:(from:'2017-10-01T13:35:46-0600',mode:absolute,to:'2017-10-01T15:40:09-0600'))&amp;_a=(columns:!('Message%20ID',Summary),filters:!(),index:'emp_*',interval:auto,query:(query_string:(analyze_wildcard:!t,query:'%22rtdc.l.rtdc.4049%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633</v>
      </c>
      <c r="B216" s="7">
        <v>4041</v>
      </c>
      <c r="C216" s="21" t="s">
        <v>195</v>
      </c>
      <c r="D216" s="21" t="s">
        <v>955</v>
      </c>
      <c r="E216" s="13">
        <v>43009.139918981484</v>
      </c>
      <c r="F216" s="13">
        <v>43009.141539351855</v>
      </c>
      <c r="G216" s="7">
        <v>69</v>
      </c>
      <c r="H216" s="21" t="s">
        <v>956</v>
      </c>
      <c r="I216" s="13">
        <v>43009.142476851855</v>
      </c>
      <c r="J216" s="7">
        <v>0</v>
      </c>
      <c r="K216" s="89" t="str">
        <f t="shared" si="147"/>
        <v>4041/4042</v>
      </c>
      <c r="L216" s="185" t="str">
        <f>VLOOKUP(A216,'Trips&amp;Operators'!$C$1:$G$99911,5,FALSE)</f>
        <v>DELGADO DIANAH</v>
      </c>
      <c r="M216" s="6">
        <f t="shared" si="148"/>
        <v>9.3750000087311491E-4</v>
      </c>
      <c r="N216" s="7">
        <f t="shared" si="142"/>
        <v>1.3500000012572855</v>
      </c>
      <c r="O216" s="7"/>
      <c r="P216" s="7"/>
      <c r="Q216" s="22"/>
      <c r="R216" s="174"/>
      <c r="S216" s="221">
        <f t="shared" si="143"/>
        <v>0</v>
      </c>
      <c r="T216" s="174" t="str">
        <f t="shared" si="149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50"/>
        <v>https://d0f6bd738d7f1b3e5a7ca70fe4ff75f0.us-east-1.aws.found.io/app/kibana#/discover/Steve-Slow-Train-Analysis-(2080s-and-2083s)?_g=(refreshInterval:(display:Off,pause:!f,section:0,value:0),time:(from:'2017-10-01T02:21:29-0600',mode:absolute,to:'2017-10-01T04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6" s="204" t="str">
        <f>IF(AA216&lt;VLOOKUP(AG216,Variables!$AC$3:$AD$8,2,FALSE),"Y","N")</f>
        <v>Y</v>
      </c>
      <c r="X216" s="204">
        <f t="shared" si="146"/>
        <v>1</v>
      </c>
      <c r="Y216" s="204">
        <f t="shared" si="144"/>
        <v>0.29649999999999999</v>
      </c>
      <c r="Z216" s="204">
        <f t="shared" si="145"/>
        <v>0.1152</v>
      </c>
      <c r="AA216" s="204">
        <f t="shared" si="151"/>
        <v>0.18129999999999999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52"/>
        <v>52</v>
      </c>
      <c r="AE216" s="77" t="str">
        <f t="shared" si="153"/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AF216" s="74" t="str">
        <f t="shared" si="154"/>
        <v>"C:\Program Files (x86)\AstroGrep\AstroGrep.exe" /e /r /s /spath="%USERPROFILE%\AppData\Local\Temp\OnboardLogs" /stypes="app*4041*20171001*" /stext=" 09:.+((SYSTEM_STATE.+slice.+state.+changed )|(ment ac)|(multiple cpu faults)|(system.+state.+changed )|(\[timeout)|(PRM\|1\|D)|(kpr)|(kdp)|(train st.+moving)|(\|lc)|(penalty))"</v>
      </c>
      <c r="AG216" s="182" t="str">
        <f t="shared" si="155"/>
        <v>Shuttle/Test</v>
      </c>
      <c r="AH216" s="78" t="str">
        <f t="shared" si="111"/>
        <v>"%USERPROFILE%\Documents\GitHub\eaglep3\Utilities\RefineRTDCRunTimes.py" --tripid 52-01 --locoid 4041 --swversion DE.1.0.9.0 --startMP 204:2965 --initTime 2017-10-01T03:21:29 --startdatetime 2017-10-01T03:23:49 --delay 69 --endMP 204:1152 --enddatetime 2017-10-01T03:25:10 --enforcementcount 0 &gt;&gt;c:\users\tmcdowell\Documents\GitHub\eaglep3-reporting\EC\2017-10-01-refined-times.txt</v>
      </c>
      <c r="AI216" s="96" t="str">
        <f t="shared" si="112"/>
        <v>echo {"issue":{"subject":"","project_id":79,"tracker_id":40,"status_id":1,"priority_id":2,"assigned_to_id":338,"start_date":"2017-10-01","description":"","custom_fields":[{"id":1,"name":"Subdivision","value":"Shuttle/Test"},{"id":4,"name":"Milepost","value":"0.1152"},{"id":17,"name":"Train ID","value":"52-01"},{"id":16,"name":"Locomotive ID","value":"4041"},{"id":130,"name":"Impact","value":""},{"id":150,"name":"Time of Event (Mountain Time)","value":"03:25:10"},{"id":151,"name":"Denver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3"/>
        <v>start /low /b %USERPROFILE%\Documents\GitHub\eaglep3\Utilities\DownloadLogsFromS3.py --loco 4041 --day 2017-10-01</v>
      </c>
      <c r="AN216" s="151" t="str">
        <f t="shared" si="114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09:25:10"},{"id":29,"name":"Sharepoint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5"/>
        <v>https://d0f6bd738d7f1b3e5a7ca70fe4ff75f0.us-east-1.aws.found.io/app/kibana#/discover/Steve-Slow-Train-Analysis-(2080s-and-2083s)?_g=(refreshInterval:(display:Off,pause:!f,section:0,value:0),time:(from:'2017-10-01T02:21:29-0600',mode:absolute,to:'2017-10-01T04:25:10-0600'))&amp;_a=(columns:!('Message%20ID',Summary),filters:!(),index:'emp_*',interval:auto,query:(query_string:(analyze_wildcard:!t,query:'%22rtdc.l.rtdc.4041%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761</v>
      </c>
      <c r="B217" s="7">
        <v>4054</v>
      </c>
      <c r="C217" s="21" t="s">
        <v>195</v>
      </c>
      <c r="D217" s="21" t="s">
        <v>574</v>
      </c>
      <c r="E217" s="13">
        <v>43009.680439814816</v>
      </c>
      <c r="F217" s="13">
        <v>43009.687430555554</v>
      </c>
      <c r="G217" s="7">
        <v>480</v>
      </c>
      <c r="H217" s="21" t="s">
        <v>417</v>
      </c>
      <c r="I217" s="13">
        <v>43009.695891203701</v>
      </c>
      <c r="J217" s="7">
        <v>0</v>
      </c>
      <c r="K217" s="89" t="str">
        <f t="shared" si="147"/>
        <v>4053/4054</v>
      </c>
      <c r="L217" s="185" t="str">
        <f>VLOOKUP(A217,'Trips&amp;Operators'!$C$1:$G$99911,5,FALSE)</f>
        <v>LOPES KIMBERLY</v>
      </c>
      <c r="M217" s="6">
        <f t="shared" si="148"/>
        <v>8.4606481468654238E-3</v>
      </c>
      <c r="N217" s="7">
        <f t="shared" si="142"/>
        <v>12.18333333148621</v>
      </c>
      <c r="O217" s="7"/>
      <c r="P217" s="7"/>
      <c r="Q217" s="22"/>
      <c r="R217" s="174"/>
      <c r="S217" s="221">
        <f t="shared" si="143"/>
        <v>0</v>
      </c>
      <c r="T217" s="174" t="str">
        <f t="shared" si="149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50"/>
        <v>https://d0f6bd738d7f1b3e5a7ca70fe4ff75f0.us-east-1.aws.found.io/app/kibana#/discover/Steve-Slow-Train-Analysis-(2080s-and-2083s)?_g=(refreshInterval:(display:Off,pause:!f,section:0,value:0),time:(from:'2017-10-01T15:19:50-0600',mode:absolute,to:'2017-10-01T17:42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7" s="204" t="str">
        <f>IF(AA217&lt;VLOOKUP(AG217,Variables!$AC$3:$AD$8,2,FALSE),"Y","N")</f>
        <v>Y</v>
      </c>
      <c r="X217" s="204">
        <f t="shared" si="146"/>
        <v>14</v>
      </c>
      <c r="Y217" s="204">
        <f t="shared" si="144"/>
        <v>0.11990000000000001</v>
      </c>
      <c r="Z217" s="204">
        <f t="shared" si="145"/>
        <v>2.3346</v>
      </c>
      <c r="AA217" s="204">
        <f t="shared" si="151"/>
        <v>2.2147000000000001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52"/>
        <v>66</v>
      </c>
      <c r="AE217" s="77" t="str">
        <f t="shared" si="153"/>
        <v>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 &amp; aws s3 cp s3://rtdc.mdm.uploadarchive.raw/RTDC4054/ "%USERPROFILE%\AppData\Local\Temp\OnboardLogs"\RTDC4054\2017-10-02 --exclude "*" --recursive --include "*20171002*" &amp; "%USERPROFILE%\Documents\GitHub\mrs-test-scripts\Headless Mode &amp; Sideloading\WalkAndUnGZ.bat" "%USERPROFILE%\AppData\Local\Temp\OnboardLogs"\RTDC4054\2017-10-02</v>
      </c>
      <c r="AF217" s="74" t="str">
        <f t="shared" si="154"/>
        <v>"C:\Program Files (x86)\AstroGrep\AstroGrep.exe" /e /r /s /spath="%USERPROFILE%\AppData\Local\Temp\OnboardLogs" /stypes="app*4054*20171001*" /stext=" 22:.+((SYSTEM_STATE.+slice.+state.+changed )|(ment ac)|(multiple cpu faults)|(system.+state.+changed )|(\[timeout)|(PRM\|1\|D)|(kpr)|(kdp)|(train st.+moving)|(\|lc)|(penalty))"</v>
      </c>
      <c r="AG217" s="182" t="str">
        <f t="shared" si="155"/>
        <v>Shuttle/Test</v>
      </c>
      <c r="AH217" s="78" t="str">
        <f t="shared" ref="AH217:AH222" si="156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66-01 --locoid 4054 --swversion DE.1.0.9.0 --startMP 204:1199 --initTime 2017-10-01T16:19:50 --startdatetime 2017-10-01T16:29:54 --delay 480 --endMP 300:23346 --enddatetime 2017-10-01T16:42:05 --enforcementcount 0 &gt;&gt;c:\users\tmcdowell\Documents\GitHub\eaglep3-reporting\EC\2017-10-01-refined-times.txt</v>
      </c>
      <c r="AI217" s="96" t="str">
        <f t="shared" ref="AI217:AI222" si="157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-01","description":"","custom_fields":[{"id":1,"name":"Subdivision","value":"Shuttle/Test"},{"id":4,"name":"Milepost","value":"2.3346"},{"id":17,"name":"Train ID","value":"66-01"},{"id":16,"name":"Locomotive ID","value":"4054"},{"id":130,"name":"Impact","value":""},{"id":150,"name":"Time of Event (Mountain Time)","value":"16:42:05"},{"id":151,"name":"Denver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ref="AM217:AM222" si="158">"start /low /b "&amp;dls3logs&amp;" --loco "&amp;B217&amp;" --day "&amp;TEXT(F217,"YYYY-MM-DD")</f>
        <v>start /low /b %USERPROFILE%\Documents\GitHub\eaglep3\Utilities\DownloadLogsFromS3.py --loco 4054 --day 2017-10-01</v>
      </c>
      <c r="AN217" s="151" t="str">
        <f t="shared" ref="AN217:AN222" si="159"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22:42:05"},{"id":29,"name":"Sharepoint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ref="AO217:AO222" si="160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-01T15:19:50-0600',mode:absolute,to:'2017-10-01T17:42:05-0600'))&amp;_a=(columns:!('Message%20ID',Summary),filters:!(),index:'emp_*',interval:auto,query:(query_string:(analyze_wildcard:!t,query:'%22rtdc.l.rtdc.4054%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778</v>
      </c>
      <c r="B218" s="7">
        <v>4007</v>
      </c>
      <c r="C218" s="21" t="s">
        <v>195</v>
      </c>
      <c r="D218" s="21" t="s">
        <v>957</v>
      </c>
      <c r="E218" s="13">
        <v>43009.748900462961</v>
      </c>
      <c r="F218" s="13">
        <v>43009.751469907409</v>
      </c>
      <c r="G218" s="7">
        <v>87</v>
      </c>
      <c r="H218" s="21" t="s">
        <v>958</v>
      </c>
      <c r="I218" s="13">
        <v>43009.760451388887</v>
      </c>
      <c r="J218" s="7">
        <v>0</v>
      </c>
      <c r="K218" s="89" t="str">
        <f t="shared" si="147"/>
        <v>4007/4008</v>
      </c>
      <c r="L218" s="185" t="str">
        <f>VLOOKUP(A218,'Trips&amp;Operators'!$C$1:$G$99911,5,FALSE)</f>
        <v>BARRON PERLA</v>
      </c>
      <c r="M218" s="6">
        <f t="shared" si="148"/>
        <v>8.9814814782585017E-3</v>
      </c>
      <c r="N218" s="7">
        <f t="shared" si="142"/>
        <v>12.933333328692243</v>
      </c>
      <c r="O218" s="7"/>
      <c r="P218" s="7"/>
      <c r="Q218" s="22"/>
      <c r="R218" s="174"/>
      <c r="S218" s="221">
        <f t="shared" si="143"/>
        <v>1</v>
      </c>
      <c r="T218" s="174" t="str">
        <f t="shared" si="149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50"/>
        <v>https://d0f6bd738d7f1b3e5a7ca70fe4ff75f0.us-east-1.aws.found.io/app/kibana#/discover/Steve-Slow-Train-Analysis-(2080s-and-2083s)?_g=(refreshInterval:(display:Off,pause:!f,section:0,value:0),time:(from:'2017-10-01T16:58:25-0600',mode:absolute,to:'2017-10-01T19:15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204" t="str">
        <f>IF(AA218&lt;VLOOKUP(AG218,Variables!$AC$3:$AD$8,2,FALSE),"Y","N")</f>
        <v>Y</v>
      </c>
      <c r="X218" s="204">
        <f t="shared" si="146"/>
        <v>2</v>
      </c>
      <c r="Y218" s="204">
        <f t="shared" si="144"/>
        <v>2.3803000000000001</v>
      </c>
      <c r="Z218" s="204">
        <f t="shared" si="145"/>
        <v>0.22040000000000001</v>
      </c>
      <c r="AA218" s="204">
        <f t="shared" si="151"/>
        <v>2.1598999999999999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52"/>
        <v>68</v>
      </c>
      <c r="AE218" s="77" t="str">
        <f t="shared" si="153"/>
        <v>aws s3 cp s3://rtdc.mdm.uploadarchive.raw/RTDC4007/ "%USERPROFILE%\AppData\Local\Temp\OnboardLogs"\RTDC4007\2017-10-01 --exclude "*" --recursive --include "*20171001*" &amp; "%USERPROFILE%\Documents\GitHub\mrs-test-scripts\Headless Mode &amp; Sideloading\WalkAndUnGZ.bat" "%USERPROFILE%\AppData\Local\Temp\OnboardLogs"\RTDC4007\2017-10-01 &amp; aws s3 cp s3://rtdc.mdm.uploadarchive.raw/RTDC4007/ "%USERPROFILE%\AppData\Local\Temp\OnboardLogs"\RTDC4007\2017-10-02 --exclude "*" --recursive --include "*20171002*" &amp; "%USERPROFILE%\Documents\GitHub\mrs-test-scripts\Headless Mode &amp; Sideloading\WalkAndUnGZ.bat" "%USERPROFILE%\AppData\Local\Temp\OnboardLogs"\RTDC4007\2017-10-02</v>
      </c>
      <c r="AF218" s="74" t="str">
        <f t="shared" si="154"/>
        <v>"C:\Program Files (x86)\AstroGrep\AstroGrep.exe" /e /r /s /spath="%USERPROFILE%\AppData\Local\Temp\OnboardLogs" /stypes="app*4007*20171002*" /stext=" 00:.+((SYSTEM_STATE.+slice.+state.+changed )|(ment ac)|(multiple cpu faults)|(system.+state.+changed )|(\[timeout)|(PRM\|1\|D)|(kpr)|(kdp)|(train st.+moving)|(\|lc)|(penalty))"</v>
      </c>
      <c r="AG218" s="182" t="str">
        <f t="shared" si="155"/>
        <v>Shuttle/Test</v>
      </c>
      <c r="AH218" s="78" t="str">
        <f t="shared" si="156"/>
        <v>"%USERPROFILE%\Documents\GitHub\eaglep3\Utilities\RefineRTDCRunTimes.py" --tripid 68-01 --locoid 4007 --swversion DE.1.0.9.0 --startMP 300:23803 --initTime 2017-10-01T17:58:25 --startdatetime 2017-10-01T18:02:07 --delay 87 --endMP 204:2204 --enddatetime 2017-10-01T18:15:03 --enforcementcount 0 &gt;&gt;c:\users\tmcdowell\Documents\GitHub\eaglep3-reporting\EC\2017-10-01-refined-times.txt</v>
      </c>
      <c r="AI218" s="96" t="str">
        <f t="shared" si="157"/>
        <v>echo {"issue":{"subject":"","project_id":79,"tracker_id":40,"status_id":1,"priority_id":2,"assigned_to_id":338,"start_date":"2017-10-01","description":"","custom_fields":[{"id":1,"name":"Subdivision","value":"Shuttle/Test"},{"id":4,"name":"Milepost","value":"0.2204"},{"id":17,"name":"Train ID","value":"68-01"},{"id":16,"name":"Locomotive ID","value":"4007"},{"id":130,"name":"Impact","value":""},{"id":150,"name":"Time of Event (Mountain Time)","value":"18:15:03"},{"id":151,"name":"Denver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58"/>
        <v>start /low /b %USERPROFILE%\Documents\GitHub\eaglep3\Utilities\DownloadLogsFromS3.py --loco 4007 --day 2017-10-01</v>
      </c>
      <c r="AN218" s="151" t="str">
        <f t="shared" si="15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00:15:03"},{"id":29,"name":"Sharepoint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60"/>
        <v>https://d0f6bd738d7f1b3e5a7ca70fe4ff75f0.us-east-1.aws.found.io/app/kibana#/discover/Steve-Slow-Train-Analysis-(2080s-and-2083s)?_g=(refreshInterval:(display:Off,pause:!f,section:0,value:0),time:(from:'2017-10-01T16:58:25-0600',mode:absolute,to:'2017-10-01T19:15:03-0600'))&amp;_a=(columns:!('Message%20ID',Summary),filters:!(),index:'emp_*',interval:auto,query:(query_string:(analyze_wildcard:!t,query:'%22rtdc.l.rtdc.4007%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790</v>
      </c>
      <c r="B219" s="7">
        <v>4008</v>
      </c>
      <c r="C219" s="21" t="s">
        <v>195</v>
      </c>
      <c r="D219" s="21" t="s">
        <v>959</v>
      </c>
      <c r="E219" s="13">
        <v>43009.791724537034</v>
      </c>
      <c r="F219" s="13">
        <v>43009.797685185185</v>
      </c>
      <c r="G219" s="7">
        <v>85</v>
      </c>
      <c r="H219" s="21" t="s">
        <v>960</v>
      </c>
      <c r="I219" s="13">
        <v>43009.799074074072</v>
      </c>
      <c r="J219" s="7">
        <v>0</v>
      </c>
      <c r="K219" s="89" t="str">
        <f t="shared" si="147"/>
        <v>4007/4008</v>
      </c>
      <c r="L219" s="185" t="str">
        <f>VLOOKUP(A219,'Trips&amp;Operators'!$C$1:$G$99911,5,FALSE)</f>
        <v>BARRON PERLA</v>
      </c>
      <c r="M219" s="6">
        <f t="shared" si="148"/>
        <v>1.3888888861401938E-3</v>
      </c>
      <c r="N219" s="7">
        <f t="shared" si="142"/>
        <v>1.9999999960418791</v>
      </c>
      <c r="O219" s="7"/>
      <c r="P219" s="7"/>
      <c r="Q219" s="22"/>
      <c r="R219" s="174"/>
      <c r="S219" s="221">
        <f t="shared" si="143"/>
        <v>0</v>
      </c>
      <c r="T219" s="174" t="str">
        <f t="shared" si="149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50"/>
        <v>https://d0f6bd738d7f1b3e5a7ca70fe4ff75f0.us-east-1.aws.found.io/app/kibana#/discover/Steve-Slow-Train-Analysis-(2080s-and-2083s)?_g=(refreshInterval:(display:Off,pause:!f,section:0,value:0),time:(from:'2017-10-01T18:00:05-0600',mode:absolute,to:'2017-10-01T20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204" t="str">
        <f>IF(AA219&lt;VLOOKUP(AG219,Variables!$AC$3:$AD$8,2,FALSE),"Y","N")</f>
        <v>Y</v>
      </c>
      <c r="X219" s="204">
        <f t="shared" si="146"/>
        <v>5</v>
      </c>
      <c r="Y219" s="204">
        <f t="shared" si="144"/>
        <v>0.115</v>
      </c>
      <c r="Z219" s="204">
        <f t="shared" si="145"/>
        <v>0.36049999999999999</v>
      </c>
      <c r="AA219" s="204">
        <f t="shared" si="151"/>
        <v>0.2455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52"/>
        <v>73</v>
      </c>
      <c r="AE219" s="77" t="str">
        <f t="shared" si="153"/>
        <v>aws s3 cp s3://rtdc.mdm.uploadarchive.raw/RTDC4008/ "%USERPROFILE%\AppData\Local\Temp\OnboardLogs"\RTDC4008\2017-10-01 --exclude "*" --recursive --include "*20171001*" &amp; "%USERPROFILE%\Documents\GitHub\mrs-test-scripts\Headless Mode &amp; Sideloading\WalkAndUnGZ.bat" "%USERPROFILE%\AppData\Local\Temp\OnboardLogs"\RTDC4008\2017-10-01 &amp; aws s3 cp s3://rtdc.mdm.uploadarchive.raw/RTDC4008/ "%USERPROFILE%\AppData\Local\Temp\OnboardLogs"\RTDC4008\2017-10-02 --exclude "*" --recursive --include "*20171002*" &amp; "%USERPROFILE%\Documents\GitHub\mrs-test-scripts\Headless Mode &amp; Sideloading\WalkAndUnGZ.bat" "%USERPROFILE%\AppData\Local\Temp\OnboardLogs"\RTDC4008\2017-10-02</v>
      </c>
      <c r="AF219" s="74" t="str">
        <f t="shared" si="154"/>
        <v>"C:\Program Files (x86)\AstroGrep\AstroGrep.exe" /e /r /s /spath="%USERPROFILE%\AppData\Local\Temp\OnboardLogs" /stypes="app*4008*20171002*" /stext=" 01:.+((SYSTEM_STATE.+slice.+state.+changed )|(ment ac)|(multiple cpu faults)|(system.+state.+changed )|(\[timeout)|(PRM\|1\|D)|(kpr)|(kdp)|(train st.+moving)|(\|lc)|(penalty))"</v>
      </c>
      <c r="AG219" s="182" t="str">
        <f t="shared" si="155"/>
        <v>Shuttle/Test</v>
      </c>
      <c r="AH219" s="78" t="str">
        <f t="shared" si="156"/>
        <v>"%USERPROFILE%\Documents\GitHub\eaglep3\Utilities\RefineRTDCRunTimes.py" --tripid 73-01 --locoid 4008 --swversion DE.1.0.9.0 --startMP 204:1150 --initTime 2017-10-01T19:00:05 --startdatetime 2017-10-01T19:08:40 --delay 85 --endMP 204:3605 --enddatetime 2017-10-01T19:10:40 --enforcementcount 0 &gt;&gt;c:\users\tmcdowell\Documents\GitHub\eaglep3-reporting\EC\2017-10-01-refined-times.txt</v>
      </c>
      <c r="AI219" s="96" t="str">
        <f t="shared" si="157"/>
        <v>echo {"issue":{"subject":"","project_id":79,"tracker_id":40,"status_id":1,"priority_id":2,"assigned_to_id":338,"start_date":"2017-10-01","description":"","custom_fields":[{"id":1,"name":"Subdivision","value":"Shuttle/Test"},{"id":4,"name":"Milepost","value":"0.3605"},{"id":17,"name":"Train ID","value":"73-01"},{"id":16,"name":"Locomotive ID","value":"4008"},{"id":130,"name":"Impact","value":""},{"id":150,"name":"Time of Event (Mountain Time)","value":"19:10:40"},{"id":151,"name":"Denver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58"/>
        <v>start /low /b %USERPROFILE%\Documents\GitHub\eaglep3\Utilities\DownloadLogsFromS3.py --loco 4008 --day 2017-10-01</v>
      </c>
      <c r="AN219" s="151" t="str">
        <f t="shared" si="159"/>
        <v>echo {"issue":{"subject":"","project_id":30,"tracker_id":4,"status_id":1,"priority_id":1,"assigned_to_id":10,"start_date":"2017-10-02","description":"","custom_fields":[{"id":30,"name":"Category","value":"Issue"},{"id":3,"name":"Functional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UTC","value":"2017-10-02 01:10:40"},{"id":29,"name":"Sharepoint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60"/>
        <v>https://d0f6bd738d7f1b3e5a7ca70fe4ff75f0.us-east-1.aws.found.io/app/kibana#/discover/Steve-Slow-Train-Analysis-(2080s-and-2083s)?_g=(refreshInterval:(display:Off,pause:!f,section:0,value:0),time:(from:'2017-10-01T18:00:05-0600',mode:absolute,to:'2017-10-01T20:10:40-0600'))&amp;_a=(columns:!('Message%20ID',Summary),filters:!(),index:'emp_*',interval:auto,query:(query_string:(analyze_wildcard:!t,query:'%22rtdc.l.rtdc.4008%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741</v>
      </c>
      <c r="B220" s="7">
        <v>4018</v>
      </c>
      <c r="C220" s="21" t="s">
        <v>195</v>
      </c>
      <c r="D220" s="21" t="s">
        <v>961</v>
      </c>
      <c r="E220" s="13">
        <v>43009.589085648149</v>
      </c>
      <c r="F220" s="13">
        <v>43009.604328703703</v>
      </c>
      <c r="G220" s="7">
        <v>95</v>
      </c>
      <c r="H220" s="21" t="s">
        <v>962</v>
      </c>
      <c r="I220" s="13">
        <v>43009.628807870373</v>
      </c>
      <c r="J220" s="7">
        <v>0</v>
      </c>
      <c r="K220" s="89" t="str">
        <f t="shared" si="147"/>
        <v>4017/4018</v>
      </c>
      <c r="L220" s="185" t="str">
        <f>VLOOKUP(A220,'Trips&amp;Operators'!$C$1:$G$99911,5,FALSE)</f>
        <v>LOPES KIMBERLY</v>
      </c>
      <c r="M220" s="6">
        <f t="shared" si="148"/>
        <v>2.4479166670062114E-2</v>
      </c>
      <c r="N220" s="7">
        <f t="shared" si="142"/>
        <v>35.250000004889444</v>
      </c>
      <c r="O220" s="7"/>
      <c r="P220" s="7"/>
      <c r="Q220" s="22"/>
      <c r="R220" s="174"/>
      <c r="S220" s="221">
        <f t="shared" si="143"/>
        <v>0</v>
      </c>
      <c r="T220" s="174" t="str">
        <f t="shared" si="149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50"/>
        <v>https://d0f6bd738d7f1b3e5a7ca70fe4ff75f0.us-east-1.aws.found.io/app/kibana#/discover/Steve-Slow-Train-Analysis-(2080s-and-2083s)?_g=(refreshInterval:(display:Off,pause:!f,section:0,value:0),time:(from:'2017-10-01T13:08:17-0600',mode:absolute,to:'2017-10-01T16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204" t="str">
        <f>IF(AA220&lt;VLOOKUP(AG220,Variables!$AC$3:$AD$8,2,FALSE),"Y","N")</f>
        <v>Y</v>
      </c>
      <c r="X220" s="204">
        <f t="shared" si="146"/>
        <v>2</v>
      </c>
      <c r="Y220" s="204">
        <f t="shared" si="144"/>
        <v>0.1484</v>
      </c>
      <c r="Z220" s="204">
        <f t="shared" si="145"/>
        <v>0.33979999999999999</v>
      </c>
      <c r="AA220" s="204">
        <f t="shared" si="151"/>
        <v>0.19139999999999999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52"/>
        <v>75</v>
      </c>
      <c r="AE220" s="77" t="str">
        <f t="shared" si="153"/>
        <v>aws s3 cp s3://rtdc.mdm.uploadarchive.raw/RTDC4018/ "%USERPROFILE%\AppData\Local\Temp\OnboardLogs"\RTDC4018\2017-10-01 --exclude "*" --recursive --include "*20171001*" &amp; "%USERPROFILE%\Documents\GitHub\mrs-test-scripts\Headless Mode &amp; Sideloading\WalkAndUnGZ.bat" "%USERPROFILE%\AppData\Local\Temp\OnboardLogs"\RTDC4018\2017-10-01 &amp; aws s3 cp s3://rtdc.mdm.uploadarchive.raw/RTDC4018/ "%USERPROFILE%\AppData\Local\Temp\OnboardLogs"\RTDC4018\2017-10-02 --exclude "*" --recursive --include "*20171002*" &amp; "%USERPROFILE%\Documents\GitHub\mrs-test-scripts\Headless Mode &amp; Sideloading\WalkAndUnGZ.bat" "%USERPROFILE%\AppData\Local\Temp\OnboardLogs"\RTDC4018\2017-10-02</v>
      </c>
      <c r="AF220" s="74" t="str">
        <f t="shared" si="154"/>
        <v>"C:\Program Files (x86)\AstroGrep\AstroGrep.exe" /e /r /s /spath="%USERPROFILE%\AppData\Local\Temp\OnboardLogs" /stypes="app*4018*20171001*" /stext=" 21:.+((SYSTEM_STATE.+slice.+state.+changed )|(ment ac)|(multiple cpu faults)|(system.+state.+changed )|(\[timeout)|(PRM\|1\|D)|(kpr)|(kdp)|(train st.+moving)|(\|lc)|(penalty))"</v>
      </c>
      <c r="AG220" s="182" t="str">
        <f t="shared" si="155"/>
        <v>Shuttle/Test</v>
      </c>
      <c r="AH220" s="78" t="str">
        <f t="shared" si="156"/>
        <v>"%USERPROFILE%\Documents\GitHub\eaglep3\Utilities\RefineRTDCRunTimes.py" --tripid 75-01 --locoid 4018 --swversion DE.1.0.9.0 --startMP 204:1484 --initTime 2017-10-01T14:08:17 --startdatetime 2017-10-01T14:30:14 --delay 95 --endMP 204:3398 --enddatetime 2017-10-01T15:05:29 --enforcementcount 0 &gt;&gt;c:\users\tmcdowell\Documents\GitHub\eaglep3-reporting\EC\2017-10-01-refined-times.txt</v>
      </c>
      <c r="AI220" s="96" t="str">
        <f t="shared" si="157"/>
        <v>echo {"issue":{"subject":"","project_id":79,"tracker_id":40,"status_id":1,"priority_id":2,"assigned_to_id":338,"start_date":"2017-10-01","description":"","custom_fields":[{"id":1,"name":"Subdivision","value":"Shuttle/Test"},{"id":4,"name":"Milepost","value":"0.3398"},{"id":17,"name":"Train ID","value":"75-01"},{"id":16,"name":"Locomotive ID","value":"4018"},{"id":130,"name":"Impact","value":""},{"id":150,"name":"Time of Event (Mountain Time)","value":"15:05:29"},{"id":151,"name":"Denver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58"/>
        <v>start /low /b %USERPROFILE%\Documents\GitHub\eaglep3\Utilities\DownloadLogsFromS3.py --loco 4018 --day 2017-10-01</v>
      </c>
      <c r="AN220" s="151" t="str">
        <f t="shared" si="15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60"/>
        <v>https://d0f6bd738d7f1b3e5a7ca70fe4ff75f0.us-east-1.aws.found.io/app/kibana#/discover/Steve-Slow-Train-Analysis-(2080s-and-2083s)?_g=(refreshInterval:(display:Off,pause:!f,section:0,value:0),time:(from:'2017-10-01T13:08:17-0600',mode:absolute,to:'2017-10-01T16:05:29-0600'))&amp;_a=(columns:!('Message%20ID',Summary),filters:!(),index:'emp_*',interval:auto,query:(query_string:(analyze_wildcard:!t,query:'%22rtdc.l.rtdc.4018%22')),sort:!(Time.ISO8601,asc))</v>
      </c>
    </row>
    <row r="221" spans="1:91" s="20" customFormat="1" x14ac:dyDescent="0.25">
      <c r="A221" s="32" t="s">
        <v>741</v>
      </c>
      <c r="B221" s="7">
        <v>4017</v>
      </c>
      <c r="C221" s="21" t="s">
        <v>195</v>
      </c>
      <c r="D221" s="21" t="s">
        <v>963</v>
      </c>
      <c r="E221" s="13">
        <v>43009.592164351852</v>
      </c>
      <c r="F221" s="13">
        <v>43009.604328703703</v>
      </c>
      <c r="G221" s="7">
        <v>63</v>
      </c>
      <c r="H221" s="21" t="s">
        <v>337</v>
      </c>
      <c r="I221" s="13">
        <v>43009.628807870373</v>
      </c>
      <c r="J221" s="7">
        <v>0</v>
      </c>
      <c r="K221" s="89" t="str">
        <f t="shared" si="147"/>
        <v>4017/4018</v>
      </c>
      <c r="L221" s="185" t="str">
        <f>VLOOKUP(A221,'Trips&amp;Operators'!$C$1:$G$99911,5,FALSE)</f>
        <v>LOPES KIMBERLY</v>
      </c>
      <c r="M221" s="6">
        <f t="shared" si="148"/>
        <v>2.4479166670062114E-2</v>
      </c>
      <c r="N221" s="7">
        <f t="shared" si="142"/>
        <v>35.250000004889444</v>
      </c>
      <c r="O221" s="7"/>
      <c r="P221" s="7"/>
      <c r="Q221" s="22"/>
      <c r="R221" s="174"/>
      <c r="S221" s="221">
        <f t="shared" si="143"/>
        <v>0</v>
      </c>
      <c r="T221" s="174" t="str">
        <f t="shared" si="149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50"/>
        <v>https://d0f6bd738d7f1b3e5a7ca70fe4ff75f0.us-east-1.aws.found.io/app/kibana#/discover/Steve-Slow-Train-Analysis-(2080s-and-2083s)?_g=(refreshInterval:(display:Off,pause:!f,section:0,value:0),time:(from:'2017-10-01T13:12:43-0600',mode:absolute,to:'2017-10-01T16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204" t="str">
        <f>IF(AA221&lt;VLOOKUP(AG221,Variables!$AC$3:$AD$8,2,FALSE),"Y","N")</f>
        <v>Y</v>
      </c>
      <c r="X221" s="204">
        <f t="shared" si="146"/>
        <v>0</v>
      </c>
      <c r="Y221" s="204">
        <f t="shared" si="144"/>
        <v>0.30840000000000001</v>
      </c>
      <c r="Z221" s="204">
        <f t="shared" si="145"/>
        <v>1.49E-2</v>
      </c>
      <c r="AA221" s="204">
        <f t="shared" si="151"/>
        <v>0.29349999999999998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52"/>
        <v>75</v>
      </c>
      <c r="AE221" s="77" t="str">
        <f t="shared" si="153"/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AF221" s="74" t="str">
        <f t="shared" si="154"/>
        <v>"C:\Program Files (x86)\AstroGrep\AstroGrep.exe" /e /r /s /spath="%USERPROFILE%\AppData\Local\Temp\OnboardLogs" /stypes="app*4017*20171001*" /stext=" 21:.+((SYSTEM_STATE.+slice.+state.+changed )|(ment ac)|(multiple cpu faults)|(system.+state.+changed )|(\[timeout)|(PRM\|1\|D)|(kpr)|(kdp)|(train st.+moving)|(\|lc)|(penalty))"</v>
      </c>
      <c r="AG221" s="182" t="str">
        <f t="shared" si="155"/>
        <v>Shuttle/Test</v>
      </c>
      <c r="AH221" s="78" t="str">
        <f t="shared" si="156"/>
        <v>"%USERPROFILE%\Documents\GitHub\eaglep3\Utilities\RefineRTDCRunTimes.py" --tripid 75-01 --locoid 4017 --swversion DE.1.0.9.0 --startMP 204:3084 --initTime 2017-10-01T14:12:43 --startdatetime 2017-10-01T14:30:14 --delay 63 --endMP 204:149 --enddatetime 2017-10-01T15:05:29 --enforcementcount 0 &gt;&gt;c:\users\tmcdowell\Documents\GitHub\eaglep3-reporting\EC\2017-10-01-refined-times.txt</v>
      </c>
      <c r="AI221" s="96" t="str">
        <f t="shared" si="157"/>
        <v>echo {"issue":{"subject":"","project_id":79,"tracker_id":40,"status_id":1,"priority_id":2,"assigned_to_id":338,"start_date":"2017-10-01","description":"","custom_fields":[{"id":1,"name":"Subdivision","value":"Shuttle/Test"},{"id":4,"name":"Milepost","value":"0.0149"},{"id":17,"name":"Train ID","value":"75-01"},{"id":16,"name":"Locomotive ID","value":"4017"},{"id":130,"name":"Impact","value":""},{"id":150,"name":"Time of Event (Mountain Time)","value":"15:05:29"},{"id":151,"name":"Denver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58"/>
        <v>start /low /b %USERPROFILE%\Documents\GitHub\eaglep3\Utilities\DownloadLogsFromS3.py --loco 4017 --day 2017-10-01</v>
      </c>
      <c r="AN221" s="151" t="str">
        <f t="shared" si="15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60"/>
        <v>https://d0f6bd738d7f1b3e5a7ca70fe4ff75f0.us-east-1.aws.found.io/app/kibana#/discover/Steve-Slow-Train-Analysis-(2080s-and-2083s)?_g=(refreshInterval:(display:Off,pause:!f,section:0,value:0),time:(from:'2017-10-01T13:12:43-0600',mode:absolute,to:'2017-10-01T16:05:29-0600'))&amp;_a=(columns:!('Message%20ID',Summary),filters:!(),index:'emp_*',interval:auto,query:(query_string:(analyze_wildcard:!t,query:'%22rtdc.l.rtdc.4017%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770</v>
      </c>
      <c r="B222" s="7">
        <v>4060</v>
      </c>
      <c r="C222" s="21" t="s">
        <v>195</v>
      </c>
      <c r="D222" s="21" t="s">
        <v>575</v>
      </c>
      <c r="E222" s="13">
        <v>43009.719317129631</v>
      </c>
      <c r="F222" s="13">
        <v>43009.721284722225</v>
      </c>
      <c r="G222" s="7">
        <v>103</v>
      </c>
      <c r="H222" s="21" t="s">
        <v>576</v>
      </c>
      <c r="I222" s="13">
        <v>43009.728067129632</v>
      </c>
      <c r="J222" s="7">
        <v>0</v>
      </c>
      <c r="K222" s="89" t="str">
        <f t="shared" si="147"/>
        <v>4059/4060</v>
      </c>
      <c r="L222" s="185" t="str">
        <f>VLOOKUP(A222,'Trips&amp;Operators'!$C$1:$G$99911,5,FALSE)</f>
        <v>GONZALEZ ARMANDO</v>
      </c>
      <c r="M222" s="6">
        <f t="shared" si="148"/>
        <v>6.7824074067175388E-3</v>
      </c>
      <c r="N222" s="7">
        <f t="shared" si="142"/>
        <v>9.7666666656732559</v>
      </c>
      <c r="O222" s="7"/>
      <c r="P222" s="7"/>
      <c r="Q222" s="22"/>
      <c r="R222" s="174"/>
      <c r="S222" s="221">
        <f t="shared" si="143"/>
        <v>1</v>
      </c>
      <c r="T222" s="174" t="str">
        <f t="shared" si="149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50"/>
        <v>https://d0f6bd738d7f1b3e5a7ca70fe4ff75f0.us-east-1.aws.found.io/app/kibana#/discover/Steve-Slow-Train-Analysis-(2080s-and-2083s)?_g=(refreshInterval:(display:Off,pause:!f,section:0,value:0),time:(from:'2017-10-01T16:15:49-0600',mode:absolute,to:'2017-10-01T18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204" t="str">
        <f>IF(AA222&lt;VLOOKUP(AG222,Variables!$AC$3:$AD$8,2,FALSE),"Y","N")</f>
        <v>Y</v>
      </c>
      <c r="X222" s="204">
        <f t="shared" si="146"/>
        <v>2</v>
      </c>
      <c r="Y222" s="204">
        <f t="shared" si="144"/>
        <v>0.11559999999999999</v>
      </c>
      <c r="Z222" s="204">
        <f t="shared" si="145"/>
        <v>2.3313999999999999</v>
      </c>
      <c r="AA222" s="204">
        <f t="shared" si="151"/>
        <v>2.2157999999999998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52"/>
        <v>77</v>
      </c>
      <c r="AE222" s="77" t="str">
        <f t="shared" si="153"/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AF222" s="74" t="str">
        <f t="shared" si="154"/>
        <v>"C:\Program Files (x86)\AstroGrep\AstroGrep.exe" /e /r /s /spath="%USERPROFILE%\AppData\Local\Temp\OnboardLogs" /stypes="app*4060*20171001*" /stext=" 23:.+((SYSTEM_STATE.+slice.+state.+changed )|(ment ac)|(multiple cpu faults)|(system.+state.+changed )|(\[timeout)|(PRM\|1\|D)|(kpr)|(kdp)|(train st.+moving)|(\|lc)|(penalty))"</v>
      </c>
      <c r="AG222" s="182" t="str">
        <f t="shared" si="155"/>
        <v>Shuttle/Test</v>
      </c>
      <c r="AH222" s="78" t="str">
        <f t="shared" si="156"/>
        <v>"%USERPROFILE%\Documents\GitHub\eaglep3\Utilities\RefineRTDCRunTimes.py" --tripid 77-01 --locoid 4060 --swversion DE.1.0.9.0 --startMP 204:1156 --initTime 2017-10-01T17:15:49 --startdatetime 2017-10-01T17:18:39 --delay 103 --endMP 300:23314 --enddatetime 2017-10-01T17:28:25 --enforcementcount 0 &gt;&gt;c:\users\tmcdowell\Documents\GitHub\eaglep3-reporting\EC\2017-10-01-refined-times.txt</v>
      </c>
      <c r="AI222" s="96" t="str">
        <f t="shared" si="157"/>
        <v>echo {"issue":{"subject":"","project_id":79,"tracker_id":40,"status_id":1,"priority_id":2,"assigned_to_id":338,"start_date":"2017-10-01","description":"","custom_fields":[{"id":1,"name":"Subdivision","value":"Shuttle/Test"},{"id":4,"name":"Milepost","value":"2.3314"},{"id":17,"name":"Train ID","value":"77-01"},{"id":16,"name":"Locomotive ID","value":"4060"},{"id":130,"name":"Impact","value":""},{"id":150,"name":"Time of Event (Mountain Time)","value":"17:28:25"},{"id":151,"name":"Denver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58"/>
        <v>start /low /b %USERPROFILE%\Documents\GitHub\eaglep3\Utilities\DownloadLogsFromS3.py --loco 4060 --day 2017-10-01</v>
      </c>
      <c r="AN222" s="151" t="str">
        <f t="shared" si="159"/>
        <v>echo {"issue":{"subject":"","project_id":30,"tracker_id":4,"status_id":1,"priority_id":1,"assigned_to_id":10,"start_date":"2017-10-01","description":"","custom_fields":[{"id":30,"name":"Category","value":"Issue"},{"id":3,"name":"Functional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UTC","value":"2017-10-01 23:28:25"},{"id":29,"name":"Sharepoint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60"/>
        <v>https://d0f6bd738d7f1b3e5a7ca70fe4ff75f0.us-east-1.aws.found.io/app/kibana#/discover/Steve-Slow-Train-Analysis-(2080s-and-2083s)?_g=(refreshInterval:(display:Off,pause:!f,section:0,value:0),time:(from:'2017-10-01T16:15:49-0600',mode:absolute,to:'2017-10-01T18:28:25-0600'))&amp;_a=(columns:!('Message%20ID',Summary),filters:!(),index:'emp_*',interval:auto,query:(query_string:(analyze_wildcard:!t,query:'%22rtdc.l.rtdc.4060%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4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4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4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4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4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4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4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4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4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4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4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4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4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4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4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</sheetData>
  <autoFilter ref="A12:AG332">
    <sortState ref="A13:AG321">
      <sortCondition ref="AG13:AG211"/>
      <sortCondition ref="AD13:AD211"/>
    </sortState>
  </autoFilter>
  <sortState ref="A13:AN269">
    <sortCondition ref="AG13:AG269"/>
    <sortCondition ref="AD13:AD269"/>
  </sortState>
  <mergeCells count="1">
    <mergeCell ref="A11:P11"/>
  </mergeCells>
  <conditionalFormatting sqref="W11:W12 W338:X1048576 W13:X222">
    <cfRule type="cellIs" dxfId="10" priority="422" operator="equal">
      <formula>"Y"</formula>
    </cfRule>
  </conditionalFormatting>
  <conditionalFormatting sqref="X338:X1048576 X13:X222">
    <cfRule type="cellIs" dxfId="9" priority="405" operator="greaterThan">
      <formula>1</formula>
    </cfRule>
  </conditionalFormatting>
  <conditionalFormatting sqref="X338:X1048576 X12:X222">
    <cfRule type="cellIs" dxfId="8" priority="402" operator="equal">
      <formula>0</formula>
    </cfRule>
  </conditionalFormatting>
  <conditionalFormatting sqref="A13:S222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COUNTIF($O$7:$O$244,"=Y")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COUNTA($O$7:$O$244)-O2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- 2017-10-01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190</v>
      </c>
    </row>
    <row r="7" spans="1:32" s="1" customFormat="1" x14ac:dyDescent="0.25">
      <c r="A7" s="31">
        <v>43009.446701388886</v>
      </c>
      <c r="B7" s="30" t="s">
        <v>415</v>
      </c>
      <c r="C7" s="30" t="s">
        <v>594</v>
      </c>
      <c r="D7" s="30" t="s">
        <v>95</v>
      </c>
      <c r="E7" s="30" t="s">
        <v>186</v>
      </c>
      <c r="F7" s="42">
        <v>0</v>
      </c>
      <c r="G7" s="42">
        <v>523</v>
      </c>
      <c r="H7" s="42">
        <v>58250</v>
      </c>
      <c r="I7" s="42">
        <v>59655</v>
      </c>
      <c r="J7" s="30" t="s">
        <v>187</v>
      </c>
      <c r="K7" s="42">
        <v>58118</v>
      </c>
      <c r="L7" s="131" t="s">
        <v>50</v>
      </c>
      <c r="M7" s="132">
        <f t="shared" ref="M7:M43" si="0">CONVERT((I7-K7)/10000,"mi","ft")*IF(L7="Increasing Mileposts (1)",-1,1)</f>
        <v>-811.53599999999994</v>
      </c>
      <c r="N7" s="133" t="str">
        <f>VLOOKUP(C7,'Trips&amp;Operators'!$C$1:$G$99911,5,FALSE)</f>
        <v>WILLIAMS DONTE</v>
      </c>
      <c r="O7" s="176" t="s">
        <v>400</v>
      </c>
      <c r="P7" s="134" t="s">
        <v>991</v>
      </c>
      <c r="Q7" s="30"/>
      <c r="R7" s="81" t="str">
        <f>VLOOKUP(C7,'Train Runs'!$A$13:$AE$9991,31,0)</f>
        <v>aws s3 cp s3://rtdc.mdm.uploadarchive.raw/RTDC4044/ "%USERPROFILE%\AppData\Local\Temp\OnboardLogs"\RTDC4044\2017-10-01 --exclude "*" --recursive --include "*20171001*" &amp; "%USERPROFILE%\Documents\GitHub\mrs-test-scripts\Headless Mode &amp; Sideloading\WalkAndUnGZ.bat" "%USERPROFILE%\AppData\Local\Temp\OnboardLogs"\RTDC4044\2017-10-01 &amp; aws s3 cp s3://rtdc.mdm.uploadarchive.raw/RTDC4044/ "%USERPROFILE%\AppData\Local\Temp\OnboardLogs"\RTDC4044\2017-10-02 --exclude "*" --recursive --include "*20171002*" &amp; "%USERPROFILE%\Documents\GitHub\mrs-test-scripts\Headless Mode &amp; Sideloading\WalkAndUnGZ.bat" "%USERPROFILE%\AppData\Local\Temp\OnboardLogs"\RTDC4044\2017-10-02</v>
      </c>
      <c r="S7" s="84" t="str">
        <f>VLOOKUP(C7,'Train Runs'!$A$13:$AE$9991,22,0)</f>
        <v>https://d0f6bd738d7f1b3e5a7ca70fe4ff75f0.us-east-1.aws.found.io/app/kibana#/discover/Steve-Slow-Train-Analysis-(2080s-and-2083s)?_g=(refreshInterval:(display:Off,pause:!f,section:0,value:0),time:(from:'2017-10-01T09:24:03-0600',mode:absolute,to:'2017-10-01T12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6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/stypes="*4044*201710011*" /stext=" 16:.+((SYSTEM_STATE.+slice.+state.+changed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4044</v>
      </c>
      <c r="V7" s="31">
        <f t="shared" ref="V7:V43" si="3">A7-utc_offset/24</f>
        <v>43009.696701388886</v>
      </c>
      <c r="W7" s="45" t="str">
        <f t="shared" ref="W7:W43" si="4">DetSubdiv(C7)</f>
        <v>EC</v>
      </c>
      <c r="X7" s="22">
        <f t="shared" ref="X7:X43" si="5">VALUE(LEFT(C7,LEN(C7)-3))</f>
        <v>155</v>
      </c>
      <c r="Y7" s="96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 exacerbated by Wi-MAX data drop","project_id":79,"tracker_id":40,"status_id":1,"priority_id":2,"assigned_to_id":338,"start_date":"2017-10-01","description":"","custom_fields":[{"id":1,"name":"Subdivision","value":"EC"},{"id":4,"name":"Milepost","value":"5.8118"},{"id":17,"name":"Train ID","value":"155-01"},{"id":16,"name":"Locomotive ID","value":"4044"},{"id":130,"name":"Impact","value":""},{"id":150,"name":"Time of Event (Mountain Time)","value":"10:43:15"},{"id":151,"name":"Denver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/c/Users/stu/AppData/Local/Temp/OnboardLogs/RTDC4044 --include="*4044*201710011*"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"%USERPROFILE%\AppData\Local\Temp\OnboardLogs"\RTDC4044\*4044*201710011* &gt;&gt; 2017-10-01-SliceDisagreementCheck.txt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4044 --day 2017-10-01</v>
      </c>
    </row>
    <row r="8" spans="1:32" s="1" customFormat="1" x14ac:dyDescent="0.25">
      <c r="A8" s="31">
        <v>43009.478055555555</v>
      </c>
      <c r="B8" s="30" t="s">
        <v>519</v>
      </c>
      <c r="C8" s="30" t="s">
        <v>597</v>
      </c>
      <c r="D8" s="30" t="s">
        <v>49</v>
      </c>
      <c r="E8" s="30" t="s">
        <v>186</v>
      </c>
      <c r="F8" s="42">
        <v>0</v>
      </c>
      <c r="G8" s="42">
        <v>454</v>
      </c>
      <c r="H8" s="42">
        <v>58009</v>
      </c>
      <c r="I8" s="42">
        <v>58987</v>
      </c>
      <c r="J8" s="30" t="s">
        <v>187</v>
      </c>
      <c r="K8" s="42">
        <v>58118</v>
      </c>
      <c r="L8" s="131" t="s">
        <v>50</v>
      </c>
      <c r="M8" s="132">
        <f t="shared" si="0"/>
        <v>-458.83199999999999</v>
      </c>
      <c r="N8" s="133" t="str">
        <f>VLOOKUP(C8,'Trips&amp;Operators'!$C$1:$G$99911,5,FALSE)</f>
        <v>DAVIS MICHAEL</v>
      </c>
      <c r="O8" s="176" t="s">
        <v>179</v>
      </c>
      <c r="P8" s="134" t="s">
        <v>363</v>
      </c>
      <c r="Q8" s="30"/>
      <c r="R8" s="81" t="str">
        <f>VLOOKUP(C8,'Train Runs'!$A$13:$AE$9991,31,0)</f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S8" s="84" t="str">
        <f>VLOOKUP(C8,'Train Runs'!$A$13:$AE$9991,22,0)</f>
        <v>https://d0f6bd738d7f1b3e5a7ca70fe4ff75f0.us-east-1.aws.found.io/app/kibana#/discover/Steve-Slow-Train-Analysis-(2080s-and-2083s)?_g=(refreshInterval:(display:Off,pause:!f,section:0,value:0),time:(from:'2017-10-01T10:12:25-0600',mode:absolute,to:'2017-10-01T12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8" s="86" t="str">
        <f t="shared" si="1"/>
        <v>"C:\Program Files (x86)\AstroGrep\AstroGrep.exe" /e /r /s /spath="%USERPROFILE%\AppData\Local\Temp\OnboardLogs" /stypes="*4060*201710011*"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4060</v>
      </c>
      <c r="V8" s="31">
        <f t="shared" si="3"/>
        <v>43009.728055555555</v>
      </c>
      <c r="W8" s="45" t="str">
        <f t="shared" si="4"/>
        <v>EC</v>
      </c>
      <c r="X8" s="22">
        <f t="shared" si="5"/>
        <v>161</v>
      </c>
      <c r="Y8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Arrival","project_id":79,"tracker_id":40,"status_id":1,"priority_id":2,"assigned_to_id":338,"start_date":"2017-10-01","description":"","custom_fields":[{"id":1,"name":"Subdivision","value":"EC"},{"id":4,"name":"Milepost","value":"5.8118"},{"id":17,"name":"Train ID","value":"161-01"},{"id":16,"name":"Locomotive ID","value":"4060"},{"id":130,"name":"Impact","value":""},{"id":150,"name":"Time of Event (Mountain Time)","value":"11:28:24"},{"id":151,"name":"Denver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/c/Users/stu/AppData/Local/Temp/OnboardLogs/RTDC4060 --include="*4060*201710011*"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"%USERPROFILE%\AppData\Local\Temp\OnboardLogs"\RTDC4060\*4060*201710011* &gt;&gt; 2017-10-01-SliceDisagreementCheck.txt</v>
      </c>
      <c r="AE8" s="145" t="str">
        <f t="shared" ref="AE8:AE43" si="9">"start /low /b "&amp;dls3logs&amp;" --loco "&amp;U8&amp;" --day "&amp;TEXT(V8,"YYYY-MM-DD")</f>
        <v>start /low /b %USERPROFILE%\Documents\GitHub\eaglep3\Utilities\DownloadLogsFromS3.py --loco 4060 --day 2017-10-01</v>
      </c>
    </row>
    <row r="9" spans="1:32" s="1" customFormat="1" x14ac:dyDescent="0.25">
      <c r="A9" s="31">
        <v>43009.551006944443</v>
      </c>
      <c r="B9" s="30" t="s">
        <v>519</v>
      </c>
      <c r="C9" s="30" t="s">
        <v>599</v>
      </c>
      <c r="D9" s="30" t="s">
        <v>49</v>
      </c>
      <c r="E9" s="30" t="s">
        <v>186</v>
      </c>
      <c r="F9" s="42">
        <v>0</v>
      </c>
      <c r="G9" s="42">
        <v>494</v>
      </c>
      <c r="H9" s="42">
        <v>56370</v>
      </c>
      <c r="I9" s="42">
        <v>57851</v>
      </c>
      <c r="J9" s="30" t="s">
        <v>187</v>
      </c>
      <c r="K9" s="42">
        <v>58783</v>
      </c>
      <c r="L9" s="131" t="s">
        <v>50</v>
      </c>
      <c r="M9" s="132">
        <f t="shared" si="0"/>
        <v>492.096</v>
      </c>
      <c r="N9" s="133" t="str">
        <f>VLOOKUP(C9,'Trips&amp;Operators'!$C$1:$G$99911,5,FALSE)</f>
        <v>DAVIS MICHAEL</v>
      </c>
      <c r="O9" s="176" t="s">
        <v>179</v>
      </c>
      <c r="P9" s="134" t="s">
        <v>363</v>
      </c>
      <c r="Q9" s="30"/>
      <c r="R9" s="81" t="str">
        <f>VLOOKUP(C9,'Train Runs'!$A$13:$AE$9991,31,0)</f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S9" s="84" t="str">
        <f>VLOOKUP(C9,'Train Runs'!$A$13:$AE$9991,22,0)</f>
        <v>https://d0f6bd738d7f1b3e5a7ca70fe4ff75f0.us-east-1.aws.found.io/app/kibana#/discover/Steve-Slow-Train-Analysis-(2080s-and-2083s)?_g=(refreshInterval:(display:Off,pause:!f,section:0,value:0),time:(from:'2017-10-01T11:57:53-0600',mode:absolute,to:'2017-10-01T14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9" s="86" t="str">
        <f t="shared" si="1"/>
        <v>"C:\Program Files (x86)\AstroGrep\AstroGrep.exe" /e /r /s /spath="%USERPROFILE%\AppData\Local\Temp\OnboardLogs" /stypes="*4060*201710011*"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4060</v>
      </c>
      <c r="V9" s="31">
        <f t="shared" si="3"/>
        <v>43009.801006944443</v>
      </c>
      <c r="W9" s="45" t="str">
        <f t="shared" si="4"/>
        <v>EC</v>
      </c>
      <c r="X9" s="22">
        <f t="shared" si="5"/>
        <v>175</v>
      </c>
      <c r="Y9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Arrival","project_id":79,"tracker_id":40,"status_id":1,"priority_id":2,"assigned_to_id":338,"start_date":"2017-10-01","description":"","custom_fields":[{"id":1,"name":"Subdivision","value":"EC"},{"id":4,"name":"Milepost","value":"5.8783"},{"id":17,"name":"Train ID","value":"175-01"},{"id":16,"name":"Locomotive ID","value":"4060"},{"id":130,"name":"Impact","value":""},{"id":150,"name":"Time of Event (Mountain Time)","value":"13:13:27"},{"id":151,"name":"Denver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/c/Users/stu/AppData/Local/Temp/OnboardLogs/RTDC4060 --include="*4060*201710011*"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"%USERPROFILE%\AppData\Local\Temp\OnboardLogs"\RTDC4060\*4060*201710011* &gt;&gt; 2017-10-01-SliceDisagreementCheck.txt</v>
      </c>
      <c r="AE9" s="145" t="str">
        <f t="shared" si="9"/>
        <v>start /low /b %USERPROFILE%\Documents\GitHub\eaglep3\Utilities\DownloadLogsFromS3.py --loco 4060 --day 2017-10-01</v>
      </c>
    </row>
    <row r="10" spans="1:32" s="1" customFormat="1" x14ac:dyDescent="0.25">
      <c r="A10" s="31">
        <v>43009.770219907405</v>
      </c>
      <c r="B10" s="30" t="s">
        <v>437</v>
      </c>
      <c r="C10" s="30" t="s">
        <v>610</v>
      </c>
      <c r="D10" s="30" t="s">
        <v>95</v>
      </c>
      <c r="E10" s="30" t="s">
        <v>186</v>
      </c>
      <c r="F10" s="42">
        <v>350</v>
      </c>
      <c r="G10" s="42">
        <v>400</v>
      </c>
      <c r="H10" s="42">
        <v>108932</v>
      </c>
      <c r="I10" s="42">
        <v>107330</v>
      </c>
      <c r="J10" s="30" t="s">
        <v>187</v>
      </c>
      <c r="K10" s="42">
        <v>109135</v>
      </c>
      <c r="L10" s="131" t="s">
        <v>51</v>
      </c>
      <c r="M10" s="132">
        <f t="shared" si="0"/>
        <v>-953.04</v>
      </c>
      <c r="N10" s="133" t="str">
        <f>VLOOKUP(C10,'Trips&amp;Operators'!$C$1:$G$99911,5,FALSE)</f>
        <v>STAMBAUGH JAMES</v>
      </c>
      <c r="O10" s="176" t="s">
        <v>179</v>
      </c>
      <c r="P10" s="134" t="s">
        <v>363</v>
      </c>
      <c r="Q10" s="30"/>
      <c r="R10" s="81" t="str">
        <f>VLOOKUP(C10,'Train Runs'!$A$13:$AE$9991,31,0)</f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S10" s="84" t="str">
        <f>VLOOKUP(C10,'Train Runs'!$A$13:$AE$9991,22,0)</f>
        <v>https://d0f6bd738d7f1b3e5a7ca70fe4ff75f0.us-east-1.aws.found.io/app/kibana#/discover/Steve-Slow-Train-Analysis-(2080s-and-2083s)?_g=(refreshInterval:(display:Off,pause:!f,section:0,value:0),time:(from:'2017-10-01T17:05:03-0600',mode:absolute,to:'2017-10-01T19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0" s="86" t="str">
        <f t="shared" si="1"/>
        <v>"C:\Program Files (x86)\AstroGrep\AstroGrep.exe" /e /r /s /spath="%USERPROFILE%\AppData\Local\Temp\OnboardLogs" /stypes="*4013*201710020*"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4013</v>
      </c>
      <c r="V10" s="31">
        <f t="shared" si="3"/>
        <v>43010.020219907405</v>
      </c>
      <c r="W10" s="45" t="str">
        <f t="shared" si="4"/>
        <v>EC</v>
      </c>
      <c r="X10" s="22">
        <f t="shared" si="5"/>
        <v>210</v>
      </c>
      <c r="Y10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Arrival","project_id":79,"tracker_id":40,"status_id":1,"priority_id":2,"assigned_to_id":338,"start_date":"2017-10-01","description":"","custom_fields":[{"id":1,"name":"Subdivision","value":"EC"},{"id":4,"name":"Milepost","value":"10.9135"},{"id":17,"name":"Train ID","value":"210-01"},{"id":16,"name":"Locomotive ID","value":"4013"},{"id":130,"name":"Impact","value":""},{"id":150,"name":"Time of Event (Mountain Time)","value":"18:29:07"},{"id":151,"name":"Denver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/c/Users/stu/AppData/Local/Temp/OnboardLogs/RTDC4013 --include="*4013*201710020*"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"%USERPROFILE%\AppData\Local\Temp\OnboardLogs"\RTDC4013\*4013*201710020* &gt;&gt; 2017-10-01-SliceDisagreementCheck.txt</v>
      </c>
      <c r="AE10" s="145" t="str">
        <f t="shared" si="9"/>
        <v>start /low /b %USERPROFILE%\Documents\GitHub\eaglep3\Utilities\DownloadLogsFromS3.py --loco 4013 --day 2017-10-02</v>
      </c>
    </row>
    <row r="11" spans="1:32" s="1" customFormat="1" x14ac:dyDescent="0.25">
      <c r="A11" s="31">
        <v>43009.562291666669</v>
      </c>
      <c r="B11" s="30" t="s">
        <v>437</v>
      </c>
      <c r="C11" s="30" t="s">
        <v>600</v>
      </c>
      <c r="D11" s="30" t="s">
        <v>49</v>
      </c>
      <c r="E11" s="30" t="s">
        <v>193</v>
      </c>
      <c r="F11" s="42">
        <v>300</v>
      </c>
      <c r="G11" s="42">
        <v>421</v>
      </c>
      <c r="H11" s="42">
        <v>23306</v>
      </c>
      <c r="I11" s="42">
        <v>22088</v>
      </c>
      <c r="J11" s="30" t="s">
        <v>194</v>
      </c>
      <c r="K11" s="42">
        <v>21848</v>
      </c>
      <c r="L11" s="131" t="s">
        <v>51</v>
      </c>
      <c r="M11" s="132">
        <f t="shared" si="0"/>
        <v>126.72</v>
      </c>
      <c r="N11" s="133" t="str">
        <f>VLOOKUP(C11,'Trips&amp;Operators'!$C$1:$G$99911,5,FALSE)</f>
        <v>BADERTSCHER DIANE</v>
      </c>
      <c r="O11" s="176" t="s">
        <v>179</v>
      </c>
      <c r="P11" s="134"/>
      <c r="Q11" s="30"/>
      <c r="R11" s="81" t="str">
        <f>VLOOKUP(C11,'Train Runs'!$A$13:$AE$9991,31,0)</f>
        <v>aws s3 cp s3://rtdc.mdm.uploadarchive.raw/RTDC4013/ "%USERPROFILE%\AppData\Local\Temp\OnboardLogs"\RTDC4013\2017-10-01 --exclude "*" --recursive --include "*20171001*" &amp; "%USERPROFILE%\Documents\GitHub\mrs-test-scripts\Headless Mode &amp; Sideloading\WalkAndUnGZ.bat" "%USERPROFILE%\AppData\Local\Temp\OnboardLogs"\RTDC4013\2017-10-01 &amp; aws s3 cp s3://rtdc.mdm.uploadarchive.raw/RTDC4013/ "%USERPROFILE%\AppData\Local\Temp\OnboardLogs"\RTDC4013\2017-10-02 --exclude "*" --recursive --include "*20171002*" &amp; "%USERPROFILE%\Documents\GitHub\mrs-test-scripts\Headless Mode &amp; Sideloading\WalkAndUnGZ.bat" "%USERPROFILE%\AppData\Local\Temp\OnboardLogs"\RTDC4013\2017-10-02</v>
      </c>
      <c r="S11" s="84" t="str">
        <f>VLOOKUP(C11,'Train Runs'!$A$13:$AE$9991,22,0)</f>
        <v>https://d0f6bd738d7f1b3e5a7ca70fe4ff75f0.us-east-1.aws.found.io/app/kibana#/discover/Steve-Slow-Train-Analysis-(2080s-and-2083s)?_g=(refreshInterval:(display:Off,pause:!f,section:0,value:0),time:(from:'2017-10-01T11:46:34-0600',mode:absolute,to:'2017-10-01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 t="shared" si="1"/>
        <v>"C:\Program Files (x86)\AstroGrep\AstroGrep.exe" /e /r /s /spath="%USERPROFILE%\AppData\Local\Temp\OnboardLogs" /stypes="*4013*201710011*"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4013</v>
      </c>
      <c r="V11" s="31">
        <f t="shared" si="3"/>
        <v>43009.812291666669</v>
      </c>
      <c r="W11" s="45" t="str">
        <f t="shared" si="4"/>
        <v>EC</v>
      </c>
      <c r="X11" s="22">
        <f t="shared" si="5"/>
        <v>168</v>
      </c>
      <c r="Y11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{"issue":{"subject":"","project_id":79,"tracker_id":40,"status_id":1,"priority_id":2,"assigned_to_id":338,"start_date":"2017-10-01","description":"","custom_fields":[{"id":1,"name":"Subdivision","value":"EC"},{"id":4,"name":"Milepost","value":"2.1848"},{"id":17,"name":"Train ID","value":"168-01"},{"id":16,"name":"Locomotive ID","value":"4013"},{"id":130,"name":"Impact","value":""},{"id":150,"name":"Time of Event (Mountain Time)","value":"13:29:42"},{"id":151,"name":"Denver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/c/Users/stu/AppData/Local/Temp/OnboardLogs/RTDC4013 --include="*4013*201710011*"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"%USERPROFILE%\AppData\Local\Temp\OnboardLogs"\RTDC4013\*4013*201710011* &gt;&gt; 2017-10-01-SliceDisagreementCheck.txt</v>
      </c>
      <c r="AE11" s="145" t="str">
        <f t="shared" si="9"/>
        <v>start /low /b %USERPROFILE%\Documents\GitHub\eaglep3\Utilities\DownloadLogsFromS3.py --loco 4013 --day 2017-10-01</v>
      </c>
    </row>
    <row r="12" spans="1:32" x14ac:dyDescent="0.25">
      <c r="A12" s="31">
        <v>43009.457731481481</v>
      </c>
      <c r="B12" s="30" t="s">
        <v>511</v>
      </c>
      <c r="C12" s="30" t="s">
        <v>596</v>
      </c>
      <c r="D12" s="30" t="s">
        <v>95</v>
      </c>
      <c r="E12" s="30" t="s">
        <v>193</v>
      </c>
      <c r="F12" s="42">
        <v>200</v>
      </c>
      <c r="G12" s="42">
        <v>250</v>
      </c>
      <c r="H12" s="42">
        <v>30252</v>
      </c>
      <c r="I12" s="42">
        <v>29478</v>
      </c>
      <c r="J12" s="30" t="s">
        <v>194</v>
      </c>
      <c r="K12" s="42">
        <v>30562</v>
      </c>
      <c r="L12" s="131" t="s">
        <v>51</v>
      </c>
      <c r="M12" s="132">
        <f t="shared" si="0"/>
        <v>-572.35199999999998</v>
      </c>
      <c r="N12" s="133" t="str">
        <f>VLOOKUP(C12,'Trips&amp;Operators'!$C$1:$G$99911,5,FALSE)</f>
        <v>DAVIS WENDY</v>
      </c>
      <c r="O12" s="176" t="s">
        <v>179</v>
      </c>
      <c r="P12" s="134"/>
      <c r="Q12" s="30"/>
      <c r="R12" s="81" t="str">
        <f>VLOOKUP(C12,'Train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12" s="84" t="str">
        <f>VLOOKUP(C12,'Train Runs'!$A$13:$AE$9991,22,0)</f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 t="shared" si="1"/>
        <v>"C:\Program Files (x86)\AstroGrep\AstroGrep.exe" /e /r /s /spath="%USERPROFILE%\AppData\Local\Temp\OnboardLogs" /stypes="*4059*201710011*"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43009.707731481481</v>
      </c>
      <c r="W12" s="45" t="str">
        <f t="shared" si="4"/>
        <v>EC</v>
      </c>
      <c r="X12" s="22">
        <f t="shared" si="5"/>
        <v>148</v>
      </c>
      <c r="Y12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{"issue":{"subject":"","project_id":79,"tracker_id":40,"status_id":1,"priority_id":2,"assigned_to_id":338,"start_date":"2017-10-01","description":"","custom_fields":[{"id":1,"name":"Subdivision","value":"EC"},{"id":4,"name":"Milepost","value":"3.0562"},{"id":17,"name":"Train ID","value":"148-01"},{"id":16,"name":"Locomotive ID","value":"4059"},{"id":130,"name":"Impact","value":""},{"id":150,"name":"Time of Event (Mountain Time)","value":"10:59:08"},{"id":151,"name":"Denver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/c/Users/stu/AppData/Local/Temp/OnboardLogs/RTDC4059 --include="*4059*201710011*"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12" s="145" t="str">
        <f t="shared" si="9"/>
        <v>start /low /b %USERPROFILE%\Documents\GitHub\eaglep3\Utilities\DownloadLogsFromS3.py --loco 4059 --day 2017-10-01</v>
      </c>
      <c r="AF12" s="1"/>
    </row>
    <row r="13" spans="1:32" x14ac:dyDescent="0.25">
      <c r="A13" s="31">
        <v>43009.898472222223</v>
      </c>
      <c r="B13" s="30" t="s">
        <v>606</v>
      </c>
      <c r="C13" s="30" t="s">
        <v>615</v>
      </c>
      <c r="D13" s="30" t="s">
        <v>95</v>
      </c>
      <c r="E13" s="30" t="s">
        <v>193</v>
      </c>
      <c r="F13" s="42">
        <v>600</v>
      </c>
      <c r="G13" s="42">
        <v>652</v>
      </c>
      <c r="H13" s="42">
        <v>184024</v>
      </c>
      <c r="I13" s="42">
        <v>180545</v>
      </c>
      <c r="J13" s="30" t="s">
        <v>194</v>
      </c>
      <c r="K13" s="42">
        <v>191104</v>
      </c>
      <c r="L13" s="131" t="s">
        <v>51</v>
      </c>
      <c r="M13" s="132">
        <f t="shared" si="0"/>
        <v>-5575.152000000001</v>
      </c>
      <c r="N13" s="133" t="str">
        <f>VLOOKUP(C13,'Trips&amp;Operators'!$C$1:$G$99911,5,FALSE)</f>
        <v>DUNCAN SHEILA</v>
      </c>
      <c r="O13" s="176" t="s">
        <v>179</v>
      </c>
      <c r="P13" s="134"/>
      <c r="Q13" s="30"/>
      <c r="R13" s="81" t="str">
        <f>VLOOKUP(C13,'Train Runs'!$A$13:$AE$9991,31,0)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S13" s="84" t="str">
        <f>VLOOKUP(C13,'Train Runs'!$A$13:$AE$9991,22,0)</f>
        <v>https://d0f6bd738d7f1b3e5a7ca70fe4ff75f0.us-east-1.aws.found.io/app/kibana#/discover/Steve-Slow-Train-Analysis-(2080s-and-2083s)?_g=(refreshInterval:(display:Off,pause:!f,section:0,value:0),time:(from:'2017-10-01T20:20:14-0600',mode:absolute,to:'2017-10-01T23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86" t="str">
        <f t="shared" si="1"/>
        <v>"C:\Program Files (x86)\AstroGrep\AstroGrep.exe" /e /r /s /spath="%USERPROFILE%\AppData\Local\Temp\OnboardLogs" /stypes="*4041*201710020*" /stext=" 03:.+((SYSTEM_STATE.+slice.+state.+changed )|(ment ac)|(multiple cpu faults)|(system.+state.+changed )|(\[timeout)|(PRM\|1\|D)|(kpr)|(kdp)|(train st.+moving)|(\|lc)|(penalty))"</v>
      </c>
      <c r="U13" s="9" t="str">
        <f t="shared" si="2"/>
        <v>4041</v>
      </c>
      <c r="V13" s="31">
        <f t="shared" si="3"/>
        <v>43010.148472222223</v>
      </c>
      <c r="W13" s="45" t="str">
        <f t="shared" si="4"/>
        <v>EC</v>
      </c>
      <c r="X13" s="22">
        <f t="shared" si="5"/>
        <v>228</v>
      </c>
      <c r="Y13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{"issue":{"subject":"","project_id":79,"tracker_id":40,"status_id":1,"priority_id":2,"assigned_to_id":338,"start_date":"2017-10-01","description":"","custom_fields":[{"id":1,"name":"Subdivision","value":"EC"},{"id":4,"name":"Milepost","value":"19.1104"},{"id":17,"name":"Train ID","value":"228-01"},{"id":16,"name":"Locomotive ID","value":"4041"},{"id":130,"name":"Impact","value":""},{"id":150,"name":"Time of Event (Mountain Time)","value":"21:33:48"},{"id":151,"name":"Denver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/c/Users/stu/AppData/Local/Temp/OnboardLogs/RTDC4041 --include="*4041*201710020*"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"%USERPROFILE%\AppData\Local\Temp\OnboardLogs"\RTDC4041\*4041*201710020* &gt;&gt; 2017-10-01-SliceDisagreementCheck.txt</v>
      </c>
      <c r="AE13" s="145" t="str">
        <f t="shared" si="9"/>
        <v>start /low /b %USERPROFILE%\Documents\GitHub\eaglep3\Utilities\DownloadLogsFromS3.py --loco 4041 --day 2017-10-02</v>
      </c>
      <c r="AF13" s="1"/>
    </row>
    <row r="14" spans="1:32" x14ac:dyDescent="0.25">
      <c r="A14" s="31">
        <v>43009.34642361111</v>
      </c>
      <c r="B14" s="30" t="s">
        <v>519</v>
      </c>
      <c r="C14" s="30" t="s">
        <v>593</v>
      </c>
      <c r="D14" s="30" t="s">
        <v>49</v>
      </c>
      <c r="E14" s="30" t="s">
        <v>193</v>
      </c>
      <c r="F14" s="42">
        <v>350</v>
      </c>
      <c r="G14" s="42">
        <v>447</v>
      </c>
      <c r="H14" s="42">
        <v>223321</v>
      </c>
      <c r="I14" s="42">
        <v>224609</v>
      </c>
      <c r="J14" s="30" t="s">
        <v>194</v>
      </c>
      <c r="K14" s="42">
        <v>224578</v>
      </c>
      <c r="L14" s="131" t="s">
        <v>50</v>
      </c>
      <c r="M14" s="132">
        <f t="shared" si="0"/>
        <v>-16.367999999999999</v>
      </c>
      <c r="N14" s="133" t="str">
        <f>VLOOKUP(C14,'Trips&amp;Operators'!$C$1:$G$99911,5,FALSE)</f>
        <v>DAVIS WENDY</v>
      </c>
      <c r="O14" s="176" t="s">
        <v>179</v>
      </c>
      <c r="P14" s="134"/>
      <c r="Q14" s="30"/>
      <c r="R14" s="81" t="str">
        <f>VLOOKUP(C14,'Train Runs'!$A$13:$AE$9991,31,0)</f>
        <v>aws s3 cp s3://rtdc.mdm.uploadarchive.raw/RTDC4060/ "%USERPROFILE%\AppData\Local\Temp\OnboardLogs"\RTDC4060\2017-10-01 --exclude "*" --recursive --include "*20171001*" &amp; "%USERPROFILE%\Documents\GitHub\mrs-test-scripts\Headless Mode &amp; Sideloading\WalkAndUnGZ.bat" "%USERPROFILE%\AppData\Local\Temp\OnboardLogs"\RTDC4060\2017-10-01 &amp; aws s3 cp s3://rtdc.mdm.uploadarchive.raw/RTDC4060/ "%USERPROFILE%\AppData\Local\Temp\OnboardLogs"\RTDC4060\2017-10-02 --exclude "*" --recursive --include "*20171002*" &amp; "%USERPROFILE%\Documents\GitHub\mrs-test-scripts\Headless Mode &amp; Sideloading\WalkAndUnGZ.bat" "%USERPROFILE%\AppData\Local\Temp\OnboardLogs"\RTDC4060\2017-10-02</v>
      </c>
      <c r="S14" s="84" t="str">
        <f>VLOOKUP(C14,'Train Runs'!$A$13:$AE$9991,22,0)</f>
        <v>https://d0f6bd738d7f1b3e5a7ca70fe4ff75f0.us-east-1.aws.found.io/app/kibana#/discover/Steve-Slow-Train-Analysis-(2080s-and-2083s)?_g=(refreshInterval:(display:Off,pause:!f,section:0,value:0),time:(from:'2017-10-01T06:38:55-0600',mode:absolute,to:'2017-10-01T09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/stypes="*4060*201710011*"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43009.59642361111</v>
      </c>
      <c r="W14" s="45" t="str">
        <f t="shared" si="4"/>
        <v>EC</v>
      </c>
      <c r="X14" s="22">
        <f t="shared" si="5"/>
        <v>133</v>
      </c>
      <c r="Y14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{"issue":{"subject":"","project_id":79,"tracker_id":40,"status_id":1,"priority_id":2,"assigned_to_id":338,"start_date":"2017-10-01","description":"","custom_fields":[{"id":1,"name":"Subdivision","value":"EC"},{"id":4,"name":"Milepost","value":"22.4578"},{"id":17,"name":"Train ID","value":"133-01"},{"id":16,"name":"Locomotive ID","value":"4060"},{"id":130,"name":"Impact","value":""},{"id":150,"name":"Time of Event (Mountain Time)","value":"08:18:51"},{"id":151,"name":"Denver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/c/Users/stu/AppData/Local/Temp/OnboardLogs/RTDC4060 --include="*4060*201710011*"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"%USERPROFILE%\AppData\Local\Temp\OnboardLogs"\RTDC4060\*4060*201710011* &gt;&gt; 2017-10-01-SliceDisagreementCheck.txt</v>
      </c>
      <c r="AE14" s="145" t="str">
        <f t="shared" si="9"/>
        <v>start /low /b %USERPROFILE%\Documents\GitHub\eaglep3\Utilities\DownloadLogsFromS3.py --loco 4060 --day 2017-10-01</v>
      </c>
      <c r="AF14" s="1"/>
    </row>
    <row r="15" spans="1:32" x14ac:dyDescent="0.25">
      <c r="A15" s="31">
        <v>43009.45416666667</v>
      </c>
      <c r="B15" s="30" t="s">
        <v>511</v>
      </c>
      <c r="C15" s="30" t="s">
        <v>596</v>
      </c>
      <c r="D15" s="30" t="s">
        <v>49</v>
      </c>
      <c r="E15" s="30" t="s">
        <v>358</v>
      </c>
      <c r="F15" s="42">
        <v>0</v>
      </c>
      <c r="G15" s="42">
        <v>556</v>
      </c>
      <c r="H15" s="42">
        <v>53013</v>
      </c>
      <c r="I15" s="42">
        <v>50248</v>
      </c>
      <c r="J15" s="30" t="s">
        <v>359</v>
      </c>
      <c r="K15" s="42">
        <v>50763</v>
      </c>
      <c r="L15" s="131" t="s">
        <v>51</v>
      </c>
      <c r="M15" s="132">
        <f t="shared" si="0"/>
        <v>-271.92</v>
      </c>
      <c r="N15" s="133" t="str">
        <f>VLOOKUP(C15,'Trips&amp;Operators'!$C$1:$G$99911,5,FALSE)</f>
        <v>DAVIS WENDY</v>
      </c>
      <c r="O15" s="176" t="s">
        <v>400</v>
      </c>
      <c r="P15" s="134" t="s">
        <v>584</v>
      </c>
      <c r="Q15" s="30"/>
      <c r="R15" s="81" t="str">
        <f>VLOOKUP(C15,'Train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15" s="84" t="str">
        <f>VLOOKUP(C15,'Train Runs'!$A$13:$AE$9991,22,0)</f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5" s="86" t="str">
        <f t="shared" si="1"/>
        <v>"C:\Program Files (x86)\AstroGrep\AstroGrep.exe" /e /r /s /spath="%USERPROFILE%\AppData\Local\Temp\OnboardLogs" /stypes="*4059*201710011*"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4059</v>
      </c>
      <c r="V15" s="31">
        <f t="shared" si="3"/>
        <v>43009.70416666667</v>
      </c>
      <c r="W15" s="45" t="str">
        <f t="shared" si="4"/>
        <v>EC</v>
      </c>
      <c r="X15" s="22">
        <f t="shared" si="5"/>
        <v>148</v>
      </c>
      <c r="Y15" s="96" t="str">
        <f t="shared" si="6"/>
        <v>echo {"issue":{"subject":"Wi-MAX data drop","project_id":79,"tracker_id":40,"status_id":1,"priority_id":2,"assigned_to_id":338,"start_date":"2017-10-01","description":"","custom_fields":[{"id":1,"name":"Subdivision","value":"EC"},{"id":4,"name":"Milepost","value":"5.0763"},{"id":17,"name":"Train ID","value":"148-01"},{"id":16,"name":"Locomotive ID","value":"4059"},{"id":130,"name":"Impact","value":""},{"id":150,"name":"Time of Event (Mountain Time)","value":"10:54:00"},{"id":151,"name":"Denver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/c/Users/stu/AppData/Local/Temp/OnboardLogs/RTDC4059 --include="*4059*201710011*"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15" s="145" t="str">
        <f t="shared" si="9"/>
        <v>start /low /b %USERPROFILE%\Documents\GitHub\eaglep3\Utilities\DownloadLogsFromS3.py --loco 4059 --day 2017-10-01</v>
      </c>
      <c r="AF15" s="1"/>
    </row>
    <row r="16" spans="1:32" x14ac:dyDescent="0.25">
      <c r="A16" s="31">
        <v>43009.638923611114</v>
      </c>
      <c r="B16" s="30" t="s">
        <v>450</v>
      </c>
      <c r="C16" s="30" t="s">
        <v>604</v>
      </c>
      <c r="D16" s="30" t="s">
        <v>95</v>
      </c>
      <c r="E16" s="30" t="s">
        <v>358</v>
      </c>
      <c r="F16" s="42">
        <v>0</v>
      </c>
      <c r="G16" s="42">
        <v>330</v>
      </c>
      <c r="H16" s="42">
        <v>228605</v>
      </c>
      <c r="I16" s="42">
        <v>229470</v>
      </c>
      <c r="J16" s="30" t="s">
        <v>359</v>
      </c>
      <c r="K16" s="42">
        <v>228572</v>
      </c>
      <c r="L16" s="131" t="s">
        <v>50</v>
      </c>
      <c r="M16" s="132">
        <f t="shared" si="0"/>
        <v>-474.14400000000001</v>
      </c>
      <c r="N16" s="133" t="str">
        <f>VLOOKUP(C16,'Trips&amp;Operators'!$C$1:$G$99911,5,FALSE)</f>
        <v>ANDERS STEVEN</v>
      </c>
      <c r="O16" s="176" t="s">
        <v>400</v>
      </c>
      <c r="P16" s="134" t="s">
        <v>992</v>
      </c>
      <c r="Q16" s="30"/>
      <c r="R16" s="81" t="str">
        <f>VLOOKUP(C16,'Train Runs'!$A$13:$AE$9991,31,0)</f>
        <v>aws s3 cp s3://rtdc.mdm.uploadarchive.raw/RTDC4050/ "%USERPROFILE%\AppData\Local\Temp\OnboardLogs"\RTDC4050\2017-10-01 --exclude "*" --recursive --include "*20171001*" &amp; "%USERPROFILE%\Documents\GitHub\mrs-test-scripts\Headless Mode &amp; Sideloading\WalkAndUnGZ.bat" "%USERPROFILE%\AppData\Local\Temp\OnboardLogs"\RTDC4050\2017-10-01 &amp; aws s3 cp s3://rtdc.mdm.uploadarchive.raw/RTDC4050/ "%USERPROFILE%\AppData\Local\Temp\OnboardLogs"\RTDC4050\2017-10-02 --exclude "*" --recursive --include "*20171002*" &amp; "%USERPROFILE%\Documents\GitHub\mrs-test-scripts\Headless Mode &amp; Sideloading\WalkAndUnGZ.bat" "%USERPROFILE%\AppData\Local\Temp\OnboardLogs"\RTDC4050\2017-10-02</v>
      </c>
      <c r="S16" s="84" t="str">
        <f>VLOOKUP(C16,'Train Runs'!$A$13:$AE$9991,22,0)</f>
        <v>https://d0f6bd738d7f1b3e5a7ca70fe4ff75f0.us-east-1.aws.found.io/app/kibana#/discover/Steve-Slow-Train-Analysis-(2080s-and-2083s)?_g=(refreshInterval:(display:Off,pause:!f,section:0,value:0),time:(from:'2017-10-01T14:20:14-0600',mode:absolute,to:'2017-10-01T16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6" s="86" t="str">
        <f t="shared" si="1"/>
        <v>"C:\Program Files (x86)\AstroGrep\AstroGrep.exe" /e /r /s /spath="%USERPROFILE%\AppData\Local\Temp\OnboardLogs" /stypes="*4050*201710012*"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4050</v>
      </c>
      <c r="V16" s="31">
        <f t="shared" si="3"/>
        <v>43009.888923611114</v>
      </c>
      <c r="W16" s="45" t="str">
        <f t="shared" si="4"/>
        <v>EC</v>
      </c>
      <c r="X16" s="22">
        <f t="shared" si="5"/>
        <v>189</v>
      </c>
      <c r="Y16" s="96" t="str">
        <f t="shared" si="6"/>
        <v>echo {"issue":{"subject":"Enforcement due to GPS errors","project_id":79,"tracker_id":40,"status_id":1,"priority_id":2,"assigned_to_id":338,"start_date":"2017-10-01","description":"","custom_fields":[{"id":1,"name":"Subdivision","value":"EC"},{"id":4,"name":"Milepost","value":"22.8572"},{"id":17,"name":"Train ID","value":"189-01"},{"id":16,"name":"Locomotive ID","value":"4050"},{"id":130,"name":"Impact","value":""},{"id":150,"name":"Time of Event (Mountain Time)","value":"15:20:03"},{"id":151,"name":"Denver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/c/Users/stu/AppData/Local/Temp/OnboardLogs/RTDC4050 --include="*4050*201710012*"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"%USERPROFILE%\AppData\Local\Temp\OnboardLogs"\RTDC4050\*4050*201710012* &gt;&gt; 2017-10-01-SliceDisagreementCheck.txt</v>
      </c>
      <c r="AE16" s="145" t="str">
        <f t="shared" si="9"/>
        <v>start /low /b %USERPROFILE%\Documents\GitHub\eaglep3\Utilities\DownloadLogsFromS3.py --loco 4050 --day 2017-10-01</v>
      </c>
      <c r="AF16" s="1"/>
    </row>
    <row r="17" spans="1:32" x14ac:dyDescent="0.25">
      <c r="A17" s="31">
        <v>43009.78324074074</v>
      </c>
      <c r="B17" s="30" t="s">
        <v>396</v>
      </c>
      <c r="C17" s="30" t="s">
        <v>611</v>
      </c>
      <c r="D17" s="30" t="s">
        <v>95</v>
      </c>
      <c r="E17" s="30" t="s">
        <v>612</v>
      </c>
      <c r="F17" s="42">
        <v>200</v>
      </c>
      <c r="G17" s="42">
        <v>356</v>
      </c>
      <c r="H17" s="42">
        <v>164708</v>
      </c>
      <c r="I17" s="42">
        <v>163791</v>
      </c>
      <c r="J17" s="30" t="s">
        <v>194</v>
      </c>
      <c r="K17" s="42">
        <v>164801</v>
      </c>
      <c r="L17" s="131" t="s">
        <v>51</v>
      </c>
      <c r="M17" s="132">
        <f t="shared" si="0"/>
        <v>-533.28</v>
      </c>
      <c r="N17" s="133" t="str">
        <f>VLOOKUP(C17,'Trips&amp;Operators'!$C$1:$G$99911,5,FALSE)</f>
        <v>BERLING GARY</v>
      </c>
      <c r="O17" s="176" t="s">
        <v>179</v>
      </c>
      <c r="P17" s="134"/>
      <c r="Q17" s="30"/>
      <c r="R17" s="81" t="str">
        <f>VLOOKUP(C17,'Train Runs'!$A$13:$AE$9991,31,0)</f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S17" s="84" t="str">
        <f>VLOOKUP(C17,'Train Runs'!$A$13:$AE$9991,22,0)</f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6" t="str">
        <f t="shared" si="1"/>
        <v>"C:\Program Files (x86)\AstroGrep\AstroGrep.exe" /e /r /s /spath="%USERPROFILE%\AppData\Local\Temp\OnboardLogs" /stypes="*4043*201710020*"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43010.03324074074</v>
      </c>
      <c r="W17" s="45" t="str">
        <f t="shared" si="4"/>
        <v>EC</v>
      </c>
      <c r="X17" s="22">
        <f t="shared" si="5"/>
        <v>212</v>
      </c>
      <c r="Y17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{"issue":{"subject":"","project_id":79,"tracker_id":40,"status_id":1,"priority_id":2,"assigned_to_id":338,"start_date":"2017-10-01","description":"","custom_fields":[{"id":1,"name":"Subdivision","value":"EC"},{"id":4,"name":"Milepost","value":"16.4801"},{"id":17,"name":"Train ID","value":"212-01"},{"id":16,"name":"Locomotive ID","value":"4043"},{"id":130,"name":"Impact","value":""},{"id":150,"name":"Time of Event (Mountain Time)","value":"18:47:52"},{"id":151,"name":"Denver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/c/Users/stu/AppData/Local/Temp/OnboardLogs/RTDC4043 --include="*4043*201710020*"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"%USERPROFILE%\AppData\Local\Temp\OnboardLogs"\RTDC4043\*4043*201710020* &gt;&gt; 2017-10-01-SliceDisagreementCheck.txt</v>
      </c>
      <c r="AE17" s="145" t="str">
        <f t="shared" si="9"/>
        <v>start /low /b %USERPROFILE%\Documents\GitHub\eaglep3\Utilities\DownloadLogsFromS3.py --loco 4043 --day 2017-10-02</v>
      </c>
      <c r="AF17" s="1"/>
    </row>
    <row r="18" spans="1:32" x14ac:dyDescent="0.25">
      <c r="A18" s="31">
        <v>43009.773969907408</v>
      </c>
      <c r="B18" s="30" t="s">
        <v>396</v>
      </c>
      <c r="C18" s="30" t="s">
        <v>611</v>
      </c>
      <c r="D18" s="30" t="s">
        <v>95</v>
      </c>
      <c r="E18" s="30" t="s">
        <v>612</v>
      </c>
      <c r="F18" s="42">
        <v>200</v>
      </c>
      <c r="G18" s="42">
        <v>260</v>
      </c>
      <c r="H18" s="42">
        <v>224960</v>
      </c>
      <c r="I18" s="42">
        <v>224155</v>
      </c>
      <c r="J18" s="30" t="s">
        <v>194</v>
      </c>
      <c r="K18" s="42">
        <v>225004</v>
      </c>
      <c r="L18" s="131" t="s">
        <v>51</v>
      </c>
      <c r="M18" s="132">
        <f t="shared" si="0"/>
        <v>-448.27199999999999</v>
      </c>
      <c r="N18" s="133" t="str">
        <f>VLOOKUP(C18,'Trips&amp;Operators'!$C$1:$G$99911,5,FALSE)</f>
        <v>BERLING GARY</v>
      </c>
      <c r="O18" s="176" t="s">
        <v>179</v>
      </c>
      <c r="P18" s="134"/>
      <c r="Q18" s="30"/>
      <c r="R18" s="81" t="str">
        <f>VLOOKUP(C18,'Train Runs'!$A$13:$AE$9991,31,0)</f>
        <v>aws s3 cp s3://rtdc.mdm.uploadarchive.raw/RTDC4043/ "%USERPROFILE%\AppData\Local\Temp\OnboardLogs"\RTDC4043\2017-10-01 --exclude "*" --recursive --include "*20171001*" &amp; "%USERPROFILE%\Documents\GitHub\mrs-test-scripts\Headless Mode &amp; Sideloading\WalkAndUnGZ.bat" "%USERPROFILE%\AppData\Local\Temp\OnboardLogs"\RTDC4043\2017-10-01 &amp; aws s3 cp s3://rtdc.mdm.uploadarchive.raw/RTDC4043/ "%USERPROFILE%\AppData\Local\Temp\OnboardLogs"\RTDC4043\2017-10-02 --exclude "*" --recursive --include "*20171002*" &amp; "%USERPROFILE%\Documents\GitHub\mrs-test-scripts\Headless Mode &amp; Sideloading\WalkAndUnGZ.bat" "%USERPROFILE%\AppData\Local\Temp\OnboardLogs"\RTDC4043\2017-10-02</v>
      </c>
      <c r="S18" s="84" t="str">
        <f>VLOOKUP(C18,'Train Runs'!$A$13:$AE$9991,22,0)</f>
        <v>https://d0f6bd738d7f1b3e5a7ca70fe4ff75f0.us-east-1.aws.found.io/app/kibana#/discover/Steve-Slow-Train-Analysis-(2080s-and-2083s)?_g=(refreshInterval:(display:Off,pause:!f,section:0,value:0),time:(from:'2017-10-01T17:24:59-0600',mode:absolute,to:'2017-10-01T20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6" t="str">
        <f t="shared" si="1"/>
        <v>"C:\Program Files (x86)\AstroGrep\AstroGrep.exe" /e /r /s /spath="%USERPROFILE%\AppData\Local\Temp\OnboardLogs" /stypes="*4043*201710020*"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43010.023969907408</v>
      </c>
      <c r="W18" s="45" t="str">
        <f t="shared" si="4"/>
        <v>EC</v>
      </c>
      <c r="X18" s="22">
        <f t="shared" si="5"/>
        <v>212</v>
      </c>
      <c r="Y18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{"issue":{"subject":"","project_id":79,"tracker_id":40,"status_id":1,"priority_id":2,"assigned_to_id":338,"start_date":"2017-10-01","description":"","custom_fields":[{"id":1,"name":"Subdivision","value":"EC"},{"id":4,"name":"Milepost","value":"22.5004"},{"id":17,"name":"Train ID","value":"212-01"},{"id":16,"name":"Locomotive ID","value":"4043"},{"id":130,"name":"Impact","value":""},{"id":150,"name":"Time of Event (Mountain Time)","value":"18:34:31"},{"id":151,"name":"Denver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/c/Users/stu/AppData/Local/Temp/OnboardLogs/RTDC4043 --include="*4043*201710020*"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"%USERPROFILE%\AppData\Local\Temp\OnboardLogs"\RTDC4043\*4043*201710020* &gt;&gt; 2017-10-01-SliceDisagreementCheck.txt</v>
      </c>
      <c r="AE18" s="145" t="str">
        <f t="shared" si="9"/>
        <v>start /low /b %USERPROFILE%\Documents\GitHub\eaglep3\Utilities\DownloadLogsFromS3.py --loco 4043 --day 2017-10-02</v>
      </c>
      <c r="AF18" s="1"/>
    </row>
    <row r="19" spans="1:32" x14ac:dyDescent="0.25">
      <c r="A19" s="31">
        <v>43009.244837962964</v>
      </c>
      <c r="B19" s="30" t="s">
        <v>511</v>
      </c>
      <c r="C19" s="30" t="s">
        <v>589</v>
      </c>
      <c r="D19" s="30" t="s">
        <v>49</v>
      </c>
      <c r="E19" s="30" t="s">
        <v>180</v>
      </c>
      <c r="F19" s="42">
        <v>0</v>
      </c>
      <c r="G19" s="42">
        <v>52</v>
      </c>
      <c r="H19" s="42">
        <v>181</v>
      </c>
      <c r="I19" s="42">
        <v>130</v>
      </c>
      <c r="J19" s="30" t="s">
        <v>181</v>
      </c>
      <c r="K19" s="42">
        <v>1</v>
      </c>
      <c r="L19" s="131" t="s">
        <v>51</v>
      </c>
      <c r="M19" s="132">
        <f t="shared" si="0"/>
        <v>68.111999999999995</v>
      </c>
      <c r="N19" s="133" t="str">
        <f>VLOOKUP(C19,'Trips&amp;Operators'!$C$1:$G$99911,5,FALSE)</f>
        <v>DAVIS WENDY</v>
      </c>
      <c r="O19" s="176" t="s">
        <v>179</v>
      </c>
      <c r="P19" s="134"/>
      <c r="Q19" s="30"/>
      <c r="R19" s="81" t="str">
        <f>VLOOKUP(C19,'Train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19" s="84" t="str">
        <f>VLOOKUP(C19,'Train Runs'!$A$13:$AE$9991,22,0)</f>
        <v>https://d0f6bd738d7f1b3e5a7ca70fe4ff75f0.us-east-1.aws.found.io/app/kibana#/discover/Steve-Slow-Train-Analysis-(2080s-and-2083s)?_g=(refreshInterval:(display:Off,pause:!f,section:0,value:0),time:(from:'2017-10-01T03:08:05-0600',mode:absolute,to:'2017-10-01T06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 t="shared" si="1"/>
        <v>"C:\Program Files (x86)\AstroGrep\AstroGrep.exe" /e /r /s /spath="%USERPROFILE%\AppData\Local\Temp\OnboardLogs" /stypes="*4059*201710011*"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4059</v>
      </c>
      <c r="V19" s="31">
        <f t="shared" si="3"/>
        <v>43009.494837962964</v>
      </c>
      <c r="W19" s="45" t="str">
        <f t="shared" si="4"/>
        <v>EC</v>
      </c>
      <c r="X19" s="22">
        <f t="shared" si="5"/>
        <v>106</v>
      </c>
      <c r="Y19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ID","value":"106-01"},{"id":16,"name":"Locomotive ID","value":"4059"},{"id":130,"name":"Impact","value":""},{"id":150,"name":"Time of Event (Mountain Time)","value":"05:52:34"},{"id":151,"name":"Denver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/c/Users/stu/AppData/Local/Temp/OnboardLogs/RTDC4059 --include="*4059*201710011*"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19" s="145" t="str">
        <f t="shared" si="9"/>
        <v>start /low /b %USERPROFILE%\Documents\GitHub\eaglep3\Utilities\DownloadLogsFromS3.py --loco 4059 --day 2017-10-01</v>
      </c>
      <c r="AF19" s="1"/>
    </row>
    <row r="20" spans="1:32" x14ac:dyDescent="0.25">
      <c r="A20" s="31">
        <v>43009.305231481485</v>
      </c>
      <c r="B20" s="30" t="s">
        <v>484</v>
      </c>
      <c r="C20" s="30" t="s">
        <v>590</v>
      </c>
      <c r="D20" s="30" t="s">
        <v>49</v>
      </c>
      <c r="E20" s="30" t="s">
        <v>180</v>
      </c>
      <c r="F20" s="42">
        <v>0</v>
      </c>
      <c r="G20" s="42">
        <v>44</v>
      </c>
      <c r="H20" s="42">
        <v>154</v>
      </c>
      <c r="I20" s="42">
        <v>121</v>
      </c>
      <c r="J20" s="30" t="s">
        <v>181</v>
      </c>
      <c r="K20" s="42">
        <v>1</v>
      </c>
      <c r="L20" s="131" t="s">
        <v>51</v>
      </c>
      <c r="M20" s="132">
        <f t="shared" si="0"/>
        <v>63.36</v>
      </c>
      <c r="N20" s="133" t="str">
        <f>VLOOKUP(C20,'Trips&amp;Operators'!$C$1:$G$99911,5,FALSE)</f>
        <v>LAMAR NEKESHA</v>
      </c>
      <c r="O20" s="176" t="s">
        <v>179</v>
      </c>
      <c r="P20" s="134"/>
      <c r="Q20" s="30"/>
      <c r="R20" s="81" t="str">
        <f>VLOOKUP(C20,'Train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0" s="84" t="str">
        <f>VLOOKUP(C20,'Train Runs'!$A$13:$AE$9991,22,0)</f>
        <v>https://d0f6bd738d7f1b3e5a7ca70fe4ff75f0.us-east-1.aws.found.io/app/kibana#/discover/Steve-Slow-Train-Analysis-(2080s-and-2083s)?_g=(refreshInterval:(display:Off,pause:!f,section:0,value:0),time:(from:'2017-10-01T05:38:10-0600',mode:absolute,to:'2017-10-01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86" t="str">
        <f t="shared" si="1"/>
        <v>"C:\Program Files (x86)\AstroGrep\AstroGrep.exe" /e /r /s /spath="%USERPROFILE%\AppData\Local\Temp\OnboardLogs" /stypes="*4053*201710011*"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4053</v>
      </c>
      <c r="V20" s="31">
        <f t="shared" si="3"/>
        <v>43009.555231481485</v>
      </c>
      <c r="W20" s="45" t="str">
        <f t="shared" si="4"/>
        <v>EC</v>
      </c>
      <c r="X20" s="22">
        <f t="shared" si="5"/>
        <v>118</v>
      </c>
      <c r="Y20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ID","value":"118-01"},{"id":16,"name":"Locomotive ID","value":"4053"},{"id":130,"name":"Impact","value":""},{"id":150,"name":"Time of Event (Mountain Time)","value":"07:19:32"},{"id":151,"name":"Denver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/c/Users/stu/AppData/Local/Temp/OnboardLogs/RTDC4053 --include="*4053*201710011*"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20" s="145" t="str">
        <f t="shared" si="9"/>
        <v>start /low /b %USERPROFILE%\Documents\GitHub\eaglep3\Utilities\DownloadLogsFromS3.py --loco 4053 --day 2017-10-01</v>
      </c>
      <c r="AF20" s="1"/>
    </row>
    <row r="21" spans="1:32" x14ac:dyDescent="0.25">
      <c r="A21" s="31">
        <v>43009.316724537035</v>
      </c>
      <c r="B21" s="30" t="s">
        <v>511</v>
      </c>
      <c r="C21" s="30" t="s">
        <v>591</v>
      </c>
      <c r="D21" s="30" t="s">
        <v>49</v>
      </c>
      <c r="E21" s="30" t="s">
        <v>180</v>
      </c>
      <c r="F21" s="42">
        <v>0</v>
      </c>
      <c r="G21" s="42">
        <v>61</v>
      </c>
      <c r="H21" s="42">
        <v>251</v>
      </c>
      <c r="I21" s="42">
        <v>176</v>
      </c>
      <c r="J21" s="30" t="s">
        <v>181</v>
      </c>
      <c r="K21" s="42">
        <v>1</v>
      </c>
      <c r="L21" s="131" t="s">
        <v>51</v>
      </c>
      <c r="M21" s="132">
        <f t="shared" si="0"/>
        <v>92.4</v>
      </c>
      <c r="N21" s="133" t="str">
        <f>VLOOKUP(C21,'Trips&amp;Operators'!$C$1:$G$99911,5,FALSE)</f>
        <v>DAVIS WENDY</v>
      </c>
      <c r="O21" s="176" t="s">
        <v>179</v>
      </c>
      <c r="P21" s="134"/>
      <c r="Q21" s="30"/>
      <c r="R21" s="81" t="str">
        <f>VLOOKUP(C21,'Train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21" s="84" t="str">
        <f>VLOOKUP(C21,'Train Runs'!$A$13:$AE$9991,22,0)</f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1" s="86" t="str">
        <f t="shared" si="1"/>
        <v>"C:\Program Files (x86)\AstroGrep\AstroGrep.exe" /e /r /s /spath="%USERPROFILE%\AppData\Local\Temp\OnboardLogs" /stypes="*4059*201710011*"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4059</v>
      </c>
      <c r="V21" s="31">
        <f t="shared" si="3"/>
        <v>43009.566724537035</v>
      </c>
      <c r="W21" s="45" t="str">
        <f t="shared" si="4"/>
        <v>EC</v>
      </c>
      <c r="X21" s="22">
        <f t="shared" si="5"/>
        <v>120</v>
      </c>
      <c r="Y21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ID","value":"120-01"},{"id":16,"name":"Locomotive ID","value":"4059"},{"id":130,"name":"Impact","value":""},{"id":150,"name":"Time of Event (Mountain Time)","value":"07:36:05"},{"id":151,"name":"Denver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/c/Users/stu/AppData/Local/Temp/OnboardLogs/RTDC4059 --include="*4059*201710011*"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21" s="145" t="str">
        <f t="shared" si="9"/>
        <v>start /low /b %USERPROFILE%\Documents\GitHub\eaglep3\Utilities\DownloadLogsFromS3.py --loco 4059 --day 2017-10-01</v>
      </c>
      <c r="AF21" s="1"/>
    </row>
    <row r="22" spans="1:32" x14ac:dyDescent="0.25">
      <c r="A22" s="31">
        <v>43009.317129629628</v>
      </c>
      <c r="B22" s="30" t="s">
        <v>511</v>
      </c>
      <c r="C22" s="30" t="s">
        <v>591</v>
      </c>
      <c r="D22" s="30" t="s">
        <v>49</v>
      </c>
      <c r="E22" s="30" t="s">
        <v>180</v>
      </c>
      <c r="F22" s="42">
        <v>0</v>
      </c>
      <c r="G22" s="42">
        <v>24</v>
      </c>
      <c r="H22" s="42">
        <v>130</v>
      </c>
      <c r="I22" s="42">
        <v>121</v>
      </c>
      <c r="J22" s="30" t="s">
        <v>181</v>
      </c>
      <c r="K22" s="42">
        <v>1</v>
      </c>
      <c r="L22" s="131" t="s">
        <v>51</v>
      </c>
      <c r="M22" s="132">
        <f t="shared" si="0"/>
        <v>63.36</v>
      </c>
      <c r="N22" s="133" t="str">
        <f>VLOOKUP(C22,'Trips&amp;Operators'!$C$1:$G$99911,5,FALSE)</f>
        <v>DAVIS WENDY</v>
      </c>
      <c r="O22" s="176" t="s">
        <v>179</v>
      </c>
      <c r="P22" s="134"/>
      <c r="Q22" s="30"/>
      <c r="R22" s="81" t="str">
        <f>VLOOKUP(C22,'Train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22" s="84" t="str">
        <f>VLOOKUP(C22,'Train Runs'!$A$13:$AE$9991,22,0)</f>
        <v>https://d0f6bd738d7f1b3e5a7ca70fe4ff75f0.us-east-1.aws.found.io/app/kibana#/discover/Steve-Slow-Train-Analysis-(2080s-and-2083s)?_g=(refreshInterval:(display:Off,pause:!f,section:0,value:0),time:(from:'2017-10-01T05:41:20-0600',mode:absolute,to:'2017-10-01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6" t="str">
        <f t="shared" si="1"/>
        <v>"C:\Program Files (x86)\AstroGrep\AstroGrep.exe" /e /r /s /spath="%USERPROFILE%\AppData\Local\Temp\OnboardLogs" /stypes="*4059*201710011*"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4059</v>
      </c>
      <c r="V22" s="31">
        <f t="shared" si="3"/>
        <v>43009.567129629628</v>
      </c>
      <c r="W22" s="45" t="str">
        <f t="shared" si="4"/>
        <v>EC</v>
      </c>
      <c r="X22" s="22">
        <f t="shared" si="5"/>
        <v>120</v>
      </c>
      <c r="Y22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ID","value":"120-01"},{"id":16,"name":"Locomotive ID","value":"4059"},{"id":130,"name":"Impact","value":""},{"id":150,"name":"Time of Event (Mountain Time)","value":"07:36:40"},{"id":151,"name":"Denver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/c/Users/stu/AppData/Local/Temp/OnboardLogs/RTDC4059 --include="*4059*201710011*"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22" s="145" t="str">
        <f t="shared" si="9"/>
        <v>start /low /b %USERPROFILE%\Documents\GitHub\eaglep3\Utilities\DownloadLogsFromS3.py --loco 4059 --day 2017-10-01</v>
      </c>
      <c r="AF22" s="1"/>
    </row>
    <row r="23" spans="1:32" x14ac:dyDescent="0.25">
      <c r="A23" s="31">
        <v>43009.450706018521</v>
      </c>
      <c r="B23" s="30" t="s">
        <v>484</v>
      </c>
      <c r="C23" s="30" t="s">
        <v>595</v>
      </c>
      <c r="D23" s="30" t="s">
        <v>49</v>
      </c>
      <c r="E23" s="30" t="s">
        <v>180</v>
      </c>
      <c r="F23" s="42">
        <v>0</v>
      </c>
      <c r="G23" s="42">
        <v>165</v>
      </c>
      <c r="H23" s="42">
        <v>936</v>
      </c>
      <c r="I23" s="42">
        <v>693</v>
      </c>
      <c r="J23" s="30" t="s">
        <v>181</v>
      </c>
      <c r="K23" s="42">
        <v>1</v>
      </c>
      <c r="L23" s="131" t="s">
        <v>51</v>
      </c>
      <c r="M23" s="132">
        <f t="shared" si="0"/>
        <v>365.37599999999998</v>
      </c>
      <c r="N23" s="133" t="str">
        <f>VLOOKUP(C23,'Trips&amp;Operators'!$C$1:$G$99911,5,FALSE)</f>
        <v>LAMAR NEKESHA</v>
      </c>
      <c r="O23" s="176" t="s">
        <v>179</v>
      </c>
      <c r="P23" s="134"/>
      <c r="Q23" s="30"/>
      <c r="R23" s="81" t="str">
        <f>VLOOKUP(C23,'Train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3" s="84" t="str">
        <f>VLOOKUP(C23,'Train Runs'!$A$13:$AE$9991,22,0)</f>
        <v>https://d0f6bd738d7f1b3e5a7ca70fe4ff75f0.us-east-1.aws.found.io/app/kibana#/discover/Steve-Slow-Train-Analysis-(2080s-and-2083s)?_g=(refreshInterval:(display:Off,pause:!f,section:0,value:0),time:(from:'2017-10-01T09:07:44-0600',mode:absolute,to:'2017-10-01T11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6" t="str">
        <f t="shared" si="1"/>
        <v>"C:\Program Files (x86)\AstroGrep\AstroGrep.exe" /e /r /s /spath="%USERPROFILE%\AppData\Local\Temp\OnboardLogs" /stypes="*4053*201710011*"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4053</v>
      </c>
      <c r="V23" s="31">
        <f t="shared" si="3"/>
        <v>43009.700706018521</v>
      </c>
      <c r="W23" s="45" t="str">
        <f t="shared" si="4"/>
        <v>EC</v>
      </c>
      <c r="X23" s="22">
        <f t="shared" si="5"/>
        <v>146</v>
      </c>
      <c r="Y23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ID","value":"146-01"},{"id":16,"name":"Locomotive ID","value":"4053"},{"id":130,"name":"Impact","value":""},{"id":150,"name":"Time of Event (Mountain Time)","value":"10:49:01"},{"id":151,"name":"Denver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/c/Users/stu/AppData/Local/Temp/OnboardLogs/RTDC4053 --include="*4053*201710011*"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23" s="145" t="str">
        <f t="shared" si="9"/>
        <v>start /low /b %USERPROFILE%\Documents\GitHub\eaglep3\Utilities\DownloadLogsFromS3.py --loco 4053 --day 2017-10-01</v>
      </c>
      <c r="AF23" s="1"/>
    </row>
    <row r="24" spans="1:32" x14ac:dyDescent="0.25">
      <c r="A24" s="31">
        <v>43009.463773148149</v>
      </c>
      <c r="B24" s="30" t="s">
        <v>511</v>
      </c>
      <c r="C24" s="30" t="s">
        <v>596</v>
      </c>
      <c r="D24" s="30" t="s">
        <v>49</v>
      </c>
      <c r="E24" s="30" t="s">
        <v>180</v>
      </c>
      <c r="F24" s="42">
        <v>0</v>
      </c>
      <c r="G24" s="42">
        <v>49</v>
      </c>
      <c r="H24" s="42">
        <v>172</v>
      </c>
      <c r="I24" s="42">
        <v>119</v>
      </c>
      <c r="J24" s="30" t="s">
        <v>181</v>
      </c>
      <c r="K24" s="42">
        <v>1</v>
      </c>
      <c r="L24" s="131" t="s">
        <v>51</v>
      </c>
      <c r="M24" s="132">
        <f t="shared" si="0"/>
        <v>62.304000000000002</v>
      </c>
      <c r="N24" s="133" t="str">
        <f>VLOOKUP(C24,'Trips&amp;Operators'!$C$1:$G$99911,5,FALSE)</f>
        <v>DAVIS WENDY</v>
      </c>
      <c r="O24" s="176" t="s">
        <v>179</v>
      </c>
      <c r="P24" s="134"/>
      <c r="Q24" s="30"/>
      <c r="R24" s="81" t="str">
        <f>VLOOKUP(C24,'Train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24" s="84" t="str">
        <f>VLOOKUP(C24,'Train Runs'!$A$13:$AE$9991,22,0)</f>
        <v>https://d0f6bd738d7f1b3e5a7ca70fe4ff75f0.us-east-1.aws.found.io/app/kibana#/discover/Steve-Slow-Train-Analysis-(2080s-and-2083s)?_g=(refreshInterval:(display:Off,pause:!f,section:0,value:0),time:(from:'2017-10-01T09:20:39-0600',mode:absolute,to:'2017-10-01T12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4" s="86" t="str">
        <f t="shared" si="1"/>
        <v>"C:\Program Files (x86)\AstroGrep\AstroGrep.exe" /e /r /s /spath="%USERPROFILE%\AppData\Local\Temp\OnboardLogs" /stypes="*4059*201710011*" /stext=" 17:.+((SYSTEM_STATE.+slice.+state.+changed )|(ment ac)|(multiple cpu faults)|(system.+state.+changed )|(\[timeout)|(PRM\|1\|D)|(kpr)|(kdp)|(train st.+moving)|(\|lc)|(penalty))"</v>
      </c>
      <c r="U24" s="9" t="str">
        <f t="shared" si="2"/>
        <v>4059</v>
      </c>
      <c r="V24" s="31">
        <f t="shared" si="3"/>
        <v>43009.713773148149</v>
      </c>
      <c r="W24" s="45" t="str">
        <f t="shared" si="4"/>
        <v>EC</v>
      </c>
      <c r="X24" s="22">
        <f t="shared" si="5"/>
        <v>148</v>
      </c>
      <c r="Y24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ID","value":"148-01"},{"id":16,"name":"Locomotive ID","value":"4059"},{"id":130,"name":"Impact","value":""},{"id":150,"name":"Time of Event (Mountain Time)","value":"11:07:50"},{"id":151,"name":"Denver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/c/Users/stu/AppData/Local/Temp/OnboardLogs/RTDC4059 --include="*4059*201710011*"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24" s="145" t="str">
        <f t="shared" si="9"/>
        <v>start /low /b %USERPROFILE%\Documents\GitHub\eaglep3\Utilities\DownloadLogsFromS3.py --loco 4059 --day 2017-10-01</v>
      </c>
      <c r="AF24" s="1"/>
    </row>
    <row r="25" spans="1:32" x14ac:dyDescent="0.25">
      <c r="A25" s="31">
        <v>43009.526030092595</v>
      </c>
      <c r="B25" s="30" t="s">
        <v>484</v>
      </c>
      <c r="C25" s="30" t="s">
        <v>598</v>
      </c>
      <c r="D25" s="30" t="s">
        <v>49</v>
      </c>
      <c r="E25" s="30" t="s">
        <v>180</v>
      </c>
      <c r="F25" s="42">
        <v>0</v>
      </c>
      <c r="G25" s="42">
        <v>45</v>
      </c>
      <c r="H25" s="42">
        <v>238</v>
      </c>
      <c r="I25" s="42">
        <v>181</v>
      </c>
      <c r="J25" s="30" t="s">
        <v>181</v>
      </c>
      <c r="K25" s="42">
        <v>1</v>
      </c>
      <c r="L25" s="131" t="s">
        <v>51</v>
      </c>
      <c r="M25" s="132">
        <f t="shared" si="0"/>
        <v>95.04</v>
      </c>
      <c r="N25" s="133" t="str">
        <f>VLOOKUP(C25,'Trips&amp;Operators'!$C$1:$G$99911,5,FALSE)</f>
        <v>LAMAR NEKESHA</v>
      </c>
      <c r="O25" s="176" t="s">
        <v>179</v>
      </c>
      <c r="P25" s="134"/>
      <c r="Q25" s="30"/>
      <c r="R25" s="81" t="str">
        <f>VLOOKUP(C25,'Train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5" s="84" t="str">
        <f>VLOOKUP(C25,'Train Runs'!$A$13:$AE$9991,22,0)</f>
        <v>https://d0f6bd738d7f1b3e5a7ca70fe4ff75f0.us-east-1.aws.found.io/app/kibana#/discover/Steve-Slow-Train-Analysis-(2080s-and-2083s)?_g=(refreshInterval:(display:Off,pause:!f,section:0,value:0),time:(from:'2017-10-01T10:38:56-0600',mode:absolute,to:'2017-10-01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86" t="str">
        <f t="shared" si="1"/>
        <v>"C:\Program Files (x86)\AstroGrep\AstroGrep.exe" /e /r /s /spath="%USERPROFILE%\AppData\Local\Temp\OnboardLogs" /stypes="*4053*201710011*"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4053</v>
      </c>
      <c r="V25" s="31">
        <f t="shared" si="3"/>
        <v>43009.776030092595</v>
      </c>
      <c r="W25" s="45" t="str">
        <f t="shared" si="4"/>
        <v>EC</v>
      </c>
      <c r="X25" s="22">
        <f t="shared" si="5"/>
        <v>160</v>
      </c>
      <c r="Y25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ID","value":"160-01"},{"id":16,"name":"Locomotive ID","value":"4053"},{"id":130,"name":"Impact","value":""},{"id":150,"name":"Time of Event (Mountain Time)","value":"12:37:29"},{"id":151,"name":"Denver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/c/Users/stu/AppData/Local/Temp/OnboardLogs/RTDC4053 --include="*4053*201710011*"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25" s="145" t="str">
        <f t="shared" si="9"/>
        <v>start /low /b %USERPROFILE%\Documents\GitHub\eaglep3\Utilities\DownloadLogsFromS3.py --loco 4053 --day 2017-10-01</v>
      </c>
      <c r="AF25" s="1"/>
    </row>
    <row r="26" spans="1:32" x14ac:dyDescent="0.25">
      <c r="A26" s="31">
        <v>43009.69259259259</v>
      </c>
      <c r="B26" s="30" t="s">
        <v>606</v>
      </c>
      <c r="C26" s="30" t="s">
        <v>607</v>
      </c>
      <c r="D26" s="30" t="s">
        <v>49</v>
      </c>
      <c r="E26" s="30" t="s">
        <v>180</v>
      </c>
      <c r="F26" s="42">
        <v>0</v>
      </c>
      <c r="G26" s="42">
        <v>50</v>
      </c>
      <c r="H26" s="42">
        <v>161</v>
      </c>
      <c r="I26" s="42">
        <v>119</v>
      </c>
      <c r="J26" s="30" t="s">
        <v>181</v>
      </c>
      <c r="K26" s="42">
        <v>1</v>
      </c>
      <c r="L26" s="131" t="s">
        <v>51</v>
      </c>
      <c r="M26" s="132">
        <f t="shared" si="0"/>
        <v>62.304000000000002</v>
      </c>
      <c r="N26" s="133" t="str">
        <f>VLOOKUP(C26,'Trips&amp;Operators'!$C$1:$G$99911,5,FALSE)</f>
        <v>SAFIEF AEIMEN</v>
      </c>
      <c r="O26" s="176" t="s">
        <v>179</v>
      </c>
      <c r="P26" s="134"/>
      <c r="Q26" s="30"/>
      <c r="R26" s="81" t="str">
        <f>VLOOKUP(C26,'Train Runs'!$A$13:$AE$9991,31,0)</f>
        <v>aws s3 cp s3://rtdc.mdm.uploadarchive.raw/RTDC4041/ "%USERPROFILE%\AppData\Local\Temp\OnboardLogs"\RTDC4041\2017-10-01 --exclude "*" --recursive --include "*20171001*" &amp; "%USERPROFILE%\Documents\GitHub\mrs-test-scripts\Headless Mode &amp; Sideloading\WalkAndUnGZ.bat" "%USERPROFILE%\AppData\Local\Temp\OnboardLogs"\RTDC4041\2017-10-01 &amp; aws s3 cp s3://rtdc.mdm.uploadarchive.raw/RTDC4041/ "%USERPROFILE%\AppData\Local\Temp\OnboardLogs"\RTDC4041\2017-10-02 --exclude "*" --recursive --include "*20171002*" &amp; "%USERPROFILE%\Documents\GitHub\mrs-test-scripts\Headless Mode &amp; Sideloading\WalkAndUnGZ.bat" "%USERPROFILE%\AppData\Local\Temp\OnboardLogs"\RTDC4041\2017-10-02</v>
      </c>
      <c r="S26" s="84" t="str">
        <f>VLOOKUP(C26,'Train Runs'!$A$13:$AE$9991,22,0)</f>
        <v>https://d0f6bd738d7f1b3e5a7ca70fe4ff75f0.us-east-1.aws.found.io/app/kibana#/discover/Steve-Slow-Train-Analysis-(2080s-and-2083s)?_g=(refreshInterval:(display:Off,pause:!f,section:0,value:0),time:(from:'2017-10-01T14:38:32-0600',mode:absolute,to:'2017-10-01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 t="shared" si="1"/>
        <v>"C:\Program Files (x86)\AstroGrep\AstroGrep.exe" /e /r /s /spath="%USERPROFILE%\AppData\Local\Temp\OnboardLogs" /stypes="*4041*201710012*"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43009.94259259259</v>
      </c>
      <c r="W26" s="45" t="str">
        <f t="shared" si="4"/>
        <v>EC</v>
      </c>
      <c r="X26" s="22">
        <f t="shared" si="5"/>
        <v>192</v>
      </c>
      <c r="Y26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ID","value":"192-01"},{"id":16,"name":"Locomotive ID","value":"4041"},{"id":130,"name":"Impact","value":""},{"id":150,"name":"Time of Event (Mountain Time)","value":"16:37:20"},{"id":151,"name":"Denver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/c/Users/stu/AppData/Local/Temp/OnboardLogs/RTDC4041 --include="*4041*201710012*"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"%USERPROFILE%\AppData\Local\Temp\OnboardLogs"\RTDC4041\*4041*201710012* &gt;&gt; 2017-10-01-SliceDisagreementCheck.txt</v>
      </c>
      <c r="AE26" s="145" t="str">
        <f t="shared" si="9"/>
        <v>start /low /b %USERPROFILE%\Documents\GitHub\eaglep3\Utilities\DownloadLogsFromS3.py --loco 4041 --day 2017-10-01</v>
      </c>
      <c r="AF26" s="1"/>
    </row>
    <row r="27" spans="1:32" x14ac:dyDescent="0.25">
      <c r="A27" s="31">
        <v>43009.817615740743</v>
      </c>
      <c r="B27" s="30" t="s">
        <v>411</v>
      </c>
      <c r="C27" s="30" t="s">
        <v>613</v>
      </c>
      <c r="D27" s="30" t="s">
        <v>49</v>
      </c>
      <c r="E27" s="30" t="s">
        <v>180</v>
      </c>
      <c r="F27" s="42">
        <v>0</v>
      </c>
      <c r="G27" s="42">
        <v>48</v>
      </c>
      <c r="H27" s="42">
        <v>156</v>
      </c>
      <c r="I27" s="42">
        <v>123</v>
      </c>
      <c r="J27" s="30" t="s">
        <v>181</v>
      </c>
      <c r="K27" s="42">
        <v>1</v>
      </c>
      <c r="L27" s="131" t="s">
        <v>51</v>
      </c>
      <c r="M27" s="132">
        <f t="shared" si="0"/>
        <v>64.415999999999997</v>
      </c>
      <c r="N27" s="133" t="str">
        <f>VLOOKUP(C27,'Trips&amp;Operators'!$C$1:$G$99911,5,FALSE)</f>
        <v>SMITH MICHAEL</v>
      </c>
      <c r="O27" s="176" t="s">
        <v>179</v>
      </c>
      <c r="P27" s="134"/>
      <c r="Q27" s="30"/>
      <c r="R27" s="81" t="str">
        <f>VLOOKUP(C27,'Train Runs'!$A$13:$AE$9991,31,0)</f>
        <v>aws s3 cp s3://rtdc.mdm.uploadarchive.raw/RTDC4017/ "%USERPROFILE%\AppData\Local\Temp\OnboardLogs"\RTDC4017\2017-10-01 --exclude "*" --recursive --include "*20171001*" &amp; "%USERPROFILE%\Documents\GitHub\mrs-test-scripts\Headless Mode &amp; Sideloading\WalkAndUnGZ.bat" "%USERPROFILE%\AppData\Local\Temp\OnboardLogs"\RTDC4017\2017-10-01 &amp; aws s3 cp s3://rtdc.mdm.uploadarchive.raw/RTDC4017/ "%USERPROFILE%\AppData\Local\Temp\OnboardLogs"\RTDC4017\2017-10-02 --exclude "*" --recursive --include "*20171002*" &amp; "%USERPROFILE%\Documents\GitHub\mrs-test-scripts\Headless Mode &amp; Sideloading\WalkAndUnGZ.bat" "%USERPROFILE%\AppData\Local\Temp\OnboardLogs"\RTDC4017\2017-10-02</v>
      </c>
      <c r="S27" s="84" t="str">
        <f>VLOOKUP(C27,'Train Runs'!$A$13:$AE$9991,22,0)</f>
        <v>https://d0f6bd738d7f1b3e5a7ca70fe4ff75f0.us-east-1.aws.found.io/app/kibana#/discover/Steve-Slow-Train-Analysis-(2080s-and-2083s)?_g=(refreshInterval:(display:Off,pause:!f,section:0,value:0),time:(from:'2017-10-01T17:49:08-0600',mode:absolute,to:'2017-10-01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86" t="str">
        <f t="shared" si="1"/>
        <v>"C:\Program Files (x86)\AstroGrep\AstroGrep.exe" /e /r /s /spath="%USERPROFILE%\AppData\Local\Temp\OnboardLogs" /stypes="*4017*201710020*"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4017</v>
      </c>
      <c r="V27" s="31">
        <f t="shared" si="3"/>
        <v>43010.067615740743</v>
      </c>
      <c r="W27" s="45" t="str">
        <f t="shared" si="4"/>
        <v>EC</v>
      </c>
      <c r="X27" s="22">
        <f t="shared" si="5"/>
        <v>216</v>
      </c>
      <c r="Y27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{"issue":{"subject":"","project_id":79,"tracker_id":40,"status_id":1,"priority_id":2,"assigned_to_id":338,"start_date":"2017-10-01","description":"","custom_fields":[{"id":1,"name":"Subdivision","value":"EC"},{"id":4,"name":"Milepost","value":"0.0001"},{"id":17,"name":"Train ID","value":"216-01"},{"id":16,"name":"Locomotive ID","value":"4017"},{"id":130,"name":"Impact","value":""},{"id":150,"name":"Time of Event (Mountain Time)","value":"19:37:22"},{"id":151,"name":"Denver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/c/Users/stu/AppData/Local/Temp/OnboardLogs/RTDC4017 --include="*4017*201710020*"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"%USERPROFILE%\AppData\Local\Temp\OnboardLogs"\RTDC4017\*4017*201710020* &gt;&gt; 2017-10-01-SliceDisagreementCheck.txt</v>
      </c>
      <c r="AE27" s="145" t="str">
        <f t="shared" si="9"/>
        <v>start /low /b %USERPROFILE%\Documents\GitHub\eaglep3\Utilities\DownloadLogsFromS3.py --loco 4017 --day 2017-10-02</v>
      </c>
      <c r="AF27" s="1"/>
    </row>
    <row r="28" spans="1:32" x14ac:dyDescent="0.25">
      <c r="A28" s="31">
        <v>43009.6096875</v>
      </c>
      <c r="B28" s="30" t="s">
        <v>484</v>
      </c>
      <c r="C28" s="30" t="s">
        <v>602</v>
      </c>
      <c r="D28" s="30" t="s">
        <v>49</v>
      </c>
      <c r="E28" s="30" t="s">
        <v>180</v>
      </c>
      <c r="F28" s="42">
        <v>0</v>
      </c>
      <c r="G28" s="42">
        <v>18</v>
      </c>
      <c r="H28" s="42">
        <v>872</v>
      </c>
      <c r="I28" s="42">
        <v>861</v>
      </c>
      <c r="J28" s="30" t="s">
        <v>181</v>
      </c>
      <c r="K28" s="42">
        <v>826</v>
      </c>
      <c r="L28" s="131" t="s">
        <v>51</v>
      </c>
      <c r="M28" s="132">
        <f t="shared" si="0"/>
        <v>18.48</v>
      </c>
      <c r="N28" s="133" t="str">
        <f>VLOOKUP(C28,'Trips&amp;Operators'!$C$1:$G$99911,5,FALSE)</f>
        <v>SMITH MICHAEL</v>
      </c>
      <c r="O28" s="176" t="s">
        <v>179</v>
      </c>
      <c r="P28" s="134"/>
      <c r="Q28" s="30"/>
      <c r="R28" s="81" t="str">
        <f>VLOOKUP(C28,'Train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28" s="84" t="str">
        <f>VLOOKUP(C28,'Train Runs'!$A$13:$AE$9991,22,0)</f>
        <v>https://d0f6bd738d7f1b3e5a7ca70fe4ff75f0.us-east-1.aws.found.io/app/kibana#/discover/Steve-Slow-Train-Analysis-(2080s-and-2083s)?_g=(refreshInterval:(display:Off,pause:!f,section:0,value:0),time:(from:'2017-10-01T12:29:30-0600',mode:absolute,to:'2017-10-01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8" s="86" t="str">
        <f t="shared" si="1"/>
        <v>"C:\Program Files (x86)\AstroGrep\AstroGrep.exe" /e /r /s /spath="%USERPROFILE%\AppData\Local\Temp\OnboardLogs" /stypes="*4053*201710012*"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4053</v>
      </c>
      <c r="V28" s="31">
        <f t="shared" si="3"/>
        <v>43009.8596875</v>
      </c>
      <c r="W28" s="45" t="str">
        <f t="shared" si="4"/>
        <v>EC</v>
      </c>
      <c r="X28" s="22">
        <f t="shared" si="5"/>
        <v>174</v>
      </c>
      <c r="Y28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{"issue":{"subject":"","project_id":79,"tracker_id":40,"status_id":1,"priority_id":2,"assigned_to_id":338,"start_date":"2017-10-01","description":"","custom_fields":[{"id":1,"name":"Subdivision","value":"EC"},{"id":4,"name":"Milepost","value":"0.0826"},{"id":17,"name":"Train ID","value":"174-01"},{"id":16,"name":"Locomotive ID","value":"4053"},{"id":130,"name":"Impact","value":""},{"id":150,"name":"Time of Event (Mountain Time)","value":"14:37:57"},{"id":151,"name":"Denver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/c/Users/stu/AppData/Local/Temp/OnboardLogs/RTDC4053 --include="*4053*201710012*"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"%USERPROFILE%\AppData\Local\Temp\OnboardLogs"\RTDC4053\*4053*201710012* &gt;&gt; 2017-10-01-SliceDisagreementCheck.txt</v>
      </c>
      <c r="AE28" s="145" t="str">
        <f t="shared" si="9"/>
        <v>start /low /b %USERPROFILE%\Documents\GitHub\eaglep3\Utilities\DownloadLogsFromS3.py --loco 4053 --day 2017-10-01</v>
      </c>
      <c r="AF28" s="1"/>
    </row>
    <row r="29" spans="1:32" x14ac:dyDescent="0.25">
      <c r="A29" s="31">
        <v>43009.744780092595</v>
      </c>
      <c r="B29" s="30" t="s">
        <v>438</v>
      </c>
      <c r="C29" s="30" t="s">
        <v>608</v>
      </c>
      <c r="D29" s="30" t="s">
        <v>49</v>
      </c>
      <c r="E29" s="30" t="s">
        <v>180</v>
      </c>
      <c r="F29" s="42">
        <v>0</v>
      </c>
      <c r="G29" s="42">
        <v>34</v>
      </c>
      <c r="H29" s="42">
        <v>233370</v>
      </c>
      <c r="I29" s="42">
        <v>233401</v>
      </c>
      <c r="J29" s="30" t="s">
        <v>181</v>
      </c>
      <c r="K29" s="42">
        <v>233491</v>
      </c>
      <c r="L29" s="131" t="s">
        <v>50</v>
      </c>
      <c r="M29" s="132">
        <f t="shared" si="0"/>
        <v>47.52</v>
      </c>
      <c r="N29" s="133" t="str">
        <f>VLOOKUP(C29,'Trips&amp;Operators'!$C$1:$G$99911,5,FALSE)</f>
        <v>STAMBAUGH JAMES</v>
      </c>
      <c r="O29" s="176" t="s">
        <v>179</v>
      </c>
      <c r="P29" s="134"/>
      <c r="Q29" s="30"/>
      <c r="R29" s="81" t="str">
        <f>VLOOKUP(C29,'Train Runs'!$A$13:$AE$9991,31,0)</f>
        <v>aws s3 cp s3://rtdc.mdm.uploadarchive.raw/RTDC4014/ "%USERPROFILE%\AppData\Local\Temp\OnboardLogs"\RTDC4014\2017-10-01 --exclude "*" --recursive --include "*20171001*" &amp; "%USERPROFILE%\Documents\GitHub\mrs-test-scripts\Headless Mode &amp; Sideloading\WalkAndUnGZ.bat" "%USERPROFILE%\AppData\Local\Temp\OnboardLogs"\RTDC4014\2017-10-01 &amp; aws s3 cp s3://rtdc.mdm.uploadarchive.raw/RTDC4014/ "%USERPROFILE%\AppData\Local\Temp\OnboardLogs"\RTDC4014\2017-10-02 --exclude "*" --recursive --include "*20171002*" &amp; "%USERPROFILE%\Documents\GitHub\mrs-test-scripts\Headless Mode &amp; Sideloading\WalkAndUnGZ.bat" "%USERPROFILE%\AppData\Local\Temp\OnboardLogs"\RTDC4014\2017-10-02</v>
      </c>
      <c r="S29" s="84" t="str">
        <f>VLOOKUP(C29,'Train Runs'!$A$13:$AE$9991,22,0)</f>
        <v>https://d0f6bd738d7f1b3e5a7ca70fe4ff75f0.us-east-1.aws.found.io/app/kibana#/discover/Steve-Slow-Train-Analysis-(2080s-and-2083s)?_g=(refreshInterval:(display:Off,pause:!f,section:0,value:0),time:(from:'2017-10-01T16:10:57-0600',mode:absolute,to:'2017-10-01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86" t="str">
        <f t="shared" si="1"/>
        <v>"C:\Program Files (x86)\AstroGrep\AstroGrep.exe" /e /r /s /spath="%USERPROFILE%\AppData\Local\Temp\OnboardLogs" /stypes="*4014*201710012*"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4014</v>
      </c>
      <c r="V29" s="31">
        <f t="shared" si="3"/>
        <v>43009.994780092595</v>
      </c>
      <c r="W29" s="45" t="str">
        <f t="shared" si="4"/>
        <v>EC</v>
      </c>
      <c r="X29" s="22">
        <f t="shared" si="5"/>
        <v>209</v>
      </c>
      <c r="Y29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{"issue":{"subject":"","project_id":79,"tracker_id":40,"status_id":1,"priority_id":2,"assigned_to_id":338,"start_date":"2017-10-01","description":"","custom_fields":[{"id":1,"name":"Subdivision","value":"EC"},{"id":4,"name":"Milepost","value":"23.3491"},{"id":17,"name":"Train ID","value":"209-01"},{"id":16,"name":"Locomotive ID","value":"4014"},{"id":130,"name":"Impact","value":""},{"id":150,"name":"Time of Event (Mountain Time)","value":"17:52:29"},{"id":151,"name":"Denver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/c/Users/stu/AppData/Local/Temp/OnboardLogs/RTDC4014 --include="*4014*201710012*"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"%USERPROFILE%\AppData\Local\Temp\OnboardLogs"\RTDC4014\*4014*201710012* &gt;&gt; 2017-10-01-SliceDisagreementCheck.txt</v>
      </c>
      <c r="AE29" s="145" t="str">
        <f t="shared" si="9"/>
        <v>start /low /b %USERPROFILE%\Documents\GitHub\eaglep3\Utilities\DownloadLogsFromS3.py --loco 4014 --day 2017-10-01</v>
      </c>
      <c r="AF29" s="1"/>
    </row>
    <row r="30" spans="1:32" x14ac:dyDescent="0.25">
      <c r="A30" s="31">
        <v>43009.96193287037</v>
      </c>
      <c r="B30" s="30" t="s">
        <v>419</v>
      </c>
      <c r="C30" s="30" t="s">
        <v>617</v>
      </c>
      <c r="D30" s="30" t="s">
        <v>49</v>
      </c>
      <c r="E30" s="30" t="s">
        <v>180</v>
      </c>
      <c r="F30" s="42">
        <v>0</v>
      </c>
      <c r="G30" s="42">
        <v>42</v>
      </c>
      <c r="H30" s="42">
        <v>233334</v>
      </c>
      <c r="I30" s="42">
        <v>233378</v>
      </c>
      <c r="J30" s="30" t="s">
        <v>181</v>
      </c>
      <c r="K30" s="42">
        <v>233491</v>
      </c>
      <c r="L30" s="131" t="s">
        <v>50</v>
      </c>
      <c r="M30" s="132">
        <f t="shared" si="0"/>
        <v>59.664000000000001</v>
      </c>
      <c r="N30" s="133" t="str">
        <f>VLOOKUP(C30,'Trips&amp;Operators'!$C$1:$G$99911,5,FALSE)</f>
        <v>DUNCAN SHEILA</v>
      </c>
      <c r="O30" s="176" t="s">
        <v>179</v>
      </c>
      <c r="P30" s="134"/>
      <c r="Q30" s="30"/>
      <c r="R30" s="81" t="str">
        <f>VLOOKUP(C30,'Train Runs'!$A$13:$AE$9991,31,0)</f>
        <v>aws s3 cp s3://rtdc.mdm.uploadarchive.raw/RTDC4042/ "%USERPROFILE%\AppData\Local\Temp\OnboardLogs"\RTDC4042\2017-10-01 --exclude "*" --recursive --include "*20171001*" &amp; "%USERPROFILE%\Documents\GitHub\mrs-test-scripts\Headless Mode &amp; Sideloading\WalkAndUnGZ.bat" "%USERPROFILE%\AppData\Local\Temp\OnboardLogs"\RTDC4042\2017-10-01 &amp; 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</v>
      </c>
      <c r="S30" s="84" t="str">
        <f>VLOOKUP(C30,'Train Runs'!$A$13:$AE$9991,22,0)</f>
        <v>https://d0f6bd738d7f1b3e5a7ca70fe4ff75f0.us-east-1.aws.found.io/app/kibana#/discover/Steve-Slow-Train-Analysis-(2080s-and-2083s)?_g=(refreshInterval:(display:Off,pause:!f,section:0,value:0),time:(from:'2017-10-01T21:07:44-0600',mode:absolute,to:'2017-10-02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6" t="str">
        <f t="shared" si="1"/>
        <v>"C:\Program Files (x86)\AstroGrep\AstroGrep.exe" /e /r /s /spath="%USERPROFILE%\AppData\Local\Temp\OnboardLogs" /stypes="*4042*201710020*" /stext=" 05:.+((SYSTEM_STATE.+slice.+state.+changed )|(ment ac)|(multiple cpu faults)|(system.+state.+changed )|(\[timeout)|(PRM\|1\|D)|(kpr)|(kdp)|(train st.+moving)|(\|lc)|(penalty))"</v>
      </c>
      <c r="U30" s="9" t="str">
        <f t="shared" si="2"/>
        <v>4042</v>
      </c>
      <c r="V30" s="31">
        <f t="shared" si="3"/>
        <v>43010.21193287037</v>
      </c>
      <c r="W30" s="45" t="str">
        <f t="shared" si="4"/>
        <v>EC</v>
      </c>
      <c r="X30" s="22">
        <f t="shared" si="5"/>
        <v>235</v>
      </c>
      <c r="Y30" s="96" t="str">
        <f t="shared" si="6"/>
        <v>echo {"issue":{"subject":"","project_id":79,"tracker_id":40,"status_id":1,"priority_id":2,"assigned_to_id":338,"start_date":"2017-10-01","description":"","custom_fields":[{"id":1,"name":"Subdivision","value":"EC"},{"id":4,"name":"Milepost","value":"23.3491"},{"id":17,"name":"Train ID","value":"235-01"},{"id":16,"name":"Locomotive ID","value":"4042"},{"id":130,"name":"Impact","value":""},{"id":150,"name":"Time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/c/Users/stu/AppData/Local/Temp/OnboardLogs/RTDC4042 --include="*4042*201710020*"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"%USERPROFILE%\AppData\Local\Temp\OnboardLogs"\RTDC4042\*4042*201710020* &gt;&gt; 2017-10-01-SliceDisagreementCheck.txt</v>
      </c>
      <c r="AE30" s="145" t="str">
        <f t="shared" si="9"/>
        <v>start /low /b %USERPROFILE%\Documents\GitHub\eaglep3\Utilities\DownloadLogsFromS3.py --loco 4042 --day 2017-10-02</v>
      </c>
      <c r="AF30" s="1"/>
    </row>
    <row r="31" spans="1:32" x14ac:dyDescent="0.25">
      <c r="A31" s="31">
        <v>43010.044942129629</v>
      </c>
      <c r="B31" s="30" t="s">
        <v>419</v>
      </c>
      <c r="C31" s="30" t="s">
        <v>619</v>
      </c>
      <c r="D31" s="30" t="s">
        <v>49</v>
      </c>
      <c r="E31" s="30" t="s">
        <v>180</v>
      </c>
      <c r="F31" s="42">
        <v>0</v>
      </c>
      <c r="G31" s="42">
        <v>40</v>
      </c>
      <c r="H31" s="42">
        <v>233341</v>
      </c>
      <c r="I31" s="42">
        <v>233374</v>
      </c>
      <c r="J31" s="30" t="s">
        <v>181</v>
      </c>
      <c r="K31" s="42">
        <v>233491</v>
      </c>
      <c r="L31" s="131" t="s">
        <v>50</v>
      </c>
      <c r="M31" s="132">
        <f t="shared" si="0"/>
        <v>61.776000000000003</v>
      </c>
      <c r="N31" s="133" t="str">
        <f>VLOOKUP(C31,'Trips&amp;Operators'!$C$1:$G$99911,5,FALSE)</f>
        <v>DUNCAN SHEILA</v>
      </c>
      <c r="O31" s="176" t="s">
        <v>179</v>
      </c>
      <c r="P31" s="134"/>
      <c r="Q31" s="30"/>
      <c r="R31" s="81" t="str">
        <f>VLOOKUP(C31,'Train Runs'!$A$13:$AE$9991,31,0)</f>
        <v>aws s3 cp s3://rtdc.mdm.uploadarchive.raw/RTDC4042/ "%USERPROFILE%\AppData\Local\Temp\OnboardLogs"\RTDC4042\2017-10-02 --exclude "*" --recursive --include "*20171002*" &amp; "%USERPROFILE%\Documents\GitHub\mrs-test-scripts\Headless Mode &amp; Sideloading\WalkAndUnGZ.bat" "%USERPROFILE%\AppData\Local\Temp\OnboardLogs"\RTDC4042\2017-10-02 &amp; aws s3 cp s3://rtdc.mdm.uploadarchive.raw/RTDC4042/ "%USERPROFILE%\AppData\Local\Temp\OnboardLogs"\RTDC4042\2017-10-03 --exclude "*" --recursive --include "*20171003*" &amp; "%USERPROFILE%\Documents\GitHub\mrs-test-scripts\Headless Mode &amp; Sideloading\WalkAndUnGZ.bat" "%USERPROFILE%\AppData\Local\Temp\OnboardLogs"\RTDC4042\2017-10-03</v>
      </c>
      <c r="S31" s="84" t="str">
        <f>VLOOKUP(C31,'Train Runs'!$A$13:$AE$9991,22,0)</f>
        <v>https://d0f6bd738d7f1b3e5a7ca70fe4ff75f0.us-east-1.aws.found.io/app/kibana#/discover/Steve-Slow-Train-Analysis-(2080s-and-2083s)?_g=(refreshInterval:(display:Off,pause:!f,section:0,value:0),time:(from:'2017-10-01T23:07:02-0600',mode:absolute,to:'2017-10-02T02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1" s="86" t="str">
        <f t="shared" si="1"/>
        <v>"C:\Program Files (x86)\AstroGrep\AstroGrep.exe" /e /r /s /spath="%USERPROFILE%\AppData\Local\Temp\OnboardLogs" /stypes="*4042*201710020*" /stext=" 07:.+((SYSTEM_STATE.+slice.+state.+changed )|(ment ac)|(multiple cpu faults)|(system.+state.+changed )|(\[timeout)|(PRM\|1\|D)|(kpr)|(kdp)|(train st.+moving)|(\|lc)|(penalty))"</v>
      </c>
      <c r="U31" s="9" t="str">
        <f t="shared" si="2"/>
        <v>4042</v>
      </c>
      <c r="V31" s="31">
        <f t="shared" si="3"/>
        <v>43010.294942129629</v>
      </c>
      <c r="W31" s="45" t="str">
        <f t="shared" si="4"/>
        <v>EC</v>
      </c>
      <c r="X31" s="22">
        <f t="shared" si="5"/>
        <v>243</v>
      </c>
      <c r="Y31" s="96" t="str">
        <f t="shared" si="6"/>
        <v>echo {"issue":{"subject":"","project_id":79,"tracker_id":40,"status_id":1,"priority_id":2,"assigned_to_id":338,"start_date":"2017-10-02","description":"","custom_fields":[{"id":1,"name":"Subdivision","value":"EC"},{"id":4,"name":"Milepost","value":"23.3491"},{"id":17,"name":"Train ID","value":"243-01"},{"id":16,"name":"Locomotive ID","value":"4042"},{"id":130,"name":"Impact","value":""},{"id":150,"name":"Time of Event (Mountain Time)","value":"01:04:43"},{"id":151,"name":"Denver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/c/Users/stu/AppData/Local/Temp/OnboardLogs/RTDC4042 --include="*4042*201710020*"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"%USERPROFILE%\AppData\Local\Temp\OnboardLogs"\RTDC4042\*4042*201710020* &gt;&gt; 2017-10-01-SliceDisagreementCheck.txt</v>
      </c>
      <c r="AE31" s="145" t="str">
        <f t="shared" si="9"/>
        <v>start /low /b %USERPROFILE%\Documents\GitHub\eaglep3\Utilities\DownloadLogsFromS3.py --loco 4042 --day 2017-10-02</v>
      </c>
      <c r="AF31" s="1"/>
    </row>
    <row r="32" spans="1:32" x14ac:dyDescent="0.25">
      <c r="A32" s="31">
        <v>43009.343414351853</v>
      </c>
      <c r="B32" s="30" t="s">
        <v>403</v>
      </c>
      <c r="C32" s="30" t="s">
        <v>592</v>
      </c>
      <c r="D32" s="30" t="s">
        <v>49</v>
      </c>
      <c r="E32" s="30" t="s">
        <v>186</v>
      </c>
      <c r="F32" s="42">
        <v>370</v>
      </c>
      <c r="G32" s="42">
        <v>428</v>
      </c>
      <c r="H32" s="42">
        <v>10428</v>
      </c>
      <c r="I32" s="42">
        <v>11615</v>
      </c>
      <c r="J32" s="30" t="s">
        <v>187</v>
      </c>
      <c r="K32" s="42">
        <v>10716</v>
      </c>
      <c r="L32" s="131" t="s">
        <v>50</v>
      </c>
      <c r="M32" s="132">
        <f t="shared" si="0"/>
        <v>-474.67200000000003</v>
      </c>
      <c r="N32" s="133" t="str">
        <f>VLOOKUP(C32,'Trips&amp;Operators'!$C$1:$G$99911,5,FALSE)</f>
        <v>MACDONALD THOMAS</v>
      </c>
      <c r="O32" s="176" t="s">
        <v>179</v>
      </c>
      <c r="P32" s="134" t="s">
        <v>363</v>
      </c>
      <c r="Q32" s="30"/>
      <c r="R32" s="81" t="str">
        <f>VLOOKUP(C32,'Train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2" s="84" t="str">
        <f>VLOOKUP(C32,'Train Runs'!$A$13:$AE$9991,22,0)</f>
        <v>https://d0f6bd738d7f1b3e5a7ca70fe4ff75f0.us-east-1.aws.found.io/app/kibana#/discover/Steve-Slow-Train-Analysis-(2080s-and-2083s)?_g=(refreshInterval:(display:Off,pause:!f,section:0,value:0),time:(from:'2017-10-01T07:08:50-0600',mode:absolute,to:'2017-10-01T09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2" s="86" t="str">
        <f t="shared" si="1"/>
        <v>"C:\Program Files (x86)\AstroGrep\AstroGrep.exe" /e /r /s /spath="%USERPROFILE%\AppData\Local\Temp\OnboardLogs" /stypes="*4024*201710011*"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4024</v>
      </c>
      <c r="V32" s="31">
        <f t="shared" si="3"/>
        <v>43009.593414351853</v>
      </c>
      <c r="W32" s="45" t="str">
        <f t="shared" si="4"/>
        <v>NW</v>
      </c>
      <c r="X32" s="22">
        <f t="shared" si="5"/>
        <v>1805</v>
      </c>
      <c r="Y32" s="96" t="str">
        <f t="shared" si="6"/>
        <v>echo {"issue":{"subject":"Early Arrival","project_id":79,"tracker_id":40,"status_id":1,"priority_id":2,"assigned_to_id":338,"start_date":"2017-10-01","description":"","custom_fields":[{"id":1,"name":"Subdivision","value":"NW"},{"id":4,"name":"Milepost","value":"1.0716"},{"id":17,"name":"Train ID","value":"1805-01"},{"id":16,"name":"Locomotive ID","value":"4024"},{"id":130,"name":"Impact","value":""},{"id":150,"name":"Time of Event (Mountain Time)","value":"08:14:31"},{"id":151,"name":"Denver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/c/Users/stu/AppData/Local/Temp/OnboardLogs/RTDC4024 --include="*4024*201710011*"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"%USERPROFILE%\AppData\Local\Temp\OnboardLogs"\RTDC4024\*4024*201710011* &gt;&gt; 2017-10-01-SliceDisagreementCheck.txt</v>
      </c>
      <c r="AE32" s="145" t="str">
        <f t="shared" si="9"/>
        <v>start /low /b %USERPROFILE%\Documents\GitHub\eaglep3\Utilities\DownloadLogsFromS3.py --loco 4024 --day 2017-10-01</v>
      </c>
      <c r="AF32" s="1"/>
    </row>
    <row r="33" spans="1:32" x14ac:dyDescent="0.25">
      <c r="A33" s="31">
        <v>43009.970451388886</v>
      </c>
      <c r="B33" s="30" t="s">
        <v>403</v>
      </c>
      <c r="C33" s="30" t="s">
        <v>618</v>
      </c>
      <c r="D33" s="30" t="s">
        <v>49</v>
      </c>
      <c r="E33" s="30" t="s">
        <v>193</v>
      </c>
      <c r="F33" s="42">
        <v>400</v>
      </c>
      <c r="G33" s="42">
        <v>499</v>
      </c>
      <c r="H33" s="42">
        <v>35062</v>
      </c>
      <c r="I33" s="42">
        <v>37133</v>
      </c>
      <c r="J33" s="30" t="s">
        <v>194</v>
      </c>
      <c r="K33" s="42">
        <v>38172</v>
      </c>
      <c r="L33" s="131" t="s">
        <v>50</v>
      </c>
      <c r="M33" s="132">
        <f t="shared" si="0"/>
        <v>548.59199999999998</v>
      </c>
      <c r="N33" s="133" t="str">
        <f>VLOOKUP(C33,'Trips&amp;Operators'!$C$1:$G$99911,5,FALSE)</f>
        <v>HOLCOMB KAMDEN</v>
      </c>
      <c r="O33" s="176" t="s">
        <v>179</v>
      </c>
      <c r="P33" s="134"/>
      <c r="Q33" s="30"/>
      <c r="R33" s="81" t="str">
        <f>VLOOKUP(C33,'Train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3" s="84" t="str">
        <f>VLOOKUP(C33,'Train Runs'!$A$13:$AE$9991,22,0)</f>
        <v>https://d0f6bd738d7f1b3e5a7ca70fe4ff75f0.us-east-1.aws.found.io/app/kibana#/discover/Steve-Slow-Train-Analysis-(2080s-and-2083s)?_g=(refreshInterval:(display:Off,pause:!f,section:0,value:0),time:(from:'2017-10-01T22:00:58-0600',mode:absolute,to:'2017-10-02T00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3" s="86" t="str">
        <f t="shared" si="1"/>
        <v>"C:\Program Files (x86)\AstroGrep\AstroGrep.exe" /e /r /s /spath="%USERPROFILE%\AppData\Local\Temp\OnboardLogs" /stypes="*4024*201710020*" /stext=" 05:.+((SYSTEM_STATE.+slice.+state.+changed )|(ment ac)|(multiple cpu faults)|(system.+state.+changed )|(\[timeout)|(PRM\|1\|D)|(kpr)|(kdp)|(train st.+moving)|(\|lc)|(penalty))"</v>
      </c>
      <c r="U33" s="9" t="str">
        <f t="shared" si="2"/>
        <v>4024</v>
      </c>
      <c r="V33" s="31">
        <f t="shared" si="3"/>
        <v>43010.220451388886</v>
      </c>
      <c r="W33" s="45" t="str">
        <f t="shared" si="4"/>
        <v>NW</v>
      </c>
      <c r="X33" s="22">
        <f t="shared" si="5"/>
        <v>1835</v>
      </c>
      <c r="Y33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{"issue":{"subject":"","project_id":79,"tracker_id":40,"status_id":1,"priority_id":2,"assigned_to_id":338,"start_date":"2017-10-01","description":"","custom_fields":[{"id":1,"name":"Subdivision","value":"NW"},{"id":4,"name":"Milepost","value":"3.8172"},{"id":17,"name":"Train ID","value":"1835-01"},{"id":16,"name":"Locomotive ID","value":"4024"},{"id":130,"name":"Impact","value":""},{"id":150,"name":"Time of Event (Mountain Time)","value":"23:17:27"},{"id":151,"name":"Denver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/c/Users/stu/AppData/Local/Temp/OnboardLogs/RTDC4024 --include="*4024*201710020*"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"%USERPROFILE%\AppData\Local\Temp\OnboardLogs"\RTDC4024\*4024*201710020* &gt;&gt; 2017-10-01-SliceDisagreementCheck.txt</v>
      </c>
      <c r="AE33" s="145" t="str">
        <f t="shared" si="9"/>
        <v>start /low /b %USERPROFILE%\Documents\GitHub\eaglep3\Utilities\DownloadLogsFromS3.py --loco 4024 --day 2017-10-02</v>
      </c>
      <c r="AF33" s="1"/>
    </row>
    <row r="34" spans="1:32" x14ac:dyDescent="0.25">
      <c r="A34" s="31">
        <v>43009.590150462966</v>
      </c>
      <c r="B34" s="30" t="s">
        <v>403</v>
      </c>
      <c r="C34" s="30" t="s">
        <v>601</v>
      </c>
      <c r="D34" s="30" t="s">
        <v>95</v>
      </c>
      <c r="E34" s="30" t="s">
        <v>358</v>
      </c>
      <c r="F34" s="42">
        <v>0</v>
      </c>
      <c r="G34" s="42">
        <v>85</v>
      </c>
      <c r="H34" s="42">
        <v>1844</v>
      </c>
      <c r="I34" s="42">
        <v>1951</v>
      </c>
      <c r="J34" s="30" t="s">
        <v>359</v>
      </c>
      <c r="K34" s="42">
        <v>1725</v>
      </c>
      <c r="L34" s="131" t="s">
        <v>50</v>
      </c>
      <c r="M34" s="132">
        <f t="shared" si="0"/>
        <v>-119.328</v>
      </c>
      <c r="N34" s="133" t="str">
        <f>VLOOKUP(C34,'Trips&amp;Operators'!$C$1:$G$99911,5,FALSE)</f>
        <v>HOLCOMB KAMDEN</v>
      </c>
      <c r="O34" s="176" t="s">
        <v>400</v>
      </c>
      <c r="P34" s="134" t="s">
        <v>990</v>
      </c>
      <c r="Q34" s="30"/>
      <c r="R34" s="81" t="str">
        <f>VLOOKUP(C34,'Train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4" s="84" t="str">
        <f>VLOOKUP(C34,'Train Runs'!$A$13:$AE$9991,22,0)</f>
        <v>https://d0f6bd738d7f1b3e5a7ca70fe4ff75f0.us-east-1.aws.found.io/app/kibana#/discover/Steve-Slow-Train-Analysis-(2080s-and-2083s)?_g=(refreshInterval:(display:Off,pause:!f,section:0,value:0),time:(from:'2017-10-01T13:06:41-0600',mode:absolute,to:'2017-10-01T15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4" s="86" t="str">
        <f t="shared" si="1"/>
        <v>"C:\Program Files (x86)\AstroGrep\AstroGrep.exe" /e /r /s /spath="%USERPROFILE%\AppData\Local\Temp\OnboardLogs" /stypes="*4024*201710012*"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4024</v>
      </c>
      <c r="V34" s="31">
        <f t="shared" si="3"/>
        <v>43009.840150462966</v>
      </c>
      <c r="W34" s="45" t="str">
        <f t="shared" si="4"/>
        <v>NW</v>
      </c>
      <c r="X34" s="22">
        <f t="shared" si="5"/>
        <v>1817</v>
      </c>
      <c r="Y34" s="96" t="str">
        <f t="shared" si="6"/>
        <v>echo {"issue":{"subject":"Poor GPS at DUS","project_id":79,"tracker_id":40,"status_id":1,"priority_id":2,"assigned_to_id":338,"start_date":"2017-10-01","description":"","custom_fields":[{"id":1,"name":"Subdivision","value":"NW"},{"id":4,"name":"Milepost","value":"0.1725"},{"id":17,"name":"Train ID","value":"1817-01"},{"id":16,"name":"Locomotive ID","value":"4024"},{"id":130,"name":"Impact","value":""},{"id":150,"name":"Time of Event (Mountain Time)","value":"14:09:49"},{"id":151,"name":"Denver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/c/Users/stu/AppData/Local/Temp/OnboardLogs/RTDC4024 --include="*4024*201710012*"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"%USERPROFILE%\AppData\Local\Temp\OnboardLogs"\RTDC4024\*4024*201710012* &gt;&gt; 2017-10-01-SliceDisagreementCheck.txt</v>
      </c>
      <c r="AE34" s="145" t="str">
        <f t="shared" si="9"/>
        <v>start /low /b %USERPROFILE%\Documents\GitHub\eaglep3\Utilities\DownloadLogsFromS3.py --loco 4024 --day 2017-10-01</v>
      </c>
      <c r="AF34" s="1"/>
    </row>
    <row r="35" spans="1:32" x14ac:dyDescent="0.25">
      <c r="A35" s="31">
        <v>43009.621666666666</v>
      </c>
      <c r="B35" s="30" t="s">
        <v>402</v>
      </c>
      <c r="C35" s="30" t="s">
        <v>603</v>
      </c>
      <c r="D35" s="30" t="s">
        <v>49</v>
      </c>
      <c r="E35" s="30" t="s">
        <v>180</v>
      </c>
      <c r="F35" s="42">
        <v>0</v>
      </c>
      <c r="G35" s="42">
        <v>43</v>
      </c>
      <c r="H35" s="42">
        <v>696</v>
      </c>
      <c r="I35" s="42">
        <v>649</v>
      </c>
      <c r="J35" s="30" t="s">
        <v>181</v>
      </c>
      <c r="K35" s="42">
        <v>575</v>
      </c>
      <c r="L35" s="131" t="s">
        <v>51</v>
      </c>
      <c r="M35" s="132">
        <f t="shared" si="0"/>
        <v>39.072000000000003</v>
      </c>
      <c r="N35" s="133" t="str">
        <f>VLOOKUP(C35,'Trips&amp;Operators'!$C$1:$G$99911,5,FALSE)</f>
        <v>HOLCOMB KAMDEN</v>
      </c>
      <c r="O35" s="176" t="s">
        <v>179</v>
      </c>
      <c r="P35" s="134"/>
      <c r="Q35" s="30"/>
      <c r="R35" s="81" t="str">
        <f>VLOOKUP(C35,'Train Runs'!$A$13:$AE$9991,31,0)</f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S35" s="84" t="str">
        <f>VLOOKUP(C35,'Train Runs'!$A$13:$AE$9991,22,0)</f>
        <v>https://d0f6bd738d7f1b3e5a7ca70fe4ff75f0.us-east-1.aws.found.io/app/kibana#/discover/Steve-Slow-Train-Analysis-(2080s-and-2083s)?_g=(refreshInterval:(display:Off,pause:!f,section:0,value:0),time:(from:'2017-10-01T13:37:42-0600',mode:absolute,to:'2017-10-01T15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5" s="86" t="str">
        <f t="shared" si="1"/>
        <v>"C:\Program Files (x86)\AstroGrep\AstroGrep.exe" /e /r /s /spath="%USERPROFILE%\AppData\Local\Temp\OnboardLogs" /stypes="*4023*201710012*"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4023</v>
      </c>
      <c r="V35" s="31">
        <f t="shared" si="3"/>
        <v>43009.871666666666</v>
      </c>
      <c r="W35" s="45" t="str">
        <f t="shared" si="4"/>
        <v>NW</v>
      </c>
      <c r="X35" s="22">
        <f t="shared" si="5"/>
        <v>1818</v>
      </c>
      <c r="Y35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{"issue":{"subject":"","project_id":79,"tracker_id":40,"status_id":1,"priority_id":2,"assigned_to_id":338,"start_date":"2017-10-01","description":"","custom_fields":[{"id":1,"name":"Subdivision","value":"NW"},{"id":4,"name":"Milepost","value":"0.0575"},{"id":17,"name":"Train ID","value":"1818-01"},{"id":16,"name":"Locomotive ID","value":"4023"},{"id":130,"name":"Impact","value":""},{"id":150,"name":"Time of Event (Mountain Time)","value":"14:55:12"},{"id":151,"name":"Denver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/c/Users/stu/AppData/Local/Temp/OnboardLogs/RTDC4023 --include="*4023*201710012*"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"%USERPROFILE%\AppData\Local\Temp\OnboardLogs"\RTDC4023\*4023*201710012* &gt;&gt; 2017-10-01-SliceDisagreementCheck.txt</v>
      </c>
      <c r="AE35" s="145" t="str">
        <f t="shared" si="9"/>
        <v>start /low /b %USERPROFILE%\Documents\GitHub\eaglep3\Utilities\DownloadLogsFromS3.py --loco 4023 --day 2017-10-01</v>
      </c>
      <c r="AF35" s="1"/>
    </row>
    <row r="36" spans="1:32" x14ac:dyDescent="0.25">
      <c r="A36" s="31">
        <v>43009.747546296298</v>
      </c>
      <c r="B36" s="30" t="s">
        <v>402</v>
      </c>
      <c r="C36" s="30" t="s">
        <v>609</v>
      </c>
      <c r="D36" s="30" t="s">
        <v>49</v>
      </c>
      <c r="E36" s="30" t="s">
        <v>180</v>
      </c>
      <c r="F36" s="42">
        <v>0</v>
      </c>
      <c r="G36" s="42">
        <v>46</v>
      </c>
      <c r="H36" s="42">
        <v>747</v>
      </c>
      <c r="I36" s="42">
        <v>710</v>
      </c>
      <c r="J36" s="30" t="s">
        <v>181</v>
      </c>
      <c r="K36" s="42">
        <v>575</v>
      </c>
      <c r="L36" s="131" t="s">
        <v>51</v>
      </c>
      <c r="M36" s="132">
        <f t="shared" si="0"/>
        <v>71.28</v>
      </c>
      <c r="N36" s="133" t="str">
        <f>VLOOKUP(C36,'Trips&amp;Operators'!$C$1:$G$99911,5,FALSE)</f>
        <v>HOLCOMB KAMDEN</v>
      </c>
      <c r="O36" s="176" t="s">
        <v>179</v>
      </c>
      <c r="P36" s="134"/>
      <c r="Q36" s="30"/>
      <c r="R36" s="81" t="str">
        <f>VLOOKUP(C36,'Train Runs'!$A$13:$AE$9991,31,0)</f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S36" s="84" t="str">
        <f>VLOOKUP(C36,'Train Runs'!$A$13:$AE$9991,22,0)</f>
        <v>https://d0f6bd738d7f1b3e5a7ca70fe4ff75f0.us-east-1.aws.found.io/app/kibana#/discover/Steve-Slow-Train-Analysis-(2080s-and-2083s)?_g=(refreshInterval:(display:Off,pause:!f,section:0,value:0),time:(from:'2017-10-01T16:36:36-0600',mode:absolute,to:'2017-10-01T18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6" s="86" t="str">
        <f t="shared" si="1"/>
        <v>"C:\Program Files (x86)\AstroGrep\AstroGrep.exe" /e /r /s /spath="%USERPROFILE%\AppData\Local\Temp\OnboardLogs" /stypes="*4023*201710012*"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4023</v>
      </c>
      <c r="V36" s="31">
        <f t="shared" si="3"/>
        <v>43009.997546296298</v>
      </c>
      <c r="W36" s="45" t="str">
        <f t="shared" si="4"/>
        <v>NW</v>
      </c>
      <c r="X36" s="22">
        <f t="shared" si="5"/>
        <v>1824</v>
      </c>
      <c r="Y36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{"issue":{"subject":"","project_id":79,"tracker_id":40,"status_id":1,"priority_id":2,"assigned_to_id":338,"start_date":"2017-10-01","description":"","custom_fields":[{"id":1,"name":"Subdivision","value":"NW"},{"id":4,"name":"Milepost","value":"0.0575"},{"id":17,"name":"Train ID","value":"1824-01"},{"id":16,"name":"Locomotive ID","value":"4023"},{"id":130,"name":"Impact","value":""},{"id":150,"name":"Time of Event (Mountain Time)","value":"17:56:28"},{"id":151,"name":"Denver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/c/Users/stu/AppData/Local/Temp/OnboardLogs/RTDC4023 --include="*4023*201710012*"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"%USERPROFILE%\AppData\Local\Temp\OnboardLogs"\RTDC4023\*4023*201710012* &gt;&gt; 2017-10-01-SliceDisagreementCheck.txt</v>
      </c>
      <c r="AE36" s="145" t="str">
        <f t="shared" si="9"/>
        <v>start /low /b %USERPROFILE%\Documents\GitHub\eaglep3\Utilities\DownloadLogsFromS3.py --loco 4023 --day 2017-10-01</v>
      </c>
      <c r="AF36" s="1"/>
    </row>
    <row r="37" spans="1:32" x14ac:dyDescent="0.25">
      <c r="A37" s="31">
        <v>43009.913645833331</v>
      </c>
      <c r="B37" s="30" t="s">
        <v>402</v>
      </c>
      <c r="C37" s="30" t="s">
        <v>616</v>
      </c>
      <c r="D37" s="30" t="s">
        <v>49</v>
      </c>
      <c r="E37" s="30" t="s">
        <v>180</v>
      </c>
      <c r="F37" s="42">
        <v>0</v>
      </c>
      <c r="G37" s="42">
        <v>39</v>
      </c>
      <c r="H37" s="42">
        <v>692</v>
      </c>
      <c r="I37" s="42">
        <v>657</v>
      </c>
      <c r="J37" s="30" t="s">
        <v>181</v>
      </c>
      <c r="K37" s="42">
        <v>575</v>
      </c>
      <c r="L37" s="131" t="s">
        <v>51</v>
      </c>
      <c r="M37" s="132">
        <f t="shared" si="0"/>
        <v>43.296000000000006</v>
      </c>
      <c r="N37" s="133" t="str">
        <f>VLOOKUP(C37,'Trips&amp;Operators'!$C$1:$G$99911,5,FALSE)</f>
        <v>HOLCOMB KAMDEN</v>
      </c>
      <c r="O37" s="176" t="s">
        <v>179</v>
      </c>
      <c r="P37" s="134"/>
      <c r="Q37" s="30"/>
      <c r="R37" s="81" t="str">
        <f>VLOOKUP(C37,'Train Runs'!$A$13:$AE$9991,31,0)</f>
        <v>aws s3 cp s3://rtdc.mdm.uploadarchive.raw/RTDC4023/ "%USERPROFILE%\AppData\Local\Temp\OnboardLogs"\RTDC4023\2017-10-01 --exclude "*" --recursive --include "*20171001*" &amp; "%USERPROFILE%\Documents\GitHub\mrs-test-scripts\Headless Mode &amp; Sideloading\WalkAndUnGZ.bat" "%USERPROFILE%\AppData\Local\Temp\OnboardLogs"\RTDC4023\2017-10-01 &amp; aws s3 cp s3://rtdc.mdm.uploadarchive.raw/RTDC4023/ "%USERPROFILE%\AppData\Local\Temp\OnboardLogs"\RTDC4023\2017-10-02 --exclude "*" --recursive --include "*20171002*" &amp; "%USERPROFILE%\Documents\GitHub\mrs-test-scripts\Headless Mode &amp; Sideloading\WalkAndUnGZ.bat" "%USERPROFILE%\AppData\Local\Temp\OnboardLogs"\RTDC4023\2017-10-02</v>
      </c>
      <c r="S37" s="84" t="str">
        <f>VLOOKUP(C37,'Train Runs'!$A$13:$AE$9991,22,0)</f>
        <v>https://d0f6bd738d7f1b3e5a7ca70fe4ff75f0.us-east-1.aws.found.io/app/kibana#/discover/Steve-Slow-Train-Analysis-(2080s-and-2083s)?_g=(refreshInterval:(display:Off,pause:!f,section:0,value:0),time:(from:'2017-10-01T20:35:49-0600',mode:absolute,to:'2017-10-01T22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7" s="86" t="str">
        <f t="shared" si="1"/>
        <v>"C:\Program Files (x86)\AstroGrep\AstroGrep.exe" /e /r /s /spath="%USERPROFILE%\AppData\Local\Temp\OnboardLogs" /stypes="*4023*201710020*" /stext=" 03:.+((SYSTEM_STATE.+slice.+state.+changed )|(ment ac)|(multiple cpu faults)|(system.+state.+changed )|(\[timeout)|(PRM\|1\|D)|(kpr)|(kdp)|(train st.+moving)|(\|lc)|(penalty))"</v>
      </c>
      <c r="U37" s="9" t="str">
        <f t="shared" si="2"/>
        <v>4023</v>
      </c>
      <c r="V37" s="31">
        <f t="shared" si="3"/>
        <v>43010.163645833331</v>
      </c>
      <c r="W37" s="45" t="str">
        <f t="shared" si="4"/>
        <v>NW</v>
      </c>
      <c r="X37" s="22">
        <f t="shared" si="5"/>
        <v>1832</v>
      </c>
      <c r="Y37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{"issue":{"subject":"","project_id":79,"tracker_id":40,"status_id":1,"priority_id":2,"assigned_to_id":338,"start_date":"2017-10-01","description":"","custom_fields":[{"id":1,"name":"Subdivision","value":"NW"},{"id":4,"name":"Milepost","value":"0.0575"},{"id":17,"name":"Train ID","value":"1832-01"},{"id":16,"name":"Locomotive ID","value":"4023"},{"id":130,"name":"Impact","value":""},{"id":150,"name":"Time of Event (Mountain Time)","value":"21:55:39"},{"id":151,"name":"Denver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/c/Users/stu/AppData/Local/Temp/OnboardLogs/RTDC4023 --include="*4023*201710020*"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"%USERPROFILE%\AppData\Local\Temp\OnboardLogs"\RTDC4023\*4023*201710020* &gt;&gt; 2017-10-01-SliceDisagreementCheck.txt</v>
      </c>
      <c r="AE37" s="145" t="str">
        <f t="shared" si="9"/>
        <v>start /low /b %USERPROFILE%\Documents\GitHub\eaglep3\Utilities\DownloadLogsFromS3.py --loco 4023 --day 2017-10-02</v>
      </c>
      <c r="AF37" s="1"/>
    </row>
    <row r="38" spans="1:32" x14ac:dyDescent="0.25">
      <c r="A38" s="31">
        <v>43009.641122685185</v>
      </c>
      <c r="B38" s="30" t="s">
        <v>403</v>
      </c>
      <c r="C38" s="30" t="s">
        <v>605</v>
      </c>
      <c r="D38" s="30" t="s">
        <v>49</v>
      </c>
      <c r="E38" s="30" t="s">
        <v>180</v>
      </c>
      <c r="F38" s="42">
        <v>0</v>
      </c>
      <c r="G38" s="42">
        <v>8</v>
      </c>
      <c r="H38" s="42">
        <v>59033</v>
      </c>
      <c r="I38" s="42">
        <v>59035</v>
      </c>
      <c r="J38" s="30" t="s">
        <v>181</v>
      </c>
      <c r="K38" s="42">
        <v>59048</v>
      </c>
      <c r="L38" s="131" t="s">
        <v>50</v>
      </c>
      <c r="M38" s="132">
        <f t="shared" si="0"/>
        <v>6.8639999999999999</v>
      </c>
      <c r="N38" s="133" t="str">
        <f>VLOOKUP(C38,'Trips&amp;Operators'!$C$1:$G$99911,5,FALSE)</f>
        <v>HOLCOMB KAMDEN</v>
      </c>
      <c r="O38" s="176" t="s">
        <v>179</v>
      </c>
      <c r="P38" s="134"/>
      <c r="Q38" s="30"/>
      <c r="R38" s="81" t="str">
        <f>VLOOKUP(C38,'Train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8" s="84" t="str">
        <f>VLOOKUP(C38,'Train Runs'!$A$13:$AE$9991,22,0)</f>
        <v>https://d0f6bd738d7f1b3e5a7ca70fe4ff75f0.us-east-1.aws.found.io/app/kibana#/discover/Steve-Slow-Train-Analysis-(2080s-and-2083s)?_g=(refreshInterval:(display:Off,pause:!f,section:0,value:0),time:(from:'2017-10-01T14:05:33-0600',mode:absolute,to:'2017-10-01T16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8" s="86" t="str">
        <f t="shared" si="1"/>
        <v>"C:\Program Files (x86)\AstroGrep\AstroGrep.exe" /e /r /s /spath="%USERPROFILE%\AppData\Local\Temp\OnboardLogs" /stypes="*4024*201710012*" /stext=" 21:.+((SYSTEM_STATE.+slice.+state.+changed )|(ment ac)|(multiple cpu faults)|(system.+state.+changed )|(\[timeout)|(PRM\|1\|D)|(kpr)|(kdp)|(train st.+moving)|(\|lc)|(penalty))"</v>
      </c>
      <c r="U38" s="9" t="str">
        <f t="shared" si="2"/>
        <v>4024</v>
      </c>
      <c r="V38" s="31">
        <f t="shared" si="3"/>
        <v>43009.891122685185</v>
      </c>
      <c r="W38" s="45" t="str">
        <f t="shared" si="4"/>
        <v>NW</v>
      </c>
      <c r="X38" s="22">
        <f t="shared" si="5"/>
        <v>1819</v>
      </c>
      <c r="Y38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{"issue":{"subject":"","project_id":79,"tracker_id":40,"status_id":1,"priority_id":2,"assigned_to_id":338,"start_date":"2017-10-01","description":"","custom_fields":[{"id":1,"name":"Subdivision","value":"NW"},{"id":4,"name":"Milepost","value":"5.9048"},{"id":17,"name":"Train ID","value":"1819-01"},{"id":16,"name":"Locomotive ID","value":"4024"},{"id":130,"name":"Impact","value":""},{"id":150,"name":"Time of Event (Mountain Time)","value":"15:23:13"},{"id":151,"name":"Denver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/c/Users/stu/AppData/Local/Temp/OnboardLogs/RTDC4024 --include="*4024*201710012*"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"%USERPROFILE%\AppData\Local\Temp\OnboardLogs"\RTDC4024\*4024*201710012* &gt;&gt; 2017-10-01-SliceDisagreementCheck.txt</v>
      </c>
      <c r="AE38" s="145" t="str">
        <f t="shared" si="9"/>
        <v>start /low /b %USERPROFILE%\Documents\GitHub\eaglep3\Utilities\DownloadLogsFromS3.py --loco 4024 --day 2017-10-01</v>
      </c>
      <c r="AF38" s="1"/>
    </row>
    <row r="39" spans="1:32" x14ac:dyDescent="0.25">
      <c r="A39" s="31">
        <v>43009.849351851852</v>
      </c>
      <c r="B39" s="30" t="s">
        <v>403</v>
      </c>
      <c r="C39" s="30" t="s">
        <v>614</v>
      </c>
      <c r="D39" s="30" t="s">
        <v>49</v>
      </c>
      <c r="E39" s="30" t="s">
        <v>180</v>
      </c>
      <c r="F39" s="42">
        <v>0</v>
      </c>
      <c r="G39" s="42">
        <v>72</v>
      </c>
      <c r="H39" s="42">
        <v>58822</v>
      </c>
      <c r="I39" s="42">
        <v>58894</v>
      </c>
      <c r="J39" s="30" t="s">
        <v>181</v>
      </c>
      <c r="K39" s="42">
        <v>59048</v>
      </c>
      <c r="L39" s="131" t="s">
        <v>50</v>
      </c>
      <c r="M39" s="132">
        <f t="shared" si="0"/>
        <v>81.311999999999998</v>
      </c>
      <c r="N39" s="133" t="str">
        <f>VLOOKUP(C39,'Trips&amp;Operators'!$C$1:$G$99911,5,FALSE)</f>
        <v>HOLCOMB KAMDEN</v>
      </c>
      <c r="O39" s="176" t="s">
        <v>179</v>
      </c>
      <c r="P39" s="134"/>
      <c r="Q39" s="30"/>
      <c r="R39" s="81" t="str">
        <f>VLOOKUP(C39,'Train Runs'!$A$13:$AE$9991,31,0)</f>
        <v>aws s3 cp s3://rtdc.mdm.uploadarchive.raw/RTDC4024/ "%USERPROFILE%\AppData\Local\Temp\OnboardLogs"\RTDC4024\2017-10-01 --exclude "*" --recursive --include "*20171001*" &amp; "%USERPROFILE%\Documents\GitHub\mrs-test-scripts\Headless Mode &amp; Sideloading\WalkAndUnGZ.bat" "%USERPROFILE%\AppData\Local\Temp\OnboardLogs"\RTDC4024\2017-10-01 &amp; aws s3 cp s3://rtdc.mdm.uploadarchive.raw/RTDC4024/ "%USERPROFILE%\AppData\Local\Temp\OnboardLogs"\RTDC4024\2017-10-02 --exclude "*" --recursive --include "*20171002*" &amp; "%USERPROFILE%\Documents\GitHub\mrs-test-scripts\Headless Mode &amp; Sideloading\WalkAndUnGZ.bat" "%USERPROFILE%\AppData\Local\Temp\OnboardLogs"\RTDC4024\2017-10-02</v>
      </c>
      <c r="S39" s="84" t="str">
        <f>VLOOKUP(C39,'Train Runs'!$A$13:$AE$9991,22,0)</f>
        <v>https://d0f6bd738d7f1b3e5a7ca70fe4ff75f0.us-east-1.aws.found.io/app/kibana#/discover/Steve-Slow-Train-Analysis-(2080s-and-2083s)?_g=(refreshInterval:(display:Off,pause:!f,section:0,value:0),time:(from:'2017-10-01T19:05:55-0600',mode:absolute,to:'2017-10-01T21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9" s="86" t="str">
        <f t="shared" si="1"/>
        <v>"C:\Program Files (x86)\AstroGrep\AstroGrep.exe" /e /r /s /spath="%USERPROFILE%\AppData\Local\Temp\OnboardLogs" /stypes="*4024*201710020*" /stext=" 02:.+((SYSTEM_STATE.+slice.+state.+changed )|(ment ac)|(multiple cpu faults)|(system.+state.+changed )|(\[timeout)|(PRM\|1\|D)|(kpr)|(kdp)|(train st.+moving)|(\|lc)|(penalty))"</v>
      </c>
      <c r="U39" s="9" t="str">
        <f t="shared" si="2"/>
        <v>4024</v>
      </c>
      <c r="V39" s="31">
        <f t="shared" si="3"/>
        <v>43010.099351851852</v>
      </c>
      <c r="W39" s="45" t="str">
        <f t="shared" si="4"/>
        <v>NW</v>
      </c>
      <c r="X39" s="22">
        <f t="shared" si="5"/>
        <v>1829</v>
      </c>
      <c r="Y39" s="96" t="str">
        <f t="shared" si="6"/>
        <v>echo {"issue":{"subject":"","project_id":79,"tracker_id":40,"status_id":1,"priority_id":2,"assigned_to_id":338,"start_date":"2017-10-01","description":"","custom_fields":[{"id":1,"name":"Subdivision","value":"NW"},{"id":4,"name":"Milepost","value":"5.9048"},{"id":17,"name":"Train ID","value":"1829-01"},{"id":16,"name":"Locomotive ID","value":"4024"},{"id":130,"name":"Impact","value":""},{"id":150,"name":"Time of Event (Mountain Time)","value":"20:23:04"},{"id":151,"name":"Denver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/c/Users/stu/AppData/Local/Temp/OnboardLogs/RTDC4024 --include="*4024*201710020*"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"%USERPROFILE%\AppData\Local\Temp\OnboardLogs"\RTDC4024\*4024*201710020* &gt;&gt; 2017-10-01-SliceDisagreementCheck.txt</v>
      </c>
      <c r="AE39" s="145" t="str">
        <f t="shared" si="9"/>
        <v>start /low /b %USERPROFILE%\Documents\GitHub\eaglep3\Utilities\DownloadLogsFromS3.py --loco 4024 --day 2017-10-02</v>
      </c>
      <c r="AF39" s="1"/>
    </row>
    <row r="40" spans="1:32" x14ac:dyDescent="0.25">
      <c r="A40" s="31">
        <v>43009.147106481483</v>
      </c>
      <c r="B40" s="30" t="s">
        <v>510</v>
      </c>
      <c r="C40" s="30" t="s">
        <v>586</v>
      </c>
      <c r="D40" s="30" t="s">
        <v>49</v>
      </c>
      <c r="E40" s="30" t="s">
        <v>358</v>
      </c>
      <c r="F40" s="42">
        <v>0</v>
      </c>
      <c r="G40" s="42">
        <v>85</v>
      </c>
      <c r="H40" s="42">
        <v>4809</v>
      </c>
      <c r="I40" s="42">
        <v>4692</v>
      </c>
      <c r="J40" s="30" t="s">
        <v>359</v>
      </c>
      <c r="K40" s="42">
        <v>4798</v>
      </c>
      <c r="L40" s="131" t="s">
        <v>51</v>
      </c>
      <c r="M40" s="132">
        <f t="shared" si="0"/>
        <v>-55.968000000000004</v>
      </c>
      <c r="N40" s="133" t="str">
        <f>VLOOKUP(C40,'Trips&amp;Operators'!$C$1:$G$99911,5,FALSE)</f>
        <v>MAELZER KURT</v>
      </c>
      <c r="O40" s="176" t="s">
        <v>179</v>
      </c>
      <c r="P40" s="134"/>
      <c r="Q40" s="30"/>
      <c r="R40" s="81" t="str">
        <f>VLOOKUP(C40,'Train Runs'!$A$13:$AE$9991,31,0)</f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S40" s="84" t="str">
        <f>VLOOKUP(C40,'Train Runs'!$A$13:$AE$9991,22,0)</f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0" s="86" t="str">
        <f t="shared" si="1"/>
        <v>"C:\Program Files (x86)\AstroGrep\AstroGrep.exe" /e /r /s /spath="%USERPROFILE%\AppData\Local\Temp\OnboardLogs" /stypes="*4015*201710010*" /stext=" 09:.+((SYSTEM_STATE.+slice.+state.+changed )|(ment ac)|(multiple cpu faults)|(system.+state.+changed )|(\[timeout)|(PRM\|1\|D)|(kpr)|(kdp)|(train st.+moving)|(\|lc)|(penalty))"</v>
      </c>
      <c r="U40" s="9" t="str">
        <f t="shared" si="2"/>
        <v>4015</v>
      </c>
      <c r="V40" s="31">
        <f t="shared" si="3"/>
        <v>43009.397106481483</v>
      </c>
      <c r="W40" s="45" t="str">
        <f t="shared" si="4"/>
        <v>Other</v>
      </c>
      <c r="X40" s="22">
        <f t="shared" si="5"/>
        <v>302</v>
      </c>
      <c r="Y40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{"issue":{"subject":"","project_id":79,"tracker_id":40,"status_id":1,"priority_id":2,"assigned_to_id":338,"start_date":"2017-10-01","description":"","custom_fields":[{"id":1,"name":"Subdivision","value":"Other"},{"id":4,"name":"Milepost","value":"0.4798"},{"id":17,"name":"Train ID","value":"302-01"},{"id":16,"name":"Locomotive ID","value":"4015"},{"id":130,"name":"Impact","value":""},{"id":150,"name":"Time of Event (Mountain Time)","value":"03:31:50"},{"id":151,"name":"Denver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/c/Users/stu/AppData/Local/Temp/OnboardLogs/RTDC4015 --include="*4015*201710010*"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"%USERPROFILE%\AppData\Local\Temp\OnboardLogs"\RTDC4015\*4015*201710010* &gt;&gt; 2017-10-01-SliceDisagreementCheck.txt</v>
      </c>
      <c r="AE40" s="145" t="str">
        <f t="shared" si="9"/>
        <v>start /low /b %USERPROFILE%\Documents\GitHub\eaglep3\Utilities\DownloadLogsFromS3.py --loco 4015 --day 2017-10-01</v>
      </c>
      <c r="AF40" s="1"/>
    </row>
    <row r="41" spans="1:32" x14ac:dyDescent="0.25">
      <c r="A41" s="31">
        <v>43009.14744212963</v>
      </c>
      <c r="B41" s="30" t="s">
        <v>510</v>
      </c>
      <c r="C41" s="30" t="s">
        <v>586</v>
      </c>
      <c r="D41" s="30" t="s">
        <v>95</v>
      </c>
      <c r="E41" s="30" t="s">
        <v>358</v>
      </c>
      <c r="F41" s="42">
        <v>0</v>
      </c>
      <c r="G41" s="42">
        <v>16</v>
      </c>
      <c r="H41" s="42">
        <v>4543</v>
      </c>
      <c r="I41" s="42">
        <v>4488</v>
      </c>
      <c r="J41" s="30" t="s">
        <v>359</v>
      </c>
      <c r="K41" s="42">
        <v>4798</v>
      </c>
      <c r="L41" s="131" t="s">
        <v>51</v>
      </c>
      <c r="M41" s="132">
        <f t="shared" si="0"/>
        <v>-163.68</v>
      </c>
      <c r="N41" s="133" t="str">
        <f>VLOOKUP(C41,'Trips&amp;Operators'!$C$1:$G$99911,5,FALSE)</f>
        <v>MAELZER KURT</v>
      </c>
      <c r="O41" s="176" t="s">
        <v>179</v>
      </c>
      <c r="P41" s="134"/>
      <c r="Q41" s="30"/>
      <c r="R41" s="81" t="str">
        <f>VLOOKUP(C41,'Train Runs'!$A$13:$AE$9991,31,0)</f>
        <v>aws s3 cp s3://rtdc.mdm.uploadarchive.raw/RTDC4015/ "%USERPROFILE%\AppData\Local\Temp\OnboardLogs"\RTDC4015\2017-10-01 --exclude "*" --recursive --include "*20171001*" &amp; "%USERPROFILE%\Documents\GitHub\mrs-test-scripts\Headless Mode &amp; Sideloading\WalkAndUnGZ.bat" "%USERPROFILE%\AppData\Local\Temp\OnboardLogs"\RTDC4015\2017-10-01 &amp; aws s3 cp s3://rtdc.mdm.uploadarchive.raw/RTDC4015/ "%USERPROFILE%\AppData\Local\Temp\OnboardLogs"\RTDC4015\2017-10-02 --exclude "*" --recursive --include "*20171002*" &amp; "%USERPROFILE%\Documents\GitHub\mrs-test-scripts\Headless Mode &amp; Sideloading\WalkAndUnGZ.bat" "%USERPROFILE%\AppData\Local\Temp\OnboardLogs"\RTDC4015\2017-10-02</v>
      </c>
      <c r="S41" s="84" t="str">
        <f>VLOOKUP(C41,'Train Runs'!$A$13:$AE$9991,22,0)</f>
        <v>https://d0f6bd738d7f1b3e5a7ca70fe4ff75f0.us-east-1.aws.found.io/app/kibana#/discover/Steve-Slow-Train-Analysis-(2080s-and-2083s)?_g=(refreshInterval:(display:Off,pause:!f,section:0,value:0),time:(from:'2017-10-01T02:21:14-0600',mode:absolute,to:'2017-10-01T04:32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1" s="86" t="str">
        <f t="shared" si="1"/>
        <v>"C:\Program Files (x86)\AstroGrep\AstroGrep.exe" /e /r /s /spath="%USERPROFILE%\AppData\Local\Temp\OnboardLogs" /stypes="*4015*201710010*" /stext=" 09:.+((SYSTEM_STATE.+slice.+state.+changed )|(ment ac)|(multiple cpu faults)|(system.+state.+changed )|(\[timeout)|(PRM\|1\|D)|(kpr)|(kdp)|(train st.+moving)|(\|lc)|(penalty))"</v>
      </c>
      <c r="U41" s="9" t="str">
        <f t="shared" si="2"/>
        <v>4015</v>
      </c>
      <c r="V41" s="31">
        <f t="shared" si="3"/>
        <v>43009.39744212963</v>
      </c>
      <c r="W41" s="45" t="str">
        <f t="shared" si="4"/>
        <v>Other</v>
      </c>
      <c r="X41" s="22">
        <f t="shared" si="5"/>
        <v>302</v>
      </c>
      <c r="Y41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{"issue":{"subject":"","project_id":79,"tracker_id":40,"status_id":1,"priority_id":2,"assigned_to_id":338,"start_date":"2017-10-01","description":"","custom_fields":[{"id":1,"name":"Subdivision","value":"Other"},{"id":4,"name":"Milepost","value":"0.4798"},{"id":17,"name":"Train ID","value":"302-01"},{"id":16,"name":"Locomotive ID","value":"4015"},{"id":130,"name":"Impact","value":""},{"id":150,"name":"Time of Event (Mountain Time)","value":"03:32:19"},{"id":151,"name":"Denver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/c/Users/stu/AppData/Local/Temp/OnboardLogs/RTDC4015 --include="*4015*201710010*"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"%USERPROFILE%\AppData\Local\Temp\OnboardLogs"\RTDC4015\*4015*201710010* &gt;&gt; 2017-10-01-SliceDisagreementCheck.txt</v>
      </c>
      <c r="AE41" s="145" t="str">
        <f t="shared" si="9"/>
        <v>start /low /b %USERPROFILE%\Documents\GitHub\eaglep3\Utilities\DownloadLogsFromS3.py --loco 4015 --day 2017-10-01</v>
      </c>
      <c r="AF41" s="1"/>
    </row>
    <row r="42" spans="1:32" x14ac:dyDescent="0.25">
      <c r="A42" s="31">
        <v>43009.167905092596</v>
      </c>
      <c r="B42" s="30" t="s">
        <v>511</v>
      </c>
      <c r="C42" s="30" t="s">
        <v>587</v>
      </c>
      <c r="D42" s="30" t="s">
        <v>49</v>
      </c>
      <c r="E42" s="30" t="s">
        <v>358</v>
      </c>
      <c r="F42" s="42">
        <v>0</v>
      </c>
      <c r="G42" s="42">
        <v>105</v>
      </c>
      <c r="H42" s="42">
        <v>4821</v>
      </c>
      <c r="I42" s="42">
        <v>4671</v>
      </c>
      <c r="J42" s="30" t="s">
        <v>359</v>
      </c>
      <c r="K42" s="42">
        <v>4798</v>
      </c>
      <c r="L42" s="131" t="s">
        <v>51</v>
      </c>
      <c r="M42" s="132">
        <f t="shared" si="0"/>
        <v>-67.055999999999997</v>
      </c>
      <c r="N42" s="133" t="str">
        <f>VLOOKUP(C42,'Trips&amp;Operators'!$C$1:$G$99911,5,FALSE)</f>
        <v>DAVIS WENDY</v>
      </c>
      <c r="O42" s="176" t="s">
        <v>179</v>
      </c>
      <c r="P42" s="134"/>
      <c r="Q42" s="30"/>
      <c r="R42" s="81" t="str">
        <f>VLOOKUP(C42,'Train Runs'!$A$13:$AE$9991,31,0)</f>
        <v>aws s3 cp s3://rtdc.mdm.uploadarchive.raw/RTDC4059/ "%USERPROFILE%\AppData\Local\Temp\OnboardLogs"\RTDC4059\2017-10-01 --exclude "*" --recursive --include "*20171001*" &amp; "%USERPROFILE%\Documents\GitHub\mrs-test-scripts\Headless Mode &amp; Sideloading\WalkAndUnGZ.bat" "%USERPROFILE%\AppData\Local\Temp\OnboardLogs"\RTDC4059\2017-10-01 &amp; aws s3 cp s3://rtdc.mdm.uploadarchive.raw/RTDC4059/ "%USERPROFILE%\AppData\Local\Temp\OnboardLogs"\RTDC4059\2017-10-02 --exclude "*" --recursive --include "*20171002*" &amp; "%USERPROFILE%\Documents\GitHub\mrs-test-scripts\Headless Mode &amp; Sideloading\WalkAndUnGZ.bat" "%USERPROFILE%\AppData\Local\Temp\OnboardLogs"\RTDC4059\2017-10-02</v>
      </c>
      <c r="S42" s="84" t="str">
        <f>VLOOKUP(C42,'Train Runs'!$A$13:$AE$9991,22,0)</f>
        <v>https://d0f6bd738d7f1b3e5a7ca70fe4ff75f0.us-east-1.aws.found.io/app/kibana#/discover/Steve-Slow-Train-Analysis-(2080s-and-2083s)?_g=(refreshInterval:(display:Off,pause:!f,section:0,value:0),time:(from:'2017-10-01T02:47:38-0600',mode:absolute,to:'2017-10-01T05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42" s="86" t="str">
        <f t="shared" si="1"/>
        <v>"C:\Program Files (x86)\AstroGrep\AstroGrep.exe" /e /r /s /spath="%USERPROFILE%\AppData\Local\Temp\OnboardLogs" /stypes="*4059*201710011*" /stext=" 10:.+((SYSTEM_STATE.+slice.+state.+changed )|(ment ac)|(multiple cpu faults)|(system.+state.+changed )|(\[timeout)|(PRM\|1\|D)|(kpr)|(kdp)|(train st.+moving)|(\|lc)|(penalty))"</v>
      </c>
      <c r="U42" s="9" t="str">
        <f t="shared" si="2"/>
        <v>4059</v>
      </c>
      <c r="V42" s="31">
        <f t="shared" si="3"/>
        <v>43009.417905092596</v>
      </c>
      <c r="W42" s="45" t="str">
        <f t="shared" si="4"/>
        <v>Other</v>
      </c>
      <c r="X42" s="22">
        <f t="shared" si="5"/>
        <v>304</v>
      </c>
      <c r="Y42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{"issue":{"subject":"","project_id":79,"tracker_id":40,"status_id":1,"priority_id":2,"assigned_to_id":338,"start_date":"2017-10-01","description":"","custom_fields":[{"id":1,"name":"Subdivision","value":"Other"},{"id":4,"name":"Milepost","value":"0.4798"},{"id":17,"name":"Train ID","value":"304-01"},{"id":16,"name":"Locomotive ID","value":"4059"},{"id":130,"name":"Impact","value":""},{"id":150,"name":"Time of Event (Mountain Time)","value":"04:01:47"},{"id":151,"name":"Denver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/c/Users/stu/AppData/Local/Temp/OnboardLogs/RTDC4059 --include="*4059*201710011*"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"%USERPROFILE%\AppData\Local\Temp\OnboardLogs"\RTDC4059\*4059*201710011* &gt;&gt; 2017-10-01-SliceDisagreementCheck.txt</v>
      </c>
      <c r="AE42" s="145" t="str">
        <f t="shared" si="9"/>
        <v>start /low /b %USERPROFILE%\Documents\GitHub\eaglep3\Utilities\DownloadLogsFromS3.py --loco 4059 --day 2017-10-01</v>
      </c>
      <c r="AF42" s="1"/>
    </row>
    <row r="43" spans="1:32" x14ac:dyDescent="0.25">
      <c r="A43" s="31">
        <v>43009.230011574073</v>
      </c>
      <c r="B43" s="30" t="s">
        <v>484</v>
      </c>
      <c r="C43" s="30" t="s">
        <v>588</v>
      </c>
      <c r="D43" s="30" t="s">
        <v>49</v>
      </c>
      <c r="E43" s="30" t="s">
        <v>358</v>
      </c>
      <c r="F43" s="42">
        <v>0</v>
      </c>
      <c r="G43" s="42">
        <v>12</v>
      </c>
      <c r="H43" s="42">
        <v>19002</v>
      </c>
      <c r="I43" s="42">
        <v>18994</v>
      </c>
      <c r="J43" s="30" t="s">
        <v>359</v>
      </c>
      <c r="K43" s="42">
        <v>19000</v>
      </c>
      <c r="L43" s="131" t="s">
        <v>51</v>
      </c>
      <c r="M43" s="132">
        <f t="shared" si="0"/>
        <v>-3.1680000000000001</v>
      </c>
      <c r="N43" s="133" t="str">
        <f>VLOOKUP(C43,'Trips&amp;Operators'!$C$1:$G$99911,5,FALSE)</f>
        <v>LAMAR NEKESHA</v>
      </c>
      <c r="O43" s="176" t="s">
        <v>179</v>
      </c>
      <c r="P43" s="134"/>
      <c r="Q43" s="30"/>
      <c r="R43" s="81" t="str">
        <f>VLOOKUP(C43,'Train Runs'!$A$13:$AE$9991,31,0)</f>
        <v>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 &amp; aws s3 cp s3://rtdc.mdm.uploadarchive.raw/RTDC4053/ "%USERPROFILE%\AppData\Local\Temp\OnboardLogs"\RTDC4053\2017-10-02 --exclude "*" --recursive --include "*20171002*" &amp; "%USERPROFILE%\Documents\GitHub\mrs-test-scripts\Headless Mode &amp; Sideloading\WalkAndUnGZ.bat" "%USERPROFILE%\AppData\Local\Temp\OnboardLogs"\RTDC4053\2017-10-02</v>
      </c>
      <c r="S43" s="84" t="str">
        <f>VLOOKUP(C43,'Train Runs'!$A$13:$AE$9991,22,0)</f>
        <v>https://d0f6bd738d7f1b3e5a7ca70fe4ff75f0.us-east-1.aws.found.io/app/kibana#/discover/Steve-Slow-Train-Analysis-(2080s-and-2083s)?_g=(refreshInterval:(display:Off,pause:!f,section:0,value:0),time:(from:'2017-10-01T04:22:06-0600',mode:absolute,to:'2017-10-01T06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3" s="86" t="str">
        <f t="shared" si="1"/>
        <v>"C:\Program Files (x86)\AstroGrep\AstroGrep.exe" /e /r /s /spath="%USERPROFILE%\AppData\Local\Temp\OnboardLogs" /stypes="*4053*201710011*" /stext=" 11:.+((SYSTEM_STATE.+slice.+state.+changed )|(ment ac)|(multiple cpu faults)|(system.+state.+changed )|(\[timeout)|(PRM\|1\|D)|(kpr)|(kdp)|(train st.+moving)|(\|lc)|(penalty))"</v>
      </c>
      <c r="U43" s="9" t="str">
        <f t="shared" si="2"/>
        <v>4053</v>
      </c>
      <c r="V43" s="31">
        <f t="shared" si="3"/>
        <v>43009.480011574073</v>
      </c>
      <c r="W43" s="45" t="str">
        <f t="shared" si="4"/>
        <v>Other</v>
      </c>
      <c r="X43" s="22">
        <f t="shared" si="5"/>
        <v>312</v>
      </c>
      <c r="Y43" s="96" t="str">
        <f t="shared" si="6"/>
        <v>echo {"issue":{"subject":"","project_id":79,"tracker_id":40,"status_id":1,"priority_id":2,"assigned_to_id":338,"start_date":"2017-10-01","description":"","custom_fields":[{"id":1,"name":"Subdivision","value":"Other"},{"id":4,"name":"Milepost","value":"1.9"},{"id":17,"name":"Train ID","value":"312-01"},{"id":16,"name":"Locomotive ID","value":"4053"},{"id":130,"name":"Impact","value":""},{"id":150,"name":"Time of Event (Mountain Time)","value":"05:31:13"},{"id":151,"name":"Denver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/c/Users/stu/AppData/Local/Temp/OnboardLogs/RTDC4053 --include="*4053*201710011*"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"%USERPROFILE%\AppData\Local\Temp\OnboardLogs"\RTDC4053\*4053*201710011* &gt;&gt; 2017-10-01-SliceDisagreementCheck.txt</v>
      </c>
      <c r="AE43" s="145" t="str">
        <f t="shared" si="9"/>
        <v>start /low /b %USERPROFILE%\Documents\GitHub\eaglep3\Utilities\DownloadLogsFromS3.py --loco 4053 --day 2017-10-01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</sheetData>
  <autoFilter ref="A6:AC43">
    <sortState ref="A7:AC44">
      <sortCondition ref="W7:W44"/>
      <sortCondition ref="E7:E44"/>
      <sortCondition ref="K7:K44"/>
      <sortCondition ref="F7:F44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2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2017-10-01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1801</v>
      </c>
      <c r="B3" s="42" t="str">
        <f>A3&amp;"-"&amp;IF(DAY(Variables!$A$2)&lt;10,0,"")&amp;DAY(Variables!$A$2)</f>
        <v>1801-01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221801-01%22)),sort:!(Time.ISO8601,asc))</v>
      </c>
      <c r="J3" s="30" t="str">
        <f>VLOOKUP(B3,'Train Runs'!$A$13:$A$99988,1,FALSE)</f>
        <v>1801-01</v>
      </c>
    </row>
    <row r="4" spans="1:10" x14ac:dyDescent="0.25">
      <c r="A4" s="198"/>
      <c r="B4" s="42" t="str">
        <f>A4&amp;"-"&amp;IF(DAY(Variables!$A$2)&lt;10,0,"")&amp;DAY(Variables!$A$2)</f>
        <v>-01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Runs'!$A$13:$A$99988,1,FALSE)</f>
        <v>#N/A</v>
      </c>
    </row>
    <row r="5" spans="1:10" x14ac:dyDescent="0.25">
      <c r="A5" s="198"/>
      <c r="B5" s="42" t="str">
        <f>A5&amp;"-"&amp;IF(DAY(Variables!$A$2)&lt;10,0,"")&amp;DAY(Variables!$A$2)</f>
        <v>-01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Runs'!$A$13:$A$99988,1,FALSE)</f>
        <v>#N/A</v>
      </c>
    </row>
    <row r="6" spans="1:10" x14ac:dyDescent="0.25">
      <c r="A6" s="198"/>
      <c r="B6" s="42" t="str">
        <f>A6&amp;"-"&amp;IF(DAY(Variables!$A$2)&lt;10,0,"")&amp;DAY(Variables!$A$2)</f>
        <v>-01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Runs'!$A$13:$A$99988,1,FALSE)</f>
        <v>#N/A</v>
      </c>
    </row>
    <row r="7" spans="1:10" x14ac:dyDescent="0.25">
      <c r="A7" s="198"/>
      <c r="B7" s="42" t="str">
        <f>A7&amp;"-"&amp;IF(DAY(Variables!$A$2)&lt;10,0,"")&amp;DAY(Variables!$A$2)</f>
        <v>-01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Runs'!$A$13:$A$99988,1,FALSE)</f>
        <v>#N/A</v>
      </c>
    </row>
    <row r="8" spans="1:10" x14ac:dyDescent="0.25">
      <c r="A8" s="198"/>
      <c r="B8" s="42" t="str">
        <f>A8&amp;"-"&amp;IF(DAY(Variables!$A$2)&lt;10,0,"")&amp;DAY(Variables!$A$2)</f>
        <v>-01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Runs'!$A$13:$A$99988,1,FALSE)</f>
        <v>#N/A</v>
      </c>
    </row>
    <row r="9" spans="1:10" x14ac:dyDescent="0.25">
      <c r="A9" s="198"/>
      <c r="B9" s="42" t="str">
        <f>A9&amp;"-"&amp;IF(DAY(Variables!$A$2)&lt;10,0,"")&amp;DAY(Variables!$A$2)</f>
        <v>-01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Runs'!$A$13:$A$99988,1,FALSE)</f>
        <v>#N/A</v>
      </c>
    </row>
    <row r="10" spans="1:10" x14ac:dyDescent="0.25">
      <c r="A10" s="198"/>
      <c r="B10" s="42" t="str">
        <f>A10&amp;"-"&amp;IF(DAY(Variables!$A$2)&lt;10,0,"")&amp;DAY(Variables!$A$2)</f>
        <v>-01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Runs'!$A$13:$A$99988,1,FALSE)</f>
        <v>#N/A</v>
      </c>
    </row>
    <row r="11" spans="1:10" x14ac:dyDescent="0.25">
      <c r="A11" s="198"/>
      <c r="B11" s="42" t="str">
        <f>A11&amp;"-"&amp;IF(DAY(Variables!$A$2)&lt;10,0,"")&amp;DAY(Variables!$A$2)</f>
        <v>-01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Runs'!$A$13:$A$99988,1,FALSE)</f>
        <v>#N/A</v>
      </c>
    </row>
    <row r="12" spans="1:10" x14ac:dyDescent="0.25">
      <c r="A12" s="198"/>
      <c r="B12" s="42" t="str">
        <f>A12&amp;"-"&amp;IF(DAY(Variables!$A$2)&lt;10,0,"")&amp;DAY(Variables!$A$2)</f>
        <v>-01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Runs'!$A$13:$A$99988,1,FALSE)</f>
        <v>#N/A</v>
      </c>
    </row>
    <row r="13" spans="1:10" x14ac:dyDescent="0.25">
      <c r="A13" s="198"/>
      <c r="B13" s="42" t="str">
        <f>A13&amp;"-"&amp;IF(DAY(Variables!$A$2)&lt;10,0,"")&amp;DAY(Variables!$A$2)</f>
        <v>-01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Runs'!$A$13:$A$99988,1,FALSE)</f>
        <v>#N/A</v>
      </c>
    </row>
    <row r="14" spans="1:10" x14ac:dyDescent="0.25">
      <c r="A14" s="198"/>
      <c r="B14" s="42" t="str">
        <f>A14&amp;"-"&amp;IF(DAY(Variables!$A$2)&lt;10,0,"")&amp;DAY(Variables!$A$2)</f>
        <v>-01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Runs'!$A$13:$A$99988,1,FALSE)</f>
        <v>#N/A</v>
      </c>
    </row>
    <row r="15" spans="1:10" x14ac:dyDescent="0.25">
      <c r="A15" s="198"/>
      <c r="B15" s="42" t="str">
        <f>A15&amp;"-"&amp;IF(DAY(Variables!$A$2)&lt;10,0,"")&amp;DAY(Variables!$A$2)</f>
        <v>-01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Runs'!$A$13:$A$99988,1,FALSE)</f>
        <v>#N/A</v>
      </c>
    </row>
    <row r="16" spans="1:10" x14ac:dyDescent="0.25">
      <c r="A16" s="198"/>
      <c r="B16" s="42" t="str">
        <f>A16&amp;"-"&amp;IF(DAY(Variables!$A$2)&lt;10,0,"")&amp;DAY(Variables!$A$2)</f>
        <v>-01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Runs'!$A$13:$A$99988,1,FALSE)</f>
        <v>#N/A</v>
      </c>
    </row>
    <row r="17" spans="1:10" x14ac:dyDescent="0.25">
      <c r="A17" s="198"/>
      <c r="B17" s="42" t="str">
        <f>A17&amp;"-"&amp;IF(DAY(Variables!$A$2)&lt;10,0,"")&amp;DAY(Variables!$A$2)</f>
        <v>-01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Runs'!$A$13:$A$99988,1,FALSE)</f>
        <v>#N/A</v>
      </c>
    </row>
    <row r="18" spans="1:10" x14ac:dyDescent="0.25">
      <c r="A18" s="198"/>
      <c r="B18" s="42" t="str">
        <f>A18&amp;"-"&amp;IF(DAY(Variables!$A$2)&lt;10,0,"")&amp;DAY(Variables!$A$2)</f>
        <v>-01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Runs'!$A$13:$A$99988,1,FALSE)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43009.047152777777</v>
      </c>
      <c r="B2" s="20" t="s">
        <v>409</v>
      </c>
      <c r="C2" s="20" t="s">
        <v>620</v>
      </c>
      <c r="D2" s="138">
        <v>3220000</v>
      </c>
      <c r="E2" s="20" t="s">
        <v>621</v>
      </c>
      <c r="F2" s="20" t="s">
        <v>622</v>
      </c>
      <c r="G2" s="8" t="str">
        <f>E2&amp;" "&amp;F2</f>
        <v>RESPASS AARON</v>
      </c>
      <c r="H2" t="str">
        <f>MID(B2,13,4)</f>
        <v>4039</v>
      </c>
    </row>
    <row r="3" spans="1:8" x14ac:dyDescent="0.25">
      <c r="A3" s="8">
        <v>43009.050196759257</v>
      </c>
      <c r="B3" s="20" t="s">
        <v>410</v>
      </c>
      <c r="C3" s="20" t="s">
        <v>623</v>
      </c>
      <c r="D3" s="138">
        <v>3000000</v>
      </c>
      <c r="E3" s="20" t="s">
        <v>483</v>
      </c>
      <c r="F3" s="20" t="s">
        <v>416</v>
      </c>
      <c r="G3" s="8" t="str">
        <f t="shared" ref="G3:G66" si="0">E3&amp;" "&amp;F3</f>
        <v>FORTUNATO FRANK</v>
      </c>
      <c r="H3" s="20" t="str">
        <f t="shared" ref="H3:H66" si="1">MID(B3,13,4)</f>
        <v>4010</v>
      </c>
    </row>
    <row r="4" spans="1:8" x14ac:dyDescent="0.25">
      <c r="A4" s="8">
        <v>43009.067083333335</v>
      </c>
      <c r="B4" s="20" t="s">
        <v>435</v>
      </c>
      <c r="C4" s="20" t="s">
        <v>624</v>
      </c>
      <c r="D4" s="138">
        <v>3340000</v>
      </c>
      <c r="E4" s="20" t="s">
        <v>439</v>
      </c>
      <c r="F4" s="20" t="s">
        <v>440</v>
      </c>
      <c r="G4" s="8" t="str">
        <f t="shared" si="0"/>
        <v>ELBAUM MIKE</v>
      </c>
      <c r="H4" s="20" t="str">
        <f t="shared" si="1"/>
        <v>4052</v>
      </c>
    </row>
    <row r="5" spans="1:8" x14ac:dyDescent="0.25">
      <c r="A5" s="8">
        <v>43009.073368055557</v>
      </c>
      <c r="B5" s="20" t="s">
        <v>625</v>
      </c>
      <c r="C5" s="20" t="s">
        <v>626</v>
      </c>
      <c r="D5" s="138">
        <v>3320000</v>
      </c>
      <c r="E5" s="20" t="s">
        <v>380</v>
      </c>
      <c r="F5" s="20" t="s">
        <v>381</v>
      </c>
      <c r="G5" s="8" t="str">
        <f t="shared" si="0"/>
        <v>NICHOLSON WESLEY</v>
      </c>
      <c r="H5" s="20" t="str">
        <f t="shared" si="1"/>
        <v>4027</v>
      </c>
    </row>
    <row r="6" spans="1:8" x14ac:dyDescent="0.25">
      <c r="A6" s="8">
        <v>43009.090011574073</v>
      </c>
      <c r="B6" s="20" t="s">
        <v>412</v>
      </c>
      <c r="C6" s="20" t="s">
        <v>627</v>
      </c>
      <c r="D6" s="138">
        <v>3220000</v>
      </c>
      <c r="E6" s="20" t="s">
        <v>621</v>
      </c>
      <c r="F6" s="20" t="s">
        <v>622</v>
      </c>
      <c r="G6" s="8" t="str">
        <f t="shared" si="0"/>
        <v>RESPASS AARON</v>
      </c>
      <c r="H6" s="20" t="str">
        <f t="shared" si="1"/>
        <v>4040</v>
      </c>
    </row>
    <row r="7" spans="1:8" x14ac:dyDescent="0.25">
      <c r="A7" s="8">
        <v>43009.111296296294</v>
      </c>
      <c r="B7" s="20" t="s">
        <v>606</v>
      </c>
      <c r="C7" s="20" t="s">
        <v>628</v>
      </c>
      <c r="D7" s="138">
        <v>2140000</v>
      </c>
      <c r="E7" s="20" t="s">
        <v>464</v>
      </c>
      <c r="F7" s="20" t="s">
        <v>465</v>
      </c>
      <c r="G7" s="8" t="str">
        <f t="shared" si="0"/>
        <v>ROBINSON KADDIBA</v>
      </c>
      <c r="H7" s="20" t="str">
        <f t="shared" si="1"/>
        <v>4041</v>
      </c>
    </row>
    <row r="8" spans="1:8" x14ac:dyDescent="0.25">
      <c r="A8" s="8">
        <v>43009.112002314818</v>
      </c>
      <c r="B8" s="20" t="s">
        <v>606</v>
      </c>
      <c r="C8" s="20" t="s">
        <v>629</v>
      </c>
      <c r="D8" s="138">
        <v>2140000</v>
      </c>
      <c r="E8" s="20" t="s">
        <v>464</v>
      </c>
      <c r="F8" s="20" t="s">
        <v>465</v>
      </c>
      <c r="G8" s="8" t="str">
        <f t="shared" si="0"/>
        <v>ROBINSON KADDIBA</v>
      </c>
      <c r="H8" s="20" t="str">
        <f t="shared" si="1"/>
        <v>4041</v>
      </c>
    </row>
    <row r="9" spans="1:8" ht="15.75" thickBot="1" x14ac:dyDescent="0.3">
      <c r="A9" s="24">
        <v>43009.113333333335</v>
      </c>
      <c r="B9" s="20" t="s">
        <v>630</v>
      </c>
      <c r="C9" s="20" t="s">
        <v>631</v>
      </c>
      <c r="D9" s="138">
        <v>3320000</v>
      </c>
      <c r="E9" s="20" t="s">
        <v>380</v>
      </c>
      <c r="F9" s="20" t="s">
        <v>381</v>
      </c>
      <c r="G9" s="8" t="str">
        <f t="shared" si="0"/>
        <v>NICHOLSON WESLEY</v>
      </c>
      <c r="H9" s="20" t="str">
        <f t="shared" si="1"/>
        <v>4028</v>
      </c>
    </row>
    <row r="10" spans="1:8" x14ac:dyDescent="0.25">
      <c r="A10" s="8">
        <v>43009.125300925924</v>
      </c>
      <c r="B10" s="20" t="s">
        <v>419</v>
      </c>
      <c r="C10" s="20" t="s">
        <v>632</v>
      </c>
      <c r="D10" s="138">
        <v>2370000</v>
      </c>
      <c r="E10" s="20" t="s">
        <v>487</v>
      </c>
      <c r="F10" s="20" t="s">
        <v>488</v>
      </c>
      <c r="G10" s="8" t="str">
        <f t="shared" si="0"/>
        <v>DELGADO DIANAH</v>
      </c>
      <c r="H10" s="20" t="str">
        <f t="shared" si="1"/>
        <v>4042</v>
      </c>
    </row>
    <row r="11" spans="1:8" x14ac:dyDescent="0.25">
      <c r="A11" s="8">
        <v>43009.126562500001</v>
      </c>
      <c r="B11" s="20" t="s">
        <v>438</v>
      </c>
      <c r="C11" s="20" t="s">
        <v>628</v>
      </c>
      <c r="D11" s="138">
        <v>2140000</v>
      </c>
      <c r="E11" s="20" t="s">
        <v>464</v>
      </c>
      <c r="F11" s="20" t="s">
        <v>465</v>
      </c>
      <c r="G11" s="8" t="str">
        <f t="shared" si="0"/>
        <v>ROBINSON KADDIBA</v>
      </c>
      <c r="H11" s="20" t="str">
        <f t="shared" si="1"/>
        <v>4014</v>
      </c>
    </row>
    <row r="12" spans="1:8" x14ac:dyDescent="0.25">
      <c r="A12" s="8">
        <v>43009.140381944446</v>
      </c>
      <c r="B12" s="20" t="s">
        <v>510</v>
      </c>
      <c r="C12" s="20" t="s">
        <v>586</v>
      </c>
      <c r="D12" s="138">
        <v>2010000</v>
      </c>
      <c r="E12" s="20" t="s">
        <v>517</v>
      </c>
      <c r="F12" s="20" t="s">
        <v>518</v>
      </c>
      <c r="G12" s="8" t="str">
        <f t="shared" si="0"/>
        <v>MAELZER KURT</v>
      </c>
      <c r="H12" s="20" t="str">
        <f t="shared" si="1"/>
        <v>4015</v>
      </c>
    </row>
    <row r="13" spans="1:8" x14ac:dyDescent="0.25">
      <c r="A13" s="8">
        <v>43009.140486111108</v>
      </c>
      <c r="B13" s="20" t="s">
        <v>606</v>
      </c>
      <c r="C13" s="20" t="s">
        <v>633</v>
      </c>
      <c r="D13" s="138">
        <v>2370000</v>
      </c>
      <c r="E13" s="20" t="s">
        <v>487</v>
      </c>
      <c r="F13" s="20" t="s">
        <v>488</v>
      </c>
      <c r="G13" s="8" t="str">
        <f t="shared" si="0"/>
        <v>DELGADO DIANAH</v>
      </c>
      <c r="H13" s="20" t="str">
        <f t="shared" si="1"/>
        <v>4041</v>
      </c>
    </row>
    <row r="14" spans="1:8" x14ac:dyDescent="0.25">
      <c r="A14" s="8">
        <v>43009.155231481483</v>
      </c>
      <c r="B14" s="20" t="s">
        <v>507</v>
      </c>
      <c r="C14" s="20" t="s">
        <v>634</v>
      </c>
      <c r="D14" s="138">
        <v>2010000</v>
      </c>
      <c r="E14" s="20" t="s">
        <v>517</v>
      </c>
      <c r="F14" s="20" t="s">
        <v>518</v>
      </c>
      <c r="G14" s="8" t="str">
        <f t="shared" si="0"/>
        <v>MAELZER KURT</v>
      </c>
      <c r="H14" s="20" t="str">
        <f t="shared" si="1"/>
        <v>4016</v>
      </c>
    </row>
    <row r="15" spans="1:8" x14ac:dyDescent="0.25">
      <c r="A15" s="8">
        <v>43009.158738425926</v>
      </c>
      <c r="B15" s="20" t="s">
        <v>511</v>
      </c>
      <c r="C15" s="20" t="s">
        <v>587</v>
      </c>
      <c r="D15" s="138">
        <v>1990000</v>
      </c>
      <c r="E15" s="20" t="s">
        <v>343</v>
      </c>
      <c r="F15" s="20" t="s">
        <v>482</v>
      </c>
      <c r="G15" s="8" t="str">
        <f t="shared" si="0"/>
        <v>DAVIS WENDY</v>
      </c>
      <c r="H15" s="20" t="str">
        <f t="shared" si="1"/>
        <v>4059</v>
      </c>
    </row>
    <row r="16" spans="1:8" x14ac:dyDescent="0.25">
      <c r="A16" s="8">
        <v>43009.166307870371</v>
      </c>
      <c r="B16" s="20" t="s">
        <v>437</v>
      </c>
      <c r="C16" s="20" t="s">
        <v>635</v>
      </c>
      <c r="D16" s="138">
        <v>2140000</v>
      </c>
      <c r="E16" s="20" t="s">
        <v>464</v>
      </c>
      <c r="F16" s="20" t="s">
        <v>465</v>
      </c>
      <c r="G16" s="8" t="str">
        <f t="shared" si="0"/>
        <v>ROBINSON KADDIBA</v>
      </c>
      <c r="H16" s="20" t="str">
        <f t="shared" si="1"/>
        <v>4013</v>
      </c>
    </row>
    <row r="17" spans="1:8" x14ac:dyDescent="0.25">
      <c r="A17" s="8">
        <v>43009.172881944447</v>
      </c>
      <c r="B17" s="20" t="s">
        <v>519</v>
      </c>
      <c r="C17" s="20" t="s">
        <v>636</v>
      </c>
      <c r="D17" s="138">
        <v>1990000</v>
      </c>
      <c r="E17" s="20" t="s">
        <v>343</v>
      </c>
      <c r="F17" s="20" t="s">
        <v>482</v>
      </c>
      <c r="G17" s="8" t="str">
        <f t="shared" si="0"/>
        <v>DAVIS WENDY</v>
      </c>
      <c r="H17" s="20" t="str">
        <f t="shared" si="1"/>
        <v>4060</v>
      </c>
    </row>
    <row r="18" spans="1:8" x14ac:dyDescent="0.25">
      <c r="A18" s="8">
        <v>43009.18236111111</v>
      </c>
      <c r="B18" s="20" t="s">
        <v>411</v>
      </c>
      <c r="C18" s="20" t="s">
        <v>637</v>
      </c>
      <c r="D18" s="138">
        <v>3300000</v>
      </c>
      <c r="E18" s="20" t="s">
        <v>638</v>
      </c>
      <c r="F18" s="20" t="s">
        <v>639</v>
      </c>
      <c r="G18" s="8" t="str">
        <f t="shared" si="0"/>
        <v>LANGERAK WILLIAM</v>
      </c>
      <c r="H18" s="20" t="str">
        <f t="shared" si="1"/>
        <v>4017</v>
      </c>
    </row>
    <row r="19" spans="1:8" x14ac:dyDescent="0.25">
      <c r="A19" s="8">
        <v>43009.182905092595</v>
      </c>
      <c r="B19" s="20" t="s">
        <v>640</v>
      </c>
      <c r="C19" s="20" t="s">
        <v>641</v>
      </c>
      <c r="D19" s="138">
        <v>1100000</v>
      </c>
      <c r="E19" s="20" t="s">
        <v>642</v>
      </c>
      <c r="F19" s="20" t="s">
        <v>643</v>
      </c>
      <c r="G19" s="8" t="str">
        <f t="shared" si="0"/>
        <v>GEBRETEKLE DAGNEW</v>
      </c>
      <c r="H19" s="20" t="str">
        <f t="shared" si="1"/>
        <v>4011</v>
      </c>
    </row>
    <row r="20" spans="1:8" x14ac:dyDescent="0.25">
      <c r="A20" s="8">
        <v>43009.183993055558</v>
      </c>
      <c r="B20" s="20" t="s">
        <v>419</v>
      </c>
      <c r="C20" s="20" t="s">
        <v>644</v>
      </c>
      <c r="D20" s="138">
        <v>2370000</v>
      </c>
      <c r="E20" s="20" t="s">
        <v>487</v>
      </c>
      <c r="F20" s="20" t="s">
        <v>488</v>
      </c>
      <c r="G20" s="8" t="str">
        <f t="shared" si="0"/>
        <v>DELGADO DIANAH</v>
      </c>
      <c r="H20" s="20" t="str">
        <f t="shared" si="1"/>
        <v>4042</v>
      </c>
    </row>
    <row r="21" spans="1:8" x14ac:dyDescent="0.25">
      <c r="A21" s="8">
        <v>43009.18582175926</v>
      </c>
      <c r="B21" s="20" t="s">
        <v>510</v>
      </c>
      <c r="C21" s="20" t="s">
        <v>645</v>
      </c>
      <c r="D21" s="138">
        <v>2010000</v>
      </c>
      <c r="E21" s="20" t="s">
        <v>517</v>
      </c>
      <c r="F21" s="20" t="s">
        <v>518</v>
      </c>
      <c r="G21" s="8" t="str">
        <f t="shared" si="0"/>
        <v>MAELZER KURT</v>
      </c>
      <c r="H21" s="20" t="str">
        <f t="shared" si="1"/>
        <v>4015</v>
      </c>
    </row>
    <row r="22" spans="1:8" x14ac:dyDescent="0.25">
      <c r="A22" s="26">
        <v>43009.195520833331</v>
      </c>
      <c r="B22" s="20" t="s">
        <v>646</v>
      </c>
      <c r="C22" s="20" t="s">
        <v>647</v>
      </c>
      <c r="D22" s="138">
        <v>1100000</v>
      </c>
      <c r="E22" s="20" t="s">
        <v>642</v>
      </c>
      <c r="F22" s="20" t="s">
        <v>643</v>
      </c>
      <c r="G22" s="8" t="str">
        <f t="shared" si="0"/>
        <v>GEBRETEKLE DAGNEW</v>
      </c>
      <c r="H22" s="20" t="str">
        <f t="shared" si="1"/>
        <v>4012</v>
      </c>
    </row>
    <row r="23" spans="1:8" x14ac:dyDescent="0.25">
      <c r="A23" s="8">
        <v>43009.199618055558</v>
      </c>
      <c r="B23" s="20" t="s">
        <v>396</v>
      </c>
      <c r="C23" s="20" t="s">
        <v>648</v>
      </c>
      <c r="D23" s="138">
        <v>3040000</v>
      </c>
      <c r="E23" s="20" t="s">
        <v>520</v>
      </c>
      <c r="F23" s="20" t="s">
        <v>521</v>
      </c>
      <c r="G23" s="8" t="str">
        <f t="shared" si="0"/>
        <v>WILLIAMS DONTE</v>
      </c>
      <c r="H23" s="20" t="str">
        <f t="shared" si="1"/>
        <v>4043</v>
      </c>
    </row>
    <row r="24" spans="1:8" x14ac:dyDescent="0.25">
      <c r="A24" s="8">
        <v>43009.204224537039</v>
      </c>
      <c r="B24" s="20" t="s">
        <v>438</v>
      </c>
      <c r="C24" s="20" t="s">
        <v>649</v>
      </c>
      <c r="D24" s="138">
        <v>2140000</v>
      </c>
      <c r="E24" s="20" t="s">
        <v>464</v>
      </c>
      <c r="F24" s="20" t="s">
        <v>465</v>
      </c>
      <c r="G24" s="8" t="str">
        <f t="shared" si="0"/>
        <v>ROBINSON KADDIBA</v>
      </c>
      <c r="H24" s="20" t="str">
        <f t="shared" si="1"/>
        <v>4014</v>
      </c>
    </row>
    <row r="25" spans="1:8" x14ac:dyDescent="0.25">
      <c r="A25" s="8">
        <v>43009.212800925925</v>
      </c>
      <c r="B25" s="20" t="s">
        <v>511</v>
      </c>
      <c r="C25" s="20" t="s">
        <v>589</v>
      </c>
      <c r="D25" s="138">
        <v>1990000</v>
      </c>
      <c r="E25" s="20" t="s">
        <v>343</v>
      </c>
      <c r="F25" s="20" t="s">
        <v>482</v>
      </c>
      <c r="G25" s="8" t="str">
        <f t="shared" si="0"/>
        <v>DAVIS WENDY</v>
      </c>
      <c r="H25" s="20" t="str">
        <f t="shared" si="1"/>
        <v>4059</v>
      </c>
    </row>
    <row r="26" spans="1:8" x14ac:dyDescent="0.25">
      <c r="A26" s="8">
        <v>43009.214930555558</v>
      </c>
      <c r="B26" s="20" t="s">
        <v>415</v>
      </c>
      <c r="C26" s="20" t="s">
        <v>650</v>
      </c>
      <c r="D26" s="138">
        <v>3040000</v>
      </c>
      <c r="E26" s="20" t="s">
        <v>520</v>
      </c>
      <c r="F26" s="20" t="s">
        <v>521</v>
      </c>
      <c r="G26" s="8" t="str">
        <f t="shared" si="0"/>
        <v>WILLIAMS DONTE</v>
      </c>
      <c r="H26" s="20" t="str">
        <f t="shared" si="1"/>
        <v>4044</v>
      </c>
    </row>
    <row r="27" spans="1:8" x14ac:dyDescent="0.25">
      <c r="A27" s="8">
        <v>43009.217569444445</v>
      </c>
      <c r="B27" s="20" t="s">
        <v>606</v>
      </c>
      <c r="C27" s="20" t="s">
        <v>651</v>
      </c>
      <c r="D27" s="138">
        <v>2370000</v>
      </c>
      <c r="E27" s="20" t="s">
        <v>487</v>
      </c>
      <c r="F27" s="20" t="s">
        <v>488</v>
      </c>
      <c r="G27" s="8" t="str">
        <f t="shared" si="0"/>
        <v>DELGADO DIANAH</v>
      </c>
      <c r="H27" s="20" t="str">
        <f t="shared" si="1"/>
        <v>4041</v>
      </c>
    </row>
    <row r="28" spans="1:8" x14ac:dyDescent="0.25">
      <c r="A28" s="8">
        <v>43009.219143518516</v>
      </c>
      <c r="B28" s="20" t="s">
        <v>403</v>
      </c>
      <c r="C28" s="20" t="s">
        <v>652</v>
      </c>
      <c r="D28" s="138">
        <v>2560000</v>
      </c>
      <c r="E28" s="20" t="s">
        <v>653</v>
      </c>
      <c r="F28" s="20" t="s">
        <v>654</v>
      </c>
      <c r="G28" s="8" t="str">
        <f t="shared" si="0"/>
        <v>MACDONALD THOMAS</v>
      </c>
      <c r="H28" s="20" t="str">
        <f t="shared" si="1"/>
        <v>4024</v>
      </c>
    </row>
    <row r="29" spans="1:8" x14ac:dyDescent="0.25">
      <c r="A29" s="8">
        <v>43009.223738425928</v>
      </c>
      <c r="B29" s="20" t="s">
        <v>640</v>
      </c>
      <c r="C29" s="20" t="s">
        <v>655</v>
      </c>
      <c r="D29" s="138">
        <v>1100000</v>
      </c>
      <c r="E29" s="20" t="s">
        <v>642</v>
      </c>
      <c r="F29" s="20" t="s">
        <v>643</v>
      </c>
      <c r="G29" s="8" t="str">
        <f t="shared" si="0"/>
        <v>GEBRETEKLE DAGNEW</v>
      </c>
      <c r="H29" s="20" t="str">
        <f t="shared" si="1"/>
        <v>4011</v>
      </c>
    </row>
    <row r="30" spans="1:8" x14ac:dyDescent="0.25">
      <c r="A30" s="8">
        <v>43009.224444444444</v>
      </c>
      <c r="B30" s="20" t="s">
        <v>484</v>
      </c>
      <c r="C30" s="20" t="s">
        <v>588</v>
      </c>
      <c r="D30" s="138">
        <v>3090000</v>
      </c>
      <c r="E30" s="20" t="s">
        <v>656</v>
      </c>
      <c r="F30" s="20" t="s">
        <v>657</v>
      </c>
      <c r="G30" s="8" t="str">
        <f t="shared" si="0"/>
        <v>LAMAR NEKESHA</v>
      </c>
      <c r="H30" s="20" t="str">
        <f t="shared" si="1"/>
        <v>4053</v>
      </c>
    </row>
    <row r="31" spans="1:8" x14ac:dyDescent="0.25">
      <c r="A31" s="8">
        <v>43009.226805555554</v>
      </c>
      <c r="B31" s="20" t="s">
        <v>507</v>
      </c>
      <c r="C31" s="20" t="s">
        <v>658</v>
      </c>
      <c r="D31" s="138">
        <v>2010000</v>
      </c>
      <c r="E31" s="20" t="s">
        <v>517</v>
      </c>
      <c r="F31" s="20" t="s">
        <v>518</v>
      </c>
      <c r="G31" s="8" t="str">
        <f t="shared" si="0"/>
        <v>MAELZER KURT</v>
      </c>
      <c r="H31" s="20" t="str">
        <f t="shared" si="1"/>
        <v>4016</v>
      </c>
    </row>
    <row r="32" spans="1:8" x14ac:dyDescent="0.25">
      <c r="A32" s="8">
        <v>43009.230081018519</v>
      </c>
      <c r="B32" s="20" t="s">
        <v>402</v>
      </c>
      <c r="C32" s="20" t="s">
        <v>659</v>
      </c>
      <c r="D32" s="138">
        <v>2560000</v>
      </c>
      <c r="E32" s="20" t="s">
        <v>653</v>
      </c>
      <c r="F32" s="20" t="s">
        <v>654</v>
      </c>
      <c r="G32" s="8" t="str">
        <f t="shared" si="0"/>
        <v>MACDONALD THOMAS</v>
      </c>
      <c r="H32" s="20" t="str">
        <f t="shared" si="1"/>
        <v>4023</v>
      </c>
    </row>
    <row r="33" spans="1:8" x14ac:dyDescent="0.25">
      <c r="A33" s="8">
        <v>43009.237546296295</v>
      </c>
      <c r="B33" s="20" t="s">
        <v>660</v>
      </c>
      <c r="C33" s="20" t="s">
        <v>661</v>
      </c>
      <c r="D33" s="138">
        <v>3090000</v>
      </c>
      <c r="E33" s="20" t="s">
        <v>656</v>
      </c>
      <c r="F33" s="20" t="s">
        <v>657</v>
      </c>
      <c r="G33" s="8" t="str">
        <f t="shared" si="0"/>
        <v>LAMAR NEKESHA</v>
      </c>
      <c r="H33" s="20" t="str">
        <f t="shared" si="1"/>
        <v>4054</v>
      </c>
    </row>
    <row r="34" spans="1:8" x14ac:dyDescent="0.25">
      <c r="A34" s="8">
        <v>43009.238310185188</v>
      </c>
      <c r="B34" s="20" t="s">
        <v>437</v>
      </c>
      <c r="C34" s="20" t="s">
        <v>662</v>
      </c>
      <c r="D34" s="138">
        <v>2140000</v>
      </c>
      <c r="E34" s="20" t="s">
        <v>464</v>
      </c>
      <c r="F34" s="20" t="s">
        <v>465</v>
      </c>
      <c r="G34" s="8" t="str">
        <f t="shared" si="0"/>
        <v>ROBINSON KADDIBA</v>
      </c>
      <c r="H34" s="20" t="str">
        <f t="shared" si="1"/>
        <v>4013</v>
      </c>
    </row>
    <row r="35" spans="1:8" x14ac:dyDescent="0.25">
      <c r="A35" s="8">
        <v>43009.24763888889</v>
      </c>
      <c r="B35" s="20" t="s">
        <v>519</v>
      </c>
      <c r="C35" s="20" t="s">
        <v>663</v>
      </c>
      <c r="D35" s="138">
        <v>1990000</v>
      </c>
      <c r="E35" s="20" t="s">
        <v>343</v>
      </c>
      <c r="F35" s="20" t="s">
        <v>482</v>
      </c>
      <c r="G35" s="8" t="str">
        <f t="shared" si="0"/>
        <v>DAVIS WENDY</v>
      </c>
      <c r="H35" s="20" t="str">
        <f t="shared" si="1"/>
        <v>4060</v>
      </c>
    </row>
    <row r="36" spans="1:8" x14ac:dyDescent="0.25">
      <c r="A36" s="8">
        <v>43009.254988425928</v>
      </c>
      <c r="B36" s="20" t="s">
        <v>396</v>
      </c>
      <c r="C36" s="20" t="s">
        <v>664</v>
      </c>
      <c r="D36" s="138">
        <v>3040000</v>
      </c>
      <c r="E36" s="20" t="s">
        <v>520</v>
      </c>
      <c r="F36" s="20" t="s">
        <v>521</v>
      </c>
      <c r="G36" s="8" t="str">
        <f t="shared" si="0"/>
        <v>WILLIAMS DONTE</v>
      </c>
      <c r="H36" s="20" t="str">
        <f t="shared" si="1"/>
        <v>4043</v>
      </c>
    </row>
    <row r="37" spans="1:8" x14ac:dyDescent="0.25">
      <c r="A37" s="8">
        <v>43009.258750000001</v>
      </c>
      <c r="B37" s="20" t="s">
        <v>419</v>
      </c>
      <c r="C37" s="20" t="s">
        <v>665</v>
      </c>
      <c r="D37" s="138">
        <v>3300000</v>
      </c>
      <c r="E37" s="20" t="s">
        <v>638</v>
      </c>
      <c r="F37" s="20" t="s">
        <v>639</v>
      </c>
      <c r="G37" s="8" t="str">
        <f t="shared" si="0"/>
        <v>LANGERAK WILLIAM</v>
      </c>
      <c r="H37" s="20" t="str">
        <f t="shared" si="1"/>
        <v>4042</v>
      </c>
    </row>
    <row r="38" spans="1:8" x14ac:dyDescent="0.25">
      <c r="A38" s="8">
        <v>43009.261956018519</v>
      </c>
      <c r="B38" s="20" t="s">
        <v>510</v>
      </c>
      <c r="C38" s="20" t="s">
        <v>666</v>
      </c>
      <c r="D38" s="138">
        <v>2010000</v>
      </c>
      <c r="E38" s="20" t="s">
        <v>517</v>
      </c>
      <c r="F38" s="20" t="s">
        <v>518</v>
      </c>
      <c r="G38" s="8" t="str">
        <f t="shared" si="0"/>
        <v>MAELZER KURT</v>
      </c>
      <c r="H38" s="20" t="str">
        <f t="shared" si="1"/>
        <v>4015</v>
      </c>
    </row>
    <row r="39" spans="1:8" x14ac:dyDescent="0.25">
      <c r="A39" s="8">
        <v>43009.266689814816</v>
      </c>
      <c r="B39" s="20" t="s">
        <v>646</v>
      </c>
      <c r="C39" s="20" t="s">
        <v>667</v>
      </c>
      <c r="D39" s="138">
        <v>1100000</v>
      </c>
      <c r="E39" s="20" t="s">
        <v>642</v>
      </c>
      <c r="F39" s="20" t="s">
        <v>643</v>
      </c>
      <c r="G39" s="8" t="str">
        <f t="shared" si="0"/>
        <v>GEBRETEKLE DAGNEW</v>
      </c>
      <c r="H39" s="20" t="str">
        <f t="shared" si="1"/>
        <v>4012</v>
      </c>
    </row>
    <row r="40" spans="1:8" x14ac:dyDescent="0.25">
      <c r="A40" s="8">
        <v>43009.27684027778</v>
      </c>
      <c r="B40" s="25" t="s">
        <v>402</v>
      </c>
      <c r="C40" s="20" t="s">
        <v>668</v>
      </c>
      <c r="D40" s="138">
        <v>2560000</v>
      </c>
      <c r="E40" s="20" t="s">
        <v>653</v>
      </c>
      <c r="F40" s="20" t="s">
        <v>654</v>
      </c>
      <c r="G40" s="8" t="str">
        <f t="shared" si="0"/>
        <v>MACDONALD THOMAS</v>
      </c>
      <c r="H40" s="20" t="str">
        <f t="shared" si="1"/>
        <v>4023</v>
      </c>
    </row>
    <row r="41" spans="1:8" x14ac:dyDescent="0.25">
      <c r="A41" s="8">
        <v>43009.276932870373</v>
      </c>
      <c r="B41" s="20" t="s">
        <v>438</v>
      </c>
      <c r="C41" s="20" t="s">
        <v>669</v>
      </c>
      <c r="D41" s="138">
        <v>2140000</v>
      </c>
      <c r="E41" s="20" t="s">
        <v>464</v>
      </c>
      <c r="F41" s="20" t="s">
        <v>465</v>
      </c>
      <c r="G41" s="8" t="str">
        <f t="shared" si="0"/>
        <v>ROBINSON KADDIBA</v>
      </c>
      <c r="H41" s="20" t="str">
        <f t="shared" si="1"/>
        <v>4014</v>
      </c>
    </row>
    <row r="42" spans="1:8" x14ac:dyDescent="0.25">
      <c r="A42" s="8">
        <v>43009.277048611111</v>
      </c>
      <c r="B42" s="20" t="s">
        <v>484</v>
      </c>
      <c r="C42" s="20" t="s">
        <v>590</v>
      </c>
      <c r="D42" s="138">
        <v>3090000</v>
      </c>
      <c r="E42" s="20" t="s">
        <v>656</v>
      </c>
      <c r="F42" s="20" t="s">
        <v>657</v>
      </c>
      <c r="G42" s="8" t="str">
        <f t="shared" si="0"/>
        <v>LAMAR NEKESHA</v>
      </c>
      <c r="H42" s="20" t="str">
        <f t="shared" si="1"/>
        <v>4053</v>
      </c>
    </row>
    <row r="43" spans="1:8" x14ac:dyDescent="0.25">
      <c r="A43" s="8">
        <v>43009.279050925928</v>
      </c>
      <c r="B43" s="20" t="s">
        <v>511</v>
      </c>
      <c r="C43" s="20" t="s">
        <v>591</v>
      </c>
      <c r="D43" s="138">
        <v>1990000</v>
      </c>
      <c r="E43" s="20" t="s">
        <v>343</v>
      </c>
      <c r="F43" s="20" t="s">
        <v>482</v>
      </c>
      <c r="G43" s="8" t="str">
        <f t="shared" si="0"/>
        <v>DAVIS WENDY</v>
      </c>
      <c r="H43" s="20" t="str">
        <f t="shared" si="1"/>
        <v>4059</v>
      </c>
    </row>
    <row r="44" spans="1:8" x14ac:dyDescent="0.25">
      <c r="A44" s="8">
        <v>43009.288263888891</v>
      </c>
      <c r="B44" s="20" t="s">
        <v>606</v>
      </c>
      <c r="C44" s="20" t="s">
        <v>670</v>
      </c>
      <c r="D44" s="138">
        <v>3300000</v>
      </c>
      <c r="E44" s="20" t="s">
        <v>638</v>
      </c>
      <c r="F44" s="20" t="s">
        <v>639</v>
      </c>
      <c r="G44" s="8" t="str">
        <f t="shared" si="0"/>
        <v>LANGERAK WILLIAM</v>
      </c>
      <c r="H44" s="20" t="str">
        <f t="shared" si="1"/>
        <v>4041</v>
      </c>
    </row>
    <row r="45" spans="1:8" x14ac:dyDescent="0.25">
      <c r="A45" s="8">
        <v>43009.289722222224</v>
      </c>
      <c r="B45" s="20" t="s">
        <v>415</v>
      </c>
      <c r="C45" s="20" t="s">
        <v>671</v>
      </c>
      <c r="D45" s="138">
        <v>3040000</v>
      </c>
      <c r="E45" s="20" t="s">
        <v>520</v>
      </c>
      <c r="F45" s="20" t="s">
        <v>521</v>
      </c>
      <c r="G45" s="8" t="str">
        <f t="shared" si="0"/>
        <v>WILLIAMS DONTE</v>
      </c>
      <c r="H45" s="20" t="str">
        <f t="shared" si="1"/>
        <v>4044</v>
      </c>
    </row>
    <row r="46" spans="1:8" x14ac:dyDescent="0.25">
      <c r="A46" s="8">
        <v>43009.296643518515</v>
      </c>
      <c r="B46" s="20" t="s">
        <v>403</v>
      </c>
      <c r="C46" s="20" t="s">
        <v>672</v>
      </c>
      <c r="D46" s="138">
        <v>2560000</v>
      </c>
      <c r="E46" s="20" t="s">
        <v>653</v>
      </c>
      <c r="F46" s="20" t="s">
        <v>654</v>
      </c>
      <c r="G46" s="8" t="str">
        <f t="shared" si="0"/>
        <v>MACDONALD THOMAS</v>
      </c>
      <c r="H46" s="20" t="str">
        <f t="shared" si="1"/>
        <v>4024</v>
      </c>
    </row>
    <row r="47" spans="1:8" x14ac:dyDescent="0.25">
      <c r="A47" s="8">
        <v>43009.297384259262</v>
      </c>
      <c r="B47" s="20" t="s">
        <v>640</v>
      </c>
      <c r="C47" s="20" t="s">
        <v>673</v>
      </c>
      <c r="D47" s="138">
        <v>1100000</v>
      </c>
      <c r="E47" s="20" t="s">
        <v>642</v>
      </c>
      <c r="F47" s="20" t="s">
        <v>643</v>
      </c>
      <c r="G47" s="8" t="str">
        <f t="shared" si="0"/>
        <v>GEBRETEKLE DAGNEW</v>
      </c>
      <c r="H47" s="20" t="str">
        <f t="shared" si="1"/>
        <v>4011</v>
      </c>
    </row>
    <row r="48" spans="1:8" x14ac:dyDescent="0.25">
      <c r="A48" s="8">
        <v>43009.297685185185</v>
      </c>
      <c r="B48" s="20" t="s">
        <v>507</v>
      </c>
      <c r="C48" s="20" t="s">
        <v>674</v>
      </c>
      <c r="D48" s="138">
        <v>2010000</v>
      </c>
      <c r="E48" s="20" t="s">
        <v>517</v>
      </c>
      <c r="F48" s="20" t="s">
        <v>518</v>
      </c>
      <c r="G48" s="8" t="str">
        <f t="shared" si="0"/>
        <v>MAELZER KURT</v>
      </c>
      <c r="H48" s="20" t="str">
        <f t="shared" si="1"/>
        <v>4016</v>
      </c>
    </row>
    <row r="49" spans="1:8" x14ac:dyDescent="0.25">
      <c r="A49" s="8">
        <v>43009.306805555556</v>
      </c>
      <c r="B49" s="20" t="s">
        <v>660</v>
      </c>
      <c r="C49" s="20" t="s">
        <v>675</v>
      </c>
      <c r="D49" s="138">
        <v>3090000</v>
      </c>
      <c r="E49" s="20" t="s">
        <v>656</v>
      </c>
      <c r="F49" s="20" t="s">
        <v>657</v>
      </c>
      <c r="G49" s="8" t="str">
        <f t="shared" si="0"/>
        <v>LAMAR NEKESHA</v>
      </c>
      <c r="H49" s="20" t="str">
        <f t="shared" si="1"/>
        <v>4054</v>
      </c>
    </row>
    <row r="50" spans="1:8" x14ac:dyDescent="0.25">
      <c r="A50" s="8">
        <v>43009.312731481485</v>
      </c>
      <c r="B50" s="20" t="s">
        <v>437</v>
      </c>
      <c r="C50" s="20" t="s">
        <v>676</v>
      </c>
      <c r="D50" s="138">
        <v>2140000</v>
      </c>
      <c r="E50" s="20" t="s">
        <v>464</v>
      </c>
      <c r="F50" s="20" t="s">
        <v>465</v>
      </c>
      <c r="G50" s="8" t="str">
        <f t="shared" si="0"/>
        <v>ROBINSON KADDIBA</v>
      </c>
      <c r="H50" s="20" t="str">
        <f t="shared" si="1"/>
        <v>4013</v>
      </c>
    </row>
    <row r="51" spans="1:8" x14ac:dyDescent="0.25">
      <c r="A51" s="8">
        <v>43009.318935185183</v>
      </c>
      <c r="B51" s="20" t="s">
        <v>402</v>
      </c>
      <c r="C51" s="20" t="s">
        <v>677</v>
      </c>
      <c r="D51" s="138">
        <v>2560000</v>
      </c>
      <c r="E51" s="20" t="s">
        <v>653</v>
      </c>
      <c r="F51" s="20" t="s">
        <v>654</v>
      </c>
      <c r="G51" s="8" t="str">
        <f t="shared" si="0"/>
        <v>MACDONALD THOMAS</v>
      </c>
      <c r="H51" s="20" t="str">
        <f t="shared" si="1"/>
        <v>4023</v>
      </c>
    </row>
    <row r="52" spans="1:8" x14ac:dyDescent="0.25">
      <c r="A52" s="8">
        <v>43009.319120370368</v>
      </c>
      <c r="B52" s="20" t="s">
        <v>519</v>
      </c>
      <c r="C52" s="20" t="s">
        <v>593</v>
      </c>
      <c r="D52" s="138">
        <v>1990000</v>
      </c>
      <c r="E52" s="20" t="s">
        <v>343</v>
      </c>
      <c r="F52" s="20" t="s">
        <v>482</v>
      </c>
      <c r="G52" s="8" t="str">
        <f t="shared" si="0"/>
        <v>DAVIS WENDY</v>
      </c>
      <c r="H52" s="20" t="str">
        <f t="shared" si="1"/>
        <v>4060</v>
      </c>
    </row>
    <row r="53" spans="1:8" x14ac:dyDescent="0.25">
      <c r="A53" s="8">
        <v>43009.323148148149</v>
      </c>
      <c r="B53" s="20" t="s">
        <v>660</v>
      </c>
      <c r="C53" s="20" t="s">
        <v>675</v>
      </c>
      <c r="D53" s="138">
        <v>3090000</v>
      </c>
      <c r="E53" s="20" t="s">
        <v>656</v>
      </c>
      <c r="F53" s="20" t="s">
        <v>657</v>
      </c>
      <c r="G53" s="8" t="str">
        <f t="shared" si="0"/>
        <v>LAMAR NEKESHA</v>
      </c>
      <c r="H53" s="20" t="str">
        <f t="shared" si="1"/>
        <v>4054</v>
      </c>
    </row>
    <row r="54" spans="1:8" x14ac:dyDescent="0.25">
      <c r="A54" s="8">
        <v>43009.3280787037</v>
      </c>
      <c r="B54" s="20" t="s">
        <v>396</v>
      </c>
      <c r="C54" s="20" t="s">
        <v>678</v>
      </c>
      <c r="D54" s="138">
        <v>3040000</v>
      </c>
      <c r="E54" s="20" t="s">
        <v>520</v>
      </c>
      <c r="F54" s="20" t="s">
        <v>521</v>
      </c>
      <c r="G54" s="8" t="str">
        <f t="shared" si="0"/>
        <v>WILLIAMS DONTE</v>
      </c>
      <c r="H54" s="20" t="str">
        <f t="shared" si="1"/>
        <v>4043</v>
      </c>
    </row>
    <row r="55" spans="1:8" x14ac:dyDescent="0.25">
      <c r="A55" s="8">
        <v>43009.329513888886</v>
      </c>
      <c r="B55" s="20" t="s">
        <v>419</v>
      </c>
      <c r="C55" s="20" t="s">
        <v>679</v>
      </c>
      <c r="D55" s="138">
        <v>3260000</v>
      </c>
      <c r="E55" s="20" t="s">
        <v>522</v>
      </c>
      <c r="F55" s="20" t="s">
        <v>523</v>
      </c>
      <c r="G55" s="8" t="str">
        <f t="shared" si="0"/>
        <v>PAGE MARCUS</v>
      </c>
      <c r="H55" s="20" t="str">
        <f t="shared" si="1"/>
        <v>4042</v>
      </c>
    </row>
    <row r="56" spans="1:8" x14ac:dyDescent="0.25">
      <c r="A56" s="8">
        <v>43009.334386574075</v>
      </c>
      <c r="B56" s="20" t="s">
        <v>510</v>
      </c>
      <c r="C56" s="20" t="s">
        <v>680</v>
      </c>
      <c r="D56" s="138">
        <v>2010000</v>
      </c>
      <c r="E56" s="20" t="s">
        <v>517</v>
      </c>
      <c r="F56" s="20" t="s">
        <v>518</v>
      </c>
      <c r="G56" s="8" t="str">
        <f t="shared" si="0"/>
        <v>MAELZER KURT</v>
      </c>
      <c r="H56" s="20" t="str">
        <f t="shared" si="1"/>
        <v>4015</v>
      </c>
    </row>
    <row r="57" spans="1:8" x14ac:dyDescent="0.25">
      <c r="A57" s="8">
        <v>43009.339050925926</v>
      </c>
      <c r="B57" s="20" t="s">
        <v>403</v>
      </c>
      <c r="C57" s="20" t="s">
        <v>592</v>
      </c>
      <c r="D57" s="138">
        <v>2560000</v>
      </c>
      <c r="E57" s="20" t="s">
        <v>653</v>
      </c>
      <c r="F57" s="20" t="s">
        <v>654</v>
      </c>
      <c r="G57" s="8" t="str">
        <f t="shared" si="0"/>
        <v>MACDONALD THOMAS</v>
      </c>
      <c r="H57" s="20" t="str">
        <f t="shared" si="1"/>
        <v>4024</v>
      </c>
    </row>
    <row r="58" spans="1:8" x14ac:dyDescent="0.25">
      <c r="A58" s="8">
        <v>43009.339548611111</v>
      </c>
      <c r="B58" s="20" t="s">
        <v>646</v>
      </c>
      <c r="C58" s="20" t="s">
        <v>681</v>
      </c>
      <c r="D58" s="138">
        <v>1100000</v>
      </c>
      <c r="E58" s="20" t="s">
        <v>642</v>
      </c>
      <c r="F58" s="20" t="s">
        <v>643</v>
      </c>
      <c r="G58" s="8" t="str">
        <f t="shared" si="0"/>
        <v>GEBRETEKLE DAGNEW</v>
      </c>
      <c r="H58" s="20" t="str">
        <f t="shared" si="1"/>
        <v>4012</v>
      </c>
    </row>
    <row r="59" spans="1:8" x14ac:dyDescent="0.25">
      <c r="A59" s="8">
        <v>43009.340092592596</v>
      </c>
      <c r="B59" s="20" t="s">
        <v>403</v>
      </c>
      <c r="C59" s="20" t="s">
        <v>592</v>
      </c>
      <c r="D59" s="138">
        <v>2560000</v>
      </c>
      <c r="E59" s="20" t="s">
        <v>653</v>
      </c>
      <c r="F59" s="20" t="s">
        <v>654</v>
      </c>
      <c r="G59" s="8" t="str">
        <f t="shared" si="0"/>
        <v>MACDONALD THOMAS</v>
      </c>
      <c r="H59" s="20" t="str">
        <f t="shared" si="1"/>
        <v>4024</v>
      </c>
    </row>
    <row r="60" spans="1:8" x14ac:dyDescent="0.25">
      <c r="A60" s="8">
        <v>43009.350023148145</v>
      </c>
      <c r="B60" s="20" t="s">
        <v>484</v>
      </c>
      <c r="C60" s="20" t="s">
        <v>682</v>
      </c>
      <c r="D60" s="138">
        <v>3090000</v>
      </c>
      <c r="E60" s="20" t="s">
        <v>656</v>
      </c>
      <c r="F60" s="20" t="s">
        <v>657</v>
      </c>
      <c r="G60" s="8" t="str">
        <f t="shared" si="0"/>
        <v>LAMAR NEKESHA</v>
      </c>
      <c r="H60" s="20" t="str">
        <f t="shared" si="1"/>
        <v>4053</v>
      </c>
    </row>
    <row r="61" spans="1:8" x14ac:dyDescent="0.25">
      <c r="A61" s="8">
        <v>43009.351145833331</v>
      </c>
      <c r="B61" s="20" t="s">
        <v>438</v>
      </c>
      <c r="C61" s="20" t="s">
        <v>683</v>
      </c>
      <c r="D61" s="138">
        <v>2140000</v>
      </c>
      <c r="E61" s="20" t="s">
        <v>464</v>
      </c>
      <c r="F61" s="20" t="s">
        <v>465</v>
      </c>
      <c r="G61" s="8" t="str">
        <f t="shared" si="0"/>
        <v>ROBINSON KADDIBA</v>
      </c>
      <c r="H61" s="20" t="str">
        <f t="shared" si="1"/>
        <v>4014</v>
      </c>
    </row>
    <row r="62" spans="1:8" x14ac:dyDescent="0.25">
      <c r="A62" s="8">
        <v>43009.358819444446</v>
      </c>
      <c r="B62" s="20" t="s">
        <v>511</v>
      </c>
      <c r="C62" s="20" t="s">
        <v>684</v>
      </c>
      <c r="D62" s="138">
        <v>1990000</v>
      </c>
      <c r="E62" s="20" t="s">
        <v>343</v>
      </c>
      <c r="F62" s="20" t="s">
        <v>482</v>
      </c>
      <c r="G62" s="8" t="str">
        <f t="shared" si="0"/>
        <v>DAVIS WENDY</v>
      </c>
      <c r="H62" s="20" t="str">
        <f t="shared" si="1"/>
        <v>4059</v>
      </c>
    </row>
    <row r="63" spans="1:8" x14ac:dyDescent="0.25">
      <c r="A63" s="8">
        <v>43009.36074074074</v>
      </c>
      <c r="B63" s="20" t="s">
        <v>402</v>
      </c>
      <c r="C63" s="20" t="s">
        <v>685</v>
      </c>
      <c r="D63" s="138">
        <v>2560000</v>
      </c>
      <c r="E63" s="20" t="s">
        <v>653</v>
      </c>
      <c r="F63" s="20" t="s">
        <v>654</v>
      </c>
      <c r="G63" s="8" t="str">
        <f t="shared" si="0"/>
        <v>MACDONALD THOMAS</v>
      </c>
      <c r="H63" s="20" t="str">
        <f t="shared" si="1"/>
        <v>4023</v>
      </c>
    </row>
    <row r="64" spans="1:8" x14ac:dyDescent="0.25">
      <c r="A64" s="26">
        <v>43009.362129629626</v>
      </c>
      <c r="B64" s="20" t="s">
        <v>415</v>
      </c>
      <c r="C64" s="20" t="s">
        <v>686</v>
      </c>
      <c r="D64" s="138">
        <v>3040000</v>
      </c>
      <c r="E64" s="20" t="s">
        <v>520</v>
      </c>
      <c r="F64" s="20" t="s">
        <v>521</v>
      </c>
      <c r="G64" s="8" t="str">
        <f t="shared" si="0"/>
        <v>WILLIAMS DONTE</v>
      </c>
      <c r="H64" s="20" t="str">
        <f t="shared" si="1"/>
        <v>4044</v>
      </c>
    </row>
    <row r="65" spans="1:8" x14ac:dyDescent="0.25">
      <c r="A65" s="8">
        <v>43009.369351851848</v>
      </c>
      <c r="B65" s="20" t="s">
        <v>606</v>
      </c>
      <c r="C65" s="20" t="s">
        <v>687</v>
      </c>
      <c r="D65" s="138">
        <v>3260000</v>
      </c>
      <c r="E65" s="20" t="s">
        <v>522</v>
      </c>
      <c r="F65" s="20" t="s">
        <v>523</v>
      </c>
      <c r="G65" s="8" t="str">
        <f t="shared" si="0"/>
        <v>PAGE MARCUS</v>
      </c>
      <c r="H65" s="20" t="str">
        <f t="shared" si="1"/>
        <v>4041</v>
      </c>
    </row>
    <row r="66" spans="1:8" x14ac:dyDescent="0.25">
      <c r="A66" s="8">
        <v>43009.369409722225</v>
      </c>
      <c r="B66" s="20" t="s">
        <v>640</v>
      </c>
      <c r="C66" s="20" t="s">
        <v>688</v>
      </c>
      <c r="D66" s="138">
        <v>1100000</v>
      </c>
      <c r="E66" s="20" t="s">
        <v>642</v>
      </c>
      <c r="F66" s="20" t="s">
        <v>643</v>
      </c>
      <c r="G66" s="8" t="str">
        <f t="shared" si="0"/>
        <v>GEBRETEKLE DAGNEW</v>
      </c>
      <c r="H66" s="20" t="str">
        <f t="shared" si="1"/>
        <v>4011</v>
      </c>
    </row>
    <row r="67" spans="1:8" x14ac:dyDescent="0.25">
      <c r="A67" s="8">
        <v>43009.370335648149</v>
      </c>
      <c r="B67" s="20" t="s">
        <v>507</v>
      </c>
      <c r="C67" s="20" t="s">
        <v>689</v>
      </c>
      <c r="D67" s="138">
        <v>2010000</v>
      </c>
      <c r="E67" s="20" t="s">
        <v>517</v>
      </c>
      <c r="F67" s="20" t="s">
        <v>518</v>
      </c>
      <c r="G67" s="8" t="str">
        <f t="shared" ref="G67:G130" si="2">E67&amp;" "&amp;F67</f>
        <v>MAELZER KURT</v>
      </c>
      <c r="H67" s="20" t="str">
        <f t="shared" ref="H67:H130" si="3">MID(B67,13,4)</f>
        <v>4016</v>
      </c>
    </row>
    <row r="68" spans="1:8" x14ac:dyDescent="0.25">
      <c r="A68" s="8">
        <v>43009.379270833335</v>
      </c>
      <c r="B68" s="20" t="s">
        <v>403</v>
      </c>
      <c r="C68" s="20" t="s">
        <v>690</v>
      </c>
      <c r="D68" s="138">
        <v>2560000</v>
      </c>
      <c r="E68" s="20" t="s">
        <v>653</v>
      </c>
      <c r="F68" s="20" t="s">
        <v>654</v>
      </c>
      <c r="G68" s="8" t="str">
        <f t="shared" si="2"/>
        <v>MACDONALD THOMAS</v>
      </c>
      <c r="H68" s="20" t="str">
        <f t="shared" si="3"/>
        <v>4024</v>
      </c>
    </row>
    <row r="69" spans="1:8" x14ac:dyDescent="0.25">
      <c r="A69" s="8">
        <v>43009.382951388892</v>
      </c>
      <c r="B69" s="20" t="s">
        <v>660</v>
      </c>
      <c r="C69" s="20" t="s">
        <v>691</v>
      </c>
      <c r="D69" s="138">
        <v>3090000</v>
      </c>
      <c r="E69" s="20" t="s">
        <v>656</v>
      </c>
      <c r="F69" s="20" t="s">
        <v>657</v>
      </c>
      <c r="G69" s="8" t="str">
        <f t="shared" si="2"/>
        <v>LAMAR NEKESHA</v>
      </c>
      <c r="H69" s="20" t="str">
        <f t="shared" si="3"/>
        <v>4054</v>
      </c>
    </row>
    <row r="70" spans="1:8" x14ac:dyDescent="0.25">
      <c r="A70" s="8">
        <v>43009.390844907408</v>
      </c>
      <c r="B70" s="20" t="s">
        <v>437</v>
      </c>
      <c r="C70" s="20" t="s">
        <v>692</v>
      </c>
      <c r="D70" s="138">
        <v>2140000</v>
      </c>
      <c r="E70" s="20" t="s">
        <v>464</v>
      </c>
      <c r="F70" s="20" t="s">
        <v>465</v>
      </c>
      <c r="G70" s="8" t="str">
        <f t="shared" si="2"/>
        <v>ROBINSON KADDIBA</v>
      </c>
      <c r="H70" s="20" t="str">
        <f t="shared" si="3"/>
        <v>4013</v>
      </c>
    </row>
    <row r="71" spans="1:8" x14ac:dyDescent="0.25">
      <c r="A71" s="8">
        <v>43009.393553240741</v>
      </c>
      <c r="B71" s="20" t="s">
        <v>519</v>
      </c>
      <c r="C71" s="20" t="s">
        <v>693</v>
      </c>
      <c r="D71" s="138">
        <v>1990000</v>
      </c>
      <c r="E71" s="20" t="s">
        <v>343</v>
      </c>
      <c r="F71" s="20" t="s">
        <v>482</v>
      </c>
      <c r="G71" s="8" t="str">
        <f t="shared" si="2"/>
        <v>DAVIS WENDY</v>
      </c>
      <c r="H71" s="20" t="str">
        <f t="shared" si="3"/>
        <v>4060</v>
      </c>
    </row>
    <row r="72" spans="1:8" x14ac:dyDescent="0.25">
      <c r="A72" s="8">
        <v>43009.399270833332</v>
      </c>
      <c r="B72" s="20" t="s">
        <v>396</v>
      </c>
      <c r="C72" s="20" t="s">
        <v>694</v>
      </c>
      <c r="D72" s="138">
        <v>3040000</v>
      </c>
      <c r="E72" s="20" t="s">
        <v>520</v>
      </c>
      <c r="F72" s="20" t="s">
        <v>521</v>
      </c>
      <c r="G72" s="8" t="str">
        <f t="shared" si="2"/>
        <v>WILLIAMS DONTE</v>
      </c>
      <c r="H72" s="20" t="str">
        <f t="shared" si="3"/>
        <v>4043</v>
      </c>
    </row>
    <row r="73" spans="1:8" x14ac:dyDescent="0.25">
      <c r="A73" s="8">
        <v>43009.400740740741</v>
      </c>
      <c r="B73" s="20" t="s">
        <v>419</v>
      </c>
      <c r="C73" s="20" t="s">
        <v>695</v>
      </c>
      <c r="D73" s="138">
        <v>3300000</v>
      </c>
      <c r="E73" s="20" t="s">
        <v>638</v>
      </c>
      <c r="F73" s="20" t="s">
        <v>639</v>
      </c>
      <c r="G73" s="8" t="str">
        <f t="shared" si="2"/>
        <v>LANGERAK WILLIAM</v>
      </c>
      <c r="H73" s="20" t="str">
        <f t="shared" si="3"/>
        <v>4042</v>
      </c>
    </row>
    <row r="74" spans="1:8" x14ac:dyDescent="0.25">
      <c r="A74" s="8">
        <v>43009.403287037036</v>
      </c>
      <c r="B74" s="20" t="s">
        <v>402</v>
      </c>
      <c r="C74" s="20" t="s">
        <v>696</v>
      </c>
      <c r="D74" s="138">
        <v>2560000</v>
      </c>
      <c r="E74" s="20" t="s">
        <v>653</v>
      </c>
      <c r="F74" s="20" t="s">
        <v>654</v>
      </c>
      <c r="G74" s="8" t="str">
        <f t="shared" si="2"/>
        <v>MACDONALD THOMAS</v>
      </c>
      <c r="H74" s="20" t="str">
        <f t="shared" si="3"/>
        <v>4023</v>
      </c>
    </row>
    <row r="75" spans="1:8" x14ac:dyDescent="0.25">
      <c r="A75" s="8">
        <v>43009.409467592595</v>
      </c>
      <c r="B75" s="20" t="s">
        <v>510</v>
      </c>
      <c r="C75" s="20" t="s">
        <v>697</v>
      </c>
      <c r="D75" s="138">
        <v>2010000</v>
      </c>
      <c r="E75" s="20" t="s">
        <v>517</v>
      </c>
      <c r="F75" s="20" t="s">
        <v>518</v>
      </c>
      <c r="G75" s="8" t="str">
        <f t="shared" si="2"/>
        <v>MAELZER KURT</v>
      </c>
      <c r="H75" s="20" t="str">
        <f t="shared" si="3"/>
        <v>4015</v>
      </c>
    </row>
    <row r="76" spans="1:8" x14ac:dyDescent="0.25">
      <c r="A76" s="8">
        <v>43009.41202546296</v>
      </c>
      <c r="B76" s="20" t="s">
        <v>646</v>
      </c>
      <c r="C76" s="20" t="s">
        <v>698</v>
      </c>
      <c r="D76" s="138">
        <v>1100000</v>
      </c>
      <c r="E76" s="20" t="s">
        <v>642</v>
      </c>
      <c r="F76" s="20" t="s">
        <v>643</v>
      </c>
      <c r="G76" s="8" t="str">
        <f t="shared" si="2"/>
        <v>GEBRETEKLE DAGNEW</v>
      </c>
      <c r="H76" s="20" t="str">
        <f t="shared" si="3"/>
        <v>4012</v>
      </c>
    </row>
    <row r="77" spans="1:8" x14ac:dyDescent="0.25">
      <c r="A77" s="8">
        <v>43009.422465277778</v>
      </c>
      <c r="B77" s="20" t="s">
        <v>484</v>
      </c>
      <c r="C77" s="20" t="s">
        <v>595</v>
      </c>
      <c r="D77" s="138">
        <v>3090000</v>
      </c>
      <c r="E77" s="20" t="s">
        <v>656</v>
      </c>
      <c r="F77" s="20" t="s">
        <v>657</v>
      </c>
      <c r="G77" s="8" t="str">
        <f t="shared" si="2"/>
        <v>LAMAR NEKESHA</v>
      </c>
      <c r="H77" s="20" t="str">
        <f t="shared" si="3"/>
        <v>4053</v>
      </c>
    </row>
    <row r="78" spans="1:8" x14ac:dyDescent="0.25">
      <c r="A78" s="8">
        <v>43009.423090277778</v>
      </c>
      <c r="B78" s="20" t="s">
        <v>403</v>
      </c>
      <c r="C78" s="20" t="s">
        <v>699</v>
      </c>
      <c r="D78" s="138">
        <v>2560000</v>
      </c>
      <c r="E78" s="20" t="s">
        <v>653</v>
      </c>
      <c r="F78" s="20" t="s">
        <v>654</v>
      </c>
      <c r="G78" s="8" t="str">
        <f t="shared" si="2"/>
        <v>MACDONALD THOMAS</v>
      </c>
      <c r="H78" s="20" t="str">
        <f t="shared" si="3"/>
        <v>4024</v>
      </c>
    </row>
    <row r="79" spans="1:8" x14ac:dyDescent="0.25">
      <c r="A79" s="8">
        <v>43009.423159722224</v>
      </c>
      <c r="B79" s="20" t="s">
        <v>438</v>
      </c>
      <c r="C79" s="20" t="s">
        <v>700</v>
      </c>
      <c r="D79" s="138">
        <v>2550000</v>
      </c>
      <c r="E79" s="20" t="s">
        <v>524</v>
      </c>
      <c r="F79" s="20" t="s">
        <v>525</v>
      </c>
      <c r="G79" s="8" t="str">
        <f t="shared" si="2"/>
        <v>BADERTSCHER DIANE</v>
      </c>
      <c r="H79" s="20" t="str">
        <f t="shared" si="3"/>
        <v>4014</v>
      </c>
    </row>
    <row r="80" spans="1:8" x14ac:dyDescent="0.25">
      <c r="A80" s="8">
        <v>43009.43141203704</v>
      </c>
      <c r="B80" s="20" t="s">
        <v>511</v>
      </c>
      <c r="C80" s="20" t="s">
        <v>596</v>
      </c>
      <c r="D80" s="138">
        <v>1990000</v>
      </c>
      <c r="E80" s="20" t="s">
        <v>343</v>
      </c>
      <c r="F80" s="20" t="s">
        <v>482</v>
      </c>
      <c r="G80" s="8" t="str">
        <f t="shared" si="2"/>
        <v>DAVIS WENDY</v>
      </c>
      <c r="H80" s="20" t="str">
        <f t="shared" si="3"/>
        <v>4059</v>
      </c>
    </row>
    <row r="81" spans="1:8" x14ac:dyDescent="0.25">
      <c r="A81" s="8">
        <v>43009.433240740742</v>
      </c>
      <c r="B81" s="20" t="s">
        <v>606</v>
      </c>
      <c r="C81" s="20" t="s">
        <v>701</v>
      </c>
      <c r="D81" s="138">
        <v>3300000</v>
      </c>
      <c r="E81" s="20" t="s">
        <v>638</v>
      </c>
      <c r="F81" s="20" t="s">
        <v>639</v>
      </c>
      <c r="G81" s="8" t="str">
        <f t="shared" si="2"/>
        <v>LANGERAK WILLIAM</v>
      </c>
      <c r="H81" s="20" t="str">
        <f t="shared" si="3"/>
        <v>4041</v>
      </c>
    </row>
    <row r="82" spans="1:8" x14ac:dyDescent="0.25">
      <c r="A82" s="8">
        <v>43009.433946759258</v>
      </c>
      <c r="B82" s="20" t="s">
        <v>415</v>
      </c>
      <c r="C82" s="20" t="s">
        <v>594</v>
      </c>
      <c r="D82" s="138">
        <v>3040000</v>
      </c>
      <c r="E82" s="20" t="s">
        <v>520</v>
      </c>
      <c r="F82" s="20" t="s">
        <v>521</v>
      </c>
      <c r="G82" s="8" t="str">
        <f t="shared" si="2"/>
        <v>WILLIAMS DONTE</v>
      </c>
      <c r="H82" s="20" t="str">
        <f t="shared" si="3"/>
        <v>4044</v>
      </c>
    </row>
    <row r="83" spans="1:8" x14ac:dyDescent="0.25">
      <c r="A83" s="8">
        <v>43009.443541666667</v>
      </c>
      <c r="B83" s="20" t="s">
        <v>507</v>
      </c>
      <c r="C83" s="20" t="s">
        <v>702</v>
      </c>
      <c r="D83" s="138">
        <v>2540000</v>
      </c>
      <c r="E83" s="20" t="s">
        <v>485</v>
      </c>
      <c r="F83" s="20" t="s">
        <v>486</v>
      </c>
      <c r="G83" s="8" t="str">
        <f t="shared" si="2"/>
        <v>MCREYNOLDS KYLE</v>
      </c>
      <c r="H83" s="20" t="str">
        <f t="shared" si="3"/>
        <v>4016</v>
      </c>
    </row>
    <row r="84" spans="1:8" x14ac:dyDescent="0.25">
      <c r="A84" s="8">
        <v>43009.443877314814</v>
      </c>
      <c r="B84" s="20" t="s">
        <v>640</v>
      </c>
      <c r="C84" s="20" t="s">
        <v>703</v>
      </c>
      <c r="D84" s="138">
        <v>1100000</v>
      </c>
      <c r="E84" s="20" t="s">
        <v>642</v>
      </c>
      <c r="F84" s="20" t="s">
        <v>643</v>
      </c>
      <c r="G84" s="8" t="str">
        <f t="shared" si="2"/>
        <v>GEBRETEKLE DAGNEW</v>
      </c>
      <c r="H84" s="20" t="str">
        <f t="shared" si="3"/>
        <v>4011</v>
      </c>
    </row>
    <row r="85" spans="1:8" x14ac:dyDescent="0.25">
      <c r="A85" s="8">
        <v>43009.444687499999</v>
      </c>
      <c r="B85" s="20" t="s">
        <v>402</v>
      </c>
      <c r="C85" s="20" t="s">
        <v>704</v>
      </c>
      <c r="D85" s="138">
        <v>2560000</v>
      </c>
      <c r="E85" s="20" t="s">
        <v>653</v>
      </c>
      <c r="F85" s="20" t="s">
        <v>654</v>
      </c>
      <c r="G85" s="8" t="str">
        <f t="shared" si="2"/>
        <v>MACDONALD THOMAS</v>
      </c>
      <c r="H85" s="20" t="str">
        <f t="shared" si="3"/>
        <v>4023</v>
      </c>
    </row>
    <row r="86" spans="1:8" x14ac:dyDescent="0.25">
      <c r="A86" s="8">
        <v>43009.454432870371</v>
      </c>
      <c r="B86" s="20" t="s">
        <v>660</v>
      </c>
      <c r="C86" s="20" t="s">
        <v>705</v>
      </c>
      <c r="D86" s="138">
        <v>3090000</v>
      </c>
      <c r="E86" s="20" t="s">
        <v>656</v>
      </c>
      <c r="F86" s="20" t="s">
        <v>657</v>
      </c>
      <c r="G86" s="8" t="str">
        <f t="shared" si="2"/>
        <v>LAMAR NEKESHA</v>
      </c>
      <c r="H86" s="20" t="str">
        <f t="shared" si="3"/>
        <v>4054</v>
      </c>
    </row>
    <row r="87" spans="1:8" x14ac:dyDescent="0.25">
      <c r="A87" s="8">
        <v>43009.463900462964</v>
      </c>
      <c r="B87" s="20" t="s">
        <v>403</v>
      </c>
      <c r="C87" s="20" t="s">
        <v>706</v>
      </c>
      <c r="D87" s="138">
        <v>2560000</v>
      </c>
      <c r="E87" s="20" t="s">
        <v>653</v>
      </c>
      <c r="F87" s="20" t="s">
        <v>654</v>
      </c>
      <c r="G87" s="8" t="str">
        <f t="shared" si="2"/>
        <v>MACDONALD THOMAS</v>
      </c>
      <c r="H87" s="20" t="str">
        <f t="shared" si="3"/>
        <v>4024</v>
      </c>
    </row>
    <row r="88" spans="1:8" x14ac:dyDescent="0.25">
      <c r="A88" s="8">
        <v>43009.464421296296</v>
      </c>
      <c r="B88" s="20" t="s">
        <v>437</v>
      </c>
      <c r="C88" s="20" t="s">
        <v>707</v>
      </c>
      <c r="D88" s="138">
        <v>2550000</v>
      </c>
      <c r="E88" s="20" t="s">
        <v>524</v>
      </c>
      <c r="F88" s="20" t="s">
        <v>525</v>
      </c>
      <c r="G88" s="8" t="str">
        <f t="shared" si="2"/>
        <v>BADERTSCHER DIANE</v>
      </c>
      <c r="H88" s="20" t="str">
        <f t="shared" si="3"/>
        <v>4013</v>
      </c>
    </row>
    <row r="89" spans="1:8" x14ac:dyDescent="0.25">
      <c r="A89" s="8">
        <v>43009.467800925922</v>
      </c>
      <c r="B89" s="20" t="s">
        <v>519</v>
      </c>
      <c r="C89" s="20" t="s">
        <v>597</v>
      </c>
      <c r="D89" s="138">
        <v>920000</v>
      </c>
      <c r="E89" s="20" t="s">
        <v>343</v>
      </c>
      <c r="F89" s="20" t="s">
        <v>708</v>
      </c>
      <c r="G89" s="8" t="str">
        <f t="shared" si="2"/>
        <v>DAVIS MICHAEL</v>
      </c>
      <c r="H89" s="20" t="str">
        <f t="shared" si="3"/>
        <v>4060</v>
      </c>
    </row>
    <row r="90" spans="1:8" x14ac:dyDescent="0.25">
      <c r="A90" s="8">
        <v>43009.472557870373</v>
      </c>
      <c r="B90" s="20" t="s">
        <v>396</v>
      </c>
      <c r="C90" s="20" t="s">
        <v>709</v>
      </c>
      <c r="D90" s="138">
        <v>3040000</v>
      </c>
      <c r="E90" s="20" t="s">
        <v>520</v>
      </c>
      <c r="F90" s="20" t="s">
        <v>521</v>
      </c>
      <c r="G90" s="8" t="str">
        <f t="shared" si="2"/>
        <v>WILLIAMS DONTE</v>
      </c>
      <c r="H90" s="20" t="str">
        <f t="shared" si="3"/>
        <v>4043</v>
      </c>
    </row>
    <row r="91" spans="1:8" x14ac:dyDescent="0.25">
      <c r="A91" s="8">
        <v>43009.47693287037</v>
      </c>
      <c r="B91" s="20" t="s">
        <v>419</v>
      </c>
      <c r="C91" s="20" t="s">
        <v>710</v>
      </c>
      <c r="D91" s="138">
        <v>2630000</v>
      </c>
      <c r="E91" s="20" t="s">
        <v>711</v>
      </c>
      <c r="F91" s="20" t="s">
        <v>712</v>
      </c>
      <c r="G91" s="8" t="str">
        <f t="shared" si="2"/>
        <v>SAFIEF AEIMEN</v>
      </c>
      <c r="H91" s="20" t="str">
        <f t="shared" si="3"/>
        <v>4042</v>
      </c>
    </row>
    <row r="92" spans="1:8" x14ac:dyDescent="0.25">
      <c r="A92" s="8">
        <v>43009.482303240744</v>
      </c>
      <c r="B92" s="20" t="s">
        <v>510</v>
      </c>
      <c r="C92" s="20" t="s">
        <v>713</v>
      </c>
      <c r="D92" s="138">
        <v>2540000</v>
      </c>
      <c r="E92" s="20" t="s">
        <v>485</v>
      </c>
      <c r="F92" s="20" t="s">
        <v>486</v>
      </c>
      <c r="G92" s="8" t="str">
        <f t="shared" si="2"/>
        <v>MCREYNOLDS KYLE</v>
      </c>
      <c r="H92" s="20" t="str">
        <f t="shared" si="3"/>
        <v>4015</v>
      </c>
    </row>
    <row r="93" spans="1:8" x14ac:dyDescent="0.25">
      <c r="A93" s="8">
        <v>43009.485520833332</v>
      </c>
      <c r="B93" s="20" t="s">
        <v>646</v>
      </c>
      <c r="C93" s="20" t="s">
        <v>714</v>
      </c>
      <c r="D93" s="138">
        <v>2970000</v>
      </c>
      <c r="E93" s="20" t="s">
        <v>715</v>
      </c>
      <c r="F93" s="20" t="s">
        <v>716</v>
      </c>
      <c r="G93" s="8" t="str">
        <f t="shared" si="2"/>
        <v>GUZMAN DANNY</v>
      </c>
      <c r="H93" s="20" t="str">
        <f t="shared" si="3"/>
        <v>4012</v>
      </c>
    </row>
    <row r="94" spans="1:8" x14ac:dyDescent="0.25">
      <c r="A94" s="8">
        <v>43009.485729166663</v>
      </c>
      <c r="B94" s="20" t="s">
        <v>484</v>
      </c>
      <c r="C94" s="20" t="s">
        <v>598</v>
      </c>
      <c r="D94" s="138">
        <v>3090000</v>
      </c>
      <c r="E94" s="20" t="s">
        <v>656</v>
      </c>
      <c r="F94" s="20" t="s">
        <v>657</v>
      </c>
      <c r="G94" s="8" t="str">
        <f t="shared" si="2"/>
        <v>LAMAR NEKESHA</v>
      </c>
      <c r="H94" s="20" t="str">
        <f t="shared" si="3"/>
        <v>4053</v>
      </c>
    </row>
    <row r="95" spans="1:8" x14ac:dyDescent="0.25">
      <c r="A95" s="8">
        <v>43009.485752314817</v>
      </c>
      <c r="B95" s="20" t="s">
        <v>402</v>
      </c>
      <c r="C95" s="20" t="s">
        <v>717</v>
      </c>
      <c r="D95" s="138">
        <v>2560000</v>
      </c>
      <c r="E95" s="20" t="s">
        <v>653</v>
      </c>
      <c r="F95" s="20" t="s">
        <v>654</v>
      </c>
      <c r="G95" s="8" t="str">
        <f t="shared" si="2"/>
        <v>MACDONALD THOMAS</v>
      </c>
      <c r="H95" s="20" t="str">
        <f t="shared" si="3"/>
        <v>4023</v>
      </c>
    </row>
    <row r="96" spans="1:8" x14ac:dyDescent="0.25">
      <c r="A96" s="8">
        <v>43009.48909722222</v>
      </c>
      <c r="B96" s="20" t="s">
        <v>481</v>
      </c>
      <c r="C96" s="20" t="s">
        <v>632</v>
      </c>
      <c r="D96" s="138">
        <v>3310000</v>
      </c>
      <c r="E96" s="20" t="s">
        <v>426</v>
      </c>
      <c r="F96" s="20" t="s">
        <v>427</v>
      </c>
      <c r="G96" s="8" t="str">
        <f t="shared" si="2"/>
        <v>ANDERS STEVEN</v>
      </c>
      <c r="H96" s="20" t="str">
        <f t="shared" si="3"/>
        <v>4018</v>
      </c>
    </row>
    <row r="97" spans="1:8" x14ac:dyDescent="0.25">
      <c r="A97" s="8">
        <v>43009.496516203704</v>
      </c>
      <c r="B97" s="20" t="s">
        <v>438</v>
      </c>
      <c r="C97" s="20" t="s">
        <v>718</v>
      </c>
      <c r="D97" s="138">
        <v>2550000</v>
      </c>
      <c r="E97" s="20" t="s">
        <v>524</v>
      </c>
      <c r="F97" s="20" t="s">
        <v>525</v>
      </c>
      <c r="G97" s="8" t="str">
        <f t="shared" si="2"/>
        <v>BADERTSCHER DIANE</v>
      </c>
      <c r="H97" s="20" t="str">
        <f t="shared" si="3"/>
        <v>4014</v>
      </c>
    </row>
    <row r="98" spans="1:8" x14ac:dyDescent="0.25">
      <c r="A98" s="8">
        <v>43009.504016203704</v>
      </c>
      <c r="B98" s="20" t="s">
        <v>403</v>
      </c>
      <c r="C98" s="20" t="s">
        <v>719</v>
      </c>
      <c r="D98" s="138">
        <v>3500000</v>
      </c>
      <c r="E98" s="20" t="s">
        <v>720</v>
      </c>
      <c r="F98" s="20" t="s">
        <v>721</v>
      </c>
      <c r="G98" s="8" t="str">
        <f t="shared" si="2"/>
        <v>GUNTHIER ERIC</v>
      </c>
      <c r="H98" s="20" t="str">
        <f t="shared" si="3"/>
        <v>4024</v>
      </c>
    </row>
    <row r="99" spans="1:8" x14ac:dyDescent="0.25">
      <c r="A99" s="8">
        <v>43009.506377314814</v>
      </c>
      <c r="B99" s="20" t="s">
        <v>606</v>
      </c>
      <c r="C99" s="20" t="s">
        <v>722</v>
      </c>
      <c r="D99" s="138">
        <v>2630000</v>
      </c>
      <c r="E99" s="20" t="s">
        <v>711</v>
      </c>
      <c r="F99" s="20" t="s">
        <v>712</v>
      </c>
      <c r="G99" s="8" t="str">
        <f t="shared" si="2"/>
        <v>SAFIEF AEIMEN</v>
      </c>
      <c r="H99" s="20" t="str">
        <f t="shared" si="3"/>
        <v>4041</v>
      </c>
    </row>
    <row r="100" spans="1:8" x14ac:dyDescent="0.25">
      <c r="A100" s="8">
        <v>43009.506921296299</v>
      </c>
      <c r="B100" s="20" t="s">
        <v>511</v>
      </c>
      <c r="C100" s="20" t="s">
        <v>723</v>
      </c>
      <c r="D100" s="138">
        <v>920000</v>
      </c>
      <c r="E100" s="20" t="s">
        <v>343</v>
      </c>
      <c r="F100" s="20" t="s">
        <v>708</v>
      </c>
      <c r="G100" s="8" t="str">
        <f t="shared" si="2"/>
        <v>DAVIS MICHAEL</v>
      </c>
      <c r="H100" s="20" t="str">
        <f t="shared" si="3"/>
        <v>4059</v>
      </c>
    </row>
    <row r="101" spans="1:8" x14ac:dyDescent="0.25">
      <c r="A101" s="8">
        <v>43009.508472222224</v>
      </c>
      <c r="B101" s="20" t="s">
        <v>415</v>
      </c>
      <c r="C101" s="20" t="s">
        <v>724</v>
      </c>
      <c r="D101" s="138">
        <v>2350000</v>
      </c>
      <c r="E101" s="20" t="s">
        <v>489</v>
      </c>
      <c r="F101" s="20" t="s">
        <v>490</v>
      </c>
      <c r="G101" s="8" t="str">
        <f t="shared" si="2"/>
        <v>BERLING GARY</v>
      </c>
      <c r="H101" s="20" t="str">
        <f t="shared" si="3"/>
        <v>4044</v>
      </c>
    </row>
    <row r="102" spans="1:8" x14ac:dyDescent="0.25">
      <c r="A102" s="8">
        <v>43009.516504629632</v>
      </c>
      <c r="B102" s="20" t="s">
        <v>640</v>
      </c>
      <c r="C102" s="20" t="s">
        <v>725</v>
      </c>
      <c r="D102" s="138">
        <v>2970000</v>
      </c>
      <c r="E102" s="20" t="s">
        <v>715</v>
      </c>
      <c r="F102" s="20" t="s">
        <v>716</v>
      </c>
      <c r="G102" s="8" t="str">
        <f t="shared" si="2"/>
        <v>GUZMAN DANNY</v>
      </c>
      <c r="H102" s="20" t="str">
        <f t="shared" si="3"/>
        <v>4011</v>
      </c>
    </row>
    <row r="103" spans="1:8" x14ac:dyDescent="0.25">
      <c r="A103" s="8">
        <v>43009.519537037035</v>
      </c>
      <c r="B103" s="20" t="s">
        <v>507</v>
      </c>
      <c r="C103" s="20" t="s">
        <v>726</v>
      </c>
      <c r="D103" s="138">
        <v>3330000</v>
      </c>
      <c r="E103" s="20" t="s">
        <v>526</v>
      </c>
      <c r="F103" s="20" t="s">
        <v>527</v>
      </c>
      <c r="G103" s="8" t="str">
        <f t="shared" si="2"/>
        <v>GONZALEZ ARMANDO</v>
      </c>
      <c r="H103" s="20" t="str">
        <f t="shared" si="3"/>
        <v>4016</v>
      </c>
    </row>
    <row r="104" spans="1:8" x14ac:dyDescent="0.25">
      <c r="A104" s="8">
        <v>43009.521782407406</v>
      </c>
      <c r="B104" s="20" t="s">
        <v>402</v>
      </c>
      <c r="C104" s="20" t="s">
        <v>727</v>
      </c>
      <c r="D104" s="138">
        <v>3500000</v>
      </c>
      <c r="E104" s="20" t="s">
        <v>720</v>
      </c>
      <c r="F104" s="20" t="s">
        <v>721</v>
      </c>
      <c r="G104" s="8" t="str">
        <f t="shared" si="2"/>
        <v>GUNTHIER ERIC</v>
      </c>
      <c r="H104" s="20" t="str">
        <f t="shared" si="3"/>
        <v>4023</v>
      </c>
    </row>
    <row r="105" spans="1:8" x14ac:dyDescent="0.25">
      <c r="A105" s="8">
        <v>43009.529085648152</v>
      </c>
      <c r="B105" s="20" t="s">
        <v>660</v>
      </c>
      <c r="C105" s="20" t="s">
        <v>728</v>
      </c>
      <c r="D105" s="138">
        <v>2230000</v>
      </c>
      <c r="E105" s="20" t="s">
        <v>729</v>
      </c>
      <c r="F105" s="20" t="s">
        <v>708</v>
      </c>
      <c r="G105" s="8" t="str">
        <f t="shared" si="2"/>
        <v>SMITH MICHAEL</v>
      </c>
      <c r="H105" s="20" t="str">
        <f t="shared" si="3"/>
        <v>4054</v>
      </c>
    </row>
    <row r="106" spans="1:8" x14ac:dyDescent="0.25">
      <c r="A106" s="8">
        <v>43009.532766203702</v>
      </c>
      <c r="B106" s="20" t="s">
        <v>437</v>
      </c>
      <c r="C106" s="20" t="s">
        <v>600</v>
      </c>
      <c r="D106" s="138">
        <v>2550000</v>
      </c>
      <c r="E106" s="20" t="s">
        <v>524</v>
      </c>
      <c r="F106" s="20" t="s">
        <v>525</v>
      </c>
      <c r="G106" s="8" t="str">
        <f t="shared" si="2"/>
        <v>BADERTSCHER DIANE</v>
      </c>
      <c r="H106" s="20" t="str">
        <f t="shared" si="3"/>
        <v>4013</v>
      </c>
    </row>
    <row r="107" spans="1:8" x14ac:dyDescent="0.25">
      <c r="A107" s="8">
        <v>43009.540625000001</v>
      </c>
      <c r="B107" s="20" t="s">
        <v>519</v>
      </c>
      <c r="C107" s="20" t="s">
        <v>599</v>
      </c>
      <c r="D107" s="138">
        <v>920000</v>
      </c>
      <c r="E107" s="20" t="s">
        <v>343</v>
      </c>
      <c r="F107" s="20" t="s">
        <v>708</v>
      </c>
      <c r="G107" s="8" t="str">
        <f t="shared" si="2"/>
        <v>DAVIS MICHAEL</v>
      </c>
      <c r="H107" s="20" t="str">
        <f t="shared" si="3"/>
        <v>4060</v>
      </c>
    </row>
    <row r="108" spans="1:8" x14ac:dyDescent="0.25">
      <c r="A108" s="8">
        <v>43009.54587962963</v>
      </c>
      <c r="B108" s="20" t="s">
        <v>396</v>
      </c>
      <c r="C108" s="20" t="s">
        <v>730</v>
      </c>
      <c r="D108" s="138">
        <v>2350000</v>
      </c>
      <c r="E108" s="20" t="s">
        <v>489</v>
      </c>
      <c r="F108" s="20" t="s">
        <v>490</v>
      </c>
      <c r="G108" s="8" t="str">
        <f t="shared" si="2"/>
        <v>BERLING GARY</v>
      </c>
      <c r="H108" s="20" t="str">
        <f t="shared" si="3"/>
        <v>4043</v>
      </c>
    </row>
    <row r="109" spans="1:8" x14ac:dyDescent="0.25">
      <c r="A109" s="8">
        <v>43009.546817129631</v>
      </c>
      <c r="B109" s="20" t="s">
        <v>403</v>
      </c>
      <c r="C109" s="20" t="s">
        <v>731</v>
      </c>
      <c r="D109" s="138">
        <v>2560000</v>
      </c>
      <c r="E109" s="20" t="s">
        <v>653</v>
      </c>
      <c r="F109" s="20" t="s">
        <v>654</v>
      </c>
      <c r="G109" s="8" t="str">
        <f t="shared" si="2"/>
        <v>MACDONALD THOMAS</v>
      </c>
      <c r="H109" s="20" t="str">
        <f t="shared" si="3"/>
        <v>4024</v>
      </c>
    </row>
    <row r="110" spans="1:8" x14ac:dyDescent="0.25">
      <c r="A110" s="8">
        <v>43009.549687500003</v>
      </c>
      <c r="B110" s="20" t="s">
        <v>419</v>
      </c>
      <c r="C110" s="20" t="s">
        <v>732</v>
      </c>
      <c r="D110" s="138">
        <v>2630000</v>
      </c>
      <c r="E110" s="20" t="s">
        <v>711</v>
      </c>
      <c r="F110" s="20" t="s">
        <v>712</v>
      </c>
      <c r="G110" s="8" t="str">
        <f t="shared" si="2"/>
        <v>SAFIEF AEIMEN</v>
      </c>
      <c r="H110" s="20" t="str">
        <f t="shared" si="3"/>
        <v>4042</v>
      </c>
    </row>
    <row r="111" spans="1:8" x14ac:dyDescent="0.25">
      <c r="A111" s="8">
        <v>43009.55636574074</v>
      </c>
      <c r="B111" s="20" t="s">
        <v>510</v>
      </c>
      <c r="C111" s="20" t="s">
        <v>733</v>
      </c>
      <c r="D111" s="138">
        <v>3330000</v>
      </c>
      <c r="E111" s="20" t="s">
        <v>526</v>
      </c>
      <c r="F111" s="20" t="s">
        <v>527</v>
      </c>
      <c r="G111" s="8" t="str">
        <f t="shared" si="2"/>
        <v>GONZALEZ ARMANDO</v>
      </c>
      <c r="H111" s="20" t="str">
        <f t="shared" si="3"/>
        <v>4015</v>
      </c>
    </row>
    <row r="112" spans="1:8" x14ac:dyDescent="0.25">
      <c r="A112" s="8">
        <v>43009.557569444441</v>
      </c>
      <c r="B112" s="20" t="s">
        <v>646</v>
      </c>
      <c r="C112" s="20" t="s">
        <v>734</v>
      </c>
      <c r="D112" s="138">
        <v>2970000</v>
      </c>
      <c r="E112" s="20" t="s">
        <v>715</v>
      </c>
      <c r="F112" s="20" t="s">
        <v>716</v>
      </c>
      <c r="G112" s="8" t="str">
        <f t="shared" si="2"/>
        <v>GUZMAN DANNY</v>
      </c>
      <c r="H112" s="20" t="str">
        <f t="shared" si="3"/>
        <v>4012</v>
      </c>
    </row>
    <row r="113" spans="1:8" x14ac:dyDescent="0.25">
      <c r="A113" s="8">
        <v>43009.5627662037</v>
      </c>
      <c r="B113" s="20" t="s">
        <v>484</v>
      </c>
      <c r="C113" s="20" t="s">
        <v>602</v>
      </c>
      <c r="D113" s="138">
        <v>2230000</v>
      </c>
      <c r="E113" s="20" t="s">
        <v>729</v>
      </c>
      <c r="F113" s="20" t="s">
        <v>708</v>
      </c>
      <c r="G113" s="8" t="str">
        <f t="shared" si="2"/>
        <v>SMITH MICHAEL</v>
      </c>
      <c r="H113" s="20" t="str">
        <f t="shared" si="3"/>
        <v>4053</v>
      </c>
    </row>
    <row r="114" spans="1:8" x14ac:dyDescent="0.25">
      <c r="A114" s="8">
        <v>43009.56927083333</v>
      </c>
      <c r="B114" s="20" t="s">
        <v>402</v>
      </c>
      <c r="C114" s="20" t="s">
        <v>735</v>
      </c>
      <c r="D114" s="138">
        <v>2560000</v>
      </c>
      <c r="E114" s="20" t="s">
        <v>653</v>
      </c>
      <c r="F114" s="20" t="s">
        <v>654</v>
      </c>
      <c r="G114" s="8" t="str">
        <f t="shared" si="2"/>
        <v>MACDONALD THOMAS</v>
      </c>
      <c r="H114" s="20" t="str">
        <f t="shared" si="3"/>
        <v>4023</v>
      </c>
    </row>
    <row r="115" spans="1:8" x14ac:dyDescent="0.25">
      <c r="A115" s="8">
        <v>43009.5700462963</v>
      </c>
      <c r="B115" s="20" t="s">
        <v>438</v>
      </c>
      <c r="C115" s="20" t="s">
        <v>736</v>
      </c>
      <c r="D115" s="138">
        <v>2550000</v>
      </c>
      <c r="E115" s="20" t="s">
        <v>524</v>
      </c>
      <c r="F115" s="20" t="s">
        <v>525</v>
      </c>
      <c r="G115" s="8" t="str">
        <f t="shared" si="2"/>
        <v>BADERTSCHER DIANE</v>
      </c>
      <c r="H115" s="20" t="str">
        <f t="shared" si="3"/>
        <v>4014</v>
      </c>
    </row>
    <row r="116" spans="1:8" x14ac:dyDescent="0.25">
      <c r="A116" s="8">
        <v>43009.579421296294</v>
      </c>
      <c r="B116" s="20" t="s">
        <v>511</v>
      </c>
      <c r="C116" s="20" t="s">
        <v>737</v>
      </c>
      <c r="D116" s="138">
        <v>920000</v>
      </c>
      <c r="E116" s="20" t="s">
        <v>343</v>
      </c>
      <c r="F116" s="20" t="s">
        <v>708</v>
      </c>
      <c r="G116" s="8" t="str">
        <f t="shared" si="2"/>
        <v>DAVIS MICHAEL</v>
      </c>
      <c r="H116" s="20" t="str">
        <f t="shared" si="3"/>
        <v>4059</v>
      </c>
    </row>
    <row r="117" spans="1:8" x14ac:dyDescent="0.25">
      <c r="A117" s="8">
        <v>43009.57949074074</v>
      </c>
      <c r="B117" s="20" t="s">
        <v>415</v>
      </c>
      <c r="C117" s="20" t="s">
        <v>738</v>
      </c>
      <c r="D117" s="138">
        <v>2350000</v>
      </c>
      <c r="E117" s="20" t="s">
        <v>489</v>
      </c>
      <c r="F117" s="20" t="s">
        <v>490</v>
      </c>
      <c r="G117" s="8" t="str">
        <f t="shared" si="2"/>
        <v>BERLING GARY</v>
      </c>
      <c r="H117" s="20" t="str">
        <f t="shared" si="3"/>
        <v>4044</v>
      </c>
    </row>
    <row r="118" spans="1:8" x14ac:dyDescent="0.25">
      <c r="A118" s="8">
        <v>43009.582627314812</v>
      </c>
      <c r="B118" s="20" t="s">
        <v>606</v>
      </c>
      <c r="C118" s="20" t="s">
        <v>739</v>
      </c>
      <c r="D118" s="138">
        <v>2630000</v>
      </c>
      <c r="E118" s="20" t="s">
        <v>711</v>
      </c>
      <c r="F118" s="20" t="s">
        <v>712</v>
      </c>
      <c r="G118" s="8" t="str">
        <f t="shared" si="2"/>
        <v>SAFIEF AEIMEN</v>
      </c>
      <c r="H118" s="20" t="str">
        <f t="shared" si="3"/>
        <v>4041</v>
      </c>
    </row>
    <row r="119" spans="1:8" x14ac:dyDescent="0.25">
      <c r="A119" s="8">
        <v>43009.583796296298</v>
      </c>
      <c r="B119" s="20" t="s">
        <v>403</v>
      </c>
      <c r="C119" s="20" t="s">
        <v>601</v>
      </c>
      <c r="D119" s="138">
        <v>2420000</v>
      </c>
      <c r="E119" s="20" t="s">
        <v>528</v>
      </c>
      <c r="F119" s="20" t="s">
        <v>529</v>
      </c>
      <c r="G119" s="8" t="str">
        <f t="shared" si="2"/>
        <v>HOLCOMB KAMDEN</v>
      </c>
      <c r="H119" s="20" t="str">
        <f t="shared" si="3"/>
        <v>4024</v>
      </c>
    </row>
    <row r="120" spans="1:8" x14ac:dyDescent="0.25">
      <c r="A120" s="8">
        <v>43009.588310185187</v>
      </c>
      <c r="B120" s="20" t="s">
        <v>403</v>
      </c>
      <c r="C120" s="20" t="s">
        <v>601</v>
      </c>
      <c r="D120" s="138">
        <v>2420000</v>
      </c>
      <c r="E120" s="20" t="s">
        <v>528</v>
      </c>
      <c r="F120" s="20" t="s">
        <v>529</v>
      </c>
      <c r="G120" s="8" t="str">
        <f t="shared" si="2"/>
        <v>HOLCOMB KAMDEN</v>
      </c>
      <c r="H120" s="20" t="str">
        <f t="shared" si="3"/>
        <v>4024</v>
      </c>
    </row>
    <row r="121" spans="1:8" x14ac:dyDescent="0.25">
      <c r="A121" s="8">
        <v>43009.58898148148</v>
      </c>
      <c r="B121" s="20" t="s">
        <v>640</v>
      </c>
      <c r="C121" s="20" t="s">
        <v>740</v>
      </c>
      <c r="D121" s="138">
        <v>2970000</v>
      </c>
      <c r="E121" s="20" t="s">
        <v>715</v>
      </c>
      <c r="F121" s="20" t="s">
        <v>716</v>
      </c>
      <c r="G121" s="8" t="str">
        <f t="shared" si="2"/>
        <v>GUZMAN DANNY</v>
      </c>
      <c r="H121" s="20" t="str">
        <f t="shared" si="3"/>
        <v>4011</v>
      </c>
    </row>
    <row r="122" spans="1:8" x14ac:dyDescent="0.25">
      <c r="A122" s="8">
        <v>43009.589965277781</v>
      </c>
      <c r="B122" s="25" t="s">
        <v>481</v>
      </c>
      <c r="C122" s="20" t="s">
        <v>741</v>
      </c>
      <c r="D122" s="138">
        <v>2440000</v>
      </c>
      <c r="E122" s="20" t="s">
        <v>742</v>
      </c>
      <c r="F122" s="20" t="s">
        <v>743</v>
      </c>
      <c r="G122" s="8" t="str">
        <f t="shared" si="2"/>
        <v>LOPES KIMBERLY</v>
      </c>
      <c r="H122" s="20" t="str">
        <f t="shared" si="3"/>
        <v>4018</v>
      </c>
    </row>
    <row r="123" spans="1:8" x14ac:dyDescent="0.25">
      <c r="A123" s="8">
        <v>43009.590578703705</v>
      </c>
      <c r="B123" s="20" t="s">
        <v>507</v>
      </c>
      <c r="C123" s="20" t="s">
        <v>744</v>
      </c>
      <c r="D123" s="138">
        <v>2540000</v>
      </c>
      <c r="E123" s="20" t="s">
        <v>485</v>
      </c>
      <c r="F123" s="20" t="s">
        <v>486</v>
      </c>
      <c r="G123" s="8" t="str">
        <f t="shared" si="2"/>
        <v>MCREYNOLDS KYLE</v>
      </c>
      <c r="H123" s="20" t="str">
        <f t="shared" si="3"/>
        <v>4016</v>
      </c>
    </row>
    <row r="124" spans="1:8" x14ac:dyDescent="0.25">
      <c r="A124" s="8">
        <v>43009.592685185184</v>
      </c>
      <c r="B124" s="20" t="s">
        <v>411</v>
      </c>
      <c r="C124" s="20" t="s">
        <v>741</v>
      </c>
      <c r="D124" s="138">
        <v>2440000</v>
      </c>
      <c r="E124" s="20" t="s">
        <v>742</v>
      </c>
      <c r="F124" s="20" t="s">
        <v>743</v>
      </c>
      <c r="G124" s="8" t="str">
        <f t="shared" si="2"/>
        <v>LOPES KIMBERLY</v>
      </c>
      <c r="H124" s="20" t="str">
        <f t="shared" si="3"/>
        <v>4017</v>
      </c>
    </row>
    <row r="125" spans="1:8" x14ac:dyDescent="0.25">
      <c r="A125" s="8">
        <v>43009.596018518518</v>
      </c>
      <c r="B125" s="20" t="s">
        <v>481</v>
      </c>
      <c r="C125" s="20" t="s">
        <v>741</v>
      </c>
      <c r="D125" s="138">
        <v>2440000</v>
      </c>
      <c r="E125" s="20" t="s">
        <v>742</v>
      </c>
      <c r="F125" s="20" t="s">
        <v>743</v>
      </c>
      <c r="G125" s="8" t="str">
        <f t="shared" si="2"/>
        <v>LOPES KIMBERLY</v>
      </c>
      <c r="H125" s="20" t="str">
        <f t="shared" si="3"/>
        <v>4018</v>
      </c>
    </row>
    <row r="126" spans="1:8" x14ac:dyDescent="0.25">
      <c r="A126" s="8">
        <v>43009.597604166665</v>
      </c>
      <c r="B126" s="20" t="s">
        <v>481</v>
      </c>
      <c r="C126" s="20" t="s">
        <v>745</v>
      </c>
      <c r="D126" s="138">
        <v>2440000</v>
      </c>
      <c r="E126" s="20" t="s">
        <v>742</v>
      </c>
      <c r="F126" s="20" t="s">
        <v>743</v>
      </c>
      <c r="G126" s="8" t="str">
        <f t="shared" si="2"/>
        <v>LOPES KIMBERLY</v>
      </c>
      <c r="H126" s="20" t="str">
        <f t="shared" si="3"/>
        <v>4018</v>
      </c>
    </row>
    <row r="127" spans="1:8" x14ac:dyDescent="0.25">
      <c r="A127" s="8">
        <v>43009.601921296293</v>
      </c>
      <c r="B127" s="20" t="s">
        <v>450</v>
      </c>
      <c r="C127" s="20" t="s">
        <v>632</v>
      </c>
      <c r="D127" s="138">
        <v>3310000</v>
      </c>
      <c r="E127" s="20" t="s">
        <v>426</v>
      </c>
      <c r="F127" s="20" t="s">
        <v>427</v>
      </c>
      <c r="G127" s="8" t="str">
        <f t="shared" si="2"/>
        <v>ANDERS STEVEN</v>
      </c>
      <c r="H127" s="20" t="str">
        <f t="shared" si="3"/>
        <v>4050</v>
      </c>
    </row>
    <row r="128" spans="1:8" x14ac:dyDescent="0.25">
      <c r="A128" s="8">
        <v>43009.605879629627</v>
      </c>
      <c r="B128" s="20" t="s">
        <v>437</v>
      </c>
      <c r="C128" s="20" t="s">
        <v>746</v>
      </c>
      <c r="D128" s="138">
        <v>2550000</v>
      </c>
      <c r="E128" s="20" t="s">
        <v>524</v>
      </c>
      <c r="F128" s="20" t="s">
        <v>525</v>
      </c>
      <c r="G128" s="8" t="str">
        <f t="shared" si="2"/>
        <v>BADERTSCHER DIANE</v>
      </c>
      <c r="H128" s="20" t="str">
        <f t="shared" si="3"/>
        <v>4013</v>
      </c>
    </row>
    <row r="129" spans="1:8" x14ac:dyDescent="0.25">
      <c r="A129" s="8">
        <v>43009.608726851853</v>
      </c>
      <c r="B129" s="20" t="s">
        <v>449</v>
      </c>
      <c r="C129" s="20" t="s">
        <v>632</v>
      </c>
      <c r="D129" s="138">
        <v>3310000</v>
      </c>
      <c r="E129" s="20" t="s">
        <v>426</v>
      </c>
      <c r="F129" s="20" t="s">
        <v>427</v>
      </c>
      <c r="G129" s="8" t="str">
        <f t="shared" si="2"/>
        <v>ANDERS STEVEN</v>
      </c>
      <c r="H129" s="20" t="str">
        <f t="shared" si="3"/>
        <v>4049</v>
      </c>
    </row>
    <row r="130" spans="1:8" x14ac:dyDescent="0.25">
      <c r="A130" s="8">
        <v>43009.610011574077</v>
      </c>
      <c r="B130" s="20" t="s">
        <v>402</v>
      </c>
      <c r="C130" s="20" t="s">
        <v>603</v>
      </c>
      <c r="D130" s="138">
        <v>2420000</v>
      </c>
      <c r="E130" s="20" t="s">
        <v>528</v>
      </c>
      <c r="F130" s="20" t="s">
        <v>529</v>
      </c>
      <c r="G130" s="8" t="str">
        <f t="shared" si="2"/>
        <v>HOLCOMB KAMDEN</v>
      </c>
      <c r="H130" s="20" t="str">
        <f t="shared" si="3"/>
        <v>4023</v>
      </c>
    </row>
    <row r="131" spans="1:8" x14ac:dyDescent="0.25">
      <c r="A131" s="8">
        <v>43009.613553240742</v>
      </c>
      <c r="B131" s="20" t="s">
        <v>450</v>
      </c>
      <c r="C131" s="20" t="s">
        <v>604</v>
      </c>
      <c r="D131" s="138">
        <v>3310000</v>
      </c>
      <c r="E131" s="20" t="s">
        <v>426</v>
      </c>
      <c r="F131" s="20" t="s">
        <v>427</v>
      </c>
      <c r="G131" s="8" t="str">
        <f t="shared" ref="G131:G194" si="4">E131&amp;" "&amp;F131</f>
        <v>ANDERS STEVEN</v>
      </c>
      <c r="H131" s="20" t="str">
        <f t="shared" ref="H131:H194" si="5">MID(B131,13,4)</f>
        <v>4050</v>
      </c>
    </row>
    <row r="132" spans="1:8" x14ac:dyDescent="0.25">
      <c r="A132" s="8">
        <v>43009.617939814816</v>
      </c>
      <c r="B132" s="20" t="s">
        <v>396</v>
      </c>
      <c r="C132" s="20" t="s">
        <v>747</v>
      </c>
      <c r="D132" s="138">
        <v>2350000</v>
      </c>
      <c r="E132" s="20" t="s">
        <v>489</v>
      </c>
      <c r="F132" s="20" t="s">
        <v>490</v>
      </c>
      <c r="G132" s="8" t="str">
        <f t="shared" si="4"/>
        <v>BERLING GARY</v>
      </c>
      <c r="H132" s="20" t="str">
        <f t="shared" si="5"/>
        <v>4043</v>
      </c>
    </row>
    <row r="133" spans="1:8" x14ac:dyDescent="0.25">
      <c r="A133" s="8">
        <v>43009.623900462961</v>
      </c>
      <c r="B133" s="20" t="s">
        <v>419</v>
      </c>
      <c r="C133" s="20" t="s">
        <v>748</v>
      </c>
      <c r="D133" s="138">
        <v>2630000</v>
      </c>
      <c r="E133" s="20" t="s">
        <v>711</v>
      </c>
      <c r="F133" s="20" t="s">
        <v>712</v>
      </c>
      <c r="G133" s="8" t="str">
        <f t="shared" si="4"/>
        <v>SAFIEF AEIMEN</v>
      </c>
      <c r="H133" s="20" t="str">
        <f t="shared" si="5"/>
        <v>4042</v>
      </c>
    </row>
    <row r="134" spans="1:8" x14ac:dyDescent="0.25">
      <c r="A134" s="8">
        <v>43009.625219907408</v>
      </c>
      <c r="B134" s="20" t="s">
        <v>510</v>
      </c>
      <c r="C134" s="20" t="s">
        <v>749</v>
      </c>
      <c r="D134" s="138">
        <v>2540000</v>
      </c>
      <c r="E134" s="20" t="s">
        <v>485</v>
      </c>
      <c r="F134" s="20" t="s">
        <v>486</v>
      </c>
      <c r="G134" s="8" t="str">
        <f t="shared" si="4"/>
        <v>MCREYNOLDS KYLE</v>
      </c>
      <c r="H134" s="20" t="str">
        <f t="shared" si="5"/>
        <v>4015</v>
      </c>
    </row>
    <row r="135" spans="1:8" x14ac:dyDescent="0.25">
      <c r="A135" s="8">
        <v>43009.629351851851</v>
      </c>
      <c r="B135" s="20" t="s">
        <v>403</v>
      </c>
      <c r="C135" s="20" t="s">
        <v>605</v>
      </c>
      <c r="D135" s="138">
        <v>2420000</v>
      </c>
      <c r="E135" s="20" t="s">
        <v>528</v>
      </c>
      <c r="F135" s="20" t="s">
        <v>529</v>
      </c>
      <c r="G135" s="8" t="str">
        <f t="shared" si="4"/>
        <v>HOLCOMB KAMDEN</v>
      </c>
      <c r="H135" s="20" t="str">
        <f t="shared" si="5"/>
        <v>4024</v>
      </c>
    </row>
    <row r="136" spans="1:8" x14ac:dyDescent="0.25">
      <c r="A136" s="8">
        <v>43009.63181712963</v>
      </c>
      <c r="B136" s="20" t="s">
        <v>646</v>
      </c>
      <c r="C136" s="20" t="s">
        <v>750</v>
      </c>
      <c r="D136" s="138">
        <v>2970000</v>
      </c>
      <c r="E136" s="20" t="s">
        <v>715</v>
      </c>
      <c r="F136" s="20" t="s">
        <v>716</v>
      </c>
      <c r="G136" s="8" t="str">
        <f t="shared" si="4"/>
        <v>GUZMAN DANNY</v>
      </c>
      <c r="H136" s="20" t="str">
        <f t="shared" si="5"/>
        <v>4012</v>
      </c>
    </row>
    <row r="137" spans="1:8" x14ac:dyDescent="0.25">
      <c r="A137" s="8">
        <v>43009.639386574076</v>
      </c>
      <c r="B137" s="20" t="s">
        <v>411</v>
      </c>
      <c r="C137" s="20" t="s">
        <v>751</v>
      </c>
      <c r="D137" s="138">
        <v>2440000</v>
      </c>
      <c r="E137" s="20" t="s">
        <v>742</v>
      </c>
      <c r="F137" s="20" t="s">
        <v>743</v>
      </c>
      <c r="G137" s="8" t="str">
        <f t="shared" si="4"/>
        <v>LOPES KIMBERLY</v>
      </c>
      <c r="H137" s="20" t="str">
        <f t="shared" si="5"/>
        <v>4017</v>
      </c>
    </row>
    <row r="138" spans="1:8" x14ac:dyDescent="0.25">
      <c r="A138" s="8">
        <v>43009.643020833333</v>
      </c>
      <c r="B138" s="20" t="s">
        <v>438</v>
      </c>
      <c r="C138" s="20" t="s">
        <v>752</v>
      </c>
      <c r="D138" s="138">
        <v>2550000</v>
      </c>
      <c r="E138" s="20" t="s">
        <v>524</v>
      </c>
      <c r="F138" s="20" t="s">
        <v>525</v>
      </c>
      <c r="G138" s="8" t="str">
        <f t="shared" si="4"/>
        <v>BADERTSCHER DIANE</v>
      </c>
      <c r="H138" s="20" t="str">
        <f t="shared" si="5"/>
        <v>4014</v>
      </c>
    </row>
    <row r="139" spans="1:8" x14ac:dyDescent="0.25">
      <c r="A139" s="8">
        <v>43009.643703703703</v>
      </c>
      <c r="B139" s="20" t="s">
        <v>449</v>
      </c>
      <c r="C139" s="20" t="s">
        <v>753</v>
      </c>
      <c r="D139" s="138">
        <v>3310000</v>
      </c>
      <c r="E139" s="20" t="s">
        <v>426</v>
      </c>
      <c r="F139" s="20" t="s">
        <v>427</v>
      </c>
      <c r="G139" s="8" t="str">
        <f t="shared" si="4"/>
        <v>ANDERS STEVEN</v>
      </c>
      <c r="H139" s="20" t="str">
        <f t="shared" si="5"/>
        <v>4049</v>
      </c>
    </row>
    <row r="140" spans="1:8" x14ac:dyDescent="0.25">
      <c r="A140" s="8">
        <v>43009.651435185187</v>
      </c>
      <c r="B140" s="20" t="s">
        <v>402</v>
      </c>
      <c r="C140" s="20" t="s">
        <v>754</v>
      </c>
      <c r="D140" s="138">
        <v>2420000</v>
      </c>
      <c r="E140" s="20" t="s">
        <v>528</v>
      </c>
      <c r="F140" s="20" t="s">
        <v>529</v>
      </c>
      <c r="G140" s="8" t="str">
        <f t="shared" si="4"/>
        <v>HOLCOMB KAMDEN</v>
      </c>
      <c r="H140" s="20" t="str">
        <f t="shared" si="5"/>
        <v>4023</v>
      </c>
    </row>
    <row r="141" spans="1:8" x14ac:dyDescent="0.25">
      <c r="A141" s="8">
        <v>43009.652199074073</v>
      </c>
      <c r="B141" s="20" t="s">
        <v>415</v>
      </c>
      <c r="C141" s="20" t="s">
        <v>755</v>
      </c>
      <c r="D141" s="138">
        <v>2350000</v>
      </c>
      <c r="E141" s="20" t="s">
        <v>489</v>
      </c>
      <c r="F141" s="20" t="s">
        <v>490</v>
      </c>
      <c r="G141" s="8" t="str">
        <f t="shared" si="4"/>
        <v>BERLING GARY</v>
      </c>
      <c r="H141" s="20" t="str">
        <f t="shared" si="5"/>
        <v>4044</v>
      </c>
    </row>
    <row r="142" spans="1:8" x14ac:dyDescent="0.25">
      <c r="A142" s="8">
        <v>43009.652939814812</v>
      </c>
      <c r="B142" s="20" t="s">
        <v>606</v>
      </c>
      <c r="C142" s="20" t="s">
        <v>607</v>
      </c>
      <c r="D142" s="138">
        <v>2630000</v>
      </c>
      <c r="E142" s="20" t="s">
        <v>711</v>
      </c>
      <c r="F142" s="20" t="s">
        <v>712</v>
      </c>
      <c r="G142" s="8" t="str">
        <f t="shared" si="4"/>
        <v>SAFIEF AEIMEN</v>
      </c>
      <c r="H142" s="20" t="str">
        <f t="shared" si="5"/>
        <v>4041</v>
      </c>
    </row>
    <row r="143" spans="1:8" x14ac:dyDescent="0.25">
      <c r="A143" s="8">
        <v>43009.662407407406</v>
      </c>
      <c r="B143" s="20" t="s">
        <v>640</v>
      </c>
      <c r="C143" s="20" t="s">
        <v>756</v>
      </c>
      <c r="D143" s="138">
        <v>2970000</v>
      </c>
      <c r="E143" s="20" t="s">
        <v>715</v>
      </c>
      <c r="F143" s="20" t="s">
        <v>716</v>
      </c>
      <c r="G143" s="8" t="str">
        <f t="shared" si="4"/>
        <v>GUZMAN DANNY</v>
      </c>
      <c r="H143" s="20" t="str">
        <f t="shared" si="5"/>
        <v>4011</v>
      </c>
    </row>
    <row r="144" spans="1:8" x14ac:dyDescent="0.25">
      <c r="A144" s="8">
        <v>43009.662523148145</v>
      </c>
      <c r="B144" s="20" t="s">
        <v>507</v>
      </c>
      <c r="C144" s="20" t="s">
        <v>757</v>
      </c>
      <c r="D144" s="138">
        <v>2540000</v>
      </c>
      <c r="E144" s="20" t="s">
        <v>485</v>
      </c>
      <c r="F144" s="20" t="s">
        <v>486</v>
      </c>
      <c r="G144" s="8" t="str">
        <f t="shared" si="4"/>
        <v>MCREYNOLDS KYLE</v>
      </c>
      <c r="H144" s="20" t="str">
        <f t="shared" si="5"/>
        <v>4016</v>
      </c>
    </row>
    <row r="145" spans="1:8" x14ac:dyDescent="0.25">
      <c r="A145" s="8">
        <v>43009.670300925929</v>
      </c>
      <c r="B145" s="20" t="s">
        <v>403</v>
      </c>
      <c r="C145" s="20" t="s">
        <v>758</v>
      </c>
      <c r="D145" s="138">
        <v>2420000</v>
      </c>
      <c r="E145" s="20" t="s">
        <v>528</v>
      </c>
      <c r="F145" s="20" t="s">
        <v>529</v>
      </c>
      <c r="G145" s="8" t="str">
        <f t="shared" si="4"/>
        <v>HOLCOMB KAMDEN</v>
      </c>
      <c r="H145" s="20" t="str">
        <f t="shared" si="5"/>
        <v>4024</v>
      </c>
    </row>
    <row r="146" spans="1:8" x14ac:dyDescent="0.25">
      <c r="A146" s="8">
        <v>43009.673043981478</v>
      </c>
      <c r="B146" s="20" t="s">
        <v>481</v>
      </c>
      <c r="C146" s="20" t="s">
        <v>759</v>
      </c>
      <c r="D146" s="138">
        <v>2230000</v>
      </c>
      <c r="E146" s="20" t="s">
        <v>729</v>
      </c>
      <c r="F146" s="20" t="s">
        <v>708</v>
      </c>
      <c r="G146" s="8" t="str">
        <f t="shared" si="4"/>
        <v>SMITH MICHAEL</v>
      </c>
      <c r="H146" s="20" t="str">
        <f t="shared" si="5"/>
        <v>4018</v>
      </c>
    </row>
    <row r="147" spans="1:8" x14ac:dyDescent="0.25">
      <c r="A147" s="8">
        <v>43009.679803240739</v>
      </c>
      <c r="B147" s="20" t="s">
        <v>437</v>
      </c>
      <c r="C147" s="20" t="s">
        <v>760</v>
      </c>
      <c r="D147" s="138">
        <v>2550000</v>
      </c>
      <c r="E147" s="20" t="s">
        <v>524</v>
      </c>
      <c r="F147" s="20" t="s">
        <v>525</v>
      </c>
      <c r="G147" s="8" t="str">
        <f t="shared" si="4"/>
        <v>BADERTSCHER DIANE</v>
      </c>
      <c r="H147" s="20" t="str">
        <f t="shared" si="5"/>
        <v>4013</v>
      </c>
    </row>
    <row r="148" spans="1:8" x14ac:dyDescent="0.25">
      <c r="A148" s="8">
        <v>43009.68577546296</v>
      </c>
      <c r="B148" s="20" t="s">
        <v>660</v>
      </c>
      <c r="C148" s="20" t="s">
        <v>761</v>
      </c>
      <c r="D148" s="138">
        <v>2440000</v>
      </c>
      <c r="E148" s="20" t="s">
        <v>742</v>
      </c>
      <c r="F148" s="20" t="s">
        <v>743</v>
      </c>
      <c r="G148" s="8" t="str">
        <f t="shared" si="4"/>
        <v>LOPES KIMBERLY</v>
      </c>
      <c r="H148" s="20" t="str">
        <f t="shared" si="5"/>
        <v>4054</v>
      </c>
    </row>
    <row r="149" spans="1:8" x14ac:dyDescent="0.25">
      <c r="A149" s="8">
        <v>43009.686689814815</v>
      </c>
      <c r="B149" s="20" t="s">
        <v>450</v>
      </c>
      <c r="C149" s="20" t="s">
        <v>762</v>
      </c>
      <c r="D149" s="138">
        <v>920000</v>
      </c>
      <c r="E149" s="20" t="s">
        <v>343</v>
      </c>
      <c r="F149" s="20" t="s">
        <v>708</v>
      </c>
      <c r="G149" s="8" t="str">
        <f t="shared" si="4"/>
        <v>DAVIS MICHAEL</v>
      </c>
      <c r="H149" s="20" t="str">
        <f t="shared" si="5"/>
        <v>4050</v>
      </c>
    </row>
    <row r="150" spans="1:8" x14ac:dyDescent="0.25">
      <c r="A150" s="8">
        <v>43009.690775462965</v>
      </c>
      <c r="B150" s="20" t="s">
        <v>402</v>
      </c>
      <c r="C150" s="20" t="s">
        <v>763</v>
      </c>
      <c r="D150" s="138">
        <v>2420000</v>
      </c>
      <c r="E150" s="20" t="s">
        <v>528</v>
      </c>
      <c r="F150" s="20" t="s">
        <v>529</v>
      </c>
      <c r="G150" s="8" t="str">
        <f t="shared" si="4"/>
        <v>HOLCOMB KAMDEN</v>
      </c>
      <c r="H150" s="20" t="str">
        <f t="shared" si="5"/>
        <v>4023</v>
      </c>
    </row>
    <row r="151" spans="1:8" x14ac:dyDescent="0.25">
      <c r="A151" s="8">
        <v>43009.694050925929</v>
      </c>
      <c r="B151" s="20" t="s">
        <v>396</v>
      </c>
      <c r="C151" s="20" t="s">
        <v>764</v>
      </c>
      <c r="D151" s="138">
        <v>2350000</v>
      </c>
      <c r="E151" s="20" t="s">
        <v>489</v>
      </c>
      <c r="F151" s="20" t="s">
        <v>490</v>
      </c>
      <c r="G151" s="8" t="str">
        <f t="shared" si="4"/>
        <v>BERLING GARY</v>
      </c>
      <c r="H151" s="20" t="str">
        <f t="shared" si="5"/>
        <v>4043</v>
      </c>
    </row>
    <row r="152" spans="1:8" x14ac:dyDescent="0.25">
      <c r="A152" s="8">
        <v>43009.69636574074</v>
      </c>
      <c r="B152" s="20" t="s">
        <v>419</v>
      </c>
      <c r="C152" s="20" t="s">
        <v>765</v>
      </c>
      <c r="D152" s="138">
        <v>2630000</v>
      </c>
      <c r="E152" s="20" t="s">
        <v>711</v>
      </c>
      <c r="F152" s="20" t="s">
        <v>712</v>
      </c>
      <c r="G152" s="8" t="str">
        <f t="shared" si="4"/>
        <v>SAFIEF AEIMEN</v>
      </c>
      <c r="H152" s="20" t="str">
        <f t="shared" si="5"/>
        <v>4042</v>
      </c>
    </row>
    <row r="153" spans="1:8" x14ac:dyDescent="0.25">
      <c r="A153" s="8">
        <v>43009.700856481482</v>
      </c>
      <c r="B153" s="20" t="s">
        <v>510</v>
      </c>
      <c r="C153" s="20" t="s">
        <v>766</v>
      </c>
      <c r="D153" s="138">
        <v>2540000</v>
      </c>
      <c r="E153" s="20" t="s">
        <v>485</v>
      </c>
      <c r="F153" s="20" t="s">
        <v>486</v>
      </c>
      <c r="G153" s="8" t="str">
        <f t="shared" si="4"/>
        <v>MCREYNOLDS KYLE</v>
      </c>
      <c r="H153" s="20" t="str">
        <f t="shared" si="5"/>
        <v>4015</v>
      </c>
    </row>
    <row r="154" spans="1:8" x14ac:dyDescent="0.25">
      <c r="A154" s="8">
        <v>43009.704988425925</v>
      </c>
      <c r="B154" s="20" t="s">
        <v>646</v>
      </c>
      <c r="C154" s="20" t="s">
        <v>767</v>
      </c>
      <c r="D154" s="138">
        <v>2970000</v>
      </c>
      <c r="E154" s="20" t="s">
        <v>715</v>
      </c>
      <c r="F154" s="20" t="s">
        <v>716</v>
      </c>
      <c r="G154" s="8" t="str">
        <f t="shared" si="4"/>
        <v>GUZMAN DANNY</v>
      </c>
      <c r="H154" s="20" t="str">
        <f t="shared" si="5"/>
        <v>4012</v>
      </c>
    </row>
    <row r="155" spans="1:8" x14ac:dyDescent="0.25">
      <c r="A155" s="8">
        <v>43009.707499999997</v>
      </c>
      <c r="B155" s="20" t="s">
        <v>411</v>
      </c>
      <c r="C155" s="20" t="s">
        <v>768</v>
      </c>
      <c r="D155" s="138">
        <v>2230000</v>
      </c>
      <c r="E155" s="20" t="s">
        <v>729</v>
      </c>
      <c r="F155" s="20" t="s">
        <v>708</v>
      </c>
      <c r="G155" s="8" t="str">
        <f t="shared" si="4"/>
        <v>SMITH MICHAEL</v>
      </c>
      <c r="H155" s="20" t="str">
        <f t="shared" si="5"/>
        <v>4017</v>
      </c>
    </row>
    <row r="156" spans="1:8" x14ac:dyDescent="0.25">
      <c r="A156" s="8">
        <v>43009.713576388887</v>
      </c>
      <c r="B156" s="20" t="s">
        <v>403</v>
      </c>
      <c r="C156" s="20" t="s">
        <v>769</v>
      </c>
      <c r="D156" s="138">
        <v>2420000</v>
      </c>
      <c r="E156" s="20" t="s">
        <v>528</v>
      </c>
      <c r="F156" s="20" t="s">
        <v>529</v>
      </c>
      <c r="G156" s="8" t="str">
        <f t="shared" si="4"/>
        <v>HOLCOMB KAMDEN</v>
      </c>
      <c r="H156" s="20" t="str">
        <f t="shared" si="5"/>
        <v>4024</v>
      </c>
    </row>
    <row r="157" spans="1:8" x14ac:dyDescent="0.25">
      <c r="A157" s="8">
        <v>43009.716539351852</v>
      </c>
      <c r="B157" s="20" t="s">
        <v>438</v>
      </c>
      <c r="C157" s="20" t="s">
        <v>608</v>
      </c>
      <c r="D157" s="138">
        <v>2000000</v>
      </c>
      <c r="E157" s="20" t="s">
        <v>389</v>
      </c>
      <c r="F157" s="20" t="s">
        <v>370</v>
      </c>
      <c r="G157" s="8" t="str">
        <f t="shared" si="4"/>
        <v>STAMBAUGH JAMES</v>
      </c>
      <c r="H157" s="20" t="str">
        <f t="shared" si="5"/>
        <v>4014</v>
      </c>
    </row>
    <row r="158" spans="1:8" x14ac:dyDescent="0.25">
      <c r="A158" s="8">
        <v>43009.720185185186</v>
      </c>
      <c r="B158" s="20" t="s">
        <v>519</v>
      </c>
      <c r="C158" s="20" t="s">
        <v>770</v>
      </c>
      <c r="D158" s="138">
        <v>3330000</v>
      </c>
      <c r="E158" s="20" t="s">
        <v>526</v>
      </c>
      <c r="F158" s="20" t="s">
        <v>527</v>
      </c>
      <c r="G158" s="8" t="str">
        <f t="shared" si="4"/>
        <v>GONZALEZ ARMANDO</v>
      </c>
      <c r="H158" s="20" t="str">
        <f t="shared" si="5"/>
        <v>4060</v>
      </c>
    </row>
    <row r="159" spans="1:8" x14ac:dyDescent="0.25">
      <c r="A159" s="8">
        <v>43009.725821759261</v>
      </c>
      <c r="B159" s="20" t="s">
        <v>449</v>
      </c>
      <c r="C159" s="20" t="s">
        <v>771</v>
      </c>
      <c r="D159" s="138">
        <v>920000</v>
      </c>
      <c r="E159" s="20" t="s">
        <v>343</v>
      </c>
      <c r="F159" s="20" t="s">
        <v>708</v>
      </c>
      <c r="G159" s="8" t="str">
        <f t="shared" si="4"/>
        <v>DAVIS MICHAEL</v>
      </c>
      <c r="H159" s="20" t="str">
        <f t="shared" si="5"/>
        <v>4049</v>
      </c>
    </row>
    <row r="160" spans="1:8" x14ac:dyDescent="0.25">
      <c r="A160" s="8">
        <v>43009.726759259262</v>
      </c>
      <c r="B160" s="20" t="s">
        <v>415</v>
      </c>
      <c r="C160" s="20" t="s">
        <v>772</v>
      </c>
      <c r="D160" s="138">
        <v>2350000</v>
      </c>
      <c r="E160" s="20" t="s">
        <v>489</v>
      </c>
      <c r="F160" s="20" t="s">
        <v>490</v>
      </c>
      <c r="G160" s="8" t="str">
        <f t="shared" si="4"/>
        <v>BERLING GARY</v>
      </c>
      <c r="H160" s="20" t="str">
        <f t="shared" si="5"/>
        <v>4044</v>
      </c>
    </row>
    <row r="161" spans="1:8" x14ac:dyDescent="0.25">
      <c r="A161" s="8">
        <v>43009.732812499999</v>
      </c>
      <c r="B161" s="20" t="s">
        <v>606</v>
      </c>
      <c r="C161" s="20" t="s">
        <v>773</v>
      </c>
      <c r="D161" s="138">
        <v>2630000</v>
      </c>
      <c r="E161" s="20" t="s">
        <v>711</v>
      </c>
      <c r="F161" s="20" t="s">
        <v>712</v>
      </c>
      <c r="G161" s="8" t="str">
        <f t="shared" si="4"/>
        <v>SAFIEF AEIMEN</v>
      </c>
      <c r="H161" s="20" t="str">
        <f t="shared" si="5"/>
        <v>4041</v>
      </c>
    </row>
    <row r="162" spans="1:8" x14ac:dyDescent="0.25">
      <c r="A162" s="8">
        <v>43009.734120370369</v>
      </c>
      <c r="B162" s="20" t="s">
        <v>402</v>
      </c>
      <c r="C162" s="20" t="s">
        <v>609</v>
      </c>
      <c r="D162" s="138">
        <v>2420000</v>
      </c>
      <c r="E162" s="20" t="s">
        <v>528</v>
      </c>
      <c r="F162" s="20" t="s">
        <v>529</v>
      </c>
      <c r="G162" s="8" t="str">
        <f t="shared" si="4"/>
        <v>HOLCOMB KAMDEN</v>
      </c>
      <c r="H162" s="20" t="str">
        <f t="shared" si="5"/>
        <v>4023</v>
      </c>
    </row>
    <row r="163" spans="1:8" x14ac:dyDescent="0.25">
      <c r="A163" s="8">
        <v>43009.736342592594</v>
      </c>
      <c r="B163" s="20" t="s">
        <v>640</v>
      </c>
      <c r="C163" s="20" t="s">
        <v>774</v>
      </c>
      <c r="D163" s="138">
        <v>2970000</v>
      </c>
      <c r="E163" s="20" t="s">
        <v>715</v>
      </c>
      <c r="F163" s="20" t="s">
        <v>716</v>
      </c>
      <c r="G163" s="8" t="str">
        <f t="shared" si="4"/>
        <v>GUZMAN DANNY</v>
      </c>
      <c r="H163" s="20" t="str">
        <f t="shared" si="5"/>
        <v>4011</v>
      </c>
    </row>
    <row r="164" spans="1:8" x14ac:dyDescent="0.25">
      <c r="A164" s="8">
        <v>43009.738078703704</v>
      </c>
      <c r="B164" s="20" t="s">
        <v>507</v>
      </c>
      <c r="C164" s="20" t="s">
        <v>775</v>
      </c>
      <c r="D164" s="138">
        <v>890000</v>
      </c>
      <c r="E164" s="20" t="s">
        <v>365</v>
      </c>
      <c r="F164" s="20" t="s">
        <v>366</v>
      </c>
      <c r="G164" s="8" t="str">
        <f t="shared" si="4"/>
        <v>LOZA FIDEL</v>
      </c>
      <c r="H164" s="20" t="str">
        <f t="shared" si="5"/>
        <v>4016</v>
      </c>
    </row>
    <row r="165" spans="1:8" x14ac:dyDescent="0.25">
      <c r="A165" s="8">
        <v>43009.746469907404</v>
      </c>
      <c r="B165" s="20" t="s">
        <v>481</v>
      </c>
      <c r="C165" s="20" t="s">
        <v>776</v>
      </c>
      <c r="D165" s="138">
        <v>2230000</v>
      </c>
      <c r="E165" s="20" t="s">
        <v>729</v>
      </c>
      <c r="F165" s="20" t="s">
        <v>708</v>
      </c>
      <c r="G165" s="8" t="str">
        <f t="shared" si="4"/>
        <v>SMITH MICHAEL</v>
      </c>
      <c r="H165" s="20" t="str">
        <f t="shared" si="5"/>
        <v>4018</v>
      </c>
    </row>
    <row r="166" spans="1:8" x14ac:dyDescent="0.25">
      <c r="A166" s="8">
        <v>43009.749699074076</v>
      </c>
      <c r="B166" s="20" t="s">
        <v>777</v>
      </c>
      <c r="C166" s="20" t="s">
        <v>778</v>
      </c>
      <c r="D166" s="138">
        <v>3510000</v>
      </c>
      <c r="E166" s="20" t="s">
        <v>779</v>
      </c>
      <c r="F166" s="20" t="s">
        <v>780</v>
      </c>
      <c r="G166" s="8" t="str">
        <f t="shared" si="4"/>
        <v>BARRON PERLA</v>
      </c>
      <c r="H166" s="20" t="str">
        <f t="shared" si="5"/>
        <v>4007</v>
      </c>
    </row>
    <row r="167" spans="1:8" x14ac:dyDescent="0.25">
      <c r="A167" s="8">
        <v>43009.753437500003</v>
      </c>
      <c r="B167" s="20" t="s">
        <v>403</v>
      </c>
      <c r="C167" s="20" t="s">
        <v>781</v>
      </c>
      <c r="D167" s="138">
        <v>2420000</v>
      </c>
      <c r="E167" s="20" t="s">
        <v>528</v>
      </c>
      <c r="F167" s="20" t="s">
        <v>529</v>
      </c>
      <c r="G167" s="8" t="str">
        <f t="shared" si="4"/>
        <v>HOLCOMB KAMDEN</v>
      </c>
      <c r="H167" s="20" t="str">
        <f t="shared" si="5"/>
        <v>4024</v>
      </c>
    </row>
    <row r="168" spans="1:8" x14ac:dyDescent="0.25">
      <c r="A168" s="8">
        <v>43009.754270833335</v>
      </c>
      <c r="B168" s="20" t="s">
        <v>437</v>
      </c>
      <c r="C168" s="20" t="s">
        <v>610</v>
      </c>
      <c r="D168" s="138">
        <v>2000000</v>
      </c>
      <c r="E168" s="20" t="s">
        <v>389</v>
      </c>
      <c r="F168" s="20" t="s">
        <v>370</v>
      </c>
      <c r="G168" s="8" t="str">
        <f t="shared" si="4"/>
        <v>STAMBAUGH JAMES</v>
      </c>
      <c r="H168" s="20" t="str">
        <f t="shared" si="5"/>
        <v>4013</v>
      </c>
    </row>
    <row r="169" spans="1:8" x14ac:dyDescent="0.25">
      <c r="A169" s="8">
        <v>43009.758356481485</v>
      </c>
      <c r="B169" s="20" t="s">
        <v>450</v>
      </c>
      <c r="C169" s="20" t="s">
        <v>782</v>
      </c>
      <c r="D169" s="138">
        <v>3340000</v>
      </c>
      <c r="E169" s="20" t="s">
        <v>439</v>
      </c>
      <c r="F169" s="20" t="s">
        <v>440</v>
      </c>
      <c r="G169" s="8" t="str">
        <f t="shared" si="4"/>
        <v>ELBAUM MIKE</v>
      </c>
      <c r="H169" s="20" t="str">
        <f t="shared" si="5"/>
        <v>4050</v>
      </c>
    </row>
    <row r="170" spans="1:8" x14ac:dyDescent="0.25">
      <c r="A170" s="8">
        <v>43009.765104166669</v>
      </c>
      <c r="B170" s="20" t="s">
        <v>396</v>
      </c>
      <c r="C170" s="20" t="s">
        <v>611</v>
      </c>
      <c r="D170" s="138">
        <v>2350000</v>
      </c>
      <c r="E170" s="20" t="s">
        <v>489</v>
      </c>
      <c r="F170" s="20" t="s">
        <v>490</v>
      </c>
      <c r="G170" s="8" t="str">
        <f t="shared" si="4"/>
        <v>BERLING GARY</v>
      </c>
      <c r="H170" s="20" t="str">
        <f t="shared" si="5"/>
        <v>4043</v>
      </c>
    </row>
    <row r="171" spans="1:8" x14ac:dyDescent="0.25">
      <c r="A171" s="8">
        <v>43009.765717592592</v>
      </c>
      <c r="B171" s="20" t="s">
        <v>396</v>
      </c>
      <c r="C171" s="20" t="s">
        <v>611</v>
      </c>
      <c r="D171" s="138">
        <v>2350000</v>
      </c>
      <c r="E171" s="20" t="s">
        <v>489</v>
      </c>
      <c r="F171" s="20" t="s">
        <v>490</v>
      </c>
      <c r="G171" s="8" t="str">
        <f t="shared" si="4"/>
        <v>BERLING GARY</v>
      </c>
      <c r="H171" s="20" t="str">
        <f t="shared" si="5"/>
        <v>4043</v>
      </c>
    </row>
    <row r="172" spans="1:8" x14ac:dyDescent="0.25">
      <c r="A172" s="8">
        <v>43009.766759259262</v>
      </c>
      <c r="B172" s="20" t="s">
        <v>419</v>
      </c>
      <c r="C172" s="20" t="s">
        <v>783</v>
      </c>
      <c r="D172" s="138">
        <v>2680000</v>
      </c>
      <c r="E172" s="20" t="s">
        <v>373</v>
      </c>
      <c r="F172" s="20" t="s">
        <v>374</v>
      </c>
      <c r="G172" s="8" t="str">
        <f t="shared" si="4"/>
        <v>DUNCAN SHEILA</v>
      </c>
      <c r="H172" s="20" t="str">
        <f t="shared" si="5"/>
        <v>4042</v>
      </c>
    </row>
    <row r="173" spans="1:8" x14ac:dyDescent="0.25">
      <c r="A173" s="8">
        <v>43009.766875000001</v>
      </c>
      <c r="B173" s="20" t="s">
        <v>396</v>
      </c>
      <c r="C173" s="20" t="s">
        <v>611</v>
      </c>
      <c r="D173" s="138">
        <v>2350000</v>
      </c>
      <c r="E173" s="20" t="s">
        <v>489</v>
      </c>
      <c r="F173" s="20" t="s">
        <v>490</v>
      </c>
      <c r="G173" s="8" t="str">
        <f t="shared" si="4"/>
        <v>BERLING GARY</v>
      </c>
      <c r="H173" s="20" t="str">
        <f t="shared" si="5"/>
        <v>4043</v>
      </c>
    </row>
    <row r="174" spans="1:8" x14ac:dyDescent="0.25">
      <c r="A174" s="8">
        <v>43009.767777777779</v>
      </c>
      <c r="B174" s="20" t="s">
        <v>396</v>
      </c>
      <c r="C174" s="20" t="s">
        <v>611</v>
      </c>
      <c r="D174" s="138">
        <v>2350000</v>
      </c>
      <c r="E174" s="20" t="s">
        <v>489</v>
      </c>
      <c r="F174" s="20" t="s">
        <v>490</v>
      </c>
      <c r="G174" s="8" t="str">
        <f t="shared" si="4"/>
        <v>BERLING GARY</v>
      </c>
      <c r="H174" s="20" t="str">
        <f t="shared" si="5"/>
        <v>4043</v>
      </c>
    </row>
    <row r="175" spans="1:8" x14ac:dyDescent="0.25">
      <c r="A175" s="8">
        <v>43009.777824074074</v>
      </c>
      <c r="B175" s="20" t="s">
        <v>402</v>
      </c>
      <c r="C175" s="20" t="s">
        <v>784</v>
      </c>
      <c r="D175" s="138">
        <v>2420000</v>
      </c>
      <c r="E175" s="20" t="s">
        <v>528</v>
      </c>
      <c r="F175" s="20" t="s">
        <v>529</v>
      </c>
      <c r="G175" s="8" t="str">
        <f t="shared" si="4"/>
        <v>HOLCOMB KAMDEN</v>
      </c>
      <c r="H175" s="20" t="str">
        <f t="shared" si="5"/>
        <v>4023</v>
      </c>
    </row>
    <row r="176" spans="1:8" x14ac:dyDescent="0.25">
      <c r="A176" s="8">
        <v>43009.778391203705</v>
      </c>
      <c r="B176" s="20" t="s">
        <v>510</v>
      </c>
      <c r="C176" s="20" t="s">
        <v>785</v>
      </c>
      <c r="D176" s="138">
        <v>890000</v>
      </c>
      <c r="E176" s="20" t="s">
        <v>365</v>
      </c>
      <c r="F176" s="20" t="s">
        <v>366</v>
      </c>
      <c r="G176" s="8" t="str">
        <f t="shared" si="4"/>
        <v>LOZA FIDEL</v>
      </c>
      <c r="H176" s="20" t="str">
        <f t="shared" si="5"/>
        <v>4015</v>
      </c>
    </row>
    <row r="177" spans="1:8" x14ac:dyDescent="0.25">
      <c r="A177" s="8">
        <v>43009.779328703706</v>
      </c>
      <c r="B177" s="20" t="s">
        <v>646</v>
      </c>
      <c r="C177" s="20" t="s">
        <v>786</v>
      </c>
      <c r="D177" s="138">
        <v>2030000</v>
      </c>
      <c r="E177" s="20" t="s">
        <v>787</v>
      </c>
      <c r="F177" s="20" t="s">
        <v>530</v>
      </c>
      <c r="G177" s="8" t="str">
        <f t="shared" si="4"/>
        <v>KILLION DAVID</v>
      </c>
      <c r="H177" s="20" t="str">
        <f t="shared" si="5"/>
        <v>4012</v>
      </c>
    </row>
    <row r="178" spans="1:8" x14ac:dyDescent="0.25">
      <c r="A178" s="8">
        <v>43009.780624999999</v>
      </c>
      <c r="B178" s="20" t="s">
        <v>646</v>
      </c>
      <c r="C178" s="20" t="s">
        <v>786</v>
      </c>
      <c r="D178" s="138">
        <v>2030000</v>
      </c>
      <c r="E178" s="20" t="s">
        <v>787</v>
      </c>
      <c r="F178" s="20" t="s">
        <v>530</v>
      </c>
      <c r="G178" s="8" t="str">
        <f t="shared" si="4"/>
        <v>KILLION DAVID</v>
      </c>
      <c r="H178" s="20" t="str">
        <f t="shared" si="5"/>
        <v>4012</v>
      </c>
    </row>
    <row r="179" spans="1:8" x14ac:dyDescent="0.25">
      <c r="A179" s="8">
        <v>43009.784560185188</v>
      </c>
      <c r="B179" s="20" t="s">
        <v>411</v>
      </c>
      <c r="C179" s="20" t="s">
        <v>613</v>
      </c>
      <c r="D179" s="138">
        <v>2230000</v>
      </c>
      <c r="E179" s="20" t="s">
        <v>729</v>
      </c>
      <c r="F179" s="20" t="s">
        <v>708</v>
      </c>
      <c r="G179" s="8" t="str">
        <f t="shared" si="4"/>
        <v>SMITH MICHAEL</v>
      </c>
      <c r="H179" s="20" t="str">
        <f t="shared" si="5"/>
        <v>4017</v>
      </c>
    </row>
    <row r="180" spans="1:8" x14ac:dyDescent="0.25">
      <c r="A180" s="8">
        <v>43009.785393518519</v>
      </c>
      <c r="B180" s="20" t="s">
        <v>646</v>
      </c>
      <c r="C180" s="20" t="s">
        <v>786</v>
      </c>
      <c r="D180" s="138">
        <v>2030000</v>
      </c>
      <c r="E180" s="20" t="s">
        <v>787</v>
      </c>
      <c r="F180" s="20" t="s">
        <v>530</v>
      </c>
      <c r="G180" s="8" t="str">
        <f t="shared" si="4"/>
        <v>KILLION DAVID</v>
      </c>
      <c r="H180" s="20" t="str">
        <f t="shared" si="5"/>
        <v>4012</v>
      </c>
    </row>
    <row r="181" spans="1:8" x14ac:dyDescent="0.25">
      <c r="A181" s="8">
        <v>43009.788483796299</v>
      </c>
      <c r="B181" s="20" t="s">
        <v>438</v>
      </c>
      <c r="C181" s="20" t="s">
        <v>788</v>
      </c>
      <c r="D181" s="138">
        <v>2000000</v>
      </c>
      <c r="E181" s="20" t="s">
        <v>389</v>
      </c>
      <c r="F181" s="20" t="s">
        <v>370</v>
      </c>
      <c r="G181" s="8" t="str">
        <f t="shared" si="4"/>
        <v>STAMBAUGH JAMES</v>
      </c>
      <c r="H181" s="20" t="str">
        <f t="shared" si="5"/>
        <v>4014</v>
      </c>
    </row>
    <row r="182" spans="1:8" x14ac:dyDescent="0.25">
      <c r="A182" s="8">
        <v>43009.79215277778</v>
      </c>
      <c r="B182" s="20" t="s">
        <v>396</v>
      </c>
      <c r="C182" s="20" t="s">
        <v>611</v>
      </c>
      <c r="D182" s="138">
        <v>2350000</v>
      </c>
      <c r="E182" s="20" t="s">
        <v>489</v>
      </c>
      <c r="F182" s="20" t="s">
        <v>490</v>
      </c>
      <c r="G182" s="8" t="str">
        <f t="shared" si="4"/>
        <v>BERLING GARY</v>
      </c>
      <c r="H182" s="20" t="str">
        <f t="shared" si="5"/>
        <v>4043</v>
      </c>
    </row>
    <row r="183" spans="1:8" x14ac:dyDescent="0.25">
      <c r="A183" s="8">
        <v>43009.792384259257</v>
      </c>
      <c r="B183" s="20" t="s">
        <v>789</v>
      </c>
      <c r="C183" s="20" t="s">
        <v>790</v>
      </c>
      <c r="D183" s="138">
        <v>3510000</v>
      </c>
      <c r="E183" s="20" t="s">
        <v>779</v>
      </c>
      <c r="F183" s="20" t="s">
        <v>780</v>
      </c>
      <c r="G183" s="8" t="str">
        <f t="shared" si="4"/>
        <v>BARRON PERLA</v>
      </c>
      <c r="H183" s="20" t="str">
        <f t="shared" si="5"/>
        <v>4008</v>
      </c>
    </row>
    <row r="184" spans="1:8" x14ac:dyDescent="0.25">
      <c r="A184" s="8">
        <v>43009.794305555559</v>
      </c>
      <c r="B184" s="20" t="s">
        <v>449</v>
      </c>
      <c r="C184" s="20" t="s">
        <v>791</v>
      </c>
      <c r="D184" s="138">
        <v>3340000</v>
      </c>
      <c r="E184" s="20" t="s">
        <v>439</v>
      </c>
      <c r="F184" s="20" t="s">
        <v>440</v>
      </c>
      <c r="G184" s="8" t="str">
        <f t="shared" si="4"/>
        <v>ELBAUM MIKE</v>
      </c>
      <c r="H184" s="20" t="str">
        <f t="shared" si="5"/>
        <v>4049</v>
      </c>
    </row>
    <row r="185" spans="1:8" x14ac:dyDescent="0.25">
      <c r="A185" s="8">
        <v>43009.796840277777</v>
      </c>
      <c r="B185" s="20" t="s">
        <v>777</v>
      </c>
      <c r="C185" s="20" t="s">
        <v>790</v>
      </c>
      <c r="D185" s="138">
        <v>3510000</v>
      </c>
      <c r="E185" s="20" t="s">
        <v>779</v>
      </c>
      <c r="F185" s="20" t="s">
        <v>780</v>
      </c>
      <c r="G185" s="8" t="str">
        <f t="shared" si="4"/>
        <v>BARRON PERLA</v>
      </c>
      <c r="H185" s="20" t="str">
        <f t="shared" si="5"/>
        <v>4007</v>
      </c>
    </row>
    <row r="186" spans="1:8" x14ac:dyDescent="0.25">
      <c r="A186" s="8">
        <v>43009.797210648147</v>
      </c>
      <c r="B186" s="20" t="s">
        <v>403</v>
      </c>
      <c r="C186" s="20" t="s">
        <v>792</v>
      </c>
      <c r="D186" s="138">
        <v>2420000</v>
      </c>
      <c r="E186" s="20" t="s">
        <v>528</v>
      </c>
      <c r="F186" s="20" t="s">
        <v>529</v>
      </c>
      <c r="G186" s="8" t="str">
        <f t="shared" si="4"/>
        <v>HOLCOMB KAMDEN</v>
      </c>
      <c r="H186" s="20" t="str">
        <f t="shared" si="5"/>
        <v>4024</v>
      </c>
    </row>
    <row r="187" spans="1:8" x14ac:dyDescent="0.25">
      <c r="A187" s="8">
        <v>43009.80096064815</v>
      </c>
      <c r="B187" s="20" t="s">
        <v>789</v>
      </c>
      <c r="C187" s="20" t="s">
        <v>793</v>
      </c>
      <c r="D187" s="138">
        <v>3290000</v>
      </c>
      <c r="E187" s="20" t="s">
        <v>794</v>
      </c>
      <c r="F187" s="20" t="s">
        <v>795</v>
      </c>
      <c r="G187" s="8" t="str">
        <f t="shared" si="4"/>
        <v>CASSIDY BRANDON</v>
      </c>
      <c r="H187" s="20" t="str">
        <f t="shared" si="5"/>
        <v>4008</v>
      </c>
    </row>
    <row r="188" spans="1:8" x14ac:dyDescent="0.25">
      <c r="A188" s="8">
        <v>43009.808483796296</v>
      </c>
      <c r="B188" s="20" t="s">
        <v>606</v>
      </c>
      <c r="C188" s="20" t="s">
        <v>796</v>
      </c>
      <c r="D188" s="138">
        <v>2680000</v>
      </c>
      <c r="E188" s="20" t="s">
        <v>373</v>
      </c>
      <c r="F188" s="20" t="s">
        <v>374</v>
      </c>
      <c r="G188" s="8" t="str">
        <f t="shared" si="4"/>
        <v>DUNCAN SHEILA</v>
      </c>
      <c r="H188" s="20" t="str">
        <f t="shared" si="5"/>
        <v>4041</v>
      </c>
    </row>
    <row r="189" spans="1:8" x14ac:dyDescent="0.25">
      <c r="A189" s="8">
        <v>43009.810844907406</v>
      </c>
      <c r="B189" s="20" t="s">
        <v>415</v>
      </c>
      <c r="C189" s="20" t="s">
        <v>797</v>
      </c>
      <c r="D189" s="138">
        <v>2350000</v>
      </c>
      <c r="E189" s="20" t="s">
        <v>489</v>
      </c>
      <c r="F189" s="20" t="s">
        <v>490</v>
      </c>
      <c r="G189" s="8" t="str">
        <f t="shared" si="4"/>
        <v>BERLING GARY</v>
      </c>
      <c r="H189" s="20" t="str">
        <f t="shared" si="5"/>
        <v>4044</v>
      </c>
    </row>
    <row r="190" spans="1:8" x14ac:dyDescent="0.25">
      <c r="A190" s="8">
        <v>43009.813460648147</v>
      </c>
      <c r="B190" s="20" t="s">
        <v>507</v>
      </c>
      <c r="C190" s="20" t="s">
        <v>798</v>
      </c>
      <c r="D190" s="138">
        <v>890000</v>
      </c>
      <c r="E190" s="20" t="s">
        <v>365</v>
      </c>
      <c r="F190" s="20" t="s">
        <v>366</v>
      </c>
      <c r="G190" s="8" t="str">
        <f t="shared" si="4"/>
        <v>LOZA FIDEL</v>
      </c>
      <c r="H190" s="20" t="str">
        <f t="shared" si="5"/>
        <v>4016</v>
      </c>
    </row>
    <row r="191" spans="1:8" x14ac:dyDescent="0.25">
      <c r="A191" s="8">
        <v>43009.818055555559</v>
      </c>
      <c r="B191" s="20" t="s">
        <v>402</v>
      </c>
      <c r="C191" s="20" t="s">
        <v>799</v>
      </c>
      <c r="D191" s="138">
        <v>2420000</v>
      </c>
      <c r="E191" s="20" t="s">
        <v>528</v>
      </c>
      <c r="F191" s="20" t="s">
        <v>529</v>
      </c>
      <c r="G191" s="8" t="str">
        <f t="shared" si="4"/>
        <v>HOLCOMB KAMDEN</v>
      </c>
      <c r="H191" s="20" t="str">
        <f t="shared" si="5"/>
        <v>4023</v>
      </c>
    </row>
    <row r="192" spans="1:8" x14ac:dyDescent="0.25">
      <c r="A192" s="8">
        <v>43009.818472222221</v>
      </c>
      <c r="B192" s="20" t="s">
        <v>640</v>
      </c>
      <c r="C192" s="20" t="s">
        <v>800</v>
      </c>
      <c r="D192" s="138">
        <v>2030000</v>
      </c>
      <c r="E192" s="20" t="s">
        <v>787</v>
      </c>
      <c r="F192" s="20" t="s">
        <v>530</v>
      </c>
      <c r="G192" s="8" t="str">
        <f t="shared" si="4"/>
        <v>KILLION DAVID</v>
      </c>
      <c r="H192" s="20" t="str">
        <f t="shared" si="5"/>
        <v>4011</v>
      </c>
    </row>
    <row r="193" spans="1:8" x14ac:dyDescent="0.25">
      <c r="A193" s="8">
        <v>43009.820289351854</v>
      </c>
      <c r="B193" s="20" t="s">
        <v>640</v>
      </c>
      <c r="C193" s="20" t="s">
        <v>800</v>
      </c>
      <c r="D193" s="138">
        <v>2030000</v>
      </c>
      <c r="E193" s="20" t="s">
        <v>787</v>
      </c>
      <c r="F193" s="20" t="s">
        <v>530</v>
      </c>
      <c r="G193" s="8" t="str">
        <f t="shared" si="4"/>
        <v>KILLION DAVID</v>
      </c>
      <c r="H193" s="20" t="str">
        <f t="shared" si="5"/>
        <v>4011</v>
      </c>
    </row>
    <row r="194" spans="1:8" x14ac:dyDescent="0.25">
      <c r="A194" s="8">
        <v>43009.820648148147</v>
      </c>
      <c r="B194" s="20" t="s">
        <v>481</v>
      </c>
      <c r="C194" s="20" t="s">
        <v>801</v>
      </c>
      <c r="D194" s="138">
        <v>2230000</v>
      </c>
      <c r="E194" s="20" t="s">
        <v>729</v>
      </c>
      <c r="F194" s="20" t="s">
        <v>708</v>
      </c>
      <c r="G194" s="8" t="str">
        <f t="shared" si="4"/>
        <v>SMITH MICHAEL</v>
      </c>
      <c r="H194" s="20" t="str">
        <f t="shared" si="5"/>
        <v>4018</v>
      </c>
    </row>
    <row r="195" spans="1:8" x14ac:dyDescent="0.25">
      <c r="A195" s="8">
        <v>43009.821342592593</v>
      </c>
      <c r="B195" s="20" t="s">
        <v>640</v>
      </c>
      <c r="C195" s="20" t="s">
        <v>800</v>
      </c>
      <c r="D195" s="138">
        <v>2030000</v>
      </c>
      <c r="E195" s="20" t="s">
        <v>787</v>
      </c>
      <c r="F195" s="20" t="s">
        <v>530</v>
      </c>
      <c r="G195" s="8" t="str">
        <f t="shared" ref="G195:G258" si="6">E195&amp;" "&amp;F195</f>
        <v>KILLION DAVID</v>
      </c>
      <c r="H195" s="20" t="str">
        <f t="shared" ref="H195:H258" si="7">MID(B195,13,4)</f>
        <v>4011</v>
      </c>
    </row>
    <row r="196" spans="1:8" x14ac:dyDescent="0.25">
      <c r="A196" s="8">
        <v>43009.828530092593</v>
      </c>
      <c r="B196" s="20" t="s">
        <v>450</v>
      </c>
      <c r="C196" s="20" t="s">
        <v>802</v>
      </c>
      <c r="D196" s="138">
        <v>3340000</v>
      </c>
      <c r="E196" s="20" t="s">
        <v>439</v>
      </c>
      <c r="F196" s="20" t="s">
        <v>440</v>
      </c>
      <c r="G196" s="8" t="str">
        <f t="shared" si="6"/>
        <v>ELBAUM MIKE</v>
      </c>
      <c r="H196" s="20" t="str">
        <f t="shared" si="7"/>
        <v>4050</v>
      </c>
    </row>
    <row r="197" spans="1:8" x14ac:dyDescent="0.25">
      <c r="A197" s="8">
        <v>43009.828680555554</v>
      </c>
      <c r="B197" s="20" t="s">
        <v>437</v>
      </c>
      <c r="C197" s="20" t="s">
        <v>803</v>
      </c>
      <c r="D197" s="138">
        <v>2000000</v>
      </c>
      <c r="E197" s="20" t="s">
        <v>389</v>
      </c>
      <c r="F197" s="20" t="s">
        <v>370</v>
      </c>
      <c r="G197" s="8" t="str">
        <f t="shared" si="6"/>
        <v>STAMBAUGH JAMES</v>
      </c>
      <c r="H197" s="20" t="str">
        <f t="shared" si="7"/>
        <v>4013</v>
      </c>
    </row>
    <row r="198" spans="1:8" x14ac:dyDescent="0.25">
      <c r="A198" s="8">
        <v>43009.83803240741</v>
      </c>
      <c r="B198" s="20" t="s">
        <v>403</v>
      </c>
      <c r="C198" s="20" t="s">
        <v>614</v>
      </c>
      <c r="D198" s="138">
        <v>2420000</v>
      </c>
      <c r="E198" s="20" t="s">
        <v>528</v>
      </c>
      <c r="F198" s="20" t="s">
        <v>529</v>
      </c>
      <c r="G198" s="8" t="str">
        <f t="shared" si="6"/>
        <v>HOLCOMB KAMDEN</v>
      </c>
      <c r="H198" s="20" t="str">
        <f t="shared" si="7"/>
        <v>4024</v>
      </c>
    </row>
    <row r="199" spans="1:8" x14ac:dyDescent="0.25">
      <c r="A199" s="8">
        <v>43009.838865740741</v>
      </c>
      <c r="B199" s="20" t="s">
        <v>777</v>
      </c>
      <c r="C199" s="20" t="s">
        <v>804</v>
      </c>
      <c r="D199" s="138">
        <v>3290000</v>
      </c>
      <c r="E199" s="20" t="s">
        <v>794</v>
      </c>
      <c r="F199" s="20" t="s">
        <v>795</v>
      </c>
      <c r="G199" s="8" t="str">
        <f t="shared" si="6"/>
        <v>CASSIDY BRANDON</v>
      </c>
      <c r="H199" s="20" t="str">
        <f t="shared" si="7"/>
        <v>4007</v>
      </c>
    </row>
    <row r="200" spans="1:8" x14ac:dyDescent="0.25">
      <c r="A200" s="8">
        <v>43009.839456018519</v>
      </c>
      <c r="B200" s="20" t="s">
        <v>419</v>
      </c>
      <c r="C200" s="20" t="s">
        <v>805</v>
      </c>
      <c r="D200" s="138">
        <v>2680000</v>
      </c>
      <c r="E200" s="20" t="s">
        <v>373</v>
      </c>
      <c r="F200" s="20" t="s">
        <v>374</v>
      </c>
      <c r="G200" s="8" t="str">
        <f t="shared" si="6"/>
        <v>DUNCAN SHEILA</v>
      </c>
      <c r="H200" s="20" t="str">
        <f t="shared" si="7"/>
        <v>4042</v>
      </c>
    </row>
    <row r="201" spans="1:8" x14ac:dyDescent="0.25">
      <c r="A201" s="8">
        <v>43009.849953703706</v>
      </c>
      <c r="B201" s="20" t="s">
        <v>510</v>
      </c>
      <c r="C201" s="20" t="s">
        <v>806</v>
      </c>
      <c r="D201" s="138">
        <v>890000</v>
      </c>
      <c r="E201" s="20" t="s">
        <v>365</v>
      </c>
      <c r="F201" s="20" t="s">
        <v>366</v>
      </c>
      <c r="G201" s="8" t="str">
        <f t="shared" si="6"/>
        <v>LOZA FIDEL</v>
      </c>
      <c r="H201" s="20" t="str">
        <f t="shared" si="7"/>
        <v>4015</v>
      </c>
    </row>
    <row r="202" spans="1:8" x14ac:dyDescent="0.25">
      <c r="A202" s="26">
        <v>43009.853159722225</v>
      </c>
      <c r="B202" s="20" t="s">
        <v>646</v>
      </c>
      <c r="C202" s="20" t="s">
        <v>807</v>
      </c>
      <c r="D202" s="138">
        <v>2030000</v>
      </c>
      <c r="E202" s="20" t="s">
        <v>787</v>
      </c>
      <c r="F202" s="20" t="s">
        <v>530</v>
      </c>
      <c r="G202" s="8" t="str">
        <f t="shared" si="6"/>
        <v>KILLION DAVID</v>
      </c>
      <c r="H202" s="20" t="str">
        <f t="shared" si="7"/>
        <v>4012</v>
      </c>
    </row>
    <row r="203" spans="1:8" x14ac:dyDescent="0.25">
      <c r="A203" s="8">
        <v>43009.859305555554</v>
      </c>
      <c r="B203" s="20" t="s">
        <v>449</v>
      </c>
      <c r="C203" s="20" t="s">
        <v>808</v>
      </c>
      <c r="D203" s="138">
        <v>3340000</v>
      </c>
      <c r="E203" s="20" t="s">
        <v>439</v>
      </c>
      <c r="F203" s="20" t="s">
        <v>440</v>
      </c>
      <c r="G203" s="8" t="str">
        <f t="shared" si="6"/>
        <v>ELBAUM MIKE</v>
      </c>
      <c r="H203" s="20" t="str">
        <f t="shared" si="7"/>
        <v>4049</v>
      </c>
    </row>
    <row r="204" spans="1:8" x14ac:dyDescent="0.25">
      <c r="A204" s="8">
        <v>43009.860578703701</v>
      </c>
      <c r="B204" s="20" t="s">
        <v>402</v>
      </c>
      <c r="C204" s="20" t="s">
        <v>809</v>
      </c>
      <c r="D204" s="138">
        <v>2420000</v>
      </c>
      <c r="E204" s="20" t="s">
        <v>528</v>
      </c>
      <c r="F204" s="20" t="s">
        <v>529</v>
      </c>
      <c r="G204" s="8" t="str">
        <f t="shared" si="6"/>
        <v>HOLCOMB KAMDEN</v>
      </c>
      <c r="H204" s="20" t="str">
        <f t="shared" si="7"/>
        <v>4023</v>
      </c>
    </row>
    <row r="205" spans="1:8" x14ac:dyDescent="0.25">
      <c r="A205" s="8">
        <v>43009.860601851855</v>
      </c>
      <c r="B205" s="20" t="s">
        <v>438</v>
      </c>
      <c r="C205" s="20" t="s">
        <v>810</v>
      </c>
      <c r="D205" s="138">
        <v>2000000</v>
      </c>
      <c r="E205" s="20" t="s">
        <v>389</v>
      </c>
      <c r="F205" s="20" t="s">
        <v>370</v>
      </c>
      <c r="G205" s="8" t="str">
        <f t="shared" si="6"/>
        <v>STAMBAUGH JAMES</v>
      </c>
      <c r="H205" s="20" t="str">
        <f t="shared" si="7"/>
        <v>4014</v>
      </c>
    </row>
    <row r="206" spans="1:8" x14ac:dyDescent="0.25">
      <c r="A206" s="8">
        <v>43009.875625000001</v>
      </c>
      <c r="B206" s="20" t="s">
        <v>403</v>
      </c>
      <c r="C206" s="20" t="s">
        <v>811</v>
      </c>
      <c r="D206" s="138">
        <v>2420000</v>
      </c>
      <c r="E206" s="20" t="s">
        <v>528</v>
      </c>
      <c r="F206" s="20" t="s">
        <v>529</v>
      </c>
      <c r="G206" s="8" t="str">
        <f t="shared" si="6"/>
        <v>HOLCOMB KAMDEN</v>
      </c>
      <c r="H206" s="20" t="str">
        <f t="shared" si="7"/>
        <v>4024</v>
      </c>
    </row>
    <row r="207" spans="1:8" x14ac:dyDescent="0.25">
      <c r="A207" s="8">
        <v>43009.884328703702</v>
      </c>
      <c r="B207" s="20" t="s">
        <v>507</v>
      </c>
      <c r="C207" s="20" t="s">
        <v>812</v>
      </c>
      <c r="D207" s="138">
        <v>890000</v>
      </c>
      <c r="E207" s="20" t="s">
        <v>365</v>
      </c>
      <c r="F207" s="20" t="s">
        <v>366</v>
      </c>
      <c r="G207" s="8" t="str">
        <f t="shared" si="6"/>
        <v>LOZA FIDEL</v>
      </c>
      <c r="H207" s="20" t="str">
        <f t="shared" si="7"/>
        <v>4016</v>
      </c>
    </row>
    <row r="208" spans="1:8" x14ac:dyDescent="0.25">
      <c r="A208" s="8">
        <v>43009.889444444445</v>
      </c>
      <c r="B208" s="20" t="s">
        <v>606</v>
      </c>
      <c r="C208" s="20" t="s">
        <v>615</v>
      </c>
      <c r="D208" s="138">
        <v>2680000</v>
      </c>
      <c r="E208" s="20" t="s">
        <v>373</v>
      </c>
      <c r="F208" s="20" t="s">
        <v>374</v>
      </c>
      <c r="G208" s="8" t="str">
        <f t="shared" si="6"/>
        <v>DUNCAN SHEILA</v>
      </c>
      <c r="H208" s="20" t="str">
        <f t="shared" si="7"/>
        <v>4041</v>
      </c>
    </row>
    <row r="209" spans="1:8" x14ac:dyDescent="0.25">
      <c r="A209" s="8">
        <v>43009.900219907409</v>
      </c>
      <c r="B209" s="20" t="s">
        <v>402</v>
      </c>
      <c r="C209" s="20" t="s">
        <v>616</v>
      </c>
      <c r="D209" s="138">
        <v>2420000</v>
      </c>
      <c r="E209" s="20" t="s">
        <v>528</v>
      </c>
      <c r="F209" s="20" t="s">
        <v>529</v>
      </c>
      <c r="G209" s="8" t="str">
        <f t="shared" si="6"/>
        <v>HOLCOMB KAMDEN</v>
      </c>
      <c r="H209" s="20" t="str">
        <f t="shared" si="7"/>
        <v>4023</v>
      </c>
    </row>
    <row r="210" spans="1:8" x14ac:dyDescent="0.25">
      <c r="A210" s="8">
        <v>43009.900509259256</v>
      </c>
      <c r="B210" s="20" t="s">
        <v>450</v>
      </c>
      <c r="C210" s="20" t="s">
        <v>813</v>
      </c>
      <c r="D210" s="138">
        <v>3340000</v>
      </c>
      <c r="E210" s="20" t="s">
        <v>439</v>
      </c>
      <c r="F210" s="20" t="s">
        <v>440</v>
      </c>
      <c r="G210" s="8" t="str">
        <f t="shared" si="6"/>
        <v>ELBAUM MIKE</v>
      </c>
      <c r="H210" s="20" t="str">
        <f t="shared" si="7"/>
        <v>4050</v>
      </c>
    </row>
    <row r="211" spans="1:8" x14ac:dyDescent="0.25">
      <c r="A211" s="8">
        <v>43009.911273148151</v>
      </c>
      <c r="B211" s="20" t="s">
        <v>437</v>
      </c>
      <c r="C211" s="20" t="s">
        <v>814</v>
      </c>
      <c r="D211" s="138">
        <v>2000000</v>
      </c>
      <c r="E211" s="20" t="s">
        <v>389</v>
      </c>
      <c r="F211" s="20" t="s">
        <v>370</v>
      </c>
      <c r="G211" s="8" t="str">
        <f t="shared" si="6"/>
        <v>STAMBAUGH JAMES</v>
      </c>
      <c r="H211" s="20" t="str">
        <f t="shared" si="7"/>
        <v>4013</v>
      </c>
    </row>
    <row r="212" spans="1:8" x14ac:dyDescent="0.25">
      <c r="A212" s="8">
        <v>43009.922326388885</v>
      </c>
      <c r="B212" s="20" t="s">
        <v>403</v>
      </c>
      <c r="C212" s="20" t="s">
        <v>815</v>
      </c>
      <c r="D212" s="138">
        <v>2420000</v>
      </c>
      <c r="E212" s="20" t="s">
        <v>528</v>
      </c>
      <c r="F212" s="20" t="s">
        <v>529</v>
      </c>
      <c r="G212" s="8" t="str">
        <f t="shared" si="6"/>
        <v>HOLCOMB KAMDEN</v>
      </c>
      <c r="H212" s="20" t="str">
        <f t="shared" si="7"/>
        <v>4024</v>
      </c>
    </row>
    <row r="213" spans="1:8" x14ac:dyDescent="0.25">
      <c r="A213" s="8">
        <v>43009.922407407408</v>
      </c>
      <c r="B213" s="20" t="s">
        <v>419</v>
      </c>
      <c r="C213" s="20" t="s">
        <v>617</v>
      </c>
      <c r="D213" s="138">
        <v>2680000</v>
      </c>
      <c r="E213" s="20" t="s">
        <v>373</v>
      </c>
      <c r="F213" s="20" t="s">
        <v>374</v>
      </c>
      <c r="G213" s="8" t="str">
        <f t="shared" si="6"/>
        <v>DUNCAN SHEILA</v>
      </c>
      <c r="H213" s="20" t="str">
        <f t="shared" si="7"/>
        <v>4042</v>
      </c>
    </row>
    <row r="214" spans="1:8" x14ac:dyDescent="0.25">
      <c r="A214" s="8">
        <v>43009.934479166666</v>
      </c>
      <c r="B214" s="20" t="s">
        <v>510</v>
      </c>
      <c r="C214" s="20" t="s">
        <v>816</v>
      </c>
      <c r="D214" s="138">
        <v>890000</v>
      </c>
      <c r="E214" s="20" t="s">
        <v>365</v>
      </c>
      <c r="F214" s="20" t="s">
        <v>366</v>
      </c>
      <c r="G214" s="8" t="str">
        <f t="shared" si="6"/>
        <v>LOZA FIDEL</v>
      </c>
      <c r="H214" s="20" t="str">
        <f t="shared" si="7"/>
        <v>4015</v>
      </c>
    </row>
    <row r="215" spans="1:8" x14ac:dyDescent="0.25">
      <c r="A215" s="8">
        <v>43009.942465277774</v>
      </c>
      <c r="B215" s="20" t="s">
        <v>449</v>
      </c>
      <c r="C215" s="20" t="s">
        <v>817</v>
      </c>
      <c r="D215" s="138">
        <v>3340000</v>
      </c>
      <c r="E215" s="20" t="s">
        <v>439</v>
      </c>
      <c r="F215" s="20" t="s">
        <v>440</v>
      </c>
      <c r="G215" s="8" t="str">
        <f t="shared" si="6"/>
        <v>ELBAUM MIKE</v>
      </c>
      <c r="H215" s="20" t="str">
        <f t="shared" si="7"/>
        <v>4049</v>
      </c>
    </row>
    <row r="216" spans="1:8" x14ac:dyDescent="0.25">
      <c r="A216" s="8">
        <v>43009.942627314813</v>
      </c>
      <c r="B216" s="20" t="s">
        <v>438</v>
      </c>
      <c r="C216" s="20" t="s">
        <v>818</v>
      </c>
      <c r="D216" s="138">
        <v>2000000</v>
      </c>
      <c r="E216" s="20" t="s">
        <v>389</v>
      </c>
      <c r="F216" s="20" t="s">
        <v>370</v>
      </c>
      <c r="G216" s="8" t="str">
        <f t="shared" si="6"/>
        <v>STAMBAUGH JAMES</v>
      </c>
      <c r="H216" s="20" t="str">
        <f t="shared" si="7"/>
        <v>4014</v>
      </c>
    </row>
    <row r="217" spans="1:8" x14ac:dyDescent="0.25">
      <c r="A217" s="8">
        <v>43009.942962962959</v>
      </c>
      <c r="B217" s="20" t="s">
        <v>402</v>
      </c>
      <c r="C217" s="20" t="s">
        <v>819</v>
      </c>
      <c r="D217" s="138">
        <v>2420000</v>
      </c>
      <c r="E217" s="20" t="s">
        <v>528</v>
      </c>
      <c r="F217" s="20" t="s">
        <v>529</v>
      </c>
      <c r="G217" s="8" t="str">
        <f t="shared" si="6"/>
        <v>HOLCOMB KAMDEN</v>
      </c>
      <c r="H217" s="20" t="str">
        <f t="shared" si="7"/>
        <v>4023</v>
      </c>
    </row>
    <row r="218" spans="1:8" x14ac:dyDescent="0.25">
      <c r="A218" s="8">
        <v>43009.959432870368</v>
      </c>
      <c r="B218" s="20" t="s">
        <v>403</v>
      </c>
      <c r="C218" s="20" t="s">
        <v>618</v>
      </c>
      <c r="D218" s="138">
        <v>2420000</v>
      </c>
      <c r="E218" s="20" t="s">
        <v>528</v>
      </c>
      <c r="F218" s="20" t="s">
        <v>529</v>
      </c>
      <c r="G218" s="8" t="str">
        <f t="shared" si="6"/>
        <v>HOLCOMB KAMDEN</v>
      </c>
      <c r="H218" s="20" t="str">
        <f t="shared" si="7"/>
        <v>4024</v>
      </c>
    </row>
    <row r="219" spans="1:8" x14ac:dyDescent="0.25">
      <c r="A219" s="8">
        <v>43009.963495370372</v>
      </c>
      <c r="B219" s="20" t="s">
        <v>606</v>
      </c>
      <c r="C219" s="20" t="s">
        <v>820</v>
      </c>
      <c r="D219" s="138">
        <v>2680000</v>
      </c>
      <c r="E219" s="20" t="s">
        <v>373</v>
      </c>
      <c r="F219" s="20" t="s">
        <v>374</v>
      </c>
      <c r="G219" s="8" t="str">
        <f t="shared" si="6"/>
        <v>DUNCAN SHEILA</v>
      </c>
      <c r="H219" s="20" t="str">
        <f t="shared" si="7"/>
        <v>4041</v>
      </c>
    </row>
    <row r="220" spans="1:8" x14ac:dyDescent="0.25">
      <c r="A220" s="8">
        <v>43009.966192129628</v>
      </c>
      <c r="B220" s="20" t="s">
        <v>507</v>
      </c>
      <c r="C220" s="20" t="s">
        <v>821</v>
      </c>
      <c r="D220" s="138">
        <v>890000</v>
      </c>
      <c r="E220" s="20" t="s">
        <v>365</v>
      </c>
      <c r="F220" s="20" t="s">
        <v>366</v>
      </c>
      <c r="G220" s="8" t="str">
        <f t="shared" si="6"/>
        <v>LOZA FIDEL</v>
      </c>
      <c r="H220" s="20" t="str">
        <f t="shared" si="7"/>
        <v>4016</v>
      </c>
    </row>
    <row r="221" spans="1:8" x14ac:dyDescent="0.25">
      <c r="A221" s="8">
        <v>43009.976701388892</v>
      </c>
      <c r="B221" s="20" t="s">
        <v>402</v>
      </c>
      <c r="C221" s="20" t="s">
        <v>822</v>
      </c>
      <c r="D221" s="138">
        <v>2420000</v>
      </c>
      <c r="E221" s="20" t="s">
        <v>528</v>
      </c>
      <c r="F221" s="20" t="s">
        <v>529</v>
      </c>
      <c r="G221" s="8" t="str">
        <f t="shared" si="6"/>
        <v>HOLCOMB KAMDEN</v>
      </c>
      <c r="H221" s="20" t="str">
        <f t="shared" si="7"/>
        <v>4023</v>
      </c>
    </row>
    <row r="222" spans="1:8" x14ac:dyDescent="0.25">
      <c r="A222" s="8">
        <v>43009.98946759259</v>
      </c>
      <c r="B222" s="20" t="s">
        <v>450</v>
      </c>
      <c r="C222" s="20" t="s">
        <v>823</v>
      </c>
      <c r="D222" s="138">
        <v>3340000</v>
      </c>
      <c r="E222" s="20" t="s">
        <v>439</v>
      </c>
      <c r="F222" s="20" t="s">
        <v>440</v>
      </c>
      <c r="G222" s="8" t="str">
        <f t="shared" si="6"/>
        <v>ELBAUM MIKE</v>
      </c>
      <c r="H222" s="20" t="str">
        <f t="shared" si="7"/>
        <v>4050</v>
      </c>
    </row>
    <row r="223" spans="1:8" x14ac:dyDescent="0.25">
      <c r="A223" s="8">
        <v>43009.993043981478</v>
      </c>
      <c r="B223" s="20" t="s">
        <v>437</v>
      </c>
      <c r="C223" s="20" t="s">
        <v>824</v>
      </c>
      <c r="D223" s="138">
        <v>2000000</v>
      </c>
      <c r="E223" s="20" t="s">
        <v>389</v>
      </c>
      <c r="F223" s="20" t="s">
        <v>370</v>
      </c>
      <c r="G223" s="8" t="str">
        <f t="shared" si="6"/>
        <v>STAMBAUGH JAMES</v>
      </c>
      <c r="H223" s="20" t="str">
        <f t="shared" si="7"/>
        <v>4013</v>
      </c>
    </row>
    <row r="224" spans="1:8" x14ac:dyDescent="0.25">
      <c r="A224" s="8">
        <v>43010.005300925928</v>
      </c>
      <c r="B224" t="s">
        <v>419</v>
      </c>
      <c r="C224" t="s">
        <v>619</v>
      </c>
      <c r="D224" s="138">
        <v>2680000</v>
      </c>
      <c r="E224" t="s">
        <v>373</v>
      </c>
      <c r="F224" s="20" t="s">
        <v>374</v>
      </c>
      <c r="G224" s="8" t="str">
        <f t="shared" si="6"/>
        <v>DUNCAN SHEILA</v>
      </c>
      <c r="H224" s="20" t="str">
        <f t="shared" si="7"/>
        <v>4042</v>
      </c>
    </row>
    <row r="225" spans="1:8" x14ac:dyDescent="0.25">
      <c r="A225" s="8">
        <v>43010.017928240741</v>
      </c>
      <c r="B225" t="s">
        <v>510</v>
      </c>
      <c r="C225" t="s">
        <v>825</v>
      </c>
      <c r="D225" s="138">
        <v>890000</v>
      </c>
      <c r="E225" t="s">
        <v>365</v>
      </c>
      <c r="F225" s="20" t="s">
        <v>366</v>
      </c>
      <c r="G225" s="8" t="str">
        <f t="shared" si="6"/>
        <v>LOZA FIDEL</v>
      </c>
      <c r="H225" s="20" t="str">
        <f t="shared" si="7"/>
        <v>4015</v>
      </c>
    </row>
    <row r="226" spans="1:8" x14ac:dyDescent="0.25">
      <c r="A226" s="8">
        <v>43010.02615740741</v>
      </c>
      <c r="B226" t="s">
        <v>449</v>
      </c>
      <c r="C226" t="s">
        <v>826</v>
      </c>
      <c r="D226" s="138">
        <v>3340000</v>
      </c>
      <c r="E226" t="s">
        <v>439</v>
      </c>
      <c r="F226" s="20" t="s">
        <v>440</v>
      </c>
      <c r="G226" s="8" t="str">
        <f t="shared" si="6"/>
        <v>ELBAUM MIKE</v>
      </c>
      <c r="H226" s="20" t="str">
        <f t="shared" si="7"/>
        <v>4049</v>
      </c>
    </row>
    <row r="227" spans="1:8" x14ac:dyDescent="0.25">
      <c r="A227" s="8">
        <v>43010.026689814818</v>
      </c>
      <c r="B227" t="s">
        <v>438</v>
      </c>
      <c r="C227" t="s">
        <v>827</v>
      </c>
      <c r="D227" s="138">
        <v>2000000</v>
      </c>
      <c r="E227" t="s">
        <v>389</v>
      </c>
      <c r="F227" s="20" t="s">
        <v>370</v>
      </c>
      <c r="G227" s="8" t="str">
        <f t="shared" si="6"/>
        <v>STAMBAUGH JAMES</v>
      </c>
      <c r="H227" s="20" t="str">
        <f t="shared" si="7"/>
        <v>4014</v>
      </c>
    </row>
    <row r="228" spans="1:8" x14ac:dyDescent="0.25">
      <c r="A228" s="8">
        <v>43010.046759259261</v>
      </c>
      <c r="B228" t="s">
        <v>507</v>
      </c>
      <c r="C228" t="s">
        <v>828</v>
      </c>
      <c r="D228" s="138">
        <v>890000</v>
      </c>
      <c r="E228" t="s">
        <v>365</v>
      </c>
      <c r="F228" s="20" t="s">
        <v>366</v>
      </c>
      <c r="G228" s="8" t="str">
        <f t="shared" si="6"/>
        <v>LOZA FIDEL</v>
      </c>
      <c r="H228" s="20" t="str">
        <f t="shared" si="7"/>
        <v>4016</v>
      </c>
    </row>
    <row r="229" spans="1:8" x14ac:dyDescent="0.25">
      <c r="A229" s="8">
        <v>43010.046782407408</v>
      </c>
      <c r="B229" t="s">
        <v>606</v>
      </c>
      <c r="C229" t="s">
        <v>829</v>
      </c>
      <c r="D229" s="138">
        <v>2680000</v>
      </c>
      <c r="E229" t="s">
        <v>373</v>
      </c>
      <c r="F229" s="20" t="s">
        <v>374</v>
      </c>
      <c r="G229" s="8" t="str">
        <f t="shared" si="6"/>
        <v>DUNCAN SHEILA</v>
      </c>
      <c r="H229" s="20" t="str">
        <f t="shared" si="7"/>
        <v>4041</v>
      </c>
    </row>
    <row r="230" spans="1:8" x14ac:dyDescent="0.25">
      <c r="A230" s="8">
        <v>43010.066296296296</v>
      </c>
      <c r="B230" t="s">
        <v>450</v>
      </c>
      <c r="C230" t="s">
        <v>830</v>
      </c>
      <c r="D230" s="138">
        <v>3340000</v>
      </c>
      <c r="E230" t="s">
        <v>439</v>
      </c>
      <c r="F230" s="20" t="s">
        <v>440</v>
      </c>
      <c r="G230" s="8" t="str">
        <f t="shared" si="6"/>
        <v>ELBAUM MIKE</v>
      </c>
      <c r="H230" s="20" t="str">
        <f t="shared" si="7"/>
        <v>4050</v>
      </c>
    </row>
    <row r="231" spans="1:8" x14ac:dyDescent="0.25">
      <c r="A231" s="8">
        <v>43010.088414351849</v>
      </c>
      <c r="B231" t="s">
        <v>419</v>
      </c>
      <c r="C231" t="s">
        <v>831</v>
      </c>
      <c r="D231" s="138">
        <v>2680000</v>
      </c>
      <c r="E231" t="s">
        <v>373</v>
      </c>
      <c r="F231" s="20" t="s">
        <v>374</v>
      </c>
      <c r="G231" s="8" t="str">
        <f t="shared" si="6"/>
        <v>DUNCAN SHEILA</v>
      </c>
      <c r="H231" s="20" t="str">
        <f t="shared" si="7"/>
        <v>4042</v>
      </c>
    </row>
    <row r="232" spans="1:8" x14ac:dyDescent="0.25">
      <c r="A232" s="8">
        <v>43006.893043981479</v>
      </c>
      <c r="B232" t="s">
        <v>509</v>
      </c>
      <c r="C232" t="s">
        <v>531</v>
      </c>
      <c r="D232" s="138">
        <v>2680000</v>
      </c>
      <c r="E232" t="s">
        <v>373</v>
      </c>
      <c r="F232" s="20" t="s">
        <v>374</v>
      </c>
      <c r="G232" s="8" t="str">
        <f t="shared" si="6"/>
        <v>DUNCAN SHEILA</v>
      </c>
      <c r="H232" s="20" t="str">
        <f t="shared" si="7"/>
        <v>4061</v>
      </c>
    </row>
    <row r="233" spans="1:8" x14ac:dyDescent="0.25">
      <c r="A233" s="8">
        <v>43006.893703703703</v>
      </c>
      <c r="B233" t="s">
        <v>509</v>
      </c>
      <c r="C233" t="s">
        <v>512</v>
      </c>
      <c r="D233" s="138">
        <v>2680000</v>
      </c>
      <c r="E233" t="s">
        <v>373</v>
      </c>
      <c r="F233" s="20" t="s">
        <v>374</v>
      </c>
      <c r="G233" s="8" t="str">
        <f t="shared" si="6"/>
        <v>DUNCAN SHEILA</v>
      </c>
      <c r="H233" s="20" t="str">
        <f t="shared" si="7"/>
        <v>4061</v>
      </c>
    </row>
    <row r="234" spans="1:8" x14ac:dyDescent="0.25">
      <c r="A234" s="8">
        <v>43006.903078703705</v>
      </c>
      <c r="B234" t="s">
        <v>519</v>
      </c>
      <c r="C234" t="s">
        <v>532</v>
      </c>
      <c r="D234" s="138">
        <v>3340000</v>
      </c>
      <c r="E234" t="s">
        <v>439</v>
      </c>
      <c r="F234" s="20" t="s">
        <v>440</v>
      </c>
      <c r="G234" s="8" t="str">
        <f t="shared" si="6"/>
        <v>ELBAUM MIKE</v>
      </c>
      <c r="H234" s="20" t="str">
        <f t="shared" si="7"/>
        <v>4060</v>
      </c>
    </row>
    <row r="235" spans="1:8" x14ac:dyDescent="0.25">
      <c r="A235" s="8">
        <v>43006.912615740737</v>
      </c>
      <c r="B235" t="s">
        <v>515</v>
      </c>
      <c r="C235" t="s">
        <v>533</v>
      </c>
      <c r="D235" s="138">
        <v>3190000</v>
      </c>
      <c r="E235" t="s">
        <v>377</v>
      </c>
      <c r="F235" s="20" t="s">
        <v>378</v>
      </c>
      <c r="G235" s="8" t="str">
        <f t="shared" si="6"/>
        <v>HART KEVIN</v>
      </c>
      <c r="H235" s="20" t="str">
        <f t="shared" si="7"/>
        <v>4055</v>
      </c>
    </row>
    <row r="236" spans="1:8" x14ac:dyDescent="0.25">
      <c r="A236" s="8">
        <v>43006.914826388886</v>
      </c>
      <c r="B236" t="s">
        <v>508</v>
      </c>
      <c r="C236" t="s">
        <v>534</v>
      </c>
      <c r="D236" s="138">
        <v>2680000</v>
      </c>
      <c r="E236" t="s">
        <v>373</v>
      </c>
      <c r="F236" s="20" t="s">
        <v>374</v>
      </c>
      <c r="G236" s="8" t="str">
        <f t="shared" si="6"/>
        <v>DUNCAN SHEILA</v>
      </c>
      <c r="H236" s="20" t="str">
        <f t="shared" si="7"/>
        <v>4062</v>
      </c>
    </row>
    <row r="237" spans="1:8" x14ac:dyDescent="0.25">
      <c r="A237" s="8">
        <v>43006.923807870371</v>
      </c>
      <c r="B237" t="s">
        <v>435</v>
      </c>
      <c r="C237" t="s">
        <v>535</v>
      </c>
      <c r="D237" s="138">
        <v>2620000</v>
      </c>
      <c r="E237" t="s">
        <v>375</v>
      </c>
      <c r="F237" s="20" t="s">
        <v>376</v>
      </c>
      <c r="G237" s="8" t="str">
        <f t="shared" si="6"/>
        <v>PERKINS DARREN</v>
      </c>
      <c r="H237" s="20" t="str">
        <f t="shared" si="7"/>
        <v>4052</v>
      </c>
    </row>
    <row r="238" spans="1:8" x14ac:dyDescent="0.25">
      <c r="A238" s="8">
        <v>43006.933958333335</v>
      </c>
      <c r="B238" t="s">
        <v>434</v>
      </c>
      <c r="C238" t="s">
        <v>536</v>
      </c>
      <c r="D238" s="138">
        <v>890000</v>
      </c>
      <c r="E238" t="s">
        <v>365</v>
      </c>
      <c r="F238" s="20" t="s">
        <v>366</v>
      </c>
      <c r="G238" s="8" t="str">
        <f t="shared" si="6"/>
        <v>LOZA FIDEL</v>
      </c>
      <c r="H238" s="20" t="str">
        <f t="shared" si="7"/>
        <v>4009</v>
      </c>
    </row>
    <row r="239" spans="1:8" x14ac:dyDescent="0.25">
      <c r="A239" s="8">
        <v>43006.934699074074</v>
      </c>
      <c r="B239" t="s">
        <v>509</v>
      </c>
      <c r="C239" t="s">
        <v>537</v>
      </c>
      <c r="D239" s="138">
        <v>2680000</v>
      </c>
      <c r="E239" t="s">
        <v>373</v>
      </c>
      <c r="F239" s="20" t="s">
        <v>374</v>
      </c>
      <c r="G239" s="8" t="str">
        <f t="shared" si="6"/>
        <v>DUNCAN SHEILA</v>
      </c>
      <c r="H239" s="20" t="str">
        <f t="shared" si="7"/>
        <v>4061</v>
      </c>
    </row>
    <row r="240" spans="1:8" x14ac:dyDescent="0.25">
      <c r="A240" s="8">
        <v>43006.943020833336</v>
      </c>
      <c r="B240" t="s">
        <v>511</v>
      </c>
      <c r="C240" t="s">
        <v>538</v>
      </c>
      <c r="D240" s="138">
        <v>3340000</v>
      </c>
      <c r="E240" t="s">
        <v>439</v>
      </c>
      <c r="F240" s="20" t="s">
        <v>440</v>
      </c>
      <c r="G240" s="8" t="str">
        <f t="shared" si="6"/>
        <v>ELBAUM MIKE</v>
      </c>
      <c r="H240" s="20" t="str">
        <f t="shared" si="7"/>
        <v>4059</v>
      </c>
    </row>
    <row r="241" spans="1:8" x14ac:dyDescent="0.25">
      <c r="A241" s="8">
        <v>43006.946597222224</v>
      </c>
      <c r="B241" t="s">
        <v>516</v>
      </c>
      <c r="C241" t="s">
        <v>539</v>
      </c>
      <c r="D241" s="138">
        <v>3320000</v>
      </c>
      <c r="E241" t="s">
        <v>380</v>
      </c>
      <c r="F241" s="20" t="s">
        <v>381</v>
      </c>
      <c r="G241" s="8" t="str">
        <f t="shared" si="6"/>
        <v>NICHOLSON WESLEY</v>
      </c>
      <c r="H241" s="20" t="str">
        <f t="shared" si="7"/>
        <v>4056</v>
      </c>
    </row>
    <row r="242" spans="1:8" x14ac:dyDescent="0.25">
      <c r="A242" s="8">
        <v>43006.957013888888</v>
      </c>
      <c r="B242" t="s">
        <v>508</v>
      </c>
      <c r="C242" t="s">
        <v>540</v>
      </c>
      <c r="D242" s="138">
        <v>2680000</v>
      </c>
      <c r="E242" t="s">
        <v>373</v>
      </c>
      <c r="F242" s="20" t="s">
        <v>374</v>
      </c>
      <c r="G242" s="8" t="str">
        <f t="shared" si="6"/>
        <v>DUNCAN SHEILA</v>
      </c>
      <c r="H242" s="20" t="str">
        <f t="shared" si="7"/>
        <v>4062</v>
      </c>
    </row>
    <row r="243" spans="1:8" x14ac:dyDescent="0.25">
      <c r="A243" s="8">
        <v>43006.966423611113</v>
      </c>
      <c r="B243" t="s">
        <v>436</v>
      </c>
      <c r="C243" t="s">
        <v>513</v>
      </c>
      <c r="D243" s="138">
        <v>2620000</v>
      </c>
      <c r="E243" t="s">
        <v>375</v>
      </c>
      <c r="F243" s="20" t="s">
        <v>376</v>
      </c>
      <c r="G243" s="8" t="str">
        <f t="shared" si="6"/>
        <v>PERKINS DARREN</v>
      </c>
      <c r="H243" s="20" t="str">
        <f t="shared" si="7"/>
        <v>4051</v>
      </c>
    </row>
    <row r="244" spans="1:8" x14ac:dyDescent="0.25">
      <c r="A244" s="8">
        <v>43006.967951388891</v>
      </c>
      <c r="B244" t="s">
        <v>410</v>
      </c>
      <c r="C244" t="s">
        <v>541</v>
      </c>
      <c r="D244" s="138">
        <v>890000</v>
      </c>
      <c r="E244" t="s">
        <v>365</v>
      </c>
      <c r="F244" s="20" t="s">
        <v>366</v>
      </c>
      <c r="G244" s="8" t="str">
        <f t="shared" si="6"/>
        <v>LOZA FIDEL</v>
      </c>
      <c r="H244" s="20" t="str">
        <f t="shared" si="7"/>
        <v>4010</v>
      </c>
    </row>
    <row r="245" spans="1:8" x14ac:dyDescent="0.25">
      <c r="A245" s="8">
        <v>43006.976307870369</v>
      </c>
      <c r="B245" t="s">
        <v>509</v>
      </c>
      <c r="C245" t="s">
        <v>542</v>
      </c>
      <c r="D245" s="138">
        <v>2680000</v>
      </c>
      <c r="E245" t="s">
        <v>373</v>
      </c>
      <c r="F245" s="20" t="s">
        <v>374</v>
      </c>
      <c r="G245" s="8" t="str">
        <f t="shared" si="6"/>
        <v>DUNCAN SHEILA</v>
      </c>
      <c r="H245" s="20" t="str">
        <f t="shared" si="7"/>
        <v>4061</v>
      </c>
    </row>
    <row r="246" spans="1:8" x14ac:dyDescent="0.25">
      <c r="A246" s="8">
        <v>43006.989004629628</v>
      </c>
      <c r="B246" t="s">
        <v>515</v>
      </c>
      <c r="C246" t="s">
        <v>543</v>
      </c>
      <c r="D246" s="138">
        <v>3320000</v>
      </c>
      <c r="E246" t="s">
        <v>380</v>
      </c>
      <c r="F246" s="20" t="s">
        <v>381</v>
      </c>
      <c r="G246" s="8" t="str">
        <f t="shared" si="6"/>
        <v>NICHOLSON WESLEY</v>
      </c>
      <c r="H246" s="20" t="str">
        <f t="shared" si="7"/>
        <v>4055</v>
      </c>
    </row>
    <row r="247" spans="1:8" x14ac:dyDescent="0.25">
      <c r="A247" s="8">
        <v>43006.992245370369</v>
      </c>
      <c r="B247" t="s">
        <v>519</v>
      </c>
      <c r="C247" t="s">
        <v>544</v>
      </c>
      <c r="D247" s="138">
        <v>3340000</v>
      </c>
      <c r="E247" t="s">
        <v>439</v>
      </c>
      <c r="F247" s="20" t="s">
        <v>440</v>
      </c>
      <c r="G247" s="8" t="str">
        <f t="shared" si="6"/>
        <v>ELBAUM MIKE</v>
      </c>
      <c r="H247" s="20" t="str">
        <f t="shared" si="7"/>
        <v>4060</v>
      </c>
    </row>
    <row r="248" spans="1:8" x14ac:dyDescent="0.25">
      <c r="A248" s="8">
        <v>43007.007013888891</v>
      </c>
      <c r="B248" t="s">
        <v>435</v>
      </c>
      <c r="C248" t="s">
        <v>545</v>
      </c>
      <c r="D248" s="138">
        <v>2620000</v>
      </c>
      <c r="E248" t="s">
        <v>375</v>
      </c>
      <c r="F248" s="20" t="s">
        <v>376</v>
      </c>
      <c r="G248" s="8" t="str">
        <f t="shared" si="6"/>
        <v>PERKINS DARREN</v>
      </c>
      <c r="H248" s="20" t="str">
        <f t="shared" si="7"/>
        <v>4052</v>
      </c>
    </row>
    <row r="249" spans="1:8" x14ac:dyDescent="0.25">
      <c r="A249" s="8">
        <v>43007.016562500001</v>
      </c>
      <c r="B249" t="s">
        <v>434</v>
      </c>
      <c r="C249" t="s">
        <v>546</v>
      </c>
      <c r="D249" s="138">
        <v>890000</v>
      </c>
      <c r="E249" t="s">
        <v>365</v>
      </c>
      <c r="F249" s="20" t="s">
        <v>366</v>
      </c>
      <c r="G249" s="8" t="str">
        <f t="shared" si="6"/>
        <v>LOZA FIDEL</v>
      </c>
      <c r="H249" s="20" t="str">
        <f t="shared" si="7"/>
        <v>4009</v>
      </c>
    </row>
    <row r="250" spans="1:8" x14ac:dyDescent="0.25">
      <c r="A250" s="8">
        <v>43007.026076388887</v>
      </c>
      <c r="B250" t="s">
        <v>511</v>
      </c>
      <c r="C250" t="s">
        <v>547</v>
      </c>
      <c r="D250" s="138">
        <v>3340000</v>
      </c>
      <c r="E250" t="s">
        <v>439</v>
      </c>
      <c r="F250" s="20" t="s">
        <v>440</v>
      </c>
      <c r="G250" s="8" t="str">
        <f t="shared" si="6"/>
        <v>ELBAUM MIKE</v>
      </c>
      <c r="H250" s="20" t="str">
        <f t="shared" si="7"/>
        <v>4059</v>
      </c>
    </row>
    <row r="251" spans="1:8" x14ac:dyDescent="0.25">
      <c r="A251" s="8">
        <v>43007.030821759261</v>
      </c>
      <c r="B251" t="s">
        <v>516</v>
      </c>
      <c r="C251" t="s">
        <v>548</v>
      </c>
      <c r="D251" s="138">
        <v>3190000</v>
      </c>
      <c r="E251" t="s">
        <v>377</v>
      </c>
      <c r="F251" s="20" t="s">
        <v>378</v>
      </c>
      <c r="G251" s="8" t="str">
        <f t="shared" si="6"/>
        <v>HART KEVIN</v>
      </c>
      <c r="H251" s="20" t="str">
        <f t="shared" si="7"/>
        <v>4056</v>
      </c>
    </row>
    <row r="252" spans="1:8" x14ac:dyDescent="0.25">
      <c r="A252" s="8">
        <v>43007.048449074071</v>
      </c>
      <c r="B252" t="s">
        <v>410</v>
      </c>
      <c r="C252" t="s">
        <v>549</v>
      </c>
      <c r="D252" s="138">
        <v>890000</v>
      </c>
      <c r="E252" t="s">
        <v>365</v>
      </c>
      <c r="F252" s="20" t="s">
        <v>366</v>
      </c>
      <c r="G252" s="8" t="str">
        <f t="shared" si="6"/>
        <v>LOZA FIDEL</v>
      </c>
      <c r="H252" s="20" t="str">
        <f t="shared" si="7"/>
        <v>4010</v>
      </c>
    </row>
    <row r="253" spans="1:8" x14ac:dyDescent="0.25">
      <c r="A253" s="8">
        <v>43007.055196759262</v>
      </c>
      <c r="B253" t="s">
        <v>436</v>
      </c>
      <c r="C253" t="s">
        <v>550</v>
      </c>
      <c r="D253" s="138">
        <v>2620000</v>
      </c>
      <c r="E253" t="s">
        <v>375</v>
      </c>
      <c r="F253" s="20" t="s">
        <v>376</v>
      </c>
      <c r="G253" s="8" t="str">
        <f t="shared" si="6"/>
        <v>PERKINS DARREN</v>
      </c>
      <c r="H253" s="20" t="str">
        <f t="shared" si="7"/>
        <v>4051</v>
      </c>
    </row>
    <row r="254" spans="1:8" x14ac:dyDescent="0.25">
      <c r="A254" s="8">
        <v>43007.066562499997</v>
      </c>
      <c r="B254" t="s">
        <v>519</v>
      </c>
      <c r="C254" t="s">
        <v>551</v>
      </c>
      <c r="D254" s="138">
        <v>3340000</v>
      </c>
      <c r="E254" t="s">
        <v>439</v>
      </c>
      <c r="F254" s="20" t="s">
        <v>440</v>
      </c>
      <c r="G254" s="8" t="str">
        <f t="shared" si="6"/>
        <v>ELBAUM MIKE</v>
      </c>
      <c r="H254" s="20" t="str">
        <f t="shared" si="7"/>
        <v>4060</v>
      </c>
    </row>
    <row r="255" spans="1:8" x14ac:dyDescent="0.25">
      <c r="A255" s="8">
        <v>43007.088275462964</v>
      </c>
      <c r="B255" t="s">
        <v>435</v>
      </c>
      <c r="C255" t="s">
        <v>514</v>
      </c>
      <c r="D255" s="138">
        <v>2620000</v>
      </c>
      <c r="E255" t="s">
        <v>375</v>
      </c>
      <c r="F255" s="20" t="s">
        <v>376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484</v>
      </c>
      <c r="C256" t="s">
        <v>552</v>
      </c>
      <c r="D256" s="138">
        <v>1830000</v>
      </c>
      <c r="E256" t="s">
        <v>397</v>
      </c>
      <c r="F256" s="20" t="s">
        <v>398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438</v>
      </c>
      <c r="C257" t="s">
        <v>441</v>
      </c>
      <c r="D257" s="138">
        <v>3340000</v>
      </c>
      <c r="E257" t="s">
        <v>439</v>
      </c>
      <c r="F257" s="20" t="s">
        <v>440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390</v>
      </c>
      <c r="C258" t="s">
        <v>442</v>
      </c>
      <c r="D258" s="138">
        <v>3320000</v>
      </c>
      <c r="E258" t="s">
        <v>380</v>
      </c>
      <c r="F258" s="20" t="s">
        <v>381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410</v>
      </c>
      <c r="C259" t="s">
        <v>443</v>
      </c>
      <c r="D259" s="138">
        <v>2620000</v>
      </c>
      <c r="E259" t="s">
        <v>375</v>
      </c>
      <c r="F259" s="20" t="s">
        <v>376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420</v>
      </c>
      <c r="C260" t="s">
        <v>444</v>
      </c>
      <c r="D260" s="138">
        <v>1830000</v>
      </c>
      <c r="E260" t="s">
        <v>397</v>
      </c>
      <c r="F260" s="20" t="s">
        <v>398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399</v>
      </c>
      <c r="C261" t="s">
        <v>445</v>
      </c>
      <c r="D261" s="138">
        <v>900000</v>
      </c>
      <c r="E261" t="s">
        <v>424</v>
      </c>
      <c r="F261" s="20" t="s">
        <v>425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419</v>
      </c>
      <c r="C262" t="s">
        <v>428</v>
      </c>
      <c r="D262" s="138">
        <v>2620000</v>
      </c>
      <c r="E262" t="s">
        <v>375</v>
      </c>
      <c r="F262" s="20" t="s">
        <v>376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402</v>
      </c>
      <c r="C263" t="s">
        <v>422</v>
      </c>
      <c r="D263" s="138">
        <v>3310000</v>
      </c>
      <c r="E263" t="s">
        <v>426</v>
      </c>
      <c r="F263" s="20" t="s">
        <v>427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402</v>
      </c>
      <c r="C264" t="s">
        <v>422</v>
      </c>
      <c r="D264" s="138">
        <v>3310000</v>
      </c>
      <c r="E264" t="s">
        <v>426</v>
      </c>
      <c r="F264" s="20" t="s">
        <v>427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409</v>
      </c>
      <c r="C265" t="s">
        <v>429</v>
      </c>
      <c r="D265" s="138">
        <v>890000</v>
      </c>
      <c r="E265" t="s">
        <v>365</v>
      </c>
      <c r="F265" s="20" t="s">
        <v>366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421</v>
      </c>
      <c r="C266" t="s">
        <v>430</v>
      </c>
      <c r="D266" s="138">
        <v>2680000</v>
      </c>
      <c r="E266" t="s">
        <v>373</v>
      </c>
      <c r="F266" s="20" t="s">
        <v>374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418</v>
      </c>
      <c r="C267" t="s">
        <v>430</v>
      </c>
      <c r="D267" s="138">
        <v>2680000</v>
      </c>
      <c r="E267" t="s">
        <v>373</v>
      </c>
      <c r="F267" s="20" t="s">
        <v>374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396</v>
      </c>
      <c r="C268" t="s">
        <v>423</v>
      </c>
      <c r="D268" s="138">
        <v>3190000</v>
      </c>
      <c r="E268" t="s">
        <v>377</v>
      </c>
      <c r="F268" s="20" t="s">
        <v>378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412</v>
      </c>
      <c r="C269" t="s">
        <v>431</v>
      </c>
      <c r="D269" s="138">
        <v>890000</v>
      </c>
      <c r="E269" t="s">
        <v>365</v>
      </c>
      <c r="F269" s="20" t="s">
        <v>366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421</v>
      </c>
      <c r="C270" t="s">
        <v>430</v>
      </c>
      <c r="D270" s="138">
        <v>2680000</v>
      </c>
      <c r="E270" t="s">
        <v>373</v>
      </c>
      <c r="F270" s="20" t="s">
        <v>374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396</v>
      </c>
      <c r="C271" t="s">
        <v>423</v>
      </c>
      <c r="D271" s="138">
        <v>3190000</v>
      </c>
      <c r="E271" t="s">
        <v>377</v>
      </c>
      <c r="F271" s="20" t="s">
        <v>378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415</v>
      </c>
      <c r="C272" t="s">
        <v>432</v>
      </c>
      <c r="D272" s="138">
        <v>3190000</v>
      </c>
      <c r="E272" t="s">
        <v>377</v>
      </c>
      <c r="F272" s="20" t="s">
        <v>378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404</v>
      </c>
      <c r="C273" t="s">
        <v>433</v>
      </c>
      <c r="D273" s="138">
        <v>1830000</v>
      </c>
      <c r="E273" t="s">
        <v>397</v>
      </c>
      <c r="F273" s="20" t="s">
        <v>398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451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53.76</v>
      </c>
      <c r="B2" s="196">
        <v>0.08</v>
      </c>
      <c r="C2" s="196">
        <v>41.43</v>
      </c>
      <c r="D2" s="8">
        <v>43009</v>
      </c>
      <c r="E2" s="196">
        <v>0.63</v>
      </c>
      <c r="F2" s="196" t="s">
        <v>553</v>
      </c>
      <c r="G2" s="196">
        <v>292.10000000000002</v>
      </c>
      <c r="H2" s="196">
        <v>2.0000000000000001E-4</v>
      </c>
      <c r="I2" s="196">
        <v>0.01</v>
      </c>
      <c r="J2" s="196" t="s">
        <v>452</v>
      </c>
      <c r="K2" s="196">
        <v>1007.82</v>
      </c>
      <c r="L2" s="196" t="s">
        <v>554</v>
      </c>
      <c r="M2" s="196">
        <v>53.76</v>
      </c>
      <c r="N2" s="196">
        <v>1506837600</v>
      </c>
      <c r="O2" s="196">
        <v>0</v>
      </c>
      <c r="P2" s="196">
        <v>3.65</v>
      </c>
      <c r="Q2" s="196">
        <v>194</v>
      </c>
      <c r="R2" s="196">
        <v>4.79</v>
      </c>
      <c r="S2" s="196">
        <v>2.02</v>
      </c>
    </row>
    <row r="3" spans="1:19" x14ac:dyDescent="0.25">
      <c r="A3" s="196">
        <v>54.85</v>
      </c>
      <c r="B3" s="196">
        <v>0.19</v>
      </c>
      <c r="C3" s="196">
        <v>41.34</v>
      </c>
      <c r="D3" s="8">
        <v>43009.041666666664</v>
      </c>
      <c r="E3" s="196">
        <v>0.6</v>
      </c>
      <c r="F3" s="196" t="s">
        <v>553</v>
      </c>
      <c r="G3" s="196">
        <v>293.33999999999997</v>
      </c>
      <c r="H3" s="196">
        <v>0</v>
      </c>
      <c r="I3" s="196">
        <v>0</v>
      </c>
      <c r="J3" s="196"/>
      <c r="K3" s="196">
        <v>1007.39</v>
      </c>
      <c r="L3" s="196" t="s">
        <v>554</v>
      </c>
      <c r="M3" s="196">
        <v>54.85</v>
      </c>
      <c r="N3" s="196">
        <v>1506841200</v>
      </c>
      <c r="O3" s="196">
        <v>0</v>
      </c>
      <c r="P3" s="196">
        <v>3.69</v>
      </c>
      <c r="Q3" s="196">
        <v>211</v>
      </c>
      <c r="R3" s="196">
        <v>5.56</v>
      </c>
      <c r="S3" s="196">
        <v>1.93</v>
      </c>
    </row>
    <row r="4" spans="1:19" x14ac:dyDescent="0.25">
      <c r="A4" s="196">
        <v>52.95</v>
      </c>
      <c r="B4" s="196">
        <v>0.16</v>
      </c>
      <c r="C4" s="196">
        <v>40.9</v>
      </c>
      <c r="D4" s="8">
        <v>43009.083333333336</v>
      </c>
      <c r="E4" s="196">
        <v>0.64</v>
      </c>
      <c r="F4" s="196" t="s">
        <v>553</v>
      </c>
      <c r="G4" s="196">
        <v>294.47000000000003</v>
      </c>
      <c r="H4" s="196">
        <v>4.0000000000000002E-4</v>
      </c>
      <c r="I4" s="196">
        <v>0.01</v>
      </c>
      <c r="J4" s="196" t="s">
        <v>452</v>
      </c>
      <c r="K4" s="196">
        <v>1006.24</v>
      </c>
      <c r="L4" s="196" t="s">
        <v>554</v>
      </c>
      <c r="M4" s="196">
        <v>52.95</v>
      </c>
      <c r="N4" s="196">
        <v>1506844800</v>
      </c>
      <c r="O4" s="196">
        <v>0</v>
      </c>
      <c r="P4" s="196">
        <v>3.69</v>
      </c>
      <c r="Q4" s="196">
        <v>217</v>
      </c>
      <c r="R4" s="196">
        <v>4.7699999999999996</v>
      </c>
      <c r="S4" s="196">
        <v>1.81</v>
      </c>
    </row>
    <row r="5" spans="1:19" x14ac:dyDescent="0.25">
      <c r="A5" s="196">
        <v>52.1</v>
      </c>
      <c r="B5" s="196">
        <v>0.19</v>
      </c>
      <c r="C5" s="196">
        <v>40.39</v>
      </c>
      <c r="D5" s="8">
        <v>43009.125</v>
      </c>
      <c r="E5" s="196">
        <v>0.64</v>
      </c>
      <c r="F5" s="196" t="s">
        <v>553</v>
      </c>
      <c r="G5" s="196">
        <v>295.38</v>
      </c>
      <c r="H5" s="196">
        <v>5.9999999999999995E-4</v>
      </c>
      <c r="I5" s="196">
        <v>0.02</v>
      </c>
      <c r="J5" s="196" t="s">
        <v>452</v>
      </c>
      <c r="K5" s="196">
        <v>1006.26</v>
      </c>
      <c r="L5" s="196" t="s">
        <v>554</v>
      </c>
      <c r="M5" s="196">
        <v>52.1</v>
      </c>
      <c r="N5" s="196">
        <v>1506848400</v>
      </c>
      <c r="O5" s="196">
        <v>0</v>
      </c>
      <c r="P5" s="196">
        <v>3.69</v>
      </c>
      <c r="Q5" s="196">
        <v>229</v>
      </c>
      <c r="R5" s="196">
        <v>4.93</v>
      </c>
      <c r="S5" s="196">
        <v>1.37</v>
      </c>
    </row>
    <row r="6" spans="1:19" x14ac:dyDescent="0.25">
      <c r="A6" s="196">
        <v>52.85</v>
      </c>
      <c r="B6" s="196">
        <v>0.45</v>
      </c>
      <c r="C6" s="196">
        <v>40.630000000000003</v>
      </c>
      <c r="D6" s="8">
        <v>43009.166666666664</v>
      </c>
      <c r="E6" s="196">
        <v>0.63</v>
      </c>
      <c r="F6" s="196" t="s">
        <v>453</v>
      </c>
      <c r="G6" s="196">
        <v>296.05</v>
      </c>
      <c r="H6" s="196">
        <v>6.9999999999999999E-4</v>
      </c>
      <c r="I6" s="196">
        <v>0.02</v>
      </c>
      <c r="J6" s="196" t="s">
        <v>452</v>
      </c>
      <c r="K6" s="196">
        <v>1006.44</v>
      </c>
      <c r="L6" s="196" t="s">
        <v>466</v>
      </c>
      <c r="M6" s="196">
        <v>52.85</v>
      </c>
      <c r="N6" s="196">
        <v>1506852000</v>
      </c>
      <c r="O6" s="196">
        <v>0</v>
      </c>
      <c r="P6" s="196">
        <v>3.34</v>
      </c>
      <c r="Q6" s="196">
        <v>238</v>
      </c>
      <c r="R6" s="196">
        <v>5.75</v>
      </c>
      <c r="S6" s="196">
        <v>1.25</v>
      </c>
    </row>
    <row r="7" spans="1:19" x14ac:dyDescent="0.25">
      <c r="A7" s="196">
        <v>53.13</v>
      </c>
      <c r="B7" s="196">
        <v>0.64</v>
      </c>
      <c r="C7" s="196">
        <v>41.06</v>
      </c>
      <c r="D7" s="8">
        <v>43009.208333333336</v>
      </c>
      <c r="E7" s="196">
        <v>0.63</v>
      </c>
      <c r="F7" s="196" t="s">
        <v>453</v>
      </c>
      <c r="G7" s="196">
        <v>296.51</v>
      </c>
      <c r="H7" s="196">
        <v>1E-4</v>
      </c>
      <c r="I7" s="196">
        <v>0.01</v>
      </c>
      <c r="J7" s="196" t="s">
        <v>452</v>
      </c>
      <c r="K7" s="196">
        <v>1006.67</v>
      </c>
      <c r="L7" s="196" t="s">
        <v>454</v>
      </c>
      <c r="M7" s="196">
        <v>53.13</v>
      </c>
      <c r="N7" s="196">
        <v>1506855600</v>
      </c>
      <c r="O7" s="196">
        <v>0</v>
      </c>
      <c r="P7" s="196">
        <v>3.83</v>
      </c>
      <c r="Q7" s="196">
        <v>250</v>
      </c>
      <c r="R7" s="196">
        <v>5.18</v>
      </c>
      <c r="S7" s="196">
        <v>1.65</v>
      </c>
    </row>
    <row r="8" spans="1:19" x14ac:dyDescent="0.25">
      <c r="A8" s="196">
        <v>53.37</v>
      </c>
      <c r="B8" s="196">
        <v>0.66</v>
      </c>
      <c r="C8" s="196">
        <v>40.4</v>
      </c>
      <c r="D8" s="8">
        <v>43009.25</v>
      </c>
      <c r="E8" s="196">
        <v>0.61</v>
      </c>
      <c r="F8" s="196" t="s">
        <v>453</v>
      </c>
      <c r="G8" s="196">
        <v>295.31</v>
      </c>
      <c r="H8" s="196">
        <v>0</v>
      </c>
      <c r="I8" s="196">
        <v>0</v>
      </c>
      <c r="J8" s="196"/>
      <c r="K8" s="196">
        <v>1007.03</v>
      </c>
      <c r="L8" s="196" t="s">
        <v>454</v>
      </c>
      <c r="M8" s="196">
        <v>53.37</v>
      </c>
      <c r="N8" s="196">
        <v>1506859200</v>
      </c>
      <c r="O8" s="196">
        <v>0</v>
      </c>
      <c r="P8" s="196">
        <v>3.83</v>
      </c>
      <c r="Q8" s="196">
        <v>240</v>
      </c>
      <c r="R8" s="196">
        <v>7.11</v>
      </c>
      <c r="S8" s="196">
        <v>2.14</v>
      </c>
    </row>
    <row r="9" spans="1:19" x14ac:dyDescent="0.25">
      <c r="A9" s="196">
        <v>51.84</v>
      </c>
      <c r="B9" s="196">
        <v>0.16</v>
      </c>
      <c r="C9" s="196">
        <v>40.049999999999997</v>
      </c>
      <c r="D9" s="8">
        <v>43009.291666666664</v>
      </c>
      <c r="E9" s="196">
        <v>0.64</v>
      </c>
      <c r="F9" s="196" t="s">
        <v>553</v>
      </c>
      <c r="G9" s="196">
        <v>297.19</v>
      </c>
      <c r="H9" s="196">
        <v>0</v>
      </c>
      <c r="I9" s="196">
        <v>0</v>
      </c>
      <c r="J9" s="196"/>
      <c r="K9" s="196">
        <v>1007.1</v>
      </c>
      <c r="L9" s="196" t="s">
        <v>554</v>
      </c>
      <c r="M9" s="196">
        <v>51.84</v>
      </c>
      <c r="N9" s="196">
        <v>1506862800</v>
      </c>
      <c r="O9" s="196">
        <v>0</v>
      </c>
      <c r="P9" s="196">
        <v>4.0999999999999996</v>
      </c>
      <c r="Q9" s="196">
        <v>213</v>
      </c>
      <c r="R9" s="196">
        <v>6.53</v>
      </c>
      <c r="S9" s="196">
        <v>2.35</v>
      </c>
    </row>
    <row r="10" spans="1:19" x14ac:dyDescent="0.25">
      <c r="A10" s="196">
        <v>52.49</v>
      </c>
      <c r="B10" s="196">
        <v>0.14000000000000001</v>
      </c>
      <c r="C10" s="196">
        <v>40.83</v>
      </c>
      <c r="D10" s="8">
        <v>43009.333333333336</v>
      </c>
      <c r="E10" s="196">
        <v>0.64</v>
      </c>
      <c r="F10" s="196" t="s">
        <v>832</v>
      </c>
      <c r="G10" s="196">
        <v>299.83</v>
      </c>
      <c r="H10" s="196">
        <v>0</v>
      </c>
      <c r="I10" s="196">
        <v>0</v>
      </c>
      <c r="J10" s="196"/>
      <c r="K10" s="196">
        <v>1006.33</v>
      </c>
      <c r="L10" s="196" t="s">
        <v>554</v>
      </c>
      <c r="M10" s="196">
        <v>52.49</v>
      </c>
      <c r="N10" s="196">
        <v>1506866400</v>
      </c>
      <c r="O10" s="196">
        <v>1</v>
      </c>
      <c r="P10" s="196">
        <v>3.92</v>
      </c>
      <c r="Q10" s="196">
        <v>199</v>
      </c>
      <c r="R10" s="196">
        <v>4.91</v>
      </c>
      <c r="S10" s="196">
        <v>1.89</v>
      </c>
    </row>
    <row r="11" spans="1:19" x14ac:dyDescent="0.25">
      <c r="A11" s="196">
        <v>57.76</v>
      </c>
      <c r="B11" s="196">
        <v>0.12</v>
      </c>
      <c r="C11" s="196">
        <v>42</v>
      </c>
      <c r="D11" s="8">
        <v>43009.375</v>
      </c>
      <c r="E11" s="196">
        <v>0.56000000000000005</v>
      </c>
      <c r="F11" s="196" t="s">
        <v>832</v>
      </c>
      <c r="G11" s="196">
        <v>301.79000000000002</v>
      </c>
      <c r="H11" s="196">
        <v>0</v>
      </c>
      <c r="I11" s="196">
        <v>0</v>
      </c>
      <c r="J11" s="196"/>
      <c r="K11" s="196">
        <v>1005.22</v>
      </c>
      <c r="L11" s="196" t="s">
        <v>554</v>
      </c>
      <c r="M11" s="196">
        <v>57.76</v>
      </c>
      <c r="N11" s="196">
        <v>1506870000</v>
      </c>
      <c r="O11" s="196">
        <v>1</v>
      </c>
      <c r="P11" s="196">
        <v>4.1399999999999997</v>
      </c>
      <c r="Q11" s="196">
        <v>194</v>
      </c>
      <c r="R11" s="196">
        <v>6.97</v>
      </c>
      <c r="S11" s="196">
        <v>3.07</v>
      </c>
    </row>
    <row r="12" spans="1:19" x14ac:dyDescent="0.25">
      <c r="A12" s="196">
        <v>63.02</v>
      </c>
      <c r="B12" s="196">
        <v>0.17</v>
      </c>
      <c r="C12" s="196">
        <v>42.17</v>
      </c>
      <c r="D12" s="8">
        <v>43009.416666666664</v>
      </c>
      <c r="E12" s="196">
        <v>0.46</v>
      </c>
      <c r="F12" s="196" t="s">
        <v>832</v>
      </c>
      <c r="G12" s="196">
        <v>302.33</v>
      </c>
      <c r="H12" s="196">
        <v>0</v>
      </c>
      <c r="I12" s="196">
        <v>0</v>
      </c>
      <c r="J12" s="196"/>
      <c r="K12" s="196">
        <v>1004.5</v>
      </c>
      <c r="L12" s="196" t="s">
        <v>554</v>
      </c>
      <c r="M12" s="196">
        <v>63.02</v>
      </c>
      <c r="N12" s="196">
        <v>1506873600</v>
      </c>
      <c r="O12" s="196">
        <v>2</v>
      </c>
      <c r="P12" s="196">
        <v>4.2300000000000004</v>
      </c>
      <c r="Q12" s="196">
        <v>172</v>
      </c>
      <c r="R12" s="196">
        <v>8.18</v>
      </c>
      <c r="S12" s="196">
        <v>2.81</v>
      </c>
    </row>
    <row r="13" spans="1:19" x14ac:dyDescent="0.25">
      <c r="A13" s="196">
        <v>67.11</v>
      </c>
      <c r="B13" s="196">
        <v>0.1</v>
      </c>
      <c r="C13" s="196">
        <v>41.44</v>
      </c>
      <c r="D13" s="8">
        <v>43009.458333333336</v>
      </c>
      <c r="E13" s="196">
        <v>0.39</v>
      </c>
      <c r="F13" s="196" t="s">
        <v>832</v>
      </c>
      <c r="G13" s="196">
        <v>302.22000000000003</v>
      </c>
      <c r="H13" s="196">
        <v>0</v>
      </c>
      <c r="I13" s="196">
        <v>0</v>
      </c>
      <c r="J13" s="196"/>
      <c r="K13" s="196">
        <v>1002.73</v>
      </c>
      <c r="L13" s="196" t="s">
        <v>554</v>
      </c>
      <c r="M13" s="196">
        <v>67.11</v>
      </c>
      <c r="N13" s="196">
        <v>1506877200</v>
      </c>
      <c r="O13" s="196">
        <v>4</v>
      </c>
      <c r="P13" s="196">
        <v>4.92</v>
      </c>
      <c r="Q13" s="196">
        <v>159</v>
      </c>
      <c r="R13" s="196">
        <v>8.77</v>
      </c>
      <c r="S13" s="196">
        <v>3.07</v>
      </c>
    </row>
    <row r="14" spans="1:19" x14ac:dyDescent="0.25">
      <c r="A14" s="196">
        <v>69.84</v>
      </c>
      <c r="B14" s="196">
        <v>0.33</v>
      </c>
      <c r="C14" s="196">
        <v>40.119999999999997</v>
      </c>
      <c r="D14" s="8">
        <v>43009.5</v>
      </c>
      <c r="E14" s="196">
        <v>0.34</v>
      </c>
      <c r="F14" s="196" t="s">
        <v>455</v>
      </c>
      <c r="G14" s="196">
        <v>298.49</v>
      </c>
      <c r="H14" s="196">
        <v>0</v>
      </c>
      <c r="I14" s="196">
        <v>0</v>
      </c>
      <c r="J14" s="196"/>
      <c r="K14" s="196">
        <v>1001.37</v>
      </c>
      <c r="L14" s="196" t="s">
        <v>466</v>
      </c>
      <c r="M14" s="196">
        <v>69.84</v>
      </c>
      <c r="N14" s="196">
        <v>1506880800</v>
      </c>
      <c r="O14" s="196">
        <v>4</v>
      </c>
      <c r="P14" s="196">
        <v>4.9000000000000004</v>
      </c>
      <c r="Q14" s="196">
        <v>147</v>
      </c>
      <c r="R14" s="196">
        <v>8.1300000000000008</v>
      </c>
      <c r="S14" s="196">
        <v>1.47</v>
      </c>
    </row>
    <row r="15" spans="1:19" x14ac:dyDescent="0.25">
      <c r="A15" s="196">
        <v>70.260000000000005</v>
      </c>
      <c r="B15" s="196">
        <v>0.39</v>
      </c>
      <c r="C15" s="196">
        <v>39.840000000000003</v>
      </c>
      <c r="D15" s="8">
        <v>43009.541666666664</v>
      </c>
      <c r="E15" s="196">
        <v>0.33</v>
      </c>
      <c r="F15" s="196" t="s">
        <v>455</v>
      </c>
      <c r="G15" s="196">
        <v>298.93</v>
      </c>
      <c r="H15" s="196">
        <v>0</v>
      </c>
      <c r="I15" s="196">
        <v>0</v>
      </c>
      <c r="J15" s="196"/>
      <c r="K15" s="196">
        <v>999.91</v>
      </c>
      <c r="L15" s="196" t="s">
        <v>466</v>
      </c>
      <c r="M15" s="196">
        <v>70.260000000000005</v>
      </c>
      <c r="N15" s="196">
        <v>1506884400</v>
      </c>
      <c r="O15" s="196">
        <v>5</v>
      </c>
      <c r="P15" s="196">
        <v>3.66</v>
      </c>
      <c r="Q15" s="196">
        <v>78</v>
      </c>
      <c r="R15" s="196">
        <v>8.76</v>
      </c>
      <c r="S15" s="196">
        <v>1.89</v>
      </c>
    </row>
    <row r="16" spans="1:19" x14ac:dyDescent="0.25">
      <c r="A16" s="196">
        <v>69.900000000000006</v>
      </c>
      <c r="B16" s="196">
        <v>0.38</v>
      </c>
      <c r="C16" s="196">
        <v>40</v>
      </c>
      <c r="D16" s="8">
        <v>43009.583333333336</v>
      </c>
      <c r="E16" s="196">
        <v>0.34</v>
      </c>
      <c r="F16" s="196" t="s">
        <v>455</v>
      </c>
      <c r="G16" s="196">
        <v>299.81</v>
      </c>
      <c r="H16" s="196">
        <v>0</v>
      </c>
      <c r="I16" s="196">
        <v>0</v>
      </c>
      <c r="J16" s="196"/>
      <c r="K16" s="196">
        <v>998.35</v>
      </c>
      <c r="L16" s="196" t="s">
        <v>466</v>
      </c>
      <c r="M16" s="196">
        <v>69.900000000000006</v>
      </c>
      <c r="N16" s="196">
        <v>1506888000</v>
      </c>
      <c r="O16" s="196">
        <v>4</v>
      </c>
      <c r="P16" s="196">
        <v>4.9000000000000004</v>
      </c>
      <c r="Q16" s="196">
        <v>0</v>
      </c>
      <c r="R16" s="196">
        <v>12.07</v>
      </c>
      <c r="S16" s="196">
        <v>1.8</v>
      </c>
    </row>
    <row r="17" spans="1:19" x14ac:dyDescent="0.25">
      <c r="A17" s="196">
        <v>68.31</v>
      </c>
      <c r="B17" s="196">
        <v>0.37</v>
      </c>
      <c r="C17" s="196">
        <v>40.880000000000003</v>
      </c>
      <c r="D17" s="8">
        <v>43009.625</v>
      </c>
      <c r="E17" s="196">
        <v>0.37</v>
      </c>
      <c r="F17" s="196" t="s">
        <v>455</v>
      </c>
      <c r="G17" s="196">
        <v>300.58</v>
      </c>
      <c r="H17" s="196">
        <v>0</v>
      </c>
      <c r="I17" s="196">
        <v>0</v>
      </c>
      <c r="J17" s="196"/>
      <c r="K17" s="196">
        <v>997.93</v>
      </c>
      <c r="L17" s="196" t="s">
        <v>466</v>
      </c>
      <c r="M17" s="196">
        <v>68.31</v>
      </c>
      <c r="N17" s="196">
        <v>1506891600</v>
      </c>
      <c r="O17" s="196">
        <v>3</v>
      </c>
      <c r="P17" s="196">
        <v>4.76</v>
      </c>
      <c r="Q17" s="196">
        <v>350</v>
      </c>
      <c r="R17" s="196">
        <v>16.11</v>
      </c>
      <c r="S17" s="196">
        <v>4.49</v>
      </c>
    </row>
    <row r="18" spans="1:19" x14ac:dyDescent="0.25">
      <c r="A18" s="196">
        <v>62.11</v>
      </c>
      <c r="B18" s="196">
        <v>0.46</v>
      </c>
      <c r="C18" s="196">
        <v>41.66</v>
      </c>
      <c r="D18" s="8">
        <v>43009.666666666664</v>
      </c>
      <c r="E18" s="196">
        <v>0.47</v>
      </c>
      <c r="F18" s="196" t="s">
        <v>455</v>
      </c>
      <c r="G18" s="196">
        <v>300.70999999999998</v>
      </c>
      <c r="H18" s="196">
        <v>1E-3</v>
      </c>
      <c r="I18" s="196">
        <v>0.02</v>
      </c>
      <c r="J18" s="196" t="s">
        <v>452</v>
      </c>
      <c r="K18" s="196">
        <v>999.57</v>
      </c>
      <c r="L18" s="196" t="s">
        <v>466</v>
      </c>
      <c r="M18" s="196">
        <v>62.11</v>
      </c>
      <c r="N18" s="196">
        <v>1506895200</v>
      </c>
      <c r="O18" s="196">
        <v>2</v>
      </c>
      <c r="P18" s="196">
        <v>3.81</v>
      </c>
      <c r="Q18" s="196">
        <v>346</v>
      </c>
      <c r="R18" s="196">
        <v>17.46</v>
      </c>
      <c r="S18" s="196">
        <v>6.59</v>
      </c>
    </row>
    <row r="19" spans="1:19" x14ac:dyDescent="0.25">
      <c r="A19" s="196">
        <v>58.23</v>
      </c>
      <c r="B19" s="196">
        <v>0.3</v>
      </c>
      <c r="C19" s="196">
        <v>40.98</v>
      </c>
      <c r="D19" s="8">
        <v>43009.708333333336</v>
      </c>
      <c r="E19" s="196">
        <v>0.53</v>
      </c>
      <c r="F19" s="196" t="s">
        <v>455</v>
      </c>
      <c r="G19" s="196">
        <v>300.51</v>
      </c>
      <c r="H19" s="196">
        <v>4.7999999999999996E-3</v>
      </c>
      <c r="I19" s="196">
        <v>0.06</v>
      </c>
      <c r="J19" s="196" t="s">
        <v>452</v>
      </c>
      <c r="K19" s="196">
        <v>1003.15</v>
      </c>
      <c r="L19" s="196" t="s">
        <v>466</v>
      </c>
      <c r="M19" s="196">
        <v>58.23</v>
      </c>
      <c r="N19" s="196">
        <v>1506898800</v>
      </c>
      <c r="O19" s="196">
        <v>1</v>
      </c>
      <c r="P19" s="196">
        <v>4.2300000000000004</v>
      </c>
      <c r="Q19" s="196">
        <v>346</v>
      </c>
      <c r="R19" s="196">
        <v>14.44</v>
      </c>
      <c r="S19" s="196">
        <v>5.33</v>
      </c>
    </row>
    <row r="20" spans="1:19" x14ac:dyDescent="0.25">
      <c r="A20" s="196">
        <v>55.96</v>
      </c>
      <c r="B20" s="196">
        <v>0.18</v>
      </c>
      <c r="C20" s="196">
        <v>41.54</v>
      </c>
      <c r="D20" s="8">
        <v>43009.75</v>
      </c>
      <c r="E20" s="196">
        <v>0.57999999999999996</v>
      </c>
      <c r="F20" s="196" t="s">
        <v>832</v>
      </c>
      <c r="G20" s="196">
        <v>300.08999999999997</v>
      </c>
      <c r="H20" s="196">
        <v>0</v>
      </c>
      <c r="I20" s="196">
        <v>0</v>
      </c>
      <c r="J20" s="196"/>
      <c r="K20" s="196">
        <v>1004.66</v>
      </c>
      <c r="L20" s="196" t="s">
        <v>554</v>
      </c>
      <c r="M20" s="196">
        <v>55.96</v>
      </c>
      <c r="N20" s="196">
        <v>1506902400</v>
      </c>
      <c r="O20" s="196">
        <v>0</v>
      </c>
      <c r="P20" s="196">
        <v>4.2300000000000004</v>
      </c>
      <c r="Q20" s="196">
        <v>83</v>
      </c>
      <c r="R20" s="196">
        <v>7.6</v>
      </c>
      <c r="S20" s="196">
        <v>1.64</v>
      </c>
    </row>
    <row r="21" spans="1:19" x14ac:dyDescent="0.25">
      <c r="A21" s="196">
        <v>53.94</v>
      </c>
      <c r="B21" s="196">
        <v>0.45</v>
      </c>
      <c r="C21" s="196">
        <v>41.86</v>
      </c>
      <c r="D21" s="8">
        <v>43009.791666666664</v>
      </c>
      <c r="E21" s="196">
        <v>0.64</v>
      </c>
      <c r="F21" s="196" t="s">
        <v>453</v>
      </c>
      <c r="G21" s="196">
        <v>300.2</v>
      </c>
      <c r="H21" s="196">
        <v>2.0000000000000001E-4</v>
      </c>
      <c r="I21" s="196">
        <v>0.01</v>
      </c>
      <c r="J21" s="196" t="s">
        <v>452</v>
      </c>
      <c r="K21" s="196">
        <v>1005.33</v>
      </c>
      <c r="L21" s="196" t="s">
        <v>466</v>
      </c>
      <c r="M21" s="196">
        <v>53.94</v>
      </c>
      <c r="N21" s="196">
        <v>1506906000</v>
      </c>
      <c r="O21" s="196">
        <v>0</v>
      </c>
      <c r="P21" s="196">
        <v>4.2300000000000004</v>
      </c>
      <c r="Q21" s="196">
        <v>95</v>
      </c>
      <c r="R21" s="196">
        <v>5.7</v>
      </c>
      <c r="S21" s="196">
        <v>1.38</v>
      </c>
    </row>
    <row r="22" spans="1:19" x14ac:dyDescent="0.25">
      <c r="A22" s="196">
        <v>52.18</v>
      </c>
      <c r="B22" s="196">
        <v>0.69</v>
      </c>
      <c r="C22" s="196">
        <v>42.59</v>
      </c>
      <c r="D22" s="8">
        <v>43009.833333333336</v>
      </c>
      <c r="E22" s="196">
        <v>0.7</v>
      </c>
      <c r="F22" s="196" t="s">
        <v>453</v>
      </c>
      <c r="G22" s="196">
        <v>300.41000000000003</v>
      </c>
      <c r="H22" s="196">
        <v>1.1999999999999999E-3</v>
      </c>
      <c r="I22" s="196">
        <v>0.03</v>
      </c>
      <c r="J22" s="196" t="s">
        <v>452</v>
      </c>
      <c r="K22" s="196">
        <v>1005.42</v>
      </c>
      <c r="L22" s="196" t="s">
        <v>454</v>
      </c>
      <c r="M22" s="196">
        <v>52.18</v>
      </c>
      <c r="N22" s="196">
        <v>1506909600</v>
      </c>
      <c r="O22" s="196">
        <v>0</v>
      </c>
      <c r="P22" s="196">
        <v>3.35</v>
      </c>
      <c r="Q22" s="196">
        <v>67</v>
      </c>
      <c r="R22" s="196">
        <v>5.75</v>
      </c>
      <c r="S22" s="196">
        <v>1.6</v>
      </c>
    </row>
    <row r="23" spans="1:19" x14ac:dyDescent="0.25">
      <c r="A23" s="196">
        <v>51.15</v>
      </c>
      <c r="B23" s="196">
        <v>0.5</v>
      </c>
      <c r="C23" s="196">
        <v>43.06</v>
      </c>
      <c r="D23" s="8">
        <v>43009.875</v>
      </c>
      <c r="E23" s="196">
        <v>0.74</v>
      </c>
      <c r="F23" s="196" t="s">
        <v>453</v>
      </c>
      <c r="G23" s="196">
        <v>300.07</v>
      </c>
      <c r="H23" s="196">
        <v>2.5000000000000001E-3</v>
      </c>
      <c r="I23" s="196">
        <v>0.05</v>
      </c>
      <c r="J23" s="196" t="s">
        <v>452</v>
      </c>
      <c r="K23" s="196">
        <v>1006.07</v>
      </c>
      <c r="L23" s="196" t="s">
        <v>466</v>
      </c>
      <c r="M23" s="196">
        <v>51.15</v>
      </c>
      <c r="N23" s="196">
        <v>1506913200</v>
      </c>
      <c r="O23" s="196">
        <v>0</v>
      </c>
      <c r="P23" s="196">
        <v>3.34</v>
      </c>
      <c r="Q23" s="196">
        <v>24</v>
      </c>
      <c r="R23" s="196">
        <v>7.79</v>
      </c>
      <c r="S23" s="196">
        <v>1.68</v>
      </c>
    </row>
    <row r="24" spans="1:19" x14ac:dyDescent="0.25">
      <c r="A24" s="196">
        <v>48.56</v>
      </c>
      <c r="B24" s="196">
        <v>0.62</v>
      </c>
      <c r="C24" s="196">
        <v>43.69</v>
      </c>
      <c r="D24" s="8">
        <v>43009.916666666664</v>
      </c>
      <c r="E24" s="196">
        <v>0.83</v>
      </c>
      <c r="F24" s="196" t="s">
        <v>453</v>
      </c>
      <c r="G24" s="196">
        <v>298.97000000000003</v>
      </c>
      <c r="H24" s="196">
        <v>2.5000000000000001E-3</v>
      </c>
      <c r="I24" s="196">
        <v>0.24</v>
      </c>
      <c r="J24" s="196" t="s">
        <v>452</v>
      </c>
      <c r="K24" s="196">
        <v>1006.87</v>
      </c>
      <c r="L24" s="196" t="s">
        <v>454</v>
      </c>
      <c r="M24" s="196">
        <v>48.56</v>
      </c>
      <c r="N24" s="196">
        <v>1506916800</v>
      </c>
      <c r="O24" s="196">
        <v>0</v>
      </c>
      <c r="P24" s="196">
        <v>3.39</v>
      </c>
      <c r="Q24" s="196">
        <v>24</v>
      </c>
      <c r="R24" s="196">
        <v>7.42</v>
      </c>
      <c r="S24" s="196">
        <v>0.81</v>
      </c>
    </row>
    <row r="25" spans="1:19" x14ac:dyDescent="0.25">
      <c r="A25" s="196">
        <v>47.35</v>
      </c>
      <c r="B25" s="196">
        <v>0.67</v>
      </c>
      <c r="C25" s="196">
        <v>43.03</v>
      </c>
      <c r="D25" s="8">
        <v>43009.958333333336</v>
      </c>
      <c r="E25" s="196">
        <v>0.85</v>
      </c>
      <c r="F25" s="196" t="s">
        <v>453</v>
      </c>
      <c r="G25" s="196">
        <v>297.41000000000003</v>
      </c>
      <c r="H25" s="196">
        <v>2.3999999999999998E-3</v>
      </c>
      <c r="I25" s="196">
        <v>0.49</v>
      </c>
      <c r="J25" s="196" t="s">
        <v>452</v>
      </c>
      <c r="K25" s="196">
        <v>1006.94</v>
      </c>
      <c r="L25" s="196" t="s">
        <v>454</v>
      </c>
      <c r="M25" s="196">
        <v>47.35</v>
      </c>
      <c r="N25" s="196">
        <v>1506920400</v>
      </c>
      <c r="O25" s="196">
        <v>0</v>
      </c>
      <c r="P25" s="196">
        <v>3.49</v>
      </c>
      <c r="Q25" s="196">
        <v>57</v>
      </c>
      <c r="R25" s="196">
        <v>6.56</v>
      </c>
      <c r="S25" s="196">
        <v>0.83</v>
      </c>
    </row>
    <row r="26" spans="1:19" x14ac:dyDescent="0.25">
      <c r="A26" s="196">
        <v>46.73</v>
      </c>
      <c r="B26" s="196">
        <v>0.73</v>
      </c>
      <c r="C26" s="196">
        <v>42.31</v>
      </c>
      <c r="D26" s="8">
        <v>43010</v>
      </c>
      <c r="E26" s="196">
        <v>0.85</v>
      </c>
      <c r="F26" s="196" t="s">
        <v>453</v>
      </c>
      <c r="G26" s="196">
        <v>296.19</v>
      </c>
      <c r="H26" s="196">
        <v>1E-3</v>
      </c>
      <c r="I26" s="196">
        <v>0.27</v>
      </c>
      <c r="J26" s="196" t="s">
        <v>452</v>
      </c>
      <c r="K26" s="196">
        <v>1007.05</v>
      </c>
      <c r="L26" s="196" t="s">
        <v>454</v>
      </c>
      <c r="M26" s="196">
        <v>46.73</v>
      </c>
      <c r="N26" s="196">
        <v>1506924000</v>
      </c>
      <c r="O26" s="196">
        <v>0</v>
      </c>
      <c r="P26" s="196">
        <v>3.61</v>
      </c>
      <c r="Q26" s="196">
        <v>85</v>
      </c>
      <c r="R26" s="196">
        <v>4.8600000000000003</v>
      </c>
      <c r="S26" s="196">
        <v>0.83</v>
      </c>
    </row>
    <row r="27" spans="1:19" x14ac:dyDescent="0.25">
      <c r="A27" s="196">
        <v>46.19</v>
      </c>
      <c r="B27" s="196">
        <v>0.81</v>
      </c>
      <c r="C27" s="196">
        <v>42.61</v>
      </c>
      <c r="D27" s="8">
        <v>43010.041666666664</v>
      </c>
      <c r="E27" s="196">
        <v>0.87</v>
      </c>
      <c r="F27" s="196" t="s">
        <v>453</v>
      </c>
      <c r="G27" s="196">
        <v>295.41000000000003</v>
      </c>
      <c r="H27" s="196">
        <v>1.5E-3</v>
      </c>
      <c r="I27" s="196">
        <v>0.05</v>
      </c>
      <c r="J27" s="196" t="s">
        <v>452</v>
      </c>
      <c r="K27" s="196">
        <v>1006.77</v>
      </c>
      <c r="L27" s="196" t="s">
        <v>454</v>
      </c>
      <c r="M27" s="196">
        <v>46.19</v>
      </c>
      <c r="N27" s="196">
        <v>1506927600</v>
      </c>
      <c r="O27" s="196">
        <v>0</v>
      </c>
      <c r="P27" s="196">
        <v>3.83</v>
      </c>
      <c r="Q27" s="196">
        <v>107</v>
      </c>
      <c r="R27" s="196">
        <v>3.4</v>
      </c>
      <c r="S27" s="196">
        <v>0.28999999999999998</v>
      </c>
    </row>
    <row r="28" spans="1:19" x14ac:dyDescent="0.25">
      <c r="A28" s="196">
        <v>45.27</v>
      </c>
      <c r="B28" s="196">
        <v>0.79</v>
      </c>
      <c r="C28" s="196">
        <v>42.27</v>
      </c>
      <c r="D28" s="8">
        <v>43010.083333333336</v>
      </c>
      <c r="E28" s="196">
        <v>0.89</v>
      </c>
      <c r="F28" s="196" t="s">
        <v>453</v>
      </c>
      <c r="G28" s="196">
        <v>294.85000000000002</v>
      </c>
      <c r="H28" s="196">
        <v>3.0999999999999999E-3</v>
      </c>
      <c r="I28" s="196">
        <v>0.08</v>
      </c>
      <c r="J28" s="196" t="s">
        <v>452</v>
      </c>
      <c r="K28" s="196">
        <v>1007.21</v>
      </c>
      <c r="L28" s="196" t="s">
        <v>454</v>
      </c>
      <c r="M28" s="196">
        <v>45.27</v>
      </c>
      <c r="N28" s="196">
        <v>1506931200</v>
      </c>
      <c r="O28" s="196">
        <v>0</v>
      </c>
      <c r="P28" s="196">
        <v>2.97</v>
      </c>
      <c r="Q28" s="196">
        <v>340</v>
      </c>
      <c r="R28" s="196">
        <v>3.93</v>
      </c>
      <c r="S28" s="196">
        <v>0.45</v>
      </c>
    </row>
    <row r="29" spans="1:19" x14ac:dyDescent="0.25">
      <c r="A29" s="196">
        <v>44.09</v>
      </c>
      <c r="B29" s="196">
        <v>0.9</v>
      </c>
      <c r="C29" s="196">
        <v>41.02</v>
      </c>
      <c r="D29" s="8">
        <v>43010.125</v>
      </c>
      <c r="E29" s="196">
        <v>0.89</v>
      </c>
      <c r="F29" s="196" t="s">
        <v>453</v>
      </c>
      <c r="G29" s="196">
        <v>294.51</v>
      </c>
      <c r="H29" s="196">
        <v>4.4000000000000003E-3</v>
      </c>
      <c r="I29" s="196">
        <v>0.26</v>
      </c>
      <c r="J29" s="196" t="s">
        <v>452</v>
      </c>
      <c r="K29" s="196">
        <v>1007.69</v>
      </c>
      <c r="L29" s="196" t="s">
        <v>454</v>
      </c>
      <c r="M29" s="196">
        <v>44.09</v>
      </c>
      <c r="N29" s="196">
        <v>1506934800</v>
      </c>
      <c r="O29" s="196">
        <v>0</v>
      </c>
      <c r="P29" s="196">
        <v>2.92</v>
      </c>
      <c r="Q29" s="196">
        <v>333</v>
      </c>
      <c r="R29" s="196">
        <v>5.1100000000000003</v>
      </c>
      <c r="S29" s="196">
        <v>1.45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327</v>
      </c>
      <c r="U1" s="156"/>
      <c r="V1" s="156"/>
      <c r="W1" s="156"/>
      <c r="X1" s="156"/>
    </row>
    <row r="2" spans="1:32" ht="15.75" thickBot="1" x14ac:dyDescent="0.3">
      <c r="A2" s="12">
        <v>43009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328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329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330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331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407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965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966</v>
      </c>
      <c r="J20" s="140" t="s">
        <v>87</v>
      </c>
      <c r="M20" s="154" t="s">
        <v>342</v>
      </c>
      <c r="N20" s="154" t="s">
        <v>326</v>
      </c>
      <c r="T20" s="155"/>
      <c r="U20" s="155"/>
      <c r="V20" s="155"/>
      <c r="W20" s="155"/>
      <c r="X20" s="155"/>
    </row>
    <row r="21" spans="3:24" x14ac:dyDescent="0.25">
      <c r="C21" t="s">
        <v>967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968</v>
      </c>
      <c r="J22" s="140" t="s">
        <v>92</v>
      </c>
      <c r="K22" s="140" t="s">
        <v>585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969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970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971</v>
      </c>
      <c r="J25" s="140" t="s">
        <v>145</v>
      </c>
      <c r="M25" s="154" t="b">
        <v>1</v>
      </c>
    </row>
    <row r="26" spans="3:24" x14ac:dyDescent="0.25">
      <c r="C26" t="s">
        <v>972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c:\users\tmcdowell\Documents\GitHub\eaglep3-reporting\EC\2017-10-01-refined-times.txt</v>
      </c>
    </row>
    <row r="27" spans="3:24" x14ac:dyDescent="0.25">
      <c r="C27" t="s">
        <v>973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c:\users\tmcdowell\Documents\GitHub\eaglep3-reporting\EC\2017-10-01-Enforcements.txt</v>
      </c>
    </row>
    <row r="28" spans="3:24" x14ac:dyDescent="0.25">
      <c r="C28" t="s">
        <v>974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c:\users\tmcdowell\Documents\GitHub\eaglep3-reporting\EC\2017-10-01-Runs-refined.txt</v>
      </c>
    </row>
    <row r="29" spans="3:24" x14ac:dyDescent="0.25">
      <c r="C29" t="s">
        <v>975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c:\users\tmcdowell\Documents\GitHub\eaglep3-reporting\EC\2017-10-01-Trips.txt</v>
      </c>
    </row>
    <row r="30" spans="3:24" x14ac:dyDescent="0.25">
      <c r="C30" t="s">
        <v>976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c:\users\tmcdowell\Documents\GitHub\eaglep3-reporting\EC\2017-10-01-Weather.txt</v>
      </c>
    </row>
    <row r="31" spans="3:24" x14ac:dyDescent="0.25">
      <c r="C31" t="s">
        <v>977</v>
      </c>
      <c r="J31" s="140" t="s">
        <v>191</v>
      </c>
      <c r="M31" s="154" t="s">
        <v>192</v>
      </c>
    </row>
    <row r="32" spans="3:24" x14ac:dyDescent="0.25">
      <c r="C32" t="s">
        <v>978</v>
      </c>
    </row>
    <row r="33" spans="3:3" x14ac:dyDescent="0.25">
      <c r="C33" t="s">
        <v>979</v>
      </c>
    </row>
    <row r="34" spans="3:3" x14ac:dyDescent="0.25">
      <c r="C34" t="s">
        <v>980</v>
      </c>
    </row>
    <row r="35" spans="3:3" x14ac:dyDescent="0.25">
      <c r="C35" t="s">
        <v>981</v>
      </c>
    </row>
    <row r="36" spans="3:3" x14ac:dyDescent="0.25">
      <c r="C36" t="s">
        <v>982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333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334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2017-10-03T00:28:59Z</dcterms:modified>
</cp:coreProperties>
</file>