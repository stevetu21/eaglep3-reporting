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Enforcements!$A$6:$AC$45</definedName>
    <definedName name="_xlnm._FilterDatabase" localSheetId="2" hidden="1">'Missing Trips'!$B$2:$I$2</definedName>
    <definedName name="_xlnm._FilterDatabase" localSheetId="0" hidden="1">'Train Runs'!$A$12:$AG$259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Runs'!$A$12:$J$70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68" i="1" l="1"/>
  <c r="X169" i="1"/>
  <c r="X170" i="1"/>
  <c r="X171" i="1"/>
  <c r="K14" i="1" l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X15" i="1" s="1"/>
  <c r="AE15" i="1"/>
  <c r="AF15" i="1"/>
  <c r="AH15" i="1"/>
  <c r="K16" i="1"/>
  <c r="L16" i="1"/>
  <c r="M16" i="1"/>
  <c r="N16" i="1" s="1"/>
  <c r="V16" i="1"/>
  <c r="Y16" i="1"/>
  <c r="Z16" i="1"/>
  <c r="AA16" i="1" s="1"/>
  <c r="AB16" i="1"/>
  <c r="AC16" i="1"/>
  <c r="AD16" i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R17" i="3" s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X23" i="1" s="1"/>
  <c r="AE23" i="1"/>
  <c r="AF23" i="1"/>
  <c r="AH23" i="1"/>
  <c r="K24" i="1"/>
  <c r="L24" i="1"/>
  <c r="M24" i="1"/>
  <c r="N24" i="1" s="1"/>
  <c r="V24" i="1"/>
  <c r="Y24" i="1"/>
  <c r="Z24" i="1"/>
  <c r="AI24" i="1" s="1"/>
  <c r="AB24" i="1"/>
  <c r="AC24" i="1"/>
  <c r="AD24" i="1"/>
  <c r="AG24" i="1" s="1"/>
  <c r="AE24" i="1"/>
  <c r="R16" i="3" s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I28" i="1" s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R11" i="3" s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X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S14" i="3" s="1"/>
  <c r="Y38" i="1"/>
  <c r="Z38" i="1"/>
  <c r="AB38" i="1"/>
  <c r="AC38" i="1"/>
  <c r="AD38" i="1"/>
  <c r="AE38" i="1"/>
  <c r="AF38" i="1"/>
  <c r="AH38" i="1"/>
  <c r="K39" i="1"/>
  <c r="L39" i="1"/>
  <c r="M39" i="1"/>
  <c r="N39" i="1" s="1"/>
  <c r="V39" i="1"/>
  <c r="S36" i="3" s="1"/>
  <c r="Y39" i="1"/>
  <c r="Z39" i="1"/>
  <c r="AB39" i="1"/>
  <c r="AC39" i="1"/>
  <c r="AD39" i="1"/>
  <c r="AG39" i="1" s="1"/>
  <c r="AI39" i="1" s="1"/>
  <c r="AE39" i="1"/>
  <c r="AF39" i="1"/>
  <c r="AH39" i="1"/>
  <c r="K40" i="1"/>
  <c r="L40" i="1"/>
  <c r="M40" i="1"/>
  <c r="N40" i="1"/>
  <c r="V40" i="1"/>
  <c r="Y40" i="1"/>
  <c r="Z40" i="1"/>
  <c r="AB40" i="1"/>
  <c r="AC40" i="1"/>
  <c r="AD40" i="1"/>
  <c r="AG40" i="1" s="1"/>
  <c r="AE40" i="1"/>
  <c r="AF40" i="1"/>
  <c r="AH40" i="1"/>
  <c r="AI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A43" i="1" s="1"/>
  <c r="AB43" i="1"/>
  <c r="AC43" i="1"/>
  <c r="AD43" i="1"/>
  <c r="T43" i="1" s="1"/>
  <c r="AE43" i="1"/>
  <c r="AF43" i="1"/>
  <c r="AG43" i="1"/>
  <c r="AH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X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R20" i="3" s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K51" i="1"/>
  <c r="L51" i="1"/>
  <c r="M51" i="1"/>
  <c r="N51" i="1" s="1"/>
  <c r="V51" i="1"/>
  <c r="S19" i="3" s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S31" i="3" s="1"/>
  <c r="Y52" i="1"/>
  <c r="Z52" i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X53" i="1"/>
  <c r="Y53" i="1"/>
  <c r="Z53" i="1"/>
  <c r="AB53" i="1"/>
  <c r="AC53" i="1"/>
  <c r="AD53" i="1"/>
  <c r="T53" i="1" s="1"/>
  <c r="AE53" i="1"/>
  <c r="AF53" i="1"/>
  <c r="AG53" i="1"/>
  <c r="AH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X57" i="1" s="1"/>
  <c r="AE57" i="1"/>
  <c r="R37" i="3" s="1"/>
  <c r="AF57" i="1"/>
  <c r="AH57" i="1"/>
  <c r="K58" i="1"/>
  <c r="L58" i="1"/>
  <c r="M58" i="1"/>
  <c r="N58" i="1" s="1"/>
  <c r="V58" i="1"/>
  <c r="Y58" i="1"/>
  <c r="Z58" i="1"/>
  <c r="AA58" i="1" s="1"/>
  <c r="W58" i="1" s="1"/>
  <c r="AB58" i="1"/>
  <c r="AC58" i="1"/>
  <c r="AD58" i="1"/>
  <c r="AG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R28" i="3" s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R18" i="3" s="1"/>
  <c r="AF65" i="1"/>
  <c r="AH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S38" i="3" s="1"/>
  <c r="Y75" i="1"/>
  <c r="Z75" i="1"/>
  <c r="AB75" i="1"/>
  <c r="AC75" i="1"/>
  <c r="AD75" i="1"/>
  <c r="T75" i="1" s="1"/>
  <c r="AE75" i="1"/>
  <c r="R38" i="3" s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X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P79" i="1" s="1"/>
  <c r="V79" i="1"/>
  <c r="Y79" i="1"/>
  <c r="Z79" i="1"/>
  <c r="AB79" i="1"/>
  <c r="AC79" i="1"/>
  <c r="AD79" i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S23" i="3" s="1"/>
  <c r="Y84" i="1"/>
  <c r="Z84" i="1"/>
  <c r="AB84" i="1"/>
  <c r="AC84" i="1"/>
  <c r="AD84" i="1"/>
  <c r="X84" i="1" s="1"/>
  <c r="AE84" i="1"/>
  <c r="R23" i="3" s="1"/>
  <c r="AF84" i="1"/>
  <c r="AH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S32" i="3" s="1"/>
  <c r="Y90" i="1"/>
  <c r="Z90" i="1"/>
  <c r="AB90" i="1"/>
  <c r="AC90" i="1"/>
  <c r="AD90" i="1"/>
  <c r="AG90" i="1" s="1"/>
  <c r="AE90" i="1"/>
  <c r="R32" i="3" s="1"/>
  <c r="AF90" i="1"/>
  <c r="AH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T101" i="1"/>
  <c r="V101" i="1"/>
  <c r="Y101" i="1"/>
  <c r="Z101" i="1"/>
  <c r="AB101" i="1"/>
  <c r="AC101" i="1"/>
  <c r="AD101" i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G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A112" i="1" s="1"/>
  <c r="W112" i="1" s="1"/>
  <c r="AB112" i="1"/>
  <c r="AC112" i="1"/>
  <c r="AD112" i="1"/>
  <c r="AG112" i="1" s="1"/>
  <c r="AE112" i="1"/>
  <c r="R12" i="3" s="1"/>
  <c r="AF112" i="1"/>
  <c r="AH112" i="1"/>
  <c r="K113" i="1"/>
  <c r="L113" i="1"/>
  <c r="M113" i="1"/>
  <c r="N113" i="1" s="1"/>
  <c r="V113" i="1"/>
  <c r="Y113" i="1"/>
  <c r="Z113" i="1"/>
  <c r="AA113" i="1" s="1"/>
  <c r="AB113" i="1"/>
  <c r="AC113" i="1"/>
  <c r="AD113" i="1"/>
  <c r="T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K121" i="1"/>
  <c r="L121" i="1"/>
  <c r="M121" i="1"/>
  <c r="N121" i="1" s="1"/>
  <c r="V121" i="1"/>
  <c r="S7" i="3" s="1"/>
  <c r="Y121" i="1"/>
  <c r="Z121" i="1"/>
  <c r="AB121" i="1"/>
  <c r="AC121" i="1"/>
  <c r="AD121" i="1"/>
  <c r="T121" i="1" s="1"/>
  <c r="AE121" i="1"/>
  <c r="R7" i="3" s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 s="1"/>
  <c r="V126" i="1"/>
  <c r="S22" i="3" s="1"/>
  <c r="Y126" i="1"/>
  <c r="Z126" i="1"/>
  <c r="AB126" i="1"/>
  <c r="AC126" i="1"/>
  <c r="AD126" i="1"/>
  <c r="AG126" i="1" s="1"/>
  <c r="AE126" i="1"/>
  <c r="R22" i="3" s="1"/>
  <c r="AF126" i="1"/>
  <c r="AH126" i="1"/>
  <c r="K127" i="1"/>
  <c r="L127" i="1"/>
  <c r="M127" i="1"/>
  <c r="V127" i="1"/>
  <c r="S10" i="3" s="1"/>
  <c r="Y127" i="1"/>
  <c r="Z127" i="1"/>
  <c r="AB127" i="1"/>
  <c r="AC127" i="1"/>
  <c r="AD127" i="1"/>
  <c r="AG127" i="1" s="1"/>
  <c r="AE127" i="1"/>
  <c r="AF127" i="1"/>
  <c r="AH127" i="1"/>
  <c r="K128" i="1"/>
  <c r="L128" i="1"/>
  <c r="M128" i="1"/>
  <c r="V128" i="1"/>
  <c r="Y128" i="1"/>
  <c r="Z128" i="1"/>
  <c r="AB128" i="1"/>
  <c r="AC128" i="1"/>
  <c r="AD128" i="1"/>
  <c r="AG128" i="1" s="1"/>
  <c r="AE128" i="1"/>
  <c r="AF128" i="1"/>
  <c r="AH128" i="1"/>
  <c r="K129" i="1"/>
  <c r="L129" i="1"/>
  <c r="M129" i="1"/>
  <c r="V129" i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R33" i="3" s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V132" i="1"/>
  <c r="Y132" i="1"/>
  <c r="Z132" i="1"/>
  <c r="AB132" i="1"/>
  <c r="AC132" i="1"/>
  <c r="AD132" i="1"/>
  <c r="AG132" i="1" s="1"/>
  <c r="AE132" i="1"/>
  <c r="R27" i="3" s="1"/>
  <c r="AF132" i="1"/>
  <c r="AH132" i="1"/>
  <c r="K133" i="1"/>
  <c r="L133" i="1"/>
  <c r="M133" i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K142" i="1"/>
  <c r="L142" i="1"/>
  <c r="M142" i="1"/>
  <c r="N142" i="1" s="1"/>
  <c r="V142" i="1"/>
  <c r="S13" i="3" s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K151" i="1"/>
  <c r="L151" i="1"/>
  <c r="M151" i="1"/>
  <c r="N151" i="1" s="1"/>
  <c r="V151" i="1"/>
  <c r="S35" i="3" s="1"/>
  <c r="Y151" i="1"/>
  <c r="Z151" i="1"/>
  <c r="AB151" i="1"/>
  <c r="AC151" i="1"/>
  <c r="AD151" i="1"/>
  <c r="T151" i="1" s="1"/>
  <c r="AE151" i="1"/>
  <c r="R35" i="3" s="1"/>
  <c r="AF151" i="1"/>
  <c r="AH151" i="1"/>
  <c r="K152" i="1"/>
  <c r="L152" i="1"/>
  <c r="M152" i="1"/>
  <c r="P152" i="1" s="1"/>
  <c r="V152" i="1"/>
  <c r="S24" i="3" s="1"/>
  <c r="Y152" i="1"/>
  <c r="Z152" i="1"/>
  <c r="AB152" i="1"/>
  <c r="AC152" i="1"/>
  <c r="AD152" i="1"/>
  <c r="AE152" i="1"/>
  <c r="R24" i="3" s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K154" i="1"/>
  <c r="L154" i="1"/>
  <c r="M154" i="1"/>
  <c r="N154" i="1" s="1"/>
  <c r="V154" i="1"/>
  <c r="S8" i="3" s="1"/>
  <c r="Y154" i="1"/>
  <c r="Z154" i="1"/>
  <c r="AB154" i="1"/>
  <c r="AC154" i="1"/>
  <c r="AD154" i="1"/>
  <c r="AE154" i="1"/>
  <c r="R8" i="3" s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9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0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1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2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3" i="1"/>
  <c r="K228" i="1"/>
  <c r="L228" i="1"/>
  <c r="M228" i="1"/>
  <c r="N228" i="1" s="1"/>
  <c r="V228" i="1"/>
  <c r="S45" i="3" s="1"/>
  <c r="Y228" i="1"/>
  <c r="Z228" i="1"/>
  <c r="AB228" i="1"/>
  <c r="AC228" i="1"/>
  <c r="AD228" i="1"/>
  <c r="T228" i="1" s="1"/>
  <c r="AE228" i="1"/>
  <c r="R45" i="3" s="1"/>
  <c r="AF228" i="1"/>
  <c r="AH174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5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AH176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AH177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7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79" i="1"/>
  <c r="K164" i="1"/>
  <c r="L164" i="1"/>
  <c r="M164" i="1"/>
  <c r="N164" i="1" s="1"/>
  <c r="V164" i="1"/>
  <c r="S40" i="3" s="1"/>
  <c r="Y164" i="1"/>
  <c r="Z164" i="1"/>
  <c r="AB164" i="1"/>
  <c r="AC164" i="1"/>
  <c r="AD164" i="1"/>
  <c r="AE164" i="1"/>
  <c r="R40" i="3" s="1"/>
  <c r="AF164" i="1"/>
  <c r="AH180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2" i="1"/>
  <c r="K167" i="1"/>
  <c r="L167" i="1"/>
  <c r="M167" i="1"/>
  <c r="N167" i="1" s="1"/>
  <c r="V167" i="1"/>
  <c r="S44" i="3" s="1"/>
  <c r="Y167" i="1"/>
  <c r="Z167" i="1"/>
  <c r="AB167" i="1"/>
  <c r="AC167" i="1"/>
  <c r="AD167" i="1"/>
  <c r="AE167" i="1"/>
  <c r="R44" i="3" s="1"/>
  <c r="AF167" i="1"/>
  <c r="AH183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84" i="1"/>
  <c r="AH185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8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7" i="1"/>
  <c r="K171" i="1"/>
  <c r="L171" i="1"/>
  <c r="M171" i="1"/>
  <c r="N171" i="1"/>
  <c r="V171" i="1"/>
  <c r="Y171" i="1"/>
  <c r="Z171" i="1"/>
  <c r="AB171" i="1"/>
  <c r="AC171" i="1"/>
  <c r="AD171" i="1"/>
  <c r="AG171" i="1" s="1"/>
  <c r="AE171" i="1"/>
  <c r="AF171" i="1"/>
  <c r="AH18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8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1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92" i="1"/>
  <c r="K176" i="1"/>
  <c r="L176" i="1"/>
  <c r="M176" i="1"/>
  <c r="N176" i="1" s="1"/>
  <c r="V176" i="1"/>
  <c r="Y176" i="1"/>
  <c r="Z176" i="1"/>
  <c r="AA176" i="1" s="1"/>
  <c r="W176" i="1" s="1"/>
  <c r="AB176" i="1"/>
  <c r="AC176" i="1"/>
  <c r="AD176" i="1"/>
  <c r="AG176" i="1" s="1"/>
  <c r="AE176" i="1"/>
  <c r="AF176" i="1"/>
  <c r="AH193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5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96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97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98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99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0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1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2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3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04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05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06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7" i="1"/>
  <c r="K191" i="1"/>
  <c r="L191" i="1"/>
  <c r="M191" i="1"/>
  <c r="N191" i="1" s="1"/>
  <c r="V191" i="1"/>
  <c r="S39" i="3" s="1"/>
  <c r="Y191" i="1"/>
  <c r="Z191" i="1"/>
  <c r="AB191" i="1"/>
  <c r="AC191" i="1"/>
  <c r="AD191" i="1"/>
  <c r="X191" i="1" s="1"/>
  <c r="AE191" i="1"/>
  <c r="R39" i="3" s="1"/>
  <c r="AF191" i="1"/>
  <c r="AH20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09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10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1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12" i="1"/>
  <c r="K196" i="1"/>
  <c r="L196" i="1"/>
  <c r="M196" i="1"/>
  <c r="N196" i="1" s="1"/>
  <c r="V196" i="1"/>
  <c r="S42" i="3" s="1"/>
  <c r="Y196" i="1"/>
  <c r="Z196" i="1"/>
  <c r="AB196" i="1"/>
  <c r="AC196" i="1"/>
  <c r="AD196" i="1"/>
  <c r="T196" i="1" s="1"/>
  <c r="AE196" i="1"/>
  <c r="R42" i="3" s="1"/>
  <c r="AF196" i="1"/>
  <c r="AH213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14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5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16" i="1"/>
  <c r="K200" i="1"/>
  <c r="L200" i="1"/>
  <c r="M200" i="1"/>
  <c r="N200" i="1" s="1"/>
  <c r="V200" i="1"/>
  <c r="Y200" i="1"/>
  <c r="Z200" i="1"/>
  <c r="AB200" i="1"/>
  <c r="AC200" i="1"/>
  <c r="AD200" i="1"/>
  <c r="X200" i="1" s="1"/>
  <c r="AE200" i="1"/>
  <c r="AF200" i="1"/>
  <c r="AH217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18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19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0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21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2" i="1"/>
  <c r="K206" i="1"/>
  <c r="L206" i="1"/>
  <c r="M206" i="1"/>
  <c r="N206" i="1" s="1"/>
  <c r="V206" i="1"/>
  <c r="S43" i="3" s="1"/>
  <c r="Y206" i="1"/>
  <c r="Z206" i="1"/>
  <c r="AB206" i="1"/>
  <c r="AC206" i="1"/>
  <c r="AD206" i="1"/>
  <c r="T206" i="1" s="1"/>
  <c r="AE206" i="1"/>
  <c r="R43" i="3" s="1"/>
  <c r="AF206" i="1"/>
  <c r="AH223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24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25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26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7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228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229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0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31" i="1"/>
  <c r="M17" i="3"/>
  <c r="N17" i="3"/>
  <c r="S17" i="3"/>
  <c r="U17" i="3"/>
  <c r="T17" i="3" s="1"/>
  <c r="V17" i="3"/>
  <c r="W17" i="3"/>
  <c r="Y17" i="3" s="1"/>
  <c r="X17" i="3"/>
  <c r="AC17" i="3"/>
  <c r="M9" i="3"/>
  <c r="N9" i="3"/>
  <c r="R9" i="3"/>
  <c r="S9" i="3"/>
  <c r="U9" i="3"/>
  <c r="AC9" i="3" s="1"/>
  <c r="V9" i="3"/>
  <c r="W9" i="3"/>
  <c r="Y9" i="3" s="1"/>
  <c r="X9" i="3"/>
  <c r="M40" i="3"/>
  <c r="N40" i="3"/>
  <c r="U40" i="3"/>
  <c r="AC40" i="3" s="1"/>
  <c r="V40" i="3"/>
  <c r="W40" i="3"/>
  <c r="X40" i="3"/>
  <c r="Y40" i="3"/>
  <c r="M16" i="3"/>
  <c r="N16" i="3"/>
  <c r="S16" i="3"/>
  <c r="U16" i="3"/>
  <c r="T16" i="3" s="1"/>
  <c r="V16" i="3"/>
  <c r="W16" i="3"/>
  <c r="X16" i="3"/>
  <c r="Y16" i="3"/>
  <c r="M44" i="3"/>
  <c r="N44" i="3"/>
  <c r="U44" i="3"/>
  <c r="T44" i="3" s="1"/>
  <c r="V44" i="3"/>
  <c r="W44" i="3"/>
  <c r="Y44" i="3" s="1"/>
  <c r="X44" i="3"/>
  <c r="AC44" i="3"/>
  <c r="M11" i="3"/>
  <c r="N11" i="3"/>
  <c r="S11" i="3"/>
  <c r="U11" i="3"/>
  <c r="AC11" i="3" s="1"/>
  <c r="V11" i="3"/>
  <c r="W11" i="3"/>
  <c r="X11" i="3"/>
  <c r="M36" i="3"/>
  <c r="N36" i="3"/>
  <c r="R36" i="3"/>
  <c r="U36" i="3"/>
  <c r="AC36" i="3" s="1"/>
  <c r="V36" i="3"/>
  <c r="W36" i="3"/>
  <c r="X36" i="3"/>
  <c r="M14" i="3"/>
  <c r="N14" i="3"/>
  <c r="R14" i="3"/>
  <c r="U14" i="3"/>
  <c r="T14" i="3" s="1"/>
  <c r="V14" i="3"/>
  <c r="W14" i="3"/>
  <c r="X14" i="3"/>
  <c r="M20" i="3"/>
  <c r="N20" i="3"/>
  <c r="S20" i="3"/>
  <c r="U20" i="3"/>
  <c r="T20" i="3" s="1"/>
  <c r="V20" i="3"/>
  <c r="W20" i="3"/>
  <c r="X20" i="3"/>
  <c r="AC20" i="3"/>
  <c r="M21" i="3"/>
  <c r="N21" i="3"/>
  <c r="S21" i="3"/>
  <c r="U21" i="3"/>
  <c r="AC21" i="3" s="1"/>
  <c r="V21" i="3"/>
  <c r="W21" i="3"/>
  <c r="X21" i="3"/>
  <c r="M19" i="3"/>
  <c r="N19" i="3"/>
  <c r="R19" i="3"/>
  <c r="U19" i="3"/>
  <c r="AC19" i="3" s="1"/>
  <c r="V19" i="3"/>
  <c r="W19" i="3"/>
  <c r="Y19" i="3" s="1"/>
  <c r="X19" i="3"/>
  <c r="M31" i="3"/>
  <c r="N31" i="3"/>
  <c r="R31" i="3"/>
  <c r="U31" i="3"/>
  <c r="T31" i="3" s="1"/>
  <c r="V31" i="3"/>
  <c r="W31" i="3"/>
  <c r="Y31" i="3" s="1"/>
  <c r="X31" i="3"/>
  <c r="M37" i="3"/>
  <c r="N37" i="3"/>
  <c r="S37" i="3"/>
  <c r="U37" i="3"/>
  <c r="T37" i="3" s="1"/>
  <c r="V37" i="3"/>
  <c r="W37" i="3"/>
  <c r="X37" i="3"/>
  <c r="AC37" i="3"/>
  <c r="M15" i="3"/>
  <c r="N15" i="3"/>
  <c r="R15" i="3"/>
  <c r="S15" i="3"/>
  <c r="U15" i="3"/>
  <c r="AC15" i="3" s="1"/>
  <c r="V15" i="3"/>
  <c r="W15" i="3"/>
  <c r="X15" i="3"/>
  <c r="M18" i="3"/>
  <c r="N18" i="3"/>
  <c r="S18" i="3"/>
  <c r="T18" i="3"/>
  <c r="U18" i="3"/>
  <c r="AC18" i="3" s="1"/>
  <c r="V18" i="3"/>
  <c r="W18" i="3"/>
  <c r="X18" i="3"/>
  <c r="M25" i="3"/>
  <c r="N25" i="3"/>
  <c r="S25" i="3"/>
  <c r="U25" i="3"/>
  <c r="T25" i="3" s="1"/>
  <c r="V25" i="3"/>
  <c r="W25" i="3"/>
  <c r="X25" i="3"/>
  <c r="Y25" i="3"/>
  <c r="M28" i="3"/>
  <c r="N28" i="3"/>
  <c r="S28" i="3"/>
  <c r="U28" i="3"/>
  <c r="T28" i="3" s="1"/>
  <c r="V28" i="3"/>
  <c r="W28" i="3"/>
  <c r="Y28" i="3" s="1"/>
  <c r="X28" i="3"/>
  <c r="AC28" i="3"/>
  <c r="M45" i="3"/>
  <c r="N45" i="3"/>
  <c r="U45" i="3"/>
  <c r="AC45" i="3" s="1"/>
  <c r="V45" i="3"/>
  <c r="W45" i="3"/>
  <c r="X45" i="3"/>
  <c r="M38" i="3"/>
  <c r="N38" i="3"/>
  <c r="U38" i="3"/>
  <c r="AC38" i="3" s="1"/>
  <c r="V38" i="3"/>
  <c r="W38" i="3"/>
  <c r="X38" i="3"/>
  <c r="Y38" i="3"/>
  <c r="M23" i="3"/>
  <c r="N23" i="3"/>
  <c r="U23" i="3"/>
  <c r="T23" i="3" s="1"/>
  <c r="V23" i="3"/>
  <c r="W23" i="3"/>
  <c r="X23" i="3"/>
  <c r="M32" i="3"/>
  <c r="N32" i="3"/>
  <c r="U32" i="3"/>
  <c r="T32" i="3" s="1"/>
  <c r="V32" i="3"/>
  <c r="W32" i="3"/>
  <c r="X32" i="3"/>
  <c r="AC32" i="3"/>
  <c r="M39" i="3"/>
  <c r="N39" i="3"/>
  <c r="U39" i="3"/>
  <c r="AC39" i="3" s="1"/>
  <c r="V39" i="3"/>
  <c r="W39" i="3"/>
  <c r="Y39" i="3" s="1"/>
  <c r="X39" i="3"/>
  <c r="M7" i="3"/>
  <c r="N7" i="3"/>
  <c r="T7" i="3"/>
  <c r="U7" i="3"/>
  <c r="AC7" i="3" s="1"/>
  <c r="V7" i="3"/>
  <c r="W7" i="3"/>
  <c r="Y7" i="3" s="1"/>
  <c r="X7" i="3"/>
  <c r="M12" i="3"/>
  <c r="N12" i="3"/>
  <c r="S12" i="3"/>
  <c r="U12" i="3"/>
  <c r="T12" i="3" s="1"/>
  <c r="V12" i="3"/>
  <c r="W12" i="3"/>
  <c r="Y12" i="3" s="1"/>
  <c r="X12" i="3"/>
  <c r="M41" i="3"/>
  <c r="N41" i="3"/>
  <c r="U41" i="3"/>
  <c r="T41" i="3" s="1"/>
  <c r="V41" i="3"/>
  <c r="W41" i="3"/>
  <c r="X41" i="3"/>
  <c r="AC41" i="3"/>
  <c r="M42" i="3"/>
  <c r="N42" i="3"/>
  <c r="U42" i="3"/>
  <c r="AC42" i="3" s="1"/>
  <c r="V42" i="3"/>
  <c r="W42" i="3"/>
  <c r="X42" i="3"/>
  <c r="M10" i="3"/>
  <c r="N10" i="3"/>
  <c r="R10" i="3"/>
  <c r="T10" i="3"/>
  <c r="U10" i="3"/>
  <c r="AC10" i="3" s="1"/>
  <c r="V10" i="3"/>
  <c r="W10" i="3"/>
  <c r="Y10" i="3" s="1"/>
  <c r="X10" i="3"/>
  <c r="M29" i="3"/>
  <c r="N29" i="3"/>
  <c r="R29" i="3"/>
  <c r="S29" i="3"/>
  <c r="U29" i="3"/>
  <c r="T29" i="3" s="1"/>
  <c r="V29" i="3"/>
  <c r="W29" i="3"/>
  <c r="Y29" i="3" s="1"/>
  <c r="X29" i="3"/>
  <c r="M30" i="3"/>
  <c r="N30" i="3"/>
  <c r="R30" i="3"/>
  <c r="S30" i="3"/>
  <c r="U30" i="3"/>
  <c r="T30" i="3" s="1"/>
  <c r="V30" i="3"/>
  <c r="W30" i="3"/>
  <c r="X30" i="3"/>
  <c r="AC30" i="3"/>
  <c r="M22" i="3"/>
  <c r="N22" i="3"/>
  <c r="U22" i="3"/>
  <c r="AC22" i="3" s="1"/>
  <c r="V22" i="3"/>
  <c r="W22" i="3"/>
  <c r="X22" i="3"/>
  <c r="M33" i="3"/>
  <c r="N33" i="3"/>
  <c r="S33" i="3"/>
  <c r="T33" i="3"/>
  <c r="U33" i="3"/>
  <c r="AC33" i="3" s="1"/>
  <c r="V33" i="3"/>
  <c r="W33" i="3"/>
  <c r="X33" i="3"/>
  <c r="M34" i="3"/>
  <c r="N34" i="3"/>
  <c r="R34" i="3"/>
  <c r="S34" i="3"/>
  <c r="U34" i="3"/>
  <c r="T34" i="3" s="1"/>
  <c r="V34" i="3"/>
  <c r="W34" i="3"/>
  <c r="X34" i="3"/>
  <c r="Y34" i="3"/>
  <c r="M27" i="3"/>
  <c r="N27" i="3"/>
  <c r="S27" i="3"/>
  <c r="U27" i="3"/>
  <c r="T27" i="3" s="1"/>
  <c r="V27" i="3"/>
  <c r="W27" i="3"/>
  <c r="Y27" i="3" s="1"/>
  <c r="X27" i="3"/>
  <c r="AC27" i="3"/>
  <c r="M13" i="3"/>
  <c r="N13" i="3"/>
  <c r="R13" i="3"/>
  <c r="U13" i="3"/>
  <c r="AC13" i="3" s="1"/>
  <c r="V13" i="3"/>
  <c r="W13" i="3"/>
  <c r="X13" i="3"/>
  <c r="M43" i="3"/>
  <c r="N43" i="3"/>
  <c r="U43" i="3"/>
  <c r="AC43" i="3" s="1"/>
  <c r="V43" i="3"/>
  <c r="W43" i="3"/>
  <c r="X43" i="3"/>
  <c r="Y43" i="3"/>
  <c r="M24" i="3"/>
  <c r="N24" i="3"/>
  <c r="U24" i="3"/>
  <c r="T24" i="3" s="1"/>
  <c r="V24" i="3"/>
  <c r="W24" i="3"/>
  <c r="X24" i="3"/>
  <c r="M8" i="3"/>
  <c r="N8" i="3"/>
  <c r="U8" i="3"/>
  <c r="T8" i="3" s="1"/>
  <c r="V8" i="3"/>
  <c r="W8" i="3"/>
  <c r="X8" i="3"/>
  <c r="AC8" i="3"/>
  <c r="M35" i="3"/>
  <c r="N35" i="3"/>
  <c r="U35" i="3"/>
  <c r="AC35" i="3" s="1"/>
  <c r="V35" i="3"/>
  <c r="W35" i="3"/>
  <c r="Y35" i="3" s="1"/>
  <c r="X35" i="3"/>
  <c r="R41" i="3" l="1"/>
  <c r="AA93" i="1"/>
  <c r="AI36" i="1"/>
  <c r="AA32" i="1"/>
  <c r="W32" i="1" s="1"/>
  <c r="AA74" i="1"/>
  <c r="AA70" i="1"/>
  <c r="W70" i="1" s="1"/>
  <c r="AI226" i="1"/>
  <c r="R25" i="3"/>
  <c r="T168" i="1"/>
  <c r="AG209" i="1"/>
  <c r="U209" i="1" s="1"/>
  <c r="S209" i="1" s="1"/>
  <c r="T155" i="1"/>
  <c r="X155" i="1"/>
  <c r="T154" i="1"/>
  <c r="X154" i="1"/>
  <c r="AG153" i="1"/>
  <c r="X153" i="1"/>
  <c r="T152" i="1"/>
  <c r="X152" i="1"/>
  <c r="AA143" i="1"/>
  <c r="AA103" i="1"/>
  <c r="AA102" i="1"/>
  <c r="X188" i="1"/>
  <c r="AA191" i="1"/>
  <c r="AA190" i="1"/>
  <c r="AA189" i="1"/>
  <c r="T183" i="1"/>
  <c r="U183" i="1" s="1"/>
  <c r="S183" i="1" s="1"/>
  <c r="AA231" i="1"/>
  <c r="W231" i="1" s="1"/>
  <c r="AA145" i="1"/>
  <c r="AA129" i="1"/>
  <c r="P127" i="1"/>
  <c r="AA101" i="1"/>
  <c r="AA85" i="1"/>
  <c r="AG82" i="1"/>
  <c r="AI82" i="1" s="1"/>
  <c r="X82" i="1"/>
  <c r="T81" i="1"/>
  <c r="X81" i="1"/>
  <c r="T80" i="1"/>
  <c r="X80" i="1"/>
  <c r="AG79" i="1"/>
  <c r="X79" i="1"/>
  <c r="T39" i="1"/>
  <c r="X66" i="1"/>
  <c r="S41" i="3"/>
  <c r="T222" i="1"/>
  <c r="AA203" i="1"/>
  <c r="AA202" i="1"/>
  <c r="AA201" i="1"/>
  <c r="AA200" i="1"/>
  <c r="AA199" i="1"/>
  <c r="AG227" i="1"/>
  <c r="AA219" i="1"/>
  <c r="P132" i="1"/>
  <c r="T127" i="1"/>
  <c r="U127" i="1" s="1"/>
  <c r="T47" i="1"/>
  <c r="U47" i="1" s="1"/>
  <c r="S47" i="1" s="1"/>
  <c r="AG27" i="1"/>
  <c r="AG192" i="1"/>
  <c r="AI192" i="1" s="1"/>
  <c r="X192" i="1"/>
  <c r="AI44" i="1"/>
  <c r="R21" i="3"/>
  <c r="AG224" i="1"/>
  <c r="U224" i="1" s="1"/>
  <c r="S224" i="1" s="1"/>
  <c r="AG207" i="1"/>
  <c r="U207" i="1" s="1"/>
  <c r="S207" i="1" s="1"/>
  <c r="X199" i="1"/>
  <c r="AA188" i="1"/>
  <c r="AA184" i="1"/>
  <c r="AA183" i="1"/>
  <c r="W183" i="1" s="1"/>
  <c r="AA168" i="1"/>
  <c r="W168" i="1" s="1"/>
  <c r="AI230" i="1"/>
  <c r="AA227" i="1"/>
  <c r="AA160" i="1"/>
  <c r="AA152" i="1"/>
  <c r="AA151" i="1"/>
  <c r="AA149" i="1"/>
  <c r="AA148" i="1"/>
  <c r="AA146" i="1"/>
  <c r="W146" i="1" s="1"/>
  <c r="AA121" i="1"/>
  <c r="AA120" i="1"/>
  <c r="W120" i="1" s="1"/>
  <c r="AI70" i="1"/>
  <c r="X69" i="1"/>
  <c r="AG64" i="1"/>
  <c r="U64" i="1" s="1"/>
  <c r="S64" i="1" s="1"/>
  <c r="AA192" i="1"/>
  <c r="W192" i="1" s="1"/>
  <c r="T191" i="1"/>
  <c r="T176" i="1"/>
  <c r="U176" i="1" s="1"/>
  <c r="S176" i="1" s="1"/>
  <c r="T231" i="1"/>
  <c r="U231" i="1" s="1"/>
  <c r="S231" i="1" s="1"/>
  <c r="AG160" i="1"/>
  <c r="U160" i="1" s="1"/>
  <c r="AA141" i="1"/>
  <c r="T136" i="1"/>
  <c r="U136" i="1" s="1"/>
  <c r="S136" i="1" s="1"/>
  <c r="AA125" i="1"/>
  <c r="T112" i="1"/>
  <c r="U112" i="1" s="1"/>
  <c r="S112" i="1" s="1"/>
  <c r="AA52" i="1"/>
  <c r="AA51" i="1"/>
  <c r="AI48" i="1"/>
  <c r="AG30" i="1"/>
  <c r="U30" i="1" s="1"/>
  <c r="S30" i="1" s="1"/>
  <c r="AA28" i="1"/>
  <c r="W28" i="1" s="1"/>
  <c r="AA19" i="1"/>
  <c r="AG16" i="1"/>
  <c r="W16" i="1" s="1"/>
  <c r="X16" i="1"/>
  <c r="T14" i="1"/>
  <c r="AG203" i="1"/>
  <c r="AI203" i="1" s="1"/>
  <c r="AG191" i="1"/>
  <c r="U191" i="1" s="1"/>
  <c r="S191" i="1" s="1"/>
  <c r="AG178" i="1"/>
  <c r="U178" i="1" s="1"/>
  <c r="AG163" i="1"/>
  <c r="AA224" i="1"/>
  <c r="AG194" i="1"/>
  <c r="U194" i="1" s="1"/>
  <c r="AG184" i="1"/>
  <c r="W184" i="1" s="1"/>
  <c r="X183" i="1"/>
  <c r="AA181" i="1"/>
  <c r="AA180" i="1"/>
  <c r="AA179" i="1"/>
  <c r="AG172" i="1"/>
  <c r="AA170" i="1"/>
  <c r="AA158" i="1"/>
  <c r="T148" i="1"/>
  <c r="X144" i="1"/>
  <c r="AA140" i="1"/>
  <c r="W140" i="1" s="1"/>
  <c r="T120" i="1"/>
  <c r="U120" i="1" s="1"/>
  <c r="S120" i="1" s="1"/>
  <c r="AA117" i="1"/>
  <c r="AA116" i="1"/>
  <c r="T57" i="1"/>
  <c r="AA45" i="1"/>
  <c r="W45" i="1" s="1"/>
  <c r="X27" i="1"/>
  <c r="AA25" i="1"/>
  <c r="AA15" i="1"/>
  <c r="T15" i="1"/>
  <c r="AA187" i="1"/>
  <c r="AG215" i="1"/>
  <c r="AI215" i="1" s="1"/>
  <c r="X212" i="1"/>
  <c r="AG123" i="1"/>
  <c r="U123" i="1" s="1"/>
  <c r="S123" i="1" s="1"/>
  <c r="AG104" i="1"/>
  <c r="AI104" i="1" s="1"/>
  <c r="X104" i="1"/>
  <c r="AA78" i="1"/>
  <c r="AA35" i="1"/>
  <c r="AG26" i="1"/>
  <c r="AI26" i="1" s="1"/>
  <c r="AG15" i="1"/>
  <c r="AI15" i="1" s="1"/>
  <c r="AG196" i="1"/>
  <c r="X196" i="1"/>
  <c r="AA178" i="1"/>
  <c r="W178" i="1" s="1"/>
  <c r="X175" i="1"/>
  <c r="X230" i="1"/>
  <c r="AG154" i="1"/>
  <c r="AI154" i="1" s="1"/>
  <c r="T140" i="1"/>
  <c r="U140" i="1" s="1"/>
  <c r="S140" i="1" s="1"/>
  <c r="AA131" i="1"/>
  <c r="AA127" i="1"/>
  <c r="W127" i="1" s="1"/>
  <c r="AG115" i="1"/>
  <c r="AI115" i="1" s="1"/>
  <c r="X112" i="1"/>
  <c r="AA110" i="1"/>
  <c r="AA105" i="1"/>
  <c r="X92" i="1"/>
  <c r="AG69" i="1"/>
  <c r="AA68" i="1"/>
  <c r="AA67" i="1"/>
  <c r="AG65" i="1"/>
  <c r="AI65" i="1" s="1"/>
  <c r="X65" i="1"/>
  <c r="AA64" i="1"/>
  <c r="AA63" i="1"/>
  <c r="AA54" i="1"/>
  <c r="W54" i="1" s="1"/>
  <c r="AA39" i="1"/>
  <c r="W39" i="1" s="1"/>
  <c r="AA37" i="1"/>
  <c r="AA27" i="1"/>
  <c r="W27" i="1" s="1"/>
  <c r="AA21" i="1"/>
  <c r="AA20" i="1"/>
  <c r="W20" i="1" s="1"/>
  <c r="AG18" i="1"/>
  <c r="T220" i="1"/>
  <c r="AG220" i="1"/>
  <c r="AI220" i="1" s="1"/>
  <c r="AG208" i="1"/>
  <c r="AI208" i="1" s="1"/>
  <c r="X208" i="1"/>
  <c r="AG204" i="1"/>
  <c r="T204" i="1"/>
  <c r="T195" i="1"/>
  <c r="X195" i="1"/>
  <c r="AG195" i="1"/>
  <c r="T167" i="1"/>
  <c r="AG167" i="1"/>
  <c r="AG164" i="1"/>
  <c r="AI164" i="1" s="1"/>
  <c r="T164" i="1"/>
  <c r="X164" i="1"/>
  <c r="X223" i="1"/>
  <c r="AI222" i="1"/>
  <c r="X204" i="1"/>
  <c r="T187" i="1"/>
  <c r="AG187" i="1"/>
  <c r="AI187" i="1" s="1"/>
  <c r="AA209" i="1"/>
  <c r="AG205" i="1"/>
  <c r="AI205" i="1" s="1"/>
  <c r="T208" i="1"/>
  <c r="AA208" i="1"/>
  <c r="W208" i="1" s="1"/>
  <c r="T217" i="1"/>
  <c r="U217" i="1" s="1"/>
  <c r="S217" i="1" s="1"/>
  <c r="AG217" i="1"/>
  <c r="AI217" i="1" s="1"/>
  <c r="AG216" i="1"/>
  <c r="AI216" i="1" s="1"/>
  <c r="T216" i="1"/>
  <c r="X216" i="1"/>
  <c r="AA174" i="1"/>
  <c r="AA229" i="1"/>
  <c r="AA211" i="1"/>
  <c r="T153" i="1"/>
  <c r="U153" i="1" s="1"/>
  <c r="S153" i="1" s="1"/>
  <c r="AG147" i="1"/>
  <c r="AG143" i="1"/>
  <c r="T84" i="1"/>
  <c r="U84" i="1" s="1"/>
  <c r="S84" i="1" s="1"/>
  <c r="T77" i="1"/>
  <c r="U53" i="1"/>
  <c r="AI32" i="1"/>
  <c r="AA204" i="1"/>
  <c r="X203" i="1"/>
  <c r="AA196" i="1"/>
  <c r="W196" i="1" s="1"/>
  <c r="AA194" i="1"/>
  <c r="W194" i="1" s="1"/>
  <c r="AG182" i="1"/>
  <c r="U182" i="1" s="1"/>
  <c r="S182" i="1" s="1"/>
  <c r="X179" i="1"/>
  <c r="AG174" i="1"/>
  <c r="AA172" i="1"/>
  <c r="AG229" i="1"/>
  <c r="U229" i="1" s="1"/>
  <c r="AA214" i="1"/>
  <c r="AA213" i="1"/>
  <c r="AG211" i="1"/>
  <c r="AI211" i="1" s="1"/>
  <c r="X161" i="1"/>
  <c r="AG158" i="1"/>
  <c r="AI158" i="1" s="1"/>
  <c r="AA156" i="1"/>
  <c r="AA154" i="1"/>
  <c r="W154" i="1" s="1"/>
  <c r="AA153" i="1"/>
  <c r="X148" i="1"/>
  <c r="T143" i="1"/>
  <c r="AG139" i="1"/>
  <c r="U139" i="1" s="1"/>
  <c r="S139" i="1" s="1"/>
  <c r="AA137" i="1"/>
  <c r="AA136" i="1"/>
  <c r="W136" i="1" s="1"/>
  <c r="AA133" i="1"/>
  <c r="X128" i="1"/>
  <c r="T119" i="1"/>
  <c r="U119" i="1" s="1"/>
  <c r="S119" i="1" s="1"/>
  <c r="AA111" i="1"/>
  <c r="AG109" i="1"/>
  <c r="AI109" i="1" s="1"/>
  <c r="X109" i="1"/>
  <c r="AG107" i="1"/>
  <c r="U107" i="1" s="1"/>
  <c r="AG105" i="1"/>
  <c r="AI105" i="1" s="1"/>
  <c r="AG97" i="1"/>
  <c r="AI97" i="1" s="1"/>
  <c r="X97" i="1"/>
  <c r="AG95" i="1"/>
  <c r="X93" i="1"/>
  <c r="AA92" i="1"/>
  <c r="AG89" i="1"/>
  <c r="U89" i="1" s="1"/>
  <c r="S89" i="1" s="1"/>
  <c r="X89" i="1"/>
  <c r="AG87" i="1"/>
  <c r="U87" i="1" s="1"/>
  <c r="S87" i="1" s="1"/>
  <c r="X85" i="1"/>
  <c r="AA84" i="1"/>
  <c r="AG81" i="1"/>
  <c r="X78" i="1"/>
  <c r="AA77" i="1"/>
  <c r="X74" i="1"/>
  <c r="AA73" i="1"/>
  <c r="AG72" i="1"/>
  <c r="U72" i="1" s="1"/>
  <c r="S72" i="1" s="1"/>
  <c r="AA65" i="1"/>
  <c r="W65" i="1" s="1"/>
  <c r="AA61" i="1"/>
  <c r="AA50" i="1"/>
  <c r="X50" i="1"/>
  <c r="AA48" i="1"/>
  <c r="W48" i="1" s="1"/>
  <c r="AA44" i="1"/>
  <c r="W44" i="1" s="1"/>
  <c r="X39" i="1"/>
  <c r="AA36" i="1"/>
  <c r="W36" i="1" s="1"/>
  <c r="AA31" i="1"/>
  <c r="U18" i="1"/>
  <c r="AA166" i="1"/>
  <c r="AA165" i="1"/>
  <c r="AA164" i="1"/>
  <c r="AA217" i="1"/>
  <c r="W217" i="1" s="1"/>
  <c r="AA216" i="1"/>
  <c r="T135" i="1"/>
  <c r="U135" i="1" s="1"/>
  <c r="S135" i="1" s="1"/>
  <c r="AA130" i="1"/>
  <c r="T124" i="1"/>
  <c r="U124" i="1" s="1"/>
  <c r="S124" i="1" s="1"/>
  <c r="X105" i="1"/>
  <c r="W43" i="1"/>
  <c r="AA33" i="1"/>
  <c r="X28" i="1"/>
  <c r="AA24" i="1"/>
  <c r="W24" i="1" s="1"/>
  <c r="T23" i="1"/>
  <c r="AI20" i="1"/>
  <c r="AA124" i="1"/>
  <c r="W124" i="1" s="1"/>
  <c r="AA115" i="1"/>
  <c r="AG111" i="1"/>
  <c r="U111" i="1" s="1"/>
  <c r="S111" i="1" s="1"/>
  <c r="X111" i="1"/>
  <c r="AA109" i="1"/>
  <c r="AG108" i="1"/>
  <c r="U108" i="1" s="1"/>
  <c r="S108" i="1" s="1"/>
  <c r="X108" i="1"/>
  <c r="AA107" i="1"/>
  <c r="W107" i="1" s="1"/>
  <c r="AA97" i="1"/>
  <c r="AG96" i="1"/>
  <c r="AI96" i="1" s="1"/>
  <c r="X96" i="1"/>
  <c r="AA95" i="1"/>
  <c r="W95" i="1" s="1"/>
  <c r="AA94" i="1"/>
  <c r="W94" i="1" s="1"/>
  <c r="AG88" i="1"/>
  <c r="AI88" i="1" s="1"/>
  <c r="X88" i="1"/>
  <c r="AA87" i="1"/>
  <c r="AA86" i="1"/>
  <c r="W86" i="1" s="1"/>
  <c r="AA81" i="1"/>
  <c r="W81" i="1" s="1"/>
  <c r="AG80" i="1"/>
  <c r="AA79" i="1"/>
  <c r="W79" i="1" s="1"/>
  <c r="AG73" i="1"/>
  <c r="U73" i="1" s="1"/>
  <c r="S73" i="1" s="1"/>
  <c r="X73" i="1"/>
  <c r="AA72" i="1"/>
  <c r="AA66" i="1"/>
  <c r="W66" i="1" s="1"/>
  <c r="AA62" i="1"/>
  <c r="W62" i="1" s="1"/>
  <c r="AG60" i="1"/>
  <c r="AI60" i="1" s="1"/>
  <c r="AI41" i="1"/>
  <c r="AA41" i="1"/>
  <c r="W41" i="1" s="1"/>
  <c r="AA225" i="1"/>
  <c r="AA223" i="1"/>
  <c r="W223" i="1" s="1"/>
  <c r="T223" i="1"/>
  <c r="U223" i="1" s="1"/>
  <c r="S223" i="1" s="1"/>
  <c r="U222" i="1"/>
  <c r="S222" i="1" s="1"/>
  <c r="T200" i="1"/>
  <c r="AG198" i="1"/>
  <c r="U198" i="1" s="1"/>
  <c r="S198" i="1" s="1"/>
  <c r="W191" i="1"/>
  <c r="T188" i="1"/>
  <c r="U188" i="1" s="1"/>
  <c r="S188" i="1" s="1"/>
  <c r="AG186" i="1"/>
  <c r="U186" i="1" s="1"/>
  <c r="AA182" i="1"/>
  <c r="AG180" i="1"/>
  <c r="U180" i="1" s="1"/>
  <c r="S180" i="1" s="1"/>
  <c r="W179" i="1"/>
  <c r="T179" i="1"/>
  <c r="AA177" i="1"/>
  <c r="AG170" i="1"/>
  <c r="AA167" i="1"/>
  <c r="W167" i="1" s="1"/>
  <c r="AG165" i="1"/>
  <c r="U165" i="1" s="1"/>
  <c r="S165" i="1" s="1"/>
  <c r="AA162" i="1"/>
  <c r="X226" i="1"/>
  <c r="AG219" i="1"/>
  <c r="W219" i="1" s="1"/>
  <c r="AA215" i="1"/>
  <c r="AG213" i="1"/>
  <c r="AA212" i="1"/>
  <c r="W212" i="1" s="1"/>
  <c r="T212" i="1"/>
  <c r="U212" i="1" s="1"/>
  <c r="S212" i="1" s="1"/>
  <c r="AA210" i="1"/>
  <c r="X157" i="1"/>
  <c r="AG156" i="1"/>
  <c r="AG151" i="1"/>
  <c r="AA135" i="1"/>
  <c r="W135" i="1" s="1"/>
  <c r="AA134" i="1"/>
  <c r="W134" i="1" s="1"/>
  <c r="X132" i="1"/>
  <c r="AG131" i="1"/>
  <c r="U131" i="1" s="1"/>
  <c r="AA119" i="1"/>
  <c r="W119" i="1" s="1"/>
  <c r="AA118" i="1"/>
  <c r="W118" i="1" s="1"/>
  <c r="AG116" i="1"/>
  <c r="T116" i="1"/>
  <c r="AA222" i="1"/>
  <c r="W222" i="1" s="1"/>
  <c r="AA221" i="1"/>
  <c r="AA220" i="1"/>
  <c r="AA207" i="1"/>
  <c r="AA206" i="1"/>
  <c r="AA205" i="1"/>
  <c r="AG202" i="1"/>
  <c r="W202" i="1" s="1"/>
  <c r="AG200" i="1"/>
  <c r="AG199" i="1"/>
  <c r="AI199" i="1" s="1"/>
  <c r="AA195" i="1"/>
  <c r="AA193" i="1"/>
  <c r="AG190" i="1"/>
  <c r="U190" i="1" s="1"/>
  <c r="S190" i="1" s="1"/>
  <c r="X187" i="1"/>
  <c r="AA175" i="1"/>
  <c r="W175" i="1" s="1"/>
  <c r="T175" i="1"/>
  <c r="AA173" i="1"/>
  <c r="AA163" i="1"/>
  <c r="AA230" i="1"/>
  <c r="W230" i="1" s="1"/>
  <c r="T230" i="1"/>
  <c r="U230" i="1" s="1"/>
  <c r="S230" i="1" s="1"/>
  <c r="AA228" i="1"/>
  <c r="AA161" i="1"/>
  <c r="W161" i="1" s="1"/>
  <c r="T161" i="1"/>
  <c r="AA159" i="1"/>
  <c r="X151" i="1"/>
  <c r="AA144" i="1"/>
  <c r="W144" i="1" s="1"/>
  <c r="T144" i="1"/>
  <c r="AA139" i="1"/>
  <c r="AA138" i="1"/>
  <c r="W138" i="1" s="1"/>
  <c r="X136" i="1"/>
  <c r="AA128" i="1"/>
  <c r="W128" i="1" s="1"/>
  <c r="T128" i="1"/>
  <c r="U128" i="1" s="1"/>
  <c r="AA123" i="1"/>
  <c r="W123" i="1" s="1"/>
  <c r="AA122" i="1"/>
  <c r="W122" i="1" s="1"/>
  <c r="X120" i="1"/>
  <c r="X116" i="1"/>
  <c r="X101" i="1"/>
  <c r="AG101" i="1"/>
  <c r="AA197" i="1"/>
  <c r="AA186" i="1"/>
  <c r="AA185" i="1"/>
  <c r="W174" i="1"/>
  <c r="AA171" i="1"/>
  <c r="W171" i="1" s="1"/>
  <c r="T171" i="1"/>
  <c r="U171" i="1" s="1"/>
  <c r="S171" i="1" s="1"/>
  <c r="AA169" i="1"/>
  <c r="U227" i="1"/>
  <c r="S227" i="1" s="1"/>
  <c r="AA226" i="1"/>
  <c r="W226" i="1" s="1"/>
  <c r="T226" i="1"/>
  <c r="U226" i="1" s="1"/>
  <c r="S226" i="1" s="1"/>
  <c r="AA218" i="1"/>
  <c r="AA157" i="1"/>
  <c r="W157" i="1" s="1"/>
  <c r="T157" i="1"/>
  <c r="U157" i="1" s="1"/>
  <c r="S157" i="1" s="1"/>
  <c r="AA155" i="1"/>
  <c r="AA147" i="1"/>
  <c r="W143" i="1"/>
  <c r="AA142" i="1"/>
  <c r="W142" i="1" s="1"/>
  <c r="X140" i="1"/>
  <c r="AA132" i="1"/>
  <c r="W132" i="1" s="1"/>
  <c r="T132" i="1"/>
  <c r="U132" i="1" s="1"/>
  <c r="AA126" i="1"/>
  <c r="W126" i="1" s="1"/>
  <c r="X124" i="1"/>
  <c r="AA100" i="1"/>
  <c r="AG99" i="1"/>
  <c r="AI99" i="1" s="1"/>
  <c r="T91" i="1"/>
  <c r="AG91" i="1"/>
  <c r="AA89" i="1"/>
  <c r="W89" i="1" s="1"/>
  <c r="U196" i="1"/>
  <c r="S196" i="1" s="1"/>
  <c r="W188" i="1"/>
  <c r="AA114" i="1"/>
  <c r="W114" i="1" s="1"/>
  <c r="X100" i="1"/>
  <c r="AG100" i="1"/>
  <c r="AI100" i="1" s="1"/>
  <c r="AI74" i="1"/>
  <c r="U81" i="1"/>
  <c r="S81" i="1" s="1"/>
  <c r="T58" i="1"/>
  <c r="U58" i="1" s="1"/>
  <c r="S58" i="1" s="1"/>
  <c r="T48" i="1"/>
  <c r="U48" i="1" s="1"/>
  <c r="S48" i="1" s="1"/>
  <c r="U43" i="1"/>
  <c r="S43" i="1" s="1"/>
  <c r="T35" i="1"/>
  <c r="T24" i="1"/>
  <c r="U24" i="1" s="1"/>
  <c r="S24" i="1" s="1"/>
  <c r="T93" i="1"/>
  <c r="T85" i="1"/>
  <c r="AG83" i="1"/>
  <c r="T78" i="1"/>
  <c r="AG76" i="1"/>
  <c r="U76" i="1" s="1"/>
  <c r="S76" i="1" s="1"/>
  <c r="W74" i="1"/>
  <c r="T70" i="1"/>
  <c r="U70" i="1" s="1"/>
  <c r="S70" i="1" s="1"/>
  <c r="W64" i="1"/>
  <c r="X62" i="1"/>
  <c r="AG61" i="1"/>
  <c r="U61" i="1" s="1"/>
  <c r="X61" i="1"/>
  <c r="AA57" i="1"/>
  <c r="AG56" i="1"/>
  <c r="U56" i="1" s="1"/>
  <c r="S56" i="1" s="1"/>
  <c r="T54" i="1"/>
  <c r="AI47" i="1"/>
  <c r="AA40" i="1"/>
  <c r="W40" i="1" s="1"/>
  <c r="AG38" i="1"/>
  <c r="AI38" i="1" s="1"/>
  <c r="X36" i="1"/>
  <c r="AG35" i="1"/>
  <c r="U35" i="1" s="1"/>
  <c r="AG34" i="1"/>
  <c r="U34" i="1" s="1"/>
  <c r="X32" i="1"/>
  <c r="AG31" i="1"/>
  <c r="U31" i="1" s="1"/>
  <c r="X31" i="1"/>
  <c r="T28" i="1"/>
  <c r="U28" i="1" s="1"/>
  <c r="S28" i="1" s="1"/>
  <c r="AA23" i="1"/>
  <c r="AG22" i="1"/>
  <c r="U22" i="1" s="1"/>
  <c r="X20" i="1"/>
  <c r="AG19" i="1"/>
  <c r="U19" i="1" s="1"/>
  <c r="X19" i="1"/>
  <c r="AA108" i="1"/>
  <c r="AA106" i="1"/>
  <c r="AA104" i="1"/>
  <c r="W104" i="1" s="1"/>
  <c r="AA96" i="1"/>
  <c r="AG93" i="1"/>
  <c r="AG92" i="1"/>
  <c r="AA88" i="1"/>
  <c r="W88" i="1" s="1"/>
  <c r="AG85" i="1"/>
  <c r="AG84" i="1"/>
  <c r="AI81" i="1"/>
  <c r="AA80" i="1"/>
  <c r="AG78" i="1"/>
  <c r="W78" i="1" s="1"/>
  <c r="AG77" i="1"/>
  <c r="T74" i="1"/>
  <c r="U74" i="1" s="1"/>
  <c r="S74" i="1" s="1"/>
  <c r="AA71" i="1"/>
  <c r="AA69" i="1"/>
  <c r="AG68" i="1"/>
  <c r="U68" i="1" s="1"/>
  <c r="T66" i="1"/>
  <c r="U66" i="1" s="1"/>
  <c r="S66" i="1" s="1"/>
  <c r="AA60" i="1"/>
  <c r="AA59" i="1"/>
  <c r="X58" i="1"/>
  <c r="AG57" i="1"/>
  <c r="AA53" i="1"/>
  <c r="W53" i="1" s="1"/>
  <c r="AG52" i="1"/>
  <c r="U52" i="1" s="1"/>
  <c r="S52" i="1" s="1"/>
  <c r="AA49" i="1"/>
  <c r="X48" i="1"/>
  <c r="AA47" i="1"/>
  <c r="W47" i="1" s="1"/>
  <c r="AI43" i="1"/>
  <c r="AA29" i="1"/>
  <c r="X24" i="1"/>
  <c r="AG23" i="1"/>
  <c r="U23" i="1" s="1"/>
  <c r="S23" i="1" s="1"/>
  <c r="AA18" i="1"/>
  <c r="W18" i="1" s="1"/>
  <c r="T16" i="1"/>
  <c r="AG14" i="1"/>
  <c r="AA99" i="1"/>
  <c r="AA98" i="1"/>
  <c r="AA91" i="1"/>
  <c r="AA90" i="1"/>
  <c r="W90" i="1" s="1"/>
  <c r="AA83" i="1"/>
  <c r="AA82" i="1"/>
  <c r="AA76" i="1"/>
  <c r="AA75" i="1"/>
  <c r="X70" i="1"/>
  <c r="T62" i="1"/>
  <c r="AA56" i="1"/>
  <c r="AA55" i="1"/>
  <c r="X54" i="1"/>
  <c r="X47" i="1"/>
  <c r="AA46" i="1"/>
  <c r="T36" i="1"/>
  <c r="U36" i="1" s="1"/>
  <c r="S36" i="1" s="1"/>
  <c r="AA34" i="1"/>
  <c r="T32" i="1"/>
  <c r="U32" i="1" s="1"/>
  <c r="S32" i="1" s="1"/>
  <c r="AA22" i="1"/>
  <c r="T20" i="1"/>
  <c r="U20" i="1" s="1"/>
  <c r="S20" i="1" s="1"/>
  <c r="AA17" i="1"/>
  <c r="AI229" i="1"/>
  <c r="AG225" i="1"/>
  <c r="AI225" i="1" s="1"/>
  <c r="X222" i="1"/>
  <c r="AG221" i="1"/>
  <c r="W221" i="1" s="1"/>
  <c r="X207" i="1"/>
  <c r="AG206" i="1"/>
  <c r="AA198" i="1"/>
  <c r="T189" i="1"/>
  <c r="X189" i="1"/>
  <c r="AG189" i="1"/>
  <c r="AI189" i="1" s="1"/>
  <c r="U179" i="1"/>
  <c r="S179" i="1" s="1"/>
  <c r="AI196" i="1"/>
  <c r="X225" i="1"/>
  <c r="X221" i="1"/>
  <c r="X206" i="1"/>
  <c r="U205" i="1"/>
  <c r="S205" i="1" s="1"/>
  <c r="T201" i="1"/>
  <c r="X201" i="1"/>
  <c r="AG201" i="1"/>
  <c r="AI201" i="1" s="1"/>
  <c r="U175" i="1"/>
  <c r="S175" i="1" s="1"/>
  <c r="AI176" i="1"/>
  <c r="U161" i="1"/>
  <c r="S161" i="1" s="1"/>
  <c r="AI161" i="1"/>
  <c r="X224" i="1"/>
  <c r="X220" i="1"/>
  <c r="X205" i="1"/>
  <c r="T197" i="1"/>
  <c r="X197" i="1"/>
  <c r="AG197" i="1"/>
  <c r="AI197" i="1" s="1"/>
  <c r="U174" i="1"/>
  <c r="S174" i="1" s="1"/>
  <c r="AI188" i="1"/>
  <c r="AI157" i="1"/>
  <c r="W153" i="1"/>
  <c r="T202" i="1"/>
  <c r="X202" i="1"/>
  <c r="T193" i="1"/>
  <c r="X193" i="1"/>
  <c r="AG193" i="1"/>
  <c r="AI200" i="1"/>
  <c r="U168" i="1"/>
  <c r="S168" i="1" s="1"/>
  <c r="AI153" i="1"/>
  <c r="X198" i="1"/>
  <c r="AI212" i="1"/>
  <c r="X194" i="1"/>
  <c r="X190" i="1"/>
  <c r="AI204" i="1"/>
  <c r="X186" i="1"/>
  <c r="AG185" i="1"/>
  <c r="AI185" i="1" s="1"/>
  <c r="X182" i="1"/>
  <c r="AG181" i="1"/>
  <c r="AI181" i="1" s="1"/>
  <c r="X178" i="1"/>
  <c r="AG177" i="1"/>
  <c r="AI177" i="1" s="1"/>
  <c r="X174" i="1"/>
  <c r="AG173" i="1"/>
  <c r="AG169" i="1"/>
  <c r="AI169" i="1" s="1"/>
  <c r="X167" i="1"/>
  <c r="AG166" i="1"/>
  <c r="X163" i="1"/>
  <c r="AG162" i="1"/>
  <c r="AI162" i="1" s="1"/>
  <c r="X229" i="1"/>
  <c r="AG228" i="1"/>
  <c r="AI228" i="1" s="1"/>
  <c r="X219" i="1"/>
  <c r="AG218" i="1"/>
  <c r="X215" i="1"/>
  <c r="AG214" i="1"/>
  <c r="X211" i="1"/>
  <c r="AG210" i="1"/>
  <c r="X160" i="1"/>
  <c r="AG159" i="1"/>
  <c r="X156" i="1"/>
  <c r="AG155" i="1"/>
  <c r="AG152" i="1"/>
  <c r="AG150" i="1"/>
  <c r="W148" i="1"/>
  <c r="AI140" i="1"/>
  <c r="AI134" i="1"/>
  <c r="AI124" i="1"/>
  <c r="AI118" i="1"/>
  <c r="AI114" i="1"/>
  <c r="S186" i="1"/>
  <c r="X185" i="1"/>
  <c r="X181" i="1"/>
  <c r="AI195" i="1"/>
  <c r="X177" i="1"/>
  <c r="X173" i="1"/>
  <c r="AI183" i="1"/>
  <c r="X166" i="1"/>
  <c r="AI179" i="1"/>
  <c r="X162" i="1"/>
  <c r="AI175" i="1"/>
  <c r="S229" i="1"/>
  <c r="X228" i="1"/>
  <c r="AI171" i="1"/>
  <c r="X218" i="1"/>
  <c r="AI168" i="1"/>
  <c r="X214" i="1"/>
  <c r="X210" i="1"/>
  <c r="S160" i="1"/>
  <c r="X159" i="1"/>
  <c r="AI148" i="1"/>
  <c r="U148" i="1"/>
  <c r="S148" i="1" s="1"/>
  <c r="AI144" i="1"/>
  <c r="U144" i="1"/>
  <c r="S144" i="1" s="1"/>
  <c r="AI138" i="1"/>
  <c r="AI128" i="1"/>
  <c r="AI122" i="1"/>
  <c r="X184" i="1"/>
  <c r="X180" i="1"/>
  <c r="X176" i="1"/>
  <c r="X172" i="1"/>
  <c r="X165" i="1"/>
  <c r="X231" i="1"/>
  <c r="X227" i="1"/>
  <c r="X217" i="1"/>
  <c r="X213" i="1"/>
  <c r="X209" i="1"/>
  <c r="X158" i="1"/>
  <c r="AA150" i="1"/>
  <c r="W150" i="1" s="1"/>
  <c r="T149" i="1"/>
  <c r="X149" i="1"/>
  <c r="AG149" i="1"/>
  <c r="AI142" i="1"/>
  <c r="AI132" i="1"/>
  <c r="W130" i="1"/>
  <c r="AI126" i="1"/>
  <c r="AI112" i="1"/>
  <c r="T150" i="1"/>
  <c r="X150" i="1"/>
  <c r="AI146" i="1"/>
  <c r="AI136" i="1"/>
  <c r="AI130" i="1"/>
  <c r="AI120" i="1"/>
  <c r="AI116" i="1"/>
  <c r="X146" i="1"/>
  <c r="T146" i="1"/>
  <c r="U146" i="1" s="1"/>
  <c r="S146" i="1" s="1"/>
  <c r="AG145" i="1"/>
  <c r="AI143" i="1"/>
  <c r="X142" i="1"/>
  <c r="T142" i="1"/>
  <c r="U142" i="1" s="1"/>
  <c r="S142" i="1" s="1"/>
  <c r="AG141" i="1"/>
  <c r="W141" i="1" s="1"/>
  <c r="X138" i="1"/>
  <c r="T138" i="1"/>
  <c r="U138" i="1" s="1"/>
  <c r="S138" i="1" s="1"/>
  <c r="AG137" i="1"/>
  <c r="W137" i="1" s="1"/>
  <c r="AI135" i="1"/>
  <c r="X134" i="1"/>
  <c r="T134" i="1"/>
  <c r="U134" i="1" s="1"/>
  <c r="S134" i="1" s="1"/>
  <c r="AG133" i="1"/>
  <c r="S131" i="1"/>
  <c r="X130" i="1"/>
  <c r="T130" i="1"/>
  <c r="U130" i="1" s="1"/>
  <c r="S130" i="1" s="1"/>
  <c r="AG129" i="1"/>
  <c r="AI127" i="1"/>
  <c r="X126" i="1"/>
  <c r="T126" i="1"/>
  <c r="U126" i="1" s="1"/>
  <c r="S126" i="1" s="1"/>
  <c r="AG125" i="1"/>
  <c r="X122" i="1"/>
  <c r="T122" i="1"/>
  <c r="U122" i="1" s="1"/>
  <c r="S122" i="1" s="1"/>
  <c r="AG121" i="1"/>
  <c r="W121" i="1" s="1"/>
  <c r="AI119" i="1"/>
  <c r="X118" i="1"/>
  <c r="T118" i="1"/>
  <c r="U118" i="1" s="1"/>
  <c r="S118" i="1" s="1"/>
  <c r="AG117" i="1"/>
  <c r="X114" i="1"/>
  <c r="T114" i="1"/>
  <c r="U114" i="1" s="1"/>
  <c r="S114" i="1" s="1"/>
  <c r="AG113" i="1"/>
  <c r="W113" i="1" s="1"/>
  <c r="W103" i="1"/>
  <c r="AI98" i="1"/>
  <c r="AI90" i="1"/>
  <c r="X145" i="1"/>
  <c r="X141" i="1"/>
  <c r="X137" i="1"/>
  <c r="X133" i="1"/>
  <c r="X129" i="1"/>
  <c r="X125" i="1"/>
  <c r="X121" i="1"/>
  <c r="X117" i="1"/>
  <c r="X113" i="1"/>
  <c r="AG110" i="1"/>
  <c r="T110" i="1"/>
  <c r="X110" i="1"/>
  <c r="AI107" i="1"/>
  <c r="AG106" i="1"/>
  <c r="T106" i="1"/>
  <c r="X106" i="1"/>
  <c r="W102" i="1"/>
  <c r="U83" i="1"/>
  <c r="AI103" i="1"/>
  <c r="AI102" i="1"/>
  <c r="AI94" i="1"/>
  <c r="AI86" i="1"/>
  <c r="AI79" i="1"/>
  <c r="X147" i="1"/>
  <c r="X143" i="1"/>
  <c r="X139" i="1"/>
  <c r="X135" i="1"/>
  <c r="X131" i="1"/>
  <c r="X127" i="1"/>
  <c r="X123" i="1"/>
  <c r="X119" i="1"/>
  <c r="X115" i="1"/>
  <c r="U103" i="1"/>
  <c r="S103" i="1" s="1"/>
  <c r="W98" i="1"/>
  <c r="U95" i="1"/>
  <c r="S95" i="1" s="1"/>
  <c r="X102" i="1"/>
  <c r="T102" i="1"/>
  <c r="U102" i="1" s="1"/>
  <c r="S102" i="1" s="1"/>
  <c r="X98" i="1"/>
  <c r="T98" i="1"/>
  <c r="U98" i="1" s="1"/>
  <c r="S98" i="1" s="1"/>
  <c r="AI95" i="1"/>
  <c r="X94" i="1"/>
  <c r="T94" i="1"/>
  <c r="U94" i="1" s="1"/>
  <c r="S94" i="1" s="1"/>
  <c r="AI91" i="1"/>
  <c r="X90" i="1"/>
  <c r="T90" i="1"/>
  <c r="U90" i="1" s="1"/>
  <c r="S90" i="1" s="1"/>
  <c r="X86" i="1"/>
  <c r="T86" i="1"/>
  <c r="U86" i="1" s="1"/>
  <c r="S86" i="1" s="1"/>
  <c r="AI83" i="1"/>
  <c r="T82" i="1"/>
  <c r="T79" i="1"/>
  <c r="U79" i="1" s="1"/>
  <c r="S79" i="1" s="1"/>
  <c r="X75" i="1"/>
  <c r="AI58" i="1"/>
  <c r="U100" i="1"/>
  <c r="S100" i="1" s="1"/>
  <c r="U96" i="1"/>
  <c r="S96" i="1" s="1"/>
  <c r="U88" i="1"/>
  <c r="S88" i="1" s="1"/>
  <c r="AI73" i="1"/>
  <c r="T71" i="1"/>
  <c r="X71" i="1"/>
  <c r="AG71" i="1"/>
  <c r="AI54" i="1"/>
  <c r="U54" i="1"/>
  <c r="S54" i="1" s="1"/>
  <c r="AI66" i="1"/>
  <c r="AI108" i="1"/>
  <c r="X107" i="1"/>
  <c r="X103" i="1"/>
  <c r="X99" i="1"/>
  <c r="X95" i="1"/>
  <c r="AI92" i="1"/>
  <c r="X91" i="1"/>
  <c r="X87" i="1"/>
  <c r="AI84" i="1"/>
  <c r="X83" i="1"/>
  <c r="AI77" i="1"/>
  <c r="X76" i="1"/>
  <c r="AG75" i="1"/>
  <c r="AI62" i="1"/>
  <c r="U62" i="1"/>
  <c r="S62" i="1" s="1"/>
  <c r="X72" i="1"/>
  <c r="X68" i="1"/>
  <c r="AG67" i="1"/>
  <c r="X64" i="1"/>
  <c r="AG63" i="1"/>
  <c r="S61" i="1"/>
  <c r="X60" i="1"/>
  <c r="AG59" i="1"/>
  <c r="X56" i="1"/>
  <c r="AG55" i="1"/>
  <c r="AI53" i="1"/>
  <c r="S53" i="1"/>
  <c r="X52" i="1"/>
  <c r="AG51" i="1"/>
  <c r="W51" i="1" s="1"/>
  <c r="AG49" i="1"/>
  <c r="T46" i="1"/>
  <c r="AG42" i="1"/>
  <c r="X42" i="1"/>
  <c r="T40" i="1"/>
  <c r="U40" i="1" s="1"/>
  <c r="S40" i="1" s="1"/>
  <c r="U39" i="1"/>
  <c r="S39" i="1" s="1"/>
  <c r="T25" i="1"/>
  <c r="X25" i="1"/>
  <c r="AG25" i="1"/>
  <c r="AA14" i="1"/>
  <c r="AI68" i="1"/>
  <c r="S68" i="1"/>
  <c r="X67" i="1"/>
  <c r="AI64" i="1"/>
  <c r="X63" i="1"/>
  <c r="X59" i="1"/>
  <c r="X55" i="1"/>
  <c r="X51" i="1"/>
  <c r="AG50" i="1"/>
  <c r="AG46" i="1"/>
  <c r="AI45" i="1"/>
  <c r="T44" i="1"/>
  <c r="U44" i="1" s="1"/>
  <c r="S44" i="1" s="1"/>
  <c r="T41" i="1"/>
  <c r="U41" i="1" s="1"/>
  <c r="S41" i="1" s="1"/>
  <c r="X41" i="1"/>
  <c r="X40" i="1"/>
  <c r="AA38" i="1"/>
  <c r="T37" i="1"/>
  <c r="X37" i="1"/>
  <c r="AG37" i="1"/>
  <c r="AA30" i="1"/>
  <c r="U27" i="1"/>
  <c r="S22" i="1"/>
  <c r="AI22" i="1"/>
  <c r="T21" i="1"/>
  <c r="X21" i="1"/>
  <c r="AG21" i="1"/>
  <c r="T45" i="1"/>
  <c r="U45" i="1" s="1"/>
  <c r="S45" i="1" s="1"/>
  <c r="X45" i="1"/>
  <c r="X44" i="1"/>
  <c r="X43" i="1"/>
  <c r="AA42" i="1"/>
  <c r="T38" i="1"/>
  <c r="X38" i="1"/>
  <c r="S35" i="1"/>
  <c r="T33" i="1"/>
  <c r="X33" i="1"/>
  <c r="AG33" i="1"/>
  <c r="AA26" i="1"/>
  <c r="W26" i="1" s="1"/>
  <c r="S18" i="1"/>
  <c r="AI18" i="1"/>
  <c r="T17" i="1"/>
  <c r="X17" i="1"/>
  <c r="AG17" i="1"/>
  <c r="W17" i="1" s="1"/>
  <c r="AI14" i="1"/>
  <c r="T49" i="1"/>
  <c r="X49" i="1"/>
  <c r="T29" i="1"/>
  <c r="X29" i="1"/>
  <c r="AG29" i="1"/>
  <c r="X34" i="1"/>
  <c r="AI31" i="1"/>
  <c r="S31" i="1"/>
  <c r="X30" i="1"/>
  <c r="AI27" i="1"/>
  <c r="S27" i="1"/>
  <c r="X26" i="1"/>
  <c r="X22" i="1"/>
  <c r="S19" i="1"/>
  <c r="X18" i="1"/>
  <c r="T19" i="3"/>
  <c r="Y24" i="3"/>
  <c r="T43" i="3"/>
  <c r="Y33" i="3"/>
  <c r="Y23" i="3"/>
  <c r="T38" i="3"/>
  <c r="Y18" i="3"/>
  <c r="Y21" i="3"/>
  <c r="T36" i="3"/>
  <c r="T40" i="3"/>
  <c r="Y22" i="3"/>
  <c r="Y41" i="3"/>
  <c r="Y15" i="3"/>
  <c r="Y14" i="3"/>
  <c r="Y36" i="3"/>
  <c r="Y8" i="3"/>
  <c r="Y32" i="3"/>
  <c r="T35" i="3"/>
  <c r="T22" i="3"/>
  <c r="T39" i="3"/>
  <c r="T15" i="3"/>
  <c r="T11" i="3"/>
  <c r="Y20" i="3"/>
  <c r="Y11" i="3"/>
  <c r="T13" i="3"/>
  <c r="T42" i="3"/>
  <c r="T45" i="3"/>
  <c r="T21" i="3"/>
  <c r="T9" i="3"/>
  <c r="Y13" i="3"/>
  <c r="Y30" i="3"/>
  <c r="Y42" i="3"/>
  <c r="Y45" i="3"/>
  <c r="Y37" i="3"/>
  <c r="AC24" i="3"/>
  <c r="AC34" i="3"/>
  <c r="AC29" i="3"/>
  <c r="AC12" i="3"/>
  <c r="AC23" i="3"/>
  <c r="AC25" i="3"/>
  <c r="AC31" i="3"/>
  <c r="AC14" i="3"/>
  <c r="AC16" i="3"/>
  <c r="AI139" i="1" l="1"/>
  <c r="U203" i="1"/>
  <c r="S203" i="1" s="1"/>
  <c r="W46" i="1"/>
  <c r="W84" i="1"/>
  <c r="W186" i="1"/>
  <c r="W139" i="1"/>
  <c r="U164" i="1"/>
  <c r="S164" i="1" s="1"/>
  <c r="U195" i="1"/>
  <c r="S195" i="1" s="1"/>
  <c r="W227" i="1"/>
  <c r="U202" i="1"/>
  <c r="S202" i="1" s="1"/>
  <c r="U200" i="1"/>
  <c r="S200" i="1" s="1"/>
  <c r="AI89" i="1"/>
  <c r="W209" i="1"/>
  <c r="AI209" i="1"/>
  <c r="U104" i="1"/>
  <c r="S104" i="1" s="1"/>
  <c r="AI131" i="1"/>
  <c r="U208" i="1"/>
  <c r="S208" i="1" s="1"/>
  <c r="W203" i="1"/>
  <c r="W189" i="1"/>
  <c r="AI30" i="1"/>
  <c r="AI76" i="1"/>
  <c r="U80" i="1"/>
  <c r="S80" i="1" s="1"/>
  <c r="U38" i="1"/>
  <c r="S38" i="1" s="1"/>
  <c r="W30" i="1"/>
  <c r="W82" i="1"/>
  <c r="AI191" i="1"/>
  <c r="AI184" i="1"/>
  <c r="AI224" i="1"/>
  <c r="AI207" i="1"/>
  <c r="U26" i="1"/>
  <c r="S26" i="1" s="1"/>
  <c r="U57" i="1"/>
  <c r="S57" i="1" s="1"/>
  <c r="U65" i="1"/>
  <c r="S65" i="1" s="1"/>
  <c r="U158" i="1"/>
  <c r="S158" i="1" s="1"/>
  <c r="U192" i="1"/>
  <c r="S192" i="1" s="1"/>
  <c r="U115" i="1"/>
  <c r="S115" i="1" s="1"/>
  <c r="W115" i="1"/>
  <c r="W229" i="1"/>
  <c r="AI16" i="1"/>
  <c r="W35" i="1"/>
  <c r="W116" i="1"/>
  <c r="W224" i="1"/>
  <c r="U99" i="1"/>
  <c r="S99" i="1" s="1"/>
  <c r="AI160" i="1"/>
  <c r="U184" i="1"/>
  <c r="S184" i="1" s="1"/>
  <c r="AI34" i="1"/>
  <c r="AI52" i="1"/>
  <c r="W14" i="1"/>
  <c r="W55" i="1"/>
  <c r="U82" i="1"/>
  <c r="S82" i="1" s="1"/>
  <c r="W77" i="1"/>
  <c r="U91" i="1"/>
  <c r="S91" i="1" s="1"/>
  <c r="W160" i="1"/>
  <c r="W195" i="1"/>
  <c r="W205" i="1"/>
  <c r="U116" i="1"/>
  <c r="S116" i="1" s="1"/>
  <c r="W38" i="1"/>
  <c r="AI80" i="1"/>
  <c r="W63" i="1"/>
  <c r="AI72" i="1"/>
  <c r="AI111" i="1"/>
  <c r="U216" i="1"/>
  <c r="S216" i="1" s="1"/>
  <c r="W76" i="1"/>
  <c r="U16" i="1"/>
  <c r="S16" i="1" s="1"/>
  <c r="W190" i="1"/>
  <c r="U187" i="1"/>
  <c r="S187" i="1" s="1"/>
  <c r="U167" i="1"/>
  <c r="S167" i="1" s="1"/>
  <c r="W131" i="1"/>
  <c r="U15" i="1"/>
  <c r="S15" i="1" s="1"/>
  <c r="W158" i="1"/>
  <c r="U199" i="1"/>
  <c r="S199" i="1" s="1"/>
  <c r="W201" i="1"/>
  <c r="W72" i="1"/>
  <c r="W164" i="1"/>
  <c r="AI23" i="1"/>
  <c r="W42" i="1"/>
  <c r="AI56" i="1"/>
  <c r="W67" i="1"/>
  <c r="U60" i="1"/>
  <c r="S60" i="1" s="1"/>
  <c r="W111" i="1"/>
  <c r="W133" i="1"/>
  <c r="W210" i="1"/>
  <c r="W22" i="1"/>
  <c r="W60" i="1"/>
  <c r="W80" i="1"/>
  <c r="U97" i="1"/>
  <c r="S97" i="1" s="1"/>
  <c r="U154" i="1"/>
  <c r="S154" i="1" s="1"/>
  <c r="W199" i="1"/>
  <c r="W207" i="1"/>
  <c r="W216" i="1"/>
  <c r="W50" i="1"/>
  <c r="W204" i="1"/>
  <c r="U14" i="1"/>
  <c r="S14" i="1" s="1"/>
  <c r="U69" i="1"/>
  <c r="S69" i="1" s="1"/>
  <c r="AI69" i="1"/>
  <c r="U172" i="1"/>
  <c r="S172" i="1" s="1"/>
  <c r="AI172" i="1"/>
  <c r="U163" i="1"/>
  <c r="S163" i="1" s="1"/>
  <c r="W71" i="1"/>
  <c r="S83" i="1"/>
  <c r="U204" i="1"/>
  <c r="S204" i="1" s="1"/>
  <c r="U220" i="1"/>
  <c r="S220" i="1" s="1"/>
  <c r="W220" i="1"/>
  <c r="U156" i="1"/>
  <c r="S156" i="1" s="1"/>
  <c r="AI156" i="1"/>
  <c r="W156" i="1"/>
  <c r="U170" i="1"/>
  <c r="S170" i="1" s="1"/>
  <c r="W170" i="1"/>
  <c r="U211" i="1"/>
  <c r="S211" i="1" s="1"/>
  <c r="W211" i="1"/>
  <c r="U147" i="1"/>
  <c r="S147" i="1" s="1"/>
  <c r="AI147" i="1"/>
  <c r="AI19" i="1"/>
  <c r="S34" i="1"/>
  <c r="U215" i="1"/>
  <c r="S215" i="1" s="1"/>
  <c r="U109" i="1"/>
  <c r="S109" i="1" s="1"/>
  <c r="W97" i="1"/>
  <c r="W34" i="1"/>
  <c r="W92" i="1"/>
  <c r="W147" i="1"/>
  <c r="W83" i="1"/>
  <c r="W99" i="1"/>
  <c r="W108" i="1"/>
  <c r="W215" i="1"/>
  <c r="W182" i="1"/>
  <c r="W87" i="1"/>
  <c r="W172" i="1"/>
  <c r="AI35" i="1"/>
  <c r="AI57" i="1"/>
  <c r="AI61" i="1"/>
  <c r="U77" i="1"/>
  <c r="S77" i="1" s="1"/>
  <c r="U92" i="1"/>
  <c r="S92" i="1" s="1"/>
  <c r="AI87" i="1"/>
  <c r="S107" i="1"/>
  <c r="W117" i="1"/>
  <c r="AI123" i="1"/>
  <c r="S178" i="1"/>
  <c r="W159" i="1"/>
  <c r="S194" i="1"/>
  <c r="AI165" i="1"/>
  <c r="AI180" i="1"/>
  <c r="W198" i="1"/>
  <c r="U105" i="1"/>
  <c r="S105" i="1" s="1"/>
  <c r="W69" i="1"/>
  <c r="W96" i="1"/>
  <c r="W163" i="1"/>
  <c r="W187" i="1"/>
  <c r="W15" i="1"/>
  <c r="W200" i="1"/>
  <c r="W91" i="1"/>
  <c r="W109" i="1"/>
  <c r="W105" i="1"/>
  <c r="W73" i="1"/>
  <c r="U143" i="1"/>
  <c r="S143" i="1" s="1"/>
  <c r="U93" i="1"/>
  <c r="S93" i="1" s="1"/>
  <c r="AI93" i="1"/>
  <c r="W57" i="1"/>
  <c r="W31" i="1"/>
  <c r="W61" i="1"/>
  <c r="U213" i="1"/>
  <c r="S213" i="1" s="1"/>
  <c r="AI213" i="1"/>
  <c r="W180" i="1"/>
  <c r="W162" i="1"/>
  <c r="W177" i="1"/>
  <c r="U78" i="1"/>
  <c r="S78" i="1" s="1"/>
  <c r="AI78" i="1"/>
  <c r="U85" i="1"/>
  <c r="S85" i="1" s="1"/>
  <c r="AI85" i="1"/>
  <c r="W19" i="1"/>
  <c r="W93" i="1"/>
  <c r="U151" i="1"/>
  <c r="S151" i="1" s="1"/>
  <c r="AI151" i="1"/>
  <c r="W193" i="1"/>
  <c r="AI193" i="1"/>
  <c r="AI221" i="1"/>
  <c r="W56" i="1"/>
  <c r="W23" i="1"/>
  <c r="W52" i="1"/>
  <c r="W68" i="1"/>
  <c r="W100" i="1"/>
  <c r="U219" i="1"/>
  <c r="S219" i="1" s="1"/>
  <c r="AI219" i="1"/>
  <c r="W165" i="1"/>
  <c r="W213" i="1"/>
  <c r="W166" i="1"/>
  <c r="AI166" i="1"/>
  <c r="W173" i="1"/>
  <c r="AI173" i="1"/>
  <c r="U101" i="1"/>
  <c r="S101" i="1" s="1"/>
  <c r="AI101" i="1"/>
  <c r="W85" i="1"/>
  <c r="W101" i="1"/>
  <c r="W151" i="1"/>
  <c r="AI33" i="1"/>
  <c r="U33" i="1"/>
  <c r="S33" i="1" s="1"/>
  <c r="AI21" i="1"/>
  <c r="U21" i="1"/>
  <c r="S21" i="1" s="1"/>
  <c r="AI25" i="1"/>
  <c r="U25" i="1"/>
  <c r="S25" i="1" s="1"/>
  <c r="AI42" i="1"/>
  <c r="U42" i="1"/>
  <c r="S42" i="1" s="1"/>
  <c r="U49" i="1"/>
  <c r="S49" i="1" s="1"/>
  <c r="AI49" i="1"/>
  <c r="W25" i="1"/>
  <c r="U37" i="1"/>
  <c r="S37" i="1" s="1"/>
  <c r="W37" i="1"/>
  <c r="AI37" i="1"/>
  <c r="AI50" i="1"/>
  <c r="U50" i="1"/>
  <c r="S50" i="1" s="1"/>
  <c r="AI51" i="1"/>
  <c r="U51" i="1"/>
  <c r="S51" i="1" s="1"/>
  <c r="AI55" i="1"/>
  <c r="U55" i="1"/>
  <c r="S55" i="1" s="1"/>
  <c r="AI59" i="1"/>
  <c r="U59" i="1"/>
  <c r="S59" i="1" s="1"/>
  <c r="AI63" i="1"/>
  <c r="U63" i="1"/>
  <c r="S63" i="1" s="1"/>
  <c r="AI67" i="1"/>
  <c r="U67" i="1"/>
  <c r="S67" i="1" s="1"/>
  <c r="W59" i="1"/>
  <c r="AI125" i="1"/>
  <c r="U125" i="1"/>
  <c r="S125" i="1" s="1"/>
  <c r="AI141" i="1"/>
  <c r="U141" i="1"/>
  <c r="S141" i="1" s="1"/>
  <c r="W125" i="1"/>
  <c r="U149" i="1"/>
  <c r="S149" i="1" s="1"/>
  <c r="AI149" i="1"/>
  <c r="AI155" i="1"/>
  <c r="U155" i="1"/>
  <c r="S155" i="1" s="1"/>
  <c r="AI163" i="1"/>
  <c r="U210" i="1"/>
  <c r="S210" i="1" s="1"/>
  <c r="AI170" i="1"/>
  <c r="U218" i="1"/>
  <c r="S218" i="1" s="1"/>
  <c r="AI178" i="1"/>
  <c r="U162" i="1"/>
  <c r="S162" i="1" s="1"/>
  <c r="AI186" i="1"/>
  <c r="U169" i="1"/>
  <c r="S169" i="1" s="1"/>
  <c r="AI194" i="1"/>
  <c r="U177" i="1"/>
  <c r="S177" i="1" s="1"/>
  <c r="AI202" i="1"/>
  <c r="U185" i="1"/>
  <c r="S185" i="1" s="1"/>
  <c r="W218" i="1"/>
  <c r="U201" i="1"/>
  <c r="S201" i="1" s="1"/>
  <c r="AI218" i="1"/>
  <c r="AI223" i="1"/>
  <c r="U206" i="1"/>
  <c r="S206" i="1" s="1"/>
  <c r="AI231" i="1"/>
  <c r="U225" i="1"/>
  <c r="S225" i="1" s="1"/>
  <c r="W225" i="1"/>
  <c r="W206" i="1"/>
  <c r="AI29" i="1"/>
  <c r="U29" i="1"/>
  <c r="S29" i="1" s="1"/>
  <c r="W29" i="1"/>
  <c r="W21" i="1"/>
  <c r="U75" i="1"/>
  <c r="S75" i="1" s="1"/>
  <c r="AI75" i="1"/>
  <c r="AI113" i="1"/>
  <c r="U113" i="1"/>
  <c r="S113" i="1" s="1"/>
  <c r="AI129" i="1"/>
  <c r="U129" i="1"/>
  <c r="S127" i="1" s="1"/>
  <c r="AI145" i="1"/>
  <c r="U145" i="1"/>
  <c r="S145" i="1" s="1"/>
  <c r="W145" i="1"/>
  <c r="AI150" i="1"/>
  <c r="U150" i="1"/>
  <c r="S150" i="1" s="1"/>
  <c r="W149" i="1"/>
  <c r="AI214" i="1"/>
  <c r="U197" i="1"/>
  <c r="S197" i="1" s="1"/>
  <c r="W169" i="1"/>
  <c r="W33" i="1"/>
  <c r="AI46" i="1"/>
  <c r="U46" i="1"/>
  <c r="S46" i="1" s="1"/>
  <c r="AI71" i="1"/>
  <c r="U71" i="1"/>
  <c r="S71" i="1" s="1"/>
  <c r="W75" i="1"/>
  <c r="U106" i="1"/>
  <c r="S106" i="1" s="1"/>
  <c r="AI106" i="1"/>
  <c r="W106" i="1"/>
  <c r="AI117" i="1"/>
  <c r="U117" i="1"/>
  <c r="S117" i="1" s="1"/>
  <c r="AI133" i="1"/>
  <c r="U133" i="1"/>
  <c r="S132" i="1" s="1"/>
  <c r="W129" i="1"/>
  <c r="AI152" i="1"/>
  <c r="U152" i="1"/>
  <c r="S152" i="1" s="1"/>
  <c r="AI159" i="1"/>
  <c r="U159" i="1"/>
  <c r="S159" i="1" s="1"/>
  <c r="AI167" i="1"/>
  <c r="U214" i="1"/>
  <c r="S214" i="1" s="1"/>
  <c r="AI174" i="1"/>
  <c r="U228" i="1"/>
  <c r="S228" i="1" s="1"/>
  <c r="AI182" i="1"/>
  <c r="U166" i="1"/>
  <c r="S166" i="1" s="1"/>
  <c r="AI190" i="1"/>
  <c r="U173" i="1"/>
  <c r="S173" i="1" s="1"/>
  <c r="AI198" i="1"/>
  <c r="U181" i="1"/>
  <c r="S181" i="1" s="1"/>
  <c r="AI210" i="1"/>
  <c r="U193" i="1"/>
  <c r="S193" i="1" s="1"/>
  <c r="W152" i="1"/>
  <c r="W181" i="1"/>
  <c r="W185" i="1"/>
  <c r="AI227" i="1"/>
  <c r="U221" i="1"/>
  <c r="S221" i="1" s="1"/>
  <c r="AI17" i="1"/>
  <c r="U17" i="1"/>
  <c r="S17" i="1" s="1"/>
  <c r="W49" i="1"/>
  <c r="U110" i="1"/>
  <c r="S110" i="1" s="1"/>
  <c r="W110" i="1"/>
  <c r="AI110" i="1"/>
  <c r="AI121" i="1"/>
  <c r="U121" i="1"/>
  <c r="S121" i="1" s="1"/>
  <c r="AI137" i="1"/>
  <c r="U137" i="1"/>
  <c r="S137" i="1" s="1"/>
  <c r="W214" i="1"/>
  <c r="W155" i="1"/>
  <c r="W197" i="1"/>
  <c r="W228" i="1"/>
  <c r="AI206" i="1"/>
  <c r="U189" i="1"/>
  <c r="S189" i="1" s="1"/>
  <c r="M26" i="3"/>
  <c r="N26" i="3"/>
  <c r="R26" i="3"/>
  <c r="S26" i="3"/>
  <c r="U26" i="3"/>
  <c r="T26" i="3" s="1"/>
  <c r="V26" i="3"/>
  <c r="W26" i="3"/>
  <c r="X26" i="3"/>
  <c r="AC26" i="3" l="1"/>
  <c r="Y26" i="3"/>
  <c r="Z13" i="1"/>
  <c r="Y13" i="1"/>
  <c r="M30" i="5" l="1"/>
  <c r="M29" i="5"/>
  <c r="M28" i="5"/>
  <c r="M27" i="5"/>
  <c r="K13" i="6" l="1"/>
  <c r="B13" i="6"/>
  <c r="K12" i="6"/>
  <c r="B12" i="6"/>
  <c r="J12" i="6" s="1"/>
  <c r="K11" i="6"/>
  <c r="B11" i="6"/>
  <c r="I11" i="6" s="1"/>
  <c r="K10" i="6"/>
  <c r="B10" i="6"/>
  <c r="I10" i="6" s="1"/>
  <c r="K9" i="6"/>
  <c r="B9" i="6"/>
  <c r="K8" i="6"/>
  <c r="B8" i="6"/>
  <c r="J8" i="6" s="1"/>
  <c r="K7" i="6"/>
  <c r="B7" i="6"/>
  <c r="I7" i="6" s="1"/>
  <c r="K6" i="6"/>
  <c r="B6" i="6"/>
  <c r="I6" i="6" s="1"/>
  <c r="K5" i="6"/>
  <c r="B5" i="6"/>
  <c r="K4" i="6"/>
  <c r="B4" i="6"/>
  <c r="J4" i="6" s="1"/>
  <c r="K3" i="6"/>
  <c r="B3" i="6"/>
  <c r="I3" i="6" s="1"/>
  <c r="AE13" i="1"/>
  <c r="AD13" i="1"/>
  <c r="X14" i="1" s="1"/>
  <c r="AC13" i="1"/>
  <c r="AB13" i="1"/>
  <c r="V13" i="1"/>
  <c r="M13" i="1"/>
  <c r="P13" i="1" s="1"/>
  <c r="L13" i="1"/>
  <c r="K13" i="1"/>
  <c r="F6" i="6" l="1"/>
  <c r="AA13" i="1"/>
  <c r="F10" i="6"/>
  <c r="AG13" i="1"/>
  <c r="AI13" i="1" s="1"/>
  <c r="J10" i="6"/>
  <c r="J6" i="6"/>
  <c r="I5" i="6"/>
  <c r="I9" i="6"/>
  <c r="I4" i="6"/>
  <c r="F5" i="6"/>
  <c r="J5" i="6"/>
  <c r="J13" i="6"/>
  <c r="F3" i="6"/>
  <c r="J3" i="6"/>
  <c r="F7" i="6"/>
  <c r="J7" i="6"/>
  <c r="F11" i="6"/>
  <c r="J11" i="6"/>
  <c r="I13" i="6"/>
  <c r="I8" i="6"/>
  <c r="F9" i="6"/>
  <c r="J9" i="6"/>
  <c r="I12" i="6"/>
  <c r="F13" i="6"/>
  <c r="F4" i="6"/>
  <c r="F8" i="6"/>
  <c r="F12" i="6"/>
  <c r="T13" i="1"/>
  <c r="X13" i="1"/>
  <c r="W13" i="1" l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4" i="6" s="1"/>
  <c r="G54" i="4"/>
  <c r="H4" i="6" s="1"/>
  <c r="F55" i="4"/>
  <c r="G55" i="4"/>
  <c r="F56" i="4"/>
  <c r="G56" i="4"/>
  <c r="F57" i="4"/>
  <c r="G57" i="4"/>
  <c r="F58" i="4"/>
  <c r="G5" i="6" s="1"/>
  <c r="G58" i="4"/>
  <c r="H5" i="6" s="1"/>
  <c r="F59" i="4"/>
  <c r="G59" i="4"/>
  <c r="F60" i="4"/>
  <c r="G3" i="6" s="1"/>
  <c r="G60" i="4"/>
  <c r="H3" i="6" s="1"/>
  <c r="F61" i="4"/>
  <c r="G61" i="4"/>
  <c r="F62" i="4"/>
  <c r="G62" i="4"/>
  <c r="F63" i="4"/>
  <c r="G63" i="4"/>
  <c r="F64" i="4"/>
  <c r="G7" i="6" s="1"/>
  <c r="G64" i="4"/>
  <c r="H7" i="6" s="1"/>
  <c r="F65" i="4"/>
  <c r="G65" i="4"/>
  <c r="F66" i="4"/>
  <c r="G66" i="4"/>
  <c r="F67" i="4"/>
  <c r="G67" i="4"/>
  <c r="F68" i="4"/>
  <c r="G68" i="4"/>
  <c r="F69" i="4"/>
  <c r="G6" i="6" s="1"/>
  <c r="G69" i="4"/>
  <c r="H6" i="6" s="1"/>
  <c r="F70" i="4"/>
  <c r="G10" i="6" s="1"/>
  <c r="G70" i="4"/>
  <c r="H10" i="6" s="1"/>
  <c r="F71" i="4"/>
  <c r="G71" i="4"/>
  <c r="F72" i="4"/>
  <c r="G72" i="4"/>
  <c r="F73" i="4"/>
  <c r="G73" i="4"/>
  <c r="F74" i="4"/>
  <c r="G8" i="6" s="1"/>
  <c r="G74" i="4"/>
  <c r="H8" i="6" s="1"/>
  <c r="F75" i="4"/>
  <c r="G11" i="6" s="1"/>
  <c r="G75" i="4"/>
  <c r="H11" i="6" s="1"/>
  <c r="F76" i="4"/>
  <c r="G9" i="6" s="1"/>
  <c r="G76" i="4"/>
  <c r="H9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2" i="6" s="1"/>
  <c r="G84" i="4"/>
  <c r="H12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3" i="6" s="1"/>
  <c r="G223" i="4"/>
  <c r="H13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<sst xmlns="http://schemas.openxmlformats.org/spreadsheetml/2006/main" count="2283" uniqueCount="804">
  <si>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</si>
  <si>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</si>
  <si>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</si>
  <si>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</si>
  <si>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</si>
  <si>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</si>
  <si>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</si>
  <si>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</si>
  <si>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</si>
  <si>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</si>
  <si>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</si>
  <si>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</si>
  <si>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</si>
  <si>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</si>
  <si>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</si>
  <si>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</si>
  <si>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</si>
  <si>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</si>
  <si>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</si>
  <si>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</si>
  <si>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</si>
  <si>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</si>
  <si>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</si>
  <si>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</si>
  <si>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</si>
  <si>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</si>
  <si>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</si>
  <si>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</si>
  <si>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</si>
  <si>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</si>
  <si>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</si>
  <si>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</si>
  <si>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</si>
  <si>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</si>
  <si>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</si>
  <si>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</si>
  <si>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</si>
  <si>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</si>
  <si>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</si>
  <si>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</si>
  <si>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</si>
  <si>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</si>
  <si>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</si>
  <si>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</si>
  <si>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</si>
  <si>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</si>
  <si>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</si>
  <si>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</si>
  <si>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</si>
  <si>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</si>
  <si>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</si>
  <si>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</si>
  <si>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</si>
  <si>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</si>
  <si>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</si>
  <si>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</si>
  <si>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</si>
  <si>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</si>
  <si>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</si>
  <si>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</si>
  <si>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</si>
  <si>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</si>
  <si>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</si>
  <si>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</si>
  <si>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</si>
  <si>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</si>
  <si>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</si>
  <si>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</si>
  <si>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</si>
  <si>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</si>
  <si>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</si>
  <si>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</si>
  <si>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</si>
  <si>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</si>
  <si>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</si>
  <si>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</si>
  <si>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</si>
  <si>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</si>
  <si>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</si>
  <si>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</si>
  <si>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</si>
  <si>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</si>
  <si>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</si>
  <si>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</si>
  <si>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</si>
  <si>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</si>
  <si>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</si>
  <si>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</si>
  <si>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</si>
  <si>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</si>
  <si>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</si>
  <si>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</si>
  <si>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</si>
  <si>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</si>
  <si>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</si>
  <si>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</si>
  <si>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</si>
  <si>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</si>
  <si>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</si>
  <si>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</si>
  <si>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</si>
  <si>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</si>
  <si>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</si>
  <si>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</si>
  <si>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</si>
  <si>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</si>
  <si>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</si>
  <si>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</si>
  <si>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</si>
  <si>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</si>
  <si>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</si>
  <si>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</si>
  <si>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</si>
  <si>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</si>
  <si>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</si>
  <si>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</si>
  <si>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</si>
  <si>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</si>
  <si>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</si>
  <si>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</si>
  <si>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</si>
  <si>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</si>
  <si>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</si>
  <si>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</si>
  <si>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</si>
  <si>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</si>
  <si>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</si>
  <si>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</si>
  <si>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</si>
  <si>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</si>
  <si>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</si>
  <si>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</si>
  <si>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</si>
  <si>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</si>
  <si>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</si>
  <si>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</si>
  <si>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</si>
  <si>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</si>
  <si>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</si>
  <si>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</si>
  <si>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</si>
  <si>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</si>
  <si>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</si>
  <si>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</si>
  <si>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</si>
  <si>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</si>
  <si>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</si>
  <si>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</si>
  <si>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</si>
  <si>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</si>
  <si>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</si>
  <si>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</si>
  <si>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</si>
  <si>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</si>
  <si>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</si>
  <si>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</si>
  <si>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</si>
  <si>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</si>
  <si>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</si>
  <si>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</si>
  <si>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</si>
  <si>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</si>
  <si>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</si>
  <si>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</si>
  <si>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</si>
  <si>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</si>
  <si>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</si>
  <si>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</si>
  <si>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</si>
  <si>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</si>
  <si>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</si>
  <si>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</si>
  <si>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</si>
  <si>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</si>
  <si>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</si>
  <si>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</si>
  <si>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</si>
  <si>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</si>
  <si>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</si>
  <si>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</si>
  <si>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</si>
  <si>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</si>
  <si>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</si>
  <si>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</si>
  <si>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</si>
  <si>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</si>
  <si>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</si>
  <si>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</si>
  <si>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rtdc.l.rtdc.4010:itc</t>
  </si>
  <si>
    <t>rtdc.l.rtdc.4009:itc</t>
  </si>
  <si>
    <t>rtdc.l.rtdc.4044:itc</t>
  </si>
  <si>
    <t>rtdc.l.rtdc.4007:itc</t>
  </si>
  <si>
    <t>56-06</t>
  </si>
  <si>
    <t>244-06</t>
  </si>
  <si>
    <t>311-06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</si>
  <si>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</si>
  <si>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</si>
  <si>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</si>
  <si>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</si>
  <si>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</si>
  <si>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</si>
  <si>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204:154</t>
  </si>
  <si>
    <t>204:145</t>
  </si>
  <si>
    <t>204:149</t>
  </si>
  <si>
    <t>204:233293</t>
  </si>
  <si>
    <t>204:143</t>
  </si>
  <si>
    <t>204:447</t>
  </si>
  <si>
    <t>204:453</t>
  </si>
  <si>
    <t>204:455</t>
  </si>
  <si>
    <t>204:466</t>
  </si>
  <si>
    <t>204:233295</t>
  </si>
  <si>
    <t>204:460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</si>
  <si>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</si>
  <si>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</si>
  <si>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</si>
  <si>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</si>
  <si>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</si>
  <si>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</si>
  <si>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</si>
  <si>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</si>
  <si>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</si>
  <si>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</si>
  <si>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</si>
  <si>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</si>
  <si>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</si>
  <si>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</si>
  <si>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204:449</t>
  </si>
  <si>
    <t>204:138</t>
  </si>
  <si>
    <t>204:462</t>
  </si>
  <si>
    <t>rtdc.l.rtdc.4037:itc</t>
  </si>
  <si>
    <t>204:233291</t>
  </si>
  <si>
    <t>204:232985</t>
  </si>
  <si>
    <t>rtdc.l.rtdc.4011:itc</t>
  </si>
  <si>
    <t>204:457</t>
  </si>
  <si>
    <t>rtdc.l.rtdc.4021:itc</t>
  </si>
  <si>
    <t>204:464</t>
  </si>
  <si>
    <t>204:233301</t>
  </si>
  <si>
    <t>204:232969</t>
  </si>
  <si>
    <t>204:232978</t>
  </si>
  <si>
    <t>DE.1.0.8.0</t>
  </si>
  <si>
    <t>rtdc.l.rtdc.4040:itc</t>
  </si>
  <si>
    <t>rtdc.l.rtdc.4038:itc</t>
  </si>
  <si>
    <t>204:232983</t>
  </si>
  <si>
    <t>204:233288</t>
  </si>
  <si>
    <t>204:458</t>
  </si>
  <si>
    <t>rtdc.l.rtdc.4014:itc</t>
  </si>
  <si>
    <t>rtdc.l.rtdc.4022:itc</t>
  </si>
  <si>
    <t>partly-cloudy-night</t>
  </si>
  <si>
    <t>Partly Cloudy</t>
  </si>
  <si>
    <t>partly-cloudy-day</t>
  </si>
  <si>
    <t>204:136</t>
  </si>
  <si>
    <t>204:438</t>
  </si>
  <si>
    <t>204:233289</t>
  </si>
  <si>
    <t>204:473</t>
  </si>
  <si>
    <t>204:232975</t>
  </si>
  <si>
    <t>204:444</t>
  </si>
  <si>
    <t>300:58613</t>
  </si>
  <si>
    <t>300:58926</t>
  </si>
  <si>
    <t>CHANDLER</t>
  </si>
  <si>
    <t>204:233303</t>
  </si>
  <si>
    <t>204:232984</t>
  </si>
  <si>
    <t>204:158</t>
  </si>
  <si>
    <t>CRAYTON</t>
  </si>
  <si>
    <t>rtdc.l.rtdc.4003:itc</t>
  </si>
  <si>
    <t>clear-night</t>
  </si>
  <si>
    <t>Clear</t>
  </si>
  <si>
    <t>204:232996</t>
  </si>
  <si>
    <t>204:232980</t>
  </si>
  <si>
    <t>204:442</t>
  </si>
  <si>
    <t>rtdc.l.rtdc.4039:itc</t>
  </si>
  <si>
    <t>rtdc.l.rtdc.4032:itc</t>
  </si>
  <si>
    <t>Y</t>
  </si>
  <si>
    <t>MACDONALD</t>
  </si>
  <si>
    <t>LALONDE</t>
  </si>
  <si>
    <t>rtdc.l.rtdc.4004:itc</t>
  </si>
  <si>
    <t>HOLCOMB</t>
  </si>
  <si>
    <t>HELVIE</t>
  </si>
  <si>
    <t>JOHNSON</t>
  </si>
  <si>
    <t>WHITED</t>
  </si>
  <si>
    <t>204:233302</t>
  </si>
  <si>
    <t>204:233298</t>
  </si>
  <si>
    <t>204:232982</t>
  </si>
  <si>
    <t>204:233310</t>
  </si>
  <si>
    <t>204:233312</t>
  </si>
  <si>
    <t>Human Factors</t>
  </si>
  <si>
    <t>rtdc.l.rtdc.4041:itc</t>
  </si>
  <si>
    <t>rtdc.l.rtdc.4008:itc</t>
  </si>
  <si>
    <t>311-01</t>
  </si>
  <si>
    <t>rtdc.l.rtdc.4042:itc</t>
  </si>
  <si>
    <t>RICHARDSON</t>
  </si>
  <si>
    <t>LOPES</t>
  </si>
  <si>
    <t>STAMBAUGH</t>
  </si>
  <si>
    <t>847-01</t>
  </si>
  <si>
    <t>230-01</t>
  </si>
  <si>
    <t>232-01</t>
  </si>
  <si>
    <t>235-01</t>
  </si>
  <si>
    <t>908-01</t>
  </si>
  <si>
    <t>234-01</t>
  </si>
  <si>
    <t>237-01</t>
  </si>
  <si>
    <t>239-01</t>
  </si>
  <si>
    <t>236-01</t>
  </si>
  <si>
    <t>241-01</t>
  </si>
  <si>
    <t>238-01</t>
  </si>
  <si>
    <t>240-01</t>
  </si>
  <si>
    <t>243-01</t>
  </si>
  <si>
    <t>309-01</t>
  </si>
  <si>
    <t>242-01</t>
  </si>
  <si>
    <t>244-01</t>
  </si>
  <si>
    <t>313-01</t>
  </si>
  <si>
    <t>315-01</t>
  </si>
  <si>
    <t>204:232987</t>
  </si>
  <si>
    <t>204:232998</t>
  </si>
  <si>
    <t>204:233308</t>
  </si>
  <si>
    <t>204:134</t>
  </si>
  <si>
    <t>204:232993</t>
  </si>
  <si>
    <t>204:469</t>
  </si>
  <si>
    <t>204:233306</t>
  </si>
  <si>
    <t>204:233004</t>
  </si>
  <si>
    <t>204:232991</t>
  </si>
  <si>
    <t>300:58931</t>
  </si>
  <si>
    <t>300:58615</t>
  </si>
  <si>
    <t>300:58611</t>
  </si>
  <si>
    <t>rtdc.l.rtdc.4025:itc</t>
  </si>
  <si>
    <t>rtdc.l.rtdc.4054:itc</t>
  </si>
  <si>
    <t>244-02</t>
  </si>
  <si>
    <t>MAELZER</t>
  </si>
  <si>
    <t>rtdc.l.rtdc.4053:itc</t>
  </si>
  <si>
    <t>PERKINS</t>
  </si>
  <si>
    <t>rtdc.l.rtdc.4026:itc</t>
  </si>
  <si>
    <t>DAVIDSON</t>
  </si>
  <si>
    <t>GRASTON</t>
  </si>
  <si>
    <t>SAFIEF</t>
  </si>
  <si>
    <t>BEAM</t>
  </si>
  <si>
    <t>LOZA</t>
  </si>
  <si>
    <t>ADANE</t>
  </si>
  <si>
    <t>MAGEE</t>
  </si>
  <si>
    <t>313-02</t>
  </si>
  <si>
    <t>315-02</t>
  </si>
  <si>
    <t>204:233324</t>
  </si>
  <si>
    <t>204:232994</t>
  </si>
  <si>
    <t>204:232986</t>
  </si>
  <si>
    <t>204:132</t>
  </si>
  <si>
    <t>204:471</t>
  </si>
  <si>
    <t>204:233305</t>
  </si>
  <si>
    <t>204:233315</t>
  </si>
  <si>
    <t>300:23301</t>
  </si>
  <si>
    <t>300:23302</t>
  </si>
  <si>
    <t>204:768</t>
  </si>
  <si>
    <t>204:1023</t>
  </si>
  <si>
    <t>300:58937</t>
  </si>
  <si>
    <t>rtdc.l.rtdc.4012:itc</t>
  </si>
  <si>
    <t>rtdc.l.rtdc.4015:itc</t>
  </si>
  <si>
    <t>rtdc.l.rtdc.4016:itc</t>
  </si>
  <si>
    <t>NELSON</t>
  </si>
  <si>
    <t>SHOOK</t>
  </si>
  <si>
    <t>242-03</t>
  </si>
  <si>
    <t>311-03</t>
  </si>
  <si>
    <t>244-03</t>
  </si>
  <si>
    <t>313-03</t>
  </si>
  <si>
    <t>315-03</t>
  </si>
  <si>
    <t>204:233314</t>
  </si>
  <si>
    <t>204:232965</t>
  </si>
  <si>
    <t>204:160</t>
  </si>
  <si>
    <t>204:746</t>
  </si>
  <si>
    <t>204:150</t>
  </si>
  <si>
    <t>204:233311</t>
  </si>
  <si>
    <t>204:232967</t>
  </si>
  <si>
    <t>204:233304</t>
  </si>
  <si>
    <t>204:233282</t>
  </si>
  <si>
    <t>204:233319</t>
  </si>
  <si>
    <t>204:233268</t>
  </si>
  <si>
    <t>204:233055</t>
  </si>
  <si>
    <t>204:198</t>
  </si>
  <si>
    <t>204:233283</t>
  </si>
  <si>
    <t>204:233044</t>
  </si>
  <si>
    <t>204:233015</t>
  </si>
  <si>
    <t>204:233320</t>
  </si>
  <si>
    <t>204:435</t>
  </si>
  <si>
    <t>204:437</t>
  </si>
  <si>
    <t>204:233270</t>
  </si>
  <si>
    <t>204:233008</t>
  </si>
  <si>
    <t>204:233307</t>
  </si>
  <si>
    <t>204:232959</t>
  </si>
  <si>
    <t>204:233274</t>
  </si>
  <si>
    <t>204:232960</t>
  </si>
  <si>
    <t>204:233325</t>
  </si>
  <si>
    <t>300:23310</t>
  </si>
  <si>
    <t>204:421</t>
  </si>
  <si>
    <t>300:23308</t>
  </si>
  <si>
    <t>204:748</t>
  </si>
  <si>
    <t>300:58619</t>
  </si>
  <si>
    <t>300:58935</t>
  </si>
  <si>
    <t>300:58939</t>
  </si>
  <si>
    <t>300:58621</t>
  </si>
  <si>
    <t>204:953</t>
  </si>
  <si>
    <t>204:750</t>
  </si>
  <si>
    <t>300:58941</t>
  </si>
  <si>
    <t>204:727</t>
  </si>
  <si>
    <t>300:58929</t>
  </si>
  <si>
    <t>300:58624</t>
  </si>
  <si>
    <t>300:58920</t>
  </si>
  <si>
    <t>204:1055</t>
  </si>
  <si>
    <t>300:58623</t>
  </si>
  <si>
    <t>104-04</t>
  </si>
  <si>
    <t>rtdc.l.rtdc.4045:itc</t>
  </si>
  <si>
    <t>106-04</t>
  </si>
  <si>
    <t>115-04</t>
  </si>
  <si>
    <t>802-04</t>
  </si>
  <si>
    <t>112-04</t>
  </si>
  <si>
    <t>805-04</t>
  </si>
  <si>
    <t>120-04</t>
  </si>
  <si>
    <t>127-04</t>
  </si>
  <si>
    <t>126-04</t>
  </si>
  <si>
    <t>135-04</t>
  </si>
  <si>
    <t>139-04</t>
  </si>
  <si>
    <t>140-04</t>
  </si>
  <si>
    <t>145-04</t>
  </si>
  <si>
    <t>153-04</t>
  </si>
  <si>
    <t>150-04</t>
  </si>
  <si>
    <t>52-04</t>
  </si>
  <si>
    <t>163-04</t>
  </si>
  <si>
    <t>172-04</t>
  </si>
  <si>
    <t>178-04</t>
  </si>
  <si>
    <t>829-04</t>
  </si>
  <si>
    <t>209-04</t>
  </si>
  <si>
    <t>200-04</t>
  </si>
  <si>
    <t>834-04</t>
  </si>
  <si>
    <t>215-04</t>
  </si>
  <si>
    <t>214-04</t>
  </si>
  <si>
    <t>216-04</t>
  </si>
  <si>
    <t>218-04</t>
  </si>
  <si>
    <t>227-04</t>
  </si>
  <si>
    <t>844-04</t>
  </si>
  <si>
    <t>237-04</t>
  </si>
  <si>
    <t>239-04</t>
  </si>
  <si>
    <t>236-04</t>
  </si>
  <si>
    <t>302-04</t>
  </si>
  <si>
    <t>101-04</t>
  </si>
  <si>
    <t>304-04</t>
  </si>
  <si>
    <t>DAVIS</t>
  </si>
  <si>
    <t>103-04</t>
  </si>
  <si>
    <t>102-04</t>
  </si>
  <si>
    <t>308-04</t>
  </si>
  <si>
    <t>105-04</t>
  </si>
  <si>
    <t>MALAVE</t>
  </si>
  <si>
    <t>107-04</t>
  </si>
  <si>
    <t>310-04</t>
  </si>
  <si>
    <t>109-04</t>
  </si>
  <si>
    <t>901-04</t>
  </si>
  <si>
    <t>ROBINSON</t>
  </si>
  <si>
    <t>111-04</t>
  </si>
  <si>
    <t>800-04</t>
  </si>
  <si>
    <t>113-04</t>
  </si>
  <si>
    <t>108-04</t>
  </si>
  <si>
    <t>110-04</t>
  </si>
  <si>
    <t>801-04</t>
  </si>
  <si>
    <t>117-04</t>
  </si>
  <si>
    <t>119-04</t>
  </si>
  <si>
    <t>902-04</t>
  </si>
  <si>
    <t>114-04</t>
  </si>
  <si>
    <t>121-04</t>
  </si>
  <si>
    <t>803-04</t>
  </si>
  <si>
    <t>123-04</t>
  </si>
  <si>
    <t>116-04</t>
  </si>
  <si>
    <t>804-04</t>
  </si>
  <si>
    <t>118-04</t>
  </si>
  <si>
    <t>125-04</t>
  </si>
  <si>
    <t>807-04</t>
  </si>
  <si>
    <t>122-04</t>
  </si>
  <si>
    <t>806-04</t>
  </si>
  <si>
    <t>124-04</t>
  </si>
  <si>
    <t>129-04</t>
  </si>
  <si>
    <t>131-04</t>
  </si>
  <si>
    <t>809-04</t>
  </si>
  <si>
    <t>808-04</t>
  </si>
  <si>
    <t>133-04</t>
  </si>
  <si>
    <t>128-04</t>
  </si>
  <si>
    <t>811-04</t>
  </si>
  <si>
    <t>810-04</t>
  </si>
  <si>
    <t>130-04</t>
  </si>
  <si>
    <t>137-04</t>
  </si>
  <si>
    <t>132-04</t>
  </si>
  <si>
    <t>903-04</t>
  </si>
  <si>
    <t>812-04</t>
  </si>
  <si>
    <t>141-04</t>
  </si>
  <si>
    <t>134-04</t>
  </si>
  <si>
    <t>143-04</t>
  </si>
  <si>
    <t>136-04</t>
  </si>
  <si>
    <t>138-04</t>
  </si>
  <si>
    <t>813-04</t>
  </si>
  <si>
    <t>147-04</t>
  </si>
  <si>
    <t>142-04</t>
  </si>
  <si>
    <t>149-04</t>
  </si>
  <si>
    <t>814-04</t>
  </si>
  <si>
    <t>151-04</t>
  </si>
  <si>
    <t>144-04</t>
  </si>
  <si>
    <t>146-04</t>
  </si>
  <si>
    <t>148-04</t>
  </si>
  <si>
    <t>815-04</t>
  </si>
  <si>
    <t>50-04</t>
  </si>
  <si>
    <t>OUN</t>
  </si>
  <si>
    <t>155-04</t>
  </si>
  <si>
    <t>816-04</t>
  </si>
  <si>
    <t>152-04</t>
  </si>
  <si>
    <t>157-04</t>
  </si>
  <si>
    <t>SWANSON</t>
  </si>
  <si>
    <t>159-04</t>
  </si>
  <si>
    <t>STEWART</t>
  </si>
  <si>
    <t>154-04</t>
  </si>
  <si>
    <t>161-04</t>
  </si>
  <si>
    <t>CLARK</t>
  </si>
  <si>
    <t>156-04</t>
  </si>
  <si>
    <t>817-04</t>
  </si>
  <si>
    <t>51-04</t>
  </si>
  <si>
    <t>158-04</t>
  </si>
  <si>
    <t>818-04</t>
  </si>
  <si>
    <t>165-04</t>
  </si>
  <si>
    <t>53-04</t>
  </si>
  <si>
    <t>160-04</t>
  </si>
  <si>
    <t>167-04</t>
  </si>
  <si>
    <t>162-04</t>
  </si>
  <si>
    <t>169-04</t>
  </si>
  <si>
    <t>819-04</t>
  </si>
  <si>
    <t>164-04</t>
  </si>
  <si>
    <t>166-04</t>
  </si>
  <si>
    <t>171-04</t>
  </si>
  <si>
    <t>173-04</t>
  </si>
  <si>
    <t>820-04</t>
  </si>
  <si>
    <t>168-04</t>
  </si>
  <si>
    <t>175-04</t>
  </si>
  <si>
    <t>170-04</t>
  </si>
  <si>
    <t>177-04</t>
  </si>
  <si>
    <t>821-04</t>
  </si>
  <si>
    <t>179-04</t>
  </si>
  <si>
    <t>174-04</t>
  </si>
  <si>
    <t>822-04</t>
  </si>
  <si>
    <t>181-04</t>
  </si>
  <si>
    <t>176-04</t>
  </si>
  <si>
    <t>183-04</t>
  </si>
  <si>
    <t>185-04</t>
  </si>
  <si>
    <t>180-04</t>
  </si>
  <si>
    <t>823-04</t>
  </si>
  <si>
    <t>187-04</t>
  </si>
  <si>
    <t>824-04</t>
  </si>
  <si>
    <t>182-04</t>
  </si>
  <si>
    <t>189-04</t>
  </si>
  <si>
    <t>184-04</t>
  </si>
  <si>
    <t>191-04</t>
  </si>
  <si>
    <t>825-04</t>
  </si>
  <si>
    <t>186-04</t>
  </si>
  <si>
    <t>193-04</t>
  </si>
  <si>
    <t>188-04</t>
  </si>
  <si>
    <t>195-04</t>
  </si>
  <si>
    <t>904-04</t>
  </si>
  <si>
    <t>190-04</t>
  </si>
  <si>
    <t>197-04</t>
  </si>
  <si>
    <t>826-04</t>
  </si>
  <si>
    <t>192-04</t>
  </si>
  <si>
    <t>827-04</t>
  </si>
  <si>
    <t>199-04</t>
  </si>
  <si>
    <t>194-04</t>
  </si>
  <si>
    <t>828-04</t>
  </si>
  <si>
    <t>196-04</t>
  </si>
  <si>
    <t>201-04</t>
  </si>
  <si>
    <t>203-04</t>
  </si>
  <si>
    <t>831-04</t>
  </si>
  <si>
    <t>198-04</t>
  </si>
  <si>
    <t>205-04</t>
  </si>
  <si>
    <t>830-04</t>
  </si>
  <si>
    <t>207-04</t>
  </si>
  <si>
    <t>202-04</t>
  </si>
  <si>
    <t>832-04</t>
  </si>
  <si>
    <t>rtdc.l.rtdc.4046:itc</t>
  </si>
  <si>
    <t>67-04</t>
  </si>
  <si>
    <t>833-04</t>
  </si>
  <si>
    <t>204-04</t>
  </si>
  <si>
    <t>211-04</t>
  </si>
  <si>
    <t>206-04</t>
  </si>
  <si>
    <t>835-04</t>
  </si>
  <si>
    <t>213-04</t>
  </si>
  <si>
    <t>208-04</t>
  </si>
  <si>
    <t>210-04</t>
  </si>
  <si>
    <t>56-04</t>
  </si>
  <si>
    <t>ARVIDSON</t>
  </si>
  <si>
    <t>836-04</t>
  </si>
  <si>
    <t>837-04</t>
  </si>
  <si>
    <t>217-04</t>
  </si>
  <si>
    <t>212-04</t>
  </si>
  <si>
    <t>219-04</t>
  </si>
  <si>
    <t>839-04</t>
  </si>
  <si>
    <t>838-04</t>
  </si>
  <si>
    <t>303-04</t>
  </si>
  <si>
    <t>221-04</t>
  </si>
  <si>
    <t>906-04</t>
  </si>
  <si>
    <t>220-04</t>
  </si>
  <si>
    <t>305-04</t>
  </si>
  <si>
    <t>841-04</t>
  </si>
  <si>
    <t>223-04</t>
  </si>
  <si>
    <t>307-04</t>
  </si>
  <si>
    <t>840-04</t>
  </si>
  <si>
    <t>222-04</t>
  </si>
  <si>
    <t>225-04</t>
  </si>
  <si>
    <t>843-04</t>
  </si>
  <si>
    <t>224-04</t>
  </si>
  <si>
    <t>842-04</t>
  </si>
  <si>
    <t>226-04</t>
  </si>
  <si>
    <t>229-04</t>
  </si>
  <si>
    <t>845-04</t>
  </si>
  <si>
    <t>231-04</t>
  </si>
  <si>
    <t>228-04</t>
  </si>
  <si>
    <t>230-04</t>
  </si>
  <si>
    <t>233-04</t>
  </si>
  <si>
    <t>847-04</t>
  </si>
  <si>
    <t>235-04</t>
  </si>
  <si>
    <t>232-04</t>
  </si>
  <si>
    <t>908-04</t>
  </si>
  <si>
    <t>234-04</t>
  </si>
  <si>
    <t>238-04</t>
  </si>
  <si>
    <t>241-04</t>
  </si>
  <si>
    <t>240-04</t>
  </si>
  <si>
    <t>243-04</t>
  </si>
  <si>
    <t>245-04</t>
  </si>
  <si>
    <t>242-04</t>
  </si>
  <si>
    <t>309-04</t>
  </si>
  <si>
    <t>244-04</t>
  </si>
  <si>
    <t>311-04</t>
  </si>
  <si>
    <t>246-04</t>
  </si>
  <si>
    <t>313-04</t>
  </si>
  <si>
    <t>315-04</t>
  </si>
  <si>
    <t>fog</t>
  </si>
  <si>
    <t>Foggy</t>
  </si>
  <si>
    <t>204:37261</t>
  </si>
  <si>
    <t>204:232668</t>
  </si>
  <si>
    <t>204:730</t>
  </si>
  <si>
    <t>204:232672</t>
  </si>
  <si>
    <t>204:777</t>
  </si>
  <si>
    <t>204:232653</t>
  </si>
  <si>
    <t>204:446</t>
  </si>
  <si>
    <t>204:785</t>
  </si>
  <si>
    <t>204:232961</t>
  </si>
  <si>
    <t>204:163</t>
  </si>
  <si>
    <t>204:440</t>
  </si>
  <si>
    <t>204:233257</t>
  </si>
  <si>
    <t>204:2085</t>
  </si>
  <si>
    <t>204:232988</t>
  </si>
  <si>
    <t>204:233321</t>
  </si>
  <si>
    <t>204:233272</t>
  </si>
  <si>
    <t>204:232966</t>
  </si>
  <si>
    <t>204:176</t>
  </si>
  <si>
    <t>204:482</t>
  </si>
  <si>
    <t>204:233316</t>
  </si>
  <si>
    <t>204:232979</t>
  </si>
  <si>
    <t>204:130</t>
  </si>
  <si>
    <t>204:477</t>
  </si>
  <si>
    <t>204:172</t>
  </si>
  <si>
    <t>204:233266</t>
  </si>
  <si>
    <t>204:433</t>
  </si>
  <si>
    <t>204:233236</t>
  </si>
  <si>
    <t>204:232923</t>
  </si>
  <si>
    <t>204:233317</t>
  </si>
  <si>
    <t>204:3378</t>
  </si>
  <si>
    <t>204:233364</t>
  </si>
  <si>
    <t>204:233045</t>
  </si>
  <si>
    <t>204:233336</t>
  </si>
  <si>
    <t>204:233299</t>
  </si>
  <si>
    <t>204:233013</t>
  </si>
  <si>
    <t>204:484</t>
  </si>
  <si>
    <t>204:233357</t>
  </si>
  <si>
    <t>204:233366</t>
  </si>
  <si>
    <t>204:233060</t>
  </si>
  <si>
    <t>204:233342</t>
  </si>
  <si>
    <t>204:233017</t>
  </si>
  <si>
    <t>204:233142</t>
  </si>
  <si>
    <t>204:233372</t>
  </si>
  <si>
    <t>204:233072</t>
  </si>
  <si>
    <t>204:233338</t>
  </si>
  <si>
    <t>204:233278</t>
  </si>
  <si>
    <t>204:232955</t>
  </si>
  <si>
    <t>204:169</t>
  </si>
  <si>
    <t>204:233329</t>
  </si>
  <si>
    <t>204:233280</t>
  </si>
  <si>
    <t>204:233049</t>
  </si>
  <si>
    <t>204:489</t>
  </si>
  <si>
    <t>204:133189</t>
  </si>
  <si>
    <t>204:143225</t>
  </si>
  <si>
    <t>204:154402</t>
  </si>
  <si>
    <t>204:133194</t>
  </si>
  <si>
    <t>204:167</t>
  </si>
  <si>
    <t>204:44010</t>
  </si>
  <si>
    <t>204:36796</t>
  </si>
  <si>
    <t>204:233001</t>
  </si>
  <si>
    <t>204:467</t>
  </si>
  <si>
    <t>204:233300</t>
  </si>
  <si>
    <t>204:114</t>
  </si>
  <si>
    <t>204:37193</t>
  </si>
  <si>
    <t>204:413</t>
  </si>
  <si>
    <t>300:23197</t>
  </si>
  <si>
    <t>300:23192</t>
  </si>
  <si>
    <t>300:19848</t>
  </si>
  <si>
    <t>204:500</t>
  </si>
  <si>
    <t>300:23104</t>
  </si>
  <si>
    <t>300:23497</t>
  </si>
  <si>
    <t>300:22841</t>
  </si>
  <si>
    <t>300:23468</t>
  </si>
  <si>
    <t>204:878</t>
  </si>
  <si>
    <t>204:1199</t>
  </si>
  <si>
    <t>300:24244</t>
  </si>
  <si>
    <t>300:21784</t>
  </si>
  <si>
    <t>204:348</t>
  </si>
  <si>
    <t>300:24263</t>
  </si>
  <si>
    <t>300:22159</t>
  </si>
  <si>
    <t>204:891</t>
  </si>
  <si>
    <t>204:1494</t>
  </si>
  <si>
    <t>300:23346</t>
  </si>
  <si>
    <t>300:58690</t>
  </si>
  <si>
    <t>204:670</t>
  </si>
  <si>
    <t>204:948</t>
  </si>
  <si>
    <t>300:59005</t>
  </si>
  <si>
    <t>300:58688</t>
  </si>
  <si>
    <t>204:675</t>
  </si>
  <si>
    <t>204:1014</t>
  </si>
  <si>
    <t>300:58912</t>
  </si>
  <si>
    <t>300:58594</t>
  </si>
  <si>
    <t>204:965</t>
  </si>
  <si>
    <t>300:59016</t>
  </si>
  <si>
    <t>300:58579</t>
  </si>
  <si>
    <t>204:689</t>
  </si>
  <si>
    <t>204:1021</t>
  </si>
  <si>
    <t>204:983</t>
  </si>
  <si>
    <t>300:58954</t>
  </si>
  <si>
    <t>300:58632</t>
  </si>
  <si>
    <t>204:122</t>
  </si>
  <si>
    <t>204:1018</t>
  </si>
  <si>
    <t>300:58924</t>
  </si>
  <si>
    <t>204:488</t>
  </si>
  <si>
    <t>204:802</t>
  </si>
  <si>
    <t>300:58944</t>
  </si>
  <si>
    <t>204:144</t>
  </si>
  <si>
    <t>300:58647</t>
  </si>
  <si>
    <t>204:677</t>
  </si>
  <si>
    <t>204:974</t>
  </si>
  <si>
    <t>300:58928</t>
  </si>
  <si>
    <t>204:701</t>
  </si>
  <si>
    <t>204:985</t>
  </si>
  <si>
    <t>204:638</t>
  </si>
  <si>
    <t>204:923</t>
  </si>
  <si>
    <t>204:663</t>
  </si>
  <si>
    <t>204:957</t>
  </si>
  <si>
    <t>300:58905</t>
  </si>
  <si>
    <t>300:58598</t>
  </si>
  <si>
    <t>204:694</t>
  </si>
  <si>
    <t>204:666</t>
  </si>
  <si>
    <t>204:969</t>
  </si>
  <si>
    <t>300:58922</t>
  </si>
  <si>
    <t>204:671</t>
  </si>
  <si>
    <t>204:958</t>
  </si>
  <si>
    <t>300:58608</t>
  </si>
  <si>
    <t>204:703</t>
  </si>
  <si>
    <t>204:941</t>
  </si>
  <si>
    <t>204:778</t>
  </si>
  <si>
    <t>300:58914</t>
  </si>
  <si>
    <t>300:58606</t>
  </si>
  <si>
    <t>204:673</t>
  </si>
  <si>
    <t>204:1060</t>
  </si>
  <si>
    <t>300:58600</t>
  </si>
  <si>
    <t>204:682</t>
  </si>
  <si>
    <t>204:1035</t>
  </si>
  <si>
    <t>300:29998</t>
  </si>
  <si>
    <t>300:59007</t>
  </si>
  <si>
    <t>300:22342</t>
  </si>
  <si>
    <t>204:722</t>
  </si>
  <si>
    <t>300:24195</t>
  </si>
  <si>
    <t>300:23586</t>
  </si>
  <si>
    <t>204:659</t>
  </si>
  <si>
    <t>300:28789</t>
  </si>
  <si>
    <t>300:58604</t>
  </si>
  <si>
    <t>300:21712</t>
  </si>
  <si>
    <t>aws s3 cp s3://rtdc.mdm.uploadarchive.raw/RTDC4038/ "%USERPROFILE%\AppData\Local\Temp\OnboardLogs"\RTDC4038\2016-11-04 --exclude "*" --recursive --include "*20161104*" &amp; "%USERPROFILE%\Documents\GitHub\mrs-test-scripts\Headless Mode &amp; Sideloading\WalkAndUnGZ.bat" "%USERPROFILE%\AppData\Local\Temp\OnboardLogs"\RTDC4038\2016-11-04 &amp; aws s3 cp s3://rtdc.mdm.uploadarchive.raw/RTDC4038/ "%USERPROFILE%\AppData\Local\Temp\OnboardLogs"\RTDC4038\2016-11-05 --exclude "*" --recursive --include "*20161105*" &amp; "%USERPROFILE%\Documents\GitHub\mrs-test-scripts\Headless Mode &amp; Sideloading\WalkAndUnGZ.bat" "%USERPROFILE%\AppData\Local\Temp\OnboardLogs"\RTDC4038\2016-11-05</t>
  </si>
  <si>
    <t>aws s3 cp s3://rtdc.mdm.uploadarchive.raw/RTDC4022/ "%USERPROFILE%\AppData\Local\Temp\OnboardLogs"\RTDC4022\2016-11-04 --exclude "*" --recursive --include "*20161104*" &amp; "%USERPROFILE%\Documents\GitHub\mrs-test-scripts\Headless Mode &amp; Sideloading\WalkAndUnGZ.bat" "%USERPROFILE%\AppData\Local\Temp\OnboardLogs"\RTDC4022\2016-11-04 &amp; aws s3 cp s3://rtdc.mdm.uploadarchive.raw/RTDC4022/ "%USERPROFILE%\AppData\Local\Temp\OnboardLogs"\RTDC4022\2016-11-05 --exclude "*" --recursive --include "*20161105*" &amp; "%USERPROFILE%\Documents\GitHub\mrs-test-scripts\Headless Mode &amp; Sideloading\WalkAndUnGZ.bat" "%USERPROFILE%\AppData\Local\Temp\OnboardLogs"\RTDC4022\2016-11-05</t>
  </si>
  <si>
    <t>aws s3 cp s3://rtdc.mdm.uploadarchive.raw/RTDC4030/ "%USERPROFILE%\AppData\Local\Temp\OnboardLogs"\RTDC4030\2016-11-04 --exclude "*" --recursive --include "*20161104*" &amp; "%USERPROFILE%\Documents\GitHub\mrs-test-scripts\Headless Mode &amp; Sideloading\WalkAndUnGZ.bat" "%USERPROFILE%\AppData\Local\Temp\OnboardLogs"\RTDC4030\2016-11-04 &amp; aws s3 cp s3://rtdc.mdm.uploadarchive.raw/RTDC4030/ "%USERPROFILE%\AppData\Local\Temp\OnboardLogs"\RTDC4030\2016-11-05 --exclude "*" --recursive --include "*20161105*" &amp; "%USERPROFILE%\Documents\GitHub\mrs-test-scripts\Headless Mode &amp; Sideloading\WalkAndUnGZ.bat" "%USERPROFILE%\AppData\Local\Temp\OnboardLogs"\RTDC4030\2016-11-05</t>
  </si>
  <si>
    <t>aws s3 cp s3://rtdc.mdm.uploadarchive.raw/RTDC4007/ "%USERPROFILE%\AppData\Local\Temp\OnboardLogs"\RTDC4007\2016-11-04 --exclude "*" --recursive --include "*20161104*" &amp; "%USERPROFILE%\Documents\GitHub\mrs-test-scripts\Headless Mode &amp; Sideloading\WalkAndUnGZ.bat" "%USERPROFILE%\AppData\Local\Temp\OnboardLogs"\RTDC4007\2016-11-04 &amp; aws s3 cp s3://rtdc.mdm.uploadarchive.raw/RTDC4007/ "%USERPROFILE%\AppData\Local\Temp\OnboardLogs"\RTDC4007\2016-11-05 --exclude "*" --recursive --include "*20161105*" &amp; "%USERPROFILE%\Documents\GitHub\mrs-test-scripts\Headless Mode &amp; Sideloading\WalkAndUnGZ.bat" "%USERPROFILE%\AppData\Local\Temp\OnboardLogs"\RTDC4007\2016-11-05</t>
  </si>
  <si>
    <t>aws s3 cp s3://rtdc.mdm.uploadarchive.raw/RTDC4008/ "%USERPROFILE%\AppData\Local\Temp\OnboardLogs"\RTDC4008\2016-11-04 --exclude "*" --recursive --include "*20161104*" &amp; "%USERPROFILE%\Documents\GitHub\mrs-test-scripts\Headless Mode &amp; Sideloading\WalkAndUnGZ.bat" "%USERPROFILE%\AppData\Local\Temp\OnboardLogs"\RTDC4008\2016-11-04 &amp; aws s3 cp s3://rtdc.mdm.uploadarchive.raw/RTDC4008/ "%USERPROFILE%\AppData\Local\Temp\OnboardLogs"\RTDC4008\2016-11-05 --exclude "*" --recursive --include "*20161105*" &amp; "%USERPROFILE%\Documents\GitHub\mrs-test-scripts\Headless Mode &amp; Sideloading\WalkAndUnGZ.bat" "%USERPROFILE%\AppData\Local\Temp\OnboardLogs"\RTDC4008\2016-11-05</t>
  </si>
  <si>
    <t>aws s3 cp s3://rtdc.mdm.uploadarchive.raw/RTDC4042/ "%USERPROFILE%\AppData\Local\Temp\OnboardLogs"\RTDC4042\2016-11-04 --exclude "*" --recursive --include "*20161104*" &amp; "%USERPROFILE%\Documents\GitHub\mrs-test-scripts\Headless Mode &amp; Sideloading\WalkAndUnGZ.bat" "%USERPROFILE%\AppData\Local\Temp\OnboardLogs"\RTDC4042\2016-11-04 &amp; aws s3 cp s3://rtdc.mdm.uploadarchive.raw/RTDC4042/ "%USERPROFILE%\AppData\Local\Temp\OnboardLogs"\RTDC4042\2016-11-05 --exclude "*" --recursive --include "*20161105*" &amp; "%USERPROFILE%\Documents\GitHub\mrs-test-scripts\Headless Mode &amp; Sideloading\WalkAndUnGZ.bat" "%USERPROFILE%\AppData\Local\Temp\OnboardLogs"\RTDC4042\2016-11-05</t>
  </si>
  <si>
    <t>aws s3 cp s3://rtdc.mdm.uploadarchive.raw/RTDC4037/ "%USERPROFILE%\AppData\Local\Temp\OnboardLogs"\RTDC4037\2016-11-04 --exclude "*" --recursive --include "*20161104*" &amp; "%USERPROFILE%\Documents\GitHub\mrs-test-scripts\Headless Mode &amp; Sideloading\WalkAndUnGZ.bat" "%USERPROFILE%\AppData\Local\Temp\OnboardLogs"\RTDC4037\2016-11-04 &amp; aws s3 cp s3://rtdc.mdm.uploadarchive.raw/RTDC4037/ "%USERPROFILE%\AppData\Local\Temp\OnboardLogs"\RTDC4037\2016-11-05 --exclude "*" --recursive --include "*20161105*" &amp; "%USERPROFILE%\Documents\GitHub\mrs-test-scripts\Headless Mode &amp; Sideloading\WalkAndUnGZ.bat" "%USERPROFILE%\AppData\Local\Temp\OnboardLogs"\RTDC4037\2016-11-05</t>
  </si>
  <si>
    <t>aws s3 cp s3://rtdc.mdm.uploadarchive.raw/RTDC4045/ "%USERPROFILE%\AppData\Local\Temp\OnboardLogs"\RTDC4045\2016-11-04 --exclude "*" --recursive --include "*20161104*" &amp; "%USERPROFILE%\Documents\GitHub\mrs-test-scripts\Headless Mode &amp; Sideloading\WalkAndUnGZ.bat" "%USERPROFILE%\AppData\Local\Temp\OnboardLogs"\RTDC4045\2016-11-04 &amp; aws s3 cp s3://rtdc.mdm.uploadarchive.raw/RTDC4045/ "%USERPROFILE%\AppData\Local\Temp\OnboardLogs"\RTDC4045\2016-11-05 --exclude "*" --recursive --include "*20161105*" &amp; "%USERPROFILE%\Documents\GitHub\mrs-test-scripts\Headless Mode &amp; Sideloading\WalkAndUnGZ.bat" "%USERPROFILE%\AppData\Local\Temp\OnboardLogs"\RTDC4045\2016-11-05</t>
  </si>
  <si>
    <t>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 &amp; aws s3 cp s3://rtdc.mdm.uploadarchive.raw/RTDC4041/ "%USERPROFILE%\AppData\Local\Temp\OnboardLogs"\RTDC4041\2016-11-05 --exclude "*" --recursive --include "*20161105*" &amp; "%USERPROFILE%\Documents\GitHub\mrs-test-scripts\Headless Mode &amp; Sideloading\WalkAndUnGZ.bat" "%USERPROFILE%\AppData\Local\Temp\OnboardLogs"\RTDC4041\2016-11-05</t>
  </si>
  <si>
    <t>aws s3 cp s3://rtdc.mdm.uploadarchive.raw/RTDC4012/ "%USERPROFILE%\AppData\Local\Temp\OnboardLogs"\RTDC4012\2016-11-04 --exclude "*" --recursive --include "*20161104*" &amp; "%USERPROFILE%\Documents\GitHub\mrs-test-scripts\Headless Mode &amp; Sideloading\WalkAndUnGZ.bat" "%USERPROFILE%\AppData\Local\Temp\OnboardLogs"\RTDC4012\2016-11-04 &amp; 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</t>
  </si>
  <si>
    <t>Onboard in-route failure</t>
  </si>
  <si>
    <t>2016/11/04 09:12:13.867 UTC - primary slice change - kept Onboard in DISENGAGED despite movement</t>
  </si>
  <si>
    <t>Brake Pipe Pressure Failures - most likely triplex</t>
  </si>
  <si>
    <t>CP 61st ELXS failure?</t>
  </si>
  <si>
    <t>At approx 18:24:33, did CP 61st have another lamp test comparison failure?</t>
  </si>
  <si>
    <t>Primary slice change at  2016/11/05 01:31:04.053 UTC, caused a comm failure (Slot10 not sure who to connect to)</t>
  </si>
  <si>
    <t>DUS 4N STOP due to 22N STOP</t>
  </si>
  <si>
    <t>Train was stopped by a STOP aspect at DUS 4N due to the vital logic (4N must be STOP if 22N is STOP)</t>
  </si>
  <si>
    <t>GPS/wheeltach underneath I-25</t>
  </si>
  <si>
    <t>See title</t>
  </si>
  <si>
    <t>40th 4S STOP, cleared afterward</t>
  </si>
  <si>
    <t>CP 61st ELXS failure</t>
  </si>
  <si>
    <t>Pena 4S STOP, cleared afterward</t>
  </si>
  <si>
    <t>:.+((SYSTEM_STATE.+slice.+state.+changed )|(ment ac)|(system.+state.+changed )|(\[timeout)|(PRM\|1\|D)|(kpr)|(kdp)|(\|loc)|(penalty))</t>
  </si>
  <si>
    <t>Early arrival; accelerated into crossing</t>
  </si>
  <si>
    <t>Early arrival; accelerated before clearing crossing</t>
  </si>
  <si>
    <t>Early arrival; didn't slow down quickly enough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</si>
</sst>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1" fillId="0" borderId="0" xfId="0" applyNumberFormat="1" applyFont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9"/>
  <sheetViews>
    <sheetView zoomScaleNormal="100" workbookViewId="0">
      <selection activeCell="R13" sqref="R13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5" width="2.85546875" style="2" customWidth="1"/>
    <col min="16" max="16" width="3.1406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42678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42678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COUNTIFS($N$13:$N$9392,"&gt;0",$AG$13:$AG$9392,I1)</f>
        <v>141</v>
      </c>
      <c r="K5" s="44"/>
      <c r="L5" s="44"/>
      <c r="M5" s="45">
        <f>AVERAGEIFS($N$13:$N$9392,$AG$13:$AG$9392,I1)</f>
        <v>37.585106383033214</v>
      </c>
      <c r="N5" s="43">
        <f t="array" ref="N5">MIN(IF($AG$13:$AG$9392=I1,IF(ISNUMBER($N$13:$N$9392),IF($N$13:$N$9392&gt;0,$N$13:$N$9392))))</f>
        <v>34.266666661715135</v>
      </c>
      <c r="O5" s="3">
        <f t="array" ref="O5">MAX(IF($AG$13:$AG$9392=I1,IF(ISNUMBER($N$13:$N$9392),IF($N$13:$N$9392&gt;0,$N$13:$N$9392))))</f>
        <v>46.516666664974764</v>
      </c>
      <c r="P5" s="2"/>
      <c r="R5" s="80" t="s">
        <v>17</v>
      </c>
      <c r="S5" s="55">
        <f>COUNTIFS($N$13:$N$9392,"&gt;0",$AG$13:$AG$9392,R1)</f>
        <v>47</v>
      </c>
      <c r="T5" s="44"/>
      <c r="U5" s="168"/>
      <c r="V5" s="45">
        <f>AVERAGEIFS($N$13:$N$9392,$AG$13:$AG$9392,R1)</f>
        <v>15.018439716907178</v>
      </c>
      <c r="W5" s="43">
        <f t="array" ref="W5">MIN(IF($AG$13:$AG$9392=R1,IF(ISNUMBER($N$13:$N$9392),IF($N$13:$N$9392&gt;0,$N$13:$N$9392))))</f>
        <v>12.049999998416752</v>
      </c>
      <c r="X5" s="173">
        <f t="array" ref="X5">MAX(IF($AG$13:$AG$9392=R1,IF(ISNUMBER($N$13:$N$9392),IF($N$13:$N$9392&gt;0,$N$13:$N$9392))))</f>
        <v>21.316666662460193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COUNT($O$13:$O$165)</f>
        <v>0</v>
      </c>
      <c r="K6" s="44"/>
      <c r="L6" s="44"/>
      <c r="M6" s="45">
        <f>IFERROR(AVERAGE($O$13:$O$165),0)</f>
        <v>0</v>
      </c>
      <c r="N6" s="43">
        <f>MIN($O$13:$O$165)</f>
        <v>0</v>
      </c>
      <c r="O6" s="3">
        <f>MAX($O$13:$O$165)</f>
        <v>0</v>
      </c>
      <c r="P6" s="2"/>
      <c r="R6" s="81" t="s">
        <v>43</v>
      </c>
      <c r="S6" s="55">
        <f>COUNT($O$13:$O$165)</f>
        <v>0</v>
      </c>
      <c r="T6" s="44"/>
      <c r="U6" s="168"/>
      <c r="V6" s="45">
        <f>IFERROR(AVERAGE($O$13:$O$165),0)</f>
        <v>0</v>
      </c>
      <c r="W6" s="43">
        <f>MIN($O$13:$O$165)</f>
        <v>0</v>
      </c>
      <c r="X6" s="173">
        <f>MAX($O$13:$O$165)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COUNTIFS($P$13:$P$9392,"&gt;0",$AG$13:$AG$9392,I1)</f>
        <v>5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COUNTIFS($P$13:$P$9392,"&gt;0",$AG$13:$AG$9392,R1)</f>
        <v>0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141</v>
      </c>
      <c r="K8" s="44"/>
      <c r="L8" s="44"/>
      <c r="M8" s="45">
        <f>M5</f>
        <v>37.585106383033214</v>
      </c>
      <c r="N8" s="43">
        <f>N5</f>
        <v>34.266666661715135</v>
      </c>
      <c r="O8" s="3">
        <f>O5</f>
        <v>46.516666664974764</v>
      </c>
      <c r="P8" s="2"/>
      <c r="R8" s="80" t="s">
        <v>16</v>
      </c>
      <c r="S8" s="55">
        <f>S5</f>
        <v>47</v>
      </c>
      <c r="T8" s="44"/>
      <c r="U8" s="168"/>
      <c r="V8" s="45">
        <f>V5</f>
        <v>15.018439716907178</v>
      </c>
      <c r="W8" s="43">
        <f>W5</f>
        <v>12.049999998416752</v>
      </c>
      <c r="X8" s="173">
        <f>X5</f>
        <v>21.316666662460193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0.96575342465753422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1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- 2016-11-04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AVERAGE(S13:S108)</f>
        <v>0.99739583333333337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21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437</v>
      </c>
      <c r="B13" s="7">
        <v>4038</v>
      </c>
      <c r="C13" s="22" t="s">
        <v>239</v>
      </c>
      <c r="D13" s="22" t="s">
        <v>631</v>
      </c>
      <c r="E13" s="13">
        <v>42678.132743055554</v>
      </c>
      <c r="F13" s="13">
        <v>42678.143275462964</v>
      </c>
      <c r="G13" s="7">
        <v>14</v>
      </c>
      <c r="H13" s="22" t="s">
        <v>283</v>
      </c>
      <c r="I13" s="13">
        <v>42678.161365740743</v>
      </c>
      <c r="J13" s="7">
        <v>0</v>
      </c>
      <c r="K13" s="112" t="str">
        <f t="shared" ref="K13:K75" si="0">IF(ISEVEN(B13),(B13-1)&amp;"/"&amp;B13,B13&amp;"/"&amp;(B13+1))</f>
        <v>4037/4038</v>
      </c>
      <c r="L13" s="22" t="str">
        <f>VLOOKUP(A13,'Trips&amp;Operators'!$C$1:$E$10000,3,FALSE)</f>
        <v>MAELZER</v>
      </c>
      <c r="M13" s="6">
        <f t="shared" ref="M13:M75" si="1">I13-F13</f>
        <v>1.8090277779265307E-2</v>
      </c>
      <c r="N13" s="7"/>
      <c r="O13" s="7"/>
      <c r="P13" s="7">
        <f t="shared" ref="N13:P75" si="2">24*60*SUM($M13:$M13)</f>
        <v>26.050000002142042</v>
      </c>
      <c r="Q13" s="23"/>
      <c r="R13" s="23" t="s">
        <v>787</v>
      </c>
      <c r="S13" s="35">
        <f t="shared" ref="S13:S75" si="3">SUM(U13:U13)/IF(AG13="EC",12,1)</f>
        <v>0.75</v>
      </c>
      <c r="T13" s="50" t="str">
        <f t="shared" ref="T13:T75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9</v>
      </c>
      <c r="V13" s="98" t="str">
        <f t="shared" ref="V13:V75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https://search-rtdc-monitor-bjffxe2xuh6vdkpspy63sjmuny.us-east-1.es.amazonaws.com/_plugin/kibana/#/discover/Steve-Slow-Train-Analysis-(2080s-and-2083s)?_g=(refreshInterval:(display:Off,section:0,value:0),time:(from:'2016-11-04 02:11:09-0600',mode:absolute,to:'2016-11-04 04:52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" s="52" t="str">
        <f t="shared" ref="W13:W75" si="6">IF(AA13&lt;IF(AG13="EC",23,5.65),"Y","N")</f>
        <v>Y</v>
      </c>
      <c r="X13" s="177" t="e">
        <f t="shared" ref="X13:X75" si="7">VALUE(LEFT(AD13,4))-VALUE(LEFT(AD12,4))</f>
        <v>#VALUE!</v>
      </c>
      <c r="Y13" s="67">
        <f t="shared" ref="Y13:Y75" si="8">RIGHT(D13,LEN(D13)-4)/10000</f>
        <v>3.7261000000000002</v>
      </c>
      <c r="Z13" s="67">
        <f t="shared" ref="Z13:Z75" si="9">RIGHT(H13,LEN(H13)-4)/10000</f>
        <v>23.331199999999999</v>
      </c>
      <c r="AA13" s="67">
        <f t="shared" ref="AA13:AA75" si="10">ABS(Z13-Y13)</f>
        <v>19.6051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5" si="11">IF(LEN(A13)=6,"0"&amp;A13,A13)</f>
        <v>0101-04</v>
      </c>
      <c r="AE13" s="91" t="str">
        <f t="shared" ref="AE13:AE75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s3://rtdc.mdm.uploadarchive.raw/RTDC4038/ "%USERPROFILE%\AppData\Local\Temp\OnboardLogs"\RTDC4038\2016-11-04 --exclude "*" --recursive --include "*20161104*" &amp; "%USERPROFILE%\Documents\GitHub\mrs-test-scripts\Headless Mode &amp; Sideloading\WalkAndUnGZ.bat" "%USERPROFILE%\AppData\Local\Temp\OnboardLogs"\RTDC4038\2016-11-04 &amp; aws s3 cp s3://rtdc.mdm.uploadarchive.raw/RTDC4038/ "%USERPROFILE%\AppData\Local\Temp\OnboardLogs"\RTDC4038\2016-11-05 --exclude "*" --recursive --include "*20161105*" &amp; "%USERPROFILE%\Documents\GitHub\mrs-test-scripts\Headless Mode &amp; Sideloading\WalkAndUnGZ.bat" "%USERPROFILE%\AppData\Local\Temp\OnboardLogs"\RTDC4038\2016-11-05</v>
      </c>
      <c r="AF13" s="88" t="str">
        <f t="shared" ref="AF13:AF75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/stypes="app*4038*20161104*" /stext=" 09:.+((SYSTEM_STATE.+slice.+state.+changed )|(ment ac)|(system.+state.+changed )|(\[timeout)|(PRM\|1\|D)|(kpr)|(kdp)|(\|loc)|(penalty))" /e /r /s</v>
      </c>
      <c r="AG13" s="1" t="str">
        <f t="shared" ref="AG13:AG75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101-04 --locoid 4038 --swversion DE.1.0.8.0 --startMP 204:37261 --initTime 2016-11-04T03:11:09 --startdatetime 2016-11-04T03:26:19 --delay 14 --endMP 204:233312 --enddatetime 2016-11-04T03:52:22 --enforcementcount 0 &gt;&gt;C:\Users\stu\Documents\GitHub\eaglep3-reporting\EC\2016-11-04-refined-times.txt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failure","project_id":79,"tracker_id":40,"status_id":1,"priority_id":2,"assigned_to_id":23,"start_date":"2016-11-04","description":"2016/11/04 09:12:13.867 UTC - primary slice change - kept Onboard in DISENGAGED despite movement","custom_fields":[{"id":1,"name":"Subdivision","value":"EC"},{"id":4,"name":"Milepost","value":"23.3312"},{"id":17,"name":"Train ID","value":"101-04"},{"id":16,"name":"Locomotive ID","value":"4038"},{"id":130,"name":"Impact","value":"Unexpected Cut-Out or Disengaged"},{"id":150,"name":"Time of Event (Mountain Time)","value":"03:52:22"},{"id":151,"name":"Denver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3" s="53" t="s">
        <v>788</v>
      </c>
      <c r="AK13" s="53" t="s">
        <v>131</v>
      </c>
      <c r="AL13" s="53" t="s">
        <v>178</v>
      </c>
    </row>
    <row r="14" spans="1:91" s="1" customFormat="1" x14ac:dyDescent="0.25">
      <c r="A14" s="37" t="s">
        <v>441</v>
      </c>
      <c r="B14" s="7">
        <v>4004</v>
      </c>
      <c r="C14" s="22" t="s">
        <v>239</v>
      </c>
      <c r="D14" s="22" t="s">
        <v>632</v>
      </c>
      <c r="E14" s="13">
        <v>42678.168310185189</v>
      </c>
      <c r="F14" s="13">
        <v>42678.174664351849</v>
      </c>
      <c r="G14" s="7">
        <v>1</v>
      </c>
      <c r="H14" s="22" t="s">
        <v>176</v>
      </c>
      <c r="I14" s="13">
        <v>42678.200462962966</v>
      </c>
      <c r="J14" s="7">
        <v>0</v>
      </c>
      <c r="K14" s="112" t="str">
        <f t="shared" si="0"/>
        <v>4003/4004</v>
      </c>
      <c r="L14" s="22" t="str">
        <f>VLOOKUP(A14,'Trips&amp;Operators'!$C$1:$E$10000,3,FALSE)</f>
        <v>MAELZER</v>
      </c>
      <c r="M14" s="6">
        <f t="shared" si="1"/>
        <v>2.5798611117352266E-2</v>
      </c>
      <c r="N14" s="7">
        <f t="shared" si="2"/>
        <v>37.150000008987263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03:02:22-0600',mode:absolute,to:'2016-11-04 05:48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23.2668</v>
      </c>
      <c r="Z14" s="67">
        <f t="shared" si="9"/>
        <v>1.52E-2</v>
      </c>
      <c r="AA14" s="67">
        <f t="shared" si="10"/>
        <v>23.2516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11"/>
        <v>0102-04</v>
      </c>
      <c r="AE14" s="91" t="str">
        <f t="shared" si="12"/>
        <v>aws s3 cp s3://rtdc.mdm.uploadarchive.raw/RTDC4004/ "%USERPROFILE%\AppData\Local\Temp\OnboardLogs"\RTDC4004\2016-11-04 --exclude "*" --recursive --include "*20161104*" &amp; "%USERPROFILE%\Documents\GitHub\mrs-test-scripts\Headless Mode &amp; Sideloading\WalkAndUnGZ.bat" "%USERPROFILE%\AppData\Local\Temp\OnboardLogs"\RTDC4004\2016-11-04 &amp; 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</v>
      </c>
      <c r="AF14" s="88" t="str">
        <f t="shared" si="13"/>
        <v>"C:\Program Files (x86)\AstroGrep\AstroGrep.exe" /spath="%USERPROFILE%\AppData\Local\Temp\OnboardLogs" /stypes="app*4004*20161104*" /stext=" 10:.+((SYSTEM_STATE.+slice.+state.+changed )|(ment ac)|(system.+state.+changed )|(\[timeout)|(PRM\|1\|D)|(kpr)|(kdp)|(\|loc)|(penalty))" /e /r /s</v>
      </c>
      <c r="AG14" s="1" t="str">
        <f t="shared" si="14"/>
        <v>EC</v>
      </c>
      <c r="AH14" s="92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102-04 --locoid 4004 --swversion DE.1.0.8.0 --startMP 204:232668 --initTime 2016-11-04T04:02:22 --startdatetime 2016-11-04T04:11:31 --delay 1 --endMP 204:152 --enddatetime 2016-11-04T04:48:40 --enforcementcount 0 &gt;&gt;C:\Users\stu\Documents\GitHub\eaglep3-reporting\EC\2016-11-04-refined-times.txt</v>
      </c>
      <c r="AI14" s="122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{"issue":{"subject":"","project_id":79,"tracker_id":40,"status_id":1,"priority_id":2,"assigned_to_id":23,"start_date":"2016-11-04","description":"","custom_fields":[{"id":1,"name":"Subdivision","value":"EC"},{"id":4,"name":"Milepost","value":"0.0152"},{"id":17,"name":"Train ID","value":"102-04"},{"id":16,"name":"Locomotive ID","value":"4004"},{"id":130,"name":"Impact","value":""},{"id":150,"name":"Time of Event (Mountain Time)","value":"04:48:40"},{"id":151,"name":"Denver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440</v>
      </c>
      <c r="B15" s="7">
        <v>4007</v>
      </c>
      <c r="C15" s="22" t="s">
        <v>239</v>
      </c>
      <c r="D15" s="22" t="s">
        <v>633</v>
      </c>
      <c r="E15" s="13">
        <v>42678.154791666668</v>
      </c>
      <c r="F15" s="13">
        <v>42678.156481481485</v>
      </c>
      <c r="G15" s="7">
        <v>1</v>
      </c>
      <c r="H15" s="22" t="s">
        <v>282</v>
      </c>
      <c r="I15" s="13">
        <v>42678.182337962964</v>
      </c>
      <c r="J15" s="7">
        <v>0</v>
      </c>
      <c r="K15" s="112" t="str">
        <f t="shared" si="0"/>
        <v>4007/4008</v>
      </c>
      <c r="L15" s="22" t="str">
        <f>VLOOKUP(A15,'Trips&amp;Operators'!$C$1:$E$10000,3,FALSE)</f>
        <v>DAVIS</v>
      </c>
      <c r="M15" s="6">
        <f t="shared" si="1"/>
        <v>2.5856481479422655E-2</v>
      </c>
      <c r="N15" s="7">
        <f t="shared" si="2"/>
        <v>37.233333330368623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02:42:54-0600',mode:absolute,to:'2016-11-04 05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7.2999999999999995E-2</v>
      </c>
      <c r="Z15" s="67">
        <f t="shared" si="9"/>
        <v>23.331</v>
      </c>
      <c r="AA15" s="67">
        <f t="shared" si="10"/>
        <v>23.257999999999999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0103-04</v>
      </c>
      <c r="AE15" s="91" t="str">
        <f t="shared" si="12"/>
        <v>aws s3 cp s3://rtdc.mdm.uploadarchive.raw/RTDC4007/ "%USERPROFILE%\AppData\Local\Temp\OnboardLogs"\RTDC4007\2016-11-04 --exclude "*" --recursive --include "*20161104*" &amp; "%USERPROFILE%\Documents\GitHub\mrs-test-scripts\Headless Mode &amp; Sideloading\WalkAndUnGZ.bat" "%USERPROFILE%\AppData\Local\Temp\OnboardLogs"\RTDC4007\2016-11-04 &amp; aws s3 cp s3://rtdc.mdm.uploadarchive.raw/RTDC4007/ "%USERPROFILE%\AppData\Local\Temp\OnboardLogs"\RTDC4007\2016-11-05 --exclude "*" --recursive --include "*20161105*" &amp; "%USERPROFILE%\Documents\GitHub\mrs-test-scripts\Headless Mode &amp; Sideloading\WalkAndUnGZ.bat" "%USERPROFILE%\AppData\Local\Temp\OnboardLogs"\RTDC4007\2016-11-05</v>
      </c>
      <c r="AF15" s="88" t="str">
        <f t="shared" si="13"/>
        <v>"C:\Program Files (x86)\AstroGrep\AstroGrep.exe" /spath="%USERPROFILE%\AppData\Local\Temp\OnboardLogs" /stypes="app*4007*20161104*" /stext=" 10:.+((SYSTEM_STATE.+slice.+state.+changed )|(ment ac)|(system.+state.+changed )|(\[timeout)|(PRM\|1\|D)|(kpr)|(kdp)|(\|loc)|(penalty))"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103-04 --locoid 4007 --swversion DE.1.0.8.0 --startMP 204:730 --initTime 2016-11-04T03:42:54 --startdatetime 2016-11-04T03:45:20 --delay 1 --endMP 204:233310 --enddatetime 2016-11-04T04:22:34 --enforcementcount 0 &gt;&gt;C:\Users\stu\Documents\GitHub\eaglep3-reporting\EC\2016-11-04-refined-times.txt</v>
      </c>
      <c r="AI15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{"issue":{"subject":"","project_id":79,"tracker_id":40,"status_id":1,"priority_id":2,"assigned_to_id":23,"start_date":"2016-11-04","description":"","custom_fields":[{"id":1,"name":"Subdivision","value":"EC"},{"id":4,"name":"Milepost","value":"23.331"},{"id":17,"name":"Train ID","value":"103-04"},{"id":16,"name":"Locomotive ID","value":"4007"},{"id":130,"name":"Impact","value":""},{"id":150,"name":"Time of Event (Mountain Time)","value":"04:22:34"},{"id":151,"name":"Denver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403</v>
      </c>
      <c r="B16" s="7">
        <v>4021</v>
      </c>
      <c r="C16" s="22" t="s">
        <v>239</v>
      </c>
      <c r="D16" s="22" t="s">
        <v>634</v>
      </c>
      <c r="E16" s="13">
        <v>42678.192824074074</v>
      </c>
      <c r="F16" s="13">
        <v>42678.1952662037</v>
      </c>
      <c r="G16" s="7">
        <v>1</v>
      </c>
      <c r="H16" s="22" t="s">
        <v>313</v>
      </c>
      <c r="I16" s="13">
        <v>42678.222245370373</v>
      </c>
      <c r="J16" s="7">
        <v>0</v>
      </c>
      <c r="K16" s="112" t="str">
        <f t="shared" si="0"/>
        <v>4021/4022</v>
      </c>
      <c r="L16" s="22" t="str">
        <f>VLOOKUP(A16,'Trips&amp;Operators'!$C$1:$E$10000,3,FALSE)</f>
        <v>DAVIS</v>
      </c>
      <c r="M16" s="6">
        <f t="shared" si="1"/>
        <v>2.697916667239042E-2</v>
      </c>
      <c r="N16" s="7">
        <f t="shared" si="2"/>
        <v>38.850000008242205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03:37:40-0600',mode:absolute,to:'2016-11-04 06:20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23.267199999999999</v>
      </c>
      <c r="Z16" s="67">
        <f t="shared" si="9"/>
        <v>1.34E-2</v>
      </c>
      <c r="AA16" s="67">
        <f t="shared" si="10"/>
        <v>23.253799999999998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11"/>
        <v>0104-04</v>
      </c>
      <c r="AE16" s="91" t="str">
        <f t="shared" si="12"/>
        <v>aws s3 cp s3://rtdc.mdm.uploadarchive.raw/RTDC4021/ "%USERPROFILE%\AppData\Local\Temp\OnboardLogs"\RTDC4021\2016-11-04 --exclude "*" --recursive --include "*20161104*" &amp; "%USERPROFILE%\Documents\GitHub\mrs-test-scripts\Headless Mode &amp; Sideloading\WalkAndUnGZ.bat" "%USERPROFILE%\AppData\Local\Temp\OnboardLogs"\RTDC4021\2016-11-04 &amp; aws s3 cp s3://rtdc.mdm.uploadarchive.raw/RTDC4021/ "%USERPROFILE%\AppData\Local\Temp\OnboardLogs"\RTDC4021\2016-11-05 --exclude "*" --recursive --include "*20161105*" &amp; "%USERPROFILE%\Documents\GitHub\mrs-test-scripts\Headless Mode &amp; Sideloading\WalkAndUnGZ.bat" "%USERPROFILE%\AppData\Local\Temp\OnboardLogs"\RTDC4021\2016-11-05</v>
      </c>
      <c r="AF16" s="88" t="str">
        <f t="shared" si="13"/>
        <v>"C:\Program Files (x86)\AstroGrep\AstroGrep.exe" /spath="%USERPROFILE%\AppData\Local\Temp\OnboardLogs" /stypes="app*4021*20161104*" /stext=" 11:.+((SYSTEM_STATE.+slice.+state.+changed )|(ment ac)|(system.+state.+changed )|(\[timeout)|(PRM\|1\|D)|(kpr)|(kdp)|(\|loc)|(penalty))"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104-04 --locoid 4021 --swversion DE.1.0.8.0 --startMP 204:232672 --initTime 2016-11-04T04:37:40 --startdatetime 2016-11-04T04:41:11 --delay 1 --endMP 204:134 --enddatetime 2016-11-04T05:20:02 --enforcementcount 0 &gt;&gt;C:\Users\stu\Documents\GitHub\eaglep3-reporting\EC\2016-11-04-refined-times.txt</v>
      </c>
      <c r="AI16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{"issue":{"subject":"","project_id":79,"tracker_id":40,"status_id":1,"priority_id":2,"assigned_to_id":23,"start_date":"2016-11-04","description":"","custom_fields":[{"id":1,"name":"Subdivision","value":"EC"},{"id":4,"name":"Milepost","value":"0.0134"},{"id":17,"name":"Train ID","value":"104-04"},{"id":16,"name":"Locomotive ID","value":"4021"},{"id":130,"name":"Impact","value":""},{"id":150,"name":"Time of Event (Mountain Time)","value":"05:20:02"},{"id":151,"name":"Denver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443</v>
      </c>
      <c r="B17" s="7">
        <v>4029</v>
      </c>
      <c r="C17" s="22" t="s">
        <v>239</v>
      </c>
      <c r="D17" s="22" t="s">
        <v>635</v>
      </c>
      <c r="E17" s="13">
        <v>42678.17627314815</v>
      </c>
      <c r="F17" s="13">
        <v>42678.177372685182</v>
      </c>
      <c r="G17" s="7">
        <v>1</v>
      </c>
      <c r="H17" s="22" t="s">
        <v>316</v>
      </c>
      <c r="I17" s="13">
        <v>42678.201874999999</v>
      </c>
      <c r="J17" s="7">
        <v>0</v>
      </c>
      <c r="K17" s="112" t="str">
        <f t="shared" si="0"/>
        <v>4029/4030</v>
      </c>
      <c r="L17" s="22" t="str">
        <f>VLOOKUP(A17,'Trips&amp;Operators'!$C$1:$E$10000,3,FALSE)</f>
        <v>MALAVE</v>
      </c>
      <c r="M17" s="6">
        <f t="shared" si="1"/>
        <v>2.4502314816345461E-2</v>
      </c>
      <c r="N17" s="7">
        <f t="shared" si="2"/>
        <v>35.283333335537463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03:13:50-0600',mode:absolute,to:'2016-11-04 05:50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7.7700000000000005E-2</v>
      </c>
      <c r="Z17" s="67">
        <f t="shared" si="9"/>
        <v>23.3306</v>
      </c>
      <c r="AA17" s="67">
        <f t="shared" si="10"/>
        <v>23.2529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0105-04</v>
      </c>
      <c r="AE17" s="91" t="str">
        <f t="shared" si="12"/>
        <v>aws s3 cp s3://rtdc.mdm.uploadarchive.raw/RTDC4029/ "%USERPROFILE%\AppData\Local\Temp\OnboardLogs"\RTDC4029\2016-11-04 --exclude "*" --recursive --include "*20161104*" &amp; "%USERPROFILE%\Documents\GitHub\mrs-test-scripts\Headless Mode &amp; Sideloading\WalkAndUnGZ.bat" "%USERPROFILE%\AppData\Local\Temp\OnboardLogs"\RTDC4029\2016-11-04 &amp; aws s3 cp s3://rtdc.mdm.uploadarchive.raw/RTDC4029/ "%USERPROFILE%\AppData\Local\Temp\OnboardLogs"\RTDC4029\2016-11-05 --exclude "*" --recursive --include "*20161105*" &amp; "%USERPROFILE%\Documents\GitHub\mrs-test-scripts\Headless Mode &amp; Sideloading\WalkAndUnGZ.bat" "%USERPROFILE%\AppData\Local\Temp\OnboardLogs"\RTDC4029\2016-11-05</v>
      </c>
      <c r="AF17" s="88" t="str">
        <f t="shared" si="13"/>
        <v>"C:\Program Files (x86)\AstroGrep\AstroGrep.exe" /spath="%USERPROFILE%\AppData\Local\Temp\OnboardLogs" /stypes="app*4029*20161104*" /stext=" 10:.+((SYSTEM_STATE.+slice.+state.+changed )|(ment ac)|(system.+state.+changed )|(\[timeout)|(PRM\|1\|D)|(kpr)|(kdp)|(\|loc)|(penalty))"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105-04 --locoid 4029 --swversion DE.1.0.8.0 --startMP 204:777 --initTime 2016-11-04T04:13:50 --startdatetime 2016-11-04T04:15:25 --delay 1 --endMP 204:233306 --enddatetime 2016-11-04T04:50:42 --enforcementcount 0 &gt;&gt;C:\Users\stu\Documents\GitHub\eaglep3-reporting\EC\2016-11-04-refined-times.txt</v>
      </c>
      <c r="AI17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{"issue":{"subject":"","project_id":79,"tracker_id":40,"status_id":1,"priority_id":2,"assigned_to_id":23,"start_date":"2016-11-04","description":"","custom_fields":[{"id":1,"name":"Subdivision","value":"EC"},{"id":4,"name":"Milepost","value":"23.3306"},{"id":17,"name":"Train ID","value":"105-04"},{"id":16,"name":"Locomotive ID","value":"4029"},{"id":130,"name":"Impact","value":""},{"id":150,"name":"Time of Event (Mountain Time)","value":"04:50:42"},{"id":151,"name":"Denver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405</v>
      </c>
      <c r="B18" s="7">
        <v>4045</v>
      </c>
      <c r="C18" s="22" t="s">
        <v>239</v>
      </c>
      <c r="D18" s="22" t="s">
        <v>636</v>
      </c>
      <c r="E18" s="13">
        <v>42678.214803240742</v>
      </c>
      <c r="F18" s="13">
        <v>42678.216296296298</v>
      </c>
      <c r="G18" s="7">
        <v>1</v>
      </c>
      <c r="H18" s="22" t="s">
        <v>223</v>
      </c>
      <c r="I18" s="13">
        <v>42678.242905092593</v>
      </c>
      <c r="J18" s="7">
        <v>0</v>
      </c>
      <c r="K18" s="112" t="str">
        <f t="shared" si="0"/>
        <v>4045/4046</v>
      </c>
      <c r="L18" s="22" t="str">
        <f>VLOOKUP(A18,'Trips&amp;Operators'!$C$1:$E$10000,3,FALSE)</f>
        <v>MALAVE</v>
      </c>
      <c r="M18" s="6">
        <f t="shared" si="1"/>
        <v>2.6608796295477077E-2</v>
      </c>
      <c r="N18" s="7">
        <f t="shared" si="2"/>
        <v>38.316666665486991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04:09:19-0600',mode:absolute,to:'2016-11-04 06:49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23.2653</v>
      </c>
      <c r="Z18" s="67">
        <f t="shared" si="9"/>
        <v>1.5599999999999999E-2</v>
      </c>
      <c r="AA18" s="67">
        <f t="shared" si="10"/>
        <v>23.249700000000001</v>
      </c>
      <c r="AB18" s="64" t="str">
        <f>VLOOKUP(A18,Enforcements!$C$7:$K$21,8,0)</f>
        <v>Bulletin (2)</v>
      </c>
      <c r="AC18" s="60" t="str">
        <f>VLOOKUP(A18,Enforcements!$C$7:$E$21,3,0)</f>
        <v>GRADE CROSSING</v>
      </c>
      <c r="AD18" s="61" t="str">
        <f t="shared" si="11"/>
        <v>0106-04</v>
      </c>
      <c r="AE18" s="91" t="str">
        <f t="shared" si="12"/>
        <v>aws s3 cp s3://rtdc.mdm.uploadarchive.raw/RTDC4045/ "%USERPROFILE%\AppData\Local\Temp\OnboardLogs"\RTDC4045\2016-11-04 --exclude "*" --recursive --include "*20161104*" &amp; "%USERPROFILE%\Documents\GitHub\mrs-test-scripts\Headless Mode &amp; Sideloading\WalkAndUnGZ.bat" "%USERPROFILE%\AppData\Local\Temp\OnboardLogs"\RTDC4045\2016-11-04 &amp; aws s3 cp s3://rtdc.mdm.uploadarchive.raw/RTDC4045/ "%USERPROFILE%\AppData\Local\Temp\OnboardLogs"\RTDC4045\2016-11-05 --exclude "*" --recursive --include "*20161105*" &amp; "%USERPROFILE%\Documents\GitHub\mrs-test-scripts\Headless Mode &amp; Sideloading\WalkAndUnGZ.bat" "%USERPROFILE%\AppData\Local\Temp\OnboardLogs"\RTDC4045\2016-11-05</v>
      </c>
      <c r="AF18" s="88" t="str">
        <f t="shared" si="13"/>
        <v>"C:\Program Files (x86)\AstroGrep\AstroGrep.exe" /spath="%USERPROFILE%\AppData\Local\Temp\OnboardLogs" /stypes="app*4045*20161104*" /stext=" 11:.+((SYSTEM_STATE.+slice.+state.+changed )|(ment ac)|(system.+state.+changed )|(\[timeout)|(PRM\|1\|D)|(kpr)|(kdp)|(\|loc)|(penalty))"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106-04 --locoid 4045 --swversion DE.1.0.8.0 --startMP 204:232653 --initTime 2016-11-04T05:09:19 --startdatetime 2016-11-04T05:11:28 --delay 1 --endMP 204:156 --enddatetime 2016-11-04T05:49:47 --enforcementcount 0 &gt;&gt;C:\Users\stu\Documents\GitHub\eaglep3-reporting\EC\2016-11-04-refined-times.txt</v>
      </c>
      <c r="AI18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{"issue":{"subject":"","project_id":79,"tracker_id":40,"status_id":1,"priority_id":2,"assigned_to_id":23,"start_date":"2016-11-04","description":"","custom_fields":[{"id":1,"name":"Subdivision","value":"EC"},{"id":4,"name":"Milepost","value":"0.0156"},{"id":17,"name":"Train ID","value":"106-04"},{"id":16,"name":"Locomotive ID","value":"4045"},{"id":130,"name":"Impact","value":""},{"id":150,"name":"Time of Event (Mountain Time)","value":"05:49:47"},{"id":151,"name":"Denver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445</v>
      </c>
      <c r="B19" s="7">
        <v>4042</v>
      </c>
      <c r="C19" s="22" t="s">
        <v>239</v>
      </c>
      <c r="D19" s="22" t="s">
        <v>212</v>
      </c>
      <c r="E19" s="13">
        <v>42678.181180555555</v>
      </c>
      <c r="F19" s="13">
        <v>42678.187754629631</v>
      </c>
      <c r="G19" s="7">
        <v>1</v>
      </c>
      <c r="H19" s="22" t="s">
        <v>210</v>
      </c>
      <c r="I19" s="13">
        <v>42678.21234953704</v>
      </c>
      <c r="J19" s="7">
        <v>0</v>
      </c>
      <c r="K19" s="112" t="str">
        <f t="shared" si="0"/>
        <v>4041/4042</v>
      </c>
      <c r="L19" s="22" t="str">
        <f>VLOOKUP(A19,'Trips&amp;Operators'!$C$1:$E$10000,3,FALSE)</f>
        <v>PERKINS</v>
      </c>
      <c r="M19" s="6">
        <f t="shared" si="1"/>
        <v>2.4594907408754807E-2</v>
      </c>
      <c r="N19" s="7">
        <f t="shared" si="2"/>
        <v>35.416666668606922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03:20:54-0600',mode:absolute,to:'2016-11-04 06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4.5100000000000001E-2</v>
      </c>
      <c r="Z19" s="67">
        <f t="shared" si="9"/>
        <v>23.329499999999999</v>
      </c>
      <c r="AA19" s="67">
        <f t="shared" si="10"/>
        <v>23.284399999999998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0107-04</v>
      </c>
      <c r="AE19" s="91" t="str">
        <f t="shared" si="12"/>
        <v>aws s3 cp s3://rtdc.mdm.uploadarchive.raw/RTDC4042/ "%USERPROFILE%\AppData\Local\Temp\OnboardLogs"\RTDC4042\2016-11-04 --exclude "*" --recursive --include "*20161104*" &amp; "%USERPROFILE%\Documents\GitHub\mrs-test-scripts\Headless Mode &amp; Sideloading\WalkAndUnGZ.bat" "%USERPROFILE%\AppData\Local\Temp\OnboardLogs"\RTDC4042\2016-11-04 &amp; aws s3 cp s3://rtdc.mdm.uploadarchive.raw/RTDC4042/ "%USERPROFILE%\AppData\Local\Temp\OnboardLogs"\RTDC4042\2016-11-05 --exclude "*" --recursive --include "*20161105*" &amp; "%USERPROFILE%\Documents\GitHub\mrs-test-scripts\Headless Mode &amp; Sideloading\WalkAndUnGZ.bat" "%USERPROFILE%\AppData\Local\Temp\OnboardLogs"\RTDC4042\2016-11-05</v>
      </c>
      <c r="AF19" s="88" t="str">
        <f t="shared" si="13"/>
        <v>"C:\Program Files (x86)\AstroGrep\AstroGrep.exe" /spath="%USERPROFILE%\AppData\Local\Temp\OnboardLogs" /stypes="app*4042*20161104*" /stext=" 11:.+((SYSTEM_STATE.+slice.+state.+changed )|(ment ac)|(system.+state.+changed )|(\[timeout)|(PRM\|1\|D)|(kpr)|(kdp)|(\|loc)|(penalty))"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107-04 --locoid 4042 --swversion DE.1.0.8.0 --startMP 204:451 --initTime 2016-11-04T04:20:54 --startdatetime 2016-11-04T04:30:22 --delay 1 --endMP 204:233295 --enddatetime 2016-11-04T05:05:47 --enforcementcount 0 &gt;&gt;C:\Users\stu\Documents\GitHub\eaglep3-reporting\EC\2016-11-04-refined-times.txt</v>
      </c>
      <c r="AI19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{"issue":{"subject":"","project_id":79,"tracker_id":40,"status_id":1,"priority_id":2,"assigned_to_id":23,"start_date":"2016-11-04","description":"","custom_fields":[{"id":1,"name":"Subdivision","value":"EC"},{"id":4,"name":"Milepost","value":"23.3295"},{"id":17,"name":"Train ID","value":"107-04"},{"id":16,"name":"Locomotive ID","value":"4042"},{"id":130,"name":"Impact","value":""},{"id":150,"name":"Time of Event (Mountain Time)","value":"05:05:47"},{"id":151,"name":"Denver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453</v>
      </c>
      <c r="B20" s="7">
        <v>4041</v>
      </c>
      <c r="C20" s="22" t="s">
        <v>239</v>
      </c>
      <c r="D20" s="22" t="s">
        <v>221</v>
      </c>
      <c r="E20" s="13">
        <v>42678.220972222225</v>
      </c>
      <c r="F20" s="13">
        <v>42678.226585648146</v>
      </c>
      <c r="G20" s="7">
        <v>6</v>
      </c>
      <c r="H20" s="22" t="s">
        <v>364</v>
      </c>
      <c r="I20" s="13">
        <v>42678.252418981479</v>
      </c>
      <c r="J20" s="7">
        <v>0</v>
      </c>
      <c r="K20" s="112" t="str">
        <f t="shared" si="0"/>
        <v>4041/4042</v>
      </c>
      <c r="L20" s="22" t="str">
        <f>VLOOKUP(A20,'Trips&amp;Operators'!$C$1:$E$10000,3,FALSE)</f>
        <v>PERKINS</v>
      </c>
      <c r="M20" s="6">
        <f t="shared" si="1"/>
        <v>2.5833333333139308E-2</v>
      </c>
      <c r="N20" s="7">
        <f t="shared" si="2"/>
        <v>37.199999999720603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04:18:12-0600',mode:absolute,to:'2016-11-04 07:03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23.297699999999999</v>
      </c>
      <c r="Z20" s="67">
        <f t="shared" si="9"/>
        <v>1.4999999999999999E-2</v>
      </c>
      <c r="AA20" s="67">
        <f t="shared" si="10"/>
        <v>23.282699999999998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1"/>
        <v>0108-04</v>
      </c>
      <c r="AE20" s="91" t="str">
        <f t="shared" si="12"/>
        <v>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 &amp; aws s3 cp s3://rtdc.mdm.uploadarchive.raw/RTDC4041/ "%USERPROFILE%\AppData\Local\Temp\OnboardLogs"\RTDC4041\2016-11-05 --exclude "*" --recursive --include "*20161105*" &amp; "%USERPROFILE%\Documents\GitHub\mrs-test-scripts\Headless Mode &amp; Sideloading\WalkAndUnGZ.bat" "%USERPROFILE%\AppData\Local\Temp\OnboardLogs"\RTDC4041\2016-11-05</v>
      </c>
      <c r="AF20" s="88" t="str">
        <f t="shared" si="13"/>
        <v>"C:\Program Files (x86)\AstroGrep\AstroGrep.exe" /spath="%USERPROFILE%\AppData\Local\Temp\OnboardLogs" /stypes="app*4041*20161104*" /stext=" 12:.+((SYSTEM_STATE.+slice.+state.+changed )|(ment ac)|(system.+state.+changed )|(\[timeout)|(PRM\|1\|D)|(kpr)|(kdp)|(\|loc)|(penalty))"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108-04 --locoid 4041 --swversion DE.1.0.8.0 --startMP 204:232977 --initTime 2016-11-04T05:18:12 --startdatetime 2016-11-04T05:26:17 --delay 6 --endMP 204:150 --enddatetime 2016-11-04T06:03:29 --enforcementcount 0 &gt;&gt;C:\Users\stu\Documents\GitHub\eaglep3-reporting\EC\2016-11-04-refined-times.txt</v>
      </c>
      <c r="AI20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{"issue":{"subject":"","project_id":79,"tracker_id":40,"status_id":1,"priority_id":2,"assigned_to_id":23,"start_date":"2016-11-04","description":"","custom_fields":[{"id":1,"name":"Subdivision","value":"EC"},{"id":4,"name":"Milepost","value":"0.015"},{"id":17,"name":"Train ID","value":"108-04"},{"id":16,"name":"Locomotive ID","value":"4041"},{"id":130,"name":"Impact","value":""},{"id":150,"name":"Time of Event (Mountain Time)","value":"06:03:29"},{"id":151,"name":"Denver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447</v>
      </c>
      <c r="B21" s="7">
        <v>4053</v>
      </c>
      <c r="C21" s="22" t="s">
        <v>239</v>
      </c>
      <c r="D21" s="22" t="s">
        <v>209</v>
      </c>
      <c r="E21" s="13">
        <v>42678.195613425924</v>
      </c>
      <c r="F21" s="13">
        <v>42678.198391203703</v>
      </c>
      <c r="G21" s="7">
        <v>1</v>
      </c>
      <c r="H21" s="22" t="s">
        <v>280</v>
      </c>
      <c r="I21" s="13">
        <v>42678.222685185188</v>
      </c>
      <c r="J21" s="7">
        <v>0</v>
      </c>
      <c r="K21" s="112" t="str">
        <f t="shared" si="0"/>
        <v>4053/4054</v>
      </c>
      <c r="L21" s="22" t="str">
        <f>VLOOKUP(A21,'Trips&amp;Operators'!$C$1:$E$10000,3,FALSE)</f>
        <v>DAVIDSON</v>
      </c>
      <c r="M21" s="6">
        <f t="shared" si="1"/>
        <v>2.4293981485243421E-2</v>
      </c>
      <c r="N21" s="7">
        <f t="shared" si="2"/>
        <v>34.983333338750526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03:41:41-0600',mode:absolute,to:'2016-11-04 06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4.6600000000000003E-2</v>
      </c>
      <c r="Z21" s="67">
        <f t="shared" si="9"/>
        <v>23.329799999999999</v>
      </c>
      <c r="AA21" s="67">
        <f t="shared" si="10"/>
        <v>23.283199999999997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0109-04</v>
      </c>
      <c r="AE21" s="91" t="str">
        <f t="shared" si="12"/>
        <v>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 &amp; 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</v>
      </c>
      <c r="AF21" s="88" t="str">
        <f t="shared" si="13"/>
        <v>"C:\Program Files (x86)\AstroGrep\AstroGrep.exe" /spath="%USERPROFILE%\AppData\Local\Temp\OnboardLogs" /stypes="app*4053*20161104*" /stext=" 11:.+((SYSTEM_STATE.+slice.+state.+changed )|(ment ac)|(system.+state.+changed )|(\[timeout)|(PRM\|1\|D)|(kpr)|(kdp)|(\|loc)|(penalty))"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109-04 --locoid 4053 --swversion DE.1.0.8.0 --startMP 204:466 --initTime 2016-11-04T04:41:41 --startdatetime 2016-11-04T04:45:41 --delay 1 --endMP 204:233298 --enddatetime 2016-11-04T05:20:40 --enforcementcount 0 &gt;&gt;C:\Users\stu\Documents\GitHub\eaglep3-reporting\EC\2016-11-04-refined-times.txt</v>
      </c>
      <c r="AI21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{"issue":{"subject":"","project_id":79,"tracker_id":40,"status_id":1,"priority_id":2,"assigned_to_id":23,"start_date":"2016-11-04","description":"","custom_fields":[{"id":1,"name":"Subdivision","value":"EC"},{"id":4,"name":"Milepost","value":"23.3298"},{"id":17,"name":"Train ID","value":"109-04"},{"id":16,"name":"Locomotive ID","value":"4053"},{"id":130,"name":"Impact","value":""},{"id":150,"name":"Time of Event (Mountain Time)","value":"05:20:40"},{"id":151,"name":"Denver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454</v>
      </c>
      <c r="B22" s="7">
        <v>4054</v>
      </c>
      <c r="C22" s="22" t="s">
        <v>239</v>
      </c>
      <c r="D22" s="22" t="s">
        <v>318</v>
      </c>
      <c r="E22" s="13">
        <v>42678.2266087963</v>
      </c>
      <c r="F22" s="13">
        <v>42678.23704861111</v>
      </c>
      <c r="G22" s="7">
        <v>2</v>
      </c>
      <c r="H22" s="22" t="s">
        <v>362</v>
      </c>
      <c r="I22" s="13">
        <v>42678.262939814813</v>
      </c>
      <c r="J22" s="7">
        <v>0</v>
      </c>
      <c r="K22" s="112" t="str">
        <f t="shared" si="0"/>
        <v>4053/4054</v>
      </c>
      <c r="L22" s="22" t="str">
        <f>VLOOKUP(A22,'Trips&amp;Operators'!$C$1:$E$10000,3,FALSE)</f>
        <v>DAVIDSON</v>
      </c>
      <c r="M22" s="6">
        <f t="shared" si="1"/>
        <v>2.5891203702485655E-2</v>
      </c>
      <c r="N22" s="7">
        <f t="shared" si="2"/>
        <v>37.283333331579342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04:26:19-0600',mode:absolute,to:'2016-11-04 07:18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23.299099999999999</v>
      </c>
      <c r="Z22" s="67">
        <f t="shared" si="9"/>
        <v>1.6E-2</v>
      </c>
      <c r="AA22" s="67">
        <f t="shared" si="10"/>
        <v>23.283100000000001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1"/>
        <v>0110-04</v>
      </c>
      <c r="AE22" s="91" t="str">
        <f t="shared" si="12"/>
        <v>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 &amp; 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</v>
      </c>
      <c r="AF22" s="88" t="str">
        <f t="shared" si="13"/>
        <v>"C:\Program Files (x86)\AstroGrep\AstroGrep.exe" /spath="%USERPROFILE%\AppData\Local\Temp\OnboardLogs" /stypes="app*4054*20161104*" /stext=" 12:.+((SYSTEM_STATE.+slice.+state.+changed )|(ment ac)|(system.+state.+changed )|(\[timeout)|(PRM\|1\|D)|(kpr)|(kdp)|(\|loc)|(penalty))"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110-04 --locoid 4054 --swversion DE.1.0.8.0 --startMP 204:232991 --initTime 2016-11-04T05:26:19 --startdatetime 2016-11-04T05:41:21 --delay 2 --endMP 204:160 --enddatetime 2016-11-04T06:18:38 --enforcementcount 0 &gt;&gt;C:\Users\stu\Documents\GitHub\eaglep3-reporting\EC\2016-11-04-refined-times.txt</v>
      </c>
      <c r="AI22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{"issue":{"subject":"","project_id":79,"tracker_id":40,"status_id":1,"priority_id":2,"assigned_to_id":23,"start_date":"2016-11-04","description":"","custom_fields":[{"id":1,"name":"Subdivision","value":"EC"},{"id":4,"name":"Milepost","value":"0.016"},{"id":17,"name":"Train ID","value":"110-04"},{"id":16,"name":"Locomotive ID","value":"4054"},{"id":130,"name":"Impact","value":""},{"id":150,"name":"Time of Event (Mountain Time)","value":"06:18:38"},{"id":151,"name":"Denver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450</v>
      </c>
      <c r="B23" s="7">
        <v>4038</v>
      </c>
      <c r="C23" s="22" t="s">
        <v>239</v>
      </c>
      <c r="D23" s="22" t="s">
        <v>363</v>
      </c>
      <c r="E23" s="13">
        <v>42678.205671296295</v>
      </c>
      <c r="F23" s="13">
        <v>42678.208587962959</v>
      </c>
      <c r="G23" s="7">
        <v>4</v>
      </c>
      <c r="H23" s="22" t="s">
        <v>379</v>
      </c>
      <c r="I23" s="13">
        <v>42678.234074074076</v>
      </c>
      <c r="J23" s="7">
        <v>0</v>
      </c>
      <c r="K23" s="112" t="str">
        <f t="shared" si="0"/>
        <v>4037/4038</v>
      </c>
      <c r="L23" s="22" t="str">
        <f>VLOOKUP(A23,'Trips&amp;Operators'!$C$1:$E$10000,3,FALSE)</f>
        <v>RICHARDSON</v>
      </c>
      <c r="M23" s="6">
        <f t="shared" si="1"/>
        <v>2.5486111117061228E-2</v>
      </c>
      <c r="N23" s="7">
        <f t="shared" si="2"/>
        <v>36.700000008568168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03:56:10-0600',mode:absolute,to:'2016-11-04 06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7.46E-2</v>
      </c>
      <c r="Z23" s="67">
        <f t="shared" si="9"/>
        <v>23.327000000000002</v>
      </c>
      <c r="AA23" s="67">
        <f t="shared" si="10"/>
        <v>23.252400000000002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0111-04</v>
      </c>
      <c r="AE23" s="91" t="str">
        <f t="shared" si="12"/>
        <v>aws s3 cp s3://rtdc.mdm.uploadarchive.raw/RTDC4038/ "%USERPROFILE%\AppData\Local\Temp\OnboardLogs"\RTDC4038\2016-11-04 --exclude "*" --recursive --include "*20161104*" &amp; "%USERPROFILE%\Documents\GitHub\mrs-test-scripts\Headless Mode &amp; Sideloading\WalkAndUnGZ.bat" "%USERPROFILE%\AppData\Local\Temp\OnboardLogs"\RTDC4038\2016-11-04 &amp; aws s3 cp s3://rtdc.mdm.uploadarchive.raw/RTDC4038/ "%USERPROFILE%\AppData\Local\Temp\OnboardLogs"\RTDC4038\2016-11-05 --exclude "*" --recursive --include "*20161105*" &amp; "%USERPROFILE%\Documents\GitHub\mrs-test-scripts\Headless Mode &amp; Sideloading\WalkAndUnGZ.bat" "%USERPROFILE%\AppData\Local\Temp\OnboardLogs"\RTDC4038\2016-11-05</v>
      </c>
      <c r="AF23" s="88" t="str">
        <f t="shared" si="13"/>
        <v>"C:\Program Files (x86)\AstroGrep\AstroGrep.exe" /spath="%USERPROFILE%\AppData\Local\Temp\OnboardLogs" /stypes="app*4038*20161104*" /stext=" 11:.+((SYSTEM_STATE.+slice.+state.+changed )|(ment ac)|(system.+state.+changed )|(\[timeout)|(PRM\|1\|D)|(kpr)|(kdp)|(\|loc)|(penalty))"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111-04 --locoid 4038 --swversion DE.1.0.8.0 --startMP 204:746 --initTime 2016-11-04T04:56:10 --startdatetime 2016-11-04T05:00:22 --delay 4 --endMP 204:233270 --enddatetime 2016-11-04T05:37:04 --enforcementcount 0 &gt;&gt;C:\Users\stu\Documents\GitHub\eaglep3-reporting\EC\2016-11-04-refined-times.txt</v>
      </c>
      <c r="AI23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{"issue":{"subject":"","project_id":79,"tracker_id":40,"status_id":1,"priority_id":2,"assigned_to_id":23,"start_date":"2016-11-04","description":"","custom_fields":[{"id":1,"name":"Subdivision","value":"EC"},{"id":4,"name":"Milepost","value":"23.327"},{"id":17,"name":"Train ID","value":"111-04"},{"id":16,"name":"Locomotive ID","value":"4038"},{"id":130,"name":"Impact","value":""},{"id":150,"name":"Time of Event (Mountain Time)","value":"05:37:04"},{"id":151,"name":"Denver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408</v>
      </c>
      <c r="B24" s="7">
        <v>4037</v>
      </c>
      <c r="C24" s="22" t="s">
        <v>239</v>
      </c>
      <c r="D24" s="22" t="s">
        <v>238</v>
      </c>
      <c r="E24" s="13">
        <v>42678.240868055553</v>
      </c>
      <c r="F24" s="13">
        <v>42678.247372685182</v>
      </c>
      <c r="G24" s="7">
        <v>6</v>
      </c>
      <c r="H24" s="22" t="s">
        <v>261</v>
      </c>
      <c r="I24" s="13">
        <v>42678.275567129633</v>
      </c>
      <c r="J24" s="7">
        <v>0</v>
      </c>
      <c r="K24" s="112" t="str">
        <f t="shared" si="0"/>
        <v>4037/4038</v>
      </c>
      <c r="L24" s="22" t="str">
        <f>VLOOKUP(A24,'Trips&amp;Operators'!$C$1:$E$10000,3,FALSE)</f>
        <v>RICHARDSON</v>
      </c>
      <c r="M24" s="6">
        <f t="shared" si="1"/>
        <v>2.8194444450491574E-2</v>
      </c>
      <c r="N24" s="7">
        <f t="shared" si="2"/>
        <v>40.600000008707866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04:46:51-0600',mode:absolute,to:'2016-11-04 07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23.297799999999999</v>
      </c>
      <c r="Z24" s="67">
        <f t="shared" si="9"/>
        <v>1.5800000000000002E-2</v>
      </c>
      <c r="AA24" s="67">
        <f t="shared" si="10"/>
        <v>23.282</v>
      </c>
      <c r="AB24" s="64" t="str">
        <f>VLOOKUP(A24,Enforcements!$C$7:$K$21,8,0)</f>
        <v>Bulletin (2)</v>
      </c>
      <c r="AC24" s="60" t="str">
        <f>VLOOKUP(A24,Enforcements!$C$7:$E$21,3,0)</f>
        <v>GRADE CROSSING</v>
      </c>
      <c r="AD24" s="61" t="str">
        <f t="shared" si="11"/>
        <v>0112-04</v>
      </c>
      <c r="AE24" s="91" t="str">
        <f t="shared" si="12"/>
        <v>aws s3 cp s3://rtdc.mdm.uploadarchive.raw/RTDC4037/ "%USERPROFILE%\AppData\Local\Temp\OnboardLogs"\RTDC4037\2016-11-04 --exclude "*" --recursive --include "*20161104*" &amp; "%USERPROFILE%\Documents\GitHub\mrs-test-scripts\Headless Mode &amp; Sideloading\WalkAndUnGZ.bat" "%USERPROFILE%\AppData\Local\Temp\OnboardLogs"\RTDC4037\2016-11-04 &amp; aws s3 cp s3://rtdc.mdm.uploadarchive.raw/RTDC4037/ "%USERPROFILE%\AppData\Local\Temp\OnboardLogs"\RTDC4037\2016-11-05 --exclude "*" --recursive --include "*20161105*" &amp; "%USERPROFILE%\Documents\GitHub\mrs-test-scripts\Headless Mode &amp; Sideloading\WalkAndUnGZ.bat" "%USERPROFILE%\AppData\Local\Temp\OnboardLogs"\RTDC4037\2016-11-05</v>
      </c>
      <c r="AF24" s="88" t="str">
        <f t="shared" si="13"/>
        <v>"C:\Program Files (x86)\AstroGrep\AstroGrep.exe" /spath="%USERPROFILE%\AppData\Local\Temp\OnboardLogs" /stypes="app*4037*20161104*" /stext=" 12:.+((SYSTEM_STATE.+slice.+state.+changed )|(ment ac)|(system.+state.+changed )|(\[timeout)|(PRM\|1\|D)|(kpr)|(kdp)|(\|loc)|(penalty))"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112-04 --locoid 4037 --swversion DE.1.0.8.0 --startMP 204:232978 --initTime 2016-11-04T05:46:51 --startdatetime 2016-11-04T05:56:13 --delay 6 --endMP 204:158 --enddatetime 2016-11-04T06:36:49 --enforcementcount 0 &gt;&gt;C:\Users\stu\Documents\GitHub\eaglep3-reporting\EC\2016-11-04-refined-times.txt</v>
      </c>
      <c r="AI24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{"issue":{"subject":"","project_id":79,"tracker_id":40,"status_id":1,"priority_id":2,"assigned_to_id":23,"start_date":"2016-11-04","description":"","custom_fields":[{"id":1,"name":"Subdivision","value":"EC"},{"id":4,"name":"Milepost","value":"0.0158"},{"id":17,"name":"Train ID","value":"112-04"},{"id":16,"name":"Locomotive ID","value":"4037"},{"id":130,"name":"Impact","value":""},{"id":150,"name":"Time of Event (Mountain Time)","value":"06:36:49"},{"id":151,"name":"Denver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452</v>
      </c>
      <c r="B25" s="7">
        <v>4003</v>
      </c>
      <c r="C25" s="22" t="s">
        <v>239</v>
      </c>
      <c r="D25" s="22" t="s">
        <v>637</v>
      </c>
      <c r="E25" s="13">
        <v>42678.215567129628</v>
      </c>
      <c r="F25" s="13">
        <v>42678.2190162037</v>
      </c>
      <c r="G25" s="7">
        <v>1</v>
      </c>
      <c r="H25" s="22" t="s">
        <v>360</v>
      </c>
      <c r="I25" s="13">
        <v>42678.244212962964</v>
      </c>
      <c r="J25" s="7">
        <v>0</v>
      </c>
      <c r="K25" s="112" t="str">
        <f t="shared" si="0"/>
        <v>4003/4004</v>
      </c>
      <c r="L25" s="22" t="str">
        <f>VLOOKUP(A25,'Trips&amp;Operators'!$C$1:$E$10000,3,FALSE)</f>
        <v>MAELZER</v>
      </c>
      <c r="M25" s="6">
        <f t="shared" si="1"/>
        <v>2.5196759263053536E-2</v>
      </c>
      <c r="N25" s="7">
        <f t="shared" si="2"/>
        <v>36.283333338797092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04:10:25-0600',mode:absolute,to:'2016-11-04 06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4.4600000000000001E-2</v>
      </c>
      <c r="Z25" s="67">
        <f t="shared" si="9"/>
        <v>23.331399999999999</v>
      </c>
      <c r="AA25" s="67">
        <f t="shared" si="10"/>
        <v>23.286799999999999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1"/>
        <v>0113-04</v>
      </c>
      <c r="AE25" s="91" t="str">
        <f t="shared" si="12"/>
        <v>aws s3 cp s3://rtdc.mdm.uploadarchive.raw/RTDC4003/ "%USERPROFILE%\AppData\Local\Temp\OnboardLogs"\RTDC4003\2016-11-04 --exclude "*" --recursive --include "*20161104*" &amp; "%USERPROFILE%\Documents\GitHub\mrs-test-scripts\Headless Mode &amp; Sideloading\WalkAndUnGZ.bat" "%USERPROFILE%\AppData\Local\Temp\OnboardLogs"\RTDC4003\2016-11-04 &amp; 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</v>
      </c>
      <c r="AF25" s="88" t="str">
        <f t="shared" si="13"/>
        <v>"C:\Program Files (x86)\AstroGrep\AstroGrep.exe" /spath="%USERPROFILE%\AppData\Local\Temp\OnboardLogs" /stypes="app*4003*20161104*" /stext=" 11:.+((SYSTEM_STATE.+slice.+state.+changed )|(ment ac)|(system.+state.+changed )|(\[timeout)|(PRM\|1\|D)|(kpr)|(kdp)|(\|loc)|(penalty))"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113-04 --locoid 4003 --swversion DE.1.0.8.0 --startMP 204:446 --initTime 2016-11-04T05:10:25 --startdatetime 2016-11-04T05:15:23 --delay 1 --endMP 204:233314 --enddatetime 2016-11-04T05:51:40 --enforcementcount 0 &gt;&gt;C:\Users\stu\Documents\GitHub\eaglep3-reporting\EC\2016-11-04-refined-times.txt</v>
      </c>
      <c r="AI25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{"issue":{"subject":"","project_id":79,"tracker_id":40,"status_id":1,"priority_id":2,"assigned_to_id":23,"start_date":"2016-11-04","description":"","custom_fields":[{"id":1,"name":"Subdivision","value":"EC"},{"id":4,"name":"Milepost","value":"23.3314"},{"id":17,"name":"Train ID","value":"113-04"},{"id":16,"name":"Locomotive ID","value":"4003"},{"id":130,"name":"Impact","value":""},{"id":150,"name":"Time of Event (Mountain Time)","value":"05:51:40"},{"id":151,"name":"Denver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459</v>
      </c>
      <c r="B26" s="7">
        <v>4004</v>
      </c>
      <c r="C26" s="22" t="s">
        <v>239</v>
      </c>
      <c r="D26" s="22" t="s">
        <v>242</v>
      </c>
      <c r="E26" s="13">
        <v>42678.253750000003</v>
      </c>
      <c r="F26" s="13">
        <v>42678.257939814815</v>
      </c>
      <c r="G26" s="7">
        <v>1</v>
      </c>
      <c r="H26" s="22" t="s">
        <v>175</v>
      </c>
      <c r="I26" s="13">
        <v>42678.284537037034</v>
      </c>
      <c r="J26" s="7">
        <v>0</v>
      </c>
      <c r="K26" s="112" t="str">
        <f t="shared" si="0"/>
        <v>4003/4004</v>
      </c>
      <c r="L26" s="22" t="str">
        <f>VLOOKUP(A26,'Trips&amp;Operators'!$C$1:$E$10000,3,FALSE)</f>
        <v>MAELZER</v>
      </c>
      <c r="M26" s="6">
        <f t="shared" si="1"/>
        <v>2.6597222218697425E-2</v>
      </c>
      <c r="N26" s="7">
        <f t="shared" si="2"/>
        <v>38.299999994924292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05:05:24-0600',mode:absolute,to:'2016-11-04 07:49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23.298300000000001</v>
      </c>
      <c r="Z26" s="67">
        <f t="shared" si="9"/>
        <v>1.47E-2</v>
      </c>
      <c r="AA26" s="67">
        <f t="shared" si="10"/>
        <v>23.2836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0114-04</v>
      </c>
      <c r="AE26" s="91" t="str">
        <f t="shared" si="12"/>
        <v>aws s3 cp s3://rtdc.mdm.uploadarchive.raw/RTDC4004/ "%USERPROFILE%\AppData\Local\Temp\OnboardLogs"\RTDC4004\2016-11-04 --exclude "*" --recursive --include "*20161104*" &amp; "%USERPROFILE%\Documents\GitHub\mrs-test-scripts\Headless Mode &amp; Sideloading\WalkAndUnGZ.bat" "%USERPROFILE%\AppData\Local\Temp\OnboardLogs"\RTDC4004\2016-11-04 &amp; 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</v>
      </c>
      <c r="AF26" s="88" t="str">
        <f t="shared" si="13"/>
        <v>"C:\Program Files (x86)\AstroGrep\AstroGrep.exe" /spath="%USERPROFILE%\AppData\Local\Temp\OnboardLogs" /stypes="app*4004*20161104*" /stext=" 12:.+((SYSTEM_STATE.+slice.+state.+changed )|(ment ac)|(system.+state.+changed )|(\[timeout)|(PRM\|1\|D)|(kpr)|(kdp)|(\|loc)|(penalty))"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114-04 --locoid 4004 --swversion DE.1.0.8.0 --startMP 204:232983 --initTime 2016-11-04T06:05:24 --startdatetime 2016-11-04T06:11:26 --delay 1 --endMP 204:147 --enddatetime 2016-11-04T06:49:44 --enforcementcount 0 &gt;&gt;C:\Users\stu\Documents\GitHub\eaglep3-reporting\EC\2016-11-04-refined-times.txt</v>
      </c>
      <c r="AI26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{"issue":{"subject":"","project_id":79,"tracker_id":40,"status_id":1,"priority_id":2,"assigned_to_id":23,"start_date":"2016-11-04","description":"","custom_fields":[{"id":1,"name":"Subdivision","value":"EC"},{"id":4,"name":"Milepost","value":"0.0147"},{"id":17,"name":"Train ID","value":"114-04"},{"id":16,"name":"Locomotive ID","value":"4004"},{"id":130,"name":"Impact","value":""},{"id":150,"name":"Time of Event (Mountain Time)","value":"06:49:44"},{"id":151,"name":"Denver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406</v>
      </c>
      <c r="B27" s="7">
        <v>4007</v>
      </c>
      <c r="C27" s="22" t="s">
        <v>239</v>
      </c>
      <c r="D27" s="22" t="s">
        <v>638</v>
      </c>
      <c r="E27" s="13">
        <v>42678.226574074077</v>
      </c>
      <c r="F27" s="13">
        <v>42678.229560185187</v>
      </c>
      <c r="G27" s="7">
        <v>1</v>
      </c>
      <c r="H27" s="22" t="s">
        <v>368</v>
      </c>
      <c r="I27" s="13">
        <v>42678.255682870367</v>
      </c>
      <c r="J27" s="7">
        <v>0</v>
      </c>
      <c r="K27" s="112" t="str">
        <f t="shared" si="0"/>
        <v>4007/4008</v>
      </c>
      <c r="L27" s="22" t="str">
        <f>VLOOKUP(A27,'Trips&amp;Operators'!$C$1:$E$10000,3,FALSE)</f>
        <v>NELSON</v>
      </c>
      <c r="M27" s="6">
        <f t="shared" si="1"/>
        <v>2.6122685179871041E-2</v>
      </c>
      <c r="N27" s="7">
        <f t="shared" si="2"/>
        <v>37.6166666590143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04:26:16-0600',mode:absolute,to:'2016-11-04 07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7.85E-2</v>
      </c>
      <c r="Z27" s="67">
        <f t="shared" si="9"/>
        <v>23.328199999999999</v>
      </c>
      <c r="AA27" s="67">
        <f t="shared" si="10"/>
        <v>23.249700000000001</v>
      </c>
      <c r="AB27" s="64" t="str">
        <f>VLOOKUP(A27,Enforcements!$C$7:$K$21,8,0)</f>
        <v>Bulletin (2)</v>
      </c>
      <c r="AC27" s="60" t="str">
        <f>VLOOKUP(A27,Enforcements!$C$7:$E$21,3,0)</f>
        <v>GRADE CROSSING</v>
      </c>
      <c r="AD27" s="61" t="str">
        <f t="shared" si="11"/>
        <v>0115-04</v>
      </c>
      <c r="AE27" s="91" t="str">
        <f t="shared" si="12"/>
        <v>aws s3 cp s3://rtdc.mdm.uploadarchive.raw/RTDC4007/ "%USERPROFILE%\AppData\Local\Temp\OnboardLogs"\RTDC4007\2016-11-04 --exclude "*" --recursive --include "*20161104*" &amp; "%USERPROFILE%\Documents\GitHub\mrs-test-scripts\Headless Mode &amp; Sideloading\WalkAndUnGZ.bat" "%USERPROFILE%\AppData\Local\Temp\OnboardLogs"\RTDC4007\2016-11-04 &amp; aws s3 cp s3://rtdc.mdm.uploadarchive.raw/RTDC4007/ "%USERPROFILE%\AppData\Local\Temp\OnboardLogs"\RTDC4007\2016-11-05 --exclude "*" --recursive --include "*20161105*" &amp; "%USERPROFILE%\Documents\GitHub\mrs-test-scripts\Headless Mode &amp; Sideloading\WalkAndUnGZ.bat" "%USERPROFILE%\AppData\Local\Temp\OnboardLogs"\RTDC4007\2016-11-05</v>
      </c>
      <c r="AF27" s="88" t="str">
        <f t="shared" si="13"/>
        <v>"C:\Program Files (x86)\AstroGrep\AstroGrep.exe" /spath="%USERPROFILE%\AppData\Local\Temp\OnboardLogs" /stypes="app*4007*20161104*" /stext=" 12:.+((SYSTEM_STATE.+slice.+state.+changed )|(ment ac)|(system.+state.+changed )|(\[timeout)|(PRM\|1\|D)|(kpr)|(kdp)|(\|loc)|(penalty))"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115-04 --locoid 4007 --swversion DE.1.0.8.0 --startMP 204:785 --initTime 2016-11-04T05:26:16 --startdatetime 2016-11-04T05:30:34 --delay 1 --endMP 204:233282 --enddatetime 2016-11-04T06:08:11 --enforcementcount 0 &gt;&gt;C:\Users\stu\Documents\GitHub\eaglep3-reporting\EC\2016-11-04-refined-times.txt</v>
      </c>
      <c r="AI27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{"issue":{"subject":"","project_id":79,"tracker_id":40,"status_id":1,"priority_id":2,"assigned_to_id":23,"start_date":"2016-11-04","description":"","custom_fields":[{"id":1,"name":"Subdivision","value":"EC"},{"id":4,"name":"Milepost","value":"23.3282"},{"id":17,"name":"Train ID","value":"115-04"},{"id":16,"name":"Locomotive ID","value":"4007"},{"id":130,"name":"Impact","value":""},{"id":150,"name":"Time of Event (Mountain Time)","value":"06:08:11"},{"id":151,"name":"Denver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463</v>
      </c>
      <c r="B28" s="7">
        <v>4008</v>
      </c>
      <c r="C28" s="22" t="s">
        <v>239</v>
      </c>
      <c r="D28" s="22" t="s">
        <v>340</v>
      </c>
      <c r="E28" s="13">
        <v>42678.268217592595</v>
      </c>
      <c r="F28" s="13">
        <v>42678.269756944443</v>
      </c>
      <c r="G28" s="7">
        <v>1</v>
      </c>
      <c r="H28" s="22" t="s">
        <v>313</v>
      </c>
      <c r="I28" s="13">
        <v>42678.297835648147</v>
      </c>
      <c r="J28" s="7">
        <v>0</v>
      </c>
      <c r="K28" s="112" t="str">
        <f t="shared" si="0"/>
        <v>4007/4008</v>
      </c>
      <c r="L28" s="22" t="str">
        <f>VLOOKUP(A28,'Trips&amp;Operators'!$C$1:$E$10000,3,FALSE)</f>
        <v>NELSON</v>
      </c>
      <c r="M28" s="6">
        <f t="shared" si="1"/>
        <v>2.8078703704522923E-2</v>
      </c>
      <c r="N28" s="7">
        <f t="shared" si="2"/>
        <v>40.433333334513009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05:26:14-0600',mode:absolute,to:'2016-11-04 08:08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23.2986</v>
      </c>
      <c r="Z28" s="67">
        <f t="shared" si="9"/>
        <v>1.34E-2</v>
      </c>
      <c r="AA28" s="67">
        <f t="shared" si="10"/>
        <v>23.2852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11"/>
        <v>0116-04</v>
      </c>
      <c r="AE28" s="91" t="str">
        <f t="shared" si="12"/>
        <v>aws s3 cp s3://rtdc.mdm.uploadarchive.raw/RTDC4008/ "%USERPROFILE%\AppData\Local\Temp\OnboardLogs"\RTDC4008\2016-11-04 --exclude "*" --recursive --include "*20161104*" &amp; "%USERPROFILE%\Documents\GitHub\mrs-test-scripts\Headless Mode &amp; Sideloading\WalkAndUnGZ.bat" "%USERPROFILE%\AppData\Local\Temp\OnboardLogs"\RTDC4008\2016-11-04 &amp; aws s3 cp s3://rtdc.mdm.uploadarchive.raw/RTDC4008/ "%USERPROFILE%\AppData\Local\Temp\OnboardLogs"\RTDC4008\2016-11-05 --exclude "*" --recursive --include "*20161105*" &amp; "%USERPROFILE%\Documents\GitHub\mrs-test-scripts\Headless Mode &amp; Sideloading\WalkAndUnGZ.bat" "%USERPROFILE%\AppData\Local\Temp\OnboardLogs"\RTDC4008\2016-11-05</v>
      </c>
      <c r="AF28" s="88" t="str">
        <f t="shared" si="13"/>
        <v>"C:\Program Files (x86)\AstroGrep\AstroGrep.exe" /spath="%USERPROFILE%\AppData\Local\Temp\OnboardLogs" /stypes="app*4008*20161104*" /stext=" 13:.+((SYSTEM_STATE.+slice.+state.+changed )|(ment ac)|(system.+state.+changed )|(\[timeout)|(PRM\|1\|D)|(kpr)|(kdp)|(\|loc)|(penalty))"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116-04 --locoid 4008 --swversion DE.1.0.8.0 --startMP 204:232986 --initTime 2016-11-04T06:26:14 --startdatetime 2016-11-04T06:28:27 --delay 1 --endMP 204:134 --enddatetime 2016-11-04T07:08:53 --enforcementcount 0 &gt;&gt;C:\Users\stu\Documents\GitHub\eaglep3-reporting\EC\2016-11-04-refined-times.txt</v>
      </c>
      <c r="AI28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{"issue":{"subject":"","project_id":79,"tracker_id":40,"status_id":1,"priority_id":2,"assigned_to_id":23,"start_date":"2016-11-04","description":"","custom_fields":[{"id":1,"name":"Subdivision","value":"EC"},{"id":4,"name":"Milepost","value":"0.0134"},{"id":17,"name":"Train ID","value":"116-04"},{"id":16,"name":"Locomotive ID","value":"4008"},{"id":130,"name":"Impact","value":""},{"id":150,"name":"Time of Event (Mountain Time)","value":"07:08:53"},{"id":151,"name":"Denver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456</v>
      </c>
      <c r="B29" s="7">
        <v>4022</v>
      </c>
      <c r="C29" s="22" t="s">
        <v>239</v>
      </c>
      <c r="D29" s="22" t="s">
        <v>244</v>
      </c>
      <c r="E29" s="13">
        <v>42678.229432870372</v>
      </c>
      <c r="F29" s="13">
        <v>42678.239756944444</v>
      </c>
      <c r="G29" s="7">
        <v>1</v>
      </c>
      <c r="H29" s="22" t="s">
        <v>312</v>
      </c>
      <c r="I29" s="13">
        <v>42678.265694444446</v>
      </c>
      <c r="J29" s="7">
        <v>0</v>
      </c>
      <c r="K29" s="112" t="str">
        <f t="shared" si="0"/>
        <v>4021/4022</v>
      </c>
      <c r="L29" s="22" t="str">
        <f>VLOOKUP(A29,'Trips&amp;Operators'!$C$1:$E$10000,3,FALSE)</f>
        <v>DAVIS</v>
      </c>
      <c r="M29" s="6">
        <f t="shared" si="1"/>
        <v>2.5937500002328306E-2</v>
      </c>
      <c r="N29" s="7">
        <f t="shared" si="2"/>
        <v>37.350000003352761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04:30:23-0600',mode:absolute,to:'2016-11-04 07:22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4.58E-2</v>
      </c>
      <c r="Z29" s="67">
        <f t="shared" si="9"/>
        <v>23.3308</v>
      </c>
      <c r="AA29" s="67">
        <f t="shared" si="10"/>
        <v>23.285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1"/>
        <v>0117-04</v>
      </c>
      <c r="AE29" s="91" t="str">
        <f t="shared" si="12"/>
        <v>aws s3 cp s3://rtdc.mdm.uploadarchive.raw/RTDC4022/ "%USERPROFILE%\AppData\Local\Temp\OnboardLogs"\RTDC4022\2016-11-04 --exclude "*" --recursive --include "*20161104*" &amp; "%USERPROFILE%\Documents\GitHub\mrs-test-scripts\Headless Mode &amp; Sideloading\WalkAndUnGZ.bat" "%USERPROFILE%\AppData\Local\Temp\OnboardLogs"\RTDC4022\2016-11-04 &amp; aws s3 cp s3://rtdc.mdm.uploadarchive.raw/RTDC4022/ "%USERPROFILE%\AppData\Local\Temp\OnboardLogs"\RTDC4022\2016-11-05 --exclude "*" --recursive --include "*20161105*" &amp; "%USERPROFILE%\Documents\GitHub\mrs-test-scripts\Headless Mode &amp; Sideloading\WalkAndUnGZ.bat" "%USERPROFILE%\AppData\Local\Temp\OnboardLogs"\RTDC4022\2016-11-05</v>
      </c>
      <c r="AF29" s="88" t="str">
        <f t="shared" si="13"/>
        <v>"C:\Program Files (x86)\AstroGrep\AstroGrep.exe" /spath="%USERPROFILE%\AppData\Local\Temp\OnboardLogs" /stypes="app*4022*20161104*" /stext=" 12:.+((SYSTEM_STATE.+slice.+state.+changed )|(ment ac)|(system.+state.+changed )|(\[timeout)|(PRM\|1\|D)|(kpr)|(kdp)|(\|loc)|(penalty))"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117-04 --locoid 4022 --swversion DE.1.0.8.0 --startMP 204:458 --initTime 2016-11-04T05:30:23 --startdatetime 2016-11-04T05:45:15 --delay 1 --endMP 204:233308 --enddatetime 2016-11-04T06:22:36 --enforcementcount 0 &gt;&gt;C:\Users\stu\Documents\GitHub\eaglep3-reporting\EC\2016-11-04-refined-times.txt</v>
      </c>
      <c r="AI29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{"issue":{"subject":"","project_id":79,"tracker_id":40,"status_id":1,"priority_id":2,"assigned_to_id":23,"start_date":"2016-11-04","description":"","custom_fields":[{"id":1,"name":"Subdivision","value":"EC"},{"id":4,"name":"Milepost","value":"23.3308"},{"id":17,"name":"Train ID","value":"117-04"},{"id":16,"name":"Locomotive ID","value":"4022"},{"id":130,"name":"Impact","value":""},{"id":150,"name":"Time of Event (Mountain Time)","value":"06:22:36"},{"id":151,"name":"Denver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465</v>
      </c>
      <c r="B30" s="7">
        <v>4021</v>
      </c>
      <c r="C30" s="22" t="s">
        <v>239</v>
      </c>
      <c r="D30" s="22" t="s">
        <v>339</v>
      </c>
      <c r="E30" s="13">
        <v>42678.276203703703</v>
      </c>
      <c r="F30" s="13">
        <v>42678.278634259259</v>
      </c>
      <c r="G30" s="7">
        <v>0</v>
      </c>
      <c r="H30" s="22" t="s">
        <v>341</v>
      </c>
      <c r="I30" s="13">
        <v>42678.309293981481</v>
      </c>
      <c r="J30" s="7">
        <v>0</v>
      </c>
      <c r="K30" s="112" t="str">
        <f t="shared" si="0"/>
        <v>4021/4022</v>
      </c>
      <c r="L30" s="22" t="str">
        <f>VLOOKUP(A30,'Trips&amp;Operators'!$C$1:$E$10000,3,FALSE)</f>
        <v>DAVIS</v>
      </c>
      <c r="M30" s="6">
        <f t="shared" si="1"/>
        <v>3.0659722222480923E-2</v>
      </c>
      <c r="N30" s="7">
        <f t="shared" si="2"/>
        <v>44.150000000372529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05:37:44-0600',mode:absolute,to:'2016-11-04 08:25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23.299399999999999</v>
      </c>
      <c r="Z30" s="67">
        <f t="shared" si="9"/>
        <v>1.32E-2</v>
      </c>
      <c r="AA30" s="67">
        <f t="shared" si="10"/>
        <v>23.286199999999997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11"/>
        <v>0118-04</v>
      </c>
      <c r="AE30" s="91" t="str">
        <f t="shared" si="12"/>
        <v>aws s3 cp s3://rtdc.mdm.uploadarchive.raw/RTDC4021/ "%USERPROFILE%\AppData\Local\Temp\OnboardLogs"\RTDC4021\2016-11-04 --exclude "*" --recursive --include "*20161104*" &amp; "%USERPROFILE%\Documents\GitHub\mrs-test-scripts\Headless Mode &amp; Sideloading\WalkAndUnGZ.bat" "%USERPROFILE%\AppData\Local\Temp\OnboardLogs"\RTDC4021\2016-11-04 &amp; aws s3 cp s3://rtdc.mdm.uploadarchive.raw/RTDC4021/ "%USERPROFILE%\AppData\Local\Temp\OnboardLogs"\RTDC4021\2016-11-05 --exclude "*" --recursive --include "*20161105*" &amp; "%USERPROFILE%\Documents\GitHub\mrs-test-scripts\Headless Mode &amp; Sideloading\WalkAndUnGZ.bat" "%USERPROFILE%\AppData\Local\Temp\OnboardLogs"\RTDC4021\2016-11-05</v>
      </c>
      <c r="AF30" s="88" t="str">
        <f t="shared" si="13"/>
        <v>"C:\Program Files (x86)\AstroGrep\AstroGrep.exe" /spath="%USERPROFILE%\AppData\Local\Temp\OnboardLogs" /stypes="app*4021*20161104*" /stext=" 13:.+((SYSTEM_STATE.+slice.+state.+changed )|(ment ac)|(system.+state.+changed )|(\[timeout)|(PRM\|1\|D)|(kpr)|(kdp)|(\|loc)|(penalty))"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118-04 --locoid 4021 --swversion DE.1.0.8.0 --startMP 204:232994 --initTime 2016-11-04T06:37:44 --startdatetime 2016-11-04T06:41:14 --delay 0 --endMP 204:132 --enddatetime 2016-11-04T07:25:23 --enforcementcount 0 &gt;&gt;C:\Users\stu\Documents\GitHub\eaglep3-reporting\EC\2016-11-04-refined-times.txt</v>
      </c>
      <c r="AI30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{"issue":{"subject":"","project_id":79,"tracker_id":40,"status_id":1,"priority_id":2,"assigned_to_id":23,"start_date":"2016-11-04","description":"","custom_fields":[{"id":1,"name":"Subdivision","value":"EC"},{"id":4,"name":"Milepost","value":"0.0132"},{"id":17,"name":"Train ID","value":"118-04"},{"id":16,"name":"Locomotive ID","value":"4021"},{"id":130,"name":"Impact","value":""},{"id":150,"name":"Time of Event (Mountain Time)","value":"07:25:23"},{"id":151,"name":"Denver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457</v>
      </c>
      <c r="B31" s="7">
        <v>4029</v>
      </c>
      <c r="C31" s="22" t="s">
        <v>239</v>
      </c>
      <c r="D31" s="22" t="s">
        <v>635</v>
      </c>
      <c r="E31" s="13">
        <v>42678.250416666669</v>
      </c>
      <c r="F31" s="13">
        <v>42678.251817129632</v>
      </c>
      <c r="G31" s="7">
        <v>1</v>
      </c>
      <c r="H31" s="22" t="s">
        <v>252</v>
      </c>
      <c r="I31" s="13">
        <v>42678.276504629626</v>
      </c>
      <c r="J31" s="7">
        <v>0</v>
      </c>
      <c r="K31" s="112" t="str">
        <f t="shared" si="0"/>
        <v>4029/4030</v>
      </c>
      <c r="L31" s="22" t="str">
        <f>VLOOKUP(A31,'Trips&amp;Operators'!$C$1:$E$10000,3,FALSE)</f>
        <v>MALAVE</v>
      </c>
      <c r="M31" s="6">
        <f t="shared" si="1"/>
        <v>2.4687499993888196E-2</v>
      </c>
      <c r="N31" s="7">
        <f t="shared" si="2"/>
        <v>35.549999991199002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05:00:36-0600',mode:absolute,to:'2016-11-04 07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7.7700000000000005E-2</v>
      </c>
      <c r="Z31" s="67">
        <f t="shared" si="9"/>
        <v>23.328900000000001</v>
      </c>
      <c r="AA31" s="67">
        <f t="shared" si="10"/>
        <v>23.251200000000001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1"/>
        <v>0119-04</v>
      </c>
      <c r="AE31" s="91" t="str">
        <f t="shared" si="12"/>
        <v>aws s3 cp s3://rtdc.mdm.uploadarchive.raw/RTDC4029/ "%USERPROFILE%\AppData\Local\Temp\OnboardLogs"\RTDC4029\2016-11-04 --exclude "*" --recursive --include "*20161104*" &amp; "%USERPROFILE%\Documents\GitHub\mrs-test-scripts\Headless Mode &amp; Sideloading\WalkAndUnGZ.bat" "%USERPROFILE%\AppData\Local\Temp\OnboardLogs"\RTDC4029\2016-11-04 &amp; aws s3 cp s3://rtdc.mdm.uploadarchive.raw/RTDC4029/ "%USERPROFILE%\AppData\Local\Temp\OnboardLogs"\RTDC4029\2016-11-05 --exclude "*" --recursive --include "*20161105*" &amp; "%USERPROFILE%\Documents\GitHub\mrs-test-scripts\Headless Mode &amp; Sideloading\WalkAndUnGZ.bat" "%USERPROFILE%\AppData\Local\Temp\OnboardLogs"\RTDC4029\2016-11-05</v>
      </c>
      <c r="AF31" s="88" t="str">
        <f t="shared" si="13"/>
        <v>"C:\Program Files (x86)\AstroGrep\AstroGrep.exe" /spath="%USERPROFILE%\AppData\Local\Temp\OnboardLogs" /stypes="app*4029*20161104*" /stext=" 12:.+((SYSTEM_STATE.+slice.+state.+changed )|(ment ac)|(system.+state.+changed )|(\[timeout)|(PRM\|1\|D)|(kpr)|(kdp)|(\|loc)|(penalty))"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119-04 --locoid 4029 --swversion DE.1.0.8.0 --startMP 204:777 --initTime 2016-11-04T06:00:36 --startdatetime 2016-11-04T06:02:37 --delay 1 --endMP 204:233289 --enddatetime 2016-11-04T06:38:10 --enforcementcount 0 &gt;&gt;C:\Users\stu\Documents\GitHub\eaglep3-reporting\EC\2016-11-04-refined-times.txt</v>
      </c>
      <c r="AI31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{"issue":{"subject":"","project_id":79,"tracker_id":40,"status_id":1,"priority_id":2,"assigned_to_id":23,"start_date":"2016-11-04","description":"","custom_fields":[{"id":1,"name":"Subdivision","value":"EC"},{"id":4,"name":"Milepost","value":"23.3289"},{"id":17,"name":"Train ID","value":"119-04"},{"id":16,"name":"Locomotive ID","value":"4029"},{"id":130,"name":"Impact","value":""},{"id":150,"name":"Time of Event (Mountain Time)","value":"06:38:10"},{"id":151,"name":"Denver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410</v>
      </c>
      <c r="B32" s="7">
        <v>4030</v>
      </c>
      <c r="C32" s="22" t="s">
        <v>239</v>
      </c>
      <c r="D32" s="22" t="s">
        <v>639</v>
      </c>
      <c r="E32" s="13">
        <v>42678.28806712963</v>
      </c>
      <c r="F32" s="13">
        <v>42678.289293981485</v>
      </c>
      <c r="G32" s="7">
        <v>1</v>
      </c>
      <c r="H32" s="22" t="s">
        <v>640</v>
      </c>
      <c r="I32" s="13">
        <v>42678.315312500003</v>
      </c>
      <c r="J32" s="7">
        <v>0</v>
      </c>
      <c r="K32" s="112" t="str">
        <f t="shared" si="0"/>
        <v>4029/4030</v>
      </c>
      <c r="L32" s="22" t="str">
        <f>VLOOKUP(A32,'Trips&amp;Operators'!$C$1:$E$10000,3,FALSE)</f>
        <v>MALAVE</v>
      </c>
      <c r="M32" s="6">
        <f t="shared" si="1"/>
        <v>2.6018518517958E-2</v>
      </c>
      <c r="N32" s="7">
        <f t="shared" si="2"/>
        <v>37.46666666585952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05:54:49-0600',mode:absolute,to:'2016-11-04 08:34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23.296099999999999</v>
      </c>
      <c r="Z32" s="67">
        <f t="shared" si="9"/>
        <v>1.6299999999999999E-2</v>
      </c>
      <c r="AA32" s="67">
        <f t="shared" si="10"/>
        <v>23.279799999999998</v>
      </c>
      <c r="AB32" s="64" t="str">
        <f>VLOOKUP(A32,Enforcements!$C$7:$K$21,8,0)</f>
        <v>Bulletin (2)</v>
      </c>
      <c r="AC32" s="60" t="str">
        <f>VLOOKUP(A32,Enforcements!$C$7:$E$21,3,0)</f>
        <v>GRADE CROSSING</v>
      </c>
      <c r="AD32" s="61" t="str">
        <f t="shared" si="11"/>
        <v>0120-04</v>
      </c>
      <c r="AE32" s="91" t="str">
        <f t="shared" si="12"/>
        <v>aws s3 cp s3://rtdc.mdm.uploadarchive.raw/RTDC4030/ "%USERPROFILE%\AppData\Local\Temp\OnboardLogs"\RTDC4030\2016-11-04 --exclude "*" --recursive --include "*20161104*" &amp; "%USERPROFILE%\Documents\GitHub\mrs-test-scripts\Headless Mode &amp; Sideloading\WalkAndUnGZ.bat" "%USERPROFILE%\AppData\Local\Temp\OnboardLogs"\RTDC4030\2016-11-04 &amp; aws s3 cp s3://rtdc.mdm.uploadarchive.raw/RTDC4030/ "%USERPROFILE%\AppData\Local\Temp\OnboardLogs"\RTDC4030\2016-11-05 --exclude "*" --recursive --include "*20161105*" &amp; "%USERPROFILE%\Documents\GitHub\mrs-test-scripts\Headless Mode &amp; Sideloading\WalkAndUnGZ.bat" "%USERPROFILE%\AppData\Local\Temp\OnboardLogs"\RTDC4030\2016-11-05</v>
      </c>
      <c r="AF32" s="88" t="str">
        <f t="shared" si="13"/>
        <v>"C:\Program Files (x86)\AstroGrep\AstroGrep.exe" /spath="%USERPROFILE%\AppData\Local\Temp\OnboardLogs" /stypes="app*4030*20161104*" /stext=" 13:.+((SYSTEM_STATE.+slice.+state.+changed )|(ment ac)|(system.+state.+changed )|(\[timeout)|(PRM\|1\|D)|(kpr)|(kdp)|(\|loc)|(penalty))"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120-04 --locoid 4030 --swversion DE.1.0.8.0 --startMP 204:232961 --initTime 2016-11-04T06:54:49 --startdatetime 2016-11-04T06:56:35 --delay 1 --endMP 204:163 --enddatetime 2016-11-04T07:34:03 --enforcementcount 0 &gt;&gt;C:\Users\stu\Documents\GitHub\eaglep3-reporting\EC\2016-11-04-refined-times.txt</v>
      </c>
      <c r="AI32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{"issue":{"subject":"","project_id":79,"tracker_id":40,"status_id":1,"priority_id":2,"assigned_to_id":23,"start_date":"2016-11-04","description":"","custom_fields":[{"id":1,"name":"Subdivision","value":"EC"},{"id":4,"name":"Milepost","value":"0.0163"},{"id":17,"name":"Train ID","value":"120-04"},{"id":16,"name":"Locomotive ID","value":"4030"},{"id":130,"name":"Impact","value":""},{"id":150,"name":"Time of Event (Mountain Time)","value":"07:34:03"},{"id":151,"name":"Denver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460</v>
      </c>
      <c r="B33" s="7">
        <v>4042</v>
      </c>
      <c r="C33" s="22" t="s">
        <v>239</v>
      </c>
      <c r="D33" s="22" t="s">
        <v>641</v>
      </c>
      <c r="E33" s="13">
        <v>42678.255289351851</v>
      </c>
      <c r="F33" s="13">
        <v>42678.260671296295</v>
      </c>
      <c r="G33" s="7">
        <v>1</v>
      </c>
      <c r="H33" s="22" t="s">
        <v>312</v>
      </c>
      <c r="I33" s="13">
        <v>42678.289687500001</v>
      </c>
      <c r="J33" s="7">
        <v>0</v>
      </c>
      <c r="K33" s="112" t="str">
        <f t="shared" si="0"/>
        <v>4041/4042</v>
      </c>
      <c r="L33" s="22" t="str">
        <f>VLOOKUP(A33,'Trips&amp;Operators'!$C$1:$E$10000,3,FALSE)</f>
        <v>PERKINS</v>
      </c>
      <c r="M33" s="6">
        <f t="shared" si="1"/>
        <v>2.9016203705396038E-2</v>
      </c>
      <c r="N33" s="7">
        <f t="shared" si="2"/>
        <v>41.783333335770294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05:07:37-0600',mode:absolute,to:'2016-11-04 07:57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4.3999999999999997E-2</v>
      </c>
      <c r="Z33" s="67">
        <f t="shared" si="9"/>
        <v>23.3308</v>
      </c>
      <c r="AA33" s="67">
        <f t="shared" si="10"/>
        <v>23.286799999999999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1"/>
        <v>0121-04</v>
      </c>
      <c r="AE33" s="91" t="str">
        <f t="shared" si="12"/>
        <v>aws s3 cp s3://rtdc.mdm.uploadarchive.raw/RTDC4042/ "%USERPROFILE%\AppData\Local\Temp\OnboardLogs"\RTDC4042\2016-11-04 --exclude "*" --recursive --include "*20161104*" &amp; "%USERPROFILE%\Documents\GitHub\mrs-test-scripts\Headless Mode &amp; Sideloading\WalkAndUnGZ.bat" "%USERPROFILE%\AppData\Local\Temp\OnboardLogs"\RTDC4042\2016-11-04 &amp; aws s3 cp s3://rtdc.mdm.uploadarchive.raw/RTDC4042/ "%USERPROFILE%\AppData\Local\Temp\OnboardLogs"\RTDC4042\2016-11-05 --exclude "*" --recursive --include "*20161105*" &amp; "%USERPROFILE%\Documents\GitHub\mrs-test-scripts\Headless Mode &amp; Sideloading\WalkAndUnGZ.bat" "%USERPROFILE%\AppData\Local\Temp\OnboardLogs"\RTDC4042\2016-11-05</v>
      </c>
      <c r="AF33" s="88" t="str">
        <f t="shared" si="13"/>
        <v>"C:\Program Files (x86)\AstroGrep\AstroGrep.exe" /spath="%USERPROFILE%\AppData\Local\Temp\OnboardLogs" /stypes="app*4042*20161104*" /stext=" 12:.+((SYSTEM_STATE.+slice.+state.+changed )|(ment ac)|(system.+state.+changed )|(\[timeout)|(PRM\|1\|D)|(kpr)|(kdp)|(\|loc)|(penalty))"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121-04 --locoid 4042 --swversion DE.1.0.8.0 --startMP 204:440 --initTime 2016-11-04T06:07:37 --startdatetime 2016-11-04T06:15:22 --delay 1 --endMP 204:233308 --enddatetime 2016-11-04T06:57:09 --enforcementcount 0 &gt;&gt;C:\Users\stu\Documents\GitHub\eaglep3-reporting\EC\2016-11-04-refined-times.txt</v>
      </c>
      <c r="AI33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{"issue":{"subject":"","project_id":79,"tracker_id":40,"status_id":1,"priority_id":2,"assigned_to_id":23,"start_date":"2016-11-04","description":"","custom_fields":[{"id":1,"name":"Subdivision","value":"EC"},{"id":4,"name":"Milepost","value":"23.3308"},{"id":17,"name":"Train ID","value":"121-04"},{"id":16,"name":"Locomotive ID","value":"4042"},{"id":130,"name":"Impact","value":""},{"id":150,"name":"Time of Event (Mountain Time)","value":"06:57:09"},{"id":151,"name":"Denver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468</v>
      </c>
      <c r="B34" s="7">
        <v>4041</v>
      </c>
      <c r="C34" s="22" t="s">
        <v>239</v>
      </c>
      <c r="D34" s="22" t="s">
        <v>231</v>
      </c>
      <c r="E34" s="13">
        <v>42678.294293981482</v>
      </c>
      <c r="F34" s="13">
        <v>42678.299502314818</v>
      </c>
      <c r="G34" s="7">
        <v>1</v>
      </c>
      <c r="H34" s="22" t="s">
        <v>223</v>
      </c>
      <c r="I34" s="13">
        <v>42678.326770833337</v>
      </c>
      <c r="J34" s="7">
        <v>0</v>
      </c>
      <c r="K34" s="112" t="str">
        <f t="shared" si="0"/>
        <v>4041/4042</v>
      </c>
      <c r="L34" s="22" t="str">
        <f>VLOOKUP(A34,'Trips&amp;Operators'!$C$1:$E$10000,3,FALSE)</f>
        <v>PERKINS</v>
      </c>
      <c r="M34" s="6">
        <f t="shared" si="1"/>
        <v>2.7268518519122154E-2</v>
      </c>
      <c r="N34" s="7">
        <f t="shared" si="2"/>
        <v>39.266666667535901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06:03:47-0600',mode:absolute,to:'2016-11-04 08:50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23.298500000000001</v>
      </c>
      <c r="Z34" s="67">
        <f t="shared" si="9"/>
        <v>1.5599999999999999E-2</v>
      </c>
      <c r="AA34" s="67">
        <f t="shared" si="10"/>
        <v>23.282900000000001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1"/>
        <v>0122-04</v>
      </c>
      <c r="AE34" s="91" t="str">
        <f t="shared" si="12"/>
        <v>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 &amp; aws s3 cp s3://rtdc.mdm.uploadarchive.raw/RTDC4041/ "%USERPROFILE%\AppData\Local\Temp\OnboardLogs"\RTDC4041\2016-11-05 --exclude "*" --recursive --include "*20161105*" &amp; "%USERPROFILE%\Documents\GitHub\mrs-test-scripts\Headless Mode &amp; Sideloading\WalkAndUnGZ.bat" "%USERPROFILE%\AppData\Local\Temp\OnboardLogs"\RTDC4041\2016-11-05</v>
      </c>
      <c r="AF34" s="88" t="str">
        <f t="shared" si="13"/>
        <v>"C:\Program Files (x86)\AstroGrep\AstroGrep.exe" /spath="%USERPROFILE%\AppData\Local\Temp\OnboardLogs" /stypes="app*4041*20161104*" /stext=" 13:.+((SYSTEM_STATE.+slice.+state.+changed )|(ment ac)|(system.+state.+changed )|(\[timeout)|(PRM\|1\|D)|(kpr)|(kdp)|(\|loc)|(penalty))"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122-04 --locoid 4041 --swversion DE.1.0.8.0 --startMP 204:232985 --initTime 2016-11-04T07:03:47 --startdatetime 2016-11-04T07:11:17 --delay 1 --endMP 204:156 --enddatetime 2016-11-04T07:50:33 --enforcementcount 0 &gt;&gt;C:\Users\stu\Documents\GitHub\eaglep3-reporting\EC\2016-11-04-refined-times.txt</v>
      </c>
      <c r="AI34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{"issue":{"subject":"","project_id":79,"tracker_id":40,"status_id":1,"priority_id":2,"assigned_to_id":23,"start_date":"2016-11-04","description":"","custom_fields":[{"id":1,"name":"Subdivision","value":"EC"},{"id":4,"name":"Milepost","value":"0.0156"},{"id":17,"name":"Train ID","value":"122-04"},{"id":16,"name":"Locomotive ID","value":"4041"},{"id":130,"name":"Impact","value":""},{"id":150,"name":"Time of Event (Mountain Time)","value":"07:50:33"},{"id":151,"name":"Denver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462</v>
      </c>
      <c r="B35" s="7">
        <v>4053</v>
      </c>
      <c r="C35" s="22" t="s">
        <v>239</v>
      </c>
      <c r="D35" s="22" t="s">
        <v>208</v>
      </c>
      <c r="E35" s="13">
        <v>42678.266539351855</v>
      </c>
      <c r="F35" s="13">
        <v>42678.271006944444</v>
      </c>
      <c r="G35" s="7">
        <v>6</v>
      </c>
      <c r="H35" s="22" t="s">
        <v>243</v>
      </c>
      <c r="I35" s="13">
        <v>42678.295763888891</v>
      </c>
      <c r="J35" s="7">
        <v>0</v>
      </c>
      <c r="K35" s="112" t="str">
        <f t="shared" si="0"/>
        <v>4053/4054</v>
      </c>
      <c r="L35" s="22" t="str">
        <f>VLOOKUP(A35,'Trips&amp;Operators'!$C$1:$E$10000,3,FALSE)</f>
        <v>DAVIDSON</v>
      </c>
      <c r="M35" s="6">
        <f t="shared" si="1"/>
        <v>2.4756944447290152E-2</v>
      </c>
      <c r="N35" s="7">
        <f t="shared" si="2"/>
        <v>35.650000004097819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05:23:49-0600',mode:absolute,to:'2016-11-04 08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4.5499999999999999E-2</v>
      </c>
      <c r="Z35" s="67">
        <f t="shared" si="9"/>
        <v>23.328800000000001</v>
      </c>
      <c r="AA35" s="67">
        <f t="shared" si="10"/>
        <v>23.283300000000001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1"/>
        <v>0123-04</v>
      </c>
      <c r="AE35" s="91" t="str">
        <f t="shared" si="12"/>
        <v>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 &amp; 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</v>
      </c>
      <c r="AF35" s="88" t="str">
        <f t="shared" si="13"/>
        <v>"C:\Program Files (x86)\AstroGrep\AstroGrep.exe" /spath="%USERPROFILE%\AppData\Local\Temp\OnboardLogs" /stypes="app*4053*20161104*" /stext=" 13:.+((SYSTEM_STATE.+slice.+state.+changed )|(ment ac)|(system.+state.+changed )|(\[timeout)|(PRM\|1\|D)|(kpr)|(kdp)|(\|loc)|(penalty))"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123-04 --locoid 4053 --swversion DE.1.0.8.0 --startMP 204:455 --initTime 2016-11-04T06:23:49 --startdatetime 2016-11-04T06:30:15 --delay 6 --endMP 204:233288 --enddatetime 2016-11-04T07:05:54 --enforcementcount 0 &gt;&gt;C:\Users\stu\Documents\GitHub\eaglep3-reporting\EC\2016-11-04-refined-times.txt</v>
      </c>
      <c r="AI35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{"issue":{"subject":"","project_id":79,"tracker_id":40,"status_id":1,"priority_id":2,"assigned_to_id":23,"start_date":"2016-11-04","description":"","custom_fields":[{"id":1,"name":"Subdivision","value":"EC"},{"id":4,"name":"Milepost","value":"23.3288"},{"id":17,"name":"Train ID","value":"123-04"},{"id":16,"name":"Locomotive ID","value":"4053"},{"id":130,"name":"Impact","value":""},{"id":150,"name":"Time of Event (Mountain Time)","value":"07:05:54"},{"id":151,"name":"Denver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470</v>
      </c>
      <c r="B36" s="7">
        <v>4054</v>
      </c>
      <c r="C36" s="22" t="s">
        <v>239</v>
      </c>
      <c r="D36" s="22" t="s">
        <v>221</v>
      </c>
      <c r="E36" s="13">
        <v>42678.297685185185</v>
      </c>
      <c r="F36" s="13">
        <v>42678.309918981482</v>
      </c>
      <c r="G36" s="7">
        <v>1</v>
      </c>
      <c r="H36" s="22" t="s">
        <v>261</v>
      </c>
      <c r="I36" s="13">
        <v>42678.337500000001</v>
      </c>
      <c r="J36" s="7">
        <v>0</v>
      </c>
      <c r="K36" s="112" t="str">
        <f t="shared" si="0"/>
        <v>4053/4054</v>
      </c>
      <c r="L36" s="22" t="str">
        <f>VLOOKUP(A36,'Trips&amp;Operators'!$C$1:$E$10000,3,FALSE)</f>
        <v>DAVIDSON</v>
      </c>
      <c r="M36" s="6">
        <f t="shared" si="1"/>
        <v>2.7581018519413192E-2</v>
      </c>
      <c r="N36" s="7">
        <f t="shared" si="2"/>
        <v>39.716666667954996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06:08:40-0600',mode:absolute,to:'2016-11-04 09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23.297699999999999</v>
      </c>
      <c r="Z36" s="67">
        <f t="shared" si="9"/>
        <v>1.5800000000000002E-2</v>
      </c>
      <c r="AA36" s="67">
        <f t="shared" si="10"/>
        <v>23.2819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0124-04</v>
      </c>
      <c r="AE36" s="91" t="str">
        <f t="shared" si="12"/>
        <v>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 &amp; 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</v>
      </c>
      <c r="AF36" s="88" t="str">
        <f t="shared" si="13"/>
        <v>"C:\Program Files (x86)\AstroGrep\AstroGrep.exe" /spath="%USERPROFILE%\AppData\Local\Temp\OnboardLogs" /stypes="app*4054*20161104*" /stext=" 14:.+((SYSTEM_STATE.+slice.+state.+changed )|(ment ac)|(system.+state.+changed )|(\[timeout)|(PRM\|1\|D)|(kpr)|(kdp)|(\|loc)|(penalty))"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124-04 --locoid 4054 --swversion DE.1.0.8.0 --startMP 204:232977 --initTime 2016-11-04T07:08:40 --startdatetime 2016-11-04T07:26:17 --delay 1 --endMP 204:158 --enddatetime 2016-11-04T08:06:00 --enforcementcount 0 &gt;&gt;C:\Users\stu\Documents\GitHub\eaglep3-reporting\EC\2016-11-04-refined-times.txt</v>
      </c>
      <c r="AI36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{"issue":{"subject":"","project_id":79,"tracker_id":40,"status_id":1,"priority_id":2,"assigned_to_id":23,"start_date":"2016-11-04","description":"","custom_fields":[{"id":1,"name":"Subdivision","value":"EC"},{"id":4,"name":"Milepost","value":"0.0158"},{"id":17,"name":"Train ID","value":"124-04"},{"id":16,"name":"Locomotive ID","value":"4054"},{"id":130,"name":"Impact","value":""},{"id":150,"name":"Time of Event (Mountain Time)","value":"08:06:00"},{"id":151,"name":"Denver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466</v>
      </c>
      <c r="B37" s="7">
        <v>4038</v>
      </c>
      <c r="C37" s="22" t="s">
        <v>239</v>
      </c>
      <c r="D37" s="22" t="s">
        <v>255</v>
      </c>
      <c r="E37" s="13">
        <v>42678.277384259258</v>
      </c>
      <c r="F37" s="13">
        <v>42678.281469907408</v>
      </c>
      <c r="G37" s="7">
        <v>5</v>
      </c>
      <c r="H37" s="22" t="s">
        <v>642</v>
      </c>
      <c r="I37" s="13">
        <v>42678.306817129633</v>
      </c>
      <c r="J37" s="7">
        <v>0</v>
      </c>
      <c r="K37" s="112" t="str">
        <f t="shared" si="0"/>
        <v>4037/4038</v>
      </c>
      <c r="L37" s="22" t="str">
        <f>VLOOKUP(A37,'Trips&amp;Operators'!$C$1:$E$10000,3,FALSE)</f>
        <v>RICHARDSON</v>
      </c>
      <c r="M37" s="6">
        <f t="shared" si="1"/>
        <v>2.5347222224809229E-2</v>
      </c>
      <c r="N37" s="7">
        <f t="shared" si="2"/>
        <v>36.50000000372529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05:39:26-0600',mode:absolute,to:'2016-11-04 08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4.4400000000000002E-2</v>
      </c>
      <c r="Z37" s="67">
        <f t="shared" si="9"/>
        <v>23.325700000000001</v>
      </c>
      <c r="AA37" s="67">
        <f t="shared" si="10"/>
        <v>23.281300000000002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0125-04</v>
      </c>
      <c r="AE37" s="91" t="str">
        <f t="shared" si="12"/>
        <v>aws s3 cp s3://rtdc.mdm.uploadarchive.raw/RTDC4038/ "%USERPROFILE%\AppData\Local\Temp\OnboardLogs"\RTDC4038\2016-11-04 --exclude "*" --recursive --include "*20161104*" &amp; "%USERPROFILE%\Documents\GitHub\mrs-test-scripts\Headless Mode &amp; Sideloading\WalkAndUnGZ.bat" "%USERPROFILE%\AppData\Local\Temp\OnboardLogs"\RTDC4038\2016-11-04 &amp; aws s3 cp s3://rtdc.mdm.uploadarchive.raw/RTDC4038/ "%USERPROFILE%\AppData\Local\Temp\OnboardLogs"\RTDC4038\2016-11-05 --exclude "*" --recursive --include "*20161105*" &amp; "%USERPROFILE%\Documents\GitHub\mrs-test-scripts\Headless Mode &amp; Sideloading\WalkAndUnGZ.bat" "%USERPROFILE%\AppData\Local\Temp\OnboardLogs"\RTDC4038\2016-11-05</v>
      </c>
      <c r="AF37" s="88" t="str">
        <f t="shared" si="13"/>
        <v>"C:\Program Files (x86)\AstroGrep\AstroGrep.exe" /spath="%USERPROFILE%\AppData\Local\Temp\OnboardLogs" /stypes="app*4038*20161104*" /stext=" 13:.+((SYSTEM_STATE.+slice.+state.+changed )|(ment ac)|(system.+state.+changed )|(\[timeout)|(PRM\|1\|D)|(kpr)|(kdp)|(\|loc)|(penalty))"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125-04 --locoid 4038 --swversion DE.1.0.8.0 --startMP 204:444 --initTime 2016-11-04T06:39:26 --startdatetime 2016-11-04T06:45:19 --delay 5 --endMP 204:233257 --enddatetime 2016-11-04T07:21:49 --enforcementcount 0 &gt;&gt;C:\Users\stu\Documents\GitHub\eaglep3-reporting\EC\2016-11-04-refined-times.txt</v>
      </c>
      <c r="AI37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{"issue":{"subject":"","project_id":79,"tracker_id":40,"status_id":1,"priority_id":2,"assigned_to_id":23,"start_date":"2016-11-04","description":"","custom_fields":[{"id":1,"name":"Subdivision","value":"EC"},{"id":4,"name":"Milepost","value":"23.3257"},{"id":17,"name":"Train ID","value":"125-04"},{"id":16,"name":"Locomotive ID","value":"4038"},{"id":130,"name":"Impact","value":""},{"id":150,"name":"Time of Event (Mountain Time)","value":"07:21:49"},{"id":151,"name":"Denver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412</v>
      </c>
      <c r="B38" s="7">
        <v>4037</v>
      </c>
      <c r="C38" s="22" t="s">
        <v>239</v>
      </c>
      <c r="D38" s="22" t="s">
        <v>311</v>
      </c>
      <c r="E38" s="13">
        <v>42678.315081018518</v>
      </c>
      <c r="F38" s="13">
        <v>42678.320289351854</v>
      </c>
      <c r="G38" s="7">
        <v>1</v>
      </c>
      <c r="H38" s="22" t="s">
        <v>643</v>
      </c>
      <c r="I38" s="13">
        <v>42678.346099537041</v>
      </c>
      <c r="J38" s="7">
        <v>0</v>
      </c>
      <c r="K38" s="112" t="str">
        <f t="shared" si="0"/>
        <v>4037/4038</v>
      </c>
      <c r="L38" s="22" t="str">
        <f>VLOOKUP(A38,'Trips&amp;Operators'!$C$1:$E$10000,3,FALSE)</f>
        <v>RICHARDSON</v>
      </c>
      <c r="M38" s="6">
        <f t="shared" si="1"/>
        <v>2.5810185186855961E-2</v>
      </c>
      <c r="N38" s="7">
        <f t="shared" si="2"/>
        <v>37.166666669072583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06:33:43-0600',mode:absolute,to:'2016-11-04 09:18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23.299800000000001</v>
      </c>
      <c r="Z38" s="67">
        <f t="shared" si="9"/>
        <v>0.20849999999999999</v>
      </c>
      <c r="AA38" s="67">
        <f t="shared" si="10"/>
        <v>23.0913</v>
      </c>
      <c r="AB38" s="64" t="str">
        <f>VLOOKUP(A38,Enforcements!$C$7:$K$21,8,0)</f>
        <v>Bulletin (2)</v>
      </c>
      <c r="AC38" s="60" t="str">
        <f>VLOOKUP(A38,Enforcements!$C$7:$E$21,3,0)</f>
        <v>GRADE CROSSING</v>
      </c>
      <c r="AD38" s="61" t="str">
        <f t="shared" si="11"/>
        <v>0126-04</v>
      </c>
      <c r="AE38" s="91" t="str">
        <f t="shared" si="12"/>
        <v>aws s3 cp s3://rtdc.mdm.uploadarchive.raw/RTDC4037/ "%USERPROFILE%\AppData\Local\Temp\OnboardLogs"\RTDC4037\2016-11-04 --exclude "*" --recursive --include "*20161104*" &amp; "%USERPROFILE%\Documents\GitHub\mrs-test-scripts\Headless Mode &amp; Sideloading\WalkAndUnGZ.bat" "%USERPROFILE%\AppData\Local\Temp\OnboardLogs"\RTDC4037\2016-11-04 &amp; aws s3 cp s3://rtdc.mdm.uploadarchive.raw/RTDC4037/ "%USERPROFILE%\AppData\Local\Temp\OnboardLogs"\RTDC4037\2016-11-05 --exclude "*" --recursive --include "*20161105*" &amp; "%USERPROFILE%\Documents\GitHub\mrs-test-scripts\Headless Mode &amp; Sideloading\WalkAndUnGZ.bat" "%USERPROFILE%\AppData\Local\Temp\OnboardLogs"\RTDC4037\2016-11-05</v>
      </c>
      <c r="AF38" s="88" t="str">
        <f t="shared" si="13"/>
        <v>"C:\Program Files (x86)\AstroGrep\AstroGrep.exe" /spath="%USERPROFILE%\AppData\Local\Temp\OnboardLogs" /stypes="app*4037*20161104*" /stext=" 14:.+((SYSTEM_STATE.+slice.+state.+changed )|(ment ac)|(system.+state.+changed )|(\[timeout)|(PRM\|1\|D)|(kpr)|(kdp)|(\|loc)|(penalty))"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126-04 --locoid 4037 --swversion DE.1.0.8.0 --startMP 204:232998 --initTime 2016-11-04T07:33:43 --startdatetime 2016-11-04T07:41:13 --delay 1 --endMP 204:2085 --enddatetime 2016-11-04T08:18:23 --enforcementcount 0 &gt;&gt;C:\Users\stu\Documents\GitHub\eaglep3-reporting\EC\2016-11-04-refined-times.txt</v>
      </c>
      <c r="AI38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{"issue":{"subject":"","project_id":79,"tracker_id":40,"status_id":1,"priority_id":2,"assigned_to_id":23,"start_date":"2016-11-04","description":"","custom_fields":[{"id":1,"name":"Subdivision","value":"EC"},{"id":4,"name":"Milepost","value":"0.2085"},{"id":17,"name":"Train ID","value":"126-04"},{"id":16,"name":"Locomotive ID","value":"4037"},{"id":130,"name":"Impact","value":""},{"id":150,"name":"Time of Event (Mountain Time)","value":"08:18:23"},{"id":151,"name":"Denver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411</v>
      </c>
      <c r="B39" s="7">
        <v>4003</v>
      </c>
      <c r="C39" s="22" t="s">
        <v>239</v>
      </c>
      <c r="D39" s="22" t="s">
        <v>268</v>
      </c>
      <c r="E39" s="13">
        <v>42678.286678240744</v>
      </c>
      <c r="F39" s="13">
        <v>42678.291990740741</v>
      </c>
      <c r="G39" s="7">
        <v>0</v>
      </c>
      <c r="H39" s="22" t="s">
        <v>236</v>
      </c>
      <c r="I39" s="13">
        <v>42678.318842592591</v>
      </c>
      <c r="J39" s="7">
        <v>0</v>
      </c>
      <c r="K39" s="112" t="str">
        <f t="shared" si="0"/>
        <v>4003/4004</v>
      </c>
      <c r="L39" s="22" t="str">
        <f>VLOOKUP(A39,'Trips&amp;Operators'!$C$1:$E$10000,3,FALSE)</f>
        <v>MAELZER</v>
      </c>
      <c r="M39" s="6">
        <f t="shared" si="1"/>
        <v>2.6851851849642117E-2</v>
      </c>
      <c r="N39" s="7">
        <f t="shared" si="2"/>
        <v>38.666666663484648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05:52:49-0600',mode:absolute,to:'2016-11-04 08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4.4200000000000003E-2</v>
      </c>
      <c r="Z39" s="67">
        <f t="shared" si="9"/>
        <v>23.330100000000002</v>
      </c>
      <c r="AA39" s="67">
        <f t="shared" si="10"/>
        <v>23.285900000000002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0127-04</v>
      </c>
      <c r="AE39" s="91" t="str">
        <f t="shared" si="12"/>
        <v>aws s3 cp s3://rtdc.mdm.uploadarchive.raw/RTDC4003/ "%USERPROFILE%\AppData\Local\Temp\OnboardLogs"\RTDC4003\2016-11-04 --exclude "*" --recursive --include "*20161104*" &amp; "%USERPROFILE%\Documents\GitHub\mrs-test-scripts\Headless Mode &amp; Sideloading\WalkAndUnGZ.bat" "%USERPROFILE%\AppData\Local\Temp\OnboardLogs"\RTDC4003\2016-11-04 &amp; 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</v>
      </c>
      <c r="AF39" s="88" t="str">
        <f t="shared" si="13"/>
        <v>"C:\Program Files (x86)\AstroGrep\AstroGrep.exe" /spath="%USERPROFILE%\AppData\Local\Temp\OnboardLogs" /stypes="app*4003*20161104*" /stext=" 13:.+((SYSTEM_STATE.+slice.+state.+changed )|(ment ac)|(system.+state.+changed )|(\[timeout)|(PRM\|1\|D)|(kpr)|(kdp)|(\|loc)|(penalty))"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127-04 --locoid 4003 --swversion DE.1.0.8.0 --startMP 204:442 --initTime 2016-11-04T06:52:49 --startdatetime 2016-11-04T07:00:28 --delay 0 --endMP 204:233301 --enddatetime 2016-11-04T07:39:08 --enforcementcount 0 &gt;&gt;C:\Users\stu\Documents\GitHub\eaglep3-reporting\EC\2016-11-04-refined-times.txt</v>
      </c>
      <c r="AI39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{"issue":{"subject":"","project_id":79,"tracker_id":40,"status_id":1,"priority_id":2,"assigned_to_id":23,"start_date":"2016-11-04","description":"","custom_fields":[{"id":1,"name":"Subdivision","value":"EC"},{"id":4,"name":"Milepost","value":"23.3301"},{"id":17,"name":"Train ID","value":"127-04"},{"id":16,"name":"Locomotive ID","value":"4003"},{"id":130,"name":"Impact","value":""},{"id":150,"name":"Time of Event (Mountain Time)","value":"07:39:08"},{"id":151,"name":"Denver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476</v>
      </c>
      <c r="B40" s="7">
        <v>4004</v>
      </c>
      <c r="C40" s="22" t="s">
        <v>239</v>
      </c>
      <c r="D40" s="22" t="s">
        <v>644</v>
      </c>
      <c r="E40" s="13">
        <v>42678.327106481483</v>
      </c>
      <c r="F40" s="13">
        <v>42678.33084490741</v>
      </c>
      <c r="G40" s="7">
        <v>1</v>
      </c>
      <c r="H40" s="22" t="s">
        <v>203</v>
      </c>
      <c r="I40" s="13">
        <v>42678.356539351851</v>
      </c>
      <c r="J40" s="7">
        <v>0</v>
      </c>
      <c r="K40" s="112" t="str">
        <f t="shared" si="0"/>
        <v>4003/4004</v>
      </c>
      <c r="L40" s="22" t="str">
        <f>VLOOKUP(A40,'Trips&amp;Operators'!$C$1:$E$10000,3,FALSE)</f>
        <v>MAELZER</v>
      </c>
      <c r="M40" s="6">
        <f t="shared" si="1"/>
        <v>2.569444444088731E-2</v>
      </c>
      <c r="N40" s="7">
        <f t="shared" si="2"/>
        <v>36.999999994877726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06:51:02-0600',mode:absolute,to:'2016-11-04 09:33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23.2988</v>
      </c>
      <c r="Z40" s="67">
        <f t="shared" si="9"/>
        <v>1.49E-2</v>
      </c>
      <c r="AA40" s="67">
        <f t="shared" si="10"/>
        <v>23.283899999999999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1"/>
        <v>0128-04</v>
      </c>
      <c r="AE40" s="91" t="str">
        <f t="shared" si="12"/>
        <v>aws s3 cp s3://rtdc.mdm.uploadarchive.raw/RTDC4004/ "%USERPROFILE%\AppData\Local\Temp\OnboardLogs"\RTDC4004\2016-11-04 --exclude "*" --recursive --include "*20161104*" &amp; "%USERPROFILE%\Documents\GitHub\mrs-test-scripts\Headless Mode &amp; Sideloading\WalkAndUnGZ.bat" "%USERPROFILE%\AppData\Local\Temp\OnboardLogs"\RTDC4004\2016-11-04 &amp; 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</v>
      </c>
      <c r="AF40" s="88" t="str">
        <f t="shared" si="13"/>
        <v>"C:\Program Files (x86)\AstroGrep\AstroGrep.exe" /spath="%USERPROFILE%\AppData\Local\Temp\OnboardLogs" /stypes="app*4004*20161104*" /stext=" 14:.+((SYSTEM_STATE.+slice.+state.+changed )|(ment ac)|(system.+state.+changed )|(\[timeout)|(PRM\|1\|D)|(kpr)|(kdp)|(\|loc)|(penalty))"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128-04 --locoid 4004 --swversion DE.1.0.8.0 --startMP 204:232988 --initTime 2016-11-04T07:51:02 --startdatetime 2016-11-04T07:56:25 --delay 1 --endMP 204:149 --enddatetime 2016-11-04T08:33:25 --enforcementcount 0 &gt;&gt;C:\Users\stu\Documents\GitHub\eaglep3-reporting\EC\2016-11-04-refined-times.txt</v>
      </c>
      <c r="AI40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{"issue":{"subject":"","project_id":79,"tracker_id":40,"status_id":1,"priority_id":2,"assigned_to_id":23,"start_date":"2016-11-04","description":"","custom_fields":[{"id":1,"name":"Subdivision","value":"EC"},{"id":4,"name":"Milepost","value":"0.0149"},{"id":17,"name":"Train ID","value":"128-04"},{"id":16,"name":"Locomotive ID","value":"4004"},{"id":130,"name":"Impact","value":""},{"id":150,"name":"Time of Event (Mountain Time)","value":"08:33:25"},{"id":151,"name":"Denver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471</v>
      </c>
      <c r="B41" s="7">
        <v>4007</v>
      </c>
      <c r="C41" s="22" t="s">
        <v>239</v>
      </c>
      <c r="D41" s="22" t="s">
        <v>637</v>
      </c>
      <c r="E41" s="13">
        <v>42678.299814814818</v>
      </c>
      <c r="F41" s="13">
        <v>42678.30228009259</v>
      </c>
      <c r="G41" s="7">
        <v>1</v>
      </c>
      <c r="H41" s="22" t="s">
        <v>645</v>
      </c>
      <c r="I41" s="13">
        <v>42678.326574074075</v>
      </c>
      <c r="J41" s="7">
        <v>0</v>
      </c>
      <c r="K41" s="112" t="str">
        <f t="shared" si="0"/>
        <v>4007/4008</v>
      </c>
      <c r="L41" s="22" t="str">
        <f>VLOOKUP(A41,'Trips&amp;Operators'!$C$1:$E$10000,3,FALSE)</f>
        <v>NELSON</v>
      </c>
      <c r="M41" s="6">
        <f t="shared" si="1"/>
        <v>2.4293981485243421E-2</v>
      </c>
      <c r="N41" s="7">
        <f t="shared" si="2"/>
        <v>34.983333338750526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06:11:44-0600',mode:absolute,to:'2016-11-04 08:50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4.4600000000000001E-2</v>
      </c>
      <c r="Z41" s="67">
        <f t="shared" si="9"/>
        <v>23.332100000000001</v>
      </c>
      <c r="AA41" s="67">
        <f t="shared" si="10"/>
        <v>23.287500000000001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0129-04</v>
      </c>
      <c r="AE41" s="91" t="str">
        <f t="shared" si="12"/>
        <v>aws s3 cp s3://rtdc.mdm.uploadarchive.raw/RTDC4007/ "%USERPROFILE%\AppData\Local\Temp\OnboardLogs"\RTDC4007\2016-11-04 --exclude "*" --recursive --include "*20161104*" &amp; "%USERPROFILE%\Documents\GitHub\mrs-test-scripts\Headless Mode &amp; Sideloading\WalkAndUnGZ.bat" "%USERPROFILE%\AppData\Local\Temp\OnboardLogs"\RTDC4007\2016-11-04 &amp; aws s3 cp s3://rtdc.mdm.uploadarchive.raw/RTDC4007/ "%USERPROFILE%\AppData\Local\Temp\OnboardLogs"\RTDC4007\2016-11-05 --exclude "*" --recursive --include "*20161105*" &amp; "%USERPROFILE%\Documents\GitHub\mrs-test-scripts\Headless Mode &amp; Sideloading\WalkAndUnGZ.bat" "%USERPROFILE%\AppData\Local\Temp\OnboardLogs"\RTDC4007\2016-11-05</v>
      </c>
      <c r="AF41" s="88" t="str">
        <f t="shared" si="13"/>
        <v>"C:\Program Files (x86)\AstroGrep\AstroGrep.exe" /spath="%USERPROFILE%\AppData\Local\Temp\OnboardLogs" /stypes="app*4007*20161104*" /stext=" 13:.+((SYSTEM_STATE.+slice.+state.+changed )|(ment ac)|(system.+state.+changed )|(\[timeout)|(PRM\|1\|D)|(kpr)|(kdp)|(\|loc)|(penalty))"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129-04 --locoid 4007 --swversion DE.1.0.8.0 --startMP 204:446 --initTime 2016-11-04T07:11:44 --startdatetime 2016-11-04T07:15:17 --delay 1 --endMP 204:233321 --enddatetime 2016-11-04T07:50:16 --enforcementcount 0 &gt;&gt;C:\Users\stu\Documents\GitHub\eaglep3-reporting\EC\2016-11-04-refined-times.txt</v>
      </c>
      <c r="AI41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{"issue":{"subject":"","project_id":79,"tracker_id":40,"status_id":1,"priority_id":2,"assigned_to_id":23,"start_date":"2016-11-04","description":"","custom_fields":[{"id":1,"name":"Subdivision","value":"EC"},{"id":4,"name":"Milepost","value":"23.3321"},{"id":17,"name":"Train ID","value":"129-04"},{"id":16,"name":"Locomotive ID","value":"4007"},{"id":130,"name":"Impact","value":""},{"id":150,"name":"Time of Event (Mountain Time)","value":"07:50:16"},{"id":151,"name":"Denver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479</v>
      </c>
      <c r="B42" s="7">
        <v>4008</v>
      </c>
      <c r="C42" s="22" t="s">
        <v>239</v>
      </c>
      <c r="D42" s="22" t="s">
        <v>339</v>
      </c>
      <c r="E42" s="13">
        <v>42678.338483796295</v>
      </c>
      <c r="F42" s="13">
        <v>42678.341412037036</v>
      </c>
      <c r="G42" s="7">
        <v>1</v>
      </c>
      <c r="H42" s="22" t="s">
        <v>364</v>
      </c>
      <c r="I42" s="13">
        <v>42678.366331018522</v>
      </c>
      <c r="J42" s="7">
        <v>0</v>
      </c>
      <c r="K42" s="112" t="str">
        <f t="shared" si="0"/>
        <v>4007/4008</v>
      </c>
      <c r="L42" s="22" t="str">
        <f>VLOOKUP(A42,'Trips&amp;Operators'!$C$1:$E$10000,3,FALSE)</f>
        <v>NELSON</v>
      </c>
      <c r="M42" s="6">
        <f t="shared" si="1"/>
        <v>2.4918981485825498E-2</v>
      </c>
      <c r="N42" s="7">
        <f t="shared" si="2"/>
        <v>35.883333339588717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07:07:25-0600',mode:absolute,to:'2016-11-04 09:47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23.299399999999999</v>
      </c>
      <c r="Z42" s="67">
        <f t="shared" si="9"/>
        <v>1.4999999999999999E-2</v>
      </c>
      <c r="AA42" s="67">
        <f t="shared" si="10"/>
        <v>23.284399999999998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1"/>
        <v>0130-04</v>
      </c>
      <c r="AE42" s="91" t="str">
        <f t="shared" si="12"/>
        <v>aws s3 cp s3://rtdc.mdm.uploadarchive.raw/RTDC4008/ "%USERPROFILE%\AppData\Local\Temp\OnboardLogs"\RTDC4008\2016-11-04 --exclude "*" --recursive --include "*20161104*" &amp; "%USERPROFILE%\Documents\GitHub\mrs-test-scripts\Headless Mode &amp; Sideloading\WalkAndUnGZ.bat" "%USERPROFILE%\AppData\Local\Temp\OnboardLogs"\RTDC4008\2016-11-04 &amp; aws s3 cp s3://rtdc.mdm.uploadarchive.raw/RTDC4008/ "%USERPROFILE%\AppData\Local\Temp\OnboardLogs"\RTDC4008\2016-11-05 --exclude "*" --recursive --include "*20161105*" &amp; "%USERPROFILE%\Documents\GitHub\mrs-test-scripts\Headless Mode &amp; Sideloading\WalkAndUnGZ.bat" "%USERPROFILE%\AppData\Local\Temp\OnboardLogs"\RTDC4008\2016-11-05</v>
      </c>
      <c r="AF42" s="88" t="str">
        <f t="shared" si="13"/>
        <v>"C:\Program Files (x86)\AstroGrep\AstroGrep.exe" /spath="%USERPROFILE%\AppData\Local\Temp\OnboardLogs" /stypes="app*4008*20161104*" /stext=" 14:.+((SYSTEM_STATE.+slice.+state.+changed )|(ment ac)|(system.+state.+changed )|(\[timeout)|(PRM\|1\|D)|(kpr)|(kdp)|(\|loc)|(penalty))"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130-04 --locoid 4008 --swversion DE.1.0.8.0 --startMP 204:232994 --initTime 2016-11-04T08:07:25 --startdatetime 2016-11-04T08:11:38 --delay 1 --endMP 204:150 --enddatetime 2016-11-04T08:47:31 --enforcementcount 0 &gt;&gt;C:\Users\stu\Documents\GitHub\eaglep3-reporting\EC\2016-11-04-refined-times.txt</v>
      </c>
      <c r="AI42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{"issue":{"subject":"","project_id":79,"tracker_id":40,"status_id":1,"priority_id":2,"assigned_to_id":23,"start_date":"2016-11-04","description":"","custom_fields":[{"id":1,"name":"Subdivision","value":"EC"},{"id":4,"name":"Milepost","value":"0.015"},{"id":17,"name":"Train ID","value":"130-04"},{"id":16,"name":"Locomotive ID","value":"4008"},{"id":130,"name":"Impact","value":""},{"id":150,"name":"Time of Event (Mountain Time)","value":"08:47:31"},{"id":151,"name":"Denver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472</v>
      </c>
      <c r="B43" s="7">
        <v>4022</v>
      </c>
      <c r="C43" s="22" t="s">
        <v>239</v>
      </c>
      <c r="D43" s="22" t="s">
        <v>641</v>
      </c>
      <c r="E43" s="13">
        <v>42678.31046296296</v>
      </c>
      <c r="F43" s="13">
        <v>42678.312662037039</v>
      </c>
      <c r="G43" s="7">
        <v>1</v>
      </c>
      <c r="H43" s="22" t="s">
        <v>365</v>
      </c>
      <c r="I43" s="13">
        <v>42678.337916666664</v>
      </c>
      <c r="J43" s="7">
        <v>0</v>
      </c>
      <c r="K43" s="112" t="str">
        <f t="shared" si="0"/>
        <v>4021/4022</v>
      </c>
      <c r="L43" s="22" t="str">
        <f>VLOOKUP(A43,'Trips&amp;Operators'!$C$1:$E$10000,3,FALSE)</f>
        <v>DAVIS</v>
      </c>
      <c r="M43" s="6">
        <f t="shared" si="1"/>
        <v>2.5254629625123926E-2</v>
      </c>
      <c r="N43" s="7">
        <f t="shared" si="2"/>
        <v>36.366666660178453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06:27:04-0600',mode:absolute,to:'2016-11-04 09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4.3999999999999997E-2</v>
      </c>
      <c r="Z43" s="67">
        <f t="shared" si="9"/>
        <v>23.331099999999999</v>
      </c>
      <c r="AA43" s="67">
        <f t="shared" si="10"/>
        <v>23.287099999999999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0131-04</v>
      </c>
      <c r="AE43" s="91" t="str">
        <f t="shared" si="12"/>
        <v>aws s3 cp s3://rtdc.mdm.uploadarchive.raw/RTDC4022/ "%USERPROFILE%\AppData\Local\Temp\OnboardLogs"\RTDC4022\2016-11-04 --exclude "*" --recursive --include "*20161104*" &amp; "%USERPROFILE%\Documents\GitHub\mrs-test-scripts\Headless Mode &amp; Sideloading\WalkAndUnGZ.bat" "%USERPROFILE%\AppData\Local\Temp\OnboardLogs"\RTDC4022\2016-11-04 &amp; aws s3 cp s3://rtdc.mdm.uploadarchive.raw/RTDC4022/ "%USERPROFILE%\AppData\Local\Temp\OnboardLogs"\RTDC4022\2016-11-05 --exclude "*" --recursive --include "*20161105*" &amp; "%USERPROFILE%\Documents\GitHub\mrs-test-scripts\Headless Mode &amp; Sideloading\WalkAndUnGZ.bat" "%USERPROFILE%\AppData\Local\Temp\OnboardLogs"\RTDC4022\2016-11-05</v>
      </c>
      <c r="AF43" s="88" t="str">
        <f t="shared" si="13"/>
        <v>"C:\Program Files (x86)\AstroGrep\AstroGrep.exe" /spath="%USERPROFILE%\AppData\Local\Temp\OnboardLogs" /stypes="app*4022*20161104*" /stext=" 14:.+((SYSTEM_STATE.+slice.+state.+changed )|(ment ac)|(system.+state.+changed )|(\[timeout)|(PRM\|1\|D)|(kpr)|(kdp)|(\|loc)|(penalty))"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131-04 --locoid 4022 --swversion DE.1.0.8.0 --startMP 204:440 --initTime 2016-11-04T07:27:04 --startdatetime 2016-11-04T07:30:14 --delay 1 --endMP 204:233311 --enddatetime 2016-11-04T08:06:36 --enforcementcount 0 &gt;&gt;C:\Users\stu\Documents\GitHub\eaglep3-reporting\EC\2016-11-04-refined-times.txt</v>
      </c>
      <c r="AI43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{"issue":{"subject":"","project_id":79,"tracker_id":40,"status_id":1,"priority_id":2,"assigned_to_id":23,"start_date":"2016-11-04","description":"","custom_fields":[{"id":1,"name":"Subdivision","value":"EC"},{"id":4,"name":"Milepost","value":"23.3311"},{"id":17,"name":"Train ID","value":"131-04"},{"id":16,"name":"Locomotive ID","value":"4022"},{"id":130,"name":"Impact","value":""},{"id":150,"name":"Time of Event (Mountain Time)","value":"08:06:36"},{"id":151,"name":"Denver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481</v>
      </c>
      <c r="B44" s="7">
        <v>4021</v>
      </c>
      <c r="C44" s="22" t="s">
        <v>239</v>
      </c>
      <c r="D44" s="22" t="s">
        <v>281</v>
      </c>
      <c r="E44" s="13">
        <v>42678.348090277781</v>
      </c>
      <c r="F44" s="13">
        <v>42678.3515162037</v>
      </c>
      <c r="G44" s="7">
        <v>1</v>
      </c>
      <c r="H44" s="22" t="s">
        <v>202</v>
      </c>
      <c r="I44" s="13">
        <v>42678.379803240743</v>
      </c>
      <c r="J44" s="7">
        <v>0</v>
      </c>
      <c r="K44" s="112" t="str">
        <f t="shared" si="0"/>
        <v>4021/4022</v>
      </c>
      <c r="L44" s="22" t="str">
        <f>VLOOKUP(A44,'Trips&amp;Operators'!$C$1:$E$10000,3,FALSE)</f>
        <v>DAVIS</v>
      </c>
      <c r="M44" s="6">
        <f t="shared" si="1"/>
        <v>2.828703704290092E-2</v>
      </c>
      <c r="N44" s="7">
        <f t="shared" si="2"/>
        <v>40.733333341777325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07:21:15-0600',mode:absolute,to:'2016-11-04 10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23.298200000000001</v>
      </c>
      <c r="Z44" s="67">
        <f t="shared" si="9"/>
        <v>1.4500000000000001E-2</v>
      </c>
      <c r="AA44" s="67">
        <f t="shared" si="10"/>
        <v>23.2837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11"/>
        <v>0132-04</v>
      </c>
      <c r="AE44" s="91" t="str">
        <f t="shared" si="12"/>
        <v>aws s3 cp s3://rtdc.mdm.uploadarchive.raw/RTDC4021/ "%USERPROFILE%\AppData\Local\Temp\OnboardLogs"\RTDC4021\2016-11-04 --exclude "*" --recursive --include "*20161104*" &amp; "%USERPROFILE%\Documents\GitHub\mrs-test-scripts\Headless Mode &amp; Sideloading\WalkAndUnGZ.bat" "%USERPROFILE%\AppData\Local\Temp\OnboardLogs"\RTDC4021\2016-11-04 &amp; aws s3 cp s3://rtdc.mdm.uploadarchive.raw/RTDC4021/ "%USERPROFILE%\AppData\Local\Temp\OnboardLogs"\RTDC4021\2016-11-05 --exclude "*" --recursive --include "*20161105*" &amp; "%USERPROFILE%\Documents\GitHub\mrs-test-scripts\Headless Mode &amp; Sideloading\WalkAndUnGZ.bat" "%USERPROFILE%\AppData\Local\Temp\OnboardLogs"\RTDC4021\2016-11-05</v>
      </c>
      <c r="AF44" s="88" t="str">
        <f t="shared" si="13"/>
        <v>"C:\Program Files (x86)\AstroGrep\AstroGrep.exe" /spath="%USERPROFILE%\AppData\Local\Temp\OnboardLogs" /stypes="app*4021*20161104*" /stext=" 15:.+((SYSTEM_STATE.+slice.+state.+changed )|(ment ac)|(system.+state.+changed )|(\[timeout)|(PRM\|1\|D)|(kpr)|(kdp)|(\|loc)|(penalty))"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132-04 --locoid 4021 --swversion DE.1.0.8.0 --startMP 204:232982 --initTime 2016-11-04T08:21:15 --startdatetime 2016-11-04T08:26:11 --delay 1 --endMP 204:145 --enddatetime 2016-11-04T09:06:55 --enforcementcount 0 &gt;&gt;C:\Users\stu\Documents\GitHub\eaglep3-reporting\EC\2016-11-04-refined-times.txt</v>
      </c>
      <c r="AI44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{"issue":{"subject":"","project_id":79,"tracker_id":40,"status_id":1,"priority_id":2,"assigned_to_id":23,"start_date":"2016-11-04","description":"","custom_fields":[{"id":1,"name":"Subdivision","value":"EC"},{"id":4,"name":"Milepost","value":"0.0145"},{"id":17,"name":"Train ID","value":"132-04"},{"id":16,"name":"Locomotive ID","value":"4021"},{"id":130,"name":"Impact","value":""},{"id":150,"name":"Time of Event (Mountain Time)","value":"09:06:55"},{"id":151,"name":"Denver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475</v>
      </c>
      <c r="B45" s="7">
        <v>4029</v>
      </c>
      <c r="C45" s="22" t="s">
        <v>239</v>
      </c>
      <c r="D45" s="22" t="s">
        <v>342</v>
      </c>
      <c r="E45" s="13">
        <v>42678.320532407408</v>
      </c>
      <c r="F45" s="13">
        <v>42678.323171296295</v>
      </c>
      <c r="G45" s="7">
        <v>1</v>
      </c>
      <c r="H45" s="22" t="s">
        <v>646</v>
      </c>
      <c r="I45" s="13">
        <v>42678.347488425927</v>
      </c>
      <c r="J45" s="7">
        <v>0</v>
      </c>
      <c r="K45" s="112" t="str">
        <f t="shared" si="0"/>
        <v>4029/4030</v>
      </c>
      <c r="L45" s="22" t="str">
        <f>VLOOKUP(A45,'Trips&amp;Operators'!$C$1:$E$10000,3,FALSE)</f>
        <v>MALAVE</v>
      </c>
      <c r="M45" s="6">
        <f t="shared" si="1"/>
        <v>2.4317129631526768E-2</v>
      </c>
      <c r="N45" s="7">
        <f t="shared" si="2"/>
        <v>35.016666669398546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06:41:34-0600',mode:absolute,to:'2016-11-04 09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4.7100000000000003E-2</v>
      </c>
      <c r="Z45" s="67">
        <f t="shared" si="9"/>
        <v>23.327200000000001</v>
      </c>
      <c r="AA45" s="67">
        <f t="shared" si="10"/>
        <v>23.280100000000001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11"/>
        <v>0133-04</v>
      </c>
      <c r="AE45" s="91" t="str">
        <f t="shared" si="12"/>
        <v>aws s3 cp s3://rtdc.mdm.uploadarchive.raw/RTDC4029/ "%USERPROFILE%\AppData\Local\Temp\OnboardLogs"\RTDC4029\2016-11-04 --exclude "*" --recursive --include "*20161104*" &amp; "%USERPROFILE%\Documents\GitHub\mrs-test-scripts\Headless Mode &amp; Sideloading\WalkAndUnGZ.bat" "%USERPROFILE%\AppData\Local\Temp\OnboardLogs"\RTDC4029\2016-11-04 &amp; aws s3 cp s3://rtdc.mdm.uploadarchive.raw/RTDC4029/ "%USERPROFILE%\AppData\Local\Temp\OnboardLogs"\RTDC4029\2016-11-05 --exclude "*" --recursive --include "*20161105*" &amp; "%USERPROFILE%\Documents\GitHub\mrs-test-scripts\Headless Mode &amp; Sideloading\WalkAndUnGZ.bat" "%USERPROFILE%\AppData\Local\Temp\OnboardLogs"\RTDC4029\2016-11-05</v>
      </c>
      <c r="AF45" s="88" t="str">
        <f t="shared" si="13"/>
        <v>"C:\Program Files (x86)\AstroGrep\AstroGrep.exe" /spath="%USERPROFILE%\AppData\Local\Temp\OnboardLogs" /stypes="app*4029*20161104*" /stext=" 14:.+((SYSTEM_STATE.+slice.+state.+changed )|(ment ac)|(system.+state.+changed )|(\[timeout)|(PRM\|1\|D)|(kpr)|(kdp)|(\|loc)|(penalty))"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133-04 --locoid 4029 --swversion DE.1.0.8.0 --startMP 204:471 --initTime 2016-11-04T07:41:34 --startdatetime 2016-11-04T07:45:22 --delay 1 --endMP 204:233272 --enddatetime 2016-11-04T08:20:23 --enforcementcount 0 &gt;&gt;C:\Users\stu\Documents\GitHub\eaglep3-reporting\EC\2016-11-04-refined-times.txt</v>
      </c>
      <c r="AI45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{"issue":{"subject":"","project_id":79,"tracker_id":40,"status_id":1,"priority_id":2,"assigned_to_id":23,"start_date":"2016-11-04","description":"","custom_fields":[{"id":1,"name":"Subdivision","value":"EC"},{"id":4,"name":"Milepost","value":"23.3272"},{"id":17,"name":"Train ID","value":"133-04"},{"id":16,"name":"Locomotive ID","value":"4029"},{"id":130,"name":"Impact","value":""},{"id":150,"name":"Time of Event (Mountain Time)","value":"08:20:23"},{"id":151,"name":"Denver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485</v>
      </c>
      <c r="B46" s="7">
        <v>4030</v>
      </c>
      <c r="C46" s="22" t="s">
        <v>239</v>
      </c>
      <c r="D46" s="22" t="s">
        <v>647</v>
      </c>
      <c r="E46" s="13">
        <v>42678.36146990741</v>
      </c>
      <c r="F46" s="13">
        <v>42678.362650462965</v>
      </c>
      <c r="G46" s="7">
        <v>1</v>
      </c>
      <c r="H46" s="22" t="s">
        <v>648</v>
      </c>
      <c r="I46" s="13">
        <v>42678.388229166667</v>
      </c>
      <c r="J46" s="7">
        <v>0</v>
      </c>
      <c r="K46" s="112" t="str">
        <f t="shared" si="0"/>
        <v>4029/4030</v>
      </c>
      <c r="L46" s="22" t="str">
        <f>VLOOKUP(A46,'Trips&amp;Operators'!$C$1:$E$10000,3,FALSE)</f>
        <v>MALAVE</v>
      </c>
      <c r="M46" s="6">
        <f t="shared" si="1"/>
        <v>2.5578703702194616E-2</v>
      </c>
      <c r="N46" s="7">
        <f t="shared" si="2"/>
        <v>36.833333331160247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07:40:31-0600',mode:absolute,to:'2016-11-04 10:19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23.296600000000002</v>
      </c>
      <c r="Z46" s="67">
        <f t="shared" si="9"/>
        <v>1.7600000000000001E-2</v>
      </c>
      <c r="AA46" s="67">
        <f t="shared" si="10"/>
        <v>23.279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11"/>
        <v>0134-04</v>
      </c>
      <c r="AE46" s="91" t="str">
        <f t="shared" si="12"/>
        <v>aws s3 cp s3://rtdc.mdm.uploadarchive.raw/RTDC4030/ "%USERPROFILE%\AppData\Local\Temp\OnboardLogs"\RTDC4030\2016-11-04 --exclude "*" --recursive --include "*20161104*" &amp; "%USERPROFILE%\Documents\GitHub\mrs-test-scripts\Headless Mode &amp; Sideloading\WalkAndUnGZ.bat" "%USERPROFILE%\AppData\Local\Temp\OnboardLogs"\RTDC4030\2016-11-04 &amp; aws s3 cp s3://rtdc.mdm.uploadarchive.raw/RTDC4030/ "%USERPROFILE%\AppData\Local\Temp\OnboardLogs"\RTDC4030\2016-11-05 --exclude "*" --recursive --include "*20161105*" &amp; "%USERPROFILE%\Documents\GitHub\mrs-test-scripts\Headless Mode &amp; Sideloading\WalkAndUnGZ.bat" "%USERPROFILE%\AppData\Local\Temp\OnboardLogs"\RTDC4030\2016-11-05</v>
      </c>
      <c r="AF46" s="88" t="str">
        <f t="shared" si="13"/>
        <v>"C:\Program Files (x86)\AstroGrep\AstroGrep.exe" /spath="%USERPROFILE%\AppData\Local\Temp\OnboardLogs" /stypes="app*4030*20161104*" /stext=" 15:.+((SYSTEM_STATE.+slice.+state.+changed )|(ment ac)|(system.+state.+changed )|(\[timeout)|(PRM\|1\|D)|(kpr)|(kdp)|(\|loc)|(penalty))"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134-04 --locoid 4030 --swversion DE.1.0.8.0 --startMP 204:232966 --initTime 2016-11-04T08:40:31 --startdatetime 2016-11-04T08:42:13 --delay 1 --endMP 204:176 --enddatetime 2016-11-04T09:19:03 --enforcementcount 0 &gt;&gt;C:\Users\stu\Documents\GitHub\eaglep3-reporting\EC\2016-11-04-refined-times.txt</v>
      </c>
      <c r="AI46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{"issue":{"subject":"","project_id":79,"tracker_id":40,"status_id":1,"priority_id":2,"assigned_to_id":23,"start_date":"2016-11-04","description":"","custom_fields":[{"id":1,"name":"Subdivision","value":"EC"},{"id":4,"name":"Milepost","value":"0.0176"},{"id":17,"name":"Train ID","value":"134-04"},{"id":16,"name":"Locomotive ID","value":"4030"},{"id":130,"name":"Impact","value":""},{"id":150,"name":"Time of Event (Mountain Time)","value":"09:19:03"},{"id":151,"name":"Denver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413</v>
      </c>
      <c r="B47" s="7">
        <v>4042</v>
      </c>
      <c r="C47" s="22" t="s">
        <v>239</v>
      </c>
      <c r="D47" s="22" t="s">
        <v>637</v>
      </c>
      <c r="E47" s="13">
        <v>42678.328518518516</v>
      </c>
      <c r="F47" s="13">
        <v>42678.333761574075</v>
      </c>
      <c r="G47" s="7">
        <v>1</v>
      </c>
      <c r="H47" s="22" t="s">
        <v>376</v>
      </c>
      <c r="I47" s="13">
        <v>42678.359710648147</v>
      </c>
      <c r="J47" s="7">
        <v>0</v>
      </c>
      <c r="K47" s="112" t="str">
        <f t="shared" si="0"/>
        <v>4041/4042</v>
      </c>
      <c r="L47" s="22" t="str">
        <f>VLOOKUP(A47,'Trips&amp;Operators'!$C$1:$E$10000,3,FALSE)</f>
        <v>PERKINS</v>
      </c>
      <c r="M47" s="6">
        <f t="shared" si="1"/>
        <v>2.5949074071832001E-2</v>
      </c>
      <c r="N47" s="7">
        <f t="shared" si="2"/>
        <v>37.366666663438082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06:53:04-0600',mode:absolute,to:'2016-11-04 09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7" s="52" t="str">
        <f t="shared" si="6"/>
        <v>N</v>
      </c>
      <c r="X47" s="177">
        <f t="shared" si="7"/>
        <v>1</v>
      </c>
      <c r="Y47" s="67">
        <f t="shared" si="8"/>
        <v>4.4600000000000001E-2</v>
      </c>
      <c r="Z47" s="67">
        <f t="shared" si="9"/>
        <v>23.332000000000001</v>
      </c>
      <c r="AA47" s="67">
        <f t="shared" si="10"/>
        <v>23.287400000000002</v>
      </c>
      <c r="AB47" s="64" t="str">
        <f>VLOOKUP(A47,Enforcements!$C$7:$K$21,8,0)</f>
        <v>Speed (6)</v>
      </c>
      <c r="AC47" s="60" t="str">
        <f>VLOOKUP(A47,Enforcements!$C$7:$E$21,3,0)</f>
        <v>PERMANENT SPEED RESTRICTION</v>
      </c>
      <c r="AD47" s="61" t="str">
        <f t="shared" si="11"/>
        <v>0135-04</v>
      </c>
      <c r="AE47" s="91" t="str">
        <f t="shared" si="12"/>
        <v>aws s3 cp s3://rtdc.mdm.uploadarchive.raw/RTDC4042/ "%USERPROFILE%\AppData\Local\Temp\OnboardLogs"\RTDC4042\2016-11-04 --exclude "*" --recursive --include "*20161104*" &amp; "%USERPROFILE%\Documents\GitHub\mrs-test-scripts\Headless Mode &amp; Sideloading\WalkAndUnGZ.bat" "%USERPROFILE%\AppData\Local\Temp\OnboardLogs"\RTDC4042\2016-11-04 &amp; aws s3 cp s3://rtdc.mdm.uploadarchive.raw/RTDC4042/ "%USERPROFILE%\AppData\Local\Temp\OnboardLogs"\RTDC4042\2016-11-05 --exclude "*" --recursive --include "*20161105*" &amp; "%USERPROFILE%\Documents\GitHub\mrs-test-scripts\Headless Mode &amp; Sideloading\WalkAndUnGZ.bat" "%USERPROFILE%\AppData\Local\Temp\OnboardLogs"\RTDC4042\2016-11-05</v>
      </c>
      <c r="AF47" s="88" t="str">
        <f t="shared" si="13"/>
        <v>"C:\Program Files (x86)\AstroGrep\AstroGrep.exe" /spath="%USERPROFILE%\AppData\Local\Temp\OnboardLogs" /stypes="app*4042*20161104*" /stext=" 14:.+((SYSTEM_STATE.+slice.+state.+changed )|(ment ac)|(system.+state.+changed )|(\[timeout)|(PRM\|1\|D)|(kpr)|(kdp)|(\|loc)|(penalty))"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135-04 --locoid 4042 --swversion DE.1.0.8.0 --startMP 204:446 --initTime 2016-11-04T07:53:04 --startdatetime 2016-11-04T08:00:37 --delay 1 --endMP 204:233320 --enddatetime 2016-11-04T08:37:59 --enforcementcount 0 &gt;&gt;C:\Users\stu\Documents\GitHub\eaglep3-reporting\EC\2016-11-04-refined-times.txt</v>
      </c>
      <c r="AI47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{"issue":{"subject":"","project_id":79,"tracker_id":40,"status_id":1,"priority_id":2,"assigned_to_id":23,"start_date":"2016-11-04","description":"","custom_fields":[{"id":1,"name":"Subdivision","value":"EC"},{"id":4,"name":"Milepost","value":"23.332"},{"id":17,"name":"Train ID","value":"135-04"},{"id":16,"name":"Locomotive ID","value":"4042"},{"id":130,"name":"Impact","value":""},{"id":150,"name":"Time of Event (Mountain Time)","value":"08:37:59"},{"id":151,"name":"Denver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487</v>
      </c>
      <c r="B48" s="7">
        <v>4041</v>
      </c>
      <c r="C48" s="22" t="s">
        <v>239</v>
      </c>
      <c r="D48" s="22" t="s">
        <v>260</v>
      </c>
      <c r="E48" s="13">
        <v>42678.37232638889</v>
      </c>
      <c r="F48" s="13">
        <v>42678.37332175926</v>
      </c>
      <c r="G48" s="7">
        <v>1</v>
      </c>
      <c r="H48" s="22" t="s">
        <v>201</v>
      </c>
      <c r="I48" s="13">
        <v>42678.399201388886</v>
      </c>
      <c r="J48" s="7">
        <v>0</v>
      </c>
      <c r="K48" s="112" t="str">
        <f t="shared" si="0"/>
        <v>4041/4042</v>
      </c>
      <c r="L48" s="22" t="str">
        <f>VLOOKUP(A48,'Trips&amp;Operators'!$C$1:$E$10000,3,FALSE)</f>
        <v>PERKINS</v>
      </c>
      <c r="M48" s="6">
        <f t="shared" si="1"/>
        <v>2.5879629625706002E-2</v>
      </c>
      <c r="N48" s="7">
        <f t="shared" si="2"/>
        <v>37.266666661016643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07:56:09-0600',mode:absolute,to:'2016-11-04 10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8" s="52" t="str">
        <f t="shared" si="6"/>
        <v>N</v>
      </c>
      <c r="X48" s="177">
        <f t="shared" si="7"/>
        <v>1</v>
      </c>
      <c r="Y48" s="67">
        <f t="shared" si="8"/>
        <v>23.298400000000001</v>
      </c>
      <c r="Z48" s="67">
        <f t="shared" si="9"/>
        <v>1.54E-2</v>
      </c>
      <c r="AA48" s="67">
        <f t="shared" si="10"/>
        <v>23.283000000000001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11"/>
        <v>0136-04</v>
      </c>
      <c r="AE48" s="91" t="str">
        <f t="shared" si="12"/>
        <v>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 &amp; aws s3 cp s3://rtdc.mdm.uploadarchive.raw/RTDC4041/ "%USERPROFILE%\AppData\Local\Temp\OnboardLogs"\RTDC4041\2016-11-05 --exclude "*" --recursive --include "*20161105*" &amp; "%USERPROFILE%\Documents\GitHub\mrs-test-scripts\Headless Mode &amp; Sideloading\WalkAndUnGZ.bat" "%USERPROFILE%\AppData\Local\Temp\OnboardLogs"\RTDC4041\2016-11-05</v>
      </c>
      <c r="AF48" s="88" t="str">
        <f t="shared" si="13"/>
        <v>"C:\Program Files (x86)\AstroGrep\AstroGrep.exe" /spath="%USERPROFILE%\AppData\Local\Temp\OnboardLogs" /stypes="app*4041*20161104*" /stext=" 15:.+((SYSTEM_STATE.+slice.+state.+changed )|(ment ac)|(system.+state.+changed )|(\[timeout)|(PRM\|1\|D)|(kpr)|(kdp)|(\|loc)|(penalty))"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136-04 --locoid 4041 --swversion DE.1.0.8.0 --startMP 204:232984 --initTime 2016-11-04T08:56:09 --startdatetime 2016-11-04T08:57:35 --delay 1 --endMP 204:154 --enddatetime 2016-11-04T09:34:51 --enforcementcount 0 &gt;&gt;C:\Users\stu\Documents\GitHub\eaglep3-reporting\EC\2016-11-04-refined-times.txt</v>
      </c>
      <c r="AI48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{"issue":{"subject":"","project_id":79,"tracker_id":40,"status_id":1,"priority_id":2,"assigned_to_id":23,"start_date":"2016-11-04","description":"","custom_fields":[{"id":1,"name":"Subdivision","value":"EC"},{"id":4,"name":"Milepost","value":"0.0154"},{"id":17,"name":"Train ID","value":"136-04"},{"id":16,"name":"Locomotive ID","value":"4041"},{"id":130,"name":"Impact","value":""},{"id":150,"name":"Time of Event (Mountain Time)","value":"09:34:51"},{"id":151,"name":"Denver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480</v>
      </c>
      <c r="B49" s="7">
        <v>4053</v>
      </c>
      <c r="C49" s="22" t="s">
        <v>239</v>
      </c>
      <c r="D49" s="22" t="s">
        <v>649</v>
      </c>
      <c r="E49" s="13">
        <v>42678.339814814812</v>
      </c>
      <c r="F49" s="13">
        <v>42678.343923611108</v>
      </c>
      <c r="G49" s="7">
        <v>1</v>
      </c>
      <c r="H49" s="22" t="s">
        <v>369</v>
      </c>
      <c r="I49" s="13">
        <v>42678.368530092594</v>
      </c>
      <c r="J49" s="7">
        <v>0</v>
      </c>
      <c r="K49" s="112" t="str">
        <f t="shared" si="0"/>
        <v>4053/4054</v>
      </c>
      <c r="L49" s="22" t="str">
        <f>VLOOKUP(A49,'Trips&amp;Operators'!$C$1:$E$10000,3,FALSE)</f>
        <v>DAVIDSON</v>
      </c>
      <c r="M49" s="6">
        <f t="shared" si="1"/>
        <v>2.4606481485534459E-2</v>
      </c>
      <c r="N49" s="7">
        <f t="shared" si="2"/>
        <v>35.433333339169621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07:09:20-0600',mode:absolute,to:'2016-11-04 09:50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49" s="52" t="str">
        <f t="shared" si="6"/>
        <v>N</v>
      </c>
      <c r="X49" s="177">
        <f t="shared" si="7"/>
        <v>1</v>
      </c>
      <c r="Y49" s="67">
        <f t="shared" si="8"/>
        <v>4.82E-2</v>
      </c>
      <c r="Z49" s="67">
        <f t="shared" si="9"/>
        <v>23.331900000000001</v>
      </c>
      <c r="AA49" s="67">
        <f t="shared" si="10"/>
        <v>23.2837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11"/>
        <v>0137-04</v>
      </c>
      <c r="AE49" s="91" t="str">
        <f t="shared" si="12"/>
        <v>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 &amp; 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</v>
      </c>
      <c r="AF49" s="88" t="str">
        <f t="shared" si="13"/>
        <v>"C:\Program Files (x86)\AstroGrep\AstroGrep.exe" /spath="%USERPROFILE%\AppData\Local\Temp\OnboardLogs" /stypes="app*4053*20161104*" /stext=" 14:.+((SYSTEM_STATE.+slice.+state.+changed )|(ment ac)|(system.+state.+changed )|(\[timeout)|(PRM\|1\|D)|(kpr)|(kdp)|(\|loc)|(penalty))"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137-04 --locoid 4053 --swversion DE.1.0.8.0 --startMP 204:482 --initTime 2016-11-04T08:09:20 --startdatetime 2016-11-04T08:15:15 --delay 1 --endMP 204:233319 --enddatetime 2016-11-04T08:50:41 --enforcementcount 0 &gt;&gt;C:\Users\stu\Documents\GitHub\eaglep3-reporting\EC\2016-11-04-refined-times.txt</v>
      </c>
      <c r="AI49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{"issue":{"subject":"","project_id":79,"tracker_id":40,"status_id":1,"priority_id":2,"assigned_to_id":23,"start_date":"2016-11-04","description":"","custom_fields":[{"id":1,"name":"Subdivision","value":"EC"},{"id":4,"name":"Milepost","value":"23.3319"},{"id":17,"name":"Train ID","value":"137-04"},{"id":16,"name":"Locomotive ID","value":"4053"},{"id":130,"name":"Impact","value":""},{"id":150,"name":"Time of Event (Mountain Time)","value":"08:50:41"},{"id":151,"name":"Denver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488</v>
      </c>
      <c r="B50" s="7">
        <v>4054</v>
      </c>
      <c r="C50" s="22" t="s">
        <v>239</v>
      </c>
      <c r="D50" s="22" t="s">
        <v>266</v>
      </c>
      <c r="E50" s="13">
        <v>42678.37290509259</v>
      </c>
      <c r="F50" s="13">
        <v>42678.383009259262</v>
      </c>
      <c r="G50" s="7">
        <v>1</v>
      </c>
      <c r="H50" s="22" t="s">
        <v>176</v>
      </c>
      <c r="I50" s="13">
        <v>42678.408356481479</v>
      </c>
      <c r="J50" s="7">
        <v>0</v>
      </c>
      <c r="K50" s="112" t="str">
        <f t="shared" si="0"/>
        <v>4053/4054</v>
      </c>
      <c r="L50" s="22" t="str">
        <f>VLOOKUP(A50,'Trips&amp;Operators'!$C$1:$E$10000,3,FALSE)</f>
        <v>DAVIDSON</v>
      </c>
      <c r="M50" s="6">
        <f t="shared" si="1"/>
        <v>2.5347222217533272E-2</v>
      </c>
      <c r="N50" s="7">
        <f t="shared" si="2"/>
        <v>36.499999993247911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07:56:59-0600',mode:absolute,to:'2016-11-04 10:48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50" s="52" t="str">
        <f t="shared" si="6"/>
        <v>N</v>
      </c>
      <c r="X50" s="177">
        <f t="shared" si="7"/>
        <v>1</v>
      </c>
      <c r="Y50" s="67">
        <f t="shared" si="8"/>
        <v>23.299600000000002</v>
      </c>
      <c r="Z50" s="67">
        <f t="shared" si="9"/>
        <v>1.52E-2</v>
      </c>
      <c r="AA50" s="67">
        <f t="shared" si="10"/>
        <v>23.284400000000002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11"/>
        <v>0138-04</v>
      </c>
      <c r="AE50" s="91" t="str">
        <f t="shared" si="12"/>
        <v>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 &amp; 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</v>
      </c>
      <c r="AF50" s="88" t="str">
        <f t="shared" si="13"/>
        <v>"C:\Program Files (x86)\AstroGrep\AstroGrep.exe" /spath="%USERPROFILE%\AppData\Local\Temp\OnboardLogs" /stypes="app*4054*20161104*" /stext=" 15:.+((SYSTEM_STATE.+slice.+state.+changed )|(ment ac)|(system.+state.+changed )|(\[timeout)|(PRM\|1\|D)|(kpr)|(kdp)|(\|loc)|(penalty))"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138-04 --locoid 4054 --swversion DE.1.0.8.0 --startMP 204:232996 --initTime 2016-11-04T08:56:59 --startdatetime 2016-11-04T09:11:32 --delay 1 --endMP 204:152 --enddatetime 2016-11-04T09:48:02 --enforcementcount 0 &gt;&gt;C:\Users\stu\Documents\GitHub\eaglep3-reporting\EC\2016-11-04-refined-times.txt</v>
      </c>
      <c r="AI50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{"issue":{"subject":"","project_id":79,"tracker_id":40,"status_id":1,"priority_id":2,"assigned_to_id":23,"start_date":"2016-11-04","description":"","custom_fields":[{"id":1,"name":"Subdivision","value":"EC"},{"id":4,"name":"Milepost","value":"0.0152"},{"id":17,"name":"Train ID","value":"138-04"},{"id":16,"name":"Locomotive ID","value":"4054"},{"id":130,"name":"Impact","value":""},{"id":150,"name":"Time of Event (Mountain Time)","value":"09:48:02"},{"id":151,"name":"Denver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414</v>
      </c>
      <c r="B51" s="7">
        <v>4038</v>
      </c>
      <c r="C51" s="22" t="s">
        <v>239</v>
      </c>
      <c r="D51" s="22" t="s">
        <v>212</v>
      </c>
      <c r="E51" s="13">
        <v>42678.35015046296</v>
      </c>
      <c r="F51" s="13">
        <v>42678.354375000003</v>
      </c>
      <c r="G51" s="7">
        <v>2</v>
      </c>
      <c r="H51" s="22" t="s">
        <v>650</v>
      </c>
      <c r="I51" s="13">
        <v>42678.380104166667</v>
      </c>
      <c r="J51" s="7">
        <v>0</v>
      </c>
      <c r="K51" s="112" t="str">
        <f t="shared" si="0"/>
        <v>4037/4038</v>
      </c>
      <c r="L51" s="22" t="str">
        <f>VLOOKUP(A51,'Trips&amp;Operators'!$C$1:$E$10000,3,FALSE)</f>
        <v>RICHARDSON</v>
      </c>
      <c r="M51" s="6">
        <f t="shared" si="1"/>
        <v>2.5729166663950309E-2</v>
      </c>
      <c r="N51" s="7">
        <f t="shared" si="2"/>
        <v>37.049999996088445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07:24:13-0600',mode:absolute,to:'2016-11-04 10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1" s="52" t="str">
        <f t="shared" si="6"/>
        <v>N</v>
      </c>
      <c r="X51" s="177">
        <f t="shared" si="7"/>
        <v>1</v>
      </c>
      <c r="Y51" s="67">
        <f t="shared" si="8"/>
        <v>4.5100000000000001E-2</v>
      </c>
      <c r="Z51" s="67">
        <f t="shared" si="9"/>
        <v>23.331600000000002</v>
      </c>
      <c r="AA51" s="67">
        <f t="shared" si="10"/>
        <v>23.2865</v>
      </c>
      <c r="AB51" s="64" t="str">
        <f>VLOOKUP(A51,Enforcements!$C$7:$K$21,8,0)</f>
        <v>Speed (6)</v>
      </c>
      <c r="AC51" s="60" t="str">
        <f>VLOOKUP(A51,Enforcements!$C$7:$E$21,3,0)</f>
        <v>PERMANENT SPEED RESTRICTION</v>
      </c>
      <c r="AD51" s="61" t="str">
        <f t="shared" si="11"/>
        <v>0139-04</v>
      </c>
      <c r="AE51" s="91" t="str">
        <f t="shared" si="12"/>
        <v>aws s3 cp s3://rtdc.mdm.uploadarchive.raw/RTDC4038/ "%USERPROFILE%\AppData\Local\Temp\OnboardLogs"\RTDC4038\2016-11-04 --exclude "*" --recursive --include "*20161104*" &amp; "%USERPROFILE%\Documents\GitHub\mrs-test-scripts\Headless Mode &amp; Sideloading\WalkAndUnGZ.bat" "%USERPROFILE%\AppData\Local\Temp\OnboardLogs"\RTDC4038\2016-11-04 &amp; aws s3 cp s3://rtdc.mdm.uploadarchive.raw/RTDC4038/ "%USERPROFILE%\AppData\Local\Temp\OnboardLogs"\RTDC4038\2016-11-05 --exclude "*" --recursive --include "*20161105*" &amp; "%USERPROFILE%\Documents\GitHub\mrs-test-scripts\Headless Mode &amp; Sideloading\WalkAndUnGZ.bat" "%USERPROFILE%\AppData\Local\Temp\OnboardLogs"\RTDC4038\2016-11-05</v>
      </c>
      <c r="AF51" s="88" t="str">
        <f t="shared" si="13"/>
        <v>"C:\Program Files (x86)\AstroGrep\AstroGrep.exe" /spath="%USERPROFILE%\AppData\Local\Temp\OnboardLogs" /stypes="app*4038*20161104*" /stext=" 15:.+((SYSTEM_STATE.+slice.+state.+changed )|(ment ac)|(system.+state.+changed )|(\[timeout)|(PRM\|1\|D)|(kpr)|(kdp)|(\|loc)|(penalty))"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139-04 --locoid 4038 --swversion DE.1.0.8.0 --startMP 204:451 --initTime 2016-11-04T08:24:13 --startdatetime 2016-11-04T08:30:18 --delay 2 --endMP 204:233316 --enddatetime 2016-11-04T09:07:21 --enforcementcount 0 &gt;&gt;C:\Users\stu\Documents\GitHub\eaglep3-reporting\EC\2016-11-04-refined-times.txt</v>
      </c>
      <c r="AI51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{"issue":{"subject":"","project_id":79,"tracker_id":40,"status_id":1,"priority_id":2,"assigned_to_id":23,"start_date":"2016-11-04","description":"","custom_fields":[{"id":1,"name":"Subdivision","value":"EC"},{"id":4,"name":"Milepost","value":"23.3316"},{"id":17,"name":"Train ID","value":"139-04"},{"id":16,"name":"Locomotive ID","value":"4038"},{"id":130,"name":"Impact","value":""},{"id":150,"name":"Time of Event (Mountain Time)","value":"09:07:21"},{"id":151,"name":"Denver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415</v>
      </c>
      <c r="B52" s="7">
        <v>4037</v>
      </c>
      <c r="C52" s="22" t="s">
        <v>239</v>
      </c>
      <c r="D52" s="22" t="s">
        <v>254</v>
      </c>
      <c r="E52" s="13">
        <v>42678.388032407405</v>
      </c>
      <c r="F52" s="13">
        <v>42678.393692129626</v>
      </c>
      <c r="G52" s="7">
        <v>1</v>
      </c>
      <c r="H52" s="22" t="s">
        <v>261</v>
      </c>
      <c r="I52" s="13">
        <v>42678.421666666669</v>
      </c>
      <c r="J52" s="7">
        <v>0</v>
      </c>
      <c r="K52" s="112" t="str">
        <f t="shared" si="0"/>
        <v>4037/4038</v>
      </c>
      <c r="L52" s="22" t="str">
        <f>VLOOKUP(A52,'Trips&amp;Operators'!$C$1:$E$10000,3,FALSE)</f>
        <v>RICHARDSON</v>
      </c>
      <c r="M52" s="6">
        <f t="shared" si="1"/>
        <v>2.7974537042609882E-2</v>
      </c>
      <c r="N52" s="7">
        <f t="shared" si="2"/>
        <v>40.28333334135823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08:18:46-0600',mode:absolute,to:'2016-11-04 11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2" s="52" t="str">
        <f t="shared" si="6"/>
        <v>N</v>
      </c>
      <c r="X52" s="177">
        <f t="shared" si="7"/>
        <v>1</v>
      </c>
      <c r="Y52" s="67">
        <f t="shared" si="8"/>
        <v>23.297499999999999</v>
      </c>
      <c r="Z52" s="67">
        <f t="shared" si="9"/>
        <v>1.5800000000000002E-2</v>
      </c>
      <c r="AA52" s="67">
        <f t="shared" si="10"/>
        <v>23.281700000000001</v>
      </c>
      <c r="AB52" s="64" t="str">
        <f>VLOOKUP(A52,Enforcements!$C$7:$K$21,8,0)</f>
        <v>Bulletin (2)</v>
      </c>
      <c r="AC52" s="60" t="str">
        <f>VLOOKUP(A52,Enforcements!$C$7:$E$21,3,0)</f>
        <v>GRADE CROSSING</v>
      </c>
      <c r="AD52" s="61" t="str">
        <f t="shared" si="11"/>
        <v>0140-04</v>
      </c>
      <c r="AE52" s="91" t="str">
        <f t="shared" si="12"/>
        <v>aws s3 cp s3://rtdc.mdm.uploadarchive.raw/RTDC4037/ "%USERPROFILE%\AppData\Local\Temp\OnboardLogs"\RTDC4037\2016-11-04 --exclude "*" --recursive --include "*20161104*" &amp; "%USERPROFILE%\Documents\GitHub\mrs-test-scripts\Headless Mode &amp; Sideloading\WalkAndUnGZ.bat" "%USERPROFILE%\AppData\Local\Temp\OnboardLogs"\RTDC4037\2016-11-04 &amp; aws s3 cp s3://rtdc.mdm.uploadarchive.raw/RTDC4037/ "%USERPROFILE%\AppData\Local\Temp\OnboardLogs"\RTDC4037\2016-11-05 --exclude "*" --recursive --include "*20161105*" &amp; "%USERPROFILE%\Documents\GitHub\mrs-test-scripts\Headless Mode &amp; Sideloading\WalkAndUnGZ.bat" "%USERPROFILE%\AppData\Local\Temp\OnboardLogs"\RTDC4037\2016-11-05</v>
      </c>
      <c r="AF52" s="88" t="str">
        <f t="shared" si="13"/>
        <v>"C:\Program Files (x86)\AstroGrep\AstroGrep.exe" /spath="%USERPROFILE%\AppData\Local\Temp\OnboardLogs" /stypes="app*4037*20161104*" /stext=" 16:.+((SYSTEM_STATE.+slice.+state.+changed )|(ment ac)|(system.+state.+changed )|(\[timeout)|(PRM\|1\|D)|(kpr)|(kdp)|(\|loc)|(penalty))"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140-04 --locoid 4037 --swversion DE.1.0.8.0 --startMP 204:232975 --initTime 2016-11-04T09:18:46 --startdatetime 2016-11-04T09:26:55 --delay 1 --endMP 204:158 --enddatetime 2016-11-04T10:07:12 --enforcementcount 0 &gt;&gt;C:\Users\stu\Documents\GitHub\eaglep3-reporting\EC\2016-11-04-refined-times.txt</v>
      </c>
      <c r="AI52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{"issue":{"subject":"","project_id":79,"tracker_id":40,"status_id":1,"priority_id":2,"assigned_to_id":23,"start_date":"2016-11-04","description":"","custom_fields":[{"id":1,"name":"Subdivision","value":"EC"},{"id":4,"name":"Milepost","value":"0.0158"},{"id":17,"name":"Train ID","value":"140-04"},{"id":16,"name":"Locomotive ID","value":"4037"},{"id":130,"name":"Impact","value":""},{"id":150,"name":"Time of Event (Mountain Time)","value":"10:07:12"},{"id":151,"name":"Denver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484</v>
      </c>
      <c r="B53" s="7">
        <v>4003</v>
      </c>
      <c r="C53" s="22" t="s">
        <v>239</v>
      </c>
      <c r="D53" s="22" t="s">
        <v>226</v>
      </c>
      <c r="E53" s="13">
        <v>42678.360717592594</v>
      </c>
      <c r="F53" s="13">
        <v>42678.364942129629</v>
      </c>
      <c r="G53" s="7">
        <v>1</v>
      </c>
      <c r="H53" s="22" t="s">
        <v>252</v>
      </c>
      <c r="I53" s="13">
        <v>42678.389317129629</v>
      </c>
      <c r="J53" s="7">
        <v>0</v>
      </c>
      <c r="K53" s="112" t="str">
        <f t="shared" si="0"/>
        <v>4003/4004</v>
      </c>
      <c r="L53" s="22" t="str">
        <f>VLOOKUP(A53,'Trips&amp;Operators'!$C$1:$E$10000,3,FALSE)</f>
        <v>MAELZER</v>
      </c>
      <c r="M53" s="6">
        <f t="shared" si="1"/>
        <v>2.4375000000873115E-2</v>
      </c>
      <c r="N53" s="7">
        <f t="shared" si="2"/>
        <v>35.100000001257285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07:39:26-0600',mode:absolute,to:'2016-11-04 10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3" s="52" t="str">
        <f t="shared" si="6"/>
        <v>N</v>
      </c>
      <c r="X53" s="177">
        <f t="shared" si="7"/>
        <v>1</v>
      </c>
      <c r="Y53" s="67">
        <f t="shared" si="8"/>
        <v>4.4900000000000002E-2</v>
      </c>
      <c r="Z53" s="67">
        <f t="shared" si="9"/>
        <v>23.328900000000001</v>
      </c>
      <c r="AA53" s="67">
        <f t="shared" si="10"/>
        <v>23.284000000000002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11"/>
        <v>0141-04</v>
      </c>
      <c r="AE53" s="91" t="str">
        <f t="shared" si="12"/>
        <v>aws s3 cp s3://rtdc.mdm.uploadarchive.raw/RTDC4003/ "%USERPROFILE%\AppData\Local\Temp\OnboardLogs"\RTDC4003\2016-11-04 --exclude "*" --recursive --include "*20161104*" &amp; "%USERPROFILE%\Documents\GitHub\mrs-test-scripts\Headless Mode &amp; Sideloading\WalkAndUnGZ.bat" "%USERPROFILE%\AppData\Local\Temp\OnboardLogs"\RTDC4003\2016-11-04 &amp; 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</v>
      </c>
      <c r="AF53" s="88" t="str">
        <f t="shared" si="13"/>
        <v>"C:\Program Files (x86)\AstroGrep\AstroGrep.exe" /spath="%USERPROFILE%\AppData\Local\Temp\OnboardLogs" /stypes="app*4003*20161104*" /stext=" 15:.+((SYSTEM_STATE.+slice.+state.+changed )|(ment ac)|(system.+state.+changed )|(\[timeout)|(PRM\|1\|D)|(kpr)|(kdp)|(\|loc)|(penalty))"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141-04 --locoid 4003 --swversion DE.1.0.8.0 --startMP 204:449 --initTime 2016-11-04T08:39:26 --startdatetime 2016-11-04T08:45:31 --delay 1 --endMP 204:233289 --enddatetime 2016-11-04T09:20:37 --enforcementcount 0 &gt;&gt;C:\Users\stu\Documents\GitHub\eaglep3-reporting\EC\2016-11-04-refined-times.txt</v>
      </c>
      <c r="AI53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{"issue":{"subject":"","project_id":79,"tracker_id":40,"status_id":1,"priority_id":2,"assigned_to_id":23,"start_date":"2016-11-04","description":"","custom_fields":[{"id":1,"name":"Subdivision","value":"EC"},{"id":4,"name":"Milepost","value":"23.3289"},{"id":17,"name":"Train ID","value":"141-04"},{"id":16,"name":"Locomotive ID","value":"4003"},{"id":130,"name":"Impact","value":""},{"id":150,"name":"Time of Event (Mountain Time)","value":"09:20:37"},{"id":151,"name":"Denver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29" customFormat="1" x14ac:dyDescent="0.25">
      <c r="A54" s="37" t="s">
        <v>491</v>
      </c>
      <c r="B54" s="7">
        <v>4004</v>
      </c>
      <c r="C54" s="22" t="s">
        <v>239</v>
      </c>
      <c r="D54" s="22" t="s">
        <v>651</v>
      </c>
      <c r="E54" s="13">
        <v>42678.400300925925</v>
      </c>
      <c r="F54" s="13">
        <v>42678.40388888889</v>
      </c>
      <c r="G54" s="7">
        <v>1</v>
      </c>
      <c r="H54" s="22" t="s">
        <v>652</v>
      </c>
      <c r="I54" s="13">
        <v>42678.429606481484</v>
      </c>
      <c r="J54" s="7">
        <v>0</v>
      </c>
      <c r="K54" s="112" t="str">
        <f t="shared" si="0"/>
        <v>4003/4004</v>
      </c>
      <c r="L54" s="22" t="str">
        <f>VLOOKUP(A54,'Trips&amp;Operators'!$C$1:$E$10000,3,FALSE)</f>
        <v>MAELZER</v>
      </c>
      <c r="M54" s="6">
        <f t="shared" si="1"/>
        <v>2.5717592594446614E-2</v>
      </c>
      <c r="N54" s="7">
        <f t="shared" si="2"/>
        <v>37.033333336003125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08:36:26-0600',mode:absolute,to:'2016-11-04 11:18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4" s="52" t="str">
        <f t="shared" si="6"/>
        <v>N</v>
      </c>
      <c r="X54" s="177">
        <f t="shared" si="7"/>
        <v>1</v>
      </c>
      <c r="Y54" s="67">
        <f t="shared" si="8"/>
        <v>23.297899999999998</v>
      </c>
      <c r="Z54" s="67">
        <f t="shared" si="9"/>
        <v>1.2999999999999999E-2</v>
      </c>
      <c r="AA54" s="67">
        <f t="shared" si="10"/>
        <v>23.284899999999997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11"/>
        <v>0142-04</v>
      </c>
      <c r="AE54" s="91" t="str">
        <f t="shared" si="12"/>
        <v>aws s3 cp s3://rtdc.mdm.uploadarchive.raw/RTDC4004/ "%USERPROFILE%\AppData\Local\Temp\OnboardLogs"\RTDC4004\2016-11-04 --exclude "*" --recursive --include "*20161104*" &amp; "%USERPROFILE%\Documents\GitHub\mrs-test-scripts\Headless Mode &amp; Sideloading\WalkAndUnGZ.bat" "%USERPROFILE%\AppData\Local\Temp\OnboardLogs"\RTDC4004\2016-11-04 &amp; 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</v>
      </c>
      <c r="AF54" s="88" t="str">
        <f t="shared" si="13"/>
        <v>"C:\Program Files (x86)\AstroGrep\AstroGrep.exe" /spath="%USERPROFILE%\AppData\Local\Temp\OnboardLogs" /stypes="app*4004*20161104*" /stext=" 16:.+((SYSTEM_STATE.+slice.+state.+changed )|(ment ac)|(system.+state.+changed )|(\[timeout)|(PRM\|1\|D)|(kpr)|(kdp)|(\|loc)|(penalty))"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142-04 --locoid 4004 --swversion DE.1.0.8.0 --startMP 204:232979 --initTime 2016-11-04T09:36:26 --startdatetime 2016-11-04T09:41:36 --delay 1 --endMP 204:130 --enddatetime 2016-11-04T10:18:38 --enforcementcount 0 &gt;&gt;C:\Users\stu\Documents\GitHub\eaglep3-reporting\EC\2016-11-04-refined-times.txt</v>
      </c>
      <c r="AI54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{"issue":{"subject":"","project_id":79,"tracker_id":40,"status_id":1,"priority_id":2,"assigned_to_id":23,"start_date":"2016-11-04","description":"","custom_fields":[{"id":1,"name":"Subdivision","value":"EC"},{"id":4,"name":"Milepost","value":"0.013"},{"id":17,"name":"Train ID","value":"142-04"},{"id":16,"name":"Locomotive ID","value":"4004"},{"id":130,"name":"Impact","value":""},{"id":150,"name":"Time of Event (Mountain Time)","value":"10:18:38"},{"id":151,"name":"Denver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29" customFormat="1" x14ac:dyDescent="0.25">
      <c r="A55" s="37" t="s">
        <v>486</v>
      </c>
      <c r="B55" s="7">
        <v>4007</v>
      </c>
      <c r="C55" s="22" t="s">
        <v>239</v>
      </c>
      <c r="D55" s="22" t="s">
        <v>212</v>
      </c>
      <c r="E55" s="13">
        <v>42678.367951388886</v>
      </c>
      <c r="F55" s="13">
        <v>42678.375659722224</v>
      </c>
      <c r="G55" s="7">
        <v>1</v>
      </c>
      <c r="H55" s="22" t="s">
        <v>646</v>
      </c>
      <c r="I55" s="13">
        <v>42678.401296296295</v>
      </c>
      <c r="J55" s="7">
        <v>0</v>
      </c>
      <c r="K55" s="112" t="str">
        <f t="shared" si="0"/>
        <v>4007/4008</v>
      </c>
      <c r="L55" s="22" t="str">
        <f>VLOOKUP(A55,'Trips&amp;Operators'!$C$1:$E$10000,3,FALSE)</f>
        <v>NELSON</v>
      </c>
      <c r="M55" s="6">
        <f t="shared" si="1"/>
        <v>2.5636574071540963E-2</v>
      </c>
      <c r="N55" s="7">
        <f t="shared" si="2"/>
        <v>36.916666663018987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07:49:51-0600',mode:absolute,to:'2016-11-04 10:37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5" s="52" t="str">
        <f t="shared" si="6"/>
        <v>N</v>
      </c>
      <c r="X55" s="177">
        <f t="shared" si="7"/>
        <v>1</v>
      </c>
      <c r="Y55" s="67">
        <f t="shared" si="8"/>
        <v>4.5100000000000001E-2</v>
      </c>
      <c r="Z55" s="67">
        <f t="shared" si="9"/>
        <v>23.327200000000001</v>
      </c>
      <c r="AA55" s="67">
        <f t="shared" si="10"/>
        <v>23.2821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1"/>
        <v>0143-04</v>
      </c>
      <c r="AE55" s="91" t="str">
        <f t="shared" si="12"/>
        <v>aws s3 cp s3://rtdc.mdm.uploadarchive.raw/RTDC4007/ "%USERPROFILE%\AppData\Local\Temp\OnboardLogs"\RTDC4007\2016-11-04 --exclude "*" --recursive --include "*20161104*" &amp; "%USERPROFILE%\Documents\GitHub\mrs-test-scripts\Headless Mode &amp; Sideloading\WalkAndUnGZ.bat" "%USERPROFILE%\AppData\Local\Temp\OnboardLogs"\RTDC4007\2016-11-04 &amp; aws s3 cp s3://rtdc.mdm.uploadarchive.raw/RTDC4007/ "%USERPROFILE%\AppData\Local\Temp\OnboardLogs"\RTDC4007\2016-11-05 --exclude "*" --recursive --include "*20161105*" &amp; "%USERPROFILE%\Documents\GitHub\mrs-test-scripts\Headless Mode &amp; Sideloading\WalkAndUnGZ.bat" "%USERPROFILE%\AppData\Local\Temp\OnboardLogs"\RTDC4007\2016-11-05</v>
      </c>
      <c r="AF55" s="88" t="str">
        <f t="shared" si="13"/>
        <v>"C:\Program Files (x86)\AstroGrep\AstroGrep.exe" /spath="%USERPROFILE%\AppData\Local\Temp\OnboardLogs" /stypes="app*4007*20161104*" /stext=" 15:.+((SYSTEM_STATE.+slice.+state.+changed )|(ment ac)|(system.+state.+changed )|(\[timeout)|(PRM\|1\|D)|(kpr)|(kdp)|(\|loc)|(penalty))"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143-04 --locoid 4007 --swversion DE.1.0.8.0 --startMP 204:451 --initTime 2016-11-04T08:49:51 --startdatetime 2016-11-04T09:00:57 --delay 1 --endMP 204:233272 --enddatetime 2016-11-04T09:37:52 --enforcementcount 0 &gt;&gt;C:\Users\stu\Documents\GitHub\eaglep3-reporting\EC\2016-11-04-refined-times.txt</v>
      </c>
      <c r="AI55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{"issue":{"subject":"","project_id":79,"tracker_id":40,"status_id":1,"priority_id":2,"assigned_to_id":23,"start_date":"2016-11-04","description":"","custom_fields":[{"id":1,"name":"Subdivision","value":"EC"},{"id":4,"name":"Milepost","value":"23.3272"},{"id":17,"name":"Train ID","value":"143-04"},{"id":16,"name":"Locomotive ID","value":"4007"},{"id":130,"name":"Impact","value":""},{"id":150,"name":"Time of Event (Mountain Time)","value":"09:37:52"},{"id":151,"name":"Denver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495</v>
      </c>
      <c r="B56" s="7">
        <v>4008</v>
      </c>
      <c r="C56" s="22" t="s">
        <v>239</v>
      </c>
      <c r="D56" s="22" t="s">
        <v>238</v>
      </c>
      <c r="E56" s="13">
        <v>42678.411550925928</v>
      </c>
      <c r="F56" s="13">
        <v>42678.414976851855</v>
      </c>
      <c r="G56" s="7">
        <v>1</v>
      </c>
      <c r="H56" s="22" t="s">
        <v>205</v>
      </c>
      <c r="I56" s="13">
        <v>42678.443287037036</v>
      </c>
      <c r="J56" s="7">
        <v>0</v>
      </c>
      <c r="K56" s="112" t="str">
        <f t="shared" si="0"/>
        <v>4007/4008</v>
      </c>
      <c r="L56" s="22" t="str">
        <f>VLOOKUP(A56,'Trips&amp;Operators'!$C$1:$E$10000,3,FALSE)</f>
        <v>NELSON</v>
      </c>
      <c r="M56" s="6">
        <f t="shared" si="1"/>
        <v>2.8310185181908309E-2</v>
      </c>
      <c r="N56" s="7">
        <f t="shared" si="2"/>
        <v>40.766666661947966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08:52:38-0600',mode:absolute,to:'2016-11-04 11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23.297799999999999</v>
      </c>
      <c r="Z56" s="67">
        <f t="shared" si="9"/>
        <v>1.43E-2</v>
      </c>
      <c r="AA56" s="67">
        <f t="shared" si="10"/>
        <v>23.2835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11"/>
        <v>0144-04</v>
      </c>
      <c r="AE56" s="91" t="str">
        <f t="shared" si="12"/>
        <v>aws s3 cp s3://rtdc.mdm.uploadarchive.raw/RTDC4008/ "%USERPROFILE%\AppData\Local\Temp\OnboardLogs"\RTDC4008\2016-11-04 --exclude "*" --recursive --include "*20161104*" &amp; "%USERPROFILE%\Documents\GitHub\mrs-test-scripts\Headless Mode &amp; Sideloading\WalkAndUnGZ.bat" "%USERPROFILE%\AppData\Local\Temp\OnboardLogs"\RTDC4008\2016-11-04 &amp; aws s3 cp s3://rtdc.mdm.uploadarchive.raw/RTDC4008/ "%USERPROFILE%\AppData\Local\Temp\OnboardLogs"\RTDC4008\2016-11-05 --exclude "*" --recursive --include "*20161105*" &amp; "%USERPROFILE%\Documents\GitHub\mrs-test-scripts\Headless Mode &amp; Sideloading\WalkAndUnGZ.bat" "%USERPROFILE%\AppData\Local\Temp\OnboardLogs"\RTDC4008\2016-11-05</v>
      </c>
      <c r="AF56" s="88" t="str">
        <f t="shared" si="13"/>
        <v>"C:\Program Files (x86)\AstroGrep\AstroGrep.exe" /spath="%USERPROFILE%\AppData\Local\Temp\OnboardLogs" /stypes="app*4008*20161104*" /stext=" 16:.+((SYSTEM_STATE.+slice.+state.+changed )|(ment ac)|(system.+state.+changed )|(\[timeout)|(PRM\|1\|D)|(kpr)|(kdp)|(\|loc)|(penalty))"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144-04 --locoid 4008 --swversion DE.1.0.8.0 --startMP 204:232978 --initTime 2016-11-04T09:52:38 --startdatetime 2016-11-04T09:57:34 --delay 1 --endMP 204:143 --enddatetime 2016-11-04T10:38:20 --enforcementcount 0 &gt;&gt;C:\Users\stu\Documents\GitHub\eaglep3-reporting\EC\2016-11-04-refined-times.txt</v>
      </c>
      <c r="AI56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{"issue":{"subject":"","project_id":79,"tracker_id":40,"status_id":1,"priority_id":2,"assigned_to_id":23,"start_date":"2016-11-04","description":"","custom_fields":[{"id":1,"name":"Subdivision","value":"EC"},{"id":4,"name":"Milepost","value":"0.0143"},{"id":17,"name":"Train ID","value":"144-04"},{"id":16,"name":"Locomotive ID","value":"4008"},{"id":130,"name":"Impact","value":""},{"id":150,"name":"Time of Event (Mountain Time)","value":"10:38:20"},{"id":151,"name":"Denver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416</v>
      </c>
      <c r="B57" s="7">
        <v>4022</v>
      </c>
      <c r="C57" s="22" t="s">
        <v>239</v>
      </c>
      <c r="D57" s="22" t="s">
        <v>208</v>
      </c>
      <c r="E57" s="13">
        <v>42678.381631944445</v>
      </c>
      <c r="F57" s="13">
        <v>42678.385717592595</v>
      </c>
      <c r="G57" s="7">
        <v>5</v>
      </c>
      <c r="H57" s="22" t="s">
        <v>312</v>
      </c>
      <c r="I57" s="13">
        <v>42678.411782407406</v>
      </c>
      <c r="J57" s="7">
        <v>0</v>
      </c>
      <c r="K57" s="112" t="str">
        <f t="shared" si="0"/>
        <v>4021/4022</v>
      </c>
      <c r="L57" s="22" t="str">
        <f>VLOOKUP(A57,'Trips&amp;Operators'!$C$1:$E$10000,3,FALSE)</f>
        <v>HOLCOMB</v>
      </c>
      <c r="M57" s="6">
        <f t="shared" si="1"/>
        <v>2.6064814810524695E-2</v>
      </c>
      <c r="N57" s="7">
        <f t="shared" si="2"/>
        <v>37.53333332715556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08:09:33-0600',mode:absolute,to:'2016-11-04 10:52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4.5499999999999999E-2</v>
      </c>
      <c r="Z57" s="67">
        <f t="shared" si="9"/>
        <v>23.3308</v>
      </c>
      <c r="AA57" s="67">
        <f t="shared" si="10"/>
        <v>23.285299999999999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11"/>
        <v>0145-04</v>
      </c>
      <c r="AE57" s="91" t="str">
        <f t="shared" si="12"/>
        <v>aws s3 cp s3://rtdc.mdm.uploadarchive.raw/RTDC4022/ "%USERPROFILE%\AppData\Local\Temp\OnboardLogs"\RTDC4022\2016-11-04 --exclude "*" --recursive --include "*20161104*" &amp; "%USERPROFILE%\Documents\GitHub\mrs-test-scripts\Headless Mode &amp; Sideloading\WalkAndUnGZ.bat" "%USERPROFILE%\AppData\Local\Temp\OnboardLogs"\RTDC4022\2016-11-04 &amp; aws s3 cp s3://rtdc.mdm.uploadarchive.raw/RTDC4022/ "%USERPROFILE%\AppData\Local\Temp\OnboardLogs"\RTDC4022\2016-11-05 --exclude "*" --recursive --include "*20161105*" &amp; "%USERPROFILE%\Documents\GitHub\mrs-test-scripts\Headless Mode &amp; Sideloading\WalkAndUnGZ.bat" "%USERPROFILE%\AppData\Local\Temp\OnboardLogs"\RTDC4022\2016-11-05</v>
      </c>
      <c r="AF57" s="88" t="str">
        <f t="shared" si="13"/>
        <v>"C:\Program Files (x86)\AstroGrep\AstroGrep.exe" /spath="%USERPROFILE%\AppData\Local\Temp\OnboardLogs" /stypes="app*4022*20161104*" /stext=" 15:.+((SYSTEM_STATE.+slice.+state.+changed )|(ment ac)|(system.+state.+changed )|(\[timeout)|(PRM\|1\|D)|(kpr)|(kdp)|(\|loc)|(penalty))"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145-04 --locoid 4022 --swversion DE.1.0.8.0 --startMP 204:455 --initTime 2016-11-04T09:09:33 --startdatetime 2016-11-04T09:15:26 --delay 5 --endMP 204:233308 --enddatetime 2016-11-04T09:52:58 --enforcementcount 0 &gt;&gt;C:\Users\stu\Documents\GitHub\eaglep3-reporting\EC\2016-11-04-refined-times.txt</v>
      </c>
      <c r="AI57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{"issue":{"subject":"","project_id":79,"tracker_id":40,"status_id":1,"priority_id":2,"assigned_to_id":23,"start_date":"2016-11-04","description":"","custom_fields":[{"id":1,"name":"Subdivision","value":"EC"},{"id":4,"name":"Milepost","value":"23.3308"},{"id":17,"name":"Train ID","value":"145-04"},{"id":16,"name":"Locomotive ID","value":"4022"},{"id":130,"name":"Impact","value":""},{"id":150,"name":"Time of Event (Mountain Time)","value":"09:52:58"},{"id":151,"name":"Denver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496</v>
      </c>
      <c r="B58" s="7">
        <v>4021</v>
      </c>
      <c r="C58" s="22" t="s">
        <v>239</v>
      </c>
      <c r="D58" s="22" t="s">
        <v>651</v>
      </c>
      <c r="E58" s="13">
        <v>42678.413564814815</v>
      </c>
      <c r="F58" s="13">
        <v>42678.425127314818</v>
      </c>
      <c r="G58" s="7">
        <v>1</v>
      </c>
      <c r="H58" s="22" t="s">
        <v>205</v>
      </c>
      <c r="I58" s="13">
        <v>42678.45484953704</v>
      </c>
      <c r="J58" s="7">
        <v>0</v>
      </c>
      <c r="K58" s="112" t="str">
        <f t="shared" si="0"/>
        <v>4021/4022</v>
      </c>
      <c r="L58" s="22" t="str">
        <f>VLOOKUP(A58,'Trips&amp;Operators'!$C$1:$E$10000,3,FALSE)</f>
        <v>HOLCOMB</v>
      </c>
      <c r="M58" s="6">
        <f t="shared" si="1"/>
        <v>2.9722222221607808E-2</v>
      </c>
      <c r="N58" s="7">
        <f t="shared" si="2"/>
        <v>42.799999999115244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08:55:32-0600',mode:absolute,to:'2016-11-04 11:54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23.297899999999998</v>
      </c>
      <c r="Z58" s="67">
        <f t="shared" si="9"/>
        <v>1.43E-2</v>
      </c>
      <c r="AA58" s="67">
        <f t="shared" si="10"/>
        <v>23.2836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11"/>
        <v>0146-04</v>
      </c>
      <c r="AE58" s="91" t="str">
        <f t="shared" si="12"/>
        <v>aws s3 cp s3://rtdc.mdm.uploadarchive.raw/RTDC4021/ "%USERPROFILE%\AppData\Local\Temp\OnboardLogs"\RTDC4021\2016-11-04 --exclude "*" --recursive --include "*20161104*" &amp; "%USERPROFILE%\Documents\GitHub\mrs-test-scripts\Headless Mode &amp; Sideloading\WalkAndUnGZ.bat" "%USERPROFILE%\AppData\Local\Temp\OnboardLogs"\RTDC4021\2016-11-04 &amp; aws s3 cp s3://rtdc.mdm.uploadarchive.raw/RTDC4021/ "%USERPROFILE%\AppData\Local\Temp\OnboardLogs"\RTDC4021\2016-11-05 --exclude "*" --recursive --include "*20161105*" &amp; "%USERPROFILE%\Documents\GitHub\mrs-test-scripts\Headless Mode &amp; Sideloading\WalkAndUnGZ.bat" "%USERPROFILE%\AppData\Local\Temp\OnboardLogs"\RTDC4021\2016-11-05</v>
      </c>
      <c r="AF58" s="88" t="str">
        <f t="shared" si="13"/>
        <v>"C:\Program Files (x86)\AstroGrep\AstroGrep.exe" /spath="%USERPROFILE%\AppData\Local\Temp\OnboardLogs" /stypes="app*4021*20161104*" /stext=" 16:.+((SYSTEM_STATE.+slice.+state.+changed )|(ment ac)|(system.+state.+changed )|(\[timeout)|(PRM\|1\|D)|(kpr)|(kdp)|(\|loc)|(penalty))"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146-04 --locoid 4021 --swversion DE.1.0.8.0 --startMP 204:232979 --initTime 2016-11-04T09:55:32 --startdatetime 2016-11-04T10:12:11 --delay 1 --endMP 204:143 --enddatetime 2016-11-04T10:54:59 --enforcementcount 0 &gt;&gt;C:\Users\stu\Documents\GitHub\eaglep3-reporting\EC\2016-11-04-refined-times.txt</v>
      </c>
      <c r="AI58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{"issue":{"subject":"","project_id":79,"tracker_id":40,"status_id":1,"priority_id":2,"assigned_to_id":23,"start_date":"2016-11-04","description":"","custom_fields":[{"id":1,"name":"Subdivision","value":"EC"},{"id":4,"name":"Milepost","value":"0.0143"},{"id":17,"name":"Train ID","value":"146-04"},{"id":16,"name":"Locomotive ID","value":"4021"},{"id":130,"name":"Impact","value":""},{"id":150,"name":"Time of Event (Mountain Time)","value":"10:54:59"},{"id":151,"name":"Denver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490</v>
      </c>
      <c r="B59" s="7">
        <v>4029</v>
      </c>
      <c r="C59" s="22" t="s">
        <v>239</v>
      </c>
      <c r="D59" s="22" t="s">
        <v>653</v>
      </c>
      <c r="E59" s="13">
        <v>42678.393888888888</v>
      </c>
      <c r="F59" s="13">
        <v>42678.396354166667</v>
      </c>
      <c r="G59" s="7">
        <v>1</v>
      </c>
      <c r="H59" s="22" t="s">
        <v>368</v>
      </c>
      <c r="I59" s="13">
        <v>42678.4221412037</v>
      </c>
      <c r="J59" s="7">
        <v>0</v>
      </c>
      <c r="K59" s="112" t="str">
        <f t="shared" si="0"/>
        <v>4029/4030</v>
      </c>
      <c r="L59" s="22" t="str">
        <f>VLOOKUP(A59,'Trips&amp;Operators'!$C$1:$E$10000,3,FALSE)</f>
        <v>LOPES</v>
      </c>
      <c r="M59" s="6">
        <f t="shared" si="1"/>
        <v>2.5787037033296656E-2</v>
      </c>
      <c r="N59" s="7">
        <f t="shared" si="2"/>
        <v>37.133333327947184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08:27:12-0600',mode:absolute,to:'2016-11-04 11:07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4.7699999999999999E-2</v>
      </c>
      <c r="Z59" s="67">
        <f t="shared" si="9"/>
        <v>23.328199999999999</v>
      </c>
      <c r="AA59" s="67">
        <f t="shared" si="10"/>
        <v>23.2805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11"/>
        <v>0147-04</v>
      </c>
      <c r="AE59" s="91" t="str">
        <f t="shared" si="12"/>
        <v>aws s3 cp s3://rtdc.mdm.uploadarchive.raw/RTDC4029/ "%USERPROFILE%\AppData\Local\Temp\OnboardLogs"\RTDC4029\2016-11-04 --exclude "*" --recursive --include "*20161104*" &amp; "%USERPROFILE%\Documents\GitHub\mrs-test-scripts\Headless Mode &amp; Sideloading\WalkAndUnGZ.bat" "%USERPROFILE%\AppData\Local\Temp\OnboardLogs"\RTDC4029\2016-11-04 &amp; aws s3 cp s3://rtdc.mdm.uploadarchive.raw/RTDC4029/ "%USERPROFILE%\AppData\Local\Temp\OnboardLogs"\RTDC4029\2016-11-05 --exclude "*" --recursive --include "*20161105*" &amp; "%USERPROFILE%\Documents\GitHub\mrs-test-scripts\Headless Mode &amp; Sideloading\WalkAndUnGZ.bat" "%USERPROFILE%\AppData\Local\Temp\OnboardLogs"\RTDC4029\2016-11-05</v>
      </c>
      <c r="AF59" s="88" t="str">
        <f t="shared" si="13"/>
        <v>"C:\Program Files (x86)\AstroGrep\AstroGrep.exe" /spath="%USERPROFILE%\AppData\Local\Temp\OnboardLogs" /stypes="app*4029*20161104*" /stext=" 16:.+((SYSTEM_STATE.+slice.+state.+changed )|(ment ac)|(system.+state.+changed )|(\[timeout)|(PRM\|1\|D)|(kpr)|(kdp)|(\|loc)|(penalty))"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147-04 --locoid 4029 --swversion DE.1.0.8.0 --startMP 204:477 --initTime 2016-11-04T09:27:12 --startdatetime 2016-11-04T09:30:45 --delay 1 --endMP 204:233282 --enddatetime 2016-11-04T10:07:53 --enforcementcount 0 &gt;&gt;C:\Users\stu\Documents\GitHub\eaglep3-reporting\EC\2016-11-04-refined-times.txt</v>
      </c>
      <c r="AI59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{"issue":{"subject":"","project_id":79,"tracker_id":40,"status_id":1,"priority_id":2,"assigned_to_id":23,"start_date":"2016-11-04","description":"","custom_fields":[{"id":1,"name":"Subdivision","value":"EC"},{"id":4,"name":"Milepost","value":"23.3282"},{"id":17,"name":"Train ID","value":"147-04"},{"id":16,"name":"Locomotive ID","value":"4029"},{"id":130,"name":"Impact","value":""},{"id":150,"name":"Time of Event (Mountain Time)","value":"10:07:53"},{"id":151,"name":"Denver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497</v>
      </c>
      <c r="B60" s="7">
        <v>4030</v>
      </c>
      <c r="C60" s="22" t="s">
        <v>239</v>
      </c>
      <c r="D60" s="22" t="s">
        <v>382</v>
      </c>
      <c r="E60" s="13">
        <v>42678.425578703704</v>
      </c>
      <c r="F60" s="13">
        <v>42678.435185185182</v>
      </c>
      <c r="G60" s="7">
        <v>7</v>
      </c>
      <c r="H60" s="22" t="s">
        <v>654</v>
      </c>
      <c r="I60" s="13">
        <v>42678.462673611109</v>
      </c>
      <c r="J60" s="7">
        <v>0</v>
      </c>
      <c r="K60" s="112" t="str">
        <f t="shared" si="0"/>
        <v>4029/4030</v>
      </c>
      <c r="L60" s="22" t="str">
        <f>VLOOKUP(A60,'Trips&amp;Operators'!$C$1:$E$10000,3,FALSE)</f>
        <v>LOPES</v>
      </c>
      <c r="M60" s="6">
        <f t="shared" si="1"/>
        <v>2.7488425927003846E-2</v>
      </c>
      <c r="N60" s="7">
        <f t="shared" si="2"/>
        <v>39.583333334885538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09:12:50-0600',mode:absolute,to:'2016-11-04 12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0" s="52" t="str">
        <f t="shared" si="6"/>
        <v>N</v>
      </c>
      <c r="X60" s="177">
        <f t="shared" si="7"/>
        <v>1</v>
      </c>
      <c r="Y60" s="67">
        <f t="shared" si="8"/>
        <v>23.2959</v>
      </c>
      <c r="Z60" s="67">
        <f t="shared" si="9"/>
        <v>1.72E-2</v>
      </c>
      <c r="AA60" s="67">
        <f t="shared" si="10"/>
        <v>23.278700000000001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1"/>
        <v>0148-04</v>
      </c>
      <c r="AE60" s="91" t="str">
        <f t="shared" si="12"/>
        <v>aws s3 cp s3://rtdc.mdm.uploadarchive.raw/RTDC4030/ "%USERPROFILE%\AppData\Local\Temp\OnboardLogs"\RTDC4030\2016-11-04 --exclude "*" --recursive --include "*20161104*" &amp; "%USERPROFILE%\Documents\GitHub\mrs-test-scripts\Headless Mode &amp; Sideloading\WalkAndUnGZ.bat" "%USERPROFILE%\AppData\Local\Temp\OnboardLogs"\RTDC4030\2016-11-04 &amp; aws s3 cp s3://rtdc.mdm.uploadarchive.raw/RTDC4030/ "%USERPROFILE%\AppData\Local\Temp\OnboardLogs"\RTDC4030\2016-11-05 --exclude "*" --recursive --include "*20161105*" &amp; "%USERPROFILE%\Documents\GitHub\mrs-test-scripts\Headless Mode &amp; Sideloading\WalkAndUnGZ.bat" "%USERPROFILE%\AppData\Local\Temp\OnboardLogs"\RTDC4030\2016-11-05</v>
      </c>
      <c r="AF60" s="88" t="str">
        <f t="shared" si="13"/>
        <v>"C:\Program Files (x86)\AstroGrep\AstroGrep.exe" /spath="%USERPROFILE%\AppData\Local\Temp\OnboardLogs" /stypes="app*4030*20161104*" /stext=" 17:.+((SYSTEM_STATE.+slice.+state.+changed )|(ment ac)|(system.+state.+changed )|(\[timeout)|(PRM\|1\|D)|(kpr)|(kdp)|(\|loc)|(penalty))"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148-04 --locoid 4030 --swversion DE.1.0.8.0 --startMP 204:232959 --initTime 2016-11-04T10:12:50 --startdatetime 2016-11-04T10:26:40 --delay 7 --endMP 204:172 --enddatetime 2016-11-04T11:06:15 --enforcementcount 0 &gt;&gt;C:\Users\stu\Documents\GitHub\eaglep3-reporting\EC\2016-11-04-refined-times.txt</v>
      </c>
      <c r="AI60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{"issue":{"subject":"","project_id":79,"tracker_id":40,"status_id":1,"priority_id":2,"assigned_to_id":23,"start_date":"2016-11-04","description":"","custom_fields":[{"id":1,"name":"Subdivision","value":"EC"},{"id":4,"name":"Milepost","value":"0.0172"},{"id":17,"name":"Train ID","value":"148-04"},{"id":16,"name":"Locomotive ID","value":"4030"},{"id":130,"name":"Impact","value":""},{"id":150,"name":"Time of Event (Mountain Time)","value":"11:06:15"},{"id":151,"name":"Denver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492</v>
      </c>
      <c r="B61" s="7">
        <v>4042</v>
      </c>
      <c r="C61" s="22" t="s">
        <v>239</v>
      </c>
      <c r="D61" s="22" t="s">
        <v>211</v>
      </c>
      <c r="E61" s="13">
        <v>42678.400960648149</v>
      </c>
      <c r="F61" s="13">
        <v>42678.406759259262</v>
      </c>
      <c r="G61" s="7">
        <v>6</v>
      </c>
      <c r="H61" s="22" t="s">
        <v>344</v>
      </c>
      <c r="I61" s="13">
        <v>42678.433831018519</v>
      </c>
      <c r="J61" s="7">
        <v>0</v>
      </c>
      <c r="K61" s="112" t="str">
        <f t="shared" si="0"/>
        <v>4041/4042</v>
      </c>
      <c r="L61" s="22" t="str">
        <f>VLOOKUP(A61,'Trips&amp;Operators'!$C$1:$E$10000,3,FALSE)</f>
        <v>PERKINS</v>
      </c>
      <c r="M61" s="6">
        <f t="shared" si="1"/>
        <v>2.7071759257523809E-2</v>
      </c>
      <c r="N61" s="7">
        <f t="shared" si="2"/>
        <v>38.983333330834284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08:37:23-0600',mode:absolute,to:'2016-11-04 11:24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1" s="52" t="str">
        <f t="shared" si="6"/>
        <v>N</v>
      </c>
      <c r="X61" s="177">
        <f t="shared" si="7"/>
        <v>1</v>
      </c>
      <c r="Y61" s="67">
        <f t="shared" si="8"/>
        <v>4.5999999999999999E-2</v>
      </c>
      <c r="Z61" s="67">
        <f t="shared" si="9"/>
        <v>23.331499999999998</v>
      </c>
      <c r="AA61" s="67">
        <f t="shared" si="10"/>
        <v>23.285499999999999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11"/>
        <v>0149-04</v>
      </c>
      <c r="AE61" s="91" t="str">
        <f t="shared" si="12"/>
        <v>aws s3 cp s3://rtdc.mdm.uploadarchive.raw/RTDC4042/ "%USERPROFILE%\AppData\Local\Temp\OnboardLogs"\RTDC4042\2016-11-04 --exclude "*" --recursive --include "*20161104*" &amp; "%USERPROFILE%\Documents\GitHub\mrs-test-scripts\Headless Mode &amp; Sideloading\WalkAndUnGZ.bat" "%USERPROFILE%\AppData\Local\Temp\OnboardLogs"\RTDC4042\2016-11-04 &amp; aws s3 cp s3://rtdc.mdm.uploadarchive.raw/RTDC4042/ "%USERPROFILE%\AppData\Local\Temp\OnboardLogs"\RTDC4042\2016-11-05 --exclude "*" --recursive --include "*20161105*" &amp; "%USERPROFILE%\Documents\GitHub\mrs-test-scripts\Headless Mode &amp; Sideloading\WalkAndUnGZ.bat" "%USERPROFILE%\AppData\Local\Temp\OnboardLogs"\RTDC4042\2016-11-05</v>
      </c>
      <c r="AF61" s="88" t="str">
        <f t="shared" si="13"/>
        <v>"C:\Program Files (x86)\AstroGrep\AstroGrep.exe" /spath="%USERPROFILE%\AppData\Local\Temp\OnboardLogs" /stypes="app*4042*20161104*" /stext=" 16:.+((SYSTEM_STATE.+slice.+state.+changed )|(ment ac)|(system.+state.+changed )|(\[timeout)|(PRM\|1\|D)|(kpr)|(kdp)|(\|loc)|(penalty))"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149-04 --locoid 4042 --swversion DE.1.0.8.0 --startMP 204:460 --initTime 2016-11-04T09:37:23 --startdatetime 2016-11-04T09:45:44 --delay 6 --endMP 204:233315 --enddatetime 2016-11-04T10:24:43 --enforcementcount 0 &gt;&gt;C:\Users\stu\Documents\GitHub\eaglep3-reporting\EC\2016-11-04-refined-times.txt</v>
      </c>
      <c r="AI61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{"issue":{"subject":"","project_id":79,"tracker_id":40,"status_id":1,"priority_id":2,"assigned_to_id":23,"start_date":"2016-11-04","description":"","custom_fields":[{"id":1,"name":"Subdivision","value":"EC"},{"id":4,"name":"Milepost","value":"23.3315"},{"id":17,"name":"Train ID","value":"149-04"},{"id":16,"name":"Locomotive ID","value":"4042"},{"id":130,"name":"Impact","value":""},{"id":150,"name":"Time of Event (Mountain Time)","value":"10:24:43"},{"id":151,"name":"Denver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418</v>
      </c>
      <c r="B62" s="7">
        <v>4041</v>
      </c>
      <c r="C62" s="22" t="s">
        <v>239</v>
      </c>
      <c r="D62" s="22" t="s">
        <v>339</v>
      </c>
      <c r="E62" s="13">
        <v>42678.437754629631</v>
      </c>
      <c r="F62" s="13">
        <v>42678.4453587963</v>
      </c>
      <c r="G62" s="7">
        <v>0</v>
      </c>
      <c r="H62" s="22" t="s">
        <v>227</v>
      </c>
      <c r="I62" s="13">
        <v>42678.472245370373</v>
      </c>
      <c r="J62" s="7">
        <v>0</v>
      </c>
      <c r="K62" s="112" t="str">
        <f t="shared" si="0"/>
        <v>4041/4042</v>
      </c>
      <c r="L62" s="22" t="str">
        <f>VLOOKUP(A62,'Trips&amp;Operators'!$C$1:$E$10000,3,FALSE)</f>
        <v>PERKINS</v>
      </c>
      <c r="M62" s="6">
        <f t="shared" si="1"/>
        <v>2.6886574072705116E-2</v>
      </c>
      <c r="N62" s="7">
        <f t="shared" si="2"/>
        <v>38.716666664695367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09:30:22-0600',mode:absolute,to:'2016-11-04 12:20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2" s="52" t="str">
        <f t="shared" si="6"/>
        <v>N</v>
      </c>
      <c r="X62" s="177">
        <f t="shared" si="7"/>
        <v>1</v>
      </c>
      <c r="Y62" s="67">
        <f t="shared" si="8"/>
        <v>23.299399999999999</v>
      </c>
      <c r="Z62" s="67">
        <f t="shared" si="9"/>
        <v>1.38E-2</v>
      </c>
      <c r="AA62" s="67">
        <f t="shared" si="10"/>
        <v>23.285599999999999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11"/>
        <v>0150-04</v>
      </c>
      <c r="AE62" s="91" t="str">
        <f t="shared" si="12"/>
        <v>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 &amp; aws s3 cp s3://rtdc.mdm.uploadarchive.raw/RTDC4041/ "%USERPROFILE%\AppData\Local\Temp\OnboardLogs"\RTDC4041\2016-11-05 --exclude "*" --recursive --include "*20161105*" &amp; "%USERPROFILE%\Documents\GitHub\mrs-test-scripts\Headless Mode &amp; Sideloading\WalkAndUnGZ.bat" "%USERPROFILE%\AppData\Local\Temp\OnboardLogs"\RTDC4041\2016-11-05</v>
      </c>
      <c r="AF62" s="88" t="str">
        <f t="shared" si="13"/>
        <v>"C:\Program Files (x86)\AstroGrep\AstroGrep.exe" /spath="%USERPROFILE%\AppData\Local\Temp\OnboardLogs" /stypes="app*4041*20161104*" /stext=" 17:.+((SYSTEM_STATE.+slice.+state.+changed )|(ment ac)|(system.+state.+changed )|(\[timeout)|(PRM\|1\|D)|(kpr)|(kdp)|(\|loc)|(penalty))"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150-04 --locoid 4041 --swversion DE.1.0.8.0 --startMP 204:232994 --initTime 2016-11-04T10:30:22 --startdatetime 2016-11-04T10:41:19 --delay 0 --endMP 204:138 --enddatetime 2016-11-04T11:20:02 --enforcementcount 0 &gt;&gt;C:\Users\stu\Documents\GitHub\eaglep3-reporting\EC\2016-11-04-refined-times.txt</v>
      </c>
      <c r="AI62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{"issue":{"subject":"","project_id":79,"tracker_id":40,"status_id":1,"priority_id":2,"assigned_to_id":23,"start_date":"2016-11-04","description":"","custom_fields":[{"id":1,"name":"Subdivision","value":"EC"},{"id":4,"name":"Milepost","value":"0.0138"},{"id":17,"name":"Train ID","value":"150-04"},{"id":16,"name":"Locomotive ID","value":"4041"},{"id":130,"name":"Impact","value":""},{"id":150,"name":"Time of Event (Mountain Time)","value":"11:20:02"},{"id":151,"name":"Denver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494</v>
      </c>
      <c r="B63" s="7">
        <v>4053</v>
      </c>
      <c r="C63" s="22" t="s">
        <v>239</v>
      </c>
      <c r="D63" s="22" t="s">
        <v>211</v>
      </c>
      <c r="E63" s="13">
        <v>42678.411273148151</v>
      </c>
      <c r="F63" s="13">
        <v>42678.417337962965</v>
      </c>
      <c r="G63" s="7">
        <v>1</v>
      </c>
      <c r="H63" s="22" t="s">
        <v>259</v>
      </c>
      <c r="I63" s="13">
        <v>42678.441134259258</v>
      </c>
      <c r="J63" s="7">
        <v>0</v>
      </c>
      <c r="K63" s="112" t="str">
        <f t="shared" si="0"/>
        <v>4053/4054</v>
      </c>
      <c r="L63" s="22" t="str">
        <f>VLOOKUP(A63,'Trips&amp;Operators'!$C$1:$E$10000,3,FALSE)</f>
        <v>DAVIDSON</v>
      </c>
      <c r="M63" s="6">
        <f t="shared" si="1"/>
        <v>2.3796296292857733E-2</v>
      </c>
      <c r="N63" s="7">
        <f t="shared" si="2"/>
        <v>34.266666661715135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08:52:14-0600',mode:absolute,to:'2016-11-04 11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4.5999999999999999E-2</v>
      </c>
      <c r="Z63" s="67">
        <f t="shared" si="9"/>
        <v>23.330300000000001</v>
      </c>
      <c r="AA63" s="67">
        <f t="shared" si="10"/>
        <v>23.284300000000002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11"/>
        <v>0151-04</v>
      </c>
      <c r="AE63" s="91" t="str">
        <f t="shared" si="12"/>
        <v>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 &amp; 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</v>
      </c>
      <c r="AF63" s="88" t="str">
        <f t="shared" si="13"/>
        <v>"C:\Program Files (x86)\AstroGrep\AstroGrep.exe" /spath="%USERPROFILE%\AppData\Local\Temp\OnboardLogs" /stypes="app*4053*20161104*" /stext=" 16:.+((SYSTEM_STATE.+slice.+state.+changed )|(ment ac)|(system.+state.+changed )|(\[timeout)|(PRM\|1\|D)|(kpr)|(kdp)|(\|loc)|(penalty))"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151-04 --locoid 4053 --swversion DE.1.0.8.0 --startMP 204:460 --initTime 2016-11-04T09:52:14 --startdatetime 2016-11-04T10:00:58 --delay 1 --endMP 204:233303 --enddatetime 2016-11-04T10:35:14 --enforcementcount 0 &gt;&gt;C:\Users\stu\Documents\GitHub\eaglep3-reporting\EC\2016-11-04-refined-times.txt</v>
      </c>
      <c r="AI63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{"issue":{"subject":"","project_id":79,"tracker_id":40,"status_id":1,"priority_id":2,"assigned_to_id":23,"start_date":"2016-11-04","description":"","custom_fields":[{"id":1,"name":"Subdivision","value":"EC"},{"id":4,"name":"Milepost","value":"23.3303"},{"id":17,"name":"Train ID","value":"151-04"},{"id":16,"name":"Locomotive ID","value":"4053"},{"id":130,"name":"Impact","value":""},{"id":150,"name":"Time of Event (Mountain Time)","value":"10:35:14"},{"id":151,"name":"Denver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503</v>
      </c>
      <c r="B64" s="7">
        <v>4054</v>
      </c>
      <c r="C64" s="22" t="s">
        <v>239</v>
      </c>
      <c r="D64" s="22" t="s">
        <v>281</v>
      </c>
      <c r="E64" s="13">
        <v>42678.443229166667</v>
      </c>
      <c r="F64" s="13">
        <v>42678.455740740741</v>
      </c>
      <c r="G64" s="7">
        <v>1</v>
      </c>
      <c r="H64" s="22" t="s">
        <v>181</v>
      </c>
      <c r="I64" s="13">
        <v>42678.482476851852</v>
      </c>
      <c r="J64" s="7">
        <v>0</v>
      </c>
      <c r="K64" s="112" t="str">
        <f t="shared" si="0"/>
        <v>4053/4054</v>
      </c>
      <c r="L64" s="22" t="str">
        <f>VLOOKUP(A64,'Trips&amp;Operators'!$C$1:$E$10000,3,FALSE)</f>
        <v>DAVIDSON</v>
      </c>
      <c r="M64" s="6">
        <f t="shared" si="1"/>
        <v>2.6736111110949423E-2</v>
      </c>
      <c r="N64" s="7">
        <f t="shared" si="2"/>
        <v>38.499999999767169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09:38:15-0600',mode:absolute,to:'2016-11-04 12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64" s="52" t="str">
        <f t="shared" si="6"/>
        <v>N</v>
      </c>
      <c r="X64" s="177">
        <f t="shared" si="7"/>
        <v>1</v>
      </c>
      <c r="Y64" s="67">
        <f t="shared" si="8"/>
        <v>23.298200000000001</v>
      </c>
      <c r="Z64" s="67">
        <f t="shared" si="9"/>
        <v>1.41E-2</v>
      </c>
      <c r="AA64" s="67">
        <f t="shared" si="10"/>
        <v>23.284100000000002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11"/>
        <v>0152-04</v>
      </c>
      <c r="AE64" s="91" t="str">
        <f t="shared" si="12"/>
        <v>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 &amp; 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</v>
      </c>
      <c r="AF64" s="88" t="str">
        <f t="shared" si="13"/>
        <v>"C:\Program Files (x86)\AstroGrep\AstroGrep.exe" /spath="%USERPROFILE%\AppData\Local\Temp\OnboardLogs" /stypes="app*4054*20161104*" /stext=" 17:.+((SYSTEM_STATE.+slice.+state.+changed )|(ment ac)|(system.+state.+changed )|(\[timeout)|(PRM\|1\|D)|(kpr)|(kdp)|(\|loc)|(penalty))"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152-04 --locoid 4054 --swversion DE.1.0.8.0 --startMP 204:232982 --initTime 2016-11-04T10:38:15 --startdatetime 2016-11-04T10:56:16 --delay 1 --endMP 204:141 --enddatetime 2016-11-04T11:34:46 --enforcementcount 0 &gt;&gt;C:\Users\stu\Documents\GitHub\eaglep3-reporting\EC\2016-11-04-refined-times.txt</v>
      </c>
      <c r="AI64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{"issue":{"subject":"","project_id":79,"tracker_id":40,"status_id":1,"priority_id":2,"assigned_to_id":23,"start_date":"2016-11-04","description":"","custom_fields":[{"id":1,"name":"Subdivision","value":"EC"},{"id":4,"name":"Milepost","value":"0.0141"},{"id":17,"name":"Train ID","value":"152-04"},{"id":16,"name":"Locomotive ID","value":"4054"},{"id":130,"name":"Impact","value":""},{"id":150,"name":"Time of Event (Mountain Time)","value":"11:34:46"},{"id":151,"name":"Denver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417</v>
      </c>
      <c r="B65" s="7">
        <v>4038</v>
      </c>
      <c r="C65" s="22" t="s">
        <v>239</v>
      </c>
      <c r="D65" s="22" t="s">
        <v>208</v>
      </c>
      <c r="E65" s="13">
        <v>42678.424953703703</v>
      </c>
      <c r="F65" s="13">
        <v>42678.428206018521</v>
      </c>
      <c r="G65" s="7">
        <v>2</v>
      </c>
      <c r="H65" s="22" t="s">
        <v>279</v>
      </c>
      <c r="I65" s="13">
        <v>42678.452847222223</v>
      </c>
      <c r="J65" s="7">
        <v>0</v>
      </c>
      <c r="K65" s="112" t="str">
        <f t="shared" si="0"/>
        <v>4037/4038</v>
      </c>
      <c r="L65" s="22" t="str">
        <f>VLOOKUP(A65,'Trips&amp;Operators'!$C$1:$E$10000,3,FALSE)</f>
        <v>RICHARDSON</v>
      </c>
      <c r="M65" s="6">
        <f t="shared" si="1"/>
        <v>2.4641203701321501E-2</v>
      </c>
      <c r="N65" s="7">
        <f t="shared" si="2"/>
        <v>35.483333329902962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09:11:56-0600',mode:absolute,to:'2016-11-04 11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5" s="52" t="str">
        <f t="shared" si="6"/>
        <v>N</v>
      </c>
      <c r="X65" s="177">
        <f t="shared" si="7"/>
        <v>1</v>
      </c>
      <c r="Y65" s="67">
        <f t="shared" si="8"/>
        <v>4.5499999999999999E-2</v>
      </c>
      <c r="Z65" s="67">
        <f t="shared" si="9"/>
        <v>23.330200000000001</v>
      </c>
      <c r="AA65" s="67">
        <f t="shared" si="10"/>
        <v>23.284700000000001</v>
      </c>
      <c r="AB65" s="64" t="str">
        <f>VLOOKUP(A65,Enforcements!$C$7:$K$21,8,0)</f>
        <v>Speed (6)</v>
      </c>
      <c r="AC65" s="60" t="str">
        <f>VLOOKUP(A65,Enforcements!$C$7:$E$21,3,0)</f>
        <v>PERMANENT SPEED RESTRICTION</v>
      </c>
      <c r="AD65" s="61" t="str">
        <f t="shared" si="11"/>
        <v>0153-04</v>
      </c>
      <c r="AE65" s="91" t="str">
        <f t="shared" si="12"/>
        <v>aws s3 cp s3://rtdc.mdm.uploadarchive.raw/RTDC4038/ "%USERPROFILE%\AppData\Local\Temp\OnboardLogs"\RTDC4038\2016-11-04 --exclude "*" --recursive --include "*20161104*" &amp; "%USERPROFILE%\Documents\GitHub\mrs-test-scripts\Headless Mode &amp; Sideloading\WalkAndUnGZ.bat" "%USERPROFILE%\AppData\Local\Temp\OnboardLogs"\RTDC4038\2016-11-04 &amp; aws s3 cp s3://rtdc.mdm.uploadarchive.raw/RTDC4038/ "%USERPROFILE%\AppData\Local\Temp\OnboardLogs"\RTDC4038\2016-11-05 --exclude "*" --recursive --include "*20161105*" &amp; "%USERPROFILE%\Documents\GitHub\mrs-test-scripts\Headless Mode &amp; Sideloading\WalkAndUnGZ.bat" "%USERPROFILE%\AppData\Local\Temp\OnboardLogs"\RTDC4038\2016-11-05</v>
      </c>
      <c r="AF65" s="88" t="str">
        <f t="shared" si="13"/>
        <v>"C:\Program Files (x86)\AstroGrep\AstroGrep.exe" /spath="%USERPROFILE%\AppData\Local\Temp\OnboardLogs" /stypes="app*4038*20161104*" /stext=" 16:.+((SYSTEM_STATE.+slice.+state.+changed )|(ment ac)|(system.+state.+changed )|(\[timeout)|(PRM\|1\|D)|(kpr)|(kdp)|(\|loc)|(penalty))"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153-04 --locoid 4038 --swversion DE.1.0.8.0 --startMP 204:455 --initTime 2016-11-04T10:11:56 --startdatetime 2016-11-04T10:16:37 --delay 2 --endMP 204:233302 --enddatetime 2016-11-04T10:52:06 --enforcementcount 0 &gt;&gt;C:\Users\stu\Documents\GitHub\eaglep3-reporting\EC\2016-11-04-refined-times.txt</v>
      </c>
      <c r="AI65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{"issue":{"subject":"","project_id":79,"tracker_id":40,"status_id":1,"priority_id":2,"assigned_to_id":23,"start_date":"2016-11-04","description":"","custom_fields":[{"id":1,"name":"Subdivision","value":"EC"},{"id":4,"name":"Milepost","value":"23.3302"},{"id":17,"name":"Train ID","value":"153-04"},{"id":16,"name":"Locomotive ID","value":"4038"},{"id":130,"name":"Impact","value":""},{"id":150,"name":"Time of Event (Mountain Time)","value":"10:52:06"},{"id":151,"name":"Denver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508</v>
      </c>
      <c r="B66" s="7">
        <v>4037</v>
      </c>
      <c r="C66" s="22" t="s">
        <v>239</v>
      </c>
      <c r="D66" s="22" t="s">
        <v>221</v>
      </c>
      <c r="E66" s="13">
        <v>42678.461284722223</v>
      </c>
      <c r="F66" s="13">
        <v>42678.466099537036</v>
      </c>
      <c r="G66" s="7">
        <v>1</v>
      </c>
      <c r="H66" s="22" t="s">
        <v>205</v>
      </c>
      <c r="I66" s="13">
        <v>42678.493703703702</v>
      </c>
      <c r="J66" s="7">
        <v>0</v>
      </c>
      <c r="K66" s="112" t="str">
        <f t="shared" si="0"/>
        <v>4037/4038</v>
      </c>
      <c r="L66" s="22" t="str">
        <f>VLOOKUP(A66,'Trips&amp;Operators'!$C$1:$E$10000,3,FALSE)</f>
        <v>RICHARDSON</v>
      </c>
      <c r="M66" s="6">
        <f t="shared" si="1"/>
        <v>2.7604166665696539E-2</v>
      </c>
      <c r="N66" s="7">
        <f t="shared" si="2"/>
        <v>39.749999998603016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10:04:15-0600',mode:absolute,to:'2016-11-04 12:50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6" s="52" t="str">
        <f t="shared" si="6"/>
        <v>N</v>
      </c>
      <c r="X66" s="177">
        <f t="shared" si="7"/>
        <v>1</v>
      </c>
      <c r="Y66" s="67">
        <f t="shared" si="8"/>
        <v>23.297699999999999</v>
      </c>
      <c r="Z66" s="67">
        <f t="shared" si="9"/>
        <v>1.43E-2</v>
      </c>
      <c r="AA66" s="67">
        <f t="shared" si="10"/>
        <v>23.2834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1"/>
        <v>0154-04</v>
      </c>
      <c r="AE66" s="91" t="str">
        <f t="shared" si="12"/>
        <v>aws s3 cp s3://rtdc.mdm.uploadarchive.raw/RTDC4037/ "%USERPROFILE%\AppData\Local\Temp\OnboardLogs"\RTDC4037\2016-11-04 --exclude "*" --recursive --include "*20161104*" &amp; "%USERPROFILE%\Documents\GitHub\mrs-test-scripts\Headless Mode &amp; Sideloading\WalkAndUnGZ.bat" "%USERPROFILE%\AppData\Local\Temp\OnboardLogs"\RTDC4037\2016-11-04 &amp; aws s3 cp s3://rtdc.mdm.uploadarchive.raw/RTDC4037/ "%USERPROFILE%\AppData\Local\Temp\OnboardLogs"\RTDC4037\2016-11-05 --exclude "*" --recursive --include "*20161105*" &amp; "%USERPROFILE%\Documents\GitHub\mrs-test-scripts\Headless Mode &amp; Sideloading\WalkAndUnGZ.bat" "%USERPROFILE%\AppData\Local\Temp\OnboardLogs"\RTDC4037\2016-11-05</v>
      </c>
      <c r="AF66" s="88" t="str">
        <f t="shared" si="13"/>
        <v>"C:\Program Files (x86)\AstroGrep\AstroGrep.exe" /spath="%USERPROFILE%\AppData\Local\Temp\OnboardLogs" /stypes="app*4037*20161104*" /stext=" 17:.+((SYSTEM_STATE.+slice.+state.+changed )|(ment ac)|(system.+state.+changed )|(\[timeout)|(PRM\|1\|D)|(kpr)|(kdp)|(\|loc)|(penalty))"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154-04 --locoid 4037 --swversion DE.1.0.8.0 --startMP 204:232977 --initTime 2016-11-04T11:04:15 --startdatetime 2016-11-04T11:11:11 --delay 1 --endMP 204:143 --enddatetime 2016-11-04T11:50:56 --enforcementcount 0 &gt;&gt;C:\Users\stu\Documents\GitHub\eaglep3-reporting\EC\2016-11-04-refined-times.txt</v>
      </c>
      <c r="AI66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{"issue":{"subject":"","project_id":79,"tracker_id":40,"status_id":1,"priority_id":2,"assigned_to_id":23,"start_date":"2016-11-04","description":"","custom_fields":[{"id":1,"name":"Subdivision","value":"EC"},{"id":4,"name":"Milepost","value":"0.0143"},{"id":17,"name":"Train ID","value":"154-04"},{"id":16,"name":"Locomotive ID","value":"4037"},{"id":130,"name":"Impact","value":""},{"id":150,"name":"Time of Event (Mountain Time)","value":"11:50:56"},{"id":151,"name":"Denver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501</v>
      </c>
      <c r="B67" s="7">
        <v>4003</v>
      </c>
      <c r="C67" s="22" t="s">
        <v>239</v>
      </c>
      <c r="D67" s="22" t="s">
        <v>206</v>
      </c>
      <c r="E67" s="13">
        <v>42678.432766203703</v>
      </c>
      <c r="F67" s="13">
        <v>42678.437824074077</v>
      </c>
      <c r="G67" s="7">
        <v>2</v>
      </c>
      <c r="H67" s="22" t="s">
        <v>655</v>
      </c>
      <c r="I67" s="13">
        <v>42678.464120370372</v>
      </c>
      <c r="J67" s="7">
        <v>0</v>
      </c>
      <c r="K67" s="112" t="str">
        <f t="shared" si="0"/>
        <v>4003/4004</v>
      </c>
      <c r="L67" s="22" t="str">
        <f>VLOOKUP(A67,'Trips&amp;Operators'!$C$1:$E$10000,3,FALSE)</f>
        <v>ROBINSON</v>
      </c>
      <c r="M67" s="6">
        <f t="shared" si="1"/>
        <v>2.6296296295186039E-2</v>
      </c>
      <c r="N67" s="7">
        <f t="shared" si="2"/>
        <v>37.866666665067896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09:23:11-0600',mode:absolute,to:'2016-11-04 12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7" s="52" t="str">
        <f t="shared" si="6"/>
        <v>N</v>
      </c>
      <c r="X67" s="177">
        <f t="shared" si="7"/>
        <v>1</v>
      </c>
      <c r="Y67" s="67">
        <f t="shared" si="8"/>
        <v>4.4699999999999997E-2</v>
      </c>
      <c r="Z67" s="67">
        <f t="shared" si="9"/>
        <v>23.326599999999999</v>
      </c>
      <c r="AA67" s="67">
        <f t="shared" si="10"/>
        <v>23.2819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11"/>
        <v>0155-04</v>
      </c>
      <c r="AE67" s="91" t="str">
        <f t="shared" si="12"/>
        <v>aws s3 cp s3://rtdc.mdm.uploadarchive.raw/RTDC4003/ "%USERPROFILE%\AppData\Local\Temp\OnboardLogs"\RTDC4003\2016-11-04 --exclude "*" --recursive --include "*20161104*" &amp; "%USERPROFILE%\Documents\GitHub\mrs-test-scripts\Headless Mode &amp; Sideloading\WalkAndUnGZ.bat" "%USERPROFILE%\AppData\Local\Temp\OnboardLogs"\RTDC4003\2016-11-04 &amp; 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</v>
      </c>
      <c r="AF67" s="88" t="str">
        <f t="shared" si="13"/>
        <v>"C:\Program Files (x86)\AstroGrep\AstroGrep.exe" /spath="%USERPROFILE%\AppData\Local\Temp\OnboardLogs" /stypes="app*4003*20161104*" /stext=" 17:.+((SYSTEM_STATE.+slice.+state.+changed )|(ment ac)|(system.+state.+changed )|(\[timeout)|(PRM\|1\|D)|(kpr)|(kdp)|(\|loc)|(penalty))"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155-04 --locoid 4003 --swversion DE.1.0.8.0 --startMP 204:447 --initTime 2016-11-04T10:23:11 --startdatetime 2016-11-04T10:30:28 --delay 2 --endMP 204:233266 --enddatetime 2016-11-04T11:08:20 --enforcementcount 0 &gt;&gt;C:\Users\stu\Documents\GitHub\eaglep3-reporting\EC\2016-11-04-refined-times.txt</v>
      </c>
      <c r="AI67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{"issue":{"subject":"","project_id":79,"tracker_id":40,"status_id":1,"priority_id":2,"assigned_to_id":23,"start_date":"2016-11-04","description":"","custom_fields":[{"id":1,"name":"Subdivision","value":"EC"},{"id":4,"name":"Milepost","value":"23.3266"},{"id":17,"name":"Train ID","value":"155-04"},{"id":16,"name":"Locomotive ID","value":"4003"},{"id":130,"name":"Impact","value":""},{"id":150,"name":"Time of Event (Mountain Time)","value":"11:08:20"},{"id":151,"name":"Denver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511</v>
      </c>
      <c r="B68" s="7">
        <v>4004</v>
      </c>
      <c r="C68" s="22" t="s">
        <v>239</v>
      </c>
      <c r="D68" s="22" t="s">
        <v>639</v>
      </c>
      <c r="E68" s="13">
        <v>42678.46597222222</v>
      </c>
      <c r="F68" s="13">
        <v>42678.476550925923</v>
      </c>
      <c r="G68" s="7">
        <v>1</v>
      </c>
      <c r="H68" s="22" t="s">
        <v>227</v>
      </c>
      <c r="I68" s="13">
        <v>42678.503425925926</v>
      </c>
      <c r="J68" s="7">
        <v>0</v>
      </c>
      <c r="K68" s="112" t="str">
        <f t="shared" si="0"/>
        <v>4003/4004</v>
      </c>
      <c r="L68" s="22" t="str">
        <f>VLOOKUP(A68,'Trips&amp;Operators'!$C$1:$E$10000,3,FALSE)</f>
        <v>ROBINSON</v>
      </c>
      <c r="M68" s="6">
        <f t="shared" si="1"/>
        <v>2.6875000003201421E-2</v>
      </c>
      <c r="N68" s="7">
        <f t="shared" si="2"/>
        <v>38.700000004610047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10:11:00-0600',mode:absolute,to:'2016-11-04 13:04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8" s="52" t="str">
        <f t="shared" si="6"/>
        <v>N</v>
      </c>
      <c r="X68" s="177">
        <f t="shared" si="7"/>
        <v>1</v>
      </c>
      <c r="Y68" s="67">
        <f t="shared" si="8"/>
        <v>23.296099999999999</v>
      </c>
      <c r="Z68" s="67">
        <f t="shared" si="9"/>
        <v>1.38E-2</v>
      </c>
      <c r="AA68" s="67">
        <f t="shared" si="10"/>
        <v>23.282299999999999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1"/>
        <v>0156-04</v>
      </c>
      <c r="AE68" s="91" t="str">
        <f t="shared" si="12"/>
        <v>aws s3 cp s3://rtdc.mdm.uploadarchive.raw/RTDC4004/ "%USERPROFILE%\AppData\Local\Temp\OnboardLogs"\RTDC4004\2016-11-04 --exclude "*" --recursive --include "*20161104*" &amp; "%USERPROFILE%\Documents\GitHub\mrs-test-scripts\Headless Mode &amp; Sideloading\WalkAndUnGZ.bat" "%USERPROFILE%\AppData\Local\Temp\OnboardLogs"\RTDC4004\2016-11-04 &amp; 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</v>
      </c>
      <c r="AF68" s="88" t="str">
        <f t="shared" si="13"/>
        <v>"C:\Program Files (x86)\AstroGrep\AstroGrep.exe" /spath="%USERPROFILE%\AppData\Local\Temp\OnboardLogs" /stypes="app*4004*20161104*" /stext=" 18:.+((SYSTEM_STATE.+slice.+state.+changed )|(ment ac)|(system.+state.+changed )|(\[timeout)|(PRM\|1\|D)|(kpr)|(kdp)|(\|loc)|(penalty))"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156-04 --locoid 4004 --swversion DE.1.0.8.0 --startMP 204:232961 --initTime 2016-11-04T11:11:00 --startdatetime 2016-11-04T11:26:14 --delay 1 --endMP 204:138 --enddatetime 2016-11-04T12:04:56 --enforcementcount 0 &gt;&gt;C:\Users\stu\Documents\GitHub\eaglep3-reporting\EC\2016-11-04-refined-times.txt</v>
      </c>
      <c r="AI68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{"issue":{"subject":"","project_id":79,"tracker_id":40,"status_id":1,"priority_id":2,"assigned_to_id":23,"start_date":"2016-11-04","description":"","custom_fields":[{"id":1,"name":"Subdivision","value":"EC"},{"id":4,"name":"Milepost","value":"0.0138"},{"id":17,"name":"Train ID","value":"156-04"},{"id":16,"name":"Locomotive ID","value":"4004"},{"id":130,"name":"Impact","value":""},{"id":150,"name":"Time of Event (Mountain Time)","value":"12:04:56"},{"id":151,"name":"Denver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504</v>
      </c>
      <c r="B69" s="7">
        <v>4007</v>
      </c>
      <c r="C69" s="22" t="s">
        <v>239</v>
      </c>
      <c r="D69" s="22" t="s">
        <v>656</v>
      </c>
      <c r="E69" s="13">
        <v>42678.445416666669</v>
      </c>
      <c r="F69" s="13">
        <v>42678.448136574072</v>
      </c>
      <c r="G69" s="7">
        <v>1</v>
      </c>
      <c r="H69" s="22" t="s">
        <v>370</v>
      </c>
      <c r="I69" s="13">
        <v>42678.473263888889</v>
      </c>
      <c r="J69" s="7">
        <v>0</v>
      </c>
      <c r="K69" s="112" t="str">
        <f t="shared" si="0"/>
        <v>4007/4008</v>
      </c>
      <c r="L69" s="22" t="str">
        <f>VLOOKUP(A69,'Trips&amp;Operators'!$C$1:$E$10000,3,FALSE)</f>
        <v>NELSON</v>
      </c>
      <c r="M69" s="6">
        <f t="shared" si="1"/>
        <v>2.5127314816927537E-2</v>
      </c>
      <c r="N69" s="7">
        <f t="shared" si="2"/>
        <v>36.183333336375654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09:41:24-0600',mode:absolute,to:'2016-11-04 12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9" s="52" t="str">
        <f t="shared" si="6"/>
        <v>N</v>
      </c>
      <c r="X69" s="177">
        <f t="shared" si="7"/>
        <v>1</v>
      </c>
      <c r="Y69" s="67">
        <f t="shared" si="8"/>
        <v>4.3299999999999998E-2</v>
      </c>
      <c r="Z69" s="67">
        <f t="shared" si="9"/>
        <v>23.326799999999999</v>
      </c>
      <c r="AA69" s="67">
        <f t="shared" si="10"/>
        <v>23.2835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11"/>
        <v>0157-04</v>
      </c>
      <c r="AE69" s="91" t="str">
        <f t="shared" si="12"/>
        <v>aws s3 cp s3://rtdc.mdm.uploadarchive.raw/RTDC4007/ "%USERPROFILE%\AppData\Local\Temp\OnboardLogs"\RTDC4007\2016-11-04 --exclude "*" --recursive --include "*20161104*" &amp; "%USERPROFILE%\Documents\GitHub\mrs-test-scripts\Headless Mode &amp; Sideloading\WalkAndUnGZ.bat" "%USERPROFILE%\AppData\Local\Temp\OnboardLogs"\RTDC4007\2016-11-04 &amp; aws s3 cp s3://rtdc.mdm.uploadarchive.raw/RTDC4007/ "%USERPROFILE%\AppData\Local\Temp\OnboardLogs"\RTDC4007\2016-11-05 --exclude "*" --recursive --include "*20161105*" &amp; "%USERPROFILE%\Documents\GitHub\mrs-test-scripts\Headless Mode &amp; Sideloading\WalkAndUnGZ.bat" "%USERPROFILE%\AppData\Local\Temp\OnboardLogs"\RTDC4007\2016-11-05</v>
      </c>
      <c r="AF69" s="88" t="str">
        <f t="shared" si="13"/>
        <v>"C:\Program Files (x86)\AstroGrep\AstroGrep.exe" /spath="%USERPROFILE%\AppData\Local\Temp\OnboardLogs" /stypes="app*4007*20161104*" /stext=" 17:.+((SYSTEM_STATE.+slice.+state.+changed )|(ment ac)|(system.+state.+changed )|(\[timeout)|(PRM\|1\|D)|(kpr)|(kdp)|(\|loc)|(penalty))"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157-04 --locoid 4007 --swversion DE.1.0.8.0 --startMP 204:433 --initTime 2016-11-04T10:41:24 --startdatetime 2016-11-04T10:45:19 --delay 1 --endMP 204:233268 --enddatetime 2016-11-04T11:21:30 --enforcementcount 0 &gt;&gt;C:\Users\stu\Documents\GitHub\eaglep3-reporting\EC\2016-11-04-refined-times.txt</v>
      </c>
      <c r="AI69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{"issue":{"subject":"","project_id":79,"tracker_id":40,"status_id":1,"priority_id":2,"assigned_to_id":23,"start_date":"2016-11-04","description":"","custom_fields":[{"id":1,"name":"Subdivision","value":"EC"},{"id":4,"name":"Milepost","value":"23.3268"},{"id":17,"name":"Train ID","value":"157-04"},{"id":16,"name":"Locomotive ID","value":"4007"},{"id":130,"name":"Impact","value":""},{"id":150,"name":"Time of Event (Mountain Time)","value":"11:21:30"},{"id":151,"name":"Denver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514</v>
      </c>
      <c r="B70" s="7">
        <v>4008</v>
      </c>
      <c r="C70" s="22" t="s">
        <v>239</v>
      </c>
      <c r="D70" s="22" t="s">
        <v>382</v>
      </c>
      <c r="E70" s="13">
        <v>42678.484756944446</v>
      </c>
      <c r="F70" s="13">
        <v>42678.48710648148</v>
      </c>
      <c r="G70" s="7">
        <v>1</v>
      </c>
      <c r="H70" s="22" t="s">
        <v>202</v>
      </c>
      <c r="I70" s="13">
        <v>42678.512835648151</v>
      </c>
      <c r="J70" s="7">
        <v>0</v>
      </c>
      <c r="K70" s="112" t="str">
        <f t="shared" si="0"/>
        <v>4007/4008</v>
      </c>
      <c r="L70" s="22" t="str">
        <f>VLOOKUP(A70,'Trips&amp;Operators'!$C$1:$E$10000,3,FALSE)</f>
        <v>NELSON</v>
      </c>
      <c r="M70" s="6">
        <f t="shared" si="1"/>
        <v>2.5729166671226267E-2</v>
      </c>
      <c r="N70" s="7">
        <f t="shared" si="2"/>
        <v>37.050000006565824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10:38:03-0600',mode:absolute,to:'2016-11-04 13:18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0" s="52" t="str">
        <f t="shared" si="6"/>
        <v>N</v>
      </c>
      <c r="X70" s="177">
        <f t="shared" si="7"/>
        <v>1</v>
      </c>
      <c r="Y70" s="67">
        <f t="shared" si="8"/>
        <v>23.2959</v>
      </c>
      <c r="Z70" s="67">
        <f t="shared" si="9"/>
        <v>1.4500000000000001E-2</v>
      </c>
      <c r="AA70" s="67">
        <f t="shared" si="10"/>
        <v>23.281399999999998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1"/>
        <v>0158-04</v>
      </c>
      <c r="AE70" s="91" t="str">
        <f t="shared" si="12"/>
        <v>aws s3 cp s3://rtdc.mdm.uploadarchive.raw/RTDC4008/ "%USERPROFILE%\AppData\Local\Temp\OnboardLogs"\RTDC4008\2016-11-04 --exclude "*" --recursive --include "*20161104*" &amp; "%USERPROFILE%\Documents\GitHub\mrs-test-scripts\Headless Mode &amp; Sideloading\WalkAndUnGZ.bat" "%USERPROFILE%\AppData\Local\Temp\OnboardLogs"\RTDC4008\2016-11-04 &amp; aws s3 cp s3://rtdc.mdm.uploadarchive.raw/RTDC4008/ "%USERPROFILE%\AppData\Local\Temp\OnboardLogs"\RTDC4008\2016-11-05 --exclude "*" --recursive --include "*20161105*" &amp; "%USERPROFILE%\Documents\GitHub\mrs-test-scripts\Headless Mode &amp; Sideloading\WalkAndUnGZ.bat" "%USERPROFILE%\AppData\Local\Temp\OnboardLogs"\RTDC4008\2016-11-05</v>
      </c>
      <c r="AF70" s="88" t="str">
        <f t="shared" si="13"/>
        <v>"C:\Program Files (x86)\AstroGrep\AstroGrep.exe" /spath="%USERPROFILE%\AppData\Local\Temp\OnboardLogs" /stypes="app*4008*20161104*" /stext=" 18:.+((SYSTEM_STATE.+slice.+state.+changed )|(ment ac)|(system.+state.+changed )|(\[timeout)|(PRM\|1\|D)|(kpr)|(kdp)|(\|loc)|(penalty))"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158-04 --locoid 4008 --swversion DE.1.0.8.0 --startMP 204:232959 --initTime 2016-11-04T11:38:03 --startdatetime 2016-11-04T11:41:26 --delay 1 --endMP 204:145 --enddatetime 2016-11-04T12:18:29 --enforcementcount 0 &gt;&gt;C:\Users\stu\Documents\GitHub\eaglep3-reporting\EC\2016-11-04-refined-times.txt</v>
      </c>
      <c r="AI70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{"issue":{"subject":"","project_id":79,"tracker_id":40,"status_id":1,"priority_id":2,"assigned_to_id":23,"start_date":"2016-11-04","description":"","custom_fields":[{"id":1,"name":"Subdivision","value":"EC"},{"id":4,"name":"Milepost","value":"0.0145"},{"id":17,"name":"Train ID","value":"158-04"},{"id":16,"name":"Locomotive ID","value":"4008"},{"id":130,"name":"Impact","value":""},{"id":150,"name":"Time of Event (Mountain Time)","value":"12:18:29"},{"id":151,"name":"Denver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506</v>
      </c>
      <c r="B71" s="7">
        <v>4022</v>
      </c>
      <c r="C71" s="22" t="s">
        <v>239</v>
      </c>
      <c r="D71" s="22" t="s">
        <v>235</v>
      </c>
      <c r="E71" s="13">
        <v>42678.457592592589</v>
      </c>
      <c r="F71" s="13">
        <v>42678.459733796299</v>
      </c>
      <c r="G71" s="7">
        <v>2</v>
      </c>
      <c r="H71" s="22" t="s">
        <v>204</v>
      </c>
      <c r="I71" s="13">
        <v>42678.484212962961</v>
      </c>
      <c r="J71" s="7">
        <v>0</v>
      </c>
      <c r="K71" s="112" t="str">
        <f t="shared" si="0"/>
        <v>4021/4022</v>
      </c>
      <c r="L71" s="22" t="str">
        <f>VLOOKUP(A71,'Trips&amp;Operators'!$C$1:$E$10000,3,FALSE)</f>
        <v>STEWART</v>
      </c>
      <c r="M71" s="6">
        <f t="shared" si="1"/>
        <v>2.4479166662786156E-2</v>
      </c>
      <c r="N71" s="7">
        <f t="shared" si="2"/>
        <v>35.249999994412065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09:58:56-0600',mode:absolute,to:'2016-11-04 12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71" s="52" t="str">
        <f t="shared" si="6"/>
        <v>N</v>
      </c>
      <c r="X71" s="177">
        <f t="shared" si="7"/>
        <v>1</v>
      </c>
      <c r="Y71" s="67">
        <f t="shared" si="8"/>
        <v>4.6399999999999997E-2</v>
      </c>
      <c r="Z71" s="67">
        <f t="shared" si="9"/>
        <v>23.3293</v>
      </c>
      <c r="AA71" s="67">
        <f t="shared" si="10"/>
        <v>23.282900000000001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1"/>
        <v>0159-04</v>
      </c>
      <c r="AE71" s="91" t="str">
        <f t="shared" si="12"/>
        <v>aws s3 cp s3://rtdc.mdm.uploadarchive.raw/RTDC4022/ "%USERPROFILE%\AppData\Local\Temp\OnboardLogs"\RTDC4022\2016-11-04 --exclude "*" --recursive --include "*20161104*" &amp; "%USERPROFILE%\Documents\GitHub\mrs-test-scripts\Headless Mode &amp; Sideloading\WalkAndUnGZ.bat" "%USERPROFILE%\AppData\Local\Temp\OnboardLogs"\RTDC4022\2016-11-04 &amp; aws s3 cp s3://rtdc.mdm.uploadarchive.raw/RTDC4022/ "%USERPROFILE%\AppData\Local\Temp\OnboardLogs"\RTDC4022\2016-11-05 --exclude "*" --recursive --include "*20161105*" &amp; "%USERPROFILE%\Documents\GitHub\mrs-test-scripts\Headless Mode &amp; Sideloading\WalkAndUnGZ.bat" "%USERPROFILE%\AppData\Local\Temp\OnboardLogs"\RTDC4022\2016-11-05</v>
      </c>
      <c r="AF71" s="88" t="str">
        <f t="shared" si="13"/>
        <v>"C:\Program Files (x86)\AstroGrep\AstroGrep.exe" /spath="%USERPROFILE%\AppData\Local\Temp\OnboardLogs" /stypes="app*4022*20161104*" /stext=" 17:.+((SYSTEM_STATE.+slice.+state.+changed )|(ment ac)|(system.+state.+changed )|(\[timeout)|(PRM\|1\|D)|(kpr)|(kdp)|(\|loc)|(penalty))"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159-04 --locoid 4022 --swversion DE.1.0.8.0 --startMP 204:464 --initTime 2016-11-04T10:58:56 --startdatetime 2016-11-04T11:02:01 --delay 2 --endMP 204:233293 --enddatetime 2016-11-04T11:37:16 --enforcementcount 0 &gt;&gt;C:\Users\stu\Documents\GitHub\eaglep3-reporting\EC\2016-11-04-refined-times.txt</v>
      </c>
      <c r="AI71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{"issue":{"subject":"","project_id":79,"tracker_id":40,"status_id":1,"priority_id":2,"assigned_to_id":23,"start_date":"2016-11-04","description":"","custom_fields":[{"id":1,"name":"Subdivision","value":"EC"},{"id":4,"name":"Milepost","value":"23.3293"},{"id":17,"name":"Train ID","value":"159-04"},{"id":16,"name":"Locomotive ID","value":"4022"},{"id":130,"name":"Impact","value":""},{"id":150,"name":"Time of Event (Mountain Time)","value":"11:37:16"},{"id":151,"name":"Denver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518</v>
      </c>
      <c r="B72" s="7">
        <v>4021</v>
      </c>
      <c r="C72" s="22" t="s">
        <v>239</v>
      </c>
      <c r="D72" s="22" t="s">
        <v>254</v>
      </c>
      <c r="E72" s="13">
        <v>42678.494074074071</v>
      </c>
      <c r="F72" s="13">
        <v>42678.497511574074</v>
      </c>
      <c r="G72" s="7">
        <v>2</v>
      </c>
      <c r="H72" s="22" t="s">
        <v>261</v>
      </c>
      <c r="I72" s="13">
        <v>42678.523576388892</v>
      </c>
      <c r="J72" s="7">
        <v>0</v>
      </c>
      <c r="K72" s="112" t="str">
        <f t="shared" si="0"/>
        <v>4021/4022</v>
      </c>
      <c r="L72" s="22" t="str">
        <f>VLOOKUP(A72,'Trips&amp;Operators'!$C$1:$E$10000,3,FALSE)</f>
        <v>STEWART</v>
      </c>
      <c r="M72" s="6">
        <f t="shared" si="1"/>
        <v>2.6064814817800652E-2</v>
      </c>
      <c r="N72" s="7">
        <f t="shared" si="2"/>
        <v>37.533333337632939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10:51:28-0600',mode:absolute,to:'2016-11-04 13:33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72" s="52" t="str">
        <f t="shared" si="6"/>
        <v>N</v>
      </c>
      <c r="X72" s="177">
        <f t="shared" si="7"/>
        <v>1</v>
      </c>
      <c r="Y72" s="67">
        <f t="shared" si="8"/>
        <v>23.297499999999999</v>
      </c>
      <c r="Z72" s="67">
        <f t="shared" si="9"/>
        <v>1.5800000000000002E-2</v>
      </c>
      <c r="AA72" s="67">
        <f t="shared" si="10"/>
        <v>23.281700000000001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1"/>
        <v>0160-04</v>
      </c>
      <c r="AE72" s="91" t="str">
        <f t="shared" si="12"/>
        <v>aws s3 cp s3://rtdc.mdm.uploadarchive.raw/RTDC4021/ "%USERPROFILE%\AppData\Local\Temp\OnboardLogs"\RTDC4021\2016-11-04 --exclude "*" --recursive --include "*20161104*" &amp; "%USERPROFILE%\Documents\GitHub\mrs-test-scripts\Headless Mode &amp; Sideloading\WalkAndUnGZ.bat" "%USERPROFILE%\AppData\Local\Temp\OnboardLogs"\RTDC4021\2016-11-04 &amp; aws s3 cp s3://rtdc.mdm.uploadarchive.raw/RTDC4021/ "%USERPROFILE%\AppData\Local\Temp\OnboardLogs"\RTDC4021\2016-11-05 --exclude "*" --recursive --include "*20161105*" &amp; "%USERPROFILE%\Documents\GitHub\mrs-test-scripts\Headless Mode &amp; Sideloading\WalkAndUnGZ.bat" "%USERPROFILE%\AppData\Local\Temp\OnboardLogs"\RTDC4021\2016-11-05</v>
      </c>
      <c r="AF72" s="88" t="str">
        <f t="shared" si="13"/>
        <v>"C:\Program Files (x86)\AstroGrep\AstroGrep.exe" /spath="%USERPROFILE%\AppData\Local\Temp\OnboardLogs" /stypes="app*4021*20161104*" /stext=" 18:.+((SYSTEM_STATE.+slice.+state.+changed )|(ment ac)|(system.+state.+changed )|(\[timeout)|(PRM\|1\|D)|(kpr)|(kdp)|(\|loc)|(penalty))"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160-04 --locoid 4021 --swversion DE.1.0.8.0 --startMP 204:232975 --initTime 2016-11-04T11:51:28 --startdatetime 2016-11-04T11:56:25 --delay 2 --endMP 204:158 --enddatetime 2016-11-04T12:33:57 --enforcementcount 0 &gt;&gt;C:\Users\stu\Documents\GitHub\eaglep3-reporting\EC\2016-11-04-refined-times.txt</v>
      </c>
      <c r="AI72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{"issue":{"subject":"","project_id":79,"tracker_id":40,"status_id":1,"priority_id":2,"assigned_to_id":23,"start_date":"2016-11-04","description":"","custom_fields":[{"id":1,"name":"Subdivision","value":"EC"},{"id":4,"name":"Milepost","value":"0.0158"},{"id":17,"name":"Train ID","value":"160-04"},{"id":16,"name":"Locomotive ID","value":"4021"},{"id":130,"name":"Impact","value":""},{"id":150,"name":"Time of Event (Mountain Time)","value":"12:33:57"},{"id":151,"name":"Denver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509</v>
      </c>
      <c r="B73" s="7">
        <v>4029</v>
      </c>
      <c r="C73" s="22" t="s">
        <v>239</v>
      </c>
      <c r="D73" s="22" t="s">
        <v>342</v>
      </c>
      <c r="E73" s="13">
        <v>42678.464895833335</v>
      </c>
      <c r="F73" s="13">
        <v>42678.468946759262</v>
      </c>
      <c r="G73" s="7">
        <v>1</v>
      </c>
      <c r="H73" s="22" t="s">
        <v>373</v>
      </c>
      <c r="I73" s="13">
        <v>42678.495474537034</v>
      </c>
      <c r="J73" s="7">
        <v>0</v>
      </c>
      <c r="K73" s="112" t="str">
        <f t="shared" si="0"/>
        <v>4029/4030</v>
      </c>
      <c r="L73" s="22" t="str">
        <f>VLOOKUP(A73,'Trips&amp;Operators'!$C$1:$E$10000,3,FALSE)</f>
        <v>CLARK</v>
      </c>
      <c r="M73" s="6">
        <f t="shared" si="1"/>
        <v>2.6527777772571426E-2</v>
      </c>
      <c r="N73" s="7">
        <f t="shared" si="2"/>
        <v>38.199999992502853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10:09:27-0600',mode:absolute,to:'2016-11-04 12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3" s="52" t="str">
        <f t="shared" si="6"/>
        <v>N</v>
      </c>
      <c r="X73" s="177">
        <f t="shared" si="7"/>
        <v>1</v>
      </c>
      <c r="Y73" s="67">
        <f t="shared" si="8"/>
        <v>4.7100000000000003E-2</v>
      </c>
      <c r="Z73" s="67">
        <f t="shared" si="9"/>
        <v>23.328299999999999</v>
      </c>
      <c r="AA73" s="67">
        <f t="shared" si="10"/>
        <v>23.281199999999998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11"/>
        <v>0161-04</v>
      </c>
      <c r="AE73" s="91" t="str">
        <f t="shared" si="12"/>
        <v>aws s3 cp s3://rtdc.mdm.uploadarchive.raw/RTDC4029/ "%USERPROFILE%\AppData\Local\Temp\OnboardLogs"\RTDC4029\2016-11-04 --exclude "*" --recursive --include "*20161104*" &amp; "%USERPROFILE%\Documents\GitHub\mrs-test-scripts\Headless Mode &amp; Sideloading\WalkAndUnGZ.bat" "%USERPROFILE%\AppData\Local\Temp\OnboardLogs"\RTDC4029\2016-11-04 &amp; aws s3 cp s3://rtdc.mdm.uploadarchive.raw/RTDC4029/ "%USERPROFILE%\AppData\Local\Temp\OnboardLogs"\RTDC4029\2016-11-05 --exclude "*" --recursive --include "*20161105*" &amp; "%USERPROFILE%\Documents\GitHub\mrs-test-scripts\Headless Mode &amp; Sideloading\WalkAndUnGZ.bat" "%USERPROFILE%\AppData\Local\Temp\OnboardLogs"\RTDC4029\2016-11-05</v>
      </c>
      <c r="AF73" s="88" t="str">
        <f t="shared" si="13"/>
        <v>"C:\Program Files (x86)\AstroGrep\AstroGrep.exe" /spath="%USERPROFILE%\AppData\Local\Temp\OnboardLogs" /stypes="app*4029*20161104*" /stext=" 17:.+((SYSTEM_STATE.+slice.+state.+changed )|(ment ac)|(system.+state.+changed )|(\[timeout)|(PRM\|1\|D)|(kpr)|(kdp)|(\|loc)|(penalty))"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161-04 --locoid 4029 --swversion DE.1.0.8.0 --startMP 204:471 --initTime 2016-11-04T11:09:27 --startdatetime 2016-11-04T11:15:17 --delay 1 --endMP 204:233283 --enddatetime 2016-11-04T11:53:29 --enforcementcount 0 &gt;&gt;C:\Users\stu\Documents\GitHub\eaglep3-reporting\EC\2016-11-04-refined-times.txt</v>
      </c>
      <c r="AI73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{"issue":{"subject":"","project_id":79,"tracker_id":40,"status_id":1,"priority_id":2,"assigned_to_id":23,"start_date":"2016-11-04","description":"","custom_fields":[{"id":1,"name":"Subdivision","value":"EC"},{"id":4,"name":"Milepost","value":"23.3283"},{"id":17,"name":"Train ID","value":"161-04"},{"id":16,"name":"Locomotive ID","value":"4029"},{"id":130,"name":"Impact","value":""},{"id":150,"name":"Time of Event (Mountain Time)","value":"11:53:29"},{"id":151,"name":"Denver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520</v>
      </c>
      <c r="B74" s="7">
        <v>4030</v>
      </c>
      <c r="C74" s="22" t="s">
        <v>239</v>
      </c>
      <c r="D74" s="22" t="s">
        <v>310</v>
      </c>
      <c r="E74" s="13">
        <v>42678.502233796295</v>
      </c>
      <c r="F74" s="13">
        <v>42678.5078125</v>
      </c>
      <c r="G74" s="7">
        <v>1</v>
      </c>
      <c r="H74" s="22" t="s">
        <v>250</v>
      </c>
      <c r="I74" s="13">
        <v>42678.537418981483</v>
      </c>
      <c r="J74" s="7">
        <v>0</v>
      </c>
      <c r="K74" s="112" t="str">
        <f t="shared" si="0"/>
        <v>4029/4030</v>
      </c>
      <c r="L74" s="22" t="str">
        <f>VLOOKUP(A74,'Trips&amp;Operators'!$C$1:$E$10000,3,FALSE)</f>
        <v>CLARK</v>
      </c>
      <c r="M74" s="6">
        <f t="shared" si="1"/>
        <v>2.9606481482915115E-2</v>
      </c>
      <c r="N74" s="7">
        <f t="shared" si="2"/>
        <v>42.633333335397765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11:03:13-0600',mode:absolute,to:'2016-11-04 13:53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23.2987</v>
      </c>
      <c r="Z74" s="67">
        <f t="shared" si="9"/>
        <v>1.3599999999999999E-2</v>
      </c>
      <c r="AA74" s="67">
        <f t="shared" si="10"/>
        <v>23.2851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11"/>
        <v>0162-04</v>
      </c>
      <c r="AE74" s="91" t="str">
        <f t="shared" si="12"/>
        <v>aws s3 cp s3://rtdc.mdm.uploadarchive.raw/RTDC4030/ "%USERPROFILE%\AppData\Local\Temp\OnboardLogs"\RTDC4030\2016-11-04 --exclude "*" --recursive --include "*20161104*" &amp; "%USERPROFILE%\Documents\GitHub\mrs-test-scripts\Headless Mode &amp; Sideloading\WalkAndUnGZ.bat" "%USERPROFILE%\AppData\Local\Temp\OnboardLogs"\RTDC4030\2016-11-04 &amp; aws s3 cp s3://rtdc.mdm.uploadarchive.raw/RTDC4030/ "%USERPROFILE%\AppData\Local\Temp\OnboardLogs"\RTDC4030\2016-11-05 --exclude "*" --recursive --include "*20161105*" &amp; "%USERPROFILE%\Documents\GitHub\mrs-test-scripts\Headless Mode &amp; Sideloading\WalkAndUnGZ.bat" "%USERPROFILE%\AppData\Local\Temp\OnboardLogs"\RTDC4030\2016-11-05</v>
      </c>
      <c r="AF74" s="88" t="str">
        <f t="shared" si="13"/>
        <v>"C:\Program Files (x86)\AstroGrep\AstroGrep.exe" /spath="%USERPROFILE%\AppData\Local\Temp\OnboardLogs" /stypes="app*4030*20161104*" /stext=" 18:.+((SYSTEM_STATE.+slice.+state.+changed )|(ment ac)|(system.+state.+changed )|(\[timeout)|(PRM\|1\|D)|(kpr)|(kdp)|(\|loc)|(penalty))"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162-04 --locoid 4030 --swversion DE.1.0.8.0 --startMP 204:232987 --initTime 2016-11-04T12:03:13 --startdatetime 2016-11-04T12:11:15 --delay 1 --endMP 204:136 --enddatetime 2016-11-04T12:53:53 --enforcementcount 0 &gt;&gt;C:\Users\stu\Documents\GitHub\eaglep3-reporting\EC\2016-11-04-refined-times.txt</v>
      </c>
      <c r="AI74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{"issue":{"subject":"","project_id":79,"tracker_id":40,"status_id":1,"priority_id":2,"assigned_to_id":23,"start_date":"2016-11-04","description":"","custom_fields":[{"id":1,"name":"Subdivision","value":"EC"},{"id":4,"name":"Milepost","value":"0.0136"},{"id":17,"name":"Train ID","value":"162-04"},{"id":16,"name":"Locomotive ID","value":"4030"},{"id":130,"name":"Impact","value":""},{"id":150,"name":"Time of Event (Mountain Time)","value":"12:53:53"},{"id":151,"name":"Denver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420</v>
      </c>
      <c r="B75" s="7">
        <v>4042</v>
      </c>
      <c r="C75" s="22" t="s">
        <v>239</v>
      </c>
      <c r="D75" s="22" t="s">
        <v>255</v>
      </c>
      <c r="E75" s="13">
        <v>42678.474236111113</v>
      </c>
      <c r="F75" s="13">
        <v>42678.479432870372</v>
      </c>
      <c r="G75" s="7">
        <v>1</v>
      </c>
      <c r="H75" s="22" t="s">
        <v>657</v>
      </c>
      <c r="I75" s="13">
        <v>42678.504016203704</v>
      </c>
      <c r="J75" s="7">
        <v>0</v>
      </c>
      <c r="K75" s="112" t="str">
        <f t="shared" si="0"/>
        <v>4041/4042</v>
      </c>
      <c r="L75" s="22" t="str">
        <f>VLOOKUP(A75,'Trips&amp;Operators'!$C$1:$E$10000,3,FALSE)</f>
        <v>SAFIEF</v>
      </c>
      <c r="M75" s="6">
        <f t="shared" si="1"/>
        <v>2.4583333331975155E-2</v>
      </c>
      <c r="N75" s="7">
        <f t="shared" si="2"/>
        <v>35.399999998044223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https://search-rtdc-monitor-bjffxe2xuh6vdkpspy63sjmuny.us-east-1.es.amazonaws.com/_plugin/kibana/#/discover/Steve-Slow-Train-Analysis-(2080s-and-2083s)?_g=(refreshInterval:(display:Off,section:0,value:0),time:(from:'2016-11-04 10:22:54-0600',mode:absolute,to:'2016-11-04 13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5" s="52" t="str">
        <f t="shared" si="6"/>
        <v>N</v>
      </c>
      <c r="X75" s="177">
        <f t="shared" si="7"/>
        <v>1</v>
      </c>
      <c r="Y75" s="67">
        <f t="shared" si="8"/>
        <v>4.4400000000000002E-2</v>
      </c>
      <c r="Z75" s="67">
        <f t="shared" si="9"/>
        <v>23.323599999999999</v>
      </c>
      <c r="AA75" s="67">
        <f t="shared" si="10"/>
        <v>23.279199999999999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11"/>
        <v>0163-04</v>
      </c>
      <c r="AE75" s="91" t="str">
        <f t="shared" si="12"/>
        <v>aws s3 cp s3://rtdc.mdm.uploadarchive.raw/RTDC4042/ "%USERPROFILE%\AppData\Local\Temp\OnboardLogs"\RTDC4042\2016-11-04 --exclude "*" --recursive --include "*20161104*" &amp; "%USERPROFILE%\Documents\GitHub\mrs-test-scripts\Headless Mode &amp; Sideloading\WalkAndUnGZ.bat" "%USERPROFILE%\AppData\Local\Temp\OnboardLogs"\RTDC4042\2016-11-04 &amp; aws s3 cp s3://rtdc.mdm.uploadarchive.raw/RTDC4042/ "%USERPROFILE%\AppData\Local\Temp\OnboardLogs"\RTDC4042\2016-11-05 --exclude "*" --recursive --include "*20161105*" &amp; "%USERPROFILE%\Documents\GitHub\mrs-test-scripts\Headless Mode &amp; Sideloading\WalkAndUnGZ.bat" "%USERPROFILE%\AppData\Local\Temp\OnboardLogs"\RTDC4042\2016-11-05</v>
      </c>
      <c r="AF75" s="88" t="str">
        <f t="shared" si="13"/>
        <v>"C:\Program Files (x86)\AstroGrep\AstroGrep.exe" /spath="%USERPROFILE%\AppData\Local\Temp\OnboardLogs" /stypes="app*4042*20161104*" /stext=" 18:.+((SYSTEM_STATE.+slice.+state.+changed )|(ment ac)|(system.+state.+changed )|(\[timeout)|(PRM\|1\|D)|(kpr)|(kdp)|(\|loc)|(penalty))"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163-04 --locoid 4042 --swversion DE.1.0.8.0 --startMP 204:444 --initTime 2016-11-04T11:22:54 --startdatetime 2016-11-04T11:30:23 --delay 1 --endMP 204:233236 --enddatetime 2016-11-04T12:05:47 --enforcementcount 0 &gt;&gt;C:\Users\stu\Documents\GitHub\eaglep3-reporting\EC\2016-11-04-refined-times.txt</v>
      </c>
      <c r="AI75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{"issue":{"subject":"","project_id":79,"tracker_id":40,"status_id":1,"priority_id":2,"assigned_to_id":23,"start_date":"2016-11-04","description":"","custom_fields":[{"id":1,"name":"Subdivision","value":"EC"},{"id":4,"name":"Milepost","value":"23.3236"},{"id":17,"name":"Train ID","value":"163-04"},{"id":16,"name":"Locomotive ID","value":"4042"},{"id":130,"name":"Impact","value":""},{"id":150,"name":"Time of Event (Mountain Time)","value":"12:05:47"},{"id":151,"name":"Denver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523</v>
      </c>
      <c r="B76" s="7">
        <v>4041</v>
      </c>
      <c r="C76" s="22" t="s">
        <v>239</v>
      </c>
      <c r="D76" s="22" t="s">
        <v>658</v>
      </c>
      <c r="E76" s="13">
        <v>42678.512303240743</v>
      </c>
      <c r="F76" s="13">
        <v>42678.518252314818</v>
      </c>
      <c r="G76" s="7">
        <v>1</v>
      </c>
      <c r="H76" s="22" t="s">
        <v>203</v>
      </c>
      <c r="I76" s="13">
        <v>42678.547349537039</v>
      </c>
      <c r="J76" s="7">
        <v>0</v>
      </c>
      <c r="K76" s="112" t="str">
        <f t="shared" ref="K76:K138" si="19">IF(ISEVEN(B76),(B76-1)&amp;"/"&amp;B76,B76&amp;"/"&amp;(B76+1))</f>
        <v>4041/4042</v>
      </c>
      <c r="L76" s="22" t="str">
        <f>VLOOKUP(A76,'Trips&amp;Operators'!$C$1:$E$10000,3,FALSE)</f>
        <v>SAFIEF</v>
      </c>
      <c r="M76" s="6">
        <f t="shared" ref="M76:M138" si="20">I76-F76</f>
        <v>2.9097222221025731E-2</v>
      </c>
      <c r="N76" s="7">
        <f t="shared" ref="N76:P138" si="21">24*60*SUM($M76:$M76)</f>
        <v>41.899999998277053</v>
      </c>
      <c r="O76" s="7"/>
      <c r="P76" s="7"/>
      <c r="Q76" s="23"/>
      <c r="R76" s="23"/>
      <c r="S76" s="35">
        <f t="shared" ref="S76:S138" si="22">SUM(U76:U76)/IF(AG76="EC",12,1)</f>
        <v>1</v>
      </c>
      <c r="T76" s="50" t="str">
        <f t="shared" ref="T76:T138" si="23">IF(ISEVEN(LEFT(AD76,4)),"Southbound","NorthBound")</f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ref="V76:V138" si="24"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https://search-rtdc-monitor-bjffxe2xuh6vdkpspy63sjmuny.us-east-1.es.amazonaws.com/_plugin/kibana/#/discover/Steve-Slow-Train-Analysis-(2080s-and-2083s)?_g=(refreshInterval:(display:Off,section:0,value:0),time:(from:'2016-11-04 11:17:43-0600',mode:absolute,to:'2016-11-04 14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6" s="52" t="str">
        <f t="shared" ref="W76:W138" si="25">IF(AA76&lt;IF(AG76="EC",23,5.65),"Y","N")</f>
        <v>N</v>
      </c>
      <c r="X76" s="177">
        <f t="shared" ref="X76:X138" si="26">VALUE(LEFT(AD76,4))-VALUE(LEFT(AD75,4))</f>
        <v>1</v>
      </c>
      <c r="Y76" s="67">
        <f t="shared" ref="Y76:Y138" si="27">RIGHT(D76,LEN(D76)-4)/10000</f>
        <v>23.292300000000001</v>
      </c>
      <c r="Z76" s="67">
        <f t="shared" ref="Z76:Z138" si="28">RIGHT(H76,LEN(H76)-4)/10000</f>
        <v>1.49E-2</v>
      </c>
      <c r="AA76" s="67">
        <f t="shared" ref="AA76:AA138" si="29">ABS(Z76-Y76)</f>
        <v>23.2774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ref="AD76:AD138" si="30">IF(LEN(A76)=6,"0"&amp;A76,A76)</f>
        <v>0164-04</v>
      </c>
      <c r="AE76" s="91" t="str">
        <f t="shared" ref="AE76:AE138" si="31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 &amp; aws s3 cp s3://rtdc.mdm.uploadarchive.raw/RTDC4041/ "%USERPROFILE%\AppData\Local\Temp\OnboardLogs"\RTDC4041\2016-11-05 --exclude "*" --recursive --include "*20161105*" &amp; "%USERPROFILE%\Documents\GitHub\mrs-test-scripts\Headless Mode &amp; Sideloading\WalkAndUnGZ.bat" "%USERPROFILE%\AppData\Local\Temp\OnboardLogs"\RTDC4041\2016-11-05</v>
      </c>
      <c r="AF76" s="88" t="str">
        <f t="shared" ref="AF76:AF138" si="32"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/stypes="app*4041*20161104*" /stext=" 19:.+((SYSTEM_STATE.+slice.+state.+changed )|(ment ac)|(system.+state.+changed )|(\[timeout)|(PRM\|1\|D)|(kpr)|(kdp)|(\|loc)|(penalty))" /e /r /s</v>
      </c>
      <c r="AG76" s="1" t="str">
        <f t="shared" ref="AG76:AG138" si="33">IFERROR(IF(VALUE(LEFT(AD76,2))&lt;=2,"EC",IF(OR(VALUE(LEFT(AD76,2))=8,VALUE(LEFT(AD76,2))=18),"NW","Other")),"Other")</f>
        <v>EC</v>
      </c>
      <c r="AH76" s="92" t="str">
        <f t="shared" si="17"/>
        <v>"%USERPROFILE%\Documents\GitHub\eaglep3\Utilities\RefineRTDCRunTimes.py" --tripid 164-04 --locoid 4041 --swversion DE.1.0.8.0 --startMP 204:232923 --initTime 2016-11-04T12:17:43 --startdatetime 2016-11-04T12:26:17 --delay 1 --endMP 204:149 --enddatetime 2016-11-04T13:08:11 --enforcementcount 0 &gt;&gt;C:\Users\stu\Documents\GitHub\eaglep3-reporting\EC\2016-11-04-refined-times.txt</v>
      </c>
      <c r="AI76" s="122" t="str">
        <f t="shared" si="18"/>
        <v>echo {"issue":{"subject":"","project_id":79,"tracker_id":40,"status_id":1,"priority_id":2,"assigned_to_id":23,"start_date":"2016-11-04","description":"","custom_fields":[{"id":1,"name":"Subdivision","value":"EC"},{"id":4,"name":"Milepost","value":"0.0149"},{"id":17,"name":"Train ID","value":"164-04"},{"id":16,"name":"Locomotive ID","value":"4041"},{"id":130,"name":"Impact","value":""},{"id":150,"name":"Time of Event (Mountain Time)","value":"13:08:11"},{"id":151,"name":"Denver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516</v>
      </c>
      <c r="B77" s="7">
        <v>4053</v>
      </c>
      <c r="C77" s="22" t="s">
        <v>239</v>
      </c>
      <c r="D77" s="22" t="s">
        <v>208</v>
      </c>
      <c r="E77" s="13">
        <v>42678.485844907409</v>
      </c>
      <c r="F77" s="13">
        <v>42678.489861111113</v>
      </c>
      <c r="G77" s="7">
        <v>1</v>
      </c>
      <c r="H77" s="22" t="s">
        <v>659</v>
      </c>
      <c r="I77" s="13">
        <v>42678.515300925923</v>
      </c>
      <c r="J77" s="7">
        <v>0</v>
      </c>
      <c r="K77" s="112" t="str">
        <f t="shared" si="19"/>
        <v>4053/4054</v>
      </c>
      <c r="L77" s="22" t="str">
        <f>VLOOKUP(A77,'Trips&amp;Operators'!$C$1:$E$10000,3,FALSE)</f>
        <v>SWANSON</v>
      </c>
      <c r="M77" s="6">
        <f t="shared" si="20"/>
        <v>2.5439814809942618E-2</v>
      </c>
      <c r="N77" s="7">
        <f t="shared" si="21"/>
        <v>36.63333332631737</v>
      </c>
      <c r="O77" s="7"/>
      <c r="P77" s="7"/>
      <c r="Q77" s="23"/>
      <c r="R77" s="23"/>
      <c r="S77" s="35">
        <f t="shared" si="22"/>
        <v>1</v>
      </c>
      <c r="T77" s="50" t="str">
        <f t="shared" si="23"/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10:39:37-0600',mode:absolute,to:'2016-11-04 13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77" s="52" t="str">
        <f t="shared" si="25"/>
        <v>N</v>
      </c>
      <c r="X77" s="177">
        <f t="shared" si="26"/>
        <v>1</v>
      </c>
      <c r="Y77" s="67">
        <f t="shared" si="27"/>
        <v>4.5499999999999999E-2</v>
      </c>
      <c r="Z77" s="67">
        <f t="shared" si="28"/>
        <v>23.331700000000001</v>
      </c>
      <c r="AA77" s="67">
        <f t="shared" si="29"/>
        <v>23.286200000000001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si="30"/>
        <v>0165-04</v>
      </c>
      <c r="AE77" s="91" t="str">
        <f t="shared" si="31"/>
        <v>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 &amp; 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</v>
      </c>
      <c r="AF77" s="88" t="str">
        <f t="shared" si="32"/>
        <v>"C:\Program Files (x86)\AstroGrep\AstroGrep.exe" /spath="%USERPROFILE%\AppData\Local\Temp\OnboardLogs" /stypes="app*4053*20161104*" /stext=" 18:.+((SYSTEM_STATE.+slice.+state.+changed )|(ment ac)|(system.+state.+changed )|(\[timeout)|(PRM\|1\|D)|(kpr)|(kdp)|(\|loc)|(penalty))" /e /r /s</v>
      </c>
      <c r="AG77" s="1" t="str">
        <f t="shared" si="33"/>
        <v>EC</v>
      </c>
      <c r="AH77" s="92" t="str">
        <f t="shared" ref="AH77:AH139" si="34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165-04 --locoid 4053 --swversion DE.1.0.8.0 --startMP 204:455 --initTime 2016-11-04T11:39:37 --startdatetime 2016-11-04T11:45:24 --delay 1 --endMP 204:233317 --enddatetime 2016-11-04T12:22:02 --enforcementcount 0 &gt;&gt;C:\Users\stu\Documents\GitHub\eaglep3-reporting\EC\2016-11-04-refined-times.txt</v>
      </c>
      <c r="AI77" s="122" t="str">
        <f t="shared" ref="AI77:AI139" si="35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{"issue":{"subject":"","project_id":79,"tracker_id":40,"status_id":1,"priority_id":2,"assigned_to_id":23,"start_date":"2016-11-04","description":"","custom_fields":[{"id":1,"name":"Subdivision","value":"EC"},{"id":4,"name":"Milepost","value":"23.3317"},{"id":17,"name":"Train ID","value":"165-04"},{"id":16,"name":"Locomotive ID","value":"4053"},{"id":130,"name":"Impact","value":""},{"id":150,"name":"Time of Event (Mountain Time)","value":"12:22:02"},{"id":151,"name":"Denver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524</v>
      </c>
      <c r="B78" s="7">
        <v>4054</v>
      </c>
      <c r="C78" s="22" t="s">
        <v>239</v>
      </c>
      <c r="D78" s="22" t="s">
        <v>310</v>
      </c>
      <c r="E78" s="13">
        <v>42678.517291666663</v>
      </c>
      <c r="F78" s="13">
        <v>42678.528993055559</v>
      </c>
      <c r="G78" s="7">
        <v>1</v>
      </c>
      <c r="H78" s="22" t="s">
        <v>205</v>
      </c>
      <c r="I78" s="13">
        <v>42678.555335648147</v>
      </c>
      <c r="J78" s="7">
        <v>0</v>
      </c>
      <c r="K78" s="112" t="str">
        <f t="shared" si="19"/>
        <v>4053/4054</v>
      </c>
      <c r="L78" s="22" t="str">
        <f>VLOOKUP(A78,'Trips&amp;Operators'!$C$1:$E$10000,3,FALSE)</f>
        <v>SWANSON</v>
      </c>
      <c r="M78" s="6">
        <f t="shared" si="20"/>
        <v>2.6342592587752733E-2</v>
      </c>
      <c r="N78" s="7">
        <f t="shared" si="21"/>
        <v>37.933333326363936</v>
      </c>
      <c r="O78" s="7"/>
      <c r="P78" s="7"/>
      <c r="Q78" s="23"/>
      <c r="R78" s="23"/>
      <c r="S78" s="35">
        <f t="shared" si="22"/>
        <v>1</v>
      </c>
      <c r="T78" s="50" t="str">
        <f t="shared" si="23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11:24:54-0600',mode:absolute,to:'2016-11-04 14:19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78" s="52" t="str">
        <f t="shared" si="25"/>
        <v>N</v>
      </c>
      <c r="X78" s="177">
        <f t="shared" si="26"/>
        <v>1</v>
      </c>
      <c r="Y78" s="67">
        <f t="shared" si="27"/>
        <v>23.2987</v>
      </c>
      <c r="Z78" s="67">
        <f t="shared" si="28"/>
        <v>1.43E-2</v>
      </c>
      <c r="AA78" s="67">
        <f t="shared" si="29"/>
        <v>23.284400000000002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30"/>
        <v>0166-04</v>
      </c>
      <c r="AE78" s="91" t="str">
        <f t="shared" si="31"/>
        <v>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 &amp; 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</v>
      </c>
      <c r="AF78" s="88" t="str">
        <f t="shared" si="32"/>
        <v>"C:\Program Files (x86)\AstroGrep\AstroGrep.exe" /spath="%USERPROFILE%\AppData\Local\Temp\OnboardLogs" /stypes="app*4054*20161104*" /stext=" 19:.+((SYSTEM_STATE.+slice.+state.+changed )|(ment ac)|(system.+state.+changed )|(\[timeout)|(PRM\|1\|D)|(kpr)|(kdp)|(\|loc)|(penalty))" /e /r /s</v>
      </c>
      <c r="AG78" s="1" t="str">
        <f t="shared" si="33"/>
        <v>EC</v>
      </c>
      <c r="AH78" s="92" t="str">
        <f t="shared" si="34"/>
        <v>"%USERPROFILE%\Documents\GitHub\eaglep3\Utilities\RefineRTDCRunTimes.py" --tripid 166-04 --locoid 4054 --swversion DE.1.0.8.0 --startMP 204:232987 --initTime 2016-11-04T12:24:54 --startdatetime 2016-11-04T12:41:45 --delay 1 --endMP 204:143 --enddatetime 2016-11-04T13:19:41 --enforcementcount 0 &gt;&gt;C:\Users\stu\Documents\GitHub\eaglep3-reporting\EC\2016-11-04-refined-times.txt</v>
      </c>
      <c r="AI78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{"issue":{"subject":"","project_id":79,"tracker_id":40,"status_id":1,"priority_id":2,"assigned_to_id":23,"start_date":"2016-11-04","description":"","custom_fields":[{"id":1,"name":"Subdivision","value":"EC"},{"id":4,"name":"Milepost","value":"0.0143"},{"id":17,"name":"Train ID","value":"166-04"},{"id":16,"name":"Locomotive ID","value":"4054"},{"id":130,"name":"Impact","value":""},{"id":150,"name":"Time of Event (Mountain Time)","value":"13:19:41"},{"id":151,"name":"Denver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519</v>
      </c>
      <c r="B79" s="7">
        <v>4038</v>
      </c>
      <c r="C79" s="22" t="s">
        <v>239</v>
      </c>
      <c r="D79" s="22" t="s">
        <v>660</v>
      </c>
      <c r="E79" s="13">
        <v>42678.500740740739</v>
      </c>
      <c r="F79" s="13">
        <v>42678.503935185188</v>
      </c>
      <c r="G79" s="7">
        <v>4</v>
      </c>
      <c r="H79" s="22" t="s">
        <v>230</v>
      </c>
      <c r="I79" s="13">
        <v>42678.528726851851</v>
      </c>
      <c r="J79" s="7">
        <v>0</v>
      </c>
      <c r="K79" s="112" t="str">
        <f t="shared" si="19"/>
        <v>4037/4038</v>
      </c>
      <c r="L79" s="22" t="str">
        <f>VLOOKUP(A79,'Trips&amp;Operators'!$C$1:$E$10000,3,FALSE)</f>
        <v>ADANE</v>
      </c>
      <c r="M79" s="6">
        <f t="shared" si="20"/>
        <v>2.4791666663077194E-2</v>
      </c>
      <c r="N79" s="7"/>
      <c r="O79" s="7"/>
      <c r="P79" s="7">
        <f t="shared" si="21"/>
        <v>35.69999999483116</v>
      </c>
      <c r="Q79" s="23"/>
      <c r="R79" s="23" t="s">
        <v>787</v>
      </c>
      <c r="S79" s="35">
        <f t="shared" si="22"/>
        <v>1</v>
      </c>
      <c r="T79" s="50" t="str">
        <f t="shared" si="23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11:01:04-0600',mode:absolute,to:'2016-11-04 13:41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9" s="52" t="str">
        <f t="shared" si="25"/>
        <v>Y</v>
      </c>
      <c r="X79" s="177">
        <f t="shared" si="26"/>
        <v>1</v>
      </c>
      <c r="Y79" s="67">
        <f t="shared" si="27"/>
        <v>0.33779999999999999</v>
      </c>
      <c r="Z79" s="67">
        <f t="shared" si="28"/>
        <v>23.3291</v>
      </c>
      <c r="AA79" s="67">
        <f t="shared" si="29"/>
        <v>22.991299999999999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30"/>
        <v>0167-04</v>
      </c>
      <c r="AE79" s="91" t="str">
        <f t="shared" si="31"/>
        <v>aws s3 cp s3://rtdc.mdm.uploadarchive.raw/RTDC4038/ "%USERPROFILE%\AppData\Local\Temp\OnboardLogs"\RTDC4038\2016-11-04 --exclude "*" --recursive --include "*20161104*" &amp; "%USERPROFILE%\Documents\GitHub\mrs-test-scripts\Headless Mode &amp; Sideloading\WalkAndUnGZ.bat" "%USERPROFILE%\AppData\Local\Temp\OnboardLogs"\RTDC4038\2016-11-04 &amp; aws s3 cp s3://rtdc.mdm.uploadarchive.raw/RTDC4038/ "%USERPROFILE%\AppData\Local\Temp\OnboardLogs"\RTDC4038\2016-11-05 --exclude "*" --recursive --include "*20161105*" &amp; "%USERPROFILE%\Documents\GitHub\mrs-test-scripts\Headless Mode &amp; Sideloading\WalkAndUnGZ.bat" "%USERPROFILE%\AppData\Local\Temp\OnboardLogs"\RTDC4038\2016-11-05</v>
      </c>
      <c r="AF79" s="88" t="str">
        <f t="shared" si="32"/>
        <v>"C:\Program Files (x86)\AstroGrep\AstroGrep.exe" /spath="%USERPROFILE%\AppData\Local\Temp\OnboardLogs" /stypes="app*4038*20161104*" /stext=" 18:.+((SYSTEM_STATE.+slice.+state.+changed )|(ment ac)|(system.+state.+changed )|(\[timeout)|(PRM\|1\|D)|(kpr)|(kdp)|(\|loc)|(penalty))" /e /r /s</v>
      </c>
      <c r="AG79" s="1" t="str">
        <f t="shared" si="33"/>
        <v>EC</v>
      </c>
      <c r="AH79" s="92" t="str">
        <f t="shared" si="34"/>
        <v>"%USERPROFILE%\Documents\GitHub\eaglep3\Utilities\RefineRTDCRunTimes.py" --tripid 167-04 --locoid 4038 --swversion DE.1.0.8.0 --startMP 204:3378 --initTime 2016-11-04T12:01:04 --startdatetime 2016-11-04T12:05:40 --delay 4 --endMP 204:233291 --enddatetime 2016-11-04T12:41:22 --enforcementcount 0 &gt;&gt;C:\Users\stu\Documents\GitHub\eaglep3-reporting\EC\2016-11-04-refined-times.txt</v>
      </c>
      <c r="AI79" s="122" t="str">
        <f t="shared" si="35"/>
        <v>echo {"issue":{"subject":"Onboard in-route failure","project_id":79,"tracker_id":40,"status_id":1,"priority_id":2,"assigned_to_id":23,"start_date":"2016-11-04","description":"Brake Pipe Pressure Failures - most likely triplex","custom_fields":[{"id":1,"name":"Subdivision","value":"EC"},{"id":4,"name":"Milepost","value":"23.3291"},{"id":17,"name":"Train ID","value":"167-04"},{"id":16,"name":"Locomotive ID","value":"4038"},{"id":130,"name":"Impact","value":"Failed State"},{"id":150,"name":"Time of Event (Mountain Time)","value":"12:41:22"},{"id":151,"name":"Denver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79" s="53" t="s">
        <v>789</v>
      </c>
      <c r="AK79" s="53" t="s">
        <v>128</v>
      </c>
      <c r="AL79" s="53" t="s">
        <v>178</v>
      </c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528</v>
      </c>
      <c r="B80" s="7">
        <v>4037</v>
      </c>
      <c r="C80" s="22" t="s">
        <v>239</v>
      </c>
      <c r="D80" s="22" t="s">
        <v>639</v>
      </c>
      <c r="E80" s="13">
        <v>42678.536435185182</v>
      </c>
      <c r="F80" s="13">
        <v>42678.539571759262</v>
      </c>
      <c r="G80" s="7">
        <v>1</v>
      </c>
      <c r="H80" s="22" t="s">
        <v>205</v>
      </c>
      <c r="I80" s="13">
        <v>42678.56490740741</v>
      </c>
      <c r="J80" s="7">
        <v>0</v>
      </c>
      <c r="K80" s="112" t="str">
        <f t="shared" si="19"/>
        <v>4037/4038</v>
      </c>
      <c r="L80" s="22" t="str">
        <f>VLOOKUP(A80,'Trips&amp;Operators'!$C$1:$E$10000,3,FALSE)</f>
        <v>ADANE</v>
      </c>
      <c r="M80" s="6">
        <f t="shared" si="20"/>
        <v>2.5335648148029577E-2</v>
      </c>
      <c r="N80" s="7">
        <f t="shared" si="21"/>
        <v>36.483333333162591</v>
      </c>
      <c r="O80" s="7"/>
      <c r="P80" s="7"/>
      <c r="Q80" s="23"/>
      <c r="R80" s="23"/>
      <c r="S80" s="35">
        <f t="shared" si="22"/>
        <v>1</v>
      </c>
      <c r="T80" s="50" t="str">
        <f t="shared" si="23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11:52:28-0600',mode:absolute,to:'2016-11-04 14:33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0" s="52" t="str">
        <f t="shared" si="25"/>
        <v>N</v>
      </c>
      <c r="X80" s="177">
        <f t="shared" si="26"/>
        <v>1</v>
      </c>
      <c r="Y80" s="67">
        <f t="shared" si="27"/>
        <v>23.296099999999999</v>
      </c>
      <c r="Z80" s="67">
        <f t="shared" si="28"/>
        <v>1.43E-2</v>
      </c>
      <c r="AA80" s="67">
        <f t="shared" si="29"/>
        <v>23.2818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30"/>
        <v>0168-04</v>
      </c>
      <c r="AE80" s="91" t="str">
        <f t="shared" si="31"/>
        <v>aws s3 cp s3://rtdc.mdm.uploadarchive.raw/RTDC4037/ "%USERPROFILE%\AppData\Local\Temp\OnboardLogs"\RTDC4037\2016-11-04 --exclude "*" --recursive --include "*20161104*" &amp; "%USERPROFILE%\Documents\GitHub\mrs-test-scripts\Headless Mode &amp; Sideloading\WalkAndUnGZ.bat" "%USERPROFILE%\AppData\Local\Temp\OnboardLogs"\RTDC4037\2016-11-04 &amp; aws s3 cp s3://rtdc.mdm.uploadarchive.raw/RTDC4037/ "%USERPROFILE%\AppData\Local\Temp\OnboardLogs"\RTDC4037\2016-11-05 --exclude "*" --recursive --include "*20161105*" &amp; "%USERPROFILE%\Documents\GitHub\mrs-test-scripts\Headless Mode &amp; Sideloading\WalkAndUnGZ.bat" "%USERPROFILE%\AppData\Local\Temp\OnboardLogs"\RTDC4037\2016-11-05</v>
      </c>
      <c r="AF80" s="88" t="str">
        <f t="shared" si="32"/>
        <v>"C:\Program Files (x86)\AstroGrep\AstroGrep.exe" /spath="%USERPROFILE%\AppData\Local\Temp\OnboardLogs" /stypes="app*4037*20161104*" /stext=" 19:.+((SYSTEM_STATE.+slice.+state.+changed )|(ment ac)|(system.+state.+changed )|(\[timeout)|(PRM\|1\|D)|(kpr)|(kdp)|(\|loc)|(penalty))" /e /r /s</v>
      </c>
      <c r="AG80" s="1" t="str">
        <f t="shared" si="33"/>
        <v>EC</v>
      </c>
      <c r="AH80" s="92" t="str">
        <f t="shared" si="34"/>
        <v>"%USERPROFILE%\Documents\GitHub\eaglep3\Utilities\RefineRTDCRunTimes.py" --tripid 168-04 --locoid 4037 --swversion DE.1.0.8.0 --startMP 204:232961 --initTime 2016-11-04T12:52:28 --startdatetime 2016-11-04T12:56:59 --delay 1 --endMP 204:143 --enddatetime 2016-11-04T13:33:28 --enforcementcount 0 &gt;&gt;C:\Users\stu\Documents\GitHub\eaglep3-reporting\EC\2016-11-04-refined-times.txt</v>
      </c>
      <c r="AI80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{"issue":{"subject":"","project_id":79,"tracker_id":40,"status_id":1,"priority_id":2,"assigned_to_id":23,"start_date":"2016-11-04","description":"","custom_fields":[{"id":1,"name":"Subdivision","value":"EC"},{"id":4,"name":"Milepost","value":"0.0143"},{"id":17,"name":"Train ID","value":"168-04"},{"id":16,"name":"Locomotive ID","value":"4037"},{"id":130,"name":"Impact","value":""},{"id":150,"name":"Time of Event (Mountain Time)","value":"13:33:28"},{"id":151,"name":"Denver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521</v>
      </c>
      <c r="B81" s="7">
        <v>4003</v>
      </c>
      <c r="C81" s="22" t="s">
        <v>239</v>
      </c>
      <c r="D81" s="22" t="s">
        <v>251</v>
      </c>
      <c r="E81" s="13">
        <v>42678.506157407406</v>
      </c>
      <c r="F81" s="13">
        <v>42678.510636574072</v>
      </c>
      <c r="G81" s="7">
        <v>1</v>
      </c>
      <c r="H81" s="22" t="s">
        <v>661</v>
      </c>
      <c r="I81" s="13">
        <v>42678.536134259259</v>
      </c>
      <c r="J81" s="7">
        <v>0</v>
      </c>
      <c r="K81" s="112" t="str">
        <f t="shared" si="19"/>
        <v>4003/4004</v>
      </c>
      <c r="L81" s="22" t="str">
        <f>VLOOKUP(A81,'Trips&amp;Operators'!$C$1:$E$10000,3,FALSE)</f>
        <v>SHOOK</v>
      </c>
      <c r="M81" s="6">
        <f t="shared" si="20"/>
        <v>2.5497685186564922E-2</v>
      </c>
      <c r="N81" s="7">
        <f t="shared" si="21"/>
        <v>36.716666668653488</v>
      </c>
      <c r="O81" s="7"/>
      <c r="P81" s="7"/>
      <c r="Q81" s="23"/>
      <c r="R81" s="23"/>
      <c r="S81" s="35">
        <f t="shared" si="22"/>
        <v>1</v>
      </c>
      <c r="T81" s="50" t="str">
        <f t="shared" si="23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11:08:52-0600',mode:absolute,to:'2016-11-04 13:52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1" s="52" t="str">
        <f t="shared" si="25"/>
        <v>N</v>
      </c>
      <c r="X81" s="177">
        <f t="shared" si="26"/>
        <v>1</v>
      </c>
      <c r="Y81" s="67">
        <f t="shared" si="27"/>
        <v>4.3799999999999999E-2</v>
      </c>
      <c r="Z81" s="67">
        <f t="shared" si="28"/>
        <v>23.336400000000001</v>
      </c>
      <c r="AA81" s="67">
        <f t="shared" si="29"/>
        <v>23.2926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30"/>
        <v>0169-04</v>
      </c>
      <c r="AE81" s="91" t="str">
        <f t="shared" si="31"/>
        <v>aws s3 cp s3://rtdc.mdm.uploadarchive.raw/RTDC4003/ "%USERPROFILE%\AppData\Local\Temp\OnboardLogs"\RTDC4003\2016-11-04 --exclude "*" --recursive --include "*20161104*" &amp; "%USERPROFILE%\Documents\GitHub\mrs-test-scripts\Headless Mode &amp; Sideloading\WalkAndUnGZ.bat" "%USERPROFILE%\AppData\Local\Temp\OnboardLogs"\RTDC4003\2016-11-04 &amp; 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</v>
      </c>
      <c r="AF81" s="88" t="str">
        <f t="shared" si="32"/>
        <v>"C:\Program Files (x86)\AstroGrep\AstroGrep.exe" /spath="%USERPROFILE%\AppData\Local\Temp\OnboardLogs" /stypes="app*4003*20161104*" /stext=" 18:.+((SYSTEM_STATE.+slice.+state.+changed )|(ment ac)|(system.+state.+changed )|(\[timeout)|(PRM\|1\|D)|(kpr)|(kdp)|(\|loc)|(penalty))" /e /r /s</v>
      </c>
      <c r="AG81" s="1" t="str">
        <f t="shared" si="33"/>
        <v>EC</v>
      </c>
      <c r="AH81" s="92" t="str">
        <f t="shared" si="34"/>
        <v>"%USERPROFILE%\Documents\GitHub\eaglep3\Utilities\RefineRTDCRunTimes.py" --tripid 169-04 --locoid 4003 --swversion DE.1.0.8.0 --startMP 204:438 --initTime 2016-11-04T12:08:52 --startdatetime 2016-11-04T12:15:19 --delay 1 --endMP 204:233364 --enddatetime 2016-11-04T12:52:02 --enforcementcount 0 &gt;&gt;C:\Users\stu\Documents\GitHub\eaglep3-reporting\EC\2016-11-04-refined-times.txt</v>
      </c>
      <c r="AI81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{"issue":{"subject":"","project_id":79,"tracker_id":40,"status_id":1,"priority_id":2,"assigned_to_id":23,"start_date":"2016-11-04","description":"","custom_fields":[{"id":1,"name":"Subdivision","value":"EC"},{"id":4,"name":"Milepost","value":"23.3364"},{"id":17,"name":"Train ID","value":"169-04"},{"id":16,"name":"Locomotive ID","value":"4003"},{"id":130,"name":"Impact","value":""},{"id":150,"name":"Time of Event (Mountain Time)","value":"12:52:02"},{"id":151,"name":"Denver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530</v>
      </c>
      <c r="B82" s="7">
        <v>4004</v>
      </c>
      <c r="C82" s="22" t="s">
        <v>239</v>
      </c>
      <c r="D82" s="22" t="s">
        <v>662</v>
      </c>
      <c r="E82" s="13">
        <v>42678.543738425928</v>
      </c>
      <c r="F82" s="13">
        <v>42678.549513888887</v>
      </c>
      <c r="G82" s="7">
        <v>1</v>
      </c>
      <c r="H82" s="22" t="s">
        <v>364</v>
      </c>
      <c r="I82" s="13">
        <v>42678.575497685182</v>
      </c>
      <c r="J82" s="7">
        <v>0</v>
      </c>
      <c r="K82" s="112" t="str">
        <f t="shared" si="19"/>
        <v>4003/4004</v>
      </c>
      <c r="L82" s="22" t="str">
        <f>VLOOKUP(A82,'Trips&amp;Operators'!$C$1:$E$10000,3,FALSE)</f>
        <v>SHOOK</v>
      </c>
      <c r="M82" s="6">
        <f t="shared" si="20"/>
        <v>2.5983796294895001E-2</v>
      </c>
      <c r="N82" s="7">
        <f t="shared" si="21"/>
        <v>37.416666664648801</v>
      </c>
      <c r="O82" s="7"/>
      <c r="P82" s="7"/>
      <c r="Q82" s="23"/>
      <c r="R82" s="23"/>
      <c r="S82" s="35">
        <f t="shared" si="22"/>
        <v>1</v>
      </c>
      <c r="T82" s="50" t="str">
        <f t="shared" si="23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12:02:59-0600',mode:absolute,to:'2016-11-04 14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2" s="52" t="str">
        <f t="shared" si="25"/>
        <v>N</v>
      </c>
      <c r="X82" s="177">
        <f t="shared" si="26"/>
        <v>1</v>
      </c>
      <c r="Y82" s="67">
        <f t="shared" si="27"/>
        <v>23.304500000000001</v>
      </c>
      <c r="Z82" s="67">
        <f t="shared" si="28"/>
        <v>1.4999999999999999E-2</v>
      </c>
      <c r="AA82" s="67">
        <f t="shared" si="29"/>
        <v>23.2895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30"/>
        <v>0170-04</v>
      </c>
      <c r="AE82" s="91" t="str">
        <f t="shared" si="31"/>
        <v>aws s3 cp s3://rtdc.mdm.uploadarchive.raw/RTDC4004/ "%USERPROFILE%\AppData\Local\Temp\OnboardLogs"\RTDC4004\2016-11-04 --exclude "*" --recursive --include "*20161104*" &amp; "%USERPROFILE%\Documents\GitHub\mrs-test-scripts\Headless Mode &amp; Sideloading\WalkAndUnGZ.bat" "%USERPROFILE%\AppData\Local\Temp\OnboardLogs"\RTDC4004\2016-11-04 &amp; 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</v>
      </c>
      <c r="AF82" s="88" t="str">
        <f t="shared" si="32"/>
        <v>"C:\Program Files (x86)\AstroGrep\AstroGrep.exe" /spath="%USERPROFILE%\AppData\Local\Temp\OnboardLogs" /stypes="app*4004*20161104*" /stext=" 19:.+((SYSTEM_STATE.+slice.+state.+changed )|(ment ac)|(system.+state.+changed )|(\[timeout)|(PRM\|1\|D)|(kpr)|(kdp)|(\|loc)|(penalty))" /e /r /s</v>
      </c>
      <c r="AG82" s="1" t="str">
        <f t="shared" si="33"/>
        <v>EC</v>
      </c>
      <c r="AH82" s="92" t="str">
        <f t="shared" si="34"/>
        <v>"%USERPROFILE%\Documents\GitHub\eaglep3\Utilities\RefineRTDCRunTimes.py" --tripid 170-04 --locoid 4004 --swversion DE.1.0.8.0 --startMP 204:233045 --initTime 2016-11-04T13:02:59 --startdatetime 2016-11-04T13:11:18 --delay 1 --endMP 204:150 --enddatetime 2016-11-04T13:48:43 --enforcementcount 0 &gt;&gt;C:\Users\stu\Documents\GitHub\eaglep3-reporting\EC\2016-11-04-refined-times.txt</v>
      </c>
      <c r="AI82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{"issue":{"subject":"","project_id":79,"tracker_id":40,"status_id":1,"priority_id":2,"assigned_to_id":23,"start_date":"2016-11-04","description":"","custom_fields":[{"id":1,"name":"Subdivision","value":"EC"},{"id":4,"name":"Milepost","value":"0.015"},{"id":17,"name":"Train ID","value":"170-04"},{"id":16,"name":"Locomotive ID","value":"4004"},{"id":130,"name":"Impact","value":""},{"id":150,"name":"Time of Event (Mountain Time)","value":"13:48:43"},{"id":151,"name":"Denver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525</v>
      </c>
      <c r="B83" s="7">
        <v>4007</v>
      </c>
      <c r="C83" s="22" t="s">
        <v>239</v>
      </c>
      <c r="D83" s="22" t="s">
        <v>244</v>
      </c>
      <c r="E83" s="13">
        <v>42678.51662037037</v>
      </c>
      <c r="F83" s="13">
        <v>42678.521226851852</v>
      </c>
      <c r="G83" s="7">
        <v>2</v>
      </c>
      <c r="H83" s="22" t="s">
        <v>663</v>
      </c>
      <c r="I83" s="13">
        <v>42678.546342592592</v>
      </c>
      <c r="J83" s="7">
        <v>0</v>
      </c>
      <c r="K83" s="112" t="str">
        <f t="shared" si="19"/>
        <v>4007/4008</v>
      </c>
      <c r="L83" s="22" t="str">
        <f>VLOOKUP(A83,'Trips&amp;Operators'!$C$1:$E$10000,3,FALSE)</f>
        <v>MACDONALD</v>
      </c>
      <c r="M83" s="6">
        <f t="shared" si="20"/>
        <v>2.5115740740147885E-2</v>
      </c>
      <c r="N83" s="7">
        <f t="shared" si="21"/>
        <v>36.166666665812954</v>
      </c>
      <c r="O83" s="7"/>
      <c r="P83" s="7"/>
      <c r="Q83" s="23"/>
      <c r="R83" s="23"/>
      <c r="S83" s="35">
        <f t="shared" si="22"/>
        <v>1</v>
      </c>
      <c r="T83" s="50" t="str">
        <f t="shared" si="23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11:23:56-0600',mode:absolute,to:'2016-11-04 14:06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3" s="52" t="str">
        <f t="shared" si="25"/>
        <v>N</v>
      </c>
      <c r="X83" s="177">
        <f t="shared" si="26"/>
        <v>1</v>
      </c>
      <c r="Y83" s="67">
        <f t="shared" si="27"/>
        <v>4.58E-2</v>
      </c>
      <c r="Z83" s="67">
        <f t="shared" si="28"/>
        <v>23.333600000000001</v>
      </c>
      <c r="AA83" s="67">
        <f t="shared" si="29"/>
        <v>23.287800000000001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30"/>
        <v>0171-04</v>
      </c>
      <c r="AE83" s="91" t="str">
        <f t="shared" si="31"/>
        <v>aws s3 cp s3://rtdc.mdm.uploadarchive.raw/RTDC4007/ "%USERPROFILE%\AppData\Local\Temp\OnboardLogs"\RTDC4007\2016-11-04 --exclude "*" --recursive --include "*20161104*" &amp; "%USERPROFILE%\Documents\GitHub\mrs-test-scripts\Headless Mode &amp; Sideloading\WalkAndUnGZ.bat" "%USERPROFILE%\AppData\Local\Temp\OnboardLogs"\RTDC4007\2016-11-04 &amp; aws s3 cp s3://rtdc.mdm.uploadarchive.raw/RTDC4007/ "%USERPROFILE%\AppData\Local\Temp\OnboardLogs"\RTDC4007\2016-11-05 --exclude "*" --recursive --include "*20161105*" &amp; "%USERPROFILE%\Documents\GitHub\mrs-test-scripts\Headless Mode &amp; Sideloading\WalkAndUnGZ.bat" "%USERPROFILE%\AppData\Local\Temp\OnboardLogs"\RTDC4007\2016-11-05</v>
      </c>
      <c r="AF83" s="88" t="str">
        <f t="shared" si="32"/>
        <v>"C:\Program Files (x86)\AstroGrep\AstroGrep.exe" /spath="%USERPROFILE%\AppData\Local\Temp\OnboardLogs" /stypes="app*4007*20161104*" /stext=" 19:.+((SYSTEM_STATE.+slice.+state.+changed )|(ment ac)|(system.+state.+changed )|(\[timeout)|(PRM\|1\|D)|(kpr)|(kdp)|(\|loc)|(penalty))" /e /r /s</v>
      </c>
      <c r="AG83" s="1" t="str">
        <f t="shared" si="33"/>
        <v>EC</v>
      </c>
      <c r="AH83" s="92" t="str">
        <f t="shared" si="34"/>
        <v>"%USERPROFILE%\Documents\GitHub\eaglep3\Utilities\RefineRTDCRunTimes.py" --tripid 171-04 --locoid 4007 --swversion DE.1.0.8.0 --startMP 204:458 --initTime 2016-11-04T12:23:56 --startdatetime 2016-11-04T12:30:34 --delay 2 --endMP 204:233336 --enddatetime 2016-11-04T13:06:44 --enforcementcount 0 &gt;&gt;C:\Users\stu\Documents\GitHub\eaglep3-reporting\EC\2016-11-04-refined-times.txt</v>
      </c>
      <c r="AI83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{"issue":{"subject":"","project_id":79,"tracker_id":40,"status_id":1,"priority_id":2,"assigned_to_id":23,"start_date":"2016-11-04","description":"","custom_fields":[{"id":1,"name":"Subdivision","value":"EC"},{"id":4,"name":"Milepost","value":"23.3336"},{"id":17,"name":"Train ID","value":"171-04"},{"id":16,"name":"Locomotive ID","value":"4007"},{"id":130,"name":"Impact","value":""},{"id":150,"name":"Time of Event (Mountain Time)","value":"13:06:44"},{"id":151,"name":"Denver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421</v>
      </c>
      <c r="B84" s="7">
        <v>4008</v>
      </c>
      <c r="C84" s="22" t="s">
        <v>239</v>
      </c>
      <c r="D84" s="22" t="s">
        <v>266</v>
      </c>
      <c r="E84" s="13">
        <v>42678.55537037037</v>
      </c>
      <c r="F84" s="13">
        <v>42678.594270833331</v>
      </c>
      <c r="G84" s="7">
        <v>2</v>
      </c>
      <c r="H84" s="22" t="s">
        <v>640</v>
      </c>
      <c r="I84" s="13">
        <v>42678.61886574074</v>
      </c>
      <c r="J84" s="7">
        <v>0</v>
      </c>
      <c r="K84" s="112" t="str">
        <f t="shared" si="19"/>
        <v>4007/4008</v>
      </c>
      <c r="L84" s="22" t="str">
        <f>VLOOKUP(A84,'Trips&amp;Operators'!$C$1:$E$10000,3,FALSE)</f>
        <v>MACDONALD</v>
      </c>
      <c r="M84" s="6">
        <f t="shared" si="20"/>
        <v>2.4594907408754807E-2</v>
      </c>
      <c r="N84" s="7">
        <f t="shared" si="21"/>
        <v>35.416666668606922</v>
      </c>
      <c r="O84" s="7"/>
      <c r="P84" s="7"/>
      <c r="Q84" s="23"/>
      <c r="R84" s="23"/>
      <c r="S84" s="35">
        <f t="shared" si="22"/>
        <v>1</v>
      </c>
      <c r="T84" s="50" t="str">
        <f t="shared" si="23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12:19:44-0600',mode:absolute,to:'2016-11-04 15:51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4" s="52" t="str">
        <f t="shared" si="25"/>
        <v>N</v>
      </c>
      <c r="X84" s="177">
        <f t="shared" si="26"/>
        <v>1</v>
      </c>
      <c r="Y84" s="67">
        <f t="shared" si="27"/>
        <v>23.299600000000002</v>
      </c>
      <c r="Z84" s="67">
        <f t="shared" si="28"/>
        <v>1.6299999999999999E-2</v>
      </c>
      <c r="AA84" s="67">
        <f t="shared" si="29"/>
        <v>23.283300000000001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30"/>
        <v>0172-04</v>
      </c>
      <c r="AE84" s="91" t="str">
        <f t="shared" si="31"/>
        <v>aws s3 cp s3://rtdc.mdm.uploadarchive.raw/RTDC4008/ "%USERPROFILE%\AppData\Local\Temp\OnboardLogs"\RTDC4008\2016-11-04 --exclude "*" --recursive --include "*20161104*" &amp; "%USERPROFILE%\Documents\GitHub\mrs-test-scripts\Headless Mode &amp; Sideloading\WalkAndUnGZ.bat" "%USERPROFILE%\AppData\Local\Temp\OnboardLogs"\RTDC4008\2016-11-04 &amp; aws s3 cp s3://rtdc.mdm.uploadarchive.raw/RTDC4008/ "%USERPROFILE%\AppData\Local\Temp\OnboardLogs"\RTDC4008\2016-11-05 --exclude "*" --recursive --include "*20161105*" &amp; "%USERPROFILE%\Documents\GitHub\mrs-test-scripts\Headless Mode &amp; Sideloading\WalkAndUnGZ.bat" "%USERPROFILE%\AppData\Local\Temp\OnboardLogs"\RTDC4008\2016-11-05</v>
      </c>
      <c r="AF84" s="88" t="str">
        <f t="shared" si="32"/>
        <v>"C:\Program Files (x86)\AstroGrep\AstroGrep.exe" /spath="%USERPROFILE%\AppData\Local\Temp\OnboardLogs" /stypes="app*4008*20161104*" /stext=" 20:.+((SYSTEM_STATE.+slice.+state.+changed )|(ment ac)|(system.+state.+changed )|(\[timeout)|(PRM\|1\|D)|(kpr)|(kdp)|(\|loc)|(penalty))" /e /r /s</v>
      </c>
      <c r="AG84" s="1" t="str">
        <f t="shared" si="33"/>
        <v>EC</v>
      </c>
      <c r="AH84" s="92" t="str">
        <f t="shared" si="34"/>
        <v>"%USERPROFILE%\Documents\GitHub\eaglep3\Utilities\RefineRTDCRunTimes.py" --tripid 172-04 --locoid 4008 --swversion DE.1.0.8.0 --startMP 204:232996 --initTime 2016-11-04T13:19:44 --startdatetime 2016-11-04T14:15:45 --delay 2 --endMP 204:163 --enddatetime 2016-11-04T14:51:10 --enforcementcount 0 &gt;&gt;C:\Users\stu\Documents\GitHub\eaglep3-reporting\EC\2016-11-04-refined-times.txt</v>
      </c>
      <c r="AI84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{"issue":{"subject":"","project_id":79,"tracker_id":40,"status_id":1,"priority_id":2,"assigned_to_id":23,"start_date":"2016-11-04","description":"","custom_fields":[{"id":1,"name":"Subdivision","value":"EC"},{"id":4,"name":"Milepost","value":"0.0163"},{"id":17,"name":"Train ID","value":"172-04"},{"id":16,"name":"Locomotive ID","value":"4008"},{"id":130,"name":"Impact","value":""},{"id":150,"name":"Time of Event (Mountain Time)","value":"14:51:10"},{"id":151,"name":"Denver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526</v>
      </c>
      <c r="B85" s="7">
        <v>4022</v>
      </c>
      <c r="C85" s="22" t="s">
        <v>239</v>
      </c>
      <c r="D85" s="22" t="s">
        <v>209</v>
      </c>
      <c r="E85" s="13">
        <v>42678.525937500002</v>
      </c>
      <c r="F85" s="13">
        <v>42678.531504629631</v>
      </c>
      <c r="G85" s="7">
        <v>2</v>
      </c>
      <c r="H85" s="22" t="s">
        <v>210</v>
      </c>
      <c r="I85" s="13">
        <v>42678.556238425925</v>
      </c>
      <c r="J85" s="7">
        <v>0</v>
      </c>
      <c r="K85" s="112" t="str">
        <f t="shared" si="19"/>
        <v>4021/4022</v>
      </c>
      <c r="L85" s="22" t="str">
        <f>VLOOKUP(A85,'Trips&amp;Operators'!$C$1:$E$10000,3,FALSE)</f>
        <v>STEWART</v>
      </c>
      <c r="M85" s="6">
        <f t="shared" si="20"/>
        <v>2.4733796293730848E-2</v>
      </c>
      <c r="N85" s="7">
        <f t="shared" si="21"/>
        <v>35.61666666297242</v>
      </c>
      <c r="O85" s="7"/>
      <c r="P85" s="7"/>
      <c r="Q85" s="23"/>
      <c r="R85" s="23"/>
      <c r="S85" s="35">
        <f t="shared" si="22"/>
        <v>1</v>
      </c>
      <c r="T85" s="50" t="str">
        <f t="shared" si="23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11:37:21-0600',mode:absolute,to:'2016-11-04 14:20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85" s="52" t="str">
        <f t="shared" si="25"/>
        <v>N</v>
      </c>
      <c r="X85" s="177">
        <f t="shared" si="26"/>
        <v>1</v>
      </c>
      <c r="Y85" s="67">
        <f t="shared" si="27"/>
        <v>4.6600000000000003E-2</v>
      </c>
      <c r="Z85" s="67">
        <f t="shared" si="28"/>
        <v>23.329499999999999</v>
      </c>
      <c r="AA85" s="67">
        <f t="shared" si="29"/>
        <v>23.282899999999998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30"/>
        <v>0173-04</v>
      </c>
      <c r="AE85" s="91" t="str">
        <f t="shared" si="31"/>
        <v>aws s3 cp s3://rtdc.mdm.uploadarchive.raw/RTDC4022/ "%USERPROFILE%\AppData\Local\Temp\OnboardLogs"\RTDC4022\2016-11-04 --exclude "*" --recursive --include "*20161104*" &amp; "%USERPROFILE%\Documents\GitHub\mrs-test-scripts\Headless Mode &amp; Sideloading\WalkAndUnGZ.bat" "%USERPROFILE%\AppData\Local\Temp\OnboardLogs"\RTDC4022\2016-11-04 &amp; aws s3 cp s3://rtdc.mdm.uploadarchive.raw/RTDC4022/ "%USERPROFILE%\AppData\Local\Temp\OnboardLogs"\RTDC4022\2016-11-05 --exclude "*" --recursive --include "*20161105*" &amp; "%USERPROFILE%\Documents\GitHub\mrs-test-scripts\Headless Mode &amp; Sideloading\WalkAndUnGZ.bat" "%USERPROFILE%\AppData\Local\Temp\OnboardLogs"\RTDC4022\2016-11-05</v>
      </c>
      <c r="AF85" s="88" t="str">
        <f t="shared" si="32"/>
        <v>"C:\Program Files (x86)\AstroGrep\AstroGrep.exe" /spath="%USERPROFILE%\AppData\Local\Temp\OnboardLogs" /stypes="app*4022*20161104*" /stext=" 19:.+((SYSTEM_STATE.+slice.+state.+changed )|(ment ac)|(system.+state.+changed )|(\[timeout)|(PRM\|1\|D)|(kpr)|(kdp)|(\|loc)|(penalty))" /e /r /s</v>
      </c>
      <c r="AG85" s="1" t="str">
        <f t="shared" si="33"/>
        <v>EC</v>
      </c>
      <c r="AH85" s="92" t="str">
        <f t="shared" si="34"/>
        <v>"%USERPROFILE%\Documents\GitHub\eaglep3\Utilities\RefineRTDCRunTimes.py" --tripid 173-04 --locoid 4022 --swversion DE.1.0.8.0 --startMP 204:466 --initTime 2016-11-04T12:37:21 --startdatetime 2016-11-04T12:45:22 --delay 2 --endMP 204:233295 --enddatetime 2016-11-04T13:20:59 --enforcementcount 0 &gt;&gt;C:\Users\stu\Documents\GitHub\eaglep3-reporting\EC\2016-11-04-refined-times.txt</v>
      </c>
      <c r="AI85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{"issue":{"subject":"","project_id":79,"tracker_id":40,"status_id":1,"priority_id":2,"assigned_to_id":23,"start_date":"2016-11-04","description":"","custom_fields":[{"id":1,"name":"Subdivision","value":"EC"},{"id":4,"name":"Milepost","value":"23.3295"},{"id":17,"name":"Train ID","value":"173-04"},{"id":16,"name":"Locomotive ID","value":"4022"},{"id":130,"name":"Impact","value":""},{"id":150,"name":"Time of Event (Mountain Time)","value":"13:20:59"},{"id":151,"name":"Denver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534</v>
      </c>
      <c r="B86" s="7">
        <v>4021</v>
      </c>
      <c r="C86" s="22" t="s">
        <v>239</v>
      </c>
      <c r="D86" s="22" t="s">
        <v>231</v>
      </c>
      <c r="E86" s="13">
        <v>42678.564675925925</v>
      </c>
      <c r="F86" s="13">
        <v>42678.570555555554</v>
      </c>
      <c r="G86" s="7">
        <v>1</v>
      </c>
      <c r="H86" s="22" t="s">
        <v>201</v>
      </c>
      <c r="I86" s="13">
        <v>42678.596203703702</v>
      </c>
      <c r="J86" s="7">
        <v>0</v>
      </c>
      <c r="K86" s="112" t="str">
        <f t="shared" si="19"/>
        <v>4021/4022</v>
      </c>
      <c r="L86" s="22" t="str">
        <f>VLOOKUP(A86,'Trips&amp;Operators'!$C$1:$E$10000,3,FALSE)</f>
        <v>STEWART</v>
      </c>
      <c r="M86" s="6">
        <f t="shared" si="20"/>
        <v>2.5648148148320615E-2</v>
      </c>
      <c r="N86" s="7">
        <f t="shared" si="21"/>
        <v>36.933333333581686</v>
      </c>
      <c r="O86" s="7"/>
      <c r="P86" s="7"/>
      <c r="Q86" s="23"/>
      <c r="R86" s="23"/>
      <c r="S86" s="35">
        <f t="shared" si="22"/>
        <v>1</v>
      </c>
      <c r="T86" s="50" t="str">
        <f t="shared" si="23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12:33:08-0600',mode:absolute,to:'2016-11-04 15:18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86" s="52" t="str">
        <f t="shared" si="25"/>
        <v>N</v>
      </c>
      <c r="X86" s="177">
        <f t="shared" si="26"/>
        <v>1</v>
      </c>
      <c r="Y86" s="67">
        <f t="shared" si="27"/>
        <v>23.298500000000001</v>
      </c>
      <c r="Z86" s="67">
        <f t="shared" si="28"/>
        <v>1.54E-2</v>
      </c>
      <c r="AA86" s="67">
        <f t="shared" si="29"/>
        <v>23.283100000000001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30"/>
        <v>0174-04</v>
      </c>
      <c r="AE86" s="91" t="str">
        <f t="shared" si="31"/>
        <v>aws s3 cp s3://rtdc.mdm.uploadarchive.raw/RTDC4021/ "%USERPROFILE%\AppData\Local\Temp\OnboardLogs"\RTDC4021\2016-11-04 --exclude "*" --recursive --include "*20161104*" &amp; "%USERPROFILE%\Documents\GitHub\mrs-test-scripts\Headless Mode &amp; Sideloading\WalkAndUnGZ.bat" "%USERPROFILE%\AppData\Local\Temp\OnboardLogs"\RTDC4021\2016-11-04 &amp; aws s3 cp s3://rtdc.mdm.uploadarchive.raw/RTDC4021/ "%USERPROFILE%\AppData\Local\Temp\OnboardLogs"\RTDC4021\2016-11-05 --exclude "*" --recursive --include "*20161105*" &amp; "%USERPROFILE%\Documents\GitHub\mrs-test-scripts\Headless Mode &amp; Sideloading\WalkAndUnGZ.bat" "%USERPROFILE%\AppData\Local\Temp\OnboardLogs"\RTDC4021\2016-11-05</v>
      </c>
      <c r="AF86" s="88" t="str">
        <f t="shared" si="32"/>
        <v>"C:\Program Files (x86)\AstroGrep\AstroGrep.exe" /spath="%USERPROFILE%\AppData\Local\Temp\OnboardLogs" /stypes="app*4021*20161104*" /stext=" 20:.+((SYSTEM_STATE.+slice.+state.+changed )|(ment ac)|(system.+state.+changed )|(\[timeout)|(PRM\|1\|D)|(kpr)|(kdp)|(\|loc)|(penalty))" /e /r /s</v>
      </c>
      <c r="AG86" s="1" t="str">
        <f t="shared" si="33"/>
        <v>EC</v>
      </c>
      <c r="AH86" s="92" t="str">
        <f t="shared" si="34"/>
        <v>"%USERPROFILE%\Documents\GitHub\eaglep3\Utilities\RefineRTDCRunTimes.py" --tripid 174-04 --locoid 4021 --swversion DE.1.0.8.0 --startMP 204:232985 --initTime 2016-11-04T13:33:08 --startdatetime 2016-11-04T13:41:36 --delay 1 --endMP 204:154 --enddatetime 2016-11-04T14:18:32 --enforcementcount 0 &gt;&gt;C:\Users\stu\Documents\GitHub\eaglep3-reporting\EC\2016-11-04-refined-times.txt</v>
      </c>
      <c r="AI86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{"issue":{"subject":"","project_id":79,"tracker_id":40,"status_id":1,"priority_id":2,"assigned_to_id":23,"start_date":"2016-11-04","description":"","custom_fields":[{"id":1,"name":"Subdivision","value":"EC"},{"id":4,"name":"Milepost","value":"0.0154"},{"id":17,"name":"Train ID","value":"174-04"},{"id":16,"name":"Locomotive ID","value":"4021"},{"id":130,"name":"Impact","value":""},{"id":150,"name":"Time of Event (Mountain Time)","value":"14:18:32"},{"id":151,"name":"Denver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529</v>
      </c>
      <c r="B87" s="7">
        <v>4029</v>
      </c>
      <c r="C87" s="22" t="s">
        <v>239</v>
      </c>
      <c r="D87" s="22" t="s">
        <v>208</v>
      </c>
      <c r="E87" s="13">
        <v>42678.538634259261</v>
      </c>
      <c r="F87" s="13">
        <v>42678.54184027778</v>
      </c>
      <c r="G87" s="7">
        <v>1</v>
      </c>
      <c r="H87" s="22" t="s">
        <v>664</v>
      </c>
      <c r="I87" s="13">
        <v>42678.567094907405</v>
      </c>
      <c r="J87" s="7">
        <v>0</v>
      </c>
      <c r="K87" s="112" t="str">
        <f t="shared" si="19"/>
        <v>4029/4030</v>
      </c>
      <c r="L87" s="22" t="str">
        <f>VLOOKUP(A87,'Trips&amp;Operators'!$C$1:$E$10000,3,FALSE)</f>
        <v>CLARK</v>
      </c>
      <c r="M87" s="6">
        <f t="shared" si="20"/>
        <v>2.5254629625123926E-2</v>
      </c>
      <c r="N87" s="7">
        <f t="shared" si="21"/>
        <v>36.366666660178453</v>
      </c>
      <c r="O87" s="7"/>
      <c r="P87" s="7"/>
      <c r="Q87" s="23"/>
      <c r="R87" s="23"/>
      <c r="S87" s="35">
        <f t="shared" si="22"/>
        <v>1</v>
      </c>
      <c r="T87" s="50" t="str">
        <f t="shared" si="23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11:55:38-0600',mode:absolute,to:'2016-11-04 14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7" s="52" t="str">
        <f t="shared" si="25"/>
        <v>N</v>
      </c>
      <c r="X87" s="177">
        <f t="shared" si="26"/>
        <v>1</v>
      </c>
      <c r="Y87" s="67">
        <f t="shared" si="27"/>
        <v>4.5499999999999999E-2</v>
      </c>
      <c r="Z87" s="67">
        <f t="shared" si="28"/>
        <v>23.329899999999999</v>
      </c>
      <c r="AA87" s="67">
        <f t="shared" si="29"/>
        <v>23.284399999999998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30"/>
        <v>0175-04</v>
      </c>
      <c r="AE87" s="91" t="str">
        <f t="shared" si="31"/>
        <v>aws s3 cp s3://rtdc.mdm.uploadarchive.raw/RTDC4029/ "%USERPROFILE%\AppData\Local\Temp\OnboardLogs"\RTDC4029\2016-11-04 --exclude "*" --recursive --include "*20161104*" &amp; "%USERPROFILE%\Documents\GitHub\mrs-test-scripts\Headless Mode &amp; Sideloading\WalkAndUnGZ.bat" "%USERPROFILE%\AppData\Local\Temp\OnboardLogs"\RTDC4029\2016-11-04 &amp; aws s3 cp s3://rtdc.mdm.uploadarchive.raw/RTDC4029/ "%USERPROFILE%\AppData\Local\Temp\OnboardLogs"\RTDC4029\2016-11-05 --exclude "*" --recursive --include "*20161105*" &amp; "%USERPROFILE%\Documents\GitHub\mrs-test-scripts\Headless Mode &amp; Sideloading\WalkAndUnGZ.bat" "%USERPROFILE%\AppData\Local\Temp\OnboardLogs"\RTDC4029\2016-11-05</v>
      </c>
      <c r="AF87" s="88" t="str">
        <f t="shared" si="32"/>
        <v>"C:\Program Files (x86)\AstroGrep\AstroGrep.exe" /spath="%USERPROFILE%\AppData\Local\Temp\OnboardLogs" /stypes="app*4029*20161104*" /stext=" 19:.+((SYSTEM_STATE.+slice.+state.+changed )|(ment ac)|(system.+state.+changed )|(\[timeout)|(PRM\|1\|D)|(kpr)|(kdp)|(\|loc)|(penalty))" /e /r /s</v>
      </c>
      <c r="AG87" s="1" t="str">
        <f t="shared" si="33"/>
        <v>EC</v>
      </c>
      <c r="AH87" s="92" t="str">
        <f t="shared" si="34"/>
        <v>"%USERPROFILE%\Documents\GitHub\eaglep3\Utilities\RefineRTDCRunTimes.py" --tripid 175-04 --locoid 4029 --swversion DE.1.0.8.0 --startMP 204:455 --initTime 2016-11-04T12:55:38 --startdatetime 2016-11-04T13:00:15 --delay 1 --endMP 204:233299 --enddatetime 2016-11-04T13:36:37 --enforcementcount 0 &gt;&gt;C:\Users\stu\Documents\GitHub\eaglep3-reporting\EC\2016-11-04-refined-times.txt</v>
      </c>
      <c r="AI87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{"issue":{"subject":"","project_id":79,"tracker_id":40,"status_id":1,"priority_id":2,"assigned_to_id":23,"start_date":"2016-11-04","description":"","custom_fields":[{"id":1,"name":"Subdivision","value":"EC"},{"id":4,"name":"Milepost","value":"23.3299"},{"id":17,"name":"Train ID","value":"175-04"},{"id":16,"name":"Locomotive ID","value":"4029"},{"id":130,"name":"Impact","value":""},{"id":150,"name":"Time of Event (Mountain Time)","value":"13:36:37"},{"id":151,"name":"Denver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537</v>
      </c>
      <c r="B88" s="7">
        <v>4030</v>
      </c>
      <c r="C88" s="22" t="s">
        <v>239</v>
      </c>
      <c r="D88" s="22" t="s">
        <v>267</v>
      </c>
      <c r="E88" s="13">
        <v>42678.577222222222</v>
      </c>
      <c r="F88" s="13">
        <v>42678.580729166664</v>
      </c>
      <c r="G88" s="7">
        <v>1</v>
      </c>
      <c r="H88" s="22" t="s">
        <v>205</v>
      </c>
      <c r="I88" s="13">
        <v>42678.609016203707</v>
      </c>
      <c r="J88" s="7">
        <v>0</v>
      </c>
      <c r="K88" s="112" t="str">
        <f t="shared" si="19"/>
        <v>4029/4030</v>
      </c>
      <c r="L88" s="22" t="str">
        <f>VLOOKUP(A88,'Trips&amp;Operators'!$C$1:$E$10000,3,FALSE)</f>
        <v>CLARK</v>
      </c>
      <c r="M88" s="6">
        <f t="shared" si="20"/>
        <v>2.828703704290092E-2</v>
      </c>
      <c r="N88" s="7">
        <f t="shared" si="21"/>
        <v>40.733333341777325</v>
      </c>
      <c r="O88" s="7"/>
      <c r="P88" s="7"/>
      <c r="Q88" s="23"/>
      <c r="R88" s="23"/>
      <c r="S88" s="35">
        <f t="shared" si="22"/>
        <v>1</v>
      </c>
      <c r="T88" s="50" t="str">
        <f t="shared" si="23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12:51:12-0600',mode:absolute,to:'2016-11-04 15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8" s="52" t="str">
        <f t="shared" si="25"/>
        <v>N</v>
      </c>
      <c r="X88" s="177">
        <f t="shared" si="26"/>
        <v>1</v>
      </c>
      <c r="Y88" s="67">
        <f t="shared" si="27"/>
        <v>23.297999999999998</v>
      </c>
      <c r="Z88" s="67">
        <f t="shared" si="28"/>
        <v>1.43E-2</v>
      </c>
      <c r="AA88" s="67">
        <f t="shared" si="29"/>
        <v>23.2837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30"/>
        <v>0176-04</v>
      </c>
      <c r="AE88" s="91" t="str">
        <f t="shared" si="31"/>
        <v>aws s3 cp s3://rtdc.mdm.uploadarchive.raw/RTDC4030/ "%USERPROFILE%\AppData\Local\Temp\OnboardLogs"\RTDC4030\2016-11-04 --exclude "*" --recursive --include "*20161104*" &amp; "%USERPROFILE%\Documents\GitHub\mrs-test-scripts\Headless Mode &amp; Sideloading\WalkAndUnGZ.bat" "%USERPROFILE%\AppData\Local\Temp\OnboardLogs"\RTDC4030\2016-11-04 &amp; aws s3 cp s3://rtdc.mdm.uploadarchive.raw/RTDC4030/ "%USERPROFILE%\AppData\Local\Temp\OnboardLogs"\RTDC4030\2016-11-05 --exclude "*" --recursive --include "*20161105*" &amp; "%USERPROFILE%\Documents\GitHub\mrs-test-scripts\Headless Mode &amp; Sideloading\WalkAndUnGZ.bat" "%USERPROFILE%\AppData\Local\Temp\OnboardLogs"\RTDC4030\2016-11-05</v>
      </c>
      <c r="AF88" s="88" t="str">
        <f t="shared" si="32"/>
        <v>"C:\Program Files (x86)\AstroGrep\AstroGrep.exe" /spath="%USERPROFILE%\AppData\Local\Temp\OnboardLogs" /stypes="app*4030*20161104*" /stext=" 20:.+((SYSTEM_STATE.+slice.+state.+changed )|(ment ac)|(system.+state.+changed )|(\[timeout)|(PRM\|1\|D)|(kpr)|(kdp)|(\|loc)|(penalty))" /e /r /s</v>
      </c>
      <c r="AG88" s="1" t="str">
        <f t="shared" si="33"/>
        <v>EC</v>
      </c>
      <c r="AH88" s="92" t="str">
        <f t="shared" si="34"/>
        <v>"%USERPROFILE%\Documents\GitHub\eaglep3\Utilities\RefineRTDCRunTimes.py" --tripid 176-04 --locoid 4030 --swversion DE.1.0.8.0 --startMP 204:232980 --initTime 2016-11-04T13:51:12 --startdatetime 2016-11-04T13:56:15 --delay 1 --endMP 204:143 --enddatetime 2016-11-04T14:36:59 --enforcementcount 0 &gt;&gt;C:\Users\stu\Documents\GitHub\eaglep3-reporting\EC\2016-11-04-refined-times.txt</v>
      </c>
      <c r="AI88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{"issue":{"subject":"","project_id":79,"tracker_id":40,"status_id":1,"priority_id":2,"assigned_to_id":23,"start_date":"2016-11-04","description":"","custom_fields":[{"id":1,"name":"Subdivision","value":"EC"},{"id":4,"name":"Milepost","value":"0.0143"},{"id":17,"name":"Train ID","value":"176-04"},{"id":16,"name":"Locomotive ID","value":"4030"},{"id":130,"name":"Impact","value":""},{"id":150,"name":"Time of Event (Mountain Time)","value":"14:36:59"},{"id":151,"name":"Denver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531</v>
      </c>
      <c r="B89" s="7">
        <v>4042</v>
      </c>
      <c r="C89" s="22" t="s">
        <v>239</v>
      </c>
      <c r="D89" s="22" t="s">
        <v>207</v>
      </c>
      <c r="E89" s="13">
        <v>42678.548726851855</v>
      </c>
      <c r="F89" s="13">
        <v>42678.552303240744</v>
      </c>
      <c r="G89" s="7">
        <v>1</v>
      </c>
      <c r="H89" s="22" t="s">
        <v>283</v>
      </c>
      <c r="I89" s="13">
        <v>42678.577268518522</v>
      </c>
      <c r="J89" s="7">
        <v>0</v>
      </c>
      <c r="K89" s="112" t="str">
        <f t="shared" si="19"/>
        <v>4041/4042</v>
      </c>
      <c r="L89" s="22" t="str">
        <f>VLOOKUP(A89,'Trips&amp;Operators'!$C$1:$E$10000,3,FALSE)</f>
        <v>SAFIEF</v>
      </c>
      <c r="M89" s="6">
        <f t="shared" si="20"/>
        <v>2.4965277778392192E-2</v>
      </c>
      <c r="N89" s="7">
        <f t="shared" si="21"/>
        <v>35.950000000884756</v>
      </c>
      <c r="O89" s="7"/>
      <c r="P89" s="7"/>
      <c r="Q89" s="23"/>
      <c r="R89" s="23"/>
      <c r="S89" s="35">
        <f t="shared" si="22"/>
        <v>1</v>
      </c>
      <c r="T89" s="50" t="str">
        <f t="shared" si="23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12:10:10-0600',mode:absolute,to:'2016-11-04 14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9" s="52" t="str">
        <f t="shared" si="25"/>
        <v>N</v>
      </c>
      <c r="X89" s="177">
        <f t="shared" si="26"/>
        <v>1</v>
      </c>
      <c r="Y89" s="67">
        <f t="shared" si="27"/>
        <v>4.53E-2</v>
      </c>
      <c r="Z89" s="67">
        <f t="shared" si="28"/>
        <v>23.331199999999999</v>
      </c>
      <c r="AA89" s="67">
        <f t="shared" si="29"/>
        <v>23.285899999999998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30"/>
        <v>0177-04</v>
      </c>
      <c r="AE89" s="91" t="str">
        <f t="shared" si="31"/>
        <v>aws s3 cp s3://rtdc.mdm.uploadarchive.raw/RTDC4042/ "%USERPROFILE%\AppData\Local\Temp\OnboardLogs"\RTDC4042\2016-11-04 --exclude "*" --recursive --include "*20161104*" &amp; "%USERPROFILE%\Documents\GitHub\mrs-test-scripts\Headless Mode &amp; Sideloading\WalkAndUnGZ.bat" "%USERPROFILE%\AppData\Local\Temp\OnboardLogs"\RTDC4042\2016-11-04 &amp; aws s3 cp s3://rtdc.mdm.uploadarchive.raw/RTDC4042/ "%USERPROFILE%\AppData\Local\Temp\OnboardLogs"\RTDC4042\2016-11-05 --exclude "*" --recursive --include "*20161105*" &amp; "%USERPROFILE%\Documents\GitHub\mrs-test-scripts\Headless Mode &amp; Sideloading\WalkAndUnGZ.bat" "%USERPROFILE%\AppData\Local\Temp\OnboardLogs"\RTDC4042\2016-11-05</v>
      </c>
      <c r="AF89" s="88" t="str">
        <f t="shared" si="32"/>
        <v>"C:\Program Files (x86)\AstroGrep\AstroGrep.exe" /spath="%USERPROFILE%\AppData\Local\Temp\OnboardLogs" /stypes="app*4042*20161104*" /stext=" 19:.+((SYSTEM_STATE.+slice.+state.+changed )|(ment ac)|(system.+state.+changed )|(\[timeout)|(PRM\|1\|D)|(kpr)|(kdp)|(\|loc)|(penalty))" /e /r /s</v>
      </c>
      <c r="AG89" s="1" t="str">
        <f t="shared" si="33"/>
        <v>EC</v>
      </c>
      <c r="AH89" s="92" t="str">
        <f t="shared" si="34"/>
        <v>"%USERPROFILE%\Documents\GitHub\eaglep3\Utilities\RefineRTDCRunTimes.py" --tripid 177-04 --locoid 4042 --swversion DE.1.0.8.0 --startMP 204:453 --initTime 2016-11-04T13:10:10 --startdatetime 2016-11-04T13:15:19 --delay 1 --endMP 204:233312 --enddatetime 2016-11-04T13:51:16 --enforcementcount 0 &gt;&gt;C:\Users\stu\Documents\GitHub\eaglep3-reporting\EC\2016-11-04-refined-times.txt</v>
      </c>
      <c r="AI89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{"issue":{"subject":"","project_id":79,"tracker_id":40,"status_id":1,"priority_id":2,"assigned_to_id":23,"start_date":"2016-11-04","description":"","custom_fields":[{"id":1,"name":"Subdivision","value":"EC"},{"id":4,"name":"Milepost","value":"23.3312"},{"id":17,"name":"Train ID","value":"177-04"},{"id":16,"name":"Locomotive ID","value":"4042"},{"id":130,"name":"Impact","value":""},{"id":150,"name":"Time of Event (Mountain Time)","value":"13:51:16"},{"id":151,"name":"Denver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422</v>
      </c>
      <c r="B90" s="7">
        <v>4041</v>
      </c>
      <c r="C90" s="22" t="s">
        <v>239</v>
      </c>
      <c r="D90" s="22" t="s">
        <v>380</v>
      </c>
      <c r="E90" s="13">
        <v>42678.579791666663</v>
      </c>
      <c r="F90" s="13">
        <v>42678.591192129628</v>
      </c>
      <c r="G90" s="7">
        <v>1</v>
      </c>
      <c r="H90" s="22" t="s">
        <v>181</v>
      </c>
      <c r="I90" s="13">
        <v>42678.617407407408</v>
      </c>
      <c r="J90" s="7">
        <v>0</v>
      </c>
      <c r="K90" s="112" t="str">
        <f t="shared" si="19"/>
        <v>4041/4042</v>
      </c>
      <c r="L90" s="22" t="str">
        <f>VLOOKUP(A90,'Trips&amp;Operators'!$C$1:$E$10000,3,FALSE)</f>
        <v>SAFIEF</v>
      </c>
      <c r="M90" s="6">
        <f t="shared" si="20"/>
        <v>2.6215277779556345E-2</v>
      </c>
      <c r="N90" s="7">
        <f t="shared" si="21"/>
        <v>37.750000002561137</v>
      </c>
      <c r="O90" s="7"/>
      <c r="P90" s="7"/>
      <c r="Q90" s="23"/>
      <c r="R90" s="23"/>
      <c r="S90" s="35">
        <f t="shared" si="22"/>
        <v>1</v>
      </c>
      <c r="T90" s="50" t="str">
        <f t="shared" si="23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12:54:54-0600',mode:absolute,to:'2016-11-04 15:49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0" s="52" t="str">
        <f t="shared" si="25"/>
        <v>N</v>
      </c>
      <c r="X90" s="177">
        <f t="shared" si="26"/>
        <v>1</v>
      </c>
      <c r="Y90" s="67">
        <f t="shared" si="27"/>
        <v>23.300799999999999</v>
      </c>
      <c r="Z90" s="67">
        <f t="shared" si="28"/>
        <v>1.41E-2</v>
      </c>
      <c r="AA90" s="67">
        <f t="shared" si="29"/>
        <v>23.2867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30"/>
        <v>0178-04</v>
      </c>
      <c r="AE90" s="91" t="str">
        <f t="shared" si="31"/>
        <v>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 &amp; aws s3 cp s3://rtdc.mdm.uploadarchive.raw/RTDC4041/ "%USERPROFILE%\AppData\Local\Temp\OnboardLogs"\RTDC4041\2016-11-05 --exclude "*" --recursive --include "*20161105*" &amp; "%USERPROFILE%\Documents\GitHub\mrs-test-scripts\Headless Mode &amp; Sideloading\WalkAndUnGZ.bat" "%USERPROFILE%\AppData\Local\Temp\OnboardLogs"\RTDC4041\2016-11-05</v>
      </c>
      <c r="AF90" s="88" t="str">
        <f t="shared" si="32"/>
        <v>"C:\Program Files (x86)\AstroGrep\AstroGrep.exe" /spath="%USERPROFILE%\AppData\Local\Temp\OnboardLogs" /stypes="app*4041*20161104*" /stext=" 20:.+((SYSTEM_STATE.+slice.+state.+changed )|(ment ac)|(system.+state.+changed )|(\[timeout)|(PRM\|1\|D)|(kpr)|(kdp)|(\|loc)|(penalty))" /e /r /s</v>
      </c>
      <c r="AG90" s="1" t="str">
        <f t="shared" si="33"/>
        <v>EC</v>
      </c>
      <c r="AH90" s="92" t="str">
        <f t="shared" si="34"/>
        <v>"%USERPROFILE%\Documents\GitHub\eaglep3\Utilities\RefineRTDCRunTimes.py" --tripid 178-04 --locoid 4041 --swversion DE.1.0.8.0 --startMP 204:233008 --initTime 2016-11-04T13:54:54 --startdatetime 2016-11-04T14:11:19 --delay 1 --endMP 204:141 --enddatetime 2016-11-04T14:49:04 --enforcementcount 0 &gt;&gt;C:\Users\stu\Documents\GitHub\eaglep3-reporting\EC\2016-11-04-refined-times.txt</v>
      </c>
      <c r="AI90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{"issue":{"subject":"","project_id":79,"tracker_id":40,"status_id":1,"priority_id":2,"assigned_to_id":23,"start_date":"2016-11-04","description":"","custom_fields":[{"id":1,"name":"Subdivision","value":"EC"},{"id":4,"name":"Milepost","value":"0.0141"},{"id":17,"name":"Train ID","value":"178-04"},{"id":16,"name":"Locomotive ID","value":"4041"},{"id":130,"name":"Impact","value":""},{"id":150,"name":"Time of Event (Mountain Time)","value":"14:49:04"},{"id":151,"name":"Denver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533</v>
      </c>
      <c r="B91" s="7">
        <v>4053</v>
      </c>
      <c r="C91" s="22" t="s">
        <v>239</v>
      </c>
      <c r="D91" s="22" t="s">
        <v>637</v>
      </c>
      <c r="E91" s="13">
        <v>42678.55678240741</v>
      </c>
      <c r="F91" s="13">
        <v>42678.562696759262</v>
      </c>
      <c r="G91" s="7">
        <v>1</v>
      </c>
      <c r="H91" s="22" t="s">
        <v>338</v>
      </c>
      <c r="I91" s="13">
        <v>42678.587627314817</v>
      </c>
      <c r="J91" s="7">
        <v>0</v>
      </c>
      <c r="K91" s="112" t="str">
        <f t="shared" si="19"/>
        <v>4053/4054</v>
      </c>
      <c r="L91" s="22" t="str">
        <f>VLOOKUP(A91,'Trips&amp;Operators'!$C$1:$E$10000,3,FALSE)</f>
        <v>SWANSON</v>
      </c>
      <c r="M91" s="6">
        <f t="shared" si="20"/>
        <v>2.4930555555329192E-2</v>
      </c>
      <c r="N91" s="7">
        <f t="shared" si="21"/>
        <v>35.899999999674037</v>
      </c>
      <c r="O91" s="7"/>
      <c r="P91" s="7"/>
      <c r="Q91" s="23"/>
      <c r="R91" s="23"/>
      <c r="S91" s="35">
        <f t="shared" si="22"/>
        <v>1</v>
      </c>
      <c r="T91" s="50" t="str">
        <f t="shared" si="23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12:21:46-0600',mode:absolute,to:'2016-11-04 15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91" s="52" t="str">
        <f t="shared" si="25"/>
        <v>N</v>
      </c>
      <c r="X91" s="177">
        <f t="shared" si="26"/>
        <v>1</v>
      </c>
      <c r="Y91" s="67">
        <f t="shared" si="27"/>
        <v>4.4600000000000001E-2</v>
      </c>
      <c r="Z91" s="67">
        <f t="shared" si="28"/>
        <v>23.3324</v>
      </c>
      <c r="AA91" s="67">
        <f t="shared" si="29"/>
        <v>23.287800000000001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30"/>
        <v>0179-04</v>
      </c>
      <c r="AE91" s="91" t="str">
        <f t="shared" si="31"/>
        <v>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 &amp; 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</v>
      </c>
      <c r="AF91" s="88" t="str">
        <f t="shared" si="32"/>
        <v>"C:\Program Files (x86)\AstroGrep\AstroGrep.exe" /spath="%USERPROFILE%\AppData\Local\Temp\OnboardLogs" /stypes="app*4053*20161104*" /stext=" 20:.+((SYSTEM_STATE.+slice.+state.+changed )|(ment ac)|(system.+state.+changed )|(\[timeout)|(PRM\|1\|D)|(kpr)|(kdp)|(\|loc)|(penalty))" /e /r /s</v>
      </c>
      <c r="AG91" s="1" t="str">
        <f t="shared" si="33"/>
        <v>EC</v>
      </c>
      <c r="AH91" s="92" t="str">
        <f t="shared" si="34"/>
        <v>"%USERPROFILE%\Documents\GitHub\eaglep3\Utilities\RefineRTDCRunTimes.py" --tripid 179-04 --locoid 4053 --swversion DE.1.0.8.0 --startMP 204:446 --initTime 2016-11-04T13:21:46 --startdatetime 2016-11-04T13:30:17 --delay 1 --endMP 204:233324 --enddatetime 2016-11-04T14:06:11 --enforcementcount 0 &gt;&gt;C:\Users\stu\Documents\GitHub\eaglep3-reporting\EC\2016-11-04-refined-times.txt</v>
      </c>
      <c r="AI91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{"issue":{"subject":"","project_id":79,"tracker_id":40,"status_id":1,"priority_id":2,"assigned_to_id":23,"start_date":"2016-11-04","description":"","custom_fields":[{"id":1,"name":"Subdivision","value":"EC"},{"id":4,"name":"Milepost","value":"23.3324"},{"id":17,"name":"Train ID","value":"179-04"},{"id":16,"name":"Locomotive ID","value":"4053"},{"id":130,"name":"Impact","value":""},{"id":150,"name":"Time of Event (Mountain Time)","value":"14:06:11"},{"id":151,"name":"Denver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540</v>
      </c>
      <c r="B92" s="7">
        <v>4054</v>
      </c>
      <c r="C92" s="22" t="s">
        <v>239</v>
      </c>
      <c r="D92" s="22" t="s">
        <v>665</v>
      </c>
      <c r="E92" s="13">
        <v>42678.591631944444</v>
      </c>
      <c r="F92" s="13">
        <v>42678.601712962962</v>
      </c>
      <c r="G92" s="7">
        <v>1</v>
      </c>
      <c r="H92" s="22" t="s">
        <v>203</v>
      </c>
      <c r="I92" s="13">
        <v>42678.629629629628</v>
      </c>
      <c r="J92" s="7">
        <v>0</v>
      </c>
      <c r="K92" s="112" t="str">
        <f t="shared" si="19"/>
        <v>4053/4054</v>
      </c>
      <c r="L92" s="22" t="str">
        <f>VLOOKUP(A92,'Trips&amp;Operators'!$C$1:$E$10000,3,FALSE)</f>
        <v>SWANSON</v>
      </c>
      <c r="M92" s="6">
        <f t="shared" si="20"/>
        <v>2.7916666665987577E-2</v>
      </c>
      <c r="N92" s="7">
        <f t="shared" si="21"/>
        <v>40.199999999022111</v>
      </c>
      <c r="O92" s="7"/>
      <c r="P92" s="7"/>
      <c r="Q92" s="23"/>
      <c r="R92" s="23"/>
      <c r="S92" s="35">
        <f t="shared" si="22"/>
        <v>1</v>
      </c>
      <c r="T92" s="50" t="str">
        <f t="shared" si="23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13:11:57-0600',mode:absolute,to:'2016-11-04 16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92" s="52" t="str">
        <f t="shared" si="25"/>
        <v>N</v>
      </c>
      <c r="X92" s="177">
        <f t="shared" si="26"/>
        <v>1</v>
      </c>
      <c r="Y92" s="67">
        <f t="shared" si="27"/>
        <v>23.301300000000001</v>
      </c>
      <c r="Z92" s="67">
        <f t="shared" si="28"/>
        <v>1.49E-2</v>
      </c>
      <c r="AA92" s="67">
        <f t="shared" si="29"/>
        <v>23.2864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30"/>
        <v>0180-04</v>
      </c>
      <c r="AE92" s="91" t="str">
        <f t="shared" si="31"/>
        <v>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 &amp; 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</v>
      </c>
      <c r="AF92" s="88" t="str">
        <f t="shared" si="32"/>
        <v>"C:\Program Files (x86)\AstroGrep\AstroGrep.exe" /spath="%USERPROFILE%\AppData\Local\Temp\OnboardLogs" /stypes="app*4054*20161104*" /stext=" 21:.+((SYSTEM_STATE.+slice.+state.+changed )|(ment ac)|(system.+state.+changed )|(\[timeout)|(PRM\|1\|D)|(kpr)|(kdp)|(\|loc)|(penalty))" /e /r /s</v>
      </c>
      <c r="AG92" s="1" t="str">
        <f t="shared" si="33"/>
        <v>EC</v>
      </c>
      <c r="AH92" s="92" t="str">
        <f t="shared" si="34"/>
        <v>"%USERPROFILE%\Documents\GitHub\eaglep3\Utilities\RefineRTDCRunTimes.py" --tripid 180-04 --locoid 4054 --swversion DE.1.0.8.0 --startMP 204:233013 --initTime 2016-11-04T14:11:57 --startdatetime 2016-11-04T14:26:28 --delay 1 --endMP 204:149 --enddatetime 2016-11-04T15:06:40 --enforcementcount 0 &gt;&gt;C:\Users\stu\Documents\GitHub\eaglep3-reporting\EC\2016-11-04-refined-times.txt</v>
      </c>
      <c r="AI92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{"issue":{"subject":"","project_id":79,"tracker_id":40,"status_id":1,"priority_id":2,"assigned_to_id":23,"start_date":"2016-11-04","description":"","custom_fields":[{"id":1,"name":"Subdivision","value":"EC"},{"id":4,"name":"Milepost","value":"0.0149"},{"id":17,"name":"Train ID","value":"180-04"},{"id":16,"name":"Locomotive ID","value":"4054"},{"id":130,"name":"Impact","value":""},{"id":150,"name":"Time of Event (Mountain Time)","value":"15:06:40"},{"id":151,"name":"Denver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536</v>
      </c>
      <c r="B93" s="7">
        <v>4038</v>
      </c>
      <c r="C93" s="22" t="s">
        <v>239</v>
      </c>
      <c r="D93" s="22" t="s">
        <v>666</v>
      </c>
      <c r="E93" s="13">
        <v>42678.569594907407</v>
      </c>
      <c r="F93" s="13">
        <v>42678.573391203703</v>
      </c>
      <c r="G93" s="7">
        <v>1</v>
      </c>
      <c r="H93" s="22" t="s">
        <v>367</v>
      </c>
      <c r="I93" s="13">
        <v>42678.597557870373</v>
      </c>
      <c r="J93" s="7">
        <v>0</v>
      </c>
      <c r="K93" s="112" t="str">
        <f t="shared" si="19"/>
        <v>4037/4038</v>
      </c>
      <c r="L93" s="22" t="str">
        <f>VLOOKUP(A93,'Trips&amp;Operators'!$C$1:$E$10000,3,FALSE)</f>
        <v>ADANE</v>
      </c>
      <c r="M93" s="6">
        <f t="shared" si="20"/>
        <v>2.4166666669771075E-2</v>
      </c>
      <c r="N93" s="7">
        <f t="shared" si="21"/>
        <v>34.800000004470348</v>
      </c>
      <c r="O93" s="7"/>
      <c r="P93" s="7"/>
      <c r="Q93" s="23"/>
      <c r="R93" s="23"/>
      <c r="S93" s="35">
        <f t="shared" si="22"/>
        <v>1</v>
      </c>
      <c r="T93" s="50" t="str">
        <f t="shared" si="23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12:40:13-0600',mode:absolute,to:'2016-11-04 15:20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3" s="52" t="str">
        <f t="shared" si="25"/>
        <v>N</v>
      </c>
      <c r="X93" s="177">
        <f t="shared" si="26"/>
        <v>1</v>
      </c>
      <c r="Y93" s="67">
        <f t="shared" si="27"/>
        <v>4.8399999999999999E-2</v>
      </c>
      <c r="Z93" s="67">
        <f t="shared" si="28"/>
        <v>23.330400000000001</v>
      </c>
      <c r="AA93" s="67">
        <f t="shared" si="29"/>
        <v>23.282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30"/>
        <v>0181-04</v>
      </c>
      <c r="AE93" s="91" t="str">
        <f t="shared" si="31"/>
        <v>aws s3 cp s3://rtdc.mdm.uploadarchive.raw/RTDC4038/ "%USERPROFILE%\AppData\Local\Temp\OnboardLogs"\RTDC4038\2016-11-04 --exclude "*" --recursive --include "*20161104*" &amp; "%USERPROFILE%\Documents\GitHub\mrs-test-scripts\Headless Mode &amp; Sideloading\WalkAndUnGZ.bat" "%USERPROFILE%\AppData\Local\Temp\OnboardLogs"\RTDC4038\2016-11-04 &amp; aws s3 cp s3://rtdc.mdm.uploadarchive.raw/RTDC4038/ "%USERPROFILE%\AppData\Local\Temp\OnboardLogs"\RTDC4038\2016-11-05 --exclude "*" --recursive --include "*20161105*" &amp; "%USERPROFILE%\Documents\GitHub\mrs-test-scripts\Headless Mode &amp; Sideloading\WalkAndUnGZ.bat" "%USERPROFILE%\AppData\Local\Temp\OnboardLogs"\RTDC4038\2016-11-05</v>
      </c>
      <c r="AF93" s="88" t="str">
        <f t="shared" si="32"/>
        <v>"C:\Program Files (x86)\AstroGrep\AstroGrep.exe" /spath="%USERPROFILE%\AppData\Local\Temp\OnboardLogs" /stypes="app*4038*20161104*" /stext=" 20:.+((SYSTEM_STATE.+slice.+state.+changed )|(ment ac)|(system.+state.+changed )|(\[timeout)|(PRM\|1\|D)|(kpr)|(kdp)|(\|loc)|(penalty))" /e /r /s</v>
      </c>
      <c r="AG93" s="1" t="str">
        <f t="shared" si="33"/>
        <v>EC</v>
      </c>
      <c r="AH93" s="92" t="str">
        <f t="shared" si="34"/>
        <v>"%USERPROFILE%\Documents\GitHub\eaglep3\Utilities\RefineRTDCRunTimes.py" --tripid 181-04 --locoid 4038 --swversion DE.1.0.8.0 --startMP 204:484 --initTime 2016-11-04T13:40:13 --startdatetime 2016-11-04T13:45:41 --delay 1 --endMP 204:233304 --enddatetime 2016-11-04T14:20:29 --enforcementcount 0 &gt;&gt;C:\Users\stu\Documents\GitHub\eaglep3-reporting\EC\2016-11-04-refined-times.txt</v>
      </c>
      <c r="AI93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{"issue":{"subject":"","project_id":79,"tracker_id":40,"status_id":1,"priority_id":2,"assigned_to_id":23,"start_date":"2016-11-04","description":"","custom_fields":[{"id":1,"name":"Subdivision","value":"EC"},{"id":4,"name":"Milepost","value":"23.3304"},{"id":17,"name":"Train ID","value":"181-04"},{"id":16,"name":"Locomotive ID","value":"4038"},{"id":130,"name":"Impact","value":""},{"id":150,"name":"Time of Event (Mountain Time)","value":"14:20:29"},{"id":151,"name":"Denver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544</v>
      </c>
      <c r="B94" s="7">
        <v>4037</v>
      </c>
      <c r="C94" s="22" t="s">
        <v>239</v>
      </c>
      <c r="D94" s="22" t="s">
        <v>310</v>
      </c>
      <c r="E94" s="13">
        <v>42678.610324074078</v>
      </c>
      <c r="F94" s="13">
        <v>42678.612291666665</v>
      </c>
      <c r="G94" s="7">
        <v>1</v>
      </c>
      <c r="H94" s="22" t="s">
        <v>364</v>
      </c>
      <c r="I94" s="13">
        <v>42678.639143518521</v>
      </c>
      <c r="J94" s="7">
        <v>0</v>
      </c>
      <c r="K94" s="112" t="str">
        <f t="shared" si="19"/>
        <v>4037/4038</v>
      </c>
      <c r="L94" s="22" t="str">
        <f>VLOOKUP(A94,'Trips&amp;Operators'!$C$1:$E$10000,3,FALSE)</f>
        <v>ADANE</v>
      </c>
      <c r="M94" s="6">
        <f t="shared" si="20"/>
        <v>2.6851851856918074E-2</v>
      </c>
      <c r="N94" s="7">
        <f t="shared" si="21"/>
        <v>38.666666673962027</v>
      </c>
      <c r="O94" s="7"/>
      <c r="P94" s="7"/>
      <c r="Q94" s="23"/>
      <c r="R94" s="23"/>
      <c r="S94" s="35">
        <f t="shared" si="22"/>
        <v>1</v>
      </c>
      <c r="T94" s="50" t="str">
        <f t="shared" si="23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13:38:52-0600',mode:absolute,to:'2016-11-04 16:20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4" s="52" t="str">
        <f t="shared" si="25"/>
        <v>N</v>
      </c>
      <c r="X94" s="177">
        <f t="shared" si="26"/>
        <v>1</v>
      </c>
      <c r="Y94" s="67">
        <f t="shared" si="27"/>
        <v>23.2987</v>
      </c>
      <c r="Z94" s="67">
        <f t="shared" si="28"/>
        <v>1.4999999999999999E-2</v>
      </c>
      <c r="AA94" s="67">
        <f t="shared" si="29"/>
        <v>23.2837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30"/>
        <v>0182-04</v>
      </c>
      <c r="AE94" s="91" t="str">
        <f t="shared" si="31"/>
        <v>aws s3 cp s3://rtdc.mdm.uploadarchive.raw/RTDC4037/ "%USERPROFILE%\AppData\Local\Temp\OnboardLogs"\RTDC4037\2016-11-04 --exclude "*" --recursive --include "*20161104*" &amp; "%USERPROFILE%\Documents\GitHub\mrs-test-scripts\Headless Mode &amp; Sideloading\WalkAndUnGZ.bat" "%USERPROFILE%\AppData\Local\Temp\OnboardLogs"\RTDC4037\2016-11-04 &amp; aws s3 cp s3://rtdc.mdm.uploadarchive.raw/RTDC4037/ "%USERPROFILE%\AppData\Local\Temp\OnboardLogs"\RTDC4037\2016-11-05 --exclude "*" --recursive --include "*20161105*" &amp; "%USERPROFILE%\Documents\GitHub\mrs-test-scripts\Headless Mode &amp; Sideloading\WalkAndUnGZ.bat" "%USERPROFILE%\AppData\Local\Temp\OnboardLogs"\RTDC4037\2016-11-05</v>
      </c>
      <c r="AF94" s="88" t="str">
        <f t="shared" si="32"/>
        <v>"C:\Program Files (x86)\AstroGrep\AstroGrep.exe" /spath="%USERPROFILE%\AppData\Local\Temp\OnboardLogs" /stypes="app*4037*20161104*" /stext=" 21:.+((SYSTEM_STATE.+slice.+state.+changed )|(ment ac)|(system.+state.+changed )|(\[timeout)|(PRM\|1\|D)|(kpr)|(kdp)|(\|loc)|(penalty))" /e /r /s</v>
      </c>
      <c r="AG94" s="1" t="str">
        <f t="shared" si="33"/>
        <v>EC</v>
      </c>
      <c r="AH94" s="92" t="str">
        <f t="shared" si="34"/>
        <v>"%USERPROFILE%\Documents\GitHub\eaglep3\Utilities\RefineRTDCRunTimes.py" --tripid 182-04 --locoid 4037 --swversion DE.1.0.8.0 --startMP 204:232987 --initTime 2016-11-04T14:38:52 --startdatetime 2016-11-04T14:41:42 --delay 1 --endMP 204:150 --enddatetime 2016-11-04T15:20:22 --enforcementcount 0 &gt;&gt;C:\Users\stu\Documents\GitHub\eaglep3-reporting\EC\2016-11-04-refined-times.txt</v>
      </c>
      <c r="AI94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{"issue":{"subject":"","project_id":79,"tracker_id":40,"status_id":1,"priority_id":2,"assigned_to_id":23,"start_date":"2016-11-04","description":"","custom_fields":[{"id":1,"name":"Subdivision","value":"EC"},{"id":4,"name":"Milepost","value":"0.015"},{"id":17,"name":"Train ID","value":"182-04"},{"id":16,"name":"Locomotive ID","value":"4037"},{"id":130,"name":"Impact","value":""},{"id":150,"name":"Time of Event (Mountain Time)","value":"15:20:22"},{"id":151,"name":"Denver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7" t="s">
        <v>538</v>
      </c>
      <c r="B95" s="7">
        <v>4003</v>
      </c>
      <c r="C95" s="22" t="s">
        <v>239</v>
      </c>
      <c r="D95" s="22" t="s">
        <v>315</v>
      </c>
      <c r="E95" s="13">
        <v>42678.579074074078</v>
      </c>
      <c r="F95" s="13">
        <v>42678.583518518521</v>
      </c>
      <c r="G95" s="7">
        <v>1</v>
      </c>
      <c r="H95" s="22" t="s">
        <v>667</v>
      </c>
      <c r="I95" s="13">
        <v>42678.608831018515</v>
      </c>
      <c r="J95" s="7">
        <v>0</v>
      </c>
      <c r="K95" s="112" t="str">
        <f t="shared" si="19"/>
        <v>4003/4004</v>
      </c>
      <c r="L95" s="22" t="str">
        <f>VLOOKUP(A95,'Trips&amp;Operators'!$C$1:$E$10000,3,FALSE)</f>
        <v>SHOOK</v>
      </c>
      <c r="M95" s="6">
        <f t="shared" si="20"/>
        <v>2.5312499994470272E-2</v>
      </c>
      <c r="N95" s="7">
        <f t="shared" si="21"/>
        <v>36.449999992037192</v>
      </c>
      <c r="O95" s="7"/>
      <c r="P95" s="7"/>
      <c r="Q95" s="23"/>
      <c r="R95" s="23"/>
      <c r="S95" s="35">
        <f t="shared" si="22"/>
        <v>1</v>
      </c>
      <c r="T95" s="50" t="str">
        <f t="shared" si="23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12:53:52-0600',mode:absolute,to:'2016-11-04 15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5" s="52" t="str">
        <f t="shared" si="25"/>
        <v>N</v>
      </c>
      <c r="X95" s="177">
        <f t="shared" si="26"/>
        <v>1</v>
      </c>
      <c r="Y95" s="67">
        <f t="shared" si="27"/>
        <v>4.6899999999999997E-2</v>
      </c>
      <c r="Z95" s="67">
        <f t="shared" si="28"/>
        <v>23.335699999999999</v>
      </c>
      <c r="AA95" s="67">
        <f t="shared" si="29"/>
        <v>23.288799999999998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30"/>
        <v>0183-04</v>
      </c>
      <c r="AE95" s="91" t="str">
        <f t="shared" si="31"/>
        <v>aws s3 cp s3://rtdc.mdm.uploadarchive.raw/RTDC4003/ "%USERPROFILE%\AppData\Local\Temp\OnboardLogs"\RTDC4003\2016-11-04 --exclude "*" --recursive --include "*20161104*" &amp; "%USERPROFILE%\Documents\GitHub\mrs-test-scripts\Headless Mode &amp; Sideloading\WalkAndUnGZ.bat" "%USERPROFILE%\AppData\Local\Temp\OnboardLogs"\RTDC4003\2016-11-04 &amp; 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</v>
      </c>
      <c r="AF95" s="88" t="str">
        <f t="shared" si="32"/>
        <v>"C:\Program Files (x86)\AstroGrep\AstroGrep.exe" /spath="%USERPROFILE%\AppData\Local\Temp\OnboardLogs" /stypes="app*4003*20161104*" /stext=" 20:.+((SYSTEM_STATE.+slice.+state.+changed )|(ment ac)|(system.+state.+changed )|(\[timeout)|(PRM\|1\|D)|(kpr)|(kdp)|(\|loc)|(penalty))" /e /r /s</v>
      </c>
      <c r="AG95" s="1" t="str">
        <f t="shared" si="33"/>
        <v>EC</v>
      </c>
      <c r="AH95" s="92" t="str">
        <f t="shared" si="34"/>
        <v>"%USERPROFILE%\Documents\GitHub\eaglep3\Utilities\RefineRTDCRunTimes.py" --tripid 183-04 --locoid 4003 --swversion DE.1.0.8.0 --startMP 204:469 --initTime 2016-11-04T13:53:52 --startdatetime 2016-11-04T14:00:16 --delay 1 --endMP 204:233357 --enddatetime 2016-11-04T14:36:43 --enforcementcount 0 &gt;&gt;C:\Users\stu\Documents\GitHub\eaglep3-reporting\EC\2016-11-04-refined-times.txt</v>
      </c>
      <c r="AI95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{"issue":{"subject":"","project_id":79,"tracker_id":40,"status_id":1,"priority_id":2,"assigned_to_id":23,"start_date":"2016-11-04","description":"","custom_fields":[{"id":1,"name":"Subdivision","value":"EC"},{"id":4,"name":"Milepost","value":"23.3357"},{"id":17,"name":"Train ID","value":"183-04"},{"id":16,"name":"Locomotive ID","value":"4003"},{"id":130,"name":"Impact","value":""},{"id":150,"name":"Time of Event (Mountain Time)","value":"14:36:43"},{"id":151,"name":"Denver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</row>
    <row r="96" spans="1:91" s="21" customFormat="1" x14ac:dyDescent="0.25">
      <c r="A96" s="37" t="s">
        <v>546</v>
      </c>
      <c r="B96" s="7">
        <v>4004</v>
      </c>
      <c r="C96" s="22" t="s">
        <v>239</v>
      </c>
      <c r="D96" s="22" t="s">
        <v>374</v>
      </c>
      <c r="E96" s="13">
        <v>42678.616249999999</v>
      </c>
      <c r="F96" s="13">
        <v>42678.622407407405</v>
      </c>
      <c r="G96" s="7">
        <v>1</v>
      </c>
      <c r="H96" s="22" t="s">
        <v>203</v>
      </c>
      <c r="I96" s="13">
        <v>42678.6483912037</v>
      </c>
      <c r="J96" s="7">
        <v>0</v>
      </c>
      <c r="K96" s="112" t="str">
        <f t="shared" si="19"/>
        <v>4003/4004</v>
      </c>
      <c r="L96" s="22" t="str">
        <f>VLOOKUP(A96,'Trips&amp;Operators'!$C$1:$E$10000,3,FALSE)</f>
        <v>SHOOK</v>
      </c>
      <c r="M96" s="6">
        <f t="shared" si="20"/>
        <v>2.5983796294895001E-2</v>
      </c>
      <c r="N96" s="7">
        <f t="shared" si="21"/>
        <v>37.416666664648801</v>
      </c>
      <c r="O96" s="7"/>
      <c r="P96" s="7"/>
      <c r="Q96" s="23"/>
      <c r="R96" s="23"/>
      <c r="S96" s="35">
        <f t="shared" si="22"/>
        <v>1</v>
      </c>
      <c r="T96" s="50" t="str">
        <f t="shared" si="23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13:47:24-0600',mode:absolute,to:'2016-11-04 16:33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6" s="52" t="str">
        <f t="shared" si="25"/>
        <v>N</v>
      </c>
      <c r="X96" s="177">
        <f t="shared" si="26"/>
        <v>1</v>
      </c>
      <c r="Y96" s="67">
        <f t="shared" si="27"/>
        <v>23.304400000000001</v>
      </c>
      <c r="Z96" s="67">
        <f t="shared" si="28"/>
        <v>1.49E-2</v>
      </c>
      <c r="AA96" s="67">
        <f t="shared" si="29"/>
        <v>23.2895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30"/>
        <v>0184-04</v>
      </c>
      <c r="AE96" s="91" t="str">
        <f t="shared" si="31"/>
        <v>aws s3 cp s3://rtdc.mdm.uploadarchive.raw/RTDC4004/ "%USERPROFILE%\AppData\Local\Temp\OnboardLogs"\RTDC4004\2016-11-04 --exclude "*" --recursive --include "*20161104*" &amp; "%USERPROFILE%\Documents\GitHub\mrs-test-scripts\Headless Mode &amp; Sideloading\WalkAndUnGZ.bat" "%USERPROFILE%\AppData\Local\Temp\OnboardLogs"\RTDC4004\2016-11-04 &amp; 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</v>
      </c>
      <c r="AF96" s="88" t="str">
        <f t="shared" si="32"/>
        <v>"C:\Program Files (x86)\AstroGrep\AstroGrep.exe" /spath="%USERPROFILE%\AppData\Local\Temp\OnboardLogs" /stypes="app*4004*20161104*" /stext=" 21:.+((SYSTEM_STATE.+slice.+state.+changed )|(ment ac)|(system.+state.+changed )|(\[timeout)|(PRM\|1\|D)|(kpr)|(kdp)|(\|loc)|(penalty))" /e /r /s</v>
      </c>
      <c r="AG96" s="1" t="str">
        <f t="shared" si="33"/>
        <v>EC</v>
      </c>
      <c r="AH96" s="92" t="str">
        <f t="shared" si="34"/>
        <v>"%USERPROFILE%\Documents\GitHub\eaglep3\Utilities\RefineRTDCRunTimes.py" --tripid 184-04 --locoid 4004 --swversion DE.1.0.8.0 --startMP 204:233044 --initTime 2016-11-04T14:47:24 --startdatetime 2016-11-04T14:56:16 --delay 1 --endMP 204:149 --enddatetime 2016-11-04T15:33:41 --enforcementcount 0 &gt;&gt;C:\Users\stu\Documents\GitHub\eaglep3-reporting\EC\2016-11-04-refined-times.txt</v>
      </c>
      <c r="AI96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{"issue":{"subject":"","project_id":79,"tracker_id":40,"status_id":1,"priority_id":2,"assigned_to_id":23,"start_date":"2016-11-04","description":"","custom_fields":[{"id":1,"name":"Subdivision","value":"EC"},{"id":4,"name":"Milepost","value":"0.0149"},{"id":17,"name":"Train ID","value":"184-04"},{"id":16,"name":"Locomotive ID","value":"4004"},{"id":130,"name":"Impact","value":""},{"id":150,"name":"Time of Event (Mountain Time)","value":"15:33:41"},{"id":151,"name":"Denver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539</v>
      </c>
      <c r="B97" s="7">
        <v>4007</v>
      </c>
      <c r="C97" s="22" t="s">
        <v>239</v>
      </c>
      <c r="D97" s="22" t="s">
        <v>206</v>
      </c>
      <c r="E97" s="13">
        <v>42678.59034722222</v>
      </c>
      <c r="F97" s="13">
        <v>42678.594270833331</v>
      </c>
      <c r="G97" s="7">
        <v>5</v>
      </c>
      <c r="H97" s="22" t="s">
        <v>668</v>
      </c>
      <c r="I97" s="13">
        <v>42678.61886574074</v>
      </c>
      <c r="J97" s="7">
        <v>0</v>
      </c>
      <c r="K97" s="112" t="str">
        <f t="shared" si="19"/>
        <v>4007/4008</v>
      </c>
      <c r="L97" s="22" t="str">
        <f>VLOOKUP(A97,'Trips&amp;Operators'!$C$1:$E$10000,3,FALSE)</f>
        <v>MACDONALD</v>
      </c>
      <c r="M97" s="6">
        <f t="shared" si="20"/>
        <v>2.4594907408754807E-2</v>
      </c>
      <c r="N97" s="7">
        <f t="shared" si="21"/>
        <v>35.416666668606922</v>
      </c>
      <c r="O97" s="7"/>
      <c r="P97" s="7"/>
      <c r="Q97" s="23"/>
      <c r="R97" s="23"/>
      <c r="S97" s="35">
        <f t="shared" si="22"/>
        <v>1</v>
      </c>
      <c r="T97" s="50" t="str">
        <f t="shared" si="23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13:10:06-0600',mode:absolute,to:'2016-11-04 15:51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7" s="52" t="str">
        <f t="shared" si="25"/>
        <v>N</v>
      </c>
      <c r="X97" s="177">
        <f t="shared" si="26"/>
        <v>1</v>
      </c>
      <c r="Y97" s="67">
        <f t="shared" si="27"/>
        <v>4.4699999999999997E-2</v>
      </c>
      <c r="Z97" s="67">
        <f t="shared" si="28"/>
        <v>23.336600000000001</v>
      </c>
      <c r="AA97" s="67">
        <f t="shared" si="29"/>
        <v>23.291900000000002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30"/>
        <v>0185-04</v>
      </c>
      <c r="AE97" s="91" t="str">
        <f t="shared" si="31"/>
        <v>aws s3 cp s3://rtdc.mdm.uploadarchive.raw/RTDC4007/ "%USERPROFILE%\AppData\Local\Temp\OnboardLogs"\RTDC4007\2016-11-04 --exclude "*" --recursive --include "*20161104*" &amp; "%USERPROFILE%\Documents\GitHub\mrs-test-scripts\Headless Mode &amp; Sideloading\WalkAndUnGZ.bat" "%USERPROFILE%\AppData\Local\Temp\OnboardLogs"\RTDC4007\2016-11-04 &amp; aws s3 cp s3://rtdc.mdm.uploadarchive.raw/RTDC4007/ "%USERPROFILE%\AppData\Local\Temp\OnboardLogs"\RTDC4007\2016-11-05 --exclude "*" --recursive --include "*20161105*" &amp; "%USERPROFILE%\Documents\GitHub\mrs-test-scripts\Headless Mode &amp; Sideloading\WalkAndUnGZ.bat" "%USERPROFILE%\AppData\Local\Temp\OnboardLogs"\RTDC4007\2016-11-05</v>
      </c>
      <c r="AF97" s="88" t="str">
        <f t="shared" si="32"/>
        <v>"C:\Program Files (x86)\AstroGrep\AstroGrep.exe" /spath="%USERPROFILE%\AppData\Local\Temp\OnboardLogs" /stypes="app*4007*20161104*" /stext=" 20:.+((SYSTEM_STATE.+slice.+state.+changed )|(ment ac)|(system.+state.+changed )|(\[timeout)|(PRM\|1\|D)|(kpr)|(kdp)|(\|loc)|(penalty))" /e /r /s</v>
      </c>
      <c r="AG97" s="1" t="str">
        <f t="shared" si="33"/>
        <v>EC</v>
      </c>
      <c r="AH97" s="92" t="str">
        <f t="shared" si="34"/>
        <v>"%USERPROFILE%\Documents\GitHub\eaglep3\Utilities\RefineRTDCRunTimes.py" --tripid 185-04 --locoid 4007 --swversion DE.1.0.8.0 --startMP 204:447 --initTime 2016-11-04T14:10:06 --startdatetime 2016-11-04T14:15:45 --delay 5 --endMP 204:233366 --enddatetime 2016-11-04T14:51:10 --enforcementcount 0 &gt;&gt;C:\Users\stu\Documents\GitHub\eaglep3-reporting\EC\2016-11-04-refined-times.txt</v>
      </c>
      <c r="AI97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{"issue":{"subject":"","project_id":79,"tracker_id":40,"status_id":1,"priority_id":2,"assigned_to_id":23,"start_date":"2016-11-04","description":"","custom_fields":[{"id":1,"name":"Subdivision","value":"EC"},{"id":4,"name":"Milepost","value":"23.3366"},{"id":17,"name":"Train ID","value":"185-04"},{"id":16,"name":"Locomotive ID","value":"4007"},{"id":130,"name":"Impact","value":""},{"id":150,"name":"Time of Event (Mountain Time)","value":"14:51:10"},{"id":151,"name":"Denver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549</v>
      </c>
      <c r="B98" s="7">
        <v>4008</v>
      </c>
      <c r="C98" s="22" t="s">
        <v>239</v>
      </c>
      <c r="D98" s="22" t="s">
        <v>669</v>
      </c>
      <c r="E98" s="13">
        <v>42678.630416666667</v>
      </c>
      <c r="F98" s="13">
        <v>42678.6328587963</v>
      </c>
      <c r="G98" s="7">
        <v>1</v>
      </c>
      <c r="H98" s="22" t="s">
        <v>203</v>
      </c>
      <c r="I98" s="13">
        <v>42678.660405092596</v>
      </c>
      <c r="J98" s="7">
        <v>0</v>
      </c>
      <c r="K98" s="112" t="str">
        <f t="shared" si="19"/>
        <v>4007/4008</v>
      </c>
      <c r="L98" s="22" t="str">
        <f>VLOOKUP(A98,'Trips&amp;Operators'!$C$1:$E$10000,3,FALSE)</f>
        <v>MACDONALD</v>
      </c>
      <c r="M98" s="6">
        <f t="shared" si="20"/>
        <v>2.7546296296350192E-2</v>
      </c>
      <c r="N98" s="7">
        <f t="shared" si="21"/>
        <v>39.666666666744277</v>
      </c>
      <c r="O98" s="7"/>
      <c r="P98" s="7"/>
      <c r="Q98" s="23"/>
      <c r="R98" s="23"/>
      <c r="S98" s="35">
        <f t="shared" si="22"/>
        <v>1</v>
      </c>
      <c r="T98" s="50" t="str">
        <f t="shared" si="23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14:07:48-0600',mode:absolute,to:'2016-11-04 16:50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8" s="52" t="str">
        <f t="shared" si="25"/>
        <v>N</v>
      </c>
      <c r="X98" s="177">
        <f t="shared" si="26"/>
        <v>1</v>
      </c>
      <c r="Y98" s="67">
        <f t="shared" si="27"/>
        <v>23.306000000000001</v>
      </c>
      <c r="Z98" s="67">
        <f t="shared" si="28"/>
        <v>1.49E-2</v>
      </c>
      <c r="AA98" s="67">
        <f t="shared" si="29"/>
        <v>23.2911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30"/>
        <v>0186-04</v>
      </c>
      <c r="AE98" s="91" t="str">
        <f t="shared" si="31"/>
        <v>aws s3 cp s3://rtdc.mdm.uploadarchive.raw/RTDC4008/ "%USERPROFILE%\AppData\Local\Temp\OnboardLogs"\RTDC4008\2016-11-04 --exclude "*" --recursive --include "*20161104*" &amp; "%USERPROFILE%\Documents\GitHub\mrs-test-scripts\Headless Mode &amp; Sideloading\WalkAndUnGZ.bat" "%USERPROFILE%\AppData\Local\Temp\OnboardLogs"\RTDC4008\2016-11-04 &amp; aws s3 cp s3://rtdc.mdm.uploadarchive.raw/RTDC4008/ "%USERPROFILE%\AppData\Local\Temp\OnboardLogs"\RTDC4008\2016-11-05 --exclude "*" --recursive --include "*20161105*" &amp; "%USERPROFILE%\Documents\GitHub\mrs-test-scripts\Headless Mode &amp; Sideloading\WalkAndUnGZ.bat" "%USERPROFILE%\AppData\Local\Temp\OnboardLogs"\RTDC4008\2016-11-05</v>
      </c>
      <c r="AF98" s="88" t="str">
        <f t="shared" si="32"/>
        <v>"C:\Program Files (x86)\AstroGrep\AstroGrep.exe" /spath="%USERPROFILE%\AppData\Local\Temp\OnboardLogs" /stypes="app*4008*20161104*" /stext=" 21:.+((SYSTEM_STATE.+slice.+state.+changed )|(ment ac)|(system.+state.+changed )|(\[timeout)|(PRM\|1\|D)|(kpr)|(kdp)|(\|loc)|(penalty))" /e /r /s</v>
      </c>
      <c r="AG98" s="1" t="str">
        <f t="shared" si="33"/>
        <v>EC</v>
      </c>
      <c r="AH98" s="92" t="str">
        <f t="shared" si="34"/>
        <v>"%USERPROFILE%\Documents\GitHub\eaglep3\Utilities\RefineRTDCRunTimes.py" --tripid 186-04 --locoid 4008 --swversion DE.1.0.8.0 --startMP 204:233060 --initTime 2016-11-04T15:07:48 --startdatetime 2016-11-04T15:11:19 --delay 1 --endMP 204:149 --enddatetime 2016-11-04T15:50:59 --enforcementcount 0 &gt;&gt;C:\Users\stu\Documents\GitHub\eaglep3-reporting\EC\2016-11-04-refined-times.txt</v>
      </c>
      <c r="AI98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{"issue":{"subject":"","project_id":79,"tracker_id":40,"status_id":1,"priority_id":2,"assigned_to_id":23,"start_date":"2016-11-04","description":"","custom_fields":[{"id":1,"name":"Subdivision","value":"EC"},{"id":4,"name":"Milepost","value":"0.0149"},{"id":17,"name":"Train ID","value":"186-04"},{"id":16,"name":"Locomotive ID","value":"4008"},{"id":130,"name":"Impact","value":""},{"id":150,"name":"Time of Event (Mountain Time)","value":"15:50:59"},{"id":151,"name":"Denver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542</v>
      </c>
      <c r="B99" s="7">
        <v>4022</v>
      </c>
      <c r="C99" s="22" t="s">
        <v>239</v>
      </c>
      <c r="D99" s="22" t="s">
        <v>244</v>
      </c>
      <c r="E99" s="13">
        <v>42678.598634259259</v>
      </c>
      <c r="F99" s="13">
        <v>42678.604571759257</v>
      </c>
      <c r="G99" s="7">
        <v>1</v>
      </c>
      <c r="H99" s="22" t="s">
        <v>383</v>
      </c>
      <c r="I99" s="13">
        <v>42678.628877314812</v>
      </c>
      <c r="J99" s="7">
        <v>0</v>
      </c>
      <c r="K99" s="112" t="str">
        <f t="shared" si="19"/>
        <v>4021/4022</v>
      </c>
      <c r="L99" s="22" t="str">
        <f>VLOOKUP(A99,'Trips&amp;Operators'!$C$1:$E$10000,3,FALSE)</f>
        <v>STEWART</v>
      </c>
      <c r="M99" s="6">
        <f t="shared" si="20"/>
        <v>2.4305555554747116E-2</v>
      </c>
      <c r="N99" s="7">
        <f t="shared" si="21"/>
        <v>34.999999998835847</v>
      </c>
      <c r="O99" s="7"/>
      <c r="P99" s="7"/>
      <c r="Q99" s="23"/>
      <c r="R99" s="23"/>
      <c r="S99" s="35">
        <f t="shared" si="22"/>
        <v>1</v>
      </c>
      <c r="T99" s="50" t="str">
        <f t="shared" si="23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13:22:02-0600',mode:absolute,to:'2016-11-04 16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9" s="52" t="str">
        <f t="shared" si="25"/>
        <v>N</v>
      </c>
      <c r="X99" s="177">
        <f t="shared" si="26"/>
        <v>1</v>
      </c>
      <c r="Y99" s="67">
        <f t="shared" si="27"/>
        <v>4.58E-2</v>
      </c>
      <c r="Z99" s="67">
        <f t="shared" si="28"/>
        <v>23.327400000000001</v>
      </c>
      <c r="AA99" s="67">
        <f t="shared" si="29"/>
        <v>23.281600000000001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30"/>
        <v>0187-04</v>
      </c>
      <c r="AE99" s="91" t="str">
        <f t="shared" si="31"/>
        <v>aws s3 cp s3://rtdc.mdm.uploadarchive.raw/RTDC4022/ "%USERPROFILE%\AppData\Local\Temp\OnboardLogs"\RTDC4022\2016-11-04 --exclude "*" --recursive --include "*20161104*" &amp; "%USERPROFILE%\Documents\GitHub\mrs-test-scripts\Headless Mode &amp; Sideloading\WalkAndUnGZ.bat" "%USERPROFILE%\AppData\Local\Temp\OnboardLogs"\RTDC4022\2016-11-04 &amp; aws s3 cp s3://rtdc.mdm.uploadarchive.raw/RTDC4022/ "%USERPROFILE%\AppData\Local\Temp\OnboardLogs"\RTDC4022\2016-11-05 --exclude "*" --recursive --include "*20161105*" &amp; "%USERPROFILE%\Documents\GitHub\mrs-test-scripts\Headless Mode &amp; Sideloading\WalkAndUnGZ.bat" "%USERPROFILE%\AppData\Local\Temp\OnboardLogs"\RTDC4022\2016-11-05</v>
      </c>
      <c r="AF99" s="88" t="str">
        <f t="shared" si="32"/>
        <v>"C:\Program Files (x86)\AstroGrep\AstroGrep.exe" /spath="%USERPROFILE%\AppData\Local\Temp\OnboardLogs" /stypes="app*4022*20161104*" /stext=" 21:.+((SYSTEM_STATE.+slice.+state.+changed )|(ment ac)|(system.+state.+changed )|(\[timeout)|(PRM\|1\|D)|(kpr)|(kdp)|(\|loc)|(penalty))" /e /r /s</v>
      </c>
      <c r="AG99" s="1" t="str">
        <f t="shared" si="33"/>
        <v>EC</v>
      </c>
      <c r="AH99" s="92" t="str">
        <f t="shared" si="34"/>
        <v>"%USERPROFILE%\Documents\GitHub\eaglep3\Utilities\RefineRTDCRunTimes.py" --tripid 187-04 --locoid 4022 --swversion DE.1.0.8.0 --startMP 204:458 --initTime 2016-11-04T14:22:02 --startdatetime 2016-11-04T14:30:35 --delay 1 --endMP 204:233274 --enddatetime 2016-11-04T15:05:35 --enforcementcount 0 &gt;&gt;C:\Users\stu\Documents\GitHub\eaglep3-reporting\EC\2016-11-04-refined-times.txt</v>
      </c>
      <c r="AI99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{"issue":{"subject":"","project_id":79,"tracker_id":40,"status_id":1,"priority_id":2,"assigned_to_id":23,"start_date":"2016-11-04","description":"","custom_fields":[{"id":1,"name":"Subdivision","value":"EC"},{"id":4,"name":"Milepost","value":"23.3274"},{"id":17,"name":"Train ID","value":"187-04"},{"id":16,"name":"Locomotive ID","value":"4022"},{"id":130,"name":"Impact","value":""},{"id":150,"name":"Time of Event (Mountain Time)","value":"15:05:35"},{"id":151,"name":"Denver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551</v>
      </c>
      <c r="B100" s="7">
        <v>4021</v>
      </c>
      <c r="C100" s="22" t="s">
        <v>239</v>
      </c>
      <c r="D100" s="22" t="s">
        <v>267</v>
      </c>
      <c r="E100" s="13">
        <v>42678.640405092592</v>
      </c>
      <c r="F100" s="13">
        <v>42678.643472222226</v>
      </c>
      <c r="G100" s="7">
        <v>1</v>
      </c>
      <c r="H100" s="22" t="s">
        <v>202</v>
      </c>
      <c r="I100" s="13">
        <v>42678.669537037036</v>
      </c>
      <c r="J100" s="7">
        <v>0</v>
      </c>
      <c r="K100" s="112" t="str">
        <f t="shared" si="19"/>
        <v>4021/4022</v>
      </c>
      <c r="L100" s="22" t="str">
        <f>VLOOKUP(A100,'Trips&amp;Operators'!$C$1:$E$10000,3,FALSE)</f>
        <v>STEWART</v>
      </c>
      <c r="M100" s="6">
        <f t="shared" si="20"/>
        <v>2.6064814810524695E-2</v>
      </c>
      <c r="N100" s="7">
        <f t="shared" si="21"/>
        <v>37.53333332715556</v>
      </c>
      <c r="O100" s="7"/>
      <c r="P100" s="7"/>
      <c r="Q100" s="23"/>
      <c r="R100" s="23"/>
      <c r="S100" s="35">
        <f t="shared" si="22"/>
        <v>1</v>
      </c>
      <c r="T100" s="50" t="str">
        <f t="shared" si="23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14:22:11-0600',mode:absolute,to:'2016-11-04 17:04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00" s="52" t="str">
        <f t="shared" si="25"/>
        <v>N</v>
      </c>
      <c r="X100" s="177">
        <f t="shared" si="26"/>
        <v>1</v>
      </c>
      <c r="Y100" s="67">
        <f t="shared" si="27"/>
        <v>23.297999999999998</v>
      </c>
      <c r="Z100" s="67">
        <f t="shared" si="28"/>
        <v>1.4500000000000001E-2</v>
      </c>
      <c r="AA100" s="67">
        <f t="shared" si="29"/>
        <v>23.283499999999997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30"/>
        <v>0188-04</v>
      </c>
      <c r="AE100" s="91" t="str">
        <f t="shared" si="31"/>
        <v>aws s3 cp s3://rtdc.mdm.uploadarchive.raw/RTDC4021/ "%USERPROFILE%\AppData\Local\Temp\OnboardLogs"\RTDC4021\2016-11-04 --exclude "*" --recursive --include "*20161104*" &amp; "%USERPROFILE%\Documents\GitHub\mrs-test-scripts\Headless Mode &amp; Sideloading\WalkAndUnGZ.bat" "%USERPROFILE%\AppData\Local\Temp\OnboardLogs"\RTDC4021\2016-11-04 &amp; aws s3 cp s3://rtdc.mdm.uploadarchive.raw/RTDC4021/ "%USERPROFILE%\AppData\Local\Temp\OnboardLogs"\RTDC4021\2016-11-05 --exclude "*" --recursive --include "*20161105*" &amp; "%USERPROFILE%\Documents\GitHub\mrs-test-scripts\Headless Mode &amp; Sideloading\WalkAndUnGZ.bat" "%USERPROFILE%\AppData\Local\Temp\OnboardLogs"\RTDC4021\2016-11-05</v>
      </c>
      <c r="AF100" s="88" t="str">
        <f t="shared" si="32"/>
        <v>"C:\Program Files (x86)\AstroGrep\AstroGrep.exe" /spath="%USERPROFILE%\AppData\Local\Temp\OnboardLogs" /stypes="app*4021*20161104*" /stext=" 22:.+((SYSTEM_STATE.+slice.+state.+changed )|(ment ac)|(system.+state.+changed )|(\[timeout)|(PRM\|1\|D)|(kpr)|(kdp)|(\|loc)|(penalty))" /e /r /s</v>
      </c>
      <c r="AG100" s="1" t="str">
        <f t="shared" si="33"/>
        <v>EC</v>
      </c>
      <c r="AH100" s="92" t="str">
        <f t="shared" si="34"/>
        <v>"%USERPROFILE%\Documents\GitHub\eaglep3\Utilities\RefineRTDCRunTimes.py" --tripid 188-04 --locoid 4021 --swversion DE.1.0.8.0 --startMP 204:232980 --initTime 2016-11-04T15:22:11 --startdatetime 2016-11-04T15:26:36 --delay 1 --endMP 204:145 --enddatetime 2016-11-04T16:04:08 --enforcementcount 0 &gt;&gt;C:\Users\stu\Documents\GitHub\eaglep3-reporting\EC\2016-11-04-refined-times.txt</v>
      </c>
      <c r="AI100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{"issue":{"subject":"","project_id":79,"tracker_id":40,"status_id":1,"priority_id":2,"assigned_to_id":23,"start_date":"2016-11-04","description":"","custom_fields":[{"id":1,"name":"Subdivision","value":"EC"},{"id":4,"name":"Milepost","value":"0.0145"},{"id":17,"name":"Train ID","value":"188-04"},{"id":16,"name":"Locomotive ID","value":"4021"},{"id":130,"name":"Impact","value":""},{"id":150,"name":"Time of Event (Mountain Time)","value":"16:04:08"},{"id":151,"name":"Denver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7" t="s">
        <v>545</v>
      </c>
      <c r="B101" s="7">
        <v>4029</v>
      </c>
      <c r="C101" s="22" t="s">
        <v>239</v>
      </c>
      <c r="D101" s="22" t="s">
        <v>209</v>
      </c>
      <c r="E101" s="13">
        <v>42678.610393518517</v>
      </c>
      <c r="F101" s="13">
        <v>42678.614745370367</v>
      </c>
      <c r="G101" s="7">
        <v>0</v>
      </c>
      <c r="H101" s="22" t="s">
        <v>670</v>
      </c>
      <c r="I101" s="13">
        <v>42678.640659722223</v>
      </c>
      <c r="J101" s="7">
        <v>0</v>
      </c>
      <c r="K101" s="112" t="str">
        <f t="shared" si="19"/>
        <v>4029/4030</v>
      </c>
      <c r="L101" s="22" t="str">
        <f>VLOOKUP(A101,'Trips&amp;Operators'!$C$1:$E$10000,3,FALSE)</f>
        <v>CLARK</v>
      </c>
      <c r="M101" s="6">
        <f t="shared" si="20"/>
        <v>2.5914351856044959E-2</v>
      </c>
      <c r="N101" s="7">
        <f t="shared" si="21"/>
        <v>37.316666672704741</v>
      </c>
      <c r="O101" s="7"/>
      <c r="P101" s="7"/>
      <c r="Q101" s="23"/>
      <c r="R101" s="23"/>
      <c r="S101" s="35">
        <f t="shared" si="22"/>
        <v>1</v>
      </c>
      <c r="T101" s="50" t="str">
        <f t="shared" si="23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13:38:58-0600',mode:absolute,to:'2016-11-04 16:22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1" s="52" t="str">
        <f t="shared" si="25"/>
        <v>N</v>
      </c>
      <c r="X101" s="177">
        <f t="shared" si="26"/>
        <v>1</v>
      </c>
      <c r="Y101" s="67">
        <f t="shared" si="27"/>
        <v>4.6600000000000003E-2</v>
      </c>
      <c r="Z101" s="67">
        <f t="shared" si="28"/>
        <v>23.334199999999999</v>
      </c>
      <c r="AA101" s="67">
        <f t="shared" si="29"/>
        <v>23.287599999999998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30"/>
        <v>0189-04</v>
      </c>
      <c r="AE101" s="91" t="str">
        <f t="shared" si="31"/>
        <v>aws s3 cp s3://rtdc.mdm.uploadarchive.raw/RTDC4029/ "%USERPROFILE%\AppData\Local\Temp\OnboardLogs"\RTDC4029\2016-11-04 --exclude "*" --recursive --include "*20161104*" &amp; "%USERPROFILE%\Documents\GitHub\mrs-test-scripts\Headless Mode &amp; Sideloading\WalkAndUnGZ.bat" "%USERPROFILE%\AppData\Local\Temp\OnboardLogs"\RTDC4029\2016-11-04 &amp; aws s3 cp s3://rtdc.mdm.uploadarchive.raw/RTDC4029/ "%USERPROFILE%\AppData\Local\Temp\OnboardLogs"\RTDC4029\2016-11-05 --exclude "*" --recursive --include "*20161105*" &amp; "%USERPROFILE%\Documents\GitHub\mrs-test-scripts\Headless Mode &amp; Sideloading\WalkAndUnGZ.bat" "%USERPROFILE%\AppData\Local\Temp\OnboardLogs"\RTDC4029\2016-11-05</v>
      </c>
      <c r="AF101" s="88" t="str">
        <f t="shared" si="32"/>
        <v>"C:\Program Files (x86)\AstroGrep\AstroGrep.exe" /spath="%USERPROFILE%\AppData\Local\Temp\OnboardLogs" /stypes="app*4029*20161104*" /stext=" 21:.+((SYSTEM_STATE.+slice.+state.+changed )|(ment ac)|(system.+state.+changed )|(\[timeout)|(PRM\|1\|D)|(kpr)|(kdp)|(\|loc)|(penalty))" /e /r /s</v>
      </c>
      <c r="AG101" s="1" t="str">
        <f t="shared" si="33"/>
        <v>EC</v>
      </c>
      <c r="AH101" s="92" t="str">
        <f t="shared" si="34"/>
        <v>"%USERPROFILE%\Documents\GitHub\eaglep3\Utilities\RefineRTDCRunTimes.py" --tripid 189-04 --locoid 4029 --swversion DE.1.0.8.0 --startMP 204:466 --initTime 2016-11-04T14:38:58 --startdatetime 2016-11-04T14:45:14 --delay 0 --endMP 204:233342 --enddatetime 2016-11-04T15:22:33 --enforcementcount 0 &gt;&gt;C:\Users\stu\Documents\GitHub\eaglep3-reporting\EC\2016-11-04-refined-times.txt</v>
      </c>
      <c r="AI101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{"issue":{"subject":"","project_id":79,"tracker_id":40,"status_id":1,"priority_id":2,"assigned_to_id":23,"start_date":"2016-11-04","description":"","custom_fields":[{"id":1,"name":"Subdivision","value":"EC"},{"id":4,"name":"Milepost","value":"23.3342"},{"id":17,"name":"Train ID","value":"189-04"},{"id":16,"name":"Locomotive ID","value":"4029"},{"id":130,"name":"Impact","value":""},{"id":150,"name":"Time of Event (Mountain Time)","value":"15:22:33"},{"id":151,"name":"Denver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x14ac:dyDescent="0.25">
      <c r="A102" s="37" t="s">
        <v>554</v>
      </c>
      <c r="B102" s="7">
        <v>4030</v>
      </c>
      <c r="C102" s="22" t="s">
        <v>239</v>
      </c>
      <c r="D102" s="22" t="s">
        <v>671</v>
      </c>
      <c r="E102" s="13">
        <v>42678.649340277778</v>
      </c>
      <c r="F102" s="13">
        <v>42678.653703703705</v>
      </c>
      <c r="G102" s="7">
        <v>1</v>
      </c>
      <c r="H102" s="22" t="s">
        <v>313</v>
      </c>
      <c r="I102" s="13">
        <v>42678.681770833333</v>
      </c>
      <c r="J102" s="7">
        <v>0</v>
      </c>
      <c r="K102" s="112" t="str">
        <f t="shared" si="19"/>
        <v>4029/4030</v>
      </c>
      <c r="L102" s="22" t="str">
        <f>VLOOKUP(A102,'Trips&amp;Operators'!$C$1:$E$10000,3,FALSE)</f>
        <v>CLARK</v>
      </c>
      <c r="M102" s="6">
        <f t="shared" si="20"/>
        <v>2.806712962774327E-2</v>
      </c>
      <c r="N102" s="7">
        <f t="shared" si="21"/>
        <v>40.416666663950309</v>
      </c>
      <c r="O102" s="7"/>
      <c r="P102" s="7"/>
      <c r="Q102" s="23"/>
      <c r="R102" s="23"/>
      <c r="S102" s="35">
        <f t="shared" si="22"/>
        <v>1</v>
      </c>
      <c r="T102" s="50" t="str">
        <f t="shared" si="23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14:35:03-0600',mode:absolute,to:'2016-11-04 17:21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2" s="52" t="str">
        <f t="shared" si="25"/>
        <v>N</v>
      </c>
      <c r="X102" s="177">
        <f t="shared" si="26"/>
        <v>1</v>
      </c>
      <c r="Y102" s="67">
        <f t="shared" si="27"/>
        <v>23.3017</v>
      </c>
      <c r="Z102" s="67">
        <f t="shared" si="28"/>
        <v>1.34E-2</v>
      </c>
      <c r="AA102" s="67">
        <f t="shared" si="29"/>
        <v>23.2883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30"/>
        <v>0190-04</v>
      </c>
      <c r="AE102" s="91" t="str">
        <f t="shared" si="31"/>
        <v>aws s3 cp s3://rtdc.mdm.uploadarchive.raw/RTDC4030/ "%USERPROFILE%\AppData\Local\Temp\OnboardLogs"\RTDC4030\2016-11-04 --exclude "*" --recursive --include "*20161104*" &amp; "%USERPROFILE%\Documents\GitHub\mrs-test-scripts\Headless Mode &amp; Sideloading\WalkAndUnGZ.bat" "%USERPROFILE%\AppData\Local\Temp\OnboardLogs"\RTDC4030\2016-11-04 &amp; aws s3 cp s3://rtdc.mdm.uploadarchive.raw/RTDC4030/ "%USERPROFILE%\AppData\Local\Temp\OnboardLogs"\RTDC4030\2016-11-05 --exclude "*" --recursive --include "*20161105*" &amp; "%USERPROFILE%\Documents\GitHub\mrs-test-scripts\Headless Mode &amp; Sideloading\WalkAndUnGZ.bat" "%USERPROFILE%\AppData\Local\Temp\OnboardLogs"\RTDC4030\2016-11-05</v>
      </c>
      <c r="AF102" s="88" t="str">
        <f t="shared" si="32"/>
        <v>"C:\Program Files (x86)\AstroGrep\AstroGrep.exe" /spath="%USERPROFILE%\AppData\Local\Temp\OnboardLogs" /stypes="app*4030*20161104*" /stext=" 22:.+((SYSTEM_STATE.+slice.+state.+changed )|(ment ac)|(system.+state.+changed )|(\[timeout)|(PRM\|1\|D)|(kpr)|(kdp)|(\|loc)|(penalty))" /e /r /s</v>
      </c>
      <c r="AG102" s="1" t="str">
        <f t="shared" si="33"/>
        <v>EC</v>
      </c>
      <c r="AH102" s="92" t="str">
        <f t="shared" si="34"/>
        <v>"%USERPROFILE%\Documents\GitHub\eaglep3\Utilities\RefineRTDCRunTimes.py" --tripid 190-04 --locoid 4030 --swversion DE.1.0.8.0 --startMP 204:233017 --initTime 2016-11-04T15:35:03 --startdatetime 2016-11-04T15:41:20 --delay 1 --endMP 204:134 --enddatetime 2016-11-04T16:21:45 --enforcementcount 0 &gt;&gt;C:\Users\stu\Documents\GitHub\eaglep3-reporting\EC\2016-11-04-refined-times.txt</v>
      </c>
      <c r="AI102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{"issue":{"subject":"","project_id":79,"tracker_id":40,"status_id":1,"priority_id":2,"assigned_to_id":23,"start_date":"2016-11-04","description":"","custom_fields":[{"id":1,"name":"Subdivision","value":"EC"},{"id":4,"name":"Milepost","value":"0.0134"},{"id":17,"name":"Train ID","value":"190-04"},{"id":16,"name":"Locomotive ID","value":"4030"},{"id":130,"name":"Impact","value":""},{"id":150,"name":"Time of Event (Mountain Time)","value":"16:21:45"},{"id":151,"name":"Denver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</row>
    <row r="103" spans="1:91" x14ac:dyDescent="0.25">
      <c r="A103" s="37" t="s">
        <v>547</v>
      </c>
      <c r="B103" s="7">
        <v>4042</v>
      </c>
      <c r="C103" s="22" t="s">
        <v>239</v>
      </c>
      <c r="D103" s="22" t="s">
        <v>378</v>
      </c>
      <c r="E103" s="13">
        <v>42678.618923611109</v>
      </c>
      <c r="F103" s="13">
        <v>42678.625277777777</v>
      </c>
      <c r="G103" s="7">
        <v>1</v>
      </c>
      <c r="H103" s="22" t="s">
        <v>672</v>
      </c>
      <c r="I103" s="13">
        <v>42678.65116898148</v>
      </c>
      <c r="J103" s="7">
        <v>0</v>
      </c>
      <c r="K103" s="112" t="str">
        <f t="shared" si="19"/>
        <v>4041/4042</v>
      </c>
      <c r="L103" s="22" t="str">
        <f>VLOOKUP(A103,'Trips&amp;Operators'!$C$1:$E$10000,3,FALSE)</f>
        <v>SAFIEF</v>
      </c>
      <c r="M103" s="6">
        <f t="shared" si="20"/>
        <v>2.5891203702485655E-2</v>
      </c>
      <c r="N103" s="7">
        <f t="shared" si="21"/>
        <v>37.283333331579342</v>
      </c>
      <c r="O103" s="7"/>
      <c r="P103" s="7"/>
      <c r="Q103" s="23"/>
      <c r="R103" s="23"/>
      <c r="S103" s="35">
        <f t="shared" si="22"/>
        <v>1</v>
      </c>
      <c r="T103" s="50" t="str">
        <f t="shared" si="23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13:51:15-0600',mode:absolute,to:'2016-11-04 16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3" s="52" t="str">
        <f t="shared" si="25"/>
        <v>N</v>
      </c>
      <c r="X103" s="177">
        <f t="shared" si="26"/>
        <v>1</v>
      </c>
      <c r="Y103" s="67">
        <f t="shared" si="27"/>
        <v>4.3700000000000003E-2</v>
      </c>
      <c r="Z103" s="67">
        <f t="shared" si="28"/>
        <v>23.3142</v>
      </c>
      <c r="AA103" s="67">
        <f t="shared" si="29"/>
        <v>23.270499999999998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30"/>
        <v>0191-04</v>
      </c>
      <c r="AE103" s="91" t="str">
        <f t="shared" si="31"/>
        <v>aws s3 cp s3://rtdc.mdm.uploadarchive.raw/RTDC4042/ "%USERPROFILE%\AppData\Local\Temp\OnboardLogs"\RTDC4042\2016-11-04 --exclude "*" --recursive --include "*20161104*" &amp; "%USERPROFILE%\Documents\GitHub\mrs-test-scripts\Headless Mode &amp; Sideloading\WalkAndUnGZ.bat" "%USERPROFILE%\AppData\Local\Temp\OnboardLogs"\RTDC4042\2016-11-04 &amp; aws s3 cp s3://rtdc.mdm.uploadarchive.raw/RTDC4042/ "%USERPROFILE%\AppData\Local\Temp\OnboardLogs"\RTDC4042\2016-11-05 --exclude "*" --recursive --include "*20161105*" &amp; "%USERPROFILE%\Documents\GitHub\mrs-test-scripts\Headless Mode &amp; Sideloading\WalkAndUnGZ.bat" "%USERPROFILE%\AppData\Local\Temp\OnboardLogs"\RTDC4042\2016-11-05</v>
      </c>
      <c r="AF103" s="88" t="str">
        <f t="shared" si="32"/>
        <v>"C:\Program Files (x86)\AstroGrep\AstroGrep.exe" /spath="%USERPROFILE%\AppData\Local\Temp\OnboardLogs" /stypes="app*4042*20161104*" /stext=" 21:.+((SYSTEM_STATE.+slice.+state.+changed )|(ment ac)|(system.+state.+changed )|(\[timeout)|(PRM\|1\|D)|(kpr)|(kdp)|(\|loc)|(penalty))" /e /r /s</v>
      </c>
      <c r="AG103" s="1" t="str">
        <f t="shared" si="33"/>
        <v>EC</v>
      </c>
      <c r="AH103" s="92" t="str">
        <f t="shared" si="34"/>
        <v>"%USERPROFILE%\Documents\GitHub\eaglep3\Utilities\RefineRTDCRunTimes.py" --tripid 191-04 --locoid 4042 --swversion DE.1.0.8.0 --startMP 204:437 --initTime 2016-11-04T14:51:15 --startdatetime 2016-11-04T15:00:24 --delay 1 --endMP 204:233142 --enddatetime 2016-11-04T15:37:41 --enforcementcount 0 &gt;&gt;C:\Users\stu\Documents\GitHub\eaglep3-reporting\EC\2016-11-04-refined-times.txt</v>
      </c>
      <c r="AI103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{"issue":{"subject":"","project_id":79,"tracker_id":40,"status_id":1,"priority_id":2,"assigned_to_id":23,"start_date":"2016-11-04","description":"","custom_fields":[{"id":1,"name":"Subdivision","value":"EC"},{"id":4,"name":"Milepost","value":"23.3142"},{"id":17,"name":"Train ID","value":"191-04"},{"id":16,"name":"Locomotive ID","value":"4042"},{"id":130,"name":"Impact","value":""},{"id":150,"name":"Time of Event (Mountain Time)","value":"15:37:41"},{"id":151,"name":"Denver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</row>
    <row r="104" spans="1:91" x14ac:dyDescent="0.25">
      <c r="A104" s="37" t="s">
        <v>557</v>
      </c>
      <c r="B104" s="7">
        <v>4041</v>
      </c>
      <c r="C104" s="22" t="s">
        <v>239</v>
      </c>
      <c r="D104" s="22" t="s">
        <v>221</v>
      </c>
      <c r="E104" s="13">
        <v>42678.653124999997</v>
      </c>
      <c r="F104" s="13">
        <v>42678.664097222223</v>
      </c>
      <c r="G104" s="7">
        <v>1</v>
      </c>
      <c r="H104" s="22" t="s">
        <v>176</v>
      </c>
      <c r="I104" s="13">
        <v>42678.691736111112</v>
      </c>
      <c r="J104" s="7">
        <v>0</v>
      </c>
      <c r="K104" s="112" t="str">
        <f t="shared" si="19"/>
        <v>4041/4042</v>
      </c>
      <c r="L104" s="22" t="str">
        <f>VLOOKUP(A104,'Trips&amp;Operators'!$C$1:$E$10000,3,FALSE)</f>
        <v>SAFIEF</v>
      </c>
      <c r="M104" s="6">
        <f t="shared" si="20"/>
        <v>2.7638888888759539E-2</v>
      </c>
      <c r="N104" s="7">
        <f t="shared" si="21"/>
        <v>39.799999999813735</v>
      </c>
      <c r="O104" s="7"/>
      <c r="P104" s="7"/>
      <c r="Q104" s="23"/>
      <c r="R104" s="23"/>
      <c r="S104" s="35">
        <f t="shared" si="22"/>
        <v>1</v>
      </c>
      <c r="T104" s="50" t="str">
        <f t="shared" si="23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14:40:30-0600',mode:absolute,to:'2016-11-04 17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4" s="52" t="str">
        <f t="shared" si="25"/>
        <v>N</v>
      </c>
      <c r="X104" s="177">
        <f t="shared" si="26"/>
        <v>1</v>
      </c>
      <c r="Y104" s="67">
        <f t="shared" si="27"/>
        <v>23.297699999999999</v>
      </c>
      <c r="Z104" s="67">
        <f t="shared" si="28"/>
        <v>1.52E-2</v>
      </c>
      <c r="AA104" s="67">
        <f t="shared" si="29"/>
        <v>23.282499999999999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30"/>
        <v>0192-04</v>
      </c>
      <c r="AE104" s="91" t="str">
        <f t="shared" si="31"/>
        <v>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 &amp; aws s3 cp s3://rtdc.mdm.uploadarchive.raw/RTDC4041/ "%USERPROFILE%\AppData\Local\Temp\OnboardLogs"\RTDC4041\2016-11-05 --exclude "*" --recursive --include "*20161105*" &amp; "%USERPROFILE%\Documents\GitHub\mrs-test-scripts\Headless Mode &amp; Sideloading\WalkAndUnGZ.bat" "%USERPROFILE%\AppData\Local\Temp\OnboardLogs"\RTDC4041\2016-11-05</v>
      </c>
      <c r="AF104" s="88" t="str">
        <f t="shared" si="32"/>
        <v>"C:\Program Files (x86)\AstroGrep\AstroGrep.exe" /spath="%USERPROFILE%\AppData\Local\Temp\OnboardLogs" /stypes="app*4041*20161104*" /stext=" 22:.+((SYSTEM_STATE.+slice.+state.+changed )|(ment ac)|(system.+state.+changed )|(\[timeout)|(PRM\|1\|D)|(kpr)|(kdp)|(\|loc)|(penalty))" /e /r /s</v>
      </c>
      <c r="AG104" s="1" t="str">
        <f t="shared" si="33"/>
        <v>EC</v>
      </c>
      <c r="AH104" s="92" t="str">
        <f t="shared" si="34"/>
        <v>"%USERPROFILE%\Documents\GitHub\eaglep3\Utilities\RefineRTDCRunTimes.py" --tripid 192-04 --locoid 4041 --swversion DE.1.0.8.0 --startMP 204:232977 --initTime 2016-11-04T15:40:30 --startdatetime 2016-11-04T15:56:18 --delay 1 --endMP 204:152 --enddatetime 2016-11-04T16:36:06 --enforcementcount 0 &gt;&gt;C:\Users\stu\Documents\GitHub\eaglep3-reporting\EC\2016-11-04-refined-times.txt</v>
      </c>
      <c r="AI104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{"issue":{"subject":"","project_id":79,"tracker_id":40,"status_id":1,"priority_id":2,"assigned_to_id":23,"start_date":"2016-11-04","description":"","custom_fields":[{"id":1,"name":"Subdivision","value":"EC"},{"id":4,"name":"Milepost","value":"0.0152"},{"id":17,"name":"Train ID","value":"192-04"},{"id":16,"name":"Locomotive ID","value":"4041"},{"id":130,"name":"Impact","value":""},{"id":150,"name":"Time of Event (Mountain Time)","value":"16:36:06"},{"id":151,"name":"Denver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91" s="21" customFormat="1" x14ac:dyDescent="0.25">
      <c r="A105" s="37" t="s">
        <v>550</v>
      </c>
      <c r="B105" s="7">
        <v>4053</v>
      </c>
      <c r="C105" s="22" t="s">
        <v>239</v>
      </c>
      <c r="D105" s="22" t="s">
        <v>233</v>
      </c>
      <c r="E105" s="13">
        <v>42678.630995370368</v>
      </c>
      <c r="F105" s="13">
        <v>42678.635868055557</v>
      </c>
      <c r="G105" s="7">
        <v>1</v>
      </c>
      <c r="H105" s="22" t="s">
        <v>316</v>
      </c>
      <c r="I105" s="13">
        <v>42678.660879629628</v>
      </c>
      <c r="J105" s="7">
        <v>0</v>
      </c>
      <c r="K105" s="112" t="str">
        <f t="shared" si="19"/>
        <v>4053/4054</v>
      </c>
      <c r="L105" s="22" t="str">
        <f>VLOOKUP(A105,'Trips&amp;Operators'!$C$1:$E$10000,3,FALSE)</f>
        <v>SWANSON</v>
      </c>
      <c r="M105" s="6">
        <f t="shared" si="20"/>
        <v>2.5011574070958886E-2</v>
      </c>
      <c r="N105" s="7">
        <f t="shared" si="21"/>
        <v>36.016666662180796</v>
      </c>
      <c r="O105" s="7"/>
      <c r="P105" s="7"/>
      <c r="Q105" s="23"/>
      <c r="R105" s="23"/>
      <c r="S105" s="35">
        <f t="shared" si="22"/>
        <v>1</v>
      </c>
      <c r="T105" s="50" t="str">
        <f t="shared" si="23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14:08:38-0600',mode:absolute,to:'2016-11-04 16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05" s="52" t="str">
        <f t="shared" si="25"/>
        <v>N</v>
      </c>
      <c r="X105" s="177">
        <f t="shared" si="26"/>
        <v>1</v>
      </c>
      <c r="Y105" s="67">
        <f t="shared" si="27"/>
        <v>4.5699999999999998E-2</v>
      </c>
      <c r="Z105" s="67">
        <f t="shared" si="28"/>
        <v>23.3306</v>
      </c>
      <c r="AA105" s="67">
        <f t="shared" si="29"/>
        <v>23.2849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30"/>
        <v>0193-04</v>
      </c>
      <c r="AE105" s="91" t="str">
        <f t="shared" si="31"/>
        <v>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 &amp; 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</v>
      </c>
      <c r="AF105" s="88" t="str">
        <f t="shared" si="32"/>
        <v>"C:\Program Files (x86)\AstroGrep\AstroGrep.exe" /spath="%USERPROFILE%\AppData\Local\Temp\OnboardLogs" /stypes="app*4053*20161104*" /stext=" 21:.+((SYSTEM_STATE.+slice.+state.+changed )|(ment ac)|(system.+state.+changed )|(\[timeout)|(PRM\|1\|D)|(kpr)|(kdp)|(\|loc)|(penalty))" /e /r /s</v>
      </c>
      <c r="AG105" s="1" t="str">
        <f t="shared" si="33"/>
        <v>EC</v>
      </c>
      <c r="AH105" s="92" t="str">
        <f t="shared" si="34"/>
        <v>"%USERPROFILE%\Documents\GitHub\eaglep3\Utilities\RefineRTDCRunTimes.py" --tripid 193-04 --locoid 4053 --swversion DE.1.0.8.0 --startMP 204:457 --initTime 2016-11-04T15:08:38 --startdatetime 2016-11-04T15:15:39 --delay 1 --endMP 204:233306 --enddatetime 2016-11-04T15:51:40 --enforcementcount 0 &gt;&gt;C:\Users\stu\Documents\GitHub\eaglep3-reporting\EC\2016-11-04-refined-times.txt</v>
      </c>
      <c r="AI105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{"issue":{"subject":"","project_id":79,"tracker_id":40,"status_id":1,"priority_id":2,"assigned_to_id":23,"start_date":"2016-11-04","description":"","custom_fields":[{"id":1,"name":"Subdivision","value":"EC"},{"id":4,"name":"Milepost","value":"23.3306"},{"id":17,"name":"Train ID","value":"193-04"},{"id":16,"name":"Locomotive ID","value":"4053"},{"id":130,"name":"Impact","value":""},{"id":150,"name":"Time of Event (Mountain Time)","value":"15:51:40"},{"id":151,"name":"Denver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560</v>
      </c>
      <c r="B106" s="7">
        <v>4054</v>
      </c>
      <c r="C106" s="22" t="s">
        <v>239</v>
      </c>
      <c r="D106" s="22" t="s">
        <v>651</v>
      </c>
      <c r="E106" s="13">
        <v>42678.663541666669</v>
      </c>
      <c r="F106" s="13">
        <v>42678.674745370372</v>
      </c>
      <c r="G106" s="7">
        <v>1</v>
      </c>
      <c r="H106" s="22" t="s">
        <v>176</v>
      </c>
      <c r="I106" s="13">
        <v>42678.701168981483</v>
      </c>
      <c r="J106" s="7">
        <v>0</v>
      </c>
      <c r="K106" s="112" t="str">
        <f t="shared" si="19"/>
        <v>4053/4054</v>
      </c>
      <c r="L106" s="22" t="str">
        <f>VLOOKUP(A106,'Trips&amp;Operators'!$C$1:$E$10000,3,FALSE)</f>
        <v>SWANSON</v>
      </c>
      <c r="M106" s="6">
        <f t="shared" si="20"/>
        <v>2.6423611110658385E-2</v>
      </c>
      <c r="N106" s="7">
        <f t="shared" si="21"/>
        <v>38.049999999348074</v>
      </c>
      <c r="O106" s="7"/>
      <c r="P106" s="7"/>
      <c r="Q106" s="23"/>
      <c r="R106" s="23"/>
      <c r="S106" s="35">
        <f t="shared" si="22"/>
        <v>1</v>
      </c>
      <c r="T106" s="50" t="str">
        <f t="shared" si="23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14:55:30-0600',mode:absolute,to:'2016-11-04 17:49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06" s="52" t="str">
        <f t="shared" si="25"/>
        <v>N</v>
      </c>
      <c r="X106" s="177">
        <f t="shared" si="26"/>
        <v>1</v>
      </c>
      <c r="Y106" s="67">
        <f t="shared" si="27"/>
        <v>23.297899999999998</v>
      </c>
      <c r="Z106" s="67">
        <f t="shared" si="28"/>
        <v>1.52E-2</v>
      </c>
      <c r="AA106" s="67">
        <f t="shared" si="29"/>
        <v>23.282699999999998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30"/>
        <v>0194-04</v>
      </c>
      <c r="AE106" s="91" t="str">
        <f t="shared" si="31"/>
        <v>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 &amp; 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</v>
      </c>
      <c r="AF106" s="88" t="str">
        <f t="shared" si="32"/>
        <v>"C:\Program Files (x86)\AstroGrep\AstroGrep.exe" /spath="%USERPROFILE%\AppData\Local\Temp\OnboardLogs" /stypes="app*4054*20161104*" /stext=" 22:.+((SYSTEM_STATE.+slice.+state.+changed )|(ment ac)|(system.+state.+changed )|(\[timeout)|(PRM\|1\|D)|(kpr)|(kdp)|(\|loc)|(penalty))" /e /r /s</v>
      </c>
      <c r="AG106" s="1" t="str">
        <f t="shared" si="33"/>
        <v>EC</v>
      </c>
      <c r="AH106" s="92" t="str">
        <f t="shared" si="34"/>
        <v>"%USERPROFILE%\Documents\GitHub\eaglep3\Utilities\RefineRTDCRunTimes.py" --tripid 194-04 --locoid 4054 --swversion DE.1.0.8.0 --startMP 204:232979 --initTime 2016-11-04T15:55:30 --startdatetime 2016-11-04T16:11:38 --delay 1 --endMP 204:152 --enddatetime 2016-11-04T16:49:41 --enforcementcount 0 &gt;&gt;C:\Users\stu\Documents\GitHub\eaglep3-reporting\EC\2016-11-04-refined-times.txt</v>
      </c>
      <c r="AI106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{"issue":{"subject":"","project_id":79,"tracker_id":40,"status_id":1,"priority_id":2,"assigned_to_id":23,"start_date":"2016-11-04","description":"","custom_fields":[{"id":1,"name":"Subdivision","value":"EC"},{"id":4,"name":"Milepost","value":"0.0152"},{"id":17,"name":"Train ID","value":"194-04"},{"id":16,"name":"Locomotive ID","value":"4054"},{"id":130,"name":"Impact","value":""},{"id":150,"name":"Time of Event (Mountain Time)","value":"16:49:41"},{"id":151,"name":"Denver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552</v>
      </c>
      <c r="B107" s="7">
        <v>4038</v>
      </c>
      <c r="C107" s="22" t="s">
        <v>239</v>
      </c>
      <c r="D107" s="22" t="s">
        <v>244</v>
      </c>
      <c r="E107" s="13">
        <v>42678.642326388886</v>
      </c>
      <c r="F107" s="13">
        <v>42678.646261574075</v>
      </c>
      <c r="G107" s="7">
        <v>1</v>
      </c>
      <c r="H107" s="22" t="s">
        <v>673</v>
      </c>
      <c r="I107" s="13">
        <v>42678.670694444445</v>
      </c>
      <c r="J107" s="7">
        <v>0</v>
      </c>
      <c r="K107" s="112" t="str">
        <f t="shared" si="19"/>
        <v>4037/4038</v>
      </c>
      <c r="L107" s="22" t="str">
        <f>VLOOKUP(A107,'Trips&amp;Operators'!$C$1:$E$10000,3,FALSE)</f>
        <v>ADANE</v>
      </c>
      <c r="M107" s="6">
        <f t="shared" si="20"/>
        <v>2.4432870370219462E-2</v>
      </c>
      <c r="N107" s="7">
        <f t="shared" si="21"/>
        <v>35.183333333116025</v>
      </c>
      <c r="O107" s="7"/>
      <c r="P107" s="7"/>
      <c r="Q107" s="23"/>
      <c r="R107" s="23"/>
      <c r="S107" s="35">
        <f t="shared" si="22"/>
        <v>1</v>
      </c>
      <c r="T107" s="50" t="str">
        <f t="shared" si="23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14:24:57-0600',mode:absolute,to:'2016-11-04 17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7" s="52" t="str">
        <f t="shared" si="25"/>
        <v>N</v>
      </c>
      <c r="X107" s="177">
        <f t="shared" si="26"/>
        <v>1</v>
      </c>
      <c r="Y107" s="67">
        <f t="shared" si="27"/>
        <v>4.58E-2</v>
      </c>
      <c r="Z107" s="67">
        <f t="shared" si="28"/>
        <v>23.337199999999999</v>
      </c>
      <c r="AA107" s="67">
        <f t="shared" si="29"/>
        <v>23.291399999999999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30"/>
        <v>0195-04</v>
      </c>
      <c r="AE107" s="91" t="str">
        <f t="shared" si="31"/>
        <v>aws s3 cp s3://rtdc.mdm.uploadarchive.raw/RTDC4038/ "%USERPROFILE%\AppData\Local\Temp\OnboardLogs"\RTDC4038\2016-11-04 --exclude "*" --recursive --include "*20161104*" &amp; "%USERPROFILE%\Documents\GitHub\mrs-test-scripts\Headless Mode &amp; Sideloading\WalkAndUnGZ.bat" "%USERPROFILE%\AppData\Local\Temp\OnboardLogs"\RTDC4038\2016-11-04 &amp; aws s3 cp s3://rtdc.mdm.uploadarchive.raw/RTDC4038/ "%USERPROFILE%\AppData\Local\Temp\OnboardLogs"\RTDC4038\2016-11-05 --exclude "*" --recursive --include "*20161105*" &amp; "%USERPROFILE%\Documents\GitHub\mrs-test-scripts\Headless Mode &amp; Sideloading\WalkAndUnGZ.bat" "%USERPROFILE%\AppData\Local\Temp\OnboardLogs"\RTDC4038\2016-11-05</v>
      </c>
      <c r="AF107" s="88" t="str">
        <f t="shared" si="32"/>
        <v>"C:\Program Files (x86)\AstroGrep\AstroGrep.exe" /spath="%USERPROFILE%\AppData\Local\Temp\OnboardLogs" /stypes="app*4038*20161104*" /stext=" 22:.+((SYSTEM_STATE.+slice.+state.+changed )|(ment ac)|(system.+state.+changed )|(\[timeout)|(PRM\|1\|D)|(kpr)|(kdp)|(\|loc)|(penalty))" /e /r /s</v>
      </c>
      <c r="AG107" s="1" t="str">
        <f t="shared" si="33"/>
        <v>EC</v>
      </c>
      <c r="AH107" s="92" t="str">
        <f t="shared" si="34"/>
        <v>"%USERPROFILE%\Documents\GitHub\eaglep3\Utilities\RefineRTDCRunTimes.py" --tripid 195-04 --locoid 4038 --swversion DE.1.0.8.0 --startMP 204:458 --initTime 2016-11-04T15:24:57 --startdatetime 2016-11-04T15:30:37 --delay 1 --endMP 204:233372 --enddatetime 2016-11-04T16:05:48 --enforcementcount 0 &gt;&gt;C:\Users\stu\Documents\GitHub\eaglep3-reporting\EC\2016-11-04-refined-times.txt</v>
      </c>
      <c r="AI107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{"issue":{"subject":"","project_id":79,"tracker_id":40,"status_id":1,"priority_id":2,"assigned_to_id":23,"start_date":"2016-11-04","description":"","custom_fields":[{"id":1,"name":"Subdivision","value":"EC"},{"id":4,"name":"Milepost","value":"23.3372"},{"id":17,"name":"Train ID","value":"195-04"},{"id":16,"name":"Locomotive ID","value":"4038"},{"id":130,"name":"Impact","value":""},{"id":150,"name":"Time of Event (Mountain Time)","value":"16:05:48"},{"id":151,"name":"Denver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562</v>
      </c>
      <c r="B108" s="7">
        <v>4037</v>
      </c>
      <c r="C108" s="22" t="s">
        <v>239</v>
      </c>
      <c r="D108" s="22" t="s">
        <v>674</v>
      </c>
      <c r="E108" s="13">
        <v>42678.6719212963</v>
      </c>
      <c r="F108" s="13">
        <v>42678.685370370367</v>
      </c>
      <c r="G108" s="7">
        <v>1</v>
      </c>
      <c r="H108" s="22" t="s">
        <v>175</v>
      </c>
      <c r="I108" s="13">
        <v>42678.711504629631</v>
      </c>
      <c r="J108" s="7">
        <v>0</v>
      </c>
      <c r="K108" s="112" t="str">
        <f t="shared" si="19"/>
        <v>4037/4038</v>
      </c>
      <c r="L108" s="22" t="str">
        <f>VLOOKUP(A108,'Trips&amp;Operators'!$C$1:$E$10000,3,FALSE)</f>
        <v>ADANE</v>
      </c>
      <c r="M108" s="6">
        <f t="shared" si="20"/>
        <v>2.6134259263926651E-2</v>
      </c>
      <c r="N108" s="7">
        <f t="shared" si="21"/>
        <v>37.633333340054378</v>
      </c>
      <c r="O108" s="7"/>
      <c r="P108" s="7"/>
      <c r="Q108" s="23"/>
      <c r="R108" s="23"/>
      <c r="S108" s="35">
        <f t="shared" si="22"/>
        <v>1</v>
      </c>
      <c r="T108" s="50" t="str">
        <f t="shared" si="23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15:07:34-0600',mode:absolute,to:'2016-11-04 18:04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8" s="52" t="str">
        <f t="shared" si="25"/>
        <v>N</v>
      </c>
      <c r="X108" s="177">
        <f t="shared" si="26"/>
        <v>1</v>
      </c>
      <c r="Y108" s="67">
        <f t="shared" si="27"/>
        <v>23.307200000000002</v>
      </c>
      <c r="Z108" s="67">
        <f t="shared" si="28"/>
        <v>1.47E-2</v>
      </c>
      <c r="AA108" s="67">
        <f t="shared" si="29"/>
        <v>23.2925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30"/>
        <v>0196-04</v>
      </c>
      <c r="AE108" s="91" t="str">
        <f t="shared" si="31"/>
        <v>aws s3 cp s3://rtdc.mdm.uploadarchive.raw/RTDC4037/ "%USERPROFILE%\AppData\Local\Temp\OnboardLogs"\RTDC4037\2016-11-04 --exclude "*" --recursive --include "*20161104*" &amp; "%USERPROFILE%\Documents\GitHub\mrs-test-scripts\Headless Mode &amp; Sideloading\WalkAndUnGZ.bat" "%USERPROFILE%\AppData\Local\Temp\OnboardLogs"\RTDC4037\2016-11-04 &amp; aws s3 cp s3://rtdc.mdm.uploadarchive.raw/RTDC4037/ "%USERPROFILE%\AppData\Local\Temp\OnboardLogs"\RTDC4037\2016-11-05 --exclude "*" --recursive --include "*20161105*" &amp; "%USERPROFILE%\Documents\GitHub\mrs-test-scripts\Headless Mode &amp; Sideloading\WalkAndUnGZ.bat" "%USERPROFILE%\AppData\Local\Temp\OnboardLogs"\RTDC4037\2016-11-05</v>
      </c>
      <c r="AF108" s="88" t="str">
        <f t="shared" si="32"/>
        <v>"C:\Program Files (x86)\AstroGrep\AstroGrep.exe" /spath="%USERPROFILE%\AppData\Local\Temp\OnboardLogs" /stypes="app*4037*20161104*" /stext=" 23:.+((SYSTEM_STATE.+slice.+state.+changed )|(ment ac)|(system.+state.+changed )|(\[timeout)|(PRM\|1\|D)|(kpr)|(kdp)|(\|loc)|(penalty))" /e /r /s</v>
      </c>
      <c r="AG108" s="1" t="str">
        <f t="shared" si="33"/>
        <v>EC</v>
      </c>
      <c r="AH108" s="92" t="str">
        <f t="shared" si="34"/>
        <v>"%USERPROFILE%\Documents\GitHub\eaglep3\Utilities\RefineRTDCRunTimes.py" --tripid 196-04 --locoid 4037 --swversion DE.1.0.8.0 --startMP 204:233072 --initTime 2016-11-04T16:07:34 --startdatetime 2016-11-04T16:26:56 --delay 1 --endMP 204:147 --enddatetime 2016-11-04T17:04:34 --enforcementcount 0 &gt;&gt;C:\Users\stu\Documents\GitHub\eaglep3-reporting\EC\2016-11-04-refined-times.txt</v>
      </c>
      <c r="AI108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{"issue":{"subject":"","project_id":79,"tracker_id":40,"status_id":1,"priority_id":2,"assigned_to_id":23,"start_date":"2016-11-04","description":"","custom_fields":[{"id":1,"name":"Subdivision","value":"EC"},{"id":4,"name":"Milepost","value":"0.0147"},{"id":17,"name":"Train ID","value":"196-04"},{"id":16,"name":"Locomotive ID","value":"4037"},{"id":130,"name":"Impact","value":""},{"id":150,"name":"Time of Event (Mountain Time)","value":"17:04:34"},{"id":151,"name":"Denver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555</v>
      </c>
      <c r="B109" s="7">
        <v>4003</v>
      </c>
      <c r="C109" s="22" t="s">
        <v>239</v>
      </c>
      <c r="D109" s="22" t="s">
        <v>315</v>
      </c>
      <c r="E109" s="13">
        <v>42678.652199074073</v>
      </c>
      <c r="F109" s="13">
        <v>42678.656446759262</v>
      </c>
      <c r="G109" s="7">
        <v>1</v>
      </c>
      <c r="H109" s="22" t="s">
        <v>675</v>
      </c>
      <c r="I109" s="13">
        <v>42678.682002314818</v>
      </c>
      <c r="J109" s="7">
        <v>0</v>
      </c>
      <c r="K109" s="112" t="str">
        <f t="shared" si="19"/>
        <v>4003/4004</v>
      </c>
      <c r="L109" s="22" t="str">
        <f>VLOOKUP(A109,'Trips&amp;Operators'!$C$1:$E$10000,3,FALSE)</f>
        <v>SHOOK</v>
      </c>
      <c r="M109" s="6">
        <f t="shared" si="20"/>
        <v>2.5555555555911269E-2</v>
      </c>
      <c r="N109" s="7">
        <f t="shared" si="21"/>
        <v>36.800000000512227</v>
      </c>
      <c r="O109" s="7"/>
      <c r="P109" s="7"/>
      <c r="Q109" s="23"/>
      <c r="R109" s="23"/>
      <c r="S109" s="35">
        <f t="shared" si="22"/>
        <v>1</v>
      </c>
      <c r="T109" s="50" t="str">
        <f t="shared" si="23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14:39:10-0600',mode:absolute,to:'2016-11-04 17:22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9" s="52" t="str">
        <f t="shared" si="25"/>
        <v>N</v>
      </c>
      <c r="X109" s="177">
        <f t="shared" si="26"/>
        <v>1</v>
      </c>
      <c r="Y109" s="67">
        <f t="shared" si="27"/>
        <v>4.6899999999999997E-2</v>
      </c>
      <c r="Z109" s="67">
        <f t="shared" si="28"/>
        <v>23.3338</v>
      </c>
      <c r="AA109" s="67">
        <f t="shared" si="29"/>
        <v>23.286899999999999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30"/>
        <v>0197-04</v>
      </c>
      <c r="AE109" s="91" t="str">
        <f t="shared" si="31"/>
        <v>aws s3 cp s3://rtdc.mdm.uploadarchive.raw/RTDC4003/ "%USERPROFILE%\AppData\Local\Temp\OnboardLogs"\RTDC4003\2016-11-04 --exclude "*" --recursive --include "*20161104*" &amp; "%USERPROFILE%\Documents\GitHub\mrs-test-scripts\Headless Mode &amp; Sideloading\WalkAndUnGZ.bat" "%USERPROFILE%\AppData\Local\Temp\OnboardLogs"\RTDC4003\2016-11-04 &amp; 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</v>
      </c>
      <c r="AF109" s="88" t="str">
        <f t="shared" si="32"/>
        <v>"C:\Program Files (x86)\AstroGrep\AstroGrep.exe" /spath="%USERPROFILE%\AppData\Local\Temp\OnboardLogs" /stypes="app*4003*20161104*" /stext=" 22:.+((SYSTEM_STATE.+slice.+state.+changed )|(ment ac)|(system.+state.+changed )|(\[timeout)|(PRM\|1\|D)|(kpr)|(kdp)|(\|loc)|(penalty))" /e /r /s</v>
      </c>
      <c r="AG109" s="1" t="str">
        <f t="shared" si="33"/>
        <v>EC</v>
      </c>
      <c r="AH109" s="92" t="str">
        <f t="shared" si="34"/>
        <v>"%USERPROFILE%\Documents\GitHub\eaglep3\Utilities\RefineRTDCRunTimes.py" --tripid 197-04 --locoid 4003 --swversion DE.1.0.8.0 --startMP 204:469 --initTime 2016-11-04T15:39:10 --startdatetime 2016-11-04T15:45:17 --delay 1 --endMP 204:233338 --enddatetime 2016-11-04T16:22:05 --enforcementcount 0 &gt;&gt;C:\Users\stu\Documents\GitHub\eaglep3-reporting\EC\2016-11-04-refined-times.txt</v>
      </c>
      <c r="AI109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{"issue":{"subject":"","project_id":79,"tracker_id":40,"status_id":1,"priority_id":2,"assigned_to_id":23,"start_date":"2016-11-04","description":"","custom_fields":[{"id":1,"name":"Subdivision","value":"EC"},{"id":4,"name":"Milepost","value":"23.3338"},{"id":17,"name":"Train ID","value":"197-04"},{"id":16,"name":"Locomotive ID","value":"4003"},{"id":130,"name":"Impact","value":""},{"id":150,"name":"Time of Event (Mountain Time)","value":"16:22:05"},{"id":151,"name":"Denver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566</v>
      </c>
      <c r="B110" s="7">
        <v>4004</v>
      </c>
      <c r="C110" s="22" t="s">
        <v>239</v>
      </c>
      <c r="D110" s="22" t="s">
        <v>371</v>
      </c>
      <c r="E110" s="13">
        <v>42678.689074074071</v>
      </c>
      <c r="F110" s="13">
        <v>42678.6953587963</v>
      </c>
      <c r="G110" s="7">
        <v>1</v>
      </c>
      <c r="H110" s="22" t="s">
        <v>250</v>
      </c>
      <c r="I110" s="13">
        <v>42678.721331018518</v>
      </c>
      <c r="J110" s="7">
        <v>0</v>
      </c>
      <c r="K110" s="112" t="str">
        <f t="shared" si="19"/>
        <v>4003/4004</v>
      </c>
      <c r="L110" s="22" t="str">
        <f>VLOOKUP(A110,'Trips&amp;Operators'!$C$1:$E$10000,3,FALSE)</f>
        <v>SHOOK</v>
      </c>
      <c r="M110" s="6">
        <f t="shared" si="20"/>
        <v>2.5972222218115348E-2</v>
      </c>
      <c r="N110" s="7">
        <f t="shared" si="21"/>
        <v>37.399999994086102</v>
      </c>
      <c r="O110" s="7"/>
      <c r="P110" s="7"/>
      <c r="Q110" s="23"/>
      <c r="R110" s="23"/>
      <c r="S110" s="35">
        <f t="shared" si="22"/>
        <v>1</v>
      </c>
      <c r="T110" s="50" t="str">
        <f t="shared" si="23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15:32:16-0600',mode:absolute,to:'2016-11-04 18:18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0" s="52" t="str">
        <f t="shared" si="25"/>
        <v>N</v>
      </c>
      <c r="X110" s="177">
        <f t="shared" si="26"/>
        <v>1</v>
      </c>
      <c r="Y110" s="67">
        <f t="shared" si="27"/>
        <v>23.305499999999999</v>
      </c>
      <c r="Z110" s="67">
        <f t="shared" si="28"/>
        <v>1.3599999999999999E-2</v>
      </c>
      <c r="AA110" s="67">
        <f t="shared" si="29"/>
        <v>23.291899999999998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30"/>
        <v>0198-04</v>
      </c>
      <c r="AE110" s="91" t="str">
        <f t="shared" si="31"/>
        <v>aws s3 cp s3://rtdc.mdm.uploadarchive.raw/RTDC4004/ "%USERPROFILE%\AppData\Local\Temp\OnboardLogs"\RTDC4004\2016-11-04 --exclude "*" --recursive --include "*20161104*" &amp; "%USERPROFILE%\Documents\GitHub\mrs-test-scripts\Headless Mode &amp; Sideloading\WalkAndUnGZ.bat" "%USERPROFILE%\AppData\Local\Temp\OnboardLogs"\RTDC4004\2016-11-04 &amp; 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</v>
      </c>
      <c r="AF110" s="88" t="str">
        <f t="shared" si="32"/>
        <v>"C:\Program Files (x86)\AstroGrep\AstroGrep.exe" /spath="%USERPROFILE%\AppData\Local\Temp\OnboardLogs" /stypes="app*4004*20161104*" /stext=" 23:.+((SYSTEM_STATE.+slice.+state.+changed )|(ment ac)|(system.+state.+changed )|(\[timeout)|(PRM\|1\|D)|(kpr)|(kdp)|(\|loc)|(penalty))" /e /r /s</v>
      </c>
      <c r="AG110" s="1" t="str">
        <f t="shared" si="33"/>
        <v>EC</v>
      </c>
      <c r="AH110" s="92" t="str">
        <f t="shared" si="34"/>
        <v>"%USERPROFILE%\Documents\GitHub\eaglep3\Utilities\RefineRTDCRunTimes.py" --tripid 198-04 --locoid 4004 --swversion DE.1.0.8.0 --startMP 204:233055 --initTime 2016-11-04T16:32:16 --startdatetime 2016-11-04T16:41:19 --delay 1 --endMP 204:136 --enddatetime 2016-11-04T17:18:43 --enforcementcount 0 &gt;&gt;C:\Users\stu\Documents\GitHub\eaglep3-reporting\EC\2016-11-04-refined-times.txt</v>
      </c>
      <c r="AI110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{"issue":{"subject":"","project_id":79,"tracker_id":40,"status_id":1,"priority_id":2,"assigned_to_id":23,"start_date":"2016-11-04","description":"","custom_fields":[{"id":1,"name":"Subdivision","value":"EC"},{"id":4,"name":"Milepost","value":"0.0136"},{"id":17,"name":"Train ID","value":"198-04"},{"id":16,"name":"Locomotive ID","value":"4004"},{"id":130,"name":"Impact","value":""},{"id":150,"name":"Time of Event (Mountain Time)","value":"17:18:43"},{"id":151,"name":"Denver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559</v>
      </c>
      <c r="B111" s="7">
        <v>4007</v>
      </c>
      <c r="C111" s="22" t="s">
        <v>239</v>
      </c>
      <c r="D111" s="22" t="s">
        <v>233</v>
      </c>
      <c r="E111" s="13">
        <v>42678.662303240744</v>
      </c>
      <c r="F111" s="13">
        <v>42678.667233796295</v>
      </c>
      <c r="G111" s="7">
        <v>1</v>
      </c>
      <c r="H111" s="22" t="s">
        <v>676</v>
      </c>
      <c r="I111" s="13">
        <v>42678.692048611112</v>
      </c>
      <c r="J111" s="7">
        <v>0</v>
      </c>
      <c r="K111" s="112" t="str">
        <f t="shared" si="19"/>
        <v>4007/4008</v>
      </c>
      <c r="L111" s="22" t="str">
        <f>VLOOKUP(A111,'Trips&amp;Operators'!$C$1:$E$10000,3,FALSE)</f>
        <v>MACDONALD</v>
      </c>
      <c r="M111" s="6">
        <f t="shared" si="20"/>
        <v>2.4814814816636499E-2</v>
      </c>
      <c r="N111" s="7">
        <f t="shared" si="21"/>
        <v>35.733333335956559</v>
      </c>
      <c r="O111" s="7"/>
      <c r="P111" s="7"/>
      <c r="Q111" s="23"/>
      <c r="R111" s="23"/>
      <c r="S111" s="35">
        <f t="shared" si="22"/>
        <v>1</v>
      </c>
      <c r="T111" s="50" t="str">
        <f t="shared" si="23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14:53:43-0600',mode:absolute,to:'2016-11-04 17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1" s="52" t="str">
        <f t="shared" si="25"/>
        <v>N</v>
      </c>
      <c r="X111" s="177">
        <f t="shared" si="26"/>
        <v>1</v>
      </c>
      <c r="Y111" s="67">
        <f t="shared" si="27"/>
        <v>4.5699999999999998E-2</v>
      </c>
      <c r="Z111" s="67">
        <f t="shared" si="28"/>
        <v>23.3278</v>
      </c>
      <c r="AA111" s="67">
        <f t="shared" si="29"/>
        <v>23.2821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30"/>
        <v>0199-04</v>
      </c>
      <c r="AE111" s="91" t="str">
        <f t="shared" si="31"/>
        <v>aws s3 cp s3://rtdc.mdm.uploadarchive.raw/RTDC4007/ "%USERPROFILE%\AppData\Local\Temp\OnboardLogs"\RTDC4007\2016-11-04 --exclude "*" --recursive --include "*20161104*" &amp; "%USERPROFILE%\Documents\GitHub\mrs-test-scripts\Headless Mode &amp; Sideloading\WalkAndUnGZ.bat" "%USERPROFILE%\AppData\Local\Temp\OnboardLogs"\RTDC4007\2016-11-04 &amp; aws s3 cp s3://rtdc.mdm.uploadarchive.raw/RTDC4007/ "%USERPROFILE%\AppData\Local\Temp\OnboardLogs"\RTDC4007\2016-11-05 --exclude "*" --recursive --include "*20161105*" &amp; "%USERPROFILE%\Documents\GitHub\mrs-test-scripts\Headless Mode &amp; Sideloading\WalkAndUnGZ.bat" "%USERPROFILE%\AppData\Local\Temp\OnboardLogs"\RTDC4007\2016-11-05</v>
      </c>
      <c r="AF111" s="88" t="str">
        <f t="shared" si="32"/>
        <v>"C:\Program Files (x86)\AstroGrep\AstroGrep.exe" /spath="%USERPROFILE%\AppData\Local\Temp\OnboardLogs" /stypes="app*4007*20161104*" /stext=" 22:.+((SYSTEM_STATE.+slice.+state.+changed )|(ment ac)|(system.+state.+changed )|(\[timeout)|(PRM\|1\|D)|(kpr)|(kdp)|(\|loc)|(penalty))" /e /r /s</v>
      </c>
      <c r="AG111" s="1" t="str">
        <f t="shared" si="33"/>
        <v>EC</v>
      </c>
      <c r="AH111" s="92" t="str">
        <f t="shared" si="34"/>
        <v>"%USERPROFILE%\Documents\GitHub\eaglep3\Utilities\RefineRTDCRunTimes.py" --tripid 199-04 --locoid 4007 --swversion DE.1.0.8.0 --startMP 204:457 --initTime 2016-11-04T15:53:43 --startdatetime 2016-11-04T16:00:49 --delay 1 --endMP 204:233278 --enddatetime 2016-11-04T16:36:33 --enforcementcount 0 &gt;&gt;C:\Users\stu\Documents\GitHub\eaglep3-reporting\EC\2016-11-04-refined-times.txt</v>
      </c>
      <c r="AI111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{"issue":{"subject":"","project_id":79,"tracker_id":40,"status_id":1,"priority_id":2,"assigned_to_id":23,"start_date":"2016-11-04","description":"","custom_fields":[{"id":1,"name":"Subdivision","value":"EC"},{"id":4,"name":"Milepost","value":"23.3278"},{"id":17,"name":"Train ID","value":"199-04"},{"id":16,"name":"Locomotive ID","value":"4007"},{"id":130,"name":"Impact","value":""},{"id":150,"name":"Time of Event (Mountain Time)","value":"16:36:33"},{"id":151,"name":"Denver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425</v>
      </c>
      <c r="B112" s="7">
        <v>4008</v>
      </c>
      <c r="C112" s="22" t="s">
        <v>239</v>
      </c>
      <c r="D112" s="22" t="s">
        <v>677</v>
      </c>
      <c r="E112" s="13">
        <v>42678.701053240744</v>
      </c>
      <c r="F112" s="13">
        <v>42678.706064814818</v>
      </c>
      <c r="G112" s="7">
        <v>1</v>
      </c>
      <c r="H112" s="22" t="s">
        <v>678</v>
      </c>
      <c r="I112" s="13">
        <v>42678.732291666667</v>
      </c>
      <c r="J112" s="7">
        <v>0</v>
      </c>
      <c r="K112" s="112" t="str">
        <f t="shared" si="19"/>
        <v>4007/4008</v>
      </c>
      <c r="L112" s="22" t="str">
        <f>VLOOKUP(A112,'Trips&amp;Operators'!$C$1:$E$10000,3,FALSE)</f>
        <v>MACDONALD</v>
      </c>
      <c r="M112" s="6">
        <f t="shared" si="20"/>
        <v>2.622685184906004E-2</v>
      </c>
      <c r="N112" s="7">
        <f t="shared" si="21"/>
        <v>37.766666662646458</v>
      </c>
      <c r="O112" s="7"/>
      <c r="P112" s="7"/>
      <c r="Q112" s="23"/>
      <c r="R112" s="23"/>
      <c r="S112" s="35">
        <f t="shared" si="22"/>
        <v>1</v>
      </c>
      <c r="T112" s="50" t="str">
        <f t="shared" si="23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15:49:31-0600',mode:absolute,to:'2016-11-04 18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2" s="52" t="str">
        <f t="shared" si="25"/>
        <v>N</v>
      </c>
      <c r="X112" s="177">
        <f t="shared" si="26"/>
        <v>1</v>
      </c>
      <c r="Y112" s="67">
        <f t="shared" si="27"/>
        <v>23.295500000000001</v>
      </c>
      <c r="Z112" s="67">
        <f t="shared" si="28"/>
        <v>1.6899999999999998E-2</v>
      </c>
      <c r="AA112" s="67">
        <f t="shared" si="29"/>
        <v>23.278600000000001</v>
      </c>
      <c r="AB112" s="64" t="str">
        <f>VLOOKUP(A112,Enforcements!$C$7:$K$21,8,0)</f>
        <v>Bulletin (2)</v>
      </c>
      <c r="AC112" s="60" t="str">
        <f>VLOOKUP(A112,Enforcements!$C$7:$E$21,3,0)</f>
        <v>GRADE CROSSING</v>
      </c>
      <c r="AD112" s="61" t="str">
        <f t="shared" si="30"/>
        <v>0200-04</v>
      </c>
      <c r="AE112" s="91" t="str">
        <f t="shared" si="31"/>
        <v>aws s3 cp s3://rtdc.mdm.uploadarchive.raw/RTDC4008/ "%USERPROFILE%\AppData\Local\Temp\OnboardLogs"\RTDC4008\2016-11-04 --exclude "*" --recursive --include "*20161104*" &amp; "%USERPROFILE%\Documents\GitHub\mrs-test-scripts\Headless Mode &amp; Sideloading\WalkAndUnGZ.bat" "%USERPROFILE%\AppData\Local\Temp\OnboardLogs"\RTDC4008\2016-11-04 &amp; aws s3 cp s3://rtdc.mdm.uploadarchive.raw/RTDC4008/ "%USERPROFILE%\AppData\Local\Temp\OnboardLogs"\RTDC4008\2016-11-05 --exclude "*" --recursive --include "*20161105*" &amp; "%USERPROFILE%\Documents\GitHub\mrs-test-scripts\Headless Mode &amp; Sideloading\WalkAndUnGZ.bat" "%USERPROFILE%\AppData\Local\Temp\OnboardLogs"\RTDC4008\2016-11-05</v>
      </c>
      <c r="AF112" s="88" t="str">
        <f t="shared" si="32"/>
        <v>"C:\Program Files (x86)\AstroGrep\AstroGrep.exe" /spath="%USERPROFILE%\AppData\Local\Temp\OnboardLogs" /stypes="app*4008*20161104*" /stext=" 23:.+((SYSTEM_STATE.+slice.+state.+changed )|(ment ac)|(system.+state.+changed )|(\[timeout)|(PRM\|1\|D)|(kpr)|(kdp)|(\|loc)|(penalty))" /e /r /s</v>
      </c>
      <c r="AG112" s="1" t="str">
        <f t="shared" si="33"/>
        <v>EC</v>
      </c>
      <c r="AH112" s="92" t="str">
        <f t="shared" si="34"/>
        <v>"%USERPROFILE%\Documents\GitHub\eaglep3\Utilities\RefineRTDCRunTimes.py" --tripid 200-04 --locoid 4008 --swversion DE.1.0.8.0 --startMP 204:232955 --initTime 2016-11-04T16:49:31 --startdatetime 2016-11-04T16:56:44 --delay 1 --endMP 204:169 --enddatetime 2016-11-04T17:34:30 --enforcementcount 0 &gt;&gt;C:\Users\stu\Documents\GitHub\eaglep3-reporting\EC\2016-11-04-refined-times.txt</v>
      </c>
      <c r="AI112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{"issue":{"subject":"","project_id":79,"tracker_id":40,"status_id":1,"priority_id":2,"assigned_to_id":23,"start_date":"2016-11-04","description":"","custom_fields":[{"id":1,"name":"Subdivision","value":"EC"},{"id":4,"name":"Milepost","value":"0.0169"},{"id":17,"name":"Train ID","value":"200-04"},{"id":16,"name":"Locomotive ID","value":"4008"},{"id":130,"name":"Impact","value":""},{"id":150,"name":"Time of Event (Mountain Time)","value":"17:34:30"},{"id":151,"name":"Denver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7" t="s">
        <v>563</v>
      </c>
      <c r="B113" s="7">
        <v>4022</v>
      </c>
      <c r="C113" s="22" t="s">
        <v>239</v>
      </c>
      <c r="D113" s="22" t="s">
        <v>637</v>
      </c>
      <c r="E113" s="13">
        <v>42678.671817129631</v>
      </c>
      <c r="F113" s="13">
        <v>42678.677465277775</v>
      </c>
      <c r="G113" s="7">
        <v>1</v>
      </c>
      <c r="H113" s="22" t="s">
        <v>282</v>
      </c>
      <c r="I113" s="13">
        <v>42678.702627314815</v>
      </c>
      <c r="J113" s="7">
        <v>0</v>
      </c>
      <c r="K113" s="112" t="str">
        <f t="shared" si="19"/>
        <v>4021/4022</v>
      </c>
      <c r="L113" s="22" t="str">
        <f>VLOOKUP(A113,'Trips&amp;Operators'!$C$1:$E$10000,3,FALSE)</f>
        <v>STEWART</v>
      </c>
      <c r="M113" s="6">
        <f t="shared" si="20"/>
        <v>2.5162037039990537E-2</v>
      </c>
      <c r="N113" s="7">
        <f t="shared" si="21"/>
        <v>36.233333337586373</v>
      </c>
      <c r="O113" s="7"/>
      <c r="P113" s="7"/>
      <c r="Q113" s="23"/>
      <c r="R113" s="23"/>
      <c r="S113" s="35">
        <f t="shared" si="22"/>
        <v>1</v>
      </c>
      <c r="T113" s="50" t="str">
        <f t="shared" si="23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15:07:25-0600',mode:absolute,to:'2016-11-04 17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3" s="52" t="str">
        <f t="shared" si="25"/>
        <v>N</v>
      </c>
      <c r="X113" s="177">
        <f t="shared" si="26"/>
        <v>1</v>
      </c>
      <c r="Y113" s="67">
        <f t="shared" si="27"/>
        <v>4.4600000000000001E-2</v>
      </c>
      <c r="Z113" s="67">
        <f t="shared" si="28"/>
        <v>23.331</v>
      </c>
      <c r="AA113" s="67">
        <f t="shared" si="29"/>
        <v>23.2864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30"/>
        <v>0201-04</v>
      </c>
      <c r="AE113" s="91" t="str">
        <f t="shared" si="31"/>
        <v>aws s3 cp s3://rtdc.mdm.uploadarchive.raw/RTDC4022/ "%USERPROFILE%\AppData\Local\Temp\OnboardLogs"\RTDC4022\2016-11-04 --exclude "*" --recursive --include "*20161104*" &amp; "%USERPROFILE%\Documents\GitHub\mrs-test-scripts\Headless Mode &amp; Sideloading\WalkAndUnGZ.bat" "%USERPROFILE%\AppData\Local\Temp\OnboardLogs"\RTDC4022\2016-11-04 &amp; aws s3 cp s3://rtdc.mdm.uploadarchive.raw/RTDC4022/ "%USERPROFILE%\AppData\Local\Temp\OnboardLogs"\RTDC4022\2016-11-05 --exclude "*" --recursive --include "*20161105*" &amp; "%USERPROFILE%\Documents\GitHub\mrs-test-scripts\Headless Mode &amp; Sideloading\WalkAndUnGZ.bat" "%USERPROFILE%\AppData\Local\Temp\OnboardLogs"\RTDC4022\2016-11-05</v>
      </c>
      <c r="AF113" s="88" t="str">
        <f t="shared" si="32"/>
        <v>"C:\Program Files (x86)\AstroGrep\AstroGrep.exe" /spath="%USERPROFILE%\AppData\Local\Temp\OnboardLogs" /stypes="app*4022*20161104*" /stext=" 22:.+((SYSTEM_STATE.+slice.+state.+changed )|(ment ac)|(system.+state.+changed )|(\[timeout)|(PRM\|1\|D)|(kpr)|(kdp)|(\|loc)|(penalty))" /e /r /s</v>
      </c>
      <c r="AG113" s="1" t="str">
        <f t="shared" si="33"/>
        <v>EC</v>
      </c>
      <c r="AH113" s="92" t="str">
        <f t="shared" si="34"/>
        <v>"%USERPROFILE%\Documents\GitHub\eaglep3\Utilities\RefineRTDCRunTimes.py" --tripid 201-04 --locoid 4022 --swversion DE.1.0.8.0 --startMP 204:446 --initTime 2016-11-04T16:07:25 --startdatetime 2016-11-04T16:15:33 --delay 1 --endMP 204:233310 --enddatetime 2016-11-04T16:51:47 --enforcementcount 0 &gt;&gt;C:\Users\stu\Documents\GitHub\eaglep3-reporting\EC\2016-11-04-refined-times.txt</v>
      </c>
      <c r="AI113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{"issue":{"subject":"","project_id":79,"tracker_id":40,"status_id":1,"priority_id":2,"assigned_to_id":23,"start_date":"2016-11-04","description":"","custom_fields":[{"id":1,"name":"Subdivision","value":"EC"},{"id":4,"name":"Milepost","value":"23.331"},{"id":17,"name":"Train ID","value":"201-04"},{"id":16,"name":"Locomotive ID","value":"4022"},{"id":130,"name":"Impact","value":""},{"id":150,"name":"Time of Event (Mountain Time)","value":"16:51:47"},{"id":151,"name":"Denver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</row>
    <row r="114" spans="1:91" s="21" customFormat="1" x14ac:dyDescent="0.25">
      <c r="A114" s="37" t="s">
        <v>570</v>
      </c>
      <c r="B114" s="7">
        <v>4021</v>
      </c>
      <c r="C114" s="22" t="s">
        <v>239</v>
      </c>
      <c r="D114" s="22" t="s">
        <v>266</v>
      </c>
      <c r="E114" s="13">
        <v>42678.712280092594</v>
      </c>
      <c r="F114" s="13">
        <v>42678.716249999998</v>
      </c>
      <c r="G114" s="7">
        <v>1</v>
      </c>
      <c r="H114" s="22" t="s">
        <v>654</v>
      </c>
      <c r="I114" s="13">
        <v>42678.742210648146</v>
      </c>
      <c r="J114" s="7">
        <v>0</v>
      </c>
      <c r="K114" s="112" t="str">
        <f t="shared" si="19"/>
        <v>4021/4022</v>
      </c>
      <c r="L114" s="22" t="str">
        <f>VLOOKUP(A114,'Trips&amp;Operators'!$C$1:$E$10000,3,FALSE)</f>
        <v>STEWART</v>
      </c>
      <c r="M114" s="6">
        <f t="shared" si="20"/>
        <v>2.5960648148611654E-2</v>
      </c>
      <c r="N114" s="7">
        <f t="shared" si="21"/>
        <v>37.383333334000781</v>
      </c>
      <c r="O114" s="7"/>
      <c r="P114" s="7"/>
      <c r="Q114" s="23"/>
      <c r="R114" s="23"/>
      <c r="S114" s="35">
        <f t="shared" si="22"/>
        <v>1</v>
      </c>
      <c r="T114" s="50" t="str">
        <f t="shared" si="23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16:05:41-0600',mode:absolute,to:'2016-11-04 18:48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4" s="52" t="str">
        <f t="shared" si="25"/>
        <v>N</v>
      </c>
      <c r="X114" s="177">
        <f t="shared" si="26"/>
        <v>1</v>
      </c>
      <c r="Y114" s="67">
        <f t="shared" si="27"/>
        <v>23.299600000000002</v>
      </c>
      <c r="Z114" s="67">
        <f t="shared" si="28"/>
        <v>1.72E-2</v>
      </c>
      <c r="AA114" s="67">
        <f t="shared" si="29"/>
        <v>23.282400000000003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30"/>
        <v>0202-04</v>
      </c>
      <c r="AE114" s="91" t="str">
        <f t="shared" si="31"/>
        <v>aws s3 cp s3://rtdc.mdm.uploadarchive.raw/RTDC4021/ "%USERPROFILE%\AppData\Local\Temp\OnboardLogs"\RTDC4021\2016-11-04 --exclude "*" --recursive --include "*20161104*" &amp; "%USERPROFILE%\Documents\GitHub\mrs-test-scripts\Headless Mode &amp; Sideloading\WalkAndUnGZ.bat" "%USERPROFILE%\AppData\Local\Temp\OnboardLogs"\RTDC4021\2016-11-04 &amp; aws s3 cp s3://rtdc.mdm.uploadarchive.raw/RTDC4021/ "%USERPROFILE%\AppData\Local\Temp\OnboardLogs"\RTDC4021\2016-11-05 --exclude "*" --recursive --include "*20161105*" &amp; "%USERPROFILE%\Documents\GitHub\mrs-test-scripts\Headless Mode &amp; Sideloading\WalkAndUnGZ.bat" "%USERPROFILE%\AppData\Local\Temp\OnboardLogs"\RTDC4021\2016-11-05</v>
      </c>
      <c r="AF114" s="88" t="str">
        <f t="shared" si="32"/>
        <v>"C:\Program Files (x86)\AstroGrep\AstroGrep.exe" /spath="%USERPROFILE%\AppData\Local\Temp\OnboardLogs" /stypes="app*4021*20161104*" /stext=" 23:.+((SYSTEM_STATE.+slice.+state.+changed )|(ment ac)|(system.+state.+changed )|(\[timeout)|(PRM\|1\|D)|(kpr)|(kdp)|(\|loc)|(penalty))" /e /r /s</v>
      </c>
      <c r="AG114" s="1" t="str">
        <f t="shared" si="33"/>
        <v>EC</v>
      </c>
      <c r="AH114" s="92" t="str">
        <f t="shared" si="34"/>
        <v>"%USERPROFILE%\Documents\GitHub\eaglep3\Utilities\RefineRTDCRunTimes.py" --tripid 202-04 --locoid 4021 --swversion DE.1.0.8.0 --startMP 204:232996 --initTime 2016-11-04T17:05:41 --startdatetime 2016-11-04T17:11:24 --delay 1 --endMP 204:172 --enddatetime 2016-11-04T17:48:47 --enforcementcount 0 &gt;&gt;C:\Users\stu\Documents\GitHub\eaglep3-reporting\EC\2016-11-04-refined-times.txt</v>
      </c>
      <c r="AI114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{"issue":{"subject":"","project_id":79,"tracker_id":40,"status_id":1,"priority_id":2,"assigned_to_id":23,"start_date":"2016-11-04","description":"","custom_fields":[{"id":1,"name":"Subdivision","value":"EC"},{"id":4,"name":"Milepost","value":"0.0172"},{"id":17,"name":"Train ID","value":"202-04"},{"id":16,"name":"Locomotive ID","value":"4021"},{"id":130,"name":"Impact","value":""},{"id":150,"name":"Time of Event (Mountain Time)","value":"17:48:47"},{"id":151,"name":"Denver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564</v>
      </c>
      <c r="B115" s="7">
        <v>4029</v>
      </c>
      <c r="C115" s="22" t="s">
        <v>239</v>
      </c>
      <c r="D115" s="22" t="s">
        <v>637</v>
      </c>
      <c r="E115" s="13">
        <v>42678.683148148149</v>
      </c>
      <c r="F115" s="13">
        <v>42678.687662037039</v>
      </c>
      <c r="G115" s="7">
        <v>1</v>
      </c>
      <c r="H115" s="22" t="s">
        <v>365</v>
      </c>
      <c r="I115" s="13">
        <v>42678.712812500002</v>
      </c>
      <c r="J115" s="7">
        <v>0</v>
      </c>
      <c r="K115" s="112" t="str">
        <f t="shared" si="19"/>
        <v>4029/4030</v>
      </c>
      <c r="L115" s="22" t="str">
        <f>VLOOKUP(A115,'Trips&amp;Operators'!$C$1:$E$10000,3,FALSE)</f>
        <v>CLARK</v>
      </c>
      <c r="M115" s="6">
        <f t="shared" si="20"/>
        <v>2.5150462963210884E-2</v>
      </c>
      <c r="N115" s="7">
        <f t="shared" si="21"/>
        <v>36.216666667023674</v>
      </c>
      <c r="O115" s="7"/>
      <c r="P115" s="7"/>
      <c r="Q115" s="23"/>
      <c r="R115" s="23"/>
      <c r="S115" s="35">
        <f t="shared" si="22"/>
        <v>1</v>
      </c>
      <c r="T115" s="50" t="str">
        <f t="shared" si="23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15:23:44-0600',mode:absolute,to:'2016-11-04 18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5" s="52" t="str">
        <f t="shared" si="25"/>
        <v>N</v>
      </c>
      <c r="X115" s="177">
        <f t="shared" si="26"/>
        <v>1</v>
      </c>
      <c r="Y115" s="67">
        <f t="shared" si="27"/>
        <v>4.4600000000000001E-2</v>
      </c>
      <c r="Z115" s="67">
        <f t="shared" si="28"/>
        <v>23.331099999999999</v>
      </c>
      <c r="AA115" s="67">
        <f t="shared" si="29"/>
        <v>23.2865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30"/>
        <v>0203-04</v>
      </c>
      <c r="AE115" s="91" t="str">
        <f t="shared" si="31"/>
        <v>aws s3 cp s3://rtdc.mdm.uploadarchive.raw/RTDC4029/ "%USERPROFILE%\AppData\Local\Temp\OnboardLogs"\RTDC4029\2016-11-04 --exclude "*" --recursive --include "*20161104*" &amp; "%USERPROFILE%\Documents\GitHub\mrs-test-scripts\Headless Mode &amp; Sideloading\WalkAndUnGZ.bat" "%USERPROFILE%\AppData\Local\Temp\OnboardLogs"\RTDC4029\2016-11-04 &amp; aws s3 cp s3://rtdc.mdm.uploadarchive.raw/RTDC4029/ "%USERPROFILE%\AppData\Local\Temp\OnboardLogs"\RTDC4029\2016-11-05 --exclude "*" --recursive --include "*20161105*" &amp; "%USERPROFILE%\Documents\GitHub\mrs-test-scripts\Headless Mode &amp; Sideloading\WalkAndUnGZ.bat" "%USERPROFILE%\AppData\Local\Temp\OnboardLogs"\RTDC4029\2016-11-05</v>
      </c>
      <c r="AF115" s="88" t="str">
        <f t="shared" si="32"/>
        <v>"C:\Program Files (x86)\AstroGrep\AstroGrep.exe" /spath="%USERPROFILE%\AppData\Local\Temp\OnboardLogs" /stypes="app*4029*20161104*" /stext=" 23:.+((SYSTEM_STATE.+slice.+state.+changed )|(ment ac)|(system.+state.+changed )|(\[timeout)|(PRM\|1\|D)|(kpr)|(kdp)|(\|loc)|(penalty))" /e /r /s</v>
      </c>
      <c r="AG115" s="1" t="str">
        <f t="shared" si="33"/>
        <v>EC</v>
      </c>
      <c r="AH115" s="92" t="str">
        <f t="shared" si="34"/>
        <v>"%USERPROFILE%\Documents\GitHub\eaglep3\Utilities\RefineRTDCRunTimes.py" --tripid 203-04 --locoid 4029 --swversion DE.1.0.8.0 --startMP 204:446 --initTime 2016-11-04T16:23:44 --startdatetime 2016-11-04T16:30:14 --delay 1 --endMP 204:233311 --enddatetime 2016-11-04T17:06:27 --enforcementcount 0 &gt;&gt;C:\Users\stu\Documents\GitHub\eaglep3-reporting\EC\2016-11-04-refined-times.txt</v>
      </c>
      <c r="AI115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{"issue":{"subject":"","project_id":79,"tracker_id":40,"status_id":1,"priority_id":2,"assigned_to_id":23,"start_date":"2016-11-04","description":"","custom_fields":[{"id":1,"name":"Subdivision","value":"EC"},{"id":4,"name":"Milepost","value":"23.3311"},{"id":17,"name":"Train ID","value":"203-04"},{"id":16,"name":"Locomotive ID","value":"4029"},{"id":130,"name":"Impact","value":""},{"id":150,"name":"Time of Event (Mountain Time)","value":"17:06:27"},{"id":151,"name":"Denver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575</v>
      </c>
      <c r="B116" s="7">
        <v>4030</v>
      </c>
      <c r="C116" s="22" t="s">
        <v>239</v>
      </c>
      <c r="D116" s="22" t="s">
        <v>339</v>
      </c>
      <c r="E116" s="13">
        <v>42678.722430555557</v>
      </c>
      <c r="F116" s="13">
        <v>42678.7265625</v>
      </c>
      <c r="G116" s="7">
        <v>1</v>
      </c>
      <c r="H116" s="22" t="s">
        <v>250</v>
      </c>
      <c r="I116" s="13">
        <v>42678.755057870374</v>
      </c>
      <c r="J116" s="7">
        <v>0</v>
      </c>
      <c r="K116" s="112" t="str">
        <f t="shared" si="19"/>
        <v>4029/4030</v>
      </c>
      <c r="L116" s="22" t="str">
        <f>VLOOKUP(A116,'Trips&amp;Operators'!$C$1:$E$10000,3,FALSE)</f>
        <v>CLARK</v>
      </c>
      <c r="M116" s="6">
        <f t="shared" si="20"/>
        <v>2.849537037400296E-2</v>
      </c>
      <c r="N116" s="7">
        <f t="shared" si="21"/>
        <v>41.033333338564262</v>
      </c>
      <c r="O116" s="7"/>
      <c r="P116" s="7"/>
      <c r="Q116" s="23"/>
      <c r="R116" s="23"/>
      <c r="S116" s="35">
        <f t="shared" si="22"/>
        <v>1</v>
      </c>
      <c r="T116" s="50" t="str">
        <f t="shared" si="23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16:20:18-0600',mode:absolute,to:'2016-11-04 19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6" s="52" t="str">
        <f t="shared" si="25"/>
        <v>N</v>
      </c>
      <c r="X116" s="177">
        <f t="shared" si="26"/>
        <v>1</v>
      </c>
      <c r="Y116" s="67">
        <f t="shared" si="27"/>
        <v>23.299399999999999</v>
      </c>
      <c r="Z116" s="67">
        <f t="shared" si="28"/>
        <v>1.3599999999999999E-2</v>
      </c>
      <c r="AA116" s="67">
        <f t="shared" si="29"/>
        <v>23.285799999999998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30"/>
        <v>0204-04</v>
      </c>
      <c r="AE116" s="91" t="str">
        <f t="shared" si="31"/>
        <v>aws s3 cp s3://rtdc.mdm.uploadarchive.raw/RTDC4030/ "%USERPROFILE%\AppData\Local\Temp\OnboardLogs"\RTDC4030\2016-11-04 --exclude "*" --recursive --include "*20161104*" &amp; "%USERPROFILE%\Documents\GitHub\mrs-test-scripts\Headless Mode &amp; Sideloading\WalkAndUnGZ.bat" "%USERPROFILE%\AppData\Local\Temp\OnboardLogs"\RTDC4030\2016-11-04 &amp; aws s3 cp s3://rtdc.mdm.uploadarchive.raw/RTDC4030/ "%USERPROFILE%\AppData\Local\Temp\OnboardLogs"\RTDC4030\2016-11-05 --exclude "*" --recursive --include "*20161105*" &amp; "%USERPROFILE%\Documents\GitHub\mrs-test-scripts\Headless Mode &amp; Sideloading\WalkAndUnGZ.bat" "%USERPROFILE%\AppData\Local\Temp\OnboardLogs"\RTDC4030\2016-11-05</v>
      </c>
      <c r="AF116" s="88" t="str">
        <f t="shared" si="32"/>
        <v>"C:\Program Files (x86)\AstroGrep\AstroGrep.exe" /spath="%USERPROFILE%\AppData\Local\Temp\OnboardLogs" /stypes="app*4030*20161105*" /stext=" 00:.+((SYSTEM_STATE.+slice.+state.+changed )|(ment ac)|(system.+state.+changed )|(\[timeout)|(PRM\|1\|D)|(kpr)|(kdp)|(\|loc)|(penalty))" /e /r /s</v>
      </c>
      <c r="AG116" s="1" t="str">
        <f t="shared" si="33"/>
        <v>EC</v>
      </c>
      <c r="AH116" s="92" t="str">
        <f t="shared" si="34"/>
        <v>"%USERPROFILE%\Documents\GitHub\eaglep3\Utilities\RefineRTDCRunTimes.py" --tripid 204-04 --locoid 4030 --swversion DE.1.0.8.0 --startMP 204:232994 --initTime 2016-11-04T17:20:18 --startdatetime 2016-11-04T17:26:15 --delay 1 --endMP 204:136 --enddatetime 2016-11-04T18:07:17 --enforcementcount 0 &gt;&gt;C:\Users\stu\Documents\GitHub\eaglep3-reporting\EC\2016-11-04-refined-times.txt</v>
      </c>
      <c r="AI116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{"issue":{"subject":"","project_id":79,"tracker_id":40,"status_id":1,"priority_id":2,"assigned_to_id":23,"start_date":"2016-11-04","description":"","custom_fields":[{"id":1,"name":"Subdivision","value":"EC"},{"id":4,"name":"Milepost","value":"0.0136"},{"id":17,"name":"Train ID","value":"204-04"},{"id":16,"name":"Locomotive ID","value":"4030"},{"id":130,"name":"Impact","value":""},{"id":150,"name":"Time of Event (Mountain Time)","value":"18:07:17"},{"id":151,"name":"Denver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567</v>
      </c>
      <c r="B117" s="7">
        <v>4042</v>
      </c>
      <c r="C117" s="22" t="s">
        <v>239</v>
      </c>
      <c r="D117" s="22" t="s">
        <v>211</v>
      </c>
      <c r="E117" s="13">
        <v>42678.69290509259</v>
      </c>
      <c r="F117" s="13">
        <v>42678.698148148149</v>
      </c>
      <c r="G117" s="7">
        <v>1</v>
      </c>
      <c r="H117" s="22" t="s">
        <v>679</v>
      </c>
      <c r="I117" s="13">
        <v>42678.723182870373</v>
      </c>
      <c r="J117" s="7">
        <v>0</v>
      </c>
      <c r="K117" s="112" t="str">
        <f t="shared" si="19"/>
        <v>4041/4042</v>
      </c>
      <c r="L117" s="22" t="str">
        <f>VLOOKUP(A117,'Trips&amp;Operators'!$C$1:$E$10000,3,FALSE)</f>
        <v>SAFIEF</v>
      </c>
      <c r="M117" s="6">
        <f t="shared" si="20"/>
        <v>2.5034722224518191E-2</v>
      </c>
      <c r="N117" s="7">
        <f t="shared" si="21"/>
        <v>36.050000003306195</v>
      </c>
      <c r="O117" s="7"/>
      <c r="P117" s="7"/>
      <c r="Q117" s="23"/>
      <c r="R117" s="23"/>
      <c r="S117" s="35">
        <f t="shared" si="22"/>
        <v>1</v>
      </c>
      <c r="T117" s="50" t="str">
        <f t="shared" si="23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15:37:47-0600',mode:absolute,to:'2016-11-04 18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7" s="52" t="str">
        <f t="shared" si="25"/>
        <v>N</v>
      </c>
      <c r="X117" s="177">
        <f t="shared" si="26"/>
        <v>1</v>
      </c>
      <c r="Y117" s="67">
        <f t="shared" si="27"/>
        <v>4.5999999999999999E-2</v>
      </c>
      <c r="Z117" s="67">
        <f t="shared" si="28"/>
        <v>23.332899999999999</v>
      </c>
      <c r="AA117" s="67">
        <f t="shared" si="29"/>
        <v>23.286899999999999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30"/>
        <v>0205-04</v>
      </c>
      <c r="AE117" s="91" t="str">
        <f t="shared" si="31"/>
        <v>aws s3 cp s3://rtdc.mdm.uploadarchive.raw/RTDC4042/ "%USERPROFILE%\AppData\Local\Temp\OnboardLogs"\RTDC4042\2016-11-04 --exclude "*" --recursive --include "*20161104*" &amp; "%USERPROFILE%\Documents\GitHub\mrs-test-scripts\Headless Mode &amp; Sideloading\WalkAndUnGZ.bat" "%USERPROFILE%\AppData\Local\Temp\OnboardLogs"\RTDC4042\2016-11-04 &amp; aws s3 cp s3://rtdc.mdm.uploadarchive.raw/RTDC4042/ "%USERPROFILE%\AppData\Local\Temp\OnboardLogs"\RTDC4042\2016-11-05 --exclude "*" --recursive --include "*20161105*" &amp; "%USERPROFILE%\Documents\GitHub\mrs-test-scripts\Headless Mode &amp; Sideloading\WalkAndUnGZ.bat" "%USERPROFILE%\AppData\Local\Temp\OnboardLogs"\RTDC4042\2016-11-05</v>
      </c>
      <c r="AF117" s="88" t="str">
        <f t="shared" si="32"/>
        <v>"C:\Program Files (x86)\AstroGrep\AstroGrep.exe" /spath="%USERPROFILE%\AppData\Local\Temp\OnboardLogs" /stypes="app*4042*20161104*" /stext=" 23:.+((SYSTEM_STATE.+slice.+state.+changed )|(ment ac)|(system.+state.+changed )|(\[timeout)|(PRM\|1\|D)|(kpr)|(kdp)|(\|loc)|(penalty))" /e /r /s</v>
      </c>
      <c r="AG117" s="1" t="str">
        <f t="shared" si="33"/>
        <v>EC</v>
      </c>
      <c r="AH117" s="92" t="str">
        <f t="shared" si="34"/>
        <v>"%USERPROFILE%\Documents\GitHub\eaglep3\Utilities\RefineRTDCRunTimes.py" --tripid 205-04 --locoid 4042 --swversion DE.1.0.8.0 --startMP 204:460 --initTime 2016-11-04T16:37:47 --startdatetime 2016-11-04T16:45:20 --delay 1 --endMP 204:233329 --enddatetime 2016-11-04T17:21:23 --enforcementcount 0 &gt;&gt;C:\Users\stu\Documents\GitHub\eaglep3-reporting\EC\2016-11-04-refined-times.txt</v>
      </c>
      <c r="AI117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{"issue":{"subject":"","project_id":79,"tracker_id":40,"status_id":1,"priority_id":2,"assigned_to_id":23,"start_date":"2016-11-04","description":"","custom_fields":[{"id":1,"name":"Subdivision","value":"EC"},{"id":4,"name":"Milepost","value":"23.3329"},{"id":17,"name":"Train ID","value":"205-04"},{"id":16,"name":"Locomotive ID","value":"4042"},{"id":130,"name":"Impact","value":""},{"id":150,"name":"Time of Event (Mountain Time)","value":"17:21:23"},{"id":151,"name":"Denver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577</v>
      </c>
      <c r="B118" s="7">
        <v>4041</v>
      </c>
      <c r="C118" s="22" t="s">
        <v>239</v>
      </c>
      <c r="D118" s="22" t="s">
        <v>317</v>
      </c>
      <c r="E118" s="13">
        <v>42678.727592592593</v>
      </c>
      <c r="F118" s="13">
        <v>42678.737071759257</v>
      </c>
      <c r="G118" s="7">
        <v>1</v>
      </c>
      <c r="H118" s="22" t="s">
        <v>205</v>
      </c>
      <c r="I118" s="13">
        <v>42678.764872685184</v>
      </c>
      <c r="J118" s="7">
        <v>0</v>
      </c>
      <c r="K118" s="112" t="str">
        <f t="shared" si="19"/>
        <v>4041/4042</v>
      </c>
      <c r="L118" s="22" t="str">
        <f>VLOOKUP(A118,'Trips&amp;Operators'!$C$1:$E$10000,3,FALSE)</f>
        <v>SAFIEF</v>
      </c>
      <c r="M118" s="6">
        <f t="shared" si="20"/>
        <v>2.7800925927294884E-2</v>
      </c>
      <c r="N118" s="7">
        <f t="shared" si="21"/>
        <v>40.033333335304633</v>
      </c>
      <c r="O118" s="7"/>
      <c r="P118" s="7"/>
      <c r="Q118" s="23"/>
      <c r="R118" s="23"/>
      <c r="S118" s="35">
        <f t="shared" si="22"/>
        <v>1</v>
      </c>
      <c r="T118" s="50" t="str">
        <f t="shared" si="23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16:27:44-0600',mode:absolute,to:'2016-11-04 19:21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8" s="52" t="str">
        <f t="shared" si="25"/>
        <v>N</v>
      </c>
      <c r="X118" s="177">
        <f t="shared" si="26"/>
        <v>1</v>
      </c>
      <c r="Y118" s="67">
        <f t="shared" si="27"/>
        <v>23.3004</v>
      </c>
      <c r="Z118" s="67">
        <f t="shared" si="28"/>
        <v>1.43E-2</v>
      </c>
      <c r="AA118" s="67">
        <f t="shared" si="29"/>
        <v>23.286100000000001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30"/>
        <v>0206-04</v>
      </c>
      <c r="AE118" s="91" t="str">
        <f t="shared" si="31"/>
        <v>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 &amp; aws s3 cp s3://rtdc.mdm.uploadarchive.raw/RTDC4041/ "%USERPROFILE%\AppData\Local\Temp\OnboardLogs"\RTDC4041\2016-11-05 --exclude "*" --recursive --include "*20161105*" &amp; "%USERPROFILE%\Documents\GitHub\mrs-test-scripts\Headless Mode &amp; Sideloading\WalkAndUnGZ.bat" "%USERPROFILE%\AppData\Local\Temp\OnboardLogs"\RTDC4041\2016-11-05</v>
      </c>
      <c r="AF118" s="88" t="str">
        <f t="shared" si="32"/>
        <v>"C:\Program Files (x86)\AstroGrep\AstroGrep.exe" /spath="%USERPROFILE%\AppData\Local\Temp\OnboardLogs" /stypes="app*4041*20161105*" /stext=" 00:.+((SYSTEM_STATE.+slice.+state.+changed )|(ment ac)|(system.+state.+changed )|(\[timeout)|(PRM\|1\|D)|(kpr)|(kdp)|(\|loc)|(penalty))" /e /r /s</v>
      </c>
      <c r="AG118" s="1" t="str">
        <f t="shared" si="33"/>
        <v>EC</v>
      </c>
      <c r="AH118" s="92" t="str">
        <f t="shared" si="34"/>
        <v>"%USERPROFILE%\Documents\GitHub\eaglep3\Utilities\RefineRTDCRunTimes.py" --tripid 206-04 --locoid 4041 --swversion DE.1.0.8.0 --startMP 204:233004 --initTime 2016-11-04T17:27:44 --startdatetime 2016-11-04T17:41:23 --delay 1 --endMP 204:143 --enddatetime 2016-11-04T18:21:25 --enforcementcount 0 &gt;&gt;C:\Users\stu\Documents\GitHub\eaglep3-reporting\EC\2016-11-04-refined-times.txt</v>
      </c>
      <c r="AI118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{"issue":{"subject":"","project_id":79,"tracker_id":40,"status_id":1,"priority_id":2,"assigned_to_id":23,"start_date":"2016-11-04","description":"","custom_fields":[{"id":1,"name":"Subdivision","value":"EC"},{"id":4,"name":"Milepost","value":"0.0143"},{"id":17,"name":"Train ID","value":"206-04"},{"id":16,"name":"Locomotive ID","value":"4041"},{"id":130,"name":"Impact","value":""},{"id":150,"name":"Time of Event (Mountain Time)","value":"18:21:25"},{"id":151,"name":"Denver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569</v>
      </c>
      <c r="B119" s="7">
        <v>4053</v>
      </c>
      <c r="C119" s="22" t="s">
        <v>239</v>
      </c>
      <c r="D119" s="22" t="s">
        <v>255</v>
      </c>
      <c r="E119" s="13">
        <v>42678.702685185184</v>
      </c>
      <c r="F119" s="13">
        <v>42678.708564814813</v>
      </c>
      <c r="G119" s="7">
        <v>1</v>
      </c>
      <c r="H119" s="22" t="s">
        <v>680</v>
      </c>
      <c r="I119" s="13">
        <v>42678.733402777776</v>
      </c>
      <c r="J119" s="7">
        <v>0</v>
      </c>
      <c r="K119" s="112" t="str">
        <f t="shared" si="19"/>
        <v>4053/4054</v>
      </c>
      <c r="L119" s="22" t="str">
        <f>VLOOKUP(A119,'Trips&amp;Operators'!$C$1:$E$10000,3,FALSE)</f>
        <v>SWANSON</v>
      </c>
      <c r="M119" s="6">
        <f t="shared" si="20"/>
        <v>2.4837962962919846E-2</v>
      </c>
      <c r="N119" s="7">
        <f t="shared" si="21"/>
        <v>35.766666666604578</v>
      </c>
      <c r="O119" s="7"/>
      <c r="P119" s="7"/>
      <c r="Q119" s="23"/>
      <c r="R119" s="23"/>
      <c r="S119" s="35">
        <f t="shared" si="22"/>
        <v>1</v>
      </c>
      <c r="T119" s="50" t="str">
        <f t="shared" si="23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15:51:52-0600',mode:absolute,to:'2016-11-04 18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19" s="52" t="str">
        <f t="shared" si="25"/>
        <v>N</v>
      </c>
      <c r="X119" s="177">
        <f t="shared" si="26"/>
        <v>1</v>
      </c>
      <c r="Y119" s="67">
        <f t="shared" si="27"/>
        <v>4.4400000000000002E-2</v>
      </c>
      <c r="Z119" s="67">
        <f t="shared" si="28"/>
        <v>23.327999999999999</v>
      </c>
      <c r="AA119" s="67">
        <f t="shared" si="29"/>
        <v>23.2836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30"/>
        <v>0207-04</v>
      </c>
      <c r="AE119" s="91" t="str">
        <f t="shared" si="31"/>
        <v>aws s3 cp s3://rtdc.mdm.uploadarchive.raw/RTDC4053/ "%USERPROFILE%\AppData\Local\Temp\OnboardLogs"\RTDC4053\2016-11-04 --exclude "*" --recursive --include "*20161104*" &amp; "%USERPROFILE%\Documents\GitHub\mrs-test-scripts\Headless Mode &amp; Sideloading\WalkAndUnGZ.bat" "%USERPROFILE%\AppData\Local\Temp\OnboardLogs"\RTDC4053\2016-11-04 &amp; 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</v>
      </c>
      <c r="AF119" s="88" t="str">
        <f t="shared" si="32"/>
        <v>"C:\Program Files (x86)\AstroGrep\AstroGrep.exe" /spath="%USERPROFILE%\AppData\Local\Temp\OnboardLogs" /stypes="app*4053*20161104*" /stext=" 23:.+((SYSTEM_STATE.+slice.+state.+changed )|(ment ac)|(system.+state.+changed )|(\[timeout)|(PRM\|1\|D)|(kpr)|(kdp)|(\|loc)|(penalty))" /e /r /s</v>
      </c>
      <c r="AG119" s="1" t="str">
        <f t="shared" si="33"/>
        <v>EC</v>
      </c>
      <c r="AH119" s="92" t="str">
        <f t="shared" si="34"/>
        <v>"%USERPROFILE%\Documents\GitHub\eaglep3\Utilities\RefineRTDCRunTimes.py" --tripid 207-04 --locoid 4053 --swversion DE.1.0.8.0 --startMP 204:444 --initTime 2016-11-04T16:51:52 --startdatetime 2016-11-04T17:00:20 --delay 1 --endMP 204:233280 --enddatetime 2016-11-04T17:36:06 --enforcementcount 0 &gt;&gt;C:\Users\stu\Documents\GitHub\eaglep3-reporting\EC\2016-11-04-refined-times.txt</v>
      </c>
      <c r="AI119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{"issue":{"subject":"","project_id":79,"tracker_id":40,"status_id":1,"priority_id":2,"assigned_to_id":23,"start_date":"2016-11-04","description":"","custom_fields":[{"id":1,"name":"Subdivision","value":"EC"},{"id":4,"name":"Milepost","value":"23.328"},{"id":17,"name":"Train ID","value":"207-04"},{"id":16,"name":"Locomotive ID","value":"4053"},{"id":130,"name":"Impact","value":""},{"id":150,"name":"Time of Event (Mountain Time)","value":"17:36:06"},{"id":151,"name":"Denver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580</v>
      </c>
      <c r="B120" s="7">
        <v>4054</v>
      </c>
      <c r="C120" s="22" t="s">
        <v>239</v>
      </c>
      <c r="D120" s="22" t="s">
        <v>238</v>
      </c>
      <c r="E120" s="13">
        <v>42678.739594907405</v>
      </c>
      <c r="F120" s="13">
        <v>42678.747546296298</v>
      </c>
      <c r="G120" s="7">
        <v>1</v>
      </c>
      <c r="H120" s="22" t="s">
        <v>261</v>
      </c>
      <c r="I120" s="13">
        <v>42678.77449074074</v>
      </c>
      <c r="J120" s="7">
        <v>0</v>
      </c>
      <c r="K120" s="112" t="str">
        <f t="shared" si="19"/>
        <v>4053/4054</v>
      </c>
      <c r="L120" s="22" t="str">
        <f>VLOOKUP(A120,'Trips&amp;Operators'!$C$1:$E$10000,3,FALSE)</f>
        <v>SWANSON</v>
      </c>
      <c r="M120" s="6">
        <f t="shared" si="20"/>
        <v>2.6944444442051463E-2</v>
      </c>
      <c r="N120" s="7">
        <f t="shared" si="21"/>
        <v>38.799999996554106</v>
      </c>
      <c r="O120" s="7"/>
      <c r="P120" s="7"/>
      <c r="Q120" s="23"/>
      <c r="R120" s="23"/>
      <c r="S120" s="35">
        <f t="shared" si="22"/>
        <v>1</v>
      </c>
      <c r="T120" s="50" t="str">
        <f t="shared" si="23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16:45:01-0600',mode:absolute,to:'2016-11-04 19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20" s="52" t="str">
        <f t="shared" si="25"/>
        <v>N</v>
      </c>
      <c r="X120" s="177">
        <f t="shared" si="26"/>
        <v>1</v>
      </c>
      <c r="Y120" s="67">
        <f t="shared" si="27"/>
        <v>23.297799999999999</v>
      </c>
      <c r="Z120" s="67">
        <f t="shared" si="28"/>
        <v>1.5800000000000002E-2</v>
      </c>
      <c r="AA120" s="67">
        <f t="shared" si="29"/>
        <v>23.282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30"/>
        <v>0208-04</v>
      </c>
      <c r="AE120" s="91" t="str">
        <f t="shared" si="31"/>
        <v>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 &amp; 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</v>
      </c>
      <c r="AF120" s="88" t="str">
        <f t="shared" si="32"/>
        <v>"C:\Program Files (x86)\AstroGrep\AstroGrep.exe" /spath="%USERPROFILE%\AppData\Local\Temp\OnboardLogs" /stypes="app*4054*20161105*" /stext=" 00:.+((SYSTEM_STATE.+slice.+state.+changed )|(ment ac)|(system.+state.+changed )|(\[timeout)|(PRM\|1\|D)|(kpr)|(kdp)|(\|loc)|(penalty))" /e /r /s</v>
      </c>
      <c r="AG120" s="1" t="str">
        <f t="shared" si="33"/>
        <v>EC</v>
      </c>
      <c r="AH120" s="92" t="str">
        <f t="shared" si="34"/>
        <v>"%USERPROFILE%\Documents\GitHub\eaglep3\Utilities\RefineRTDCRunTimes.py" --tripid 208-04 --locoid 4054 --swversion DE.1.0.8.0 --startMP 204:232978 --initTime 2016-11-04T17:45:01 --startdatetime 2016-11-04T17:56:28 --delay 1 --endMP 204:158 --enddatetime 2016-11-04T18:35:16 --enforcementcount 0 &gt;&gt;C:\Users\stu\Documents\GitHub\eaglep3-reporting\EC\2016-11-04-refined-times.txt</v>
      </c>
      <c r="AI120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{"issue":{"subject":"","project_id":79,"tracker_id":40,"status_id":1,"priority_id":2,"assigned_to_id":23,"start_date":"2016-11-04","description":"","custom_fields":[{"id":1,"name":"Subdivision","value":"EC"},{"id":4,"name":"Milepost","value":"0.0158"},{"id":17,"name":"Train ID","value":"208-04"},{"id":16,"name":"Locomotive ID","value":"4054"},{"id":130,"name":"Impact","value":""},{"id":150,"name":"Time of Event (Mountain Time)","value":"18:35:16"},{"id":151,"name":"Denver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424</v>
      </c>
      <c r="B121" s="7">
        <v>4038</v>
      </c>
      <c r="C121" s="22" t="s">
        <v>239</v>
      </c>
      <c r="D121" s="22" t="s">
        <v>244</v>
      </c>
      <c r="E121" s="13">
        <v>42678.71670138889</v>
      </c>
      <c r="F121" s="13">
        <v>42678.719039351854</v>
      </c>
      <c r="G121" s="7">
        <v>1</v>
      </c>
      <c r="H121" s="22" t="s">
        <v>659</v>
      </c>
      <c r="I121" s="13">
        <v>42678.744062500002</v>
      </c>
      <c r="J121" s="7">
        <v>0</v>
      </c>
      <c r="K121" s="112" t="str">
        <f t="shared" si="19"/>
        <v>4037/4038</v>
      </c>
      <c r="L121" s="22" t="str">
        <f>VLOOKUP(A121,'Trips&amp;Operators'!$C$1:$E$10000,3,FALSE)</f>
        <v>ADANE</v>
      </c>
      <c r="M121" s="6">
        <f t="shared" si="20"/>
        <v>2.5023148147738539E-2</v>
      </c>
      <c r="N121" s="7">
        <f t="shared" si="21"/>
        <v>36.033333332743496</v>
      </c>
      <c r="O121" s="7"/>
      <c r="P121" s="7"/>
      <c r="Q121" s="23"/>
      <c r="R121" s="23"/>
      <c r="S121" s="35">
        <f t="shared" si="22"/>
        <v>1</v>
      </c>
      <c r="T121" s="50" t="str">
        <f t="shared" si="23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16:12:03-0600',mode:absolute,to:'2016-11-04 18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1" s="52" t="str">
        <f t="shared" si="25"/>
        <v>N</v>
      </c>
      <c r="X121" s="177">
        <f t="shared" si="26"/>
        <v>1</v>
      </c>
      <c r="Y121" s="67">
        <f t="shared" si="27"/>
        <v>4.58E-2</v>
      </c>
      <c r="Z121" s="67">
        <f t="shared" si="28"/>
        <v>23.331700000000001</v>
      </c>
      <c r="AA121" s="67">
        <f t="shared" si="29"/>
        <v>23.285900000000002</v>
      </c>
      <c r="AB121" s="64" t="str">
        <f>VLOOKUP(A121,Enforcements!$C$7:$K$21,8,0)</f>
        <v>Bulletin (2)</v>
      </c>
      <c r="AC121" s="60" t="str">
        <f>VLOOKUP(A121,Enforcements!$C$7:$E$21,3,0)</f>
        <v>GRADE CROSSING</v>
      </c>
      <c r="AD121" s="61" t="str">
        <f t="shared" si="30"/>
        <v>0209-04</v>
      </c>
      <c r="AE121" s="91" t="str">
        <f t="shared" si="31"/>
        <v>aws s3 cp s3://rtdc.mdm.uploadarchive.raw/RTDC4038/ "%USERPROFILE%\AppData\Local\Temp\OnboardLogs"\RTDC4038\2016-11-04 --exclude "*" --recursive --include "*20161104*" &amp; "%USERPROFILE%\Documents\GitHub\mrs-test-scripts\Headless Mode &amp; Sideloading\WalkAndUnGZ.bat" "%USERPROFILE%\AppData\Local\Temp\OnboardLogs"\RTDC4038\2016-11-04 &amp; aws s3 cp s3://rtdc.mdm.uploadarchive.raw/RTDC4038/ "%USERPROFILE%\AppData\Local\Temp\OnboardLogs"\RTDC4038\2016-11-05 --exclude "*" --recursive --include "*20161105*" &amp; "%USERPROFILE%\Documents\GitHub\mrs-test-scripts\Headless Mode &amp; Sideloading\WalkAndUnGZ.bat" "%USERPROFILE%\AppData\Local\Temp\OnboardLogs"\RTDC4038\2016-11-05</v>
      </c>
      <c r="AF121" s="88" t="str">
        <f t="shared" si="32"/>
        <v>"C:\Program Files (x86)\AstroGrep\AstroGrep.exe" /spath="%USERPROFILE%\AppData\Local\Temp\OnboardLogs" /stypes="app*4038*20161104*" /stext=" 23:.+((SYSTEM_STATE.+slice.+state.+changed )|(ment ac)|(system.+state.+changed )|(\[timeout)|(PRM\|1\|D)|(kpr)|(kdp)|(\|loc)|(penalty))" /e /r /s</v>
      </c>
      <c r="AG121" s="1" t="str">
        <f t="shared" si="33"/>
        <v>EC</v>
      </c>
      <c r="AH121" s="92" t="str">
        <f t="shared" si="34"/>
        <v>"%USERPROFILE%\Documents\GitHub\eaglep3\Utilities\RefineRTDCRunTimes.py" --tripid 209-04 --locoid 4038 --swversion DE.1.0.8.0 --startMP 204:458 --initTime 2016-11-04T17:12:03 --startdatetime 2016-11-04T17:15:25 --delay 1 --endMP 204:233317 --enddatetime 2016-11-04T17:51:27 --enforcementcount 0 &gt;&gt;C:\Users\stu\Documents\GitHub\eaglep3-reporting\EC\2016-11-04-refined-times.txt</v>
      </c>
      <c r="AI121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{"issue":{"subject":"","project_id":79,"tracker_id":40,"status_id":1,"priority_id":2,"assigned_to_id":23,"start_date":"2016-11-04","description":"","custom_fields":[{"id":1,"name":"Subdivision","value":"EC"},{"id":4,"name":"Milepost","value":"23.3317"},{"id":17,"name":"Train ID","value":"209-04"},{"id":16,"name":"Locomotive ID","value":"4038"},{"id":130,"name":"Impact","value":""},{"id":150,"name":"Time of Event (Mountain Time)","value":"17:51:27"},{"id":151,"name":"Denver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581</v>
      </c>
      <c r="B122" s="7">
        <v>4037</v>
      </c>
      <c r="C122" s="22" t="s">
        <v>239</v>
      </c>
      <c r="D122" s="22" t="s">
        <v>221</v>
      </c>
      <c r="E122" s="13">
        <v>42678.745532407411</v>
      </c>
      <c r="F122" s="13">
        <v>42678.758090277777</v>
      </c>
      <c r="G122" s="7">
        <v>1</v>
      </c>
      <c r="H122" s="22" t="s">
        <v>223</v>
      </c>
      <c r="I122" s="13">
        <v>42678.78334490741</v>
      </c>
      <c r="J122" s="7">
        <v>0</v>
      </c>
      <c r="K122" s="112" t="str">
        <f t="shared" si="19"/>
        <v>4037/4038</v>
      </c>
      <c r="L122" s="22" t="str">
        <f>VLOOKUP(A122,'Trips&amp;Operators'!$C$1:$E$10000,3,FALSE)</f>
        <v>ADANE</v>
      </c>
      <c r="M122" s="6">
        <f t="shared" si="20"/>
        <v>2.5254629632399883E-2</v>
      </c>
      <c r="N122" s="7">
        <f t="shared" si="21"/>
        <v>36.366666670655832</v>
      </c>
      <c r="O122" s="7"/>
      <c r="P122" s="7"/>
      <c r="Q122" s="23"/>
      <c r="R122" s="23"/>
      <c r="S122" s="35">
        <f t="shared" si="22"/>
        <v>1</v>
      </c>
      <c r="T122" s="50" t="str">
        <f t="shared" si="23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16:53:34-0600',mode:absolute,to:'2016-11-04 19:48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2" s="52" t="str">
        <f t="shared" si="25"/>
        <v>N</v>
      </c>
      <c r="X122" s="177">
        <f t="shared" si="26"/>
        <v>1</v>
      </c>
      <c r="Y122" s="67">
        <f t="shared" si="27"/>
        <v>23.297699999999999</v>
      </c>
      <c r="Z122" s="67">
        <f t="shared" si="28"/>
        <v>1.5599999999999999E-2</v>
      </c>
      <c r="AA122" s="67">
        <f t="shared" si="29"/>
        <v>23.2821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30"/>
        <v>0210-04</v>
      </c>
      <c r="AE122" s="91" t="str">
        <f t="shared" si="31"/>
        <v>aws s3 cp s3://rtdc.mdm.uploadarchive.raw/RTDC4037/ "%USERPROFILE%\AppData\Local\Temp\OnboardLogs"\RTDC4037\2016-11-04 --exclude "*" --recursive --include "*20161104*" &amp; "%USERPROFILE%\Documents\GitHub\mrs-test-scripts\Headless Mode &amp; Sideloading\WalkAndUnGZ.bat" "%USERPROFILE%\AppData\Local\Temp\OnboardLogs"\RTDC4037\2016-11-04 &amp; aws s3 cp s3://rtdc.mdm.uploadarchive.raw/RTDC4037/ "%USERPROFILE%\AppData\Local\Temp\OnboardLogs"\RTDC4037\2016-11-05 --exclude "*" --recursive --include "*20161105*" &amp; "%USERPROFILE%\Documents\GitHub\mrs-test-scripts\Headless Mode &amp; Sideloading\WalkAndUnGZ.bat" "%USERPROFILE%\AppData\Local\Temp\OnboardLogs"\RTDC4037\2016-11-05</v>
      </c>
      <c r="AF122" s="88" t="str">
        <f t="shared" si="32"/>
        <v>"C:\Program Files (x86)\AstroGrep\AstroGrep.exe" /spath="%USERPROFILE%\AppData\Local\Temp\OnboardLogs" /stypes="app*4037*20161105*" /stext=" 00:.+((SYSTEM_STATE.+slice.+state.+changed )|(ment ac)|(system.+state.+changed )|(\[timeout)|(PRM\|1\|D)|(kpr)|(kdp)|(\|loc)|(penalty))" /e /r /s</v>
      </c>
      <c r="AG122" s="1" t="str">
        <f t="shared" si="33"/>
        <v>EC</v>
      </c>
      <c r="AH122" s="92" t="str">
        <f t="shared" si="34"/>
        <v>"%USERPROFILE%\Documents\GitHub\eaglep3\Utilities\RefineRTDCRunTimes.py" --tripid 210-04 --locoid 4037 --swversion DE.1.0.8.0 --startMP 204:232977 --initTime 2016-11-04T17:53:34 --startdatetime 2016-11-04T18:11:39 --delay 1 --endMP 204:156 --enddatetime 2016-11-04T18:48:01 --enforcementcount 0 &gt;&gt;C:\Users\stu\Documents\GitHub\eaglep3-reporting\EC\2016-11-04-refined-times.txt</v>
      </c>
      <c r="AI122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{"issue":{"subject":"","project_id":79,"tracker_id":40,"status_id":1,"priority_id":2,"assigned_to_id":23,"start_date":"2016-11-04","description":"","custom_fields":[{"id":1,"name":"Subdivision","value":"EC"},{"id":4,"name":"Milepost","value":"0.0156"},{"id":17,"name":"Train ID","value":"210-04"},{"id":16,"name":"Locomotive ID","value":"4037"},{"id":130,"name":"Impact","value":""},{"id":150,"name":"Time of Event (Mountain Time)","value":"18:48:01"},{"id":151,"name":"Denver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576</v>
      </c>
      <c r="B123" s="7">
        <v>4003</v>
      </c>
      <c r="C123" s="22" t="s">
        <v>239</v>
      </c>
      <c r="D123" s="22" t="s">
        <v>226</v>
      </c>
      <c r="E123" s="13">
        <v>42678.725034722222</v>
      </c>
      <c r="F123" s="13">
        <v>42678.729363425926</v>
      </c>
      <c r="G123" s="7">
        <v>1</v>
      </c>
      <c r="H123" s="22" t="s">
        <v>668</v>
      </c>
      <c r="I123" s="13">
        <v>42678.755046296297</v>
      </c>
      <c r="J123" s="7">
        <v>0</v>
      </c>
      <c r="K123" s="112" t="str">
        <f t="shared" si="19"/>
        <v>4003/4004</v>
      </c>
      <c r="L123" s="22" t="str">
        <f>VLOOKUP(A123,'Trips&amp;Operators'!$C$1:$E$10000,3,FALSE)</f>
        <v>SHOOK</v>
      </c>
      <c r="M123" s="6">
        <f t="shared" si="20"/>
        <v>2.5682870371383615E-2</v>
      </c>
      <c r="N123" s="7">
        <f t="shared" si="21"/>
        <v>36.983333334792405</v>
      </c>
      <c r="O123" s="7"/>
      <c r="P123" s="7"/>
      <c r="Q123" s="23"/>
      <c r="R123" s="23"/>
      <c r="S123" s="35">
        <f t="shared" si="22"/>
        <v>1</v>
      </c>
      <c r="T123" s="50" t="str">
        <f t="shared" si="23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16:24:03-0600',mode:absolute,to:'2016-11-04 19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3" s="52" t="str">
        <f t="shared" si="25"/>
        <v>N</v>
      </c>
      <c r="X123" s="177">
        <f t="shared" si="26"/>
        <v>1</v>
      </c>
      <c r="Y123" s="67">
        <f t="shared" si="27"/>
        <v>4.4900000000000002E-2</v>
      </c>
      <c r="Z123" s="67">
        <f t="shared" si="28"/>
        <v>23.336600000000001</v>
      </c>
      <c r="AA123" s="67">
        <f t="shared" si="29"/>
        <v>23.291700000000002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30"/>
        <v>0211-04</v>
      </c>
      <c r="AE123" s="91" t="str">
        <f t="shared" si="31"/>
        <v>aws s3 cp s3://rtdc.mdm.uploadarchive.raw/RTDC4003/ "%USERPROFILE%\AppData\Local\Temp\OnboardLogs"\RTDC4003\2016-11-04 --exclude "*" --recursive --include "*20161104*" &amp; "%USERPROFILE%\Documents\GitHub\mrs-test-scripts\Headless Mode &amp; Sideloading\WalkAndUnGZ.bat" "%USERPROFILE%\AppData\Local\Temp\OnboardLogs"\RTDC4003\2016-11-04 &amp; 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</v>
      </c>
      <c r="AF123" s="88" t="str">
        <f t="shared" si="32"/>
        <v>"C:\Program Files (x86)\AstroGrep\AstroGrep.exe" /spath="%USERPROFILE%\AppData\Local\Temp\OnboardLogs" /stypes="app*4003*20161105*" /stext=" 00:.+((SYSTEM_STATE.+slice.+state.+changed )|(ment ac)|(system.+state.+changed )|(\[timeout)|(PRM\|1\|D)|(kpr)|(kdp)|(\|loc)|(penalty))" /e /r /s</v>
      </c>
      <c r="AG123" s="1" t="str">
        <f t="shared" si="33"/>
        <v>EC</v>
      </c>
      <c r="AH123" s="92" t="str">
        <f t="shared" si="34"/>
        <v>"%USERPROFILE%\Documents\GitHub\eaglep3\Utilities\RefineRTDCRunTimes.py" --tripid 211-04 --locoid 4003 --swversion DE.1.0.8.0 --startMP 204:449 --initTime 2016-11-04T17:24:03 --startdatetime 2016-11-04T17:30:17 --delay 1 --endMP 204:233366 --enddatetime 2016-11-04T18:07:16 --enforcementcount 0 &gt;&gt;C:\Users\stu\Documents\GitHub\eaglep3-reporting\EC\2016-11-04-refined-times.txt</v>
      </c>
      <c r="AI123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{"issue":{"subject":"","project_id":79,"tracker_id":40,"status_id":1,"priority_id":2,"assigned_to_id":23,"start_date":"2016-11-04","description":"","custom_fields":[{"id":1,"name":"Subdivision","value":"EC"},{"id":4,"name":"Milepost","value":"23.3366"},{"id":17,"name":"Train ID","value":"211-04"},{"id":16,"name":"Locomotive ID","value":"4003"},{"id":130,"name":"Impact","value":""},{"id":150,"name":"Time of Event (Mountain Time)","value":"18:07:16"},{"id":151,"name":"Denver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587</v>
      </c>
      <c r="B124" s="7">
        <v>4004</v>
      </c>
      <c r="C124" s="22" t="s">
        <v>239</v>
      </c>
      <c r="D124" s="22" t="s">
        <v>681</v>
      </c>
      <c r="E124" s="13">
        <v>42678.761261574073</v>
      </c>
      <c r="F124" s="13">
        <v>42678.768263888887</v>
      </c>
      <c r="G124" s="7">
        <v>1</v>
      </c>
      <c r="H124" s="22" t="s">
        <v>176</v>
      </c>
      <c r="I124" s="13">
        <v>42678.796249999999</v>
      </c>
      <c r="J124" s="7">
        <v>0</v>
      </c>
      <c r="K124" s="112" t="str">
        <f t="shared" si="19"/>
        <v>4003/4004</v>
      </c>
      <c r="L124" s="22" t="str">
        <f>VLOOKUP(A124,'Trips&amp;Operators'!$C$1:$E$10000,3,FALSE)</f>
        <v>SHOOK</v>
      </c>
      <c r="M124" s="6">
        <f t="shared" si="20"/>
        <v>2.7986111112113576E-2</v>
      </c>
      <c r="N124" s="7">
        <f t="shared" si="21"/>
        <v>40.30000000144355</v>
      </c>
      <c r="O124" s="7"/>
      <c r="P124" s="7"/>
      <c r="Q124" s="23"/>
      <c r="R124" s="23"/>
      <c r="S124" s="35">
        <f t="shared" si="22"/>
        <v>1</v>
      </c>
      <c r="T124" s="50" t="str">
        <f t="shared" si="23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17:16:13-0600',mode:absolute,to:'2016-11-04 20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4" s="52" t="str">
        <f t="shared" si="25"/>
        <v>N</v>
      </c>
      <c r="X124" s="177">
        <f t="shared" si="26"/>
        <v>1</v>
      </c>
      <c r="Y124" s="67">
        <f t="shared" si="27"/>
        <v>23.3049</v>
      </c>
      <c r="Z124" s="67">
        <f t="shared" si="28"/>
        <v>1.52E-2</v>
      </c>
      <c r="AA124" s="67">
        <f t="shared" si="29"/>
        <v>23.2897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30"/>
        <v>0212-04</v>
      </c>
      <c r="AE124" s="91" t="str">
        <f t="shared" si="31"/>
        <v>aws s3 cp s3://rtdc.mdm.uploadarchive.raw/RTDC4004/ "%USERPROFILE%\AppData\Local\Temp\OnboardLogs"\RTDC4004\2016-11-04 --exclude "*" --recursive --include "*20161104*" &amp; "%USERPROFILE%\Documents\GitHub\mrs-test-scripts\Headless Mode &amp; Sideloading\WalkAndUnGZ.bat" "%USERPROFILE%\AppData\Local\Temp\OnboardLogs"\RTDC4004\2016-11-04 &amp; 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</v>
      </c>
      <c r="AF124" s="88" t="str">
        <f t="shared" si="32"/>
        <v>"C:\Program Files (x86)\AstroGrep\AstroGrep.exe" /spath="%USERPROFILE%\AppData\Local\Temp\OnboardLogs" /stypes="app*4004*20161105*" /stext=" 01:.+((SYSTEM_STATE.+slice.+state.+changed )|(ment ac)|(system.+state.+changed )|(\[timeout)|(PRM\|1\|D)|(kpr)|(kdp)|(\|loc)|(penalty))" /e /r /s</v>
      </c>
      <c r="AG124" s="1" t="str">
        <f t="shared" si="33"/>
        <v>EC</v>
      </c>
      <c r="AH124" s="92" t="str">
        <f t="shared" si="34"/>
        <v>"%USERPROFILE%\Documents\GitHub\eaglep3\Utilities\RefineRTDCRunTimes.py" --tripid 212-04 --locoid 4004 --swversion DE.1.0.8.0 --startMP 204:233049 --initTime 2016-11-04T18:16:13 --startdatetime 2016-11-04T18:26:18 --delay 1 --endMP 204:152 --enddatetime 2016-11-04T19:06:36 --enforcementcount 0 &gt;&gt;C:\Users\stu\Documents\GitHub\eaglep3-reporting\EC\2016-11-04-refined-times.txt</v>
      </c>
      <c r="AI124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{"issue":{"subject":"","project_id":79,"tracker_id":40,"status_id":1,"priority_id":2,"assigned_to_id":23,"start_date":"2016-11-04","description":"","custom_fields":[{"id":1,"name":"Subdivision","value":"EC"},{"id":4,"name":"Milepost","value":"0.0152"},{"id":17,"name":"Train ID","value":"212-04"},{"id":16,"name":"Locomotive ID","value":"4004"},{"id":130,"name":"Impact","value":""},{"id":150,"name":"Time of Event (Mountain Time)","value":"19:06:36"},{"id":151,"name":"Denver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579</v>
      </c>
      <c r="B125" s="7">
        <v>4007</v>
      </c>
      <c r="C125" s="22" t="s">
        <v>239</v>
      </c>
      <c r="D125" s="22" t="s">
        <v>682</v>
      </c>
      <c r="E125" s="13">
        <v>42678.733946759261</v>
      </c>
      <c r="F125" s="13">
        <v>42678.739918981482</v>
      </c>
      <c r="G125" s="7">
        <v>6</v>
      </c>
      <c r="H125" s="22" t="s">
        <v>385</v>
      </c>
      <c r="I125" s="13">
        <v>42678.764560185184</v>
      </c>
      <c r="J125" s="7">
        <v>0</v>
      </c>
      <c r="K125" s="112" t="str">
        <f t="shared" si="19"/>
        <v>4007/4008</v>
      </c>
      <c r="L125" s="22" t="str">
        <f>VLOOKUP(A125,'Trips&amp;Operators'!$C$1:$E$10000,3,FALSE)</f>
        <v>MAGEE</v>
      </c>
      <c r="M125" s="6">
        <f t="shared" si="20"/>
        <v>2.4641203701321501E-2</v>
      </c>
      <c r="N125" s="7">
        <f t="shared" si="21"/>
        <v>35.483333329902962</v>
      </c>
      <c r="O125" s="7"/>
      <c r="P125" s="7"/>
      <c r="Q125" s="23"/>
      <c r="R125" s="23"/>
      <c r="S125" s="35">
        <f t="shared" si="22"/>
        <v>1</v>
      </c>
      <c r="T125" s="50" t="str">
        <f t="shared" si="23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16:36:53-0600',mode:absolute,to:'2016-11-04 19:20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5" s="52" t="str">
        <f t="shared" si="25"/>
        <v>N</v>
      </c>
      <c r="X125" s="177">
        <f t="shared" si="26"/>
        <v>1</v>
      </c>
      <c r="Y125" s="67">
        <f t="shared" si="27"/>
        <v>4.8899999999999999E-2</v>
      </c>
      <c r="Z125" s="67">
        <f t="shared" si="28"/>
        <v>23.3325</v>
      </c>
      <c r="AA125" s="67">
        <f t="shared" si="29"/>
        <v>23.2836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30"/>
        <v>0213-04</v>
      </c>
      <c r="AE125" s="91" t="str">
        <f t="shared" si="31"/>
        <v>aws s3 cp s3://rtdc.mdm.uploadarchive.raw/RTDC4007/ "%USERPROFILE%\AppData\Local\Temp\OnboardLogs"\RTDC4007\2016-11-04 --exclude "*" --recursive --include "*20161104*" &amp; "%USERPROFILE%\Documents\GitHub\mrs-test-scripts\Headless Mode &amp; Sideloading\WalkAndUnGZ.bat" "%USERPROFILE%\AppData\Local\Temp\OnboardLogs"\RTDC4007\2016-11-04 &amp; aws s3 cp s3://rtdc.mdm.uploadarchive.raw/RTDC4007/ "%USERPROFILE%\AppData\Local\Temp\OnboardLogs"\RTDC4007\2016-11-05 --exclude "*" --recursive --include "*20161105*" &amp; "%USERPROFILE%\Documents\GitHub\mrs-test-scripts\Headless Mode &amp; Sideloading\WalkAndUnGZ.bat" "%USERPROFILE%\AppData\Local\Temp\OnboardLogs"\RTDC4007\2016-11-05</v>
      </c>
      <c r="AF125" s="88" t="str">
        <f t="shared" si="32"/>
        <v>"C:\Program Files (x86)\AstroGrep\AstroGrep.exe" /spath="%USERPROFILE%\AppData\Local\Temp\OnboardLogs" /stypes="app*4007*20161105*" /stext=" 00:.+((SYSTEM_STATE.+slice.+state.+changed )|(ment ac)|(system.+state.+changed )|(\[timeout)|(PRM\|1\|D)|(kpr)|(kdp)|(\|loc)|(penalty))" /e /r /s</v>
      </c>
      <c r="AG125" s="1" t="str">
        <f t="shared" si="33"/>
        <v>EC</v>
      </c>
      <c r="AH125" s="92" t="str">
        <f t="shared" si="34"/>
        <v>"%USERPROFILE%\Documents\GitHub\eaglep3\Utilities\RefineRTDCRunTimes.py" --tripid 213-04 --locoid 4007 --swversion DE.1.0.8.0 --startMP 204:489 --initTime 2016-11-04T17:36:53 --startdatetime 2016-11-04T17:45:29 --delay 6 --endMP 204:233325 --enddatetime 2016-11-04T18:20:58 --enforcementcount 0 &gt;&gt;C:\Users\stu\Documents\GitHub\eaglep3-reporting\EC\2016-11-04-refined-times.txt</v>
      </c>
      <c r="AI125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{"issue":{"subject":"","project_id":79,"tracker_id":40,"status_id":1,"priority_id":2,"assigned_to_id":23,"start_date":"2016-11-04","description":"","custom_fields":[{"id":1,"name":"Subdivision","value":"EC"},{"id":4,"name":"Milepost","value":"23.3325"},{"id":17,"name":"Train ID","value":"213-04"},{"id":16,"name":"Locomotive ID","value":"4007"},{"id":130,"name":"Impact","value":""},{"id":150,"name":"Time of Event (Mountain Time)","value":"18:20:58"},{"id":151,"name":"Denver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428</v>
      </c>
      <c r="B126" s="7">
        <v>4008</v>
      </c>
      <c r="C126" s="22" t="s">
        <v>239</v>
      </c>
      <c r="D126" s="22" t="s">
        <v>266</v>
      </c>
      <c r="E126" s="13">
        <v>42678.767152777778</v>
      </c>
      <c r="F126" s="13">
        <v>42678.778703703705</v>
      </c>
      <c r="G126" s="7">
        <v>3</v>
      </c>
      <c r="H126" s="22" t="s">
        <v>176</v>
      </c>
      <c r="I126" s="13">
        <v>42678.807199074072</v>
      </c>
      <c r="J126" s="7">
        <v>0</v>
      </c>
      <c r="K126" s="112" t="str">
        <f t="shared" si="19"/>
        <v>4007/4008</v>
      </c>
      <c r="L126" s="22" t="str">
        <f>VLOOKUP(A126,'Trips&amp;Operators'!$C$1:$E$10000,3,FALSE)</f>
        <v>MAGEE</v>
      </c>
      <c r="M126" s="6">
        <f t="shared" si="20"/>
        <v>2.8495370366727002E-2</v>
      </c>
      <c r="N126" s="7">
        <f t="shared" si="21"/>
        <v>41.033333328086883</v>
      </c>
      <c r="O126" s="7"/>
      <c r="P126" s="7"/>
      <c r="Q126" s="23"/>
      <c r="R126" s="23"/>
      <c r="S126" s="35">
        <f t="shared" si="22"/>
        <v>1</v>
      </c>
      <c r="T126" s="50" t="str">
        <f t="shared" si="23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17:24:42-0600',mode:absolute,to:'2016-11-04 20:22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6" s="52" t="str">
        <f t="shared" si="25"/>
        <v>N</v>
      </c>
      <c r="X126" s="177">
        <f t="shared" si="26"/>
        <v>1</v>
      </c>
      <c r="Y126" s="67">
        <f t="shared" si="27"/>
        <v>23.299600000000002</v>
      </c>
      <c r="Z126" s="67">
        <f t="shared" si="28"/>
        <v>1.52E-2</v>
      </c>
      <c r="AA126" s="67">
        <f t="shared" si="29"/>
        <v>23.284400000000002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30"/>
        <v>0214-04</v>
      </c>
      <c r="AE126" s="91" t="str">
        <f t="shared" si="31"/>
        <v>aws s3 cp s3://rtdc.mdm.uploadarchive.raw/RTDC4008/ "%USERPROFILE%\AppData\Local\Temp\OnboardLogs"\RTDC4008\2016-11-04 --exclude "*" --recursive --include "*20161104*" &amp; "%USERPROFILE%\Documents\GitHub\mrs-test-scripts\Headless Mode &amp; Sideloading\WalkAndUnGZ.bat" "%USERPROFILE%\AppData\Local\Temp\OnboardLogs"\RTDC4008\2016-11-04 &amp; aws s3 cp s3://rtdc.mdm.uploadarchive.raw/RTDC4008/ "%USERPROFILE%\AppData\Local\Temp\OnboardLogs"\RTDC4008\2016-11-05 --exclude "*" --recursive --include "*20161105*" &amp; "%USERPROFILE%\Documents\GitHub\mrs-test-scripts\Headless Mode &amp; Sideloading\WalkAndUnGZ.bat" "%USERPROFILE%\AppData\Local\Temp\OnboardLogs"\RTDC4008\2016-11-05</v>
      </c>
      <c r="AF126" s="88" t="str">
        <f t="shared" si="32"/>
        <v>"C:\Program Files (x86)\AstroGrep\AstroGrep.exe" /spath="%USERPROFILE%\AppData\Local\Temp\OnboardLogs" /stypes="app*4008*20161105*" /stext=" 01:.+((SYSTEM_STATE.+slice.+state.+changed )|(ment ac)|(system.+state.+changed )|(\[timeout)|(PRM\|1\|D)|(kpr)|(kdp)|(\|loc)|(penalty))" /e /r /s</v>
      </c>
      <c r="AG126" s="1" t="str">
        <f t="shared" si="33"/>
        <v>EC</v>
      </c>
      <c r="AH126" s="92" t="str">
        <f t="shared" si="34"/>
        <v>"%USERPROFILE%\Documents\GitHub\eaglep3\Utilities\RefineRTDCRunTimes.py" --tripid 214-04 --locoid 4008 --swversion DE.1.0.8.0 --startMP 204:232996 --initTime 2016-11-04T18:24:42 --startdatetime 2016-11-04T18:41:20 --delay 3 --endMP 204:152 --enddatetime 2016-11-04T19:22:22 --enforcementcount 0 &gt;&gt;C:\Users\stu\Documents\GitHub\eaglep3-reporting\EC\2016-11-04-refined-times.txt</v>
      </c>
      <c r="AI126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{"issue":{"subject":"","project_id":79,"tracker_id":40,"status_id":1,"priority_id":2,"assigned_to_id":23,"start_date":"2016-11-04","description":"","custom_fields":[{"id":1,"name":"Subdivision","value":"EC"},{"id":4,"name":"Milepost","value":"0.0152"},{"id":17,"name":"Train ID","value":"214-04"},{"id":16,"name":"Locomotive ID","value":"4008"},{"id":130,"name":"Impact","value":""},{"id":150,"name":"Time of Event (Mountain Time)","value":"19:22:22"},{"id":151,"name":"Denver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427</v>
      </c>
      <c r="B127" s="7">
        <v>4022</v>
      </c>
      <c r="C127" s="22" t="s">
        <v>239</v>
      </c>
      <c r="D127" s="22" t="s">
        <v>683</v>
      </c>
      <c r="E127" s="13">
        <v>42678.767962962964</v>
      </c>
      <c r="F127" s="13">
        <v>42678.768587962964</v>
      </c>
      <c r="G127" s="7">
        <v>0</v>
      </c>
      <c r="H127" s="22" t="s">
        <v>684</v>
      </c>
      <c r="I127" s="13">
        <v>42678.772662037038</v>
      </c>
      <c r="J127" s="7">
        <v>1</v>
      </c>
      <c r="K127" s="112" t="str">
        <f t="shared" si="19"/>
        <v>4021/4022</v>
      </c>
      <c r="L127" s="22" t="str">
        <f>VLOOKUP(A127,'Trips&amp;Operators'!$C$1:$E$10000,3,FALSE)</f>
        <v>MACDONALD</v>
      </c>
      <c r="M127" s="6">
        <f t="shared" si="20"/>
        <v>4.0740740732871927E-3</v>
      </c>
      <c r="N127" s="7"/>
      <c r="O127" s="7"/>
      <c r="P127" s="7">
        <f>24*60*SUM($M127:$M129)</f>
        <v>47.049999997252598</v>
      </c>
      <c r="Q127" s="23"/>
      <c r="R127" s="23" t="s">
        <v>790</v>
      </c>
      <c r="S127" s="35">
        <f>SUM(U127:U129)/IF(AG127="EC",12,1)</f>
        <v>1</v>
      </c>
      <c r="T127" s="50" t="str">
        <f t="shared" si="23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0</v>
      </c>
      <c r="V12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17:25:52-0600',mode:absolute,to:'2016-11-04 19:32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27" s="52" t="str">
        <f t="shared" si="25"/>
        <v>Y</v>
      </c>
      <c r="X127" s="177">
        <f t="shared" si="26"/>
        <v>1</v>
      </c>
      <c r="Y127" s="67">
        <f t="shared" si="27"/>
        <v>13.318899999999999</v>
      </c>
      <c r="Z127" s="67">
        <f t="shared" si="28"/>
        <v>14.3225</v>
      </c>
      <c r="AA127" s="67">
        <f t="shared" si="29"/>
        <v>1.0036000000000005</v>
      </c>
      <c r="AB127" s="64" t="str">
        <f>VLOOKUP(A127,Enforcements!$C$7:$K$21,8,0)</f>
        <v>Bulletin (2)</v>
      </c>
      <c r="AC127" s="60" t="str">
        <f>VLOOKUP(A127,Enforcements!$C$7:$E$21,3,0)</f>
        <v>GRADE CROSSING</v>
      </c>
      <c r="AD127" s="61" t="str">
        <f t="shared" si="30"/>
        <v>0215-04</v>
      </c>
      <c r="AE127" s="91" t="str">
        <f t="shared" si="31"/>
        <v>aws s3 cp s3://rtdc.mdm.uploadarchive.raw/RTDC4022/ "%USERPROFILE%\AppData\Local\Temp\OnboardLogs"\RTDC4022\2016-11-04 --exclude "*" --recursive --include "*20161104*" &amp; "%USERPROFILE%\Documents\GitHub\mrs-test-scripts\Headless Mode &amp; Sideloading\WalkAndUnGZ.bat" "%USERPROFILE%\AppData\Local\Temp\OnboardLogs"\RTDC4022\2016-11-04 &amp; aws s3 cp s3://rtdc.mdm.uploadarchive.raw/RTDC4022/ "%USERPROFILE%\AppData\Local\Temp\OnboardLogs"\RTDC4022\2016-11-05 --exclude "*" --recursive --include "*20161105*" &amp; "%USERPROFILE%\Documents\GitHub\mrs-test-scripts\Headless Mode &amp; Sideloading\WalkAndUnGZ.bat" "%USERPROFILE%\AppData\Local\Temp\OnboardLogs"\RTDC4022\2016-11-05</v>
      </c>
      <c r="AF127" s="88" t="str">
        <f t="shared" si="32"/>
        <v>"C:\Program Files (x86)\AstroGrep\AstroGrep.exe" /spath="%USERPROFILE%\AppData\Local\Temp\OnboardLogs" /stypes="app*4022*20161105*" /stext=" 00:.+((SYSTEM_STATE.+slice.+state.+changed )|(ment ac)|(system.+state.+changed )|(\[timeout)|(PRM\|1\|D)|(kpr)|(kdp)|(\|loc)|(penalty))" /e /r /s</v>
      </c>
      <c r="AG127" s="1" t="str">
        <f t="shared" si="33"/>
        <v>EC</v>
      </c>
      <c r="AH127" s="92" t="str">
        <f t="shared" si="34"/>
        <v>"%USERPROFILE%\Documents\GitHub\eaglep3\Utilities\RefineRTDCRunTimes.py" --tripid 215-04 --locoid 4022 --swversion DE.1.0.8.0 --startMP 204:133189 --initTime 2016-11-04T18:25:52 --startdatetime 2016-11-04T18:26:46 --delay 0 --endMP 204:143225 --enddatetime 2016-11-04T18:32:38 --enforcementcount 1 &gt;&gt;C:\Users\stu\Documents\GitHub\eaglep3-reporting\EC\2016-11-04-refined-times.txt</v>
      </c>
      <c r="AI127" s="122" t="str">
        <f t="shared" si="35"/>
        <v>echo {"issue":{"subject":"CP 61st ELXS failure?","project_id":79,"tracker_id":40,"status_id":1,"priority_id":2,"assigned_to_id":23,"start_date":"2016-11-04","description":"At approx 18:24:33, did CP 61st have another lamp test comparison failure?","custom_fields":[{"id":1,"name":"Subdivision","value":"EC"},{"id":4,"name":"Milepost","value":"14.3225"},{"id":17,"name":"Train ID","value":"215-04"},{"id":16,"name":"Locomotive ID","value":"4022"},{"id":130,"name":"Impact","value":"Enforcement"},{"id":150,"name":"Time of Event (Mountain Time)","value":"18:32:38"},{"id":151,"name":"Denver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27" s="53" t="s">
        <v>791</v>
      </c>
      <c r="AK127" s="53" t="s">
        <v>125</v>
      </c>
      <c r="AL127" s="53" t="s">
        <v>130</v>
      </c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427</v>
      </c>
      <c r="B128" s="7">
        <v>4022</v>
      </c>
      <c r="C128" s="22" t="s">
        <v>239</v>
      </c>
      <c r="D128" s="22" t="s">
        <v>685</v>
      </c>
      <c r="E128" s="13">
        <v>42678.776018518518</v>
      </c>
      <c r="F128" s="13">
        <v>42678.776782407411</v>
      </c>
      <c r="G128" s="7">
        <v>1</v>
      </c>
      <c r="H128" s="22" t="s">
        <v>680</v>
      </c>
      <c r="I128" s="13">
        <v>42678.783958333333</v>
      </c>
      <c r="J128" s="7">
        <v>0</v>
      </c>
      <c r="K128" s="112" t="str">
        <f t="shared" si="19"/>
        <v>4021/4022</v>
      </c>
      <c r="L128" s="22" t="str">
        <f>VLOOKUP(A128,'Trips&amp;Operators'!$C$1:$E$10000,3,FALSE)</f>
        <v>MACDONALD</v>
      </c>
      <c r="M128" s="6">
        <f t="shared" si="20"/>
        <v>7.175925922638271E-3</v>
      </c>
      <c r="N128" s="7"/>
      <c r="O128" s="7"/>
      <c r="P128" s="7"/>
      <c r="Q128" s="23"/>
      <c r="R128" s="23"/>
      <c r="S128" s="35"/>
      <c r="T128" s="50" t="str">
        <f t="shared" si="23"/>
        <v>NorthBound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0</v>
      </c>
      <c r="V12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17:37:28-0600',mode:absolute,to:'2016-11-04 19:48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28" s="52" t="str">
        <f t="shared" si="25"/>
        <v>Y</v>
      </c>
      <c r="X128" s="177">
        <f t="shared" si="26"/>
        <v>0</v>
      </c>
      <c r="Y128" s="67">
        <f t="shared" si="27"/>
        <v>15.440200000000001</v>
      </c>
      <c r="Z128" s="67">
        <f t="shared" si="28"/>
        <v>23.327999999999999</v>
      </c>
      <c r="AA128" s="67">
        <f t="shared" si="29"/>
        <v>7.8877999999999986</v>
      </c>
      <c r="AB128" s="64" t="str">
        <f>VLOOKUP(A128,Enforcements!$C$7:$K$21,8,0)</f>
        <v>Bulletin (2)</v>
      </c>
      <c r="AC128" s="60" t="str">
        <f>VLOOKUP(A128,Enforcements!$C$7:$E$21,3,0)</f>
        <v>GRADE CROSSING</v>
      </c>
      <c r="AD128" s="61" t="str">
        <f t="shared" si="30"/>
        <v>0215-04</v>
      </c>
      <c r="AE128" s="91" t="str">
        <f t="shared" si="31"/>
        <v>aws s3 cp s3://rtdc.mdm.uploadarchive.raw/RTDC4022/ "%USERPROFILE%\AppData\Local\Temp\OnboardLogs"\RTDC4022\2016-11-04 --exclude "*" --recursive --include "*20161104*" &amp; "%USERPROFILE%\Documents\GitHub\mrs-test-scripts\Headless Mode &amp; Sideloading\WalkAndUnGZ.bat" "%USERPROFILE%\AppData\Local\Temp\OnboardLogs"\RTDC4022\2016-11-04 &amp; aws s3 cp s3://rtdc.mdm.uploadarchive.raw/RTDC4022/ "%USERPROFILE%\AppData\Local\Temp\OnboardLogs"\RTDC4022\2016-11-05 --exclude "*" --recursive --include "*20161105*" &amp; "%USERPROFILE%\Documents\GitHub\mrs-test-scripts\Headless Mode &amp; Sideloading\WalkAndUnGZ.bat" "%USERPROFILE%\AppData\Local\Temp\OnboardLogs"\RTDC4022\2016-11-05</v>
      </c>
      <c r="AF128" s="88" t="str">
        <f t="shared" si="32"/>
        <v>"C:\Program Files (x86)\AstroGrep\AstroGrep.exe" /spath="%USERPROFILE%\AppData\Local\Temp\OnboardLogs" /stypes="app*4022*20161105*" /stext=" 00:.+((SYSTEM_STATE.+slice.+state.+changed )|(ment ac)|(system.+state.+changed )|(\[timeout)|(PRM\|1\|D)|(kpr)|(kdp)|(\|loc)|(penalty))" /e /r /s</v>
      </c>
      <c r="AG128" s="1" t="str">
        <f t="shared" si="33"/>
        <v>EC</v>
      </c>
      <c r="AH128" s="92" t="str">
        <f t="shared" si="34"/>
        <v>"%USERPROFILE%\Documents\GitHub\eaglep3\Utilities\RefineRTDCRunTimes.py" --tripid 215-04 --locoid 4022 --swversion DE.1.0.8.0 --startMP 204:154402 --initTime 2016-11-04T18:37:28 --startdatetime 2016-11-04T18:38:34 --delay 1 --endMP 204:233280 --enddatetime 2016-11-04T18:48:54 --enforcementcount 0 &gt;&gt;C:\Users\stu\Documents\GitHub\eaglep3-reporting\EC\2016-11-04-refined-times.txt</v>
      </c>
      <c r="AI128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{"issue":{"subject":"","project_id":79,"tracker_id":40,"status_id":1,"priority_id":2,"assigned_to_id":23,"start_date":"2016-11-04","description":"","custom_fields":[{"id":1,"name":"Subdivision","value":"EC"},{"id":4,"name":"Milepost","value":"23.328"},{"id":17,"name":"Train ID","value":"215-04"},{"id":16,"name":"Locomotive ID","value":"4022"},{"id":130,"name":"Impact","value":""},{"id":150,"name":"Time of Event (Mountain Time)","value":"18:48:54"},{"id":151,"name":"Denver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427</v>
      </c>
      <c r="B129" s="7">
        <v>4022</v>
      </c>
      <c r="C129" s="22" t="s">
        <v>239</v>
      </c>
      <c r="D129" s="22" t="s">
        <v>211</v>
      </c>
      <c r="E129" s="13">
        <v>42678.744421296295</v>
      </c>
      <c r="F129" s="13">
        <v>42678.746076388888</v>
      </c>
      <c r="G129" s="7">
        <v>2</v>
      </c>
      <c r="H129" s="22" t="s">
        <v>686</v>
      </c>
      <c r="I129" s="13">
        <v>42678.767500000002</v>
      </c>
      <c r="J129" s="7">
        <v>2</v>
      </c>
      <c r="K129" s="112" t="str">
        <f t="shared" si="19"/>
        <v>4021/4022</v>
      </c>
      <c r="L129" s="22" t="str">
        <f>VLOOKUP(A129,'Trips&amp;Operators'!$C$1:$E$10000,3,FALSE)</f>
        <v>MACDONALD</v>
      </c>
      <c r="M129" s="6">
        <f t="shared" si="20"/>
        <v>2.142361111327773E-2</v>
      </c>
      <c r="N129" s="7"/>
      <c r="O129" s="7"/>
      <c r="P129" s="7"/>
      <c r="Q129" s="23"/>
      <c r="R129" s="23"/>
      <c r="S129" s="35"/>
      <c r="T129" s="50" t="str">
        <f t="shared" si="23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16:51:58-0600',mode:absolute,to:'2016-11-04 19:25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29" s="52" t="str">
        <f t="shared" si="25"/>
        <v>Y</v>
      </c>
      <c r="X129" s="177">
        <f t="shared" si="26"/>
        <v>0</v>
      </c>
      <c r="Y129" s="67">
        <f t="shared" si="27"/>
        <v>4.5999999999999999E-2</v>
      </c>
      <c r="Z129" s="67">
        <f t="shared" si="28"/>
        <v>13.3194</v>
      </c>
      <c r="AA129" s="67">
        <f t="shared" si="29"/>
        <v>13.273400000000001</v>
      </c>
      <c r="AB129" s="64" t="str">
        <f>VLOOKUP(A129,Enforcements!$C$7:$K$21,8,0)</f>
        <v>Bulletin (2)</v>
      </c>
      <c r="AC129" s="60" t="str">
        <f>VLOOKUP(A129,Enforcements!$C$7:$E$21,3,0)</f>
        <v>GRADE CROSSING</v>
      </c>
      <c r="AD129" s="61" t="str">
        <f t="shared" si="30"/>
        <v>0215-04</v>
      </c>
      <c r="AE129" s="91" t="str">
        <f t="shared" si="31"/>
        <v>aws s3 cp s3://rtdc.mdm.uploadarchive.raw/RTDC4022/ "%USERPROFILE%\AppData\Local\Temp\OnboardLogs"\RTDC4022\2016-11-04 --exclude "*" --recursive --include "*20161104*" &amp; "%USERPROFILE%\Documents\GitHub\mrs-test-scripts\Headless Mode &amp; Sideloading\WalkAndUnGZ.bat" "%USERPROFILE%\AppData\Local\Temp\OnboardLogs"\RTDC4022\2016-11-04 &amp; aws s3 cp s3://rtdc.mdm.uploadarchive.raw/RTDC4022/ "%USERPROFILE%\AppData\Local\Temp\OnboardLogs"\RTDC4022\2016-11-05 --exclude "*" --recursive --include "*20161105*" &amp; "%USERPROFILE%\Documents\GitHub\mrs-test-scripts\Headless Mode &amp; Sideloading\WalkAndUnGZ.bat" "%USERPROFILE%\AppData\Local\Temp\OnboardLogs"\RTDC4022\2016-11-05</v>
      </c>
      <c r="AF129" s="88" t="str">
        <f t="shared" si="32"/>
        <v>"C:\Program Files (x86)\AstroGrep\AstroGrep.exe" /spath="%USERPROFILE%\AppData\Local\Temp\OnboardLogs" /stypes="app*4022*20161105*" /stext=" 00:.+((SYSTEM_STATE.+slice.+state.+changed )|(ment ac)|(system.+state.+changed )|(\[timeout)|(PRM\|1\|D)|(kpr)|(kdp)|(\|loc)|(penalty))" /e /r /s</v>
      </c>
      <c r="AG129" s="1" t="str">
        <f t="shared" si="33"/>
        <v>EC</v>
      </c>
      <c r="AH129" s="92" t="str">
        <f t="shared" si="34"/>
        <v>"%USERPROFILE%\Documents\GitHub\eaglep3\Utilities\RefineRTDCRunTimes.py" --tripid 215-04 --locoid 4022 --swversion DE.1.0.8.0 --startMP 204:460 --initTime 2016-11-04T17:51:58 --startdatetime 2016-11-04T17:54:21 --delay 2 --endMP 204:133194 --enddatetime 2016-11-04T18:25:12 --enforcementcount 2 &gt;&gt;C:\Users\stu\Documents\GitHub\eaglep3-reporting\EC\2016-11-04-refined-times.txt</v>
      </c>
      <c r="AI129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{"issue":{"subject":"","project_id":79,"tracker_id":40,"status_id":1,"priority_id":2,"assigned_to_id":23,"start_date":"2016-11-04","description":"","custom_fields":[{"id":1,"name":"Subdivision","value":"EC"},{"id":4,"name":"Milepost","value":"13.3194"},{"id":17,"name":"Train ID","value":"215-04"},{"id":16,"name":"Locomotive ID","value":"4022"},{"id":130,"name":"Impact","value":""},{"id":150,"name":"Time of Event (Mountain Time)","value":"18:25:12"},{"id":151,"name":"Denver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429</v>
      </c>
      <c r="B130" s="7">
        <v>4021</v>
      </c>
      <c r="C130" s="22" t="s">
        <v>239</v>
      </c>
      <c r="D130" s="22" t="s">
        <v>361</v>
      </c>
      <c r="E130" s="13">
        <v>42678.78597222222</v>
      </c>
      <c r="F130" s="13">
        <v>42678.789490740739</v>
      </c>
      <c r="G130" s="7">
        <v>1</v>
      </c>
      <c r="H130" s="22" t="s">
        <v>687</v>
      </c>
      <c r="I130" s="13">
        <v>42678.814988425926</v>
      </c>
      <c r="J130" s="7">
        <v>0</v>
      </c>
      <c r="K130" s="112" t="str">
        <f t="shared" si="19"/>
        <v>4021/4022</v>
      </c>
      <c r="L130" s="22" t="str">
        <f>VLOOKUP(A130,'Trips&amp;Operators'!$C$1:$E$10000,3,FALSE)</f>
        <v>MACDONALD</v>
      </c>
      <c r="M130" s="6">
        <f t="shared" si="20"/>
        <v>2.5497685186564922E-2</v>
      </c>
      <c r="N130" s="7">
        <f t="shared" si="21"/>
        <v>36.716666668653488</v>
      </c>
      <c r="O130" s="7"/>
      <c r="P130" s="7"/>
      <c r="Q130" s="23"/>
      <c r="R130" s="23"/>
      <c r="S130" s="35">
        <f t="shared" si="22"/>
        <v>1</v>
      </c>
      <c r="T130" s="50" t="str">
        <f t="shared" si="23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17:51:48-0600',mode:absolute,to:'2016-11-04 20:33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30" s="52" t="str">
        <f t="shared" si="25"/>
        <v>N</v>
      </c>
      <c r="X130" s="177">
        <f t="shared" si="26"/>
        <v>1</v>
      </c>
      <c r="Y130" s="67">
        <f t="shared" si="27"/>
        <v>23.296500000000002</v>
      </c>
      <c r="Z130" s="67">
        <f t="shared" si="28"/>
        <v>1.67E-2</v>
      </c>
      <c r="AA130" s="67">
        <f t="shared" si="29"/>
        <v>23.279800000000002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30"/>
        <v>0216-04</v>
      </c>
      <c r="AE130" s="91" t="str">
        <f t="shared" si="31"/>
        <v>aws s3 cp s3://rtdc.mdm.uploadarchive.raw/RTDC4021/ "%USERPROFILE%\AppData\Local\Temp\OnboardLogs"\RTDC4021\2016-11-04 --exclude "*" --recursive --include "*20161104*" &amp; "%USERPROFILE%\Documents\GitHub\mrs-test-scripts\Headless Mode &amp; Sideloading\WalkAndUnGZ.bat" "%USERPROFILE%\AppData\Local\Temp\OnboardLogs"\RTDC4021\2016-11-04 &amp; aws s3 cp s3://rtdc.mdm.uploadarchive.raw/RTDC4021/ "%USERPROFILE%\AppData\Local\Temp\OnboardLogs"\RTDC4021\2016-11-05 --exclude "*" --recursive --include "*20161105*" &amp; "%USERPROFILE%\Documents\GitHub\mrs-test-scripts\Headless Mode &amp; Sideloading\WalkAndUnGZ.bat" "%USERPROFILE%\AppData\Local\Temp\OnboardLogs"\RTDC4021\2016-11-05</v>
      </c>
      <c r="AF130" s="88" t="str">
        <f t="shared" si="32"/>
        <v>"C:\Program Files (x86)\AstroGrep\AstroGrep.exe" /spath="%USERPROFILE%\AppData\Local\Temp\OnboardLogs" /stypes="app*4021*20161105*" /stext=" 01:.+((SYSTEM_STATE.+slice.+state.+changed )|(ment ac)|(system.+state.+changed )|(\[timeout)|(PRM\|1\|D)|(kpr)|(kdp)|(\|loc)|(penalty))" /e /r /s</v>
      </c>
      <c r="AG130" s="1" t="str">
        <f t="shared" si="33"/>
        <v>EC</v>
      </c>
      <c r="AH130" s="92" t="str">
        <f t="shared" si="34"/>
        <v>"%USERPROFILE%\Documents\GitHub\eaglep3\Utilities\RefineRTDCRunTimes.py" --tripid 216-04 --locoid 4021 --swversion DE.1.0.8.0 --startMP 204:232965 --initTime 2016-11-04T18:51:48 --startdatetime 2016-11-04T18:56:52 --delay 1 --endMP 204:167 --enddatetime 2016-11-04T19:33:35 --enforcementcount 0 &gt;&gt;C:\Users\stu\Documents\GitHub\eaglep3-reporting\EC\2016-11-04-refined-times.txt</v>
      </c>
      <c r="AI130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{"issue":{"subject":"","project_id":79,"tracker_id":40,"status_id":1,"priority_id":2,"assigned_to_id":23,"start_date":"2016-11-04","description":"","custom_fields":[{"id":1,"name":"Subdivision","value":"EC"},{"id":4,"name":"Milepost","value":"0.0167"},{"id":17,"name":"Train ID","value":"216-04"},{"id":16,"name":"Locomotive ID","value":"4021"},{"id":130,"name":"Impact","value":""},{"id":150,"name":"Time of Event (Mountain Time)","value":"19:33:35"},{"id":151,"name":"Denver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586</v>
      </c>
      <c r="B131" s="7">
        <v>4029</v>
      </c>
      <c r="C131" s="22" t="s">
        <v>239</v>
      </c>
      <c r="D131" s="22" t="s">
        <v>641</v>
      </c>
      <c r="E131" s="13">
        <v>42678.759699074071</v>
      </c>
      <c r="F131" s="13">
        <v>42678.76085648148</v>
      </c>
      <c r="G131" s="7">
        <v>1</v>
      </c>
      <c r="H131" s="22" t="s">
        <v>282</v>
      </c>
      <c r="I131" s="13">
        <v>42678.788194444445</v>
      </c>
      <c r="J131" s="7">
        <v>0</v>
      </c>
      <c r="K131" s="112" t="str">
        <f t="shared" si="19"/>
        <v>4029/4030</v>
      </c>
      <c r="L131" s="22" t="str">
        <f>VLOOKUP(A131,'Trips&amp;Operators'!$C$1:$E$10000,3,FALSE)</f>
        <v>CHANDLER</v>
      </c>
      <c r="M131" s="6">
        <f t="shared" si="20"/>
        <v>2.7337962965248153E-2</v>
      </c>
      <c r="N131" s="7">
        <f t="shared" si="21"/>
        <v>39.36666666995734</v>
      </c>
      <c r="O131" s="7"/>
      <c r="P131" s="7"/>
      <c r="Q131" s="23"/>
      <c r="R131" s="23"/>
      <c r="S131" s="35">
        <f t="shared" si="22"/>
        <v>1</v>
      </c>
      <c r="T131" s="50" t="str">
        <f t="shared" si="23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17:13:58-0600',mode:absolute,to:'2016-11-04 19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1" s="52" t="str">
        <f t="shared" si="25"/>
        <v>N</v>
      </c>
      <c r="X131" s="177">
        <f t="shared" si="26"/>
        <v>1</v>
      </c>
      <c r="Y131" s="67">
        <f t="shared" si="27"/>
        <v>4.3999999999999997E-2</v>
      </c>
      <c r="Z131" s="67">
        <f t="shared" si="28"/>
        <v>23.331</v>
      </c>
      <c r="AA131" s="67">
        <f t="shared" si="29"/>
        <v>23.286999999999999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30"/>
        <v>0217-04</v>
      </c>
      <c r="AE131" s="91" t="str">
        <f t="shared" si="31"/>
        <v>aws s3 cp s3://rtdc.mdm.uploadarchive.raw/RTDC4029/ "%USERPROFILE%\AppData\Local\Temp\OnboardLogs"\RTDC4029\2016-11-04 --exclude "*" --recursive --include "*20161104*" &amp; "%USERPROFILE%\Documents\GitHub\mrs-test-scripts\Headless Mode &amp; Sideloading\WalkAndUnGZ.bat" "%USERPROFILE%\AppData\Local\Temp\OnboardLogs"\RTDC4029\2016-11-04 &amp; aws s3 cp s3://rtdc.mdm.uploadarchive.raw/RTDC4029/ "%USERPROFILE%\AppData\Local\Temp\OnboardLogs"\RTDC4029\2016-11-05 --exclude "*" --recursive --include "*20161105*" &amp; "%USERPROFILE%\Documents\GitHub\mrs-test-scripts\Headless Mode &amp; Sideloading\WalkAndUnGZ.bat" "%USERPROFILE%\AppData\Local\Temp\OnboardLogs"\RTDC4029\2016-11-05</v>
      </c>
      <c r="AF131" s="88" t="str">
        <f t="shared" si="32"/>
        <v>"C:\Program Files (x86)\AstroGrep\AstroGrep.exe" /spath="%USERPROFILE%\AppData\Local\Temp\OnboardLogs" /stypes="app*4029*20161105*" /stext=" 00:.+((SYSTEM_STATE.+slice.+state.+changed )|(ment ac)|(system.+state.+changed )|(\[timeout)|(PRM\|1\|D)|(kpr)|(kdp)|(\|loc)|(penalty))" /e /r /s</v>
      </c>
      <c r="AG131" s="1" t="str">
        <f t="shared" si="33"/>
        <v>EC</v>
      </c>
      <c r="AH131" s="92" t="str">
        <f t="shared" si="34"/>
        <v>"%USERPROFILE%\Documents\GitHub\eaglep3\Utilities\RefineRTDCRunTimes.py" --tripid 217-04 --locoid 4029 --swversion DE.1.0.8.0 --startMP 204:440 --initTime 2016-11-04T18:13:58 --startdatetime 2016-11-04T18:15:38 --delay 1 --endMP 204:233310 --enddatetime 2016-11-04T18:55:00 --enforcementcount 0 &gt;&gt;C:\Users\stu\Documents\GitHub\eaglep3-reporting\EC\2016-11-04-refined-times.txt</v>
      </c>
      <c r="AI131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{"issue":{"subject":"","project_id":79,"tracker_id":40,"status_id":1,"priority_id":2,"assigned_to_id":23,"start_date":"2016-11-04","description":"","custom_fields":[{"id":1,"name":"Subdivision","value":"EC"},{"id":4,"name":"Milepost","value":"23.331"},{"id":17,"name":"Train ID","value":"217-04"},{"id":16,"name":"Locomotive ID","value":"4029"},{"id":130,"name":"Impact","value":""},{"id":150,"name":"Time of Event (Mountain Time)","value":"18:55:00"},{"id":151,"name":"Denver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x14ac:dyDescent="0.25">
      <c r="A132" s="37" t="s">
        <v>430</v>
      </c>
      <c r="B132" s="7">
        <v>4030</v>
      </c>
      <c r="C132" s="22" t="s">
        <v>239</v>
      </c>
      <c r="D132" s="22" t="s">
        <v>242</v>
      </c>
      <c r="E132" s="13">
        <v>42678.797569444447</v>
      </c>
      <c r="F132" s="13">
        <v>42678.798541666663</v>
      </c>
      <c r="G132" s="7">
        <v>1</v>
      </c>
      <c r="H132" s="22" t="s">
        <v>688</v>
      </c>
      <c r="I132" s="13">
        <v>42678.820069444446</v>
      </c>
      <c r="J132" s="7">
        <v>1</v>
      </c>
      <c r="K132" s="112" t="str">
        <f t="shared" si="19"/>
        <v>4029/4030</v>
      </c>
      <c r="L132" s="22" t="str">
        <f>VLOOKUP(A132,'Trips&amp;Operators'!$C$1:$E$10000,3,FALSE)</f>
        <v>CHANDLER</v>
      </c>
      <c r="M132" s="6">
        <f t="shared" si="20"/>
        <v>2.1527777782466728E-2</v>
      </c>
      <c r="N132" s="7"/>
      <c r="O132" s="7"/>
      <c r="P132" s="7">
        <f>24*60*SUM($M132:$M133)</f>
        <v>42.216666676104069</v>
      </c>
      <c r="Q132" s="23"/>
      <c r="R132" s="23" t="s">
        <v>787</v>
      </c>
      <c r="S132" s="35">
        <f>SUM(U132:U133)/IF(AG132="EC",12,1)</f>
        <v>0.91666666666666663</v>
      </c>
      <c r="T132" s="50" t="str">
        <f t="shared" si="23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8</v>
      </c>
      <c r="V13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18:08:30-0600',mode:absolute,to:'2016-11-04 20:40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2" s="52" t="str">
        <f t="shared" si="25"/>
        <v>Y</v>
      </c>
      <c r="X132" s="177">
        <f t="shared" si="26"/>
        <v>1</v>
      </c>
      <c r="Y132" s="67">
        <f t="shared" si="27"/>
        <v>23.298300000000001</v>
      </c>
      <c r="Z132" s="67">
        <f t="shared" si="28"/>
        <v>4.4009999999999998</v>
      </c>
      <c r="AA132" s="67">
        <f t="shared" si="29"/>
        <v>18.897300000000001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30"/>
        <v>0218-04</v>
      </c>
      <c r="AE132" s="91" t="str">
        <f t="shared" si="31"/>
        <v>aws s3 cp s3://rtdc.mdm.uploadarchive.raw/RTDC4030/ "%USERPROFILE%\AppData\Local\Temp\OnboardLogs"\RTDC4030\2016-11-04 --exclude "*" --recursive --include "*20161104*" &amp; "%USERPROFILE%\Documents\GitHub\mrs-test-scripts\Headless Mode &amp; Sideloading\WalkAndUnGZ.bat" "%USERPROFILE%\AppData\Local\Temp\OnboardLogs"\RTDC4030\2016-11-04 &amp; aws s3 cp s3://rtdc.mdm.uploadarchive.raw/RTDC4030/ "%USERPROFILE%\AppData\Local\Temp\OnboardLogs"\RTDC4030\2016-11-05 --exclude "*" --recursive --include "*20161105*" &amp; "%USERPROFILE%\Documents\GitHub\mrs-test-scripts\Headless Mode &amp; Sideloading\WalkAndUnGZ.bat" "%USERPROFILE%\AppData\Local\Temp\OnboardLogs"\RTDC4030\2016-11-05</v>
      </c>
      <c r="AF132" s="88" t="str">
        <f t="shared" si="32"/>
        <v>"C:\Program Files (x86)\AstroGrep\AstroGrep.exe" /spath="%USERPROFILE%\AppData\Local\Temp\OnboardLogs" /stypes="app*4030*20161105*" /stext=" 01:.+((SYSTEM_STATE.+slice.+state.+changed )|(ment ac)|(system.+state.+changed )|(\[timeout)|(PRM\|1\|D)|(kpr)|(kdp)|(\|loc)|(penalty))" /e /r /s</v>
      </c>
      <c r="AG132" s="1" t="str">
        <f t="shared" si="33"/>
        <v>EC</v>
      </c>
      <c r="AH132" s="92" t="str">
        <f t="shared" si="34"/>
        <v>"%USERPROFILE%\Documents\GitHub\eaglep3\Utilities\RefineRTDCRunTimes.py" --tripid 218-04 --locoid 4030 --swversion DE.1.0.8.0 --startMP 204:232983 --initTime 2016-11-04T19:08:30 --startdatetime 2016-11-04T19:09:54 --delay 1 --endMP 204:44010 --enddatetime 2016-11-04T19:40:54 --enforcementcount 1 &gt;&gt;C:\Users\stu\Documents\GitHub\eaglep3-reporting\EC\2016-11-04-refined-times.txt</v>
      </c>
      <c r="AI132" s="122" t="str">
        <f t="shared" si="35"/>
        <v>echo {"issue":{"subject":"Onboard in-route failure","project_id":79,"tracker_id":40,"status_id":1,"priority_id":2,"assigned_to_id":23,"start_date":"2016-11-04","description":"Primary slice change at  2016/11/05 01:31:04.053 UTC, caused a comm failure (Slot10 not sure who to connect to)","custom_fields":[{"id":1,"name":"Subdivision","value":"EC"},{"id":4,"name":"Milepost","value":"4.401"},{"id":17,"name":"Train ID","value":"218-04"},{"id":16,"name":"Locomotive ID","value":"4030"},{"id":130,"name":"Impact","value":"Enforcement"},{"id":150,"name":"Time of Event (Mountain Time)","value":"19:40:54"},{"id":151,"name":"Denver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32" s="53" t="s">
        <v>792</v>
      </c>
      <c r="AK132" s="53" t="s">
        <v>125</v>
      </c>
      <c r="AL132" s="53" t="s">
        <v>178</v>
      </c>
    </row>
    <row r="133" spans="1:91" s="21" customFormat="1" x14ac:dyDescent="0.25">
      <c r="A133" s="37" t="s">
        <v>430</v>
      </c>
      <c r="B133" s="7">
        <v>4030</v>
      </c>
      <c r="C133" s="22" t="s">
        <v>239</v>
      </c>
      <c r="D133" s="22" t="s">
        <v>689</v>
      </c>
      <c r="E133" s="13">
        <v>42678.821736111109</v>
      </c>
      <c r="F133" s="13">
        <v>42678.822430555556</v>
      </c>
      <c r="G133" s="7">
        <v>1</v>
      </c>
      <c r="H133" s="22" t="s">
        <v>640</v>
      </c>
      <c r="I133" s="13">
        <v>42678.83021990741</v>
      </c>
      <c r="J133" s="7">
        <v>0</v>
      </c>
      <c r="K133" s="112" t="str">
        <f t="shared" si="19"/>
        <v>4029/4030</v>
      </c>
      <c r="L133" s="22" t="str">
        <f>VLOOKUP(A133,'Trips&amp;Operators'!$C$1:$E$10000,3,FALSE)</f>
        <v>CHANDLER</v>
      </c>
      <c r="M133" s="6">
        <f t="shared" si="20"/>
        <v>7.7893518537166528E-3</v>
      </c>
      <c r="N133" s="7"/>
      <c r="O133" s="7"/>
      <c r="P133" s="7"/>
      <c r="Q133" s="23"/>
      <c r="R133" s="23"/>
      <c r="S133" s="35"/>
      <c r="T133" s="50" t="str">
        <f t="shared" si="23"/>
        <v>Southbound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3</v>
      </c>
      <c r="V13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18:43:18-0600',mode:absolute,to:'2016-11-04 20:55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3" s="52" t="str">
        <f t="shared" si="25"/>
        <v>Y</v>
      </c>
      <c r="X133" s="177">
        <f t="shared" si="26"/>
        <v>0</v>
      </c>
      <c r="Y133" s="67">
        <f t="shared" si="27"/>
        <v>3.6796000000000002</v>
      </c>
      <c r="Z133" s="67">
        <f t="shared" si="28"/>
        <v>1.6299999999999999E-2</v>
      </c>
      <c r="AA133" s="67">
        <f t="shared" si="29"/>
        <v>3.6633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30"/>
        <v>0218-04</v>
      </c>
      <c r="AE133" s="91" t="str">
        <f t="shared" si="31"/>
        <v>aws s3 cp s3://rtdc.mdm.uploadarchive.raw/RTDC4030/ "%USERPROFILE%\AppData\Local\Temp\OnboardLogs"\RTDC4030\2016-11-04 --exclude "*" --recursive --include "*20161104*" &amp; "%USERPROFILE%\Documents\GitHub\mrs-test-scripts\Headless Mode &amp; Sideloading\WalkAndUnGZ.bat" "%USERPROFILE%\AppData\Local\Temp\OnboardLogs"\RTDC4030\2016-11-04 &amp; aws s3 cp s3://rtdc.mdm.uploadarchive.raw/RTDC4030/ "%USERPROFILE%\AppData\Local\Temp\OnboardLogs"\RTDC4030\2016-11-05 --exclude "*" --recursive --include "*20161105*" &amp; "%USERPROFILE%\Documents\GitHub\mrs-test-scripts\Headless Mode &amp; Sideloading\WalkAndUnGZ.bat" "%USERPROFILE%\AppData\Local\Temp\OnboardLogs"\RTDC4030\2016-11-05</v>
      </c>
      <c r="AF133" s="88" t="str">
        <f t="shared" si="32"/>
        <v>"C:\Program Files (x86)\AstroGrep\AstroGrep.exe" /spath="%USERPROFILE%\AppData\Local\Temp\OnboardLogs" /stypes="app*4030*20161105*" /stext=" 01:.+((SYSTEM_STATE.+slice.+state.+changed )|(ment ac)|(system.+state.+changed )|(\[timeout)|(PRM\|1\|D)|(kpr)|(kdp)|(\|loc)|(penalty))" /e /r /s</v>
      </c>
      <c r="AG133" s="1" t="str">
        <f t="shared" si="33"/>
        <v>EC</v>
      </c>
      <c r="AH133" s="92" t="str">
        <f t="shared" si="34"/>
        <v>"%USERPROFILE%\Documents\GitHub\eaglep3\Utilities\RefineRTDCRunTimes.py" --tripid 218-04 --locoid 4030 --swversion DE.1.0.8.0 --startMP 204:36796 --initTime 2016-11-04T19:43:18 --startdatetime 2016-11-04T19:44:18 --delay 1 --endMP 204:163 --enddatetime 2016-11-04T19:55:31 --enforcementcount 0 &gt;&gt;C:\Users\stu\Documents\GitHub\eaglep3-reporting\EC\2016-11-04-refined-times.txt</v>
      </c>
      <c r="AI133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{"issue":{"subject":"","project_id":79,"tracker_id":40,"status_id":1,"priority_id":2,"assigned_to_id":23,"start_date":"2016-11-04","description":"","custom_fields":[{"id":1,"name":"Subdivision","value":"EC"},{"id":4,"name":"Milepost","value":"0.0163"},{"id":17,"name":"Train ID","value":"218-04"},{"id":16,"name":"Locomotive ID","value":"4030"},{"id":130,"name":"Impact","value":""},{"id":150,"name":"Time of Event (Mountain Time)","value":"19:55:31"},{"id":151,"name":"Denver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588</v>
      </c>
      <c r="B134" s="7">
        <v>4042</v>
      </c>
      <c r="C134" s="22" t="s">
        <v>239</v>
      </c>
      <c r="D134" s="22" t="s">
        <v>656</v>
      </c>
      <c r="E134" s="13">
        <v>42678.76835648148</v>
      </c>
      <c r="F134" s="13">
        <v>42678.771157407406</v>
      </c>
      <c r="G134" s="7">
        <v>2</v>
      </c>
      <c r="H134" s="22" t="s">
        <v>381</v>
      </c>
      <c r="I134" s="13">
        <v>42678.795266203706</v>
      </c>
      <c r="J134" s="7">
        <v>0</v>
      </c>
      <c r="K134" s="112" t="str">
        <f t="shared" si="19"/>
        <v>4041/4042</v>
      </c>
      <c r="L134" s="22" t="str">
        <f>VLOOKUP(A134,'Trips&amp;Operators'!$C$1:$E$10000,3,FALSE)</f>
        <v>STAMBAUGH</v>
      </c>
      <c r="M134" s="6">
        <f t="shared" si="20"/>
        <v>2.4108796300424729E-2</v>
      </c>
      <c r="N134" s="7">
        <f t="shared" si="21"/>
        <v>34.716666672611609</v>
      </c>
      <c r="O134" s="7"/>
      <c r="P134" s="7"/>
      <c r="Q134" s="23"/>
      <c r="R134" s="23"/>
      <c r="S134" s="35">
        <f t="shared" si="22"/>
        <v>1</v>
      </c>
      <c r="T134" s="50" t="str">
        <f t="shared" si="23"/>
        <v>NorthBound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17:26:26-0600',mode:absolute,to:'2016-11-04 20:05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4" s="52" t="str">
        <f t="shared" si="25"/>
        <v>N</v>
      </c>
      <c r="X134" s="177">
        <f t="shared" si="26"/>
        <v>1</v>
      </c>
      <c r="Y134" s="67">
        <f t="shared" si="27"/>
        <v>4.3299999999999998E-2</v>
      </c>
      <c r="Z134" s="67">
        <f t="shared" si="28"/>
        <v>23.3307</v>
      </c>
      <c r="AA134" s="67">
        <f t="shared" si="29"/>
        <v>23.287400000000002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30"/>
        <v>0219-04</v>
      </c>
      <c r="AE134" s="91" t="str">
        <f t="shared" si="31"/>
        <v>aws s3 cp s3://rtdc.mdm.uploadarchive.raw/RTDC4042/ "%USERPROFILE%\AppData\Local\Temp\OnboardLogs"\RTDC4042\2016-11-04 --exclude "*" --recursive --include "*20161104*" &amp; "%USERPROFILE%\Documents\GitHub\mrs-test-scripts\Headless Mode &amp; Sideloading\WalkAndUnGZ.bat" "%USERPROFILE%\AppData\Local\Temp\OnboardLogs"\RTDC4042\2016-11-04 &amp; aws s3 cp s3://rtdc.mdm.uploadarchive.raw/RTDC4042/ "%USERPROFILE%\AppData\Local\Temp\OnboardLogs"\RTDC4042\2016-11-05 --exclude "*" --recursive --include "*20161105*" &amp; "%USERPROFILE%\Documents\GitHub\mrs-test-scripts\Headless Mode &amp; Sideloading\WalkAndUnGZ.bat" "%USERPROFILE%\AppData\Local\Temp\OnboardLogs"\RTDC4042\2016-11-05</v>
      </c>
      <c r="AF134" s="88" t="str">
        <f t="shared" si="32"/>
        <v>"C:\Program Files (x86)\AstroGrep\AstroGrep.exe" /spath="%USERPROFILE%\AppData\Local\Temp\OnboardLogs" /stypes="app*4042*20161105*" /stext=" 01:.+((SYSTEM_STATE.+slice.+state.+changed )|(ment ac)|(system.+state.+changed )|(\[timeout)|(PRM\|1\|D)|(kpr)|(kdp)|(\|loc)|(penalty))" /e /r /s</v>
      </c>
      <c r="AG134" s="1" t="str">
        <f t="shared" si="33"/>
        <v>EC</v>
      </c>
      <c r="AH134" s="92" t="str">
        <f t="shared" si="34"/>
        <v>"%USERPROFILE%\Documents\GitHub\eaglep3\Utilities\RefineRTDCRunTimes.py" --tripid 219-04 --locoid 4042 --swversion DE.1.0.8.0 --startMP 204:433 --initTime 2016-11-04T18:26:26 --startdatetime 2016-11-04T18:30:28 --delay 2 --endMP 204:233307 --enddatetime 2016-11-04T19:05:11 --enforcementcount 0 &gt;&gt;C:\Users\stu\Documents\GitHub\eaglep3-reporting\EC\2016-11-04-refined-times.txt</v>
      </c>
      <c r="AI134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{"issue":{"subject":"","project_id":79,"tracker_id":40,"status_id":1,"priority_id":2,"assigned_to_id":23,"start_date":"2016-11-04","description":"","custom_fields":[{"id":1,"name":"Subdivision","value":"EC"},{"id":4,"name":"Milepost","value":"23.3307"},{"id":17,"name":"Train ID","value":"219-04"},{"id":16,"name":"Locomotive ID","value":"4042"},{"id":130,"name":"Impact","value":""},{"id":150,"name":"Time of Event (Mountain Time)","value":"19:05:11"},{"id":151,"name":"Denver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594</v>
      </c>
      <c r="B135" s="7">
        <v>4041</v>
      </c>
      <c r="C135" s="22" t="s">
        <v>239</v>
      </c>
      <c r="D135" s="22" t="s">
        <v>267</v>
      </c>
      <c r="E135" s="13">
        <v>42678.797314814816</v>
      </c>
      <c r="F135" s="13">
        <v>42678.810416666667</v>
      </c>
      <c r="G135" s="7">
        <v>2</v>
      </c>
      <c r="H135" s="22" t="s">
        <v>362</v>
      </c>
      <c r="I135" s="13">
        <v>42678.836018518516</v>
      </c>
      <c r="J135" s="7">
        <v>0</v>
      </c>
      <c r="K135" s="112" t="str">
        <f t="shared" si="19"/>
        <v>4041/4042</v>
      </c>
      <c r="L135" s="22" t="str">
        <f>VLOOKUP(A135,'Trips&amp;Operators'!$C$1:$E$10000,3,FALSE)</f>
        <v>STAMBAUGH</v>
      </c>
      <c r="M135" s="6">
        <f t="shared" si="20"/>
        <v>2.5601851848477963E-2</v>
      </c>
      <c r="N135" s="7">
        <f t="shared" si="21"/>
        <v>36.866666661808267</v>
      </c>
      <c r="O135" s="7"/>
      <c r="P135" s="7"/>
      <c r="Q135" s="23"/>
      <c r="R135" s="23"/>
      <c r="S135" s="35">
        <f t="shared" si="22"/>
        <v>1</v>
      </c>
      <c r="T135" s="50" t="str">
        <f t="shared" si="23"/>
        <v>Southbound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18:08:08-0600',mode:absolute,to:'2016-11-04 21:03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5" s="52" t="str">
        <f t="shared" si="25"/>
        <v>N</v>
      </c>
      <c r="X135" s="177">
        <f t="shared" si="26"/>
        <v>1</v>
      </c>
      <c r="Y135" s="67">
        <f t="shared" si="27"/>
        <v>23.297999999999998</v>
      </c>
      <c r="Z135" s="67">
        <f t="shared" si="28"/>
        <v>1.6E-2</v>
      </c>
      <c r="AA135" s="67">
        <f t="shared" si="29"/>
        <v>23.282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30"/>
        <v>0220-04</v>
      </c>
      <c r="AE135" s="91" t="str">
        <f t="shared" si="31"/>
        <v>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 &amp; aws s3 cp s3://rtdc.mdm.uploadarchive.raw/RTDC4041/ "%USERPROFILE%\AppData\Local\Temp\OnboardLogs"\RTDC4041\2016-11-05 --exclude "*" --recursive --include "*20161105*" &amp; "%USERPROFILE%\Documents\GitHub\mrs-test-scripts\Headless Mode &amp; Sideloading\WalkAndUnGZ.bat" "%USERPROFILE%\AppData\Local\Temp\OnboardLogs"\RTDC4041\2016-11-05</v>
      </c>
      <c r="AF135" s="88" t="str">
        <f t="shared" si="32"/>
        <v>"C:\Program Files (x86)\AstroGrep\AstroGrep.exe" /spath="%USERPROFILE%\AppData\Local\Temp\OnboardLogs" /stypes="app*4041*20161105*" /stext=" 02:.+((SYSTEM_STATE.+slice.+state.+changed )|(ment ac)|(system.+state.+changed )|(\[timeout)|(PRM\|1\|D)|(kpr)|(kdp)|(\|loc)|(penalty))" /e /r /s</v>
      </c>
      <c r="AG135" s="1" t="str">
        <f t="shared" si="33"/>
        <v>EC</v>
      </c>
      <c r="AH135" s="92" t="str">
        <f t="shared" si="34"/>
        <v>"%USERPROFILE%\Documents\GitHub\eaglep3\Utilities\RefineRTDCRunTimes.py" --tripid 220-04 --locoid 4041 --swversion DE.1.0.8.0 --startMP 204:232980 --initTime 2016-11-04T19:08:08 --startdatetime 2016-11-04T19:27:00 --delay 2 --endMP 204:160 --enddatetime 2016-11-04T20:03:52 --enforcementcount 0 &gt;&gt;C:\Users\stu\Documents\GitHub\eaglep3-reporting\EC\2016-11-04-refined-times.txt</v>
      </c>
      <c r="AI135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{"issue":{"subject":"","project_id":79,"tracker_id":40,"status_id":1,"priority_id":2,"assigned_to_id":23,"start_date":"2016-11-04","description":"","custom_fields":[{"id":1,"name":"Subdivision","value":"EC"},{"id":4,"name":"Milepost","value":"0.016"},{"id":17,"name":"Train ID","value":"220-04"},{"id":16,"name":"Locomotive ID","value":"4041"},{"id":130,"name":"Impact","value":""},{"id":150,"name":"Time of Event (Mountain Time)","value":"20:03:52"},{"id":151,"name":"Denver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592</v>
      </c>
      <c r="B136" s="7">
        <v>4038</v>
      </c>
      <c r="C136" s="22" t="s">
        <v>239</v>
      </c>
      <c r="D136" s="22" t="s">
        <v>253</v>
      </c>
      <c r="E136" s="13">
        <v>42678.785995370374</v>
      </c>
      <c r="F136" s="13">
        <v>42678.791851851849</v>
      </c>
      <c r="G136" s="7">
        <v>6</v>
      </c>
      <c r="H136" s="22" t="s">
        <v>283</v>
      </c>
      <c r="I136" s="13">
        <v>42678.816458333335</v>
      </c>
      <c r="J136" s="7">
        <v>0</v>
      </c>
      <c r="K136" s="112" t="str">
        <f t="shared" si="19"/>
        <v>4037/4038</v>
      </c>
      <c r="L136" s="22" t="str">
        <f>VLOOKUP(A136,'Trips&amp;Operators'!$C$1:$E$10000,3,FALSE)</f>
        <v>LEVIN</v>
      </c>
      <c r="M136" s="6">
        <f t="shared" si="20"/>
        <v>2.4606481485534459E-2</v>
      </c>
      <c r="N136" s="7">
        <f t="shared" si="21"/>
        <v>35.433333339169621</v>
      </c>
      <c r="O136" s="7"/>
      <c r="P136" s="7"/>
      <c r="Q136" s="23"/>
      <c r="R136" s="23"/>
      <c r="S136" s="35">
        <f t="shared" si="22"/>
        <v>1</v>
      </c>
      <c r="T136" s="50" t="str">
        <f t="shared" si="23"/>
        <v>NorthBound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17:51:50-0600',mode:absolute,to:'2016-11-04 20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6" s="52" t="str">
        <f t="shared" si="25"/>
        <v>N</v>
      </c>
      <c r="X136" s="177">
        <f t="shared" si="26"/>
        <v>1</v>
      </c>
      <c r="Y136" s="67">
        <f t="shared" si="27"/>
        <v>4.7300000000000002E-2</v>
      </c>
      <c r="Z136" s="67">
        <f t="shared" si="28"/>
        <v>23.331199999999999</v>
      </c>
      <c r="AA136" s="67">
        <f t="shared" si="29"/>
        <v>23.283899999999999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30"/>
        <v>0221-04</v>
      </c>
      <c r="AE136" s="91" t="str">
        <f t="shared" si="31"/>
        <v>aws s3 cp s3://rtdc.mdm.uploadarchive.raw/RTDC4038/ "%USERPROFILE%\AppData\Local\Temp\OnboardLogs"\RTDC4038\2016-11-04 --exclude "*" --recursive --include "*20161104*" &amp; "%USERPROFILE%\Documents\GitHub\mrs-test-scripts\Headless Mode &amp; Sideloading\WalkAndUnGZ.bat" "%USERPROFILE%\AppData\Local\Temp\OnboardLogs"\RTDC4038\2016-11-04 &amp; aws s3 cp s3://rtdc.mdm.uploadarchive.raw/RTDC4038/ "%USERPROFILE%\AppData\Local\Temp\OnboardLogs"\RTDC4038\2016-11-05 --exclude "*" --recursive --include "*20161105*" &amp; "%USERPROFILE%\Documents\GitHub\mrs-test-scripts\Headless Mode &amp; Sideloading\WalkAndUnGZ.bat" "%USERPROFILE%\AppData\Local\Temp\OnboardLogs"\RTDC4038\2016-11-05</v>
      </c>
      <c r="AF136" s="88" t="str">
        <f t="shared" si="32"/>
        <v>"C:\Program Files (x86)\AstroGrep\AstroGrep.exe" /spath="%USERPROFILE%\AppData\Local\Temp\OnboardLogs" /stypes="app*4038*20161105*" /stext=" 01:.+((SYSTEM_STATE.+slice.+state.+changed )|(ment ac)|(system.+state.+changed )|(\[timeout)|(PRM\|1\|D)|(kpr)|(kdp)|(\|loc)|(penalty))" /e /r /s</v>
      </c>
      <c r="AG136" s="1" t="str">
        <f t="shared" si="33"/>
        <v>EC</v>
      </c>
      <c r="AH136" s="92" t="str">
        <f t="shared" si="34"/>
        <v>"%USERPROFILE%\Documents\GitHub\eaglep3\Utilities\RefineRTDCRunTimes.py" --tripid 221-04 --locoid 4038 --swversion DE.1.0.8.0 --startMP 204:473 --initTime 2016-11-04T18:51:50 --startdatetime 2016-11-04T19:00:16 --delay 6 --endMP 204:233312 --enddatetime 2016-11-04T19:35:42 --enforcementcount 0 &gt;&gt;C:\Users\stu\Documents\GitHub\eaglep3-reporting\EC\2016-11-04-refined-times.txt</v>
      </c>
      <c r="AI136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{"issue":{"subject":"","project_id":79,"tracker_id":40,"status_id":1,"priority_id":2,"assigned_to_id":23,"start_date":"2016-11-04","description":"","custom_fields":[{"id":1,"name":"Subdivision","value":"EC"},{"id":4,"name":"Milepost","value":"23.3312"},{"id":17,"name":"Train ID","value":"221-04"},{"id":16,"name":"Locomotive ID","value":"4038"},{"id":130,"name":"Impact","value":""},{"id":150,"name":"Time of Event (Mountain Time)","value":"19:35:42"},{"id":151,"name":"Denver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600</v>
      </c>
      <c r="B137" s="7">
        <v>4037</v>
      </c>
      <c r="C137" s="22" t="s">
        <v>239</v>
      </c>
      <c r="D137" s="22" t="s">
        <v>690</v>
      </c>
      <c r="E137" s="13">
        <v>42678.826423611114</v>
      </c>
      <c r="F137" s="13">
        <v>42678.830717592595</v>
      </c>
      <c r="G137" s="7">
        <v>1</v>
      </c>
      <c r="H137" s="22" t="s">
        <v>203</v>
      </c>
      <c r="I137" s="13">
        <v>42678.856388888889</v>
      </c>
      <c r="J137" s="7">
        <v>0</v>
      </c>
      <c r="K137" s="112" t="str">
        <f t="shared" si="19"/>
        <v>4037/4038</v>
      </c>
      <c r="L137" s="22" t="str">
        <f>VLOOKUP(A137,'Trips&amp;Operators'!$C$1:$E$10000,3,FALSE)</f>
        <v>LEVIN</v>
      </c>
      <c r="M137" s="6">
        <f t="shared" si="20"/>
        <v>2.5671296294603962E-2</v>
      </c>
      <c r="N137" s="7">
        <f t="shared" si="21"/>
        <v>36.966666664229706</v>
      </c>
      <c r="O137" s="7"/>
      <c r="P137" s="7"/>
      <c r="Q137" s="23"/>
      <c r="R137" s="23"/>
      <c r="S137" s="35">
        <f t="shared" si="22"/>
        <v>1</v>
      </c>
      <c r="T137" s="50" t="str">
        <f t="shared" si="23"/>
        <v>Southbound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18:50:03-0600',mode:absolute,to:'2016-11-04 21:33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7" s="52" t="str">
        <f t="shared" si="25"/>
        <v>N</v>
      </c>
      <c r="X137" s="177">
        <f t="shared" si="26"/>
        <v>1</v>
      </c>
      <c r="Y137" s="67">
        <f t="shared" si="27"/>
        <v>23.3001</v>
      </c>
      <c r="Z137" s="67">
        <f t="shared" si="28"/>
        <v>1.49E-2</v>
      </c>
      <c r="AA137" s="67">
        <f t="shared" si="29"/>
        <v>23.2852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30"/>
        <v>0222-04</v>
      </c>
      <c r="AE137" s="91" t="str">
        <f t="shared" si="31"/>
        <v>aws s3 cp s3://rtdc.mdm.uploadarchive.raw/RTDC4037/ "%USERPROFILE%\AppData\Local\Temp\OnboardLogs"\RTDC4037\2016-11-04 --exclude "*" --recursive --include "*20161104*" &amp; "%USERPROFILE%\Documents\GitHub\mrs-test-scripts\Headless Mode &amp; Sideloading\WalkAndUnGZ.bat" "%USERPROFILE%\AppData\Local\Temp\OnboardLogs"\RTDC4037\2016-11-04 &amp; aws s3 cp s3://rtdc.mdm.uploadarchive.raw/RTDC4037/ "%USERPROFILE%\AppData\Local\Temp\OnboardLogs"\RTDC4037\2016-11-05 --exclude "*" --recursive --include "*20161105*" &amp; "%USERPROFILE%\Documents\GitHub\mrs-test-scripts\Headless Mode &amp; Sideloading\WalkAndUnGZ.bat" "%USERPROFILE%\AppData\Local\Temp\OnboardLogs"\RTDC4037\2016-11-05</v>
      </c>
      <c r="AF137" s="88" t="str">
        <f t="shared" si="32"/>
        <v>"C:\Program Files (x86)\AstroGrep\AstroGrep.exe" /spath="%USERPROFILE%\AppData\Local\Temp\OnboardLogs" /stypes="app*4037*20161105*" /stext=" 02:.+((SYSTEM_STATE.+slice.+state.+changed )|(ment ac)|(system.+state.+changed )|(\[timeout)|(PRM\|1\|D)|(kpr)|(kdp)|(\|loc)|(penalty))" /e /r /s</v>
      </c>
      <c r="AG137" s="1" t="str">
        <f t="shared" si="33"/>
        <v>EC</v>
      </c>
      <c r="AH137" s="92" t="str">
        <f t="shared" si="34"/>
        <v>"%USERPROFILE%\Documents\GitHub\eaglep3\Utilities\RefineRTDCRunTimes.py" --tripid 222-04 --locoid 4037 --swversion DE.1.0.8.0 --startMP 204:233001 --initTime 2016-11-04T19:50:03 --startdatetime 2016-11-04T19:56:14 --delay 1 --endMP 204:149 --enddatetime 2016-11-04T20:33:12 --enforcementcount 0 &gt;&gt;C:\Users\stu\Documents\GitHub\eaglep3-reporting\EC\2016-11-04-refined-times.txt</v>
      </c>
      <c r="AI137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{"issue":{"subject":"","project_id":79,"tracker_id":40,"status_id":1,"priority_id":2,"assigned_to_id":23,"start_date":"2016-11-04","description":"","custom_fields":[{"id":1,"name":"Subdivision","value":"EC"},{"id":4,"name":"Milepost","value":"0.0149"},{"id":17,"name":"Train ID","value":"222-04"},{"id":16,"name":"Locomotive ID","value":"4037"},{"id":130,"name":"Impact","value":""},{"id":150,"name":"Time of Event (Mountain Time)","value":"20:33:12"},{"id":151,"name":"Denver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597</v>
      </c>
      <c r="B138" s="7">
        <v>4007</v>
      </c>
      <c r="C138" s="22" t="s">
        <v>239</v>
      </c>
      <c r="D138" s="22" t="s">
        <v>691</v>
      </c>
      <c r="E138" s="13">
        <v>42678.808935185189</v>
      </c>
      <c r="F138" s="13">
        <v>42678.812743055554</v>
      </c>
      <c r="G138" s="7">
        <v>1</v>
      </c>
      <c r="H138" s="22" t="s">
        <v>282</v>
      </c>
      <c r="I138" s="13">
        <v>42678.837766203702</v>
      </c>
      <c r="J138" s="7">
        <v>0</v>
      </c>
      <c r="K138" s="112" t="str">
        <f t="shared" si="19"/>
        <v>4007/4008</v>
      </c>
      <c r="L138" s="22" t="str">
        <f>VLOOKUP(A138,'Trips&amp;Operators'!$C$1:$E$10000,3,FALSE)</f>
        <v>MAGEE</v>
      </c>
      <c r="M138" s="6">
        <f t="shared" si="20"/>
        <v>2.5023148147738539E-2</v>
      </c>
      <c r="N138" s="7">
        <f t="shared" si="21"/>
        <v>36.033333332743496</v>
      </c>
      <c r="O138" s="7"/>
      <c r="P138" s="7"/>
      <c r="Q138" s="23"/>
      <c r="R138" s="23"/>
      <c r="S138" s="35">
        <f t="shared" si="22"/>
        <v>1</v>
      </c>
      <c r="T138" s="50" t="str">
        <f t="shared" si="23"/>
        <v>NorthBound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https://search-rtdc-monitor-bjffxe2xuh6vdkpspy63sjmuny.us-east-1.es.amazonaws.com/_plugin/kibana/#/discover/Steve-Slow-Train-Analysis-(2080s-and-2083s)?_g=(refreshInterval:(display:Off,section:0,value:0),time:(from:'2016-11-04 18:24:52-0600',mode:absolute,to:'2016-11-04 21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8" s="52" t="str">
        <f t="shared" si="25"/>
        <v>N</v>
      </c>
      <c r="X138" s="177">
        <f t="shared" si="26"/>
        <v>1</v>
      </c>
      <c r="Y138" s="67">
        <f t="shared" si="27"/>
        <v>4.6699999999999998E-2</v>
      </c>
      <c r="Z138" s="67">
        <f t="shared" si="28"/>
        <v>23.331</v>
      </c>
      <c r="AA138" s="67">
        <f t="shared" si="29"/>
        <v>23.284299999999998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30"/>
        <v>0223-04</v>
      </c>
      <c r="AE138" s="91" t="str">
        <f t="shared" si="31"/>
        <v>aws s3 cp s3://rtdc.mdm.uploadarchive.raw/RTDC4007/ "%USERPROFILE%\AppData\Local\Temp\OnboardLogs"\RTDC4007\2016-11-04 --exclude "*" --recursive --include "*20161104*" &amp; "%USERPROFILE%\Documents\GitHub\mrs-test-scripts\Headless Mode &amp; Sideloading\WalkAndUnGZ.bat" "%USERPROFILE%\AppData\Local\Temp\OnboardLogs"\RTDC4007\2016-11-04 &amp; aws s3 cp s3://rtdc.mdm.uploadarchive.raw/RTDC4007/ "%USERPROFILE%\AppData\Local\Temp\OnboardLogs"\RTDC4007\2016-11-05 --exclude "*" --recursive --include "*20161105*" &amp; "%USERPROFILE%\Documents\GitHub\mrs-test-scripts\Headless Mode &amp; Sideloading\WalkAndUnGZ.bat" "%USERPROFILE%\AppData\Local\Temp\OnboardLogs"\RTDC4007\2016-11-05</v>
      </c>
      <c r="AF138" s="88" t="str">
        <f t="shared" si="32"/>
        <v>"C:\Program Files (x86)\AstroGrep\AstroGrep.exe" /spath="%USERPROFILE%\AppData\Local\Temp\OnboardLogs" /stypes="app*4007*20161105*" /stext=" 02:.+((SYSTEM_STATE.+slice.+state.+changed )|(ment ac)|(system.+state.+changed )|(\[timeout)|(PRM\|1\|D)|(kpr)|(kdp)|(\|loc)|(penalty))" /e /r /s</v>
      </c>
      <c r="AG138" s="1" t="str">
        <f t="shared" si="33"/>
        <v>EC</v>
      </c>
      <c r="AH138" s="92" t="str">
        <f t="shared" si="34"/>
        <v>"%USERPROFILE%\Documents\GitHub\eaglep3\Utilities\RefineRTDCRunTimes.py" --tripid 223-04 --locoid 4007 --swversion DE.1.0.8.0 --startMP 204:467 --initTime 2016-11-04T19:24:52 --startdatetime 2016-11-04T19:30:21 --delay 1 --endMP 204:233310 --enddatetime 2016-11-04T20:06:23 --enforcementcount 0 &gt;&gt;C:\Users\stu\Documents\GitHub\eaglep3-reporting\EC\2016-11-04-refined-times.txt</v>
      </c>
      <c r="AI138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{"issue":{"subject":"","project_id":79,"tracker_id":40,"status_id":1,"priority_id":2,"assigned_to_id":23,"start_date":"2016-11-04","description":"","custom_fields":[{"id":1,"name":"Subdivision","value":"EC"},{"id":4,"name":"Milepost","value":"23.331"},{"id":17,"name":"Train ID","value":"223-04"},{"id":16,"name":"Locomotive ID","value":"4007"},{"id":130,"name":"Impact","value":""},{"id":150,"name":"Time of Event (Mountain Time)","value":"20:06:23"},{"id":151,"name":"Denver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603</v>
      </c>
      <c r="B139" s="7">
        <v>4008</v>
      </c>
      <c r="C139" s="22" t="s">
        <v>239</v>
      </c>
      <c r="D139" s="22" t="s">
        <v>339</v>
      </c>
      <c r="E139" s="13">
        <v>42678.847118055557</v>
      </c>
      <c r="F139" s="13">
        <v>42678.851574074077</v>
      </c>
      <c r="G139" s="7">
        <v>6</v>
      </c>
      <c r="H139" s="22" t="s">
        <v>205</v>
      </c>
      <c r="I139" s="13">
        <v>42678.877511574072</v>
      </c>
      <c r="J139" s="7">
        <v>0</v>
      </c>
      <c r="K139" s="112" t="str">
        <f t="shared" ref="K139:K200" si="36">IF(ISEVEN(B139),(B139-1)&amp;"/"&amp;B139,B139&amp;"/"&amp;(B139+1))</f>
        <v>4007/4008</v>
      </c>
      <c r="L139" s="22" t="str">
        <f>VLOOKUP(A139,'Trips&amp;Operators'!$C$1:$E$10000,3,FALSE)</f>
        <v>MAGEE</v>
      </c>
      <c r="M139" s="6">
        <f t="shared" ref="M139:M200" si="37">I139-F139</f>
        <v>2.5937499995052349E-2</v>
      </c>
      <c r="N139" s="7">
        <f t="shared" ref="N139:P200" si="38">24*60*SUM($M139:$M139)</f>
        <v>37.349999992875382</v>
      </c>
      <c r="O139" s="7"/>
      <c r="P139" s="7"/>
      <c r="Q139" s="23"/>
      <c r="R139" s="23"/>
      <c r="S139" s="35">
        <f t="shared" ref="S139:S200" si="39">SUM(U139:U139)/IF(AG139="EC",12,1)</f>
        <v>1</v>
      </c>
      <c r="T139" s="50" t="str">
        <f t="shared" ref="T139:T200" si="40">IF(ISEVEN(LEFT(AD139,4)),"Southbound","NorthBound")</f>
        <v>Southbound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ref="V139:V200" si="41">"https://search-rtdc-monitor-bjffxe2xuh6vdkpspy63sjmuny.us-east-1.es.amazonaws.com/_plugin/kibana/#/discover/Steve-Slow-Train-Analysis-(2080s-and-2083s)?_g=(refreshInterval:(display:Off,section:0,value:0),time:(from:'"&amp;TEXT(E139-1/24,"yyyy-MM-DD hh:mm:ss")&amp;"-0600',mode:absolute,to:'"&amp;TEXT(I139+1/24,"yyyy-MM-DD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https://search-rtdc-monitor-bjffxe2xuh6vdkpspy63sjmuny.us-east-1.es.amazonaws.com/_plugin/kibana/#/discover/Steve-Slow-Train-Analysis-(2080s-and-2083s)?_g=(refreshInterval:(display:Off,section:0,value:0),time:(from:'2016-11-04 19:19:51-0600',mode:absolute,to:'2016-11-04 22:03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9" s="52" t="str">
        <f t="shared" ref="W139:W200" si="42">IF(AA139&lt;IF(AG139="EC",23,5.65),"Y","N")</f>
        <v>N</v>
      </c>
      <c r="X139" s="177">
        <f t="shared" ref="X139:X200" si="43">VALUE(LEFT(AD139,4))-VALUE(LEFT(AD138,4))</f>
        <v>1</v>
      </c>
      <c r="Y139" s="67">
        <f t="shared" ref="Y139:Y200" si="44">RIGHT(D139,LEN(D139)-4)/10000</f>
        <v>23.299399999999999</v>
      </c>
      <c r="Z139" s="67">
        <f t="shared" ref="Z139:Z200" si="45">RIGHT(H139,LEN(H139)-4)/10000</f>
        <v>1.43E-2</v>
      </c>
      <c r="AA139" s="67">
        <f t="shared" ref="AA139:AA200" si="46">ABS(Z139-Y139)</f>
        <v>23.2851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ref="AD139:AD200" si="47">IF(LEN(A139)=6,"0"&amp;A139,A139)</f>
        <v>0224-04</v>
      </c>
      <c r="AE139" s="91" t="str">
        <f t="shared" ref="AE139:AE200" si="48"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s3://rtdc.mdm.uploadarchive.raw/RTDC4008/ "%USERPROFILE%\AppData\Local\Temp\OnboardLogs"\RTDC4008\2016-11-04 --exclude "*" --recursive --include "*20161104*" &amp; "%USERPROFILE%\Documents\GitHub\mrs-test-scripts\Headless Mode &amp; Sideloading\WalkAndUnGZ.bat" "%USERPROFILE%\AppData\Local\Temp\OnboardLogs"\RTDC4008\2016-11-04 &amp; aws s3 cp s3://rtdc.mdm.uploadarchive.raw/RTDC4008/ "%USERPROFILE%\AppData\Local\Temp\OnboardLogs"\RTDC4008\2016-11-05 --exclude "*" --recursive --include "*20161105*" &amp; "%USERPROFILE%\Documents\GitHub\mrs-test-scripts\Headless Mode &amp; Sideloading\WalkAndUnGZ.bat" "%USERPROFILE%\AppData\Local\Temp\OnboardLogs"\RTDC4008\2016-11-05</v>
      </c>
      <c r="AF139" s="88" t="str">
        <f t="shared" ref="AF139:AF200" si="49"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/stypes="app*4008*20161105*" /stext=" 03:.+((SYSTEM_STATE.+slice.+state.+changed )|(ment ac)|(system.+state.+changed )|(\[timeout)|(PRM\|1\|D)|(kpr)|(kdp)|(\|loc)|(penalty))" /e /r /s</v>
      </c>
      <c r="AG139" s="1" t="str">
        <f t="shared" ref="AG139:AG200" si="50">IFERROR(IF(VALUE(LEFT(AD139,2))&lt;=2,"EC",IF(OR(VALUE(LEFT(AD139,2))=8,VALUE(LEFT(AD139,2))=18),"NW","Other")),"Other")</f>
        <v>EC</v>
      </c>
      <c r="AH139" s="92" t="str">
        <f t="shared" si="34"/>
        <v>"%USERPROFILE%\Documents\GitHub\eaglep3\Utilities\RefineRTDCRunTimes.py" --tripid 224-04 --locoid 4008 --swversion DE.1.0.8.0 --startMP 204:232994 --initTime 2016-11-04T20:19:51 --startdatetime 2016-11-04T20:26:16 --delay 6 --endMP 204:143 --enddatetime 2016-11-04T21:03:37 --enforcementcount 0 &gt;&gt;C:\Users\stu\Documents\GitHub\eaglep3-reporting\EC\2016-11-04-refined-times.txt</v>
      </c>
      <c r="AI139" s="122" t="str">
        <f t="shared" si="35"/>
        <v>echo {"issue":{"subject":"","project_id":79,"tracker_id":40,"status_id":1,"priority_id":2,"assigned_to_id":23,"start_date":"2016-11-04","description":"","custom_fields":[{"id":1,"name":"Subdivision","value":"EC"},{"id":4,"name":"Milepost","value":"0.0143"},{"id":17,"name":"Train ID","value":"224-04"},{"id":16,"name":"Locomotive ID","value":"4008"},{"id":130,"name":"Impact","value":""},{"id":150,"name":"Time of Event (Mountain Time)","value":"21:03:37"},{"id":151,"name":"Denver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601</v>
      </c>
      <c r="B140" s="7">
        <v>4029</v>
      </c>
      <c r="C140" s="22" t="s">
        <v>239</v>
      </c>
      <c r="D140" s="22" t="s">
        <v>208</v>
      </c>
      <c r="E140" s="13">
        <v>42678.832650462966</v>
      </c>
      <c r="F140" s="13">
        <v>42678.833738425928</v>
      </c>
      <c r="G140" s="7">
        <v>1</v>
      </c>
      <c r="H140" s="22" t="s">
        <v>252</v>
      </c>
      <c r="I140" s="13">
        <v>42678.858472222222</v>
      </c>
      <c r="J140" s="7">
        <v>0</v>
      </c>
      <c r="K140" s="112" t="str">
        <f t="shared" si="36"/>
        <v>4029/4030</v>
      </c>
      <c r="L140" s="22" t="str">
        <f>VLOOKUP(A140,'Trips&amp;Operators'!$C$1:$E$10000,3,FALSE)</f>
        <v>CHANDLER</v>
      </c>
      <c r="M140" s="6">
        <f t="shared" si="37"/>
        <v>2.4733796293730848E-2</v>
      </c>
      <c r="N140" s="7">
        <f t="shared" si="38"/>
        <v>35.61666666297242</v>
      </c>
      <c r="O140" s="7"/>
      <c r="P140" s="7"/>
      <c r="Q140" s="23"/>
      <c r="R140" s="23"/>
      <c r="S140" s="35">
        <f t="shared" si="39"/>
        <v>1</v>
      </c>
      <c r="T140" s="50" t="str">
        <f t="shared" si="40"/>
        <v>NorthBound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18:59:01-0600',mode:absolute,to:'2016-11-04 21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0" s="52" t="str">
        <f t="shared" si="42"/>
        <v>N</v>
      </c>
      <c r="X140" s="177">
        <f t="shared" si="43"/>
        <v>1</v>
      </c>
      <c r="Y140" s="67">
        <f t="shared" si="44"/>
        <v>4.5499999999999999E-2</v>
      </c>
      <c r="Z140" s="67">
        <f t="shared" si="45"/>
        <v>23.328900000000001</v>
      </c>
      <c r="AA140" s="67">
        <f t="shared" si="46"/>
        <v>23.2834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47"/>
        <v>0225-04</v>
      </c>
      <c r="AE140" s="91" t="str">
        <f t="shared" si="48"/>
        <v>aws s3 cp s3://rtdc.mdm.uploadarchive.raw/RTDC4029/ "%USERPROFILE%\AppData\Local\Temp\OnboardLogs"\RTDC4029\2016-11-04 --exclude "*" --recursive --include "*20161104*" &amp; "%USERPROFILE%\Documents\GitHub\mrs-test-scripts\Headless Mode &amp; Sideloading\WalkAndUnGZ.bat" "%USERPROFILE%\AppData\Local\Temp\OnboardLogs"\RTDC4029\2016-11-04 &amp; aws s3 cp s3://rtdc.mdm.uploadarchive.raw/RTDC4029/ "%USERPROFILE%\AppData\Local\Temp\OnboardLogs"\RTDC4029\2016-11-05 --exclude "*" --recursive --include "*20161105*" &amp; "%USERPROFILE%\Documents\GitHub\mrs-test-scripts\Headless Mode &amp; Sideloading\WalkAndUnGZ.bat" "%USERPROFILE%\AppData\Local\Temp\OnboardLogs"\RTDC4029\2016-11-05</v>
      </c>
      <c r="AF140" s="88" t="str">
        <f t="shared" si="49"/>
        <v>"C:\Program Files (x86)\AstroGrep\AstroGrep.exe" /spath="%USERPROFILE%\AppData\Local\Temp\OnboardLogs" /stypes="app*4029*20161105*" /stext=" 02:.+((SYSTEM_STATE.+slice.+state.+changed )|(ment ac)|(system.+state.+changed )|(\[timeout)|(PRM\|1\|D)|(kpr)|(kdp)|(\|loc)|(penalty))" /e /r /s</v>
      </c>
      <c r="AG140" s="1" t="str">
        <f t="shared" si="50"/>
        <v>EC</v>
      </c>
      <c r="AH140" s="92" t="str">
        <f t="shared" ref="AH140:AH201" si="51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225-04 --locoid 4029 --swversion DE.1.0.8.0 --startMP 204:455 --initTime 2016-11-04T19:59:01 --startdatetime 2016-11-04T20:00:35 --delay 1 --endMP 204:233289 --enddatetime 2016-11-04T20:36:12 --enforcementcount 0 &gt;&gt;C:\Users\stu\Documents\GitHub\eaglep3-reporting\EC\2016-11-04-refined-times.txt</v>
      </c>
      <c r="AI140" s="122" t="str">
        <f t="shared" ref="AI140:AI201" si="52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{"issue":{"subject":"","project_id":79,"tracker_id":40,"status_id":1,"priority_id":2,"assigned_to_id":23,"start_date":"2016-11-04","description":"","custom_fields":[{"id":1,"name":"Subdivision","value":"EC"},{"id":4,"name":"Milepost","value":"23.3289"},{"id":17,"name":"Train ID","value":"225-04"},{"id":16,"name":"Locomotive ID","value":"4029"},{"id":130,"name":"Impact","value":""},{"id":150,"name":"Time of Event (Mountain Time)","value":"20:36:12"},{"id":151,"name":"Denver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605</v>
      </c>
      <c r="B141" s="7">
        <v>4030</v>
      </c>
      <c r="C141" s="22" t="s">
        <v>239</v>
      </c>
      <c r="D141" s="22" t="s">
        <v>238</v>
      </c>
      <c r="E141" s="13">
        <v>42678.870740740742</v>
      </c>
      <c r="F141" s="13">
        <v>42678.872569444444</v>
      </c>
      <c r="G141" s="7">
        <v>1</v>
      </c>
      <c r="H141" s="22" t="s">
        <v>364</v>
      </c>
      <c r="I141" s="13">
        <v>42678.901342592595</v>
      </c>
      <c r="J141" s="7">
        <v>0</v>
      </c>
      <c r="K141" s="112" t="str">
        <f t="shared" si="36"/>
        <v>4029/4030</v>
      </c>
      <c r="L141" s="22" t="str">
        <f>VLOOKUP(A141,'Trips&amp;Operators'!$C$1:$E$10000,3,FALSE)</f>
        <v>CHANDLER</v>
      </c>
      <c r="M141" s="6">
        <f t="shared" si="37"/>
        <v>2.8773148151230998E-2</v>
      </c>
      <c r="N141" s="7">
        <f t="shared" si="38"/>
        <v>41.433333337772638</v>
      </c>
      <c r="O141" s="7"/>
      <c r="P141" s="7"/>
      <c r="Q141" s="23"/>
      <c r="R141" s="23"/>
      <c r="S141" s="35">
        <f t="shared" si="39"/>
        <v>1</v>
      </c>
      <c r="T141" s="50" t="str">
        <f t="shared" si="40"/>
        <v>Southbound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19:53:52-0600',mode:absolute,to:'2016-11-04 22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1" s="52" t="str">
        <f t="shared" si="42"/>
        <v>N</v>
      </c>
      <c r="X141" s="177">
        <f t="shared" si="43"/>
        <v>1</v>
      </c>
      <c r="Y141" s="67">
        <f t="shared" si="44"/>
        <v>23.297799999999999</v>
      </c>
      <c r="Z141" s="67">
        <f t="shared" si="45"/>
        <v>1.4999999999999999E-2</v>
      </c>
      <c r="AA141" s="67">
        <f t="shared" si="46"/>
        <v>23.282799999999998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si="47"/>
        <v>0226-04</v>
      </c>
      <c r="AE141" s="91" t="str">
        <f t="shared" si="48"/>
        <v>aws s3 cp s3://rtdc.mdm.uploadarchive.raw/RTDC4030/ "%USERPROFILE%\AppData\Local\Temp\OnboardLogs"\RTDC4030\2016-11-04 --exclude "*" --recursive --include "*20161104*" &amp; "%USERPROFILE%\Documents\GitHub\mrs-test-scripts\Headless Mode &amp; Sideloading\WalkAndUnGZ.bat" "%USERPROFILE%\AppData\Local\Temp\OnboardLogs"\RTDC4030\2016-11-04 &amp; aws s3 cp s3://rtdc.mdm.uploadarchive.raw/RTDC4030/ "%USERPROFILE%\AppData\Local\Temp\OnboardLogs"\RTDC4030\2016-11-05 --exclude "*" --recursive --include "*20161105*" &amp; "%USERPROFILE%\Documents\GitHub\mrs-test-scripts\Headless Mode &amp; Sideloading\WalkAndUnGZ.bat" "%USERPROFILE%\AppData\Local\Temp\OnboardLogs"\RTDC4030\2016-11-05</v>
      </c>
      <c r="AF141" s="88" t="str">
        <f t="shared" si="49"/>
        <v>"C:\Program Files (x86)\AstroGrep\AstroGrep.exe" /spath="%USERPROFILE%\AppData\Local\Temp\OnboardLogs" /stypes="app*4030*20161105*" /stext=" 03:.+((SYSTEM_STATE.+slice.+state.+changed )|(ment ac)|(system.+state.+changed )|(\[timeout)|(PRM\|1\|D)|(kpr)|(kdp)|(\|loc)|(penalty))" /e /r /s</v>
      </c>
      <c r="AG141" s="1" t="str">
        <f t="shared" si="50"/>
        <v>EC</v>
      </c>
      <c r="AH141" s="92" t="str">
        <f t="shared" si="51"/>
        <v>"%USERPROFILE%\Documents\GitHub\eaglep3\Utilities\RefineRTDCRunTimes.py" --tripid 226-04 --locoid 4030 --swversion DE.1.0.8.0 --startMP 204:232978 --initTime 2016-11-04T20:53:52 --startdatetime 2016-11-04T20:56:30 --delay 1 --endMP 204:150 --enddatetime 2016-11-04T21:37:56 --enforcementcount 0 &gt;&gt;C:\Users\stu\Documents\GitHub\eaglep3-reporting\EC\2016-11-04-refined-times.txt</v>
      </c>
      <c r="AI141" s="122" t="str">
        <f t="shared" si="52"/>
        <v>echo {"issue":{"subject":"","project_id":79,"tracker_id":40,"status_id":1,"priority_id":2,"assigned_to_id":23,"start_date":"2016-11-04","description":"","custom_fields":[{"id":1,"name":"Subdivision","value":"EC"},{"id":4,"name":"Milepost","value":"0.015"},{"id":17,"name":"Train ID","value":"226-04"},{"id":16,"name":"Locomotive ID","value":"4030"},{"id":130,"name":"Impact","value":""},{"id":150,"name":"Time of Event (Mountain Time)","value":"21:37:56"},{"id":151,"name":"Denver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431</v>
      </c>
      <c r="B142" s="7">
        <v>4042</v>
      </c>
      <c r="C142" s="22" t="s">
        <v>239</v>
      </c>
      <c r="D142" s="22" t="s">
        <v>226</v>
      </c>
      <c r="E142" s="13">
        <v>42678.841249999998</v>
      </c>
      <c r="F142" s="13">
        <v>42678.854953703703</v>
      </c>
      <c r="G142" s="7">
        <v>1</v>
      </c>
      <c r="H142" s="22" t="s">
        <v>675</v>
      </c>
      <c r="I142" s="13">
        <v>42678.881203703706</v>
      </c>
      <c r="J142" s="7">
        <v>0</v>
      </c>
      <c r="K142" s="112" t="str">
        <f t="shared" si="36"/>
        <v>4041/4042</v>
      </c>
      <c r="L142" s="22" t="str">
        <f>VLOOKUP(A142,'Trips&amp;Operators'!$C$1:$E$10000,3,FALSE)</f>
        <v>STAMBAUGH</v>
      </c>
      <c r="M142" s="6">
        <f t="shared" si="37"/>
        <v>2.6250000002619345E-2</v>
      </c>
      <c r="N142" s="7">
        <f t="shared" si="38"/>
        <v>37.800000003771856</v>
      </c>
      <c r="O142" s="7"/>
      <c r="P142" s="7"/>
      <c r="Q142" s="23"/>
      <c r="R142" s="23"/>
      <c r="S142" s="35">
        <f t="shared" si="39"/>
        <v>1</v>
      </c>
      <c r="T142" s="50" t="str">
        <f t="shared" si="40"/>
        <v>NorthBound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19:11:24-0600',mode:absolute,to:'2016-11-04 22:08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2" s="52" t="str">
        <f t="shared" si="42"/>
        <v>N</v>
      </c>
      <c r="X142" s="177">
        <f t="shared" si="43"/>
        <v>1</v>
      </c>
      <c r="Y142" s="67">
        <f t="shared" si="44"/>
        <v>4.4900000000000002E-2</v>
      </c>
      <c r="Z142" s="67">
        <f t="shared" si="45"/>
        <v>23.3338</v>
      </c>
      <c r="AA142" s="67">
        <f t="shared" si="46"/>
        <v>23.288900000000002</v>
      </c>
      <c r="AB142" s="64" t="str">
        <f>VLOOKUP(A142,Enforcements!$C$7:$K$21,8,0)</f>
        <v>Bulletin (2)</v>
      </c>
      <c r="AC142" s="60" t="str">
        <f>VLOOKUP(A142,Enforcements!$C$7:$E$21,3,0)</f>
        <v>GRADE CROSSING</v>
      </c>
      <c r="AD142" s="61" t="str">
        <f t="shared" si="47"/>
        <v>0227-04</v>
      </c>
      <c r="AE142" s="91" t="str">
        <f t="shared" si="48"/>
        <v>aws s3 cp s3://rtdc.mdm.uploadarchive.raw/RTDC4042/ "%USERPROFILE%\AppData\Local\Temp\OnboardLogs"\RTDC4042\2016-11-04 --exclude "*" --recursive --include "*20161104*" &amp; "%USERPROFILE%\Documents\GitHub\mrs-test-scripts\Headless Mode &amp; Sideloading\WalkAndUnGZ.bat" "%USERPROFILE%\AppData\Local\Temp\OnboardLogs"\RTDC4042\2016-11-04 &amp; aws s3 cp s3://rtdc.mdm.uploadarchive.raw/RTDC4042/ "%USERPROFILE%\AppData\Local\Temp\OnboardLogs"\RTDC4042\2016-11-05 --exclude "*" --recursive --include "*20161105*" &amp; "%USERPROFILE%\Documents\GitHub\mrs-test-scripts\Headless Mode &amp; Sideloading\WalkAndUnGZ.bat" "%USERPROFILE%\AppData\Local\Temp\OnboardLogs"\RTDC4042\2016-11-05</v>
      </c>
      <c r="AF142" s="88" t="str">
        <f t="shared" si="49"/>
        <v>"C:\Program Files (x86)\AstroGrep\AstroGrep.exe" /spath="%USERPROFILE%\AppData\Local\Temp\OnboardLogs" /stypes="app*4042*20161105*" /stext=" 03:.+((SYSTEM_STATE.+slice.+state.+changed )|(ment ac)|(system.+state.+changed )|(\[timeout)|(PRM\|1\|D)|(kpr)|(kdp)|(\|loc)|(penalty))" /e /r /s</v>
      </c>
      <c r="AG142" s="1" t="str">
        <f t="shared" si="50"/>
        <v>EC</v>
      </c>
      <c r="AH142" s="92" t="str">
        <f t="shared" si="51"/>
        <v>"%USERPROFILE%\Documents\GitHub\eaglep3\Utilities\RefineRTDCRunTimes.py" --tripid 227-04 --locoid 4042 --swversion DE.1.0.8.0 --startMP 204:449 --initTime 2016-11-04T20:11:24 --startdatetime 2016-11-04T20:31:08 --delay 1 --endMP 204:233338 --enddatetime 2016-11-04T21:08:56 --enforcementcount 0 &gt;&gt;C:\Users\stu\Documents\GitHub\eaglep3-reporting\EC\2016-11-04-refined-times.txt</v>
      </c>
      <c r="AI142" s="122" t="str">
        <f t="shared" si="52"/>
        <v>echo {"issue":{"subject":"","project_id":79,"tracker_id":40,"status_id":1,"priority_id":2,"assigned_to_id":23,"start_date":"2016-11-04","description":"","custom_fields":[{"id":1,"name":"Subdivision","value":"EC"},{"id":4,"name":"Milepost","value":"23.3338"},{"id":17,"name":"Train ID","value":"227-04"},{"id":16,"name":"Locomotive ID","value":"4042"},{"id":130,"name":"Impact","value":""},{"id":150,"name":"Time of Event (Mountain Time)","value":"21:08:56"},{"id":151,"name":"Denver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609</v>
      </c>
      <c r="B143" s="7">
        <v>4041</v>
      </c>
      <c r="C143" s="22" t="s">
        <v>239</v>
      </c>
      <c r="D143" s="22" t="s">
        <v>317</v>
      </c>
      <c r="E143" s="13">
        <v>42678.884305555555</v>
      </c>
      <c r="F143" s="13">
        <v>42678.893460648149</v>
      </c>
      <c r="G143" s="7">
        <v>2</v>
      </c>
      <c r="H143" s="22" t="s">
        <v>364</v>
      </c>
      <c r="I143" s="13">
        <v>42678.920127314814</v>
      </c>
      <c r="J143" s="7">
        <v>0</v>
      </c>
      <c r="K143" s="112" t="str">
        <f t="shared" si="36"/>
        <v>4041/4042</v>
      </c>
      <c r="L143" s="22" t="str">
        <f>VLOOKUP(A143,'Trips&amp;Operators'!$C$1:$E$10000,3,FALSE)</f>
        <v>STAMBAUGH</v>
      </c>
      <c r="M143" s="6">
        <f t="shared" si="37"/>
        <v>2.6666666664823424E-2</v>
      </c>
      <c r="N143" s="7">
        <f t="shared" si="38"/>
        <v>38.399999997345731</v>
      </c>
      <c r="O143" s="7"/>
      <c r="P143" s="7"/>
      <c r="Q143" s="23"/>
      <c r="R143" s="23"/>
      <c r="S143" s="35">
        <f t="shared" si="39"/>
        <v>1</v>
      </c>
      <c r="T143" s="50" t="str">
        <f t="shared" si="40"/>
        <v>Southbound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20:13:24-0600',mode:absolute,to:'2016-11-04 23:04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3" s="52" t="str">
        <f t="shared" si="42"/>
        <v>N</v>
      </c>
      <c r="X143" s="177">
        <f t="shared" si="43"/>
        <v>1</v>
      </c>
      <c r="Y143" s="67">
        <f t="shared" si="44"/>
        <v>23.3004</v>
      </c>
      <c r="Z143" s="67">
        <f t="shared" si="45"/>
        <v>1.4999999999999999E-2</v>
      </c>
      <c r="AA143" s="67">
        <f t="shared" si="46"/>
        <v>23.285399999999999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47"/>
        <v>0228-04</v>
      </c>
      <c r="AE143" s="91" t="str">
        <f t="shared" si="48"/>
        <v>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 &amp; aws s3 cp s3://rtdc.mdm.uploadarchive.raw/RTDC4041/ "%USERPROFILE%\AppData\Local\Temp\OnboardLogs"\RTDC4041\2016-11-05 --exclude "*" --recursive --include "*20161105*" &amp; "%USERPROFILE%\Documents\GitHub\mrs-test-scripts\Headless Mode &amp; Sideloading\WalkAndUnGZ.bat" "%USERPROFILE%\AppData\Local\Temp\OnboardLogs"\RTDC4041\2016-11-05</v>
      </c>
      <c r="AF143" s="88" t="str">
        <f t="shared" si="49"/>
        <v>"C:\Program Files (x86)\AstroGrep\AstroGrep.exe" /spath="%USERPROFILE%\AppData\Local\Temp\OnboardLogs" /stypes="app*4041*20161105*" /stext=" 04:.+((SYSTEM_STATE.+slice.+state.+changed )|(ment ac)|(system.+state.+changed )|(\[timeout)|(PRM\|1\|D)|(kpr)|(kdp)|(\|loc)|(penalty))" /e /r /s</v>
      </c>
      <c r="AG143" s="1" t="str">
        <f t="shared" si="50"/>
        <v>EC</v>
      </c>
      <c r="AH143" s="92" t="str">
        <f t="shared" si="51"/>
        <v>"%USERPROFILE%\Documents\GitHub\eaglep3\Utilities\RefineRTDCRunTimes.py" --tripid 228-04 --locoid 4041 --swversion DE.1.0.8.0 --startMP 204:233004 --initTime 2016-11-04T21:13:24 --startdatetime 2016-11-04T21:26:35 --delay 2 --endMP 204:150 --enddatetime 2016-11-04T22:04:59 --enforcementcount 0 &gt;&gt;C:\Users\stu\Documents\GitHub\eaglep3-reporting\EC\2016-11-04-refined-times.txt</v>
      </c>
      <c r="AI143" s="122" t="str">
        <f t="shared" si="52"/>
        <v>echo {"issue":{"subject":"","project_id":79,"tracker_id":40,"status_id":1,"priority_id":2,"assigned_to_id":23,"start_date":"2016-11-04","description":"","custom_fields":[{"id":1,"name":"Subdivision","value":"EC"},{"id":4,"name":"Milepost","value":"0.015"},{"id":17,"name":"Train ID","value":"228-04"},{"id":16,"name":"Locomotive ID","value":"4041"},{"id":130,"name":"Impact","value":""},{"id":150,"name":"Time of Event (Mountain Time)","value":"22:04:59"},{"id":151,"name":"Denver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x14ac:dyDescent="0.25">
      <c r="A144" s="37" t="s">
        <v>606</v>
      </c>
      <c r="B144" s="7">
        <v>4038</v>
      </c>
      <c r="C144" s="22" t="s">
        <v>239</v>
      </c>
      <c r="D144" s="22" t="s">
        <v>268</v>
      </c>
      <c r="E144" s="13">
        <v>42678.871053240742</v>
      </c>
      <c r="F144" s="13">
        <v>42678.875555555554</v>
      </c>
      <c r="G144" s="7">
        <v>1</v>
      </c>
      <c r="H144" s="22" t="s">
        <v>680</v>
      </c>
      <c r="I144" s="13">
        <v>42678.90079861111</v>
      </c>
      <c r="J144" s="7">
        <v>0</v>
      </c>
      <c r="K144" s="112" t="str">
        <f t="shared" si="36"/>
        <v>4037/4038</v>
      </c>
      <c r="L144" s="22" t="str">
        <f>VLOOKUP(A144,'Trips&amp;Operators'!$C$1:$E$10000,3,FALSE)</f>
        <v>LEVIN</v>
      </c>
      <c r="M144" s="6">
        <f t="shared" si="37"/>
        <v>2.5243055555620231E-2</v>
      </c>
      <c r="N144" s="7">
        <f t="shared" si="38"/>
        <v>36.350000000093132</v>
      </c>
      <c r="O144" s="7"/>
      <c r="P144" s="7"/>
      <c r="Q144" s="23"/>
      <c r="R144" s="23"/>
      <c r="S144" s="35">
        <f t="shared" si="39"/>
        <v>1</v>
      </c>
      <c r="T144" s="50" t="str">
        <f t="shared" si="40"/>
        <v>NorthBound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19:54:19-0600',mode:absolute,to:'2016-11-04 22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4" s="52" t="str">
        <f t="shared" si="42"/>
        <v>N</v>
      </c>
      <c r="X144" s="177">
        <f t="shared" si="43"/>
        <v>1</v>
      </c>
      <c r="Y144" s="67">
        <f t="shared" si="44"/>
        <v>4.4200000000000003E-2</v>
      </c>
      <c r="Z144" s="67">
        <f t="shared" si="45"/>
        <v>23.327999999999999</v>
      </c>
      <c r="AA144" s="67">
        <f t="shared" si="46"/>
        <v>23.283799999999999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47"/>
        <v>0229-04</v>
      </c>
      <c r="AE144" s="91" t="str">
        <f t="shared" si="48"/>
        <v>aws s3 cp s3://rtdc.mdm.uploadarchive.raw/RTDC4038/ "%USERPROFILE%\AppData\Local\Temp\OnboardLogs"\RTDC4038\2016-11-04 --exclude "*" --recursive --include "*20161104*" &amp; "%USERPROFILE%\Documents\GitHub\mrs-test-scripts\Headless Mode &amp; Sideloading\WalkAndUnGZ.bat" "%USERPROFILE%\AppData\Local\Temp\OnboardLogs"\RTDC4038\2016-11-04 &amp; aws s3 cp s3://rtdc.mdm.uploadarchive.raw/RTDC4038/ "%USERPROFILE%\AppData\Local\Temp\OnboardLogs"\RTDC4038\2016-11-05 --exclude "*" --recursive --include "*20161105*" &amp; "%USERPROFILE%\Documents\GitHub\mrs-test-scripts\Headless Mode &amp; Sideloading\WalkAndUnGZ.bat" "%USERPROFILE%\AppData\Local\Temp\OnboardLogs"\RTDC4038\2016-11-05</v>
      </c>
      <c r="AF144" s="88" t="str">
        <f t="shared" si="49"/>
        <v>"C:\Program Files (x86)\AstroGrep\AstroGrep.exe" /spath="%USERPROFILE%\AppData\Local\Temp\OnboardLogs" /stypes="app*4038*20161105*" /stext=" 03:.+((SYSTEM_STATE.+slice.+state.+changed )|(ment ac)|(system.+state.+changed )|(\[timeout)|(PRM\|1\|D)|(kpr)|(kdp)|(\|loc)|(penalty))" /e /r /s</v>
      </c>
      <c r="AG144" s="1" t="str">
        <f t="shared" si="50"/>
        <v>EC</v>
      </c>
      <c r="AH144" s="92" t="str">
        <f t="shared" si="51"/>
        <v>"%USERPROFILE%\Documents\GitHub\eaglep3\Utilities\RefineRTDCRunTimes.py" --tripid 229-04 --locoid 4038 --swversion DE.1.0.8.0 --startMP 204:442 --initTime 2016-11-04T20:54:19 --startdatetime 2016-11-04T21:00:48 --delay 1 --endMP 204:233280 --enddatetime 2016-11-04T21:37:09 --enforcementcount 0 &gt;&gt;C:\Users\stu\Documents\GitHub\eaglep3-reporting\EC\2016-11-04-refined-times.txt</v>
      </c>
      <c r="AI144" s="122" t="str">
        <f t="shared" si="52"/>
        <v>echo {"issue":{"subject":"","project_id":79,"tracker_id":40,"status_id":1,"priority_id":2,"assigned_to_id":23,"start_date":"2016-11-04","description":"","custom_fields":[{"id":1,"name":"Subdivision","value":"EC"},{"id":4,"name":"Milepost","value":"23.328"},{"id":17,"name":"Train ID","value":"229-04"},{"id":16,"name":"Locomotive ID","value":"4038"},{"id":130,"name":"Impact","value":""},{"id":150,"name":"Time of Event (Mountain Time)","value":"21:37:09"},{"id":151,"name":"Denver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</row>
    <row r="145" spans="1:91" x14ac:dyDescent="0.25">
      <c r="A145" s="37" t="s">
        <v>610</v>
      </c>
      <c r="B145" s="7">
        <v>4037</v>
      </c>
      <c r="C145" s="22" t="s">
        <v>239</v>
      </c>
      <c r="D145" s="22" t="s">
        <v>237</v>
      </c>
      <c r="E145" s="13">
        <v>42678.91170138889</v>
      </c>
      <c r="F145" s="13">
        <v>42678.9143287037</v>
      </c>
      <c r="G145" s="7">
        <v>1</v>
      </c>
      <c r="H145" s="22" t="s">
        <v>223</v>
      </c>
      <c r="I145" s="13">
        <v>42678.940659722219</v>
      </c>
      <c r="J145" s="7">
        <v>0</v>
      </c>
      <c r="K145" s="112" t="str">
        <f t="shared" si="36"/>
        <v>4037/4038</v>
      </c>
      <c r="L145" s="22" t="str">
        <f>VLOOKUP(A145,'Trips&amp;Operators'!$C$1:$E$10000,3,FALSE)</f>
        <v>LEVIN</v>
      </c>
      <c r="M145" s="6">
        <f t="shared" si="37"/>
        <v>2.6331018518249039E-2</v>
      </c>
      <c r="N145" s="7">
        <f t="shared" si="38"/>
        <v>37.916666666278616</v>
      </c>
      <c r="O145" s="7"/>
      <c r="P145" s="7"/>
      <c r="Q145" s="23"/>
      <c r="R145" s="23"/>
      <c r="S145" s="35">
        <f t="shared" si="39"/>
        <v>1</v>
      </c>
      <c r="T145" s="50" t="str">
        <f t="shared" si="40"/>
        <v>Southbound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20:52:51-0600',mode:absolute,to:'2016-11-04 23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5" s="52" t="str">
        <f t="shared" si="42"/>
        <v>N</v>
      </c>
      <c r="X145" s="177">
        <f t="shared" si="43"/>
        <v>1</v>
      </c>
      <c r="Y145" s="67">
        <f t="shared" si="44"/>
        <v>23.296900000000001</v>
      </c>
      <c r="Z145" s="67">
        <f t="shared" si="45"/>
        <v>1.5599999999999999E-2</v>
      </c>
      <c r="AA145" s="67">
        <f t="shared" si="46"/>
        <v>23.281300000000002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47"/>
        <v>0230-04</v>
      </c>
      <c r="AE145" s="91" t="str">
        <f t="shared" si="48"/>
        <v>aws s3 cp s3://rtdc.mdm.uploadarchive.raw/RTDC4037/ "%USERPROFILE%\AppData\Local\Temp\OnboardLogs"\RTDC4037\2016-11-04 --exclude "*" --recursive --include "*20161104*" &amp; "%USERPROFILE%\Documents\GitHub\mrs-test-scripts\Headless Mode &amp; Sideloading\WalkAndUnGZ.bat" "%USERPROFILE%\AppData\Local\Temp\OnboardLogs"\RTDC4037\2016-11-04 &amp; aws s3 cp s3://rtdc.mdm.uploadarchive.raw/RTDC4037/ "%USERPROFILE%\AppData\Local\Temp\OnboardLogs"\RTDC4037\2016-11-05 --exclude "*" --recursive --include "*20161105*" &amp; "%USERPROFILE%\Documents\GitHub\mrs-test-scripts\Headless Mode &amp; Sideloading\WalkAndUnGZ.bat" "%USERPROFILE%\AppData\Local\Temp\OnboardLogs"\RTDC4037\2016-11-05</v>
      </c>
      <c r="AF145" s="88" t="str">
        <f t="shared" si="49"/>
        <v>"C:\Program Files (x86)\AstroGrep\AstroGrep.exe" /spath="%USERPROFILE%\AppData\Local\Temp\OnboardLogs" /stypes="app*4037*20161105*" /stext=" 04:.+((SYSTEM_STATE.+slice.+state.+changed )|(ment ac)|(system.+state.+changed )|(\[timeout)|(PRM\|1\|D)|(kpr)|(kdp)|(\|loc)|(penalty))" /e /r /s</v>
      </c>
      <c r="AG145" s="1" t="str">
        <f t="shared" si="50"/>
        <v>EC</v>
      </c>
      <c r="AH145" s="92" t="str">
        <f t="shared" si="51"/>
        <v>"%USERPROFILE%\Documents\GitHub\eaglep3\Utilities\RefineRTDCRunTimes.py" --tripid 230-04 --locoid 4037 --swversion DE.1.0.8.0 --startMP 204:232969 --initTime 2016-11-04T21:52:51 --startdatetime 2016-11-04T21:56:38 --delay 1 --endMP 204:156 --enddatetime 2016-11-04T22:34:33 --enforcementcount 0 &gt;&gt;C:\Users\stu\Documents\GitHub\eaglep3-reporting\EC\2016-11-04-refined-times.txt</v>
      </c>
      <c r="AI145" s="122" t="str">
        <f t="shared" si="52"/>
        <v>echo {"issue":{"subject":"","project_id":79,"tracker_id":40,"status_id":1,"priority_id":2,"assigned_to_id":23,"start_date":"2016-11-04","description":"","custom_fields":[{"id":1,"name":"Subdivision","value":"EC"},{"id":4,"name":"Milepost","value":"0.0156"},{"id":17,"name":"Train ID","value":"230-04"},{"id":16,"name":"Locomotive ID","value":"4037"},{"id":130,"name":"Impact","value":""},{"id":150,"name":"Time of Event (Mountain Time)","value":"22:34:33"},{"id":151,"name":"Denver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</row>
    <row r="146" spans="1:91" x14ac:dyDescent="0.25">
      <c r="A146" s="37" t="s">
        <v>608</v>
      </c>
      <c r="B146" s="7">
        <v>4007</v>
      </c>
      <c r="C146" s="22" t="s">
        <v>239</v>
      </c>
      <c r="D146" s="22" t="s">
        <v>342</v>
      </c>
      <c r="E146" s="13">
        <v>42678.880462962959</v>
      </c>
      <c r="F146" s="13">
        <v>42678.895995370367</v>
      </c>
      <c r="G146" s="7">
        <v>1</v>
      </c>
      <c r="H146" s="22" t="s">
        <v>692</v>
      </c>
      <c r="I146" s="13">
        <v>42678.920358796298</v>
      </c>
      <c r="J146" s="7">
        <v>0</v>
      </c>
      <c r="K146" s="112" t="str">
        <f t="shared" si="36"/>
        <v>4007/4008</v>
      </c>
      <c r="L146" s="22" t="str">
        <f>VLOOKUP(A146,'Trips&amp;Operators'!$C$1:$E$10000,3,FALSE)</f>
        <v>MAGEE</v>
      </c>
      <c r="M146" s="6">
        <f t="shared" si="37"/>
        <v>2.436342593136942E-2</v>
      </c>
      <c r="N146" s="7">
        <f t="shared" si="38"/>
        <v>35.083333341171965</v>
      </c>
      <c r="O146" s="7"/>
      <c r="P146" s="7"/>
      <c r="Q146" s="23"/>
      <c r="R146" s="23"/>
      <c r="S146" s="35">
        <f t="shared" si="39"/>
        <v>1</v>
      </c>
      <c r="T146" s="50" t="str">
        <f t="shared" si="40"/>
        <v>NorthBound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20:07:52-0600',mode:absolute,to:'2016-11-04 23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6" s="52" t="str">
        <f t="shared" si="42"/>
        <v>N</v>
      </c>
      <c r="X146" s="177">
        <f t="shared" si="43"/>
        <v>1</v>
      </c>
      <c r="Y146" s="67">
        <f t="shared" si="44"/>
        <v>4.7100000000000003E-2</v>
      </c>
      <c r="Z146" s="67">
        <f t="shared" si="45"/>
        <v>23.33</v>
      </c>
      <c r="AA146" s="67">
        <f t="shared" si="46"/>
        <v>23.282899999999998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47"/>
        <v>0231-04</v>
      </c>
      <c r="AE146" s="91" t="str">
        <f t="shared" si="48"/>
        <v>aws s3 cp s3://rtdc.mdm.uploadarchive.raw/RTDC4007/ "%USERPROFILE%\AppData\Local\Temp\OnboardLogs"\RTDC4007\2016-11-04 --exclude "*" --recursive --include "*20161104*" &amp; "%USERPROFILE%\Documents\GitHub\mrs-test-scripts\Headless Mode &amp; Sideloading\WalkAndUnGZ.bat" "%USERPROFILE%\AppData\Local\Temp\OnboardLogs"\RTDC4007\2016-11-04 &amp; aws s3 cp s3://rtdc.mdm.uploadarchive.raw/RTDC4007/ "%USERPROFILE%\AppData\Local\Temp\OnboardLogs"\RTDC4007\2016-11-05 --exclude "*" --recursive --include "*20161105*" &amp; "%USERPROFILE%\Documents\GitHub\mrs-test-scripts\Headless Mode &amp; Sideloading\WalkAndUnGZ.bat" "%USERPROFILE%\AppData\Local\Temp\OnboardLogs"\RTDC4007\2016-11-05</v>
      </c>
      <c r="AF146" s="88" t="str">
        <f t="shared" si="49"/>
        <v>"C:\Program Files (x86)\AstroGrep\AstroGrep.exe" /spath="%USERPROFILE%\AppData\Local\Temp\OnboardLogs" /stypes="app*4007*20161105*" /stext=" 04:.+((SYSTEM_STATE.+slice.+state.+changed )|(ment ac)|(system.+state.+changed )|(\[timeout)|(PRM\|1\|D)|(kpr)|(kdp)|(\|loc)|(penalty))" /e /r /s</v>
      </c>
      <c r="AG146" s="1" t="str">
        <f t="shared" si="50"/>
        <v>EC</v>
      </c>
      <c r="AH146" s="92" t="str">
        <f t="shared" si="51"/>
        <v>"%USERPROFILE%\Documents\GitHub\eaglep3\Utilities\RefineRTDCRunTimes.py" --tripid 231-04 --locoid 4007 --swversion DE.1.0.8.0 --startMP 204:471 --initTime 2016-11-04T21:07:52 --startdatetime 2016-11-04T21:30:14 --delay 1 --endMP 204:233300 --enddatetime 2016-11-04T22:05:19 --enforcementcount 0 &gt;&gt;C:\Users\stu\Documents\GitHub\eaglep3-reporting\EC\2016-11-04-refined-times.txt</v>
      </c>
      <c r="AI146" s="122" t="str">
        <f t="shared" si="52"/>
        <v>echo {"issue":{"subject":"","project_id":79,"tracker_id":40,"status_id":1,"priority_id":2,"assigned_to_id":23,"start_date":"2016-11-04","description":"","custom_fields":[{"id":1,"name":"Subdivision","value":"EC"},{"id":4,"name":"Milepost","value":"23.33"},{"id":17,"name":"Train ID","value":"231-04"},{"id":16,"name":"Locomotive ID","value":"4007"},{"id":130,"name":"Impact","value":""},{"id":150,"name":"Time of Event (Mountain Time)","value":"22:05:19"},{"id":151,"name":"Denver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</row>
    <row r="147" spans="1:91" s="21" customFormat="1" x14ac:dyDescent="0.25">
      <c r="A147" s="37" t="s">
        <v>614</v>
      </c>
      <c r="B147" s="7">
        <v>4008</v>
      </c>
      <c r="C147" s="22" t="s">
        <v>239</v>
      </c>
      <c r="D147" s="22" t="s">
        <v>314</v>
      </c>
      <c r="E147" s="13">
        <v>42678.928622685184</v>
      </c>
      <c r="F147" s="13">
        <v>42678.934953703705</v>
      </c>
      <c r="G147" s="7">
        <v>1</v>
      </c>
      <c r="H147" s="22" t="s">
        <v>693</v>
      </c>
      <c r="I147" s="13">
        <v>42678.960601851853</v>
      </c>
      <c r="J147" s="7">
        <v>0</v>
      </c>
      <c r="K147" s="112" t="str">
        <f t="shared" si="36"/>
        <v>4007/4008</v>
      </c>
      <c r="L147" s="22" t="str">
        <f>VLOOKUP(A147,'Trips&amp;Operators'!$C$1:$E$10000,3,FALSE)</f>
        <v>MAGEE</v>
      </c>
      <c r="M147" s="6">
        <f t="shared" si="37"/>
        <v>2.5648148148320615E-2</v>
      </c>
      <c r="N147" s="7">
        <f t="shared" si="38"/>
        <v>36.933333333581686</v>
      </c>
      <c r="O147" s="7"/>
      <c r="P147" s="7"/>
      <c r="Q147" s="23"/>
      <c r="R147" s="23"/>
      <c r="S147" s="35">
        <f t="shared" si="39"/>
        <v>1</v>
      </c>
      <c r="T147" s="50" t="str">
        <f t="shared" si="40"/>
        <v>Southbound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21:17:13-0600',mode:absolute,to:'2016-11-05 00:03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7" s="52" t="str">
        <f t="shared" si="42"/>
        <v>N</v>
      </c>
      <c r="X147" s="177">
        <f t="shared" si="43"/>
        <v>1</v>
      </c>
      <c r="Y147" s="67">
        <f t="shared" si="44"/>
        <v>23.299299999999999</v>
      </c>
      <c r="Z147" s="67">
        <f t="shared" si="45"/>
        <v>1.14E-2</v>
      </c>
      <c r="AA147" s="67">
        <f t="shared" si="46"/>
        <v>23.2879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47"/>
        <v>0232-04</v>
      </c>
      <c r="AE147" s="91" t="str">
        <f t="shared" si="48"/>
        <v>aws s3 cp s3://rtdc.mdm.uploadarchive.raw/RTDC4008/ "%USERPROFILE%\AppData\Local\Temp\OnboardLogs"\RTDC4008\2016-11-04 --exclude "*" --recursive --include "*20161104*" &amp; "%USERPROFILE%\Documents\GitHub\mrs-test-scripts\Headless Mode &amp; Sideloading\WalkAndUnGZ.bat" "%USERPROFILE%\AppData\Local\Temp\OnboardLogs"\RTDC4008\2016-11-04 &amp; aws s3 cp s3://rtdc.mdm.uploadarchive.raw/RTDC4008/ "%USERPROFILE%\AppData\Local\Temp\OnboardLogs"\RTDC4008\2016-11-05 --exclude "*" --recursive --include "*20161105*" &amp; "%USERPROFILE%\Documents\GitHub\mrs-test-scripts\Headless Mode &amp; Sideloading\WalkAndUnGZ.bat" "%USERPROFILE%\AppData\Local\Temp\OnboardLogs"\RTDC4008\2016-11-05</v>
      </c>
      <c r="AF147" s="88" t="str">
        <f t="shared" si="49"/>
        <v>"C:\Program Files (x86)\AstroGrep\AstroGrep.exe" /spath="%USERPROFILE%\AppData\Local\Temp\OnboardLogs" /stypes="app*4008*20161105*" /stext=" 05:.+((SYSTEM_STATE.+slice.+state.+changed )|(ment ac)|(system.+state.+changed )|(\[timeout)|(PRM\|1\|D)|(kpr)|(kdp)|(\|loc)|(penalty))" /e /r /s</v>
      </c>
      <c r="AG147" s="1" t="str">
        <f t="shared" si="50"/>
        <v>EC</v>
      </c>
      <c r="AH147" s="92" t="str">
        <f t="shared" si="51"/>
        <v>"%USERPROFILE%\Documents\GitHub\eaglep3\Utilities\RefineRTDCRunTimes.py" --tripid 232-04 --locoid 4008 --swversion DE.1.0.8.0 --startMP 204:232993 --initTime 2016-11-04T22:17:13 --startdatetime 2016-11-04T22:26:20 --delay 1 --endMP 204:114 --enddatetime 2016-11-04T23:03:16 --enforcementcount 0 &gt;&gt;C:\Users\stu\Documents\GitHub\eaglep3-reporting\EC\2016-11-04-refined-times.txt</v>
      </c>
      <c r="AI147" s="122" t="str">
        <f t="shared" si="52"/>
        <v>echo {"issue":{"subject":"","project_id":79,"tracker_id":40,"status_id":1,"priority_id":2,"assigned_to_id":23,"start_date":"2016-11-04","description":"","custom_fields":[{"id":1,"name":"Subdivision","value":"EC"},{"id":4,"name":"Milepost","value":"0.0114"},{"id":17,"name":"Train ID","value":"232-04"},{"id":16,"name":"Locomotive ID","value":"4008"},{"id":130,"name":"Impact","value":""},{"id":150,"name":"Time of Event (Mountain Time)","value":"23:03:16"},{"id":151,"name":"Denver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611</v>
      </c>
      <c r="B148" s="7">
        <v>4029</v>
      </c>
      <c r="C148" s="22" t="s">
        <v>239</v>
      </c>
      <c r="D148" s="22" t="s">
        <v>244</v>
      </c>
      <c r="E148" s="13">
        <v>42678.912465277775</v>
      </c>
      <c r="F148" s="13">
        <v>42678.916898148149</v>
      </c>
      <c r="G148" s="7">
        <v>1</v>
      </c>
      <c r="H148" s="22" t="s">
        <v>204</v>
      </c>
      <c r="I148" s="13">
        <v>42678.942280092589</v>
      </c>
      <c r="J148" s="7">
        <v>0</v>
      </c>
      <c r="K148" s="112" t="str">
        <f t="shared" si="36"/>
        <v>4029/4030</v>
      </c>
      <c r="L148" s="22" t="str">
        <f>VLOOKUP(A148,'Trips&amp;Operators'!$C$1:$E$10000,3,FALSE)</f>
        <v>CHANDLER</v>
      </c>
      <c r="M148" s="6">
        <f t="shared" si="37"/>
        <v>2.5381944440596271E-2</v>
      </c>
      <c r="N148" s="7">
        <f t="shared" si="38"/>
        <v>36.549999994458631</v>
      </c>
      <c r="O148" s="7"/>
      <c r="P148" s="7"/>
      <c r="Q148" s="23"/>
      <c r="R148" s="23"/>
      <c r="S148" s="35">
        <f t="shared" si="39"/>
        <v>1</v>
      </c>
      <c r="T148" s="50" t="str">
        <f t="shared" si="40"/>
        <v>NorthBound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20:53:57-0600',mode:absolute,to:'2016-11-04 23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8" s="52" t="str">
        <f t="shared" si="42"/>
        <v>N</v>
      </c>
      <c r="X148" s="177">
        <f t="shared" si="43"/>
        <v>1</v>
      </c>
      <c r="Y148" s="67">
        <f t="shared" si="44"/>
        <v>4.58E-2</v>
      </c>
      <c r="Z148" s="67">
        <f t="shared" si="45"/>
        <v>23.3293</v>
      </c>
      <c r="AA148" s="67">
        <f t="shared" si="46"/>
        <v>23.2835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47"/>
        <v>0233-04</v>
      </c>
      <c r="AE148" s="91" t="str">
        <f t="shared" si="48"/>
        <v>aws s3 cp s3://rtdc.mdm.uploadarchive.raw/RTDC4029/ "%USERPROFILE%\AppData\Local\Temp\OnboardLogs"\RTDC4029\2016-11-04 --exclude "*" --recursive --include "*20161104*" &amp; "%USERPROFILE%\Documents\GitHub\mrs-test-scripts\Headless Mode &amp; Sideloading\WalkAndUnGZ.bat" "%USERPROFILE%\AppData\Local\Temp\OnboardLogs"\RTDC4029\2016-11-04 &amp; aws s3 cp s3://rtdc.mdm.uploadarchive.raw/RTDC4029/ "%USERPROFILE%\AppData\Local\Temp\OnboardLogs"\RTDC4029\2016-11-05 --exclude "*" --recursive --include "*20161105*" &amp; "%USERPROFILE%\Documents\GitHub\mrs-test-scripts\Headless Mode &amp; Sideloading\WalkAndUnGZ.bat" "%USERPROFILE%\AppData\Local\Temp\OnboardLogs"\RTDC4029\2016-11-05</v>
      </c>
      <c r="AF148" s="88" t="str">
        <f t="shared" si="49"/>
        <v>"C:\Program Files (x86)\AstroGrep\AstroGrep.exe" /spath="%USERPROFILE%\AppData\Local\Temp\OnboardLogs" /stypes="app*4029*20161105*" /stext=" 04:.+((SYSTEM_STATE.+slice.+state.+changed )|(ment ac)|(system.+state.+changed )|(\[timeout)|(PRM\|1\|D)|(kpr)|(kdp)|(\|loc)|(penalty))" /e /r /s</v>
      </c>
      <c r="AG148" s="1" t="str">
        <f t="shared" si="50"/>
        <v>EC</v>
      </c>
      <c r="AH148" s="92" t="str">
        <f t="shared" si="51"/>
        <v>"%USERPROFILE%\Documents\GitHub\eaglep3\Utilities\RefineRTDCRunTimes.py" --tripid 233-04 --locoid 4029 --swversion DE.1.0.8.0 --startMP 204:458 --initTime 2016-11-04T21:53:57 --startdatetime 2016-11-04T22:00:20 --delay 1 --endMP 204:233293 --enddatetime 2016-11-04T22:36:53 --enforcementcount 0 &gt;&gt;C:\Users\stu\Documents\GitHub\eaglep3-reporting\EC\2016-11-04-refined-times.txt</v>
      </c>
      <c r="AI148" s="122" t="str">
        <f t="shared" si="52"/>
        <v>echo {"issue":{"subject":"","project_id":79,"tracker_id":40,"status_id":1,"priority_id":2,"assigned_to_id":23,"start_date":"2016-11-04","description":"","custom_fields":[{"id":1,"name":"Subdivision","value":"EC"},{"id":4,"name":"Milepost","value":"23.3293"},{"id":17,"name":"Train ID","value":"233-04"},{"id":16,"name":"Locomotive ID","value":"4029"},{"id":130,"name":"Impact","value":""},{"id":150,"name":"Time of Event (Mountain Time)","value":"22:36:53"},{"id":151,"name":"Denver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616</v>
      </c>
      <c r="B149" s="7">
        <v>4030</v>
      </c>
      <c r="C149" s="22" t="s">
        <v>239</v>
      </c>
      <c r="D149" s="22" t="s">
        <v>384</v>
      </c>
      <c r="E149" s="13">
        <v>42678.952453703707</v>
      </c>
      <c r="F149" s="13">
        <v>42678.956041666665</v>
      </c>
      <c r="G149" s="7">
        <v>1</v>
      </c>
      <c r="H149" s="22" t="s">
        <v>227</v>
      </c>
      <c r="I149" s="13">
        <v>42678.983900462961</v>
      </c>
      <c r="J149" s="7">
        <v>0</v>
      </c>
      <c r="K149" s="112" t="str">
        <f t="shared" si="36"/>
        <v>4029/4030</v>
      </c>
      <c r="L149" s="22" t="str">
        <f>VLOOKUP(A149,'Trips&amp;Operators'!$C$1:$E$10000,3,FALSE)</f>
        <v>CHANDLER</v>
      </c>
      <c r="M149" s="6">
        <f t="shared" si="37"/>
        <v>2.7858796296641231E-2</v>
      </c>
      <c r="N149" s="7">
        <f t="shared" si="38"/>
        <v>40.116666667163372</v>
      </c>
      <c r="O149" s="7"/>
      <c r="P149" s="7"/>
      <c r="Q149" s="23"/>
      <c r="R149" s="23"/>
      <c r="S149" s="35">
        <f t="shared" si="39"/>
        <v>1</v>
      </c>
      <c r="T149" s="50" t="str">
        <f t="shared" si="40"/>
        <v>Southbound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21:51:32-0600',mode:absolute,to:'2016-11-05 00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9" s="52" t="str">
        <f t="shared" si="42"/>
        <v>N</v>
      </c>
      <c r="X149" s="177">
        <f t="shared" si="43"/>
        <v>1</v>
      </c>
      <c r="Y149" s="67">
        <f t="shared" si="44"/>
        <v>23.295999999999999</v>
      </c>
      <c r="Z149" s="67">
        <f t="shared" si="45"/>
        <v>1.38E-2</v>
      </c>
      <c r="AA149" s="67">
        <f t="shared" si="46"/>
        <v>23.2822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47"/>
        <v>0234-04</v>
      </c>
      <c r="AE149" s="91" t="str">
        <f t="shared" si="48"/>
        <v>aws s3 cp s3://rtdc.mdm.uploadarchive.raw/RTDC4030/ "%USERPROFILE%\AppData\Local\Temp\OnboardLogs"\RTDC4030\2016-11-04 --exclude "*" --recursive --include "*20161104*" &amp; "%USERPROFILE%\Documents\GitHub\mrs-test-scripts\Headless Mode &amp; Sideloading\WalkAndUnGZ.bat" "%USERPROFILE%\AppData\Local\Temp\OnboardLogs"\RTDC4030\2016-11-04 &amp; aws s3 cp s3://rtdc.mdm.uploadarchive.raw/RTDC4030/ "%USERPROFILE%\AppData\Local\Temp\OnboardLogs"\RTDC4030\2016-11-05 --exclude "*" --recursive --include "*20161105*" &amp; "%USERPROFILE%\Documents\GitHub\mrs-test-scripts\Headless Mode &amp; Sideloading\WalkAndUnGZ.bat" "%USERPROFILE%\AppData\Local\Temp\OnboardLogs"\RTDC4030\2016-11-05</v>
      </c>
      <c r="AF149" s="88" t="str">
        <f t="shared" si="49"/>
        <v>"C:\Program Files (x86)\AstroGrep\AstroGrep.exe" /spath="%USERPROFILE%\AppData\Local\Temp\OnboardLogs" /stypes="app*4030*20161105*" /stext=" 05:.+((SYSTEM_STATE.+slice.+state.+changed )|(ment ac)|(system.+state.+changed )|(\[timeout)|(PRM\|1\|D)|(kpr)|(kdp)|(\|loc)|(penalty))" /e /r /s</v>
      </c>
      <c r="AG149" s="1" t="str">
        <f t="shared" si="50"/>
        <v>EC</v>
      </c>
      <c r="AH149" s="92" t="str">
        <f t="shared" si="51"/>
        <v>"%USERPROFILE%\Documents\GitHub\eaglep3\Utilities\RefineRTDCRunTimes.py" --tripid 234-04 --locoid 4030 --swversion DE.1.0.8.0 --startMP 204:232960 --initTime 2016-11-04T22:51:32 --startdatetime 2016-11-04T22:56:42 --delay 1 --endMP 204:138 --enddatetime 2016-11-04T23:36:49 --enforcementcount 0 &gt;&gt;C:\Users\stu\Documents\GitHub\eaglep3-reporting\EC\2016-11-04-refined-times.txt</v>
      </c>
      <c r="AI149" s="122" t="str">
        <f t="shared" si="52"/>
        <v>echo {"issue":{"subject":"","project_id":79,"tracker_id":40,"status_id":1,"priority_id":2,"assigned_to_id":23,"start_date":"2016-11-04","description":"","custom_fields":[{"id":1,"name":"Subdivision","value":"EC"},{"id":4,"name":"Milepost","value":"0.0138"},{"id":17,"name":"Train ID","value":"234-04"},{"id":16,"name":"Locomotive ID","value":"4030"},{"id":130,"name":"Impact","value":""},{"id":150,"name":"Time of Event (Mountain Time)","value":"23:36:49"},{"id":151,"name":"Denver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613</v>
      </c>
      <c r="B150" s="7">
        <v>4042</v>
      </c>
      <c r="C150" s="22" t="s">
        <v>239</v>
      </c>
      <c r="D150" s="22" t="s">
        <v>235</v>
      </c>
      <c r="E150" s="13">
        <v>42678.922743055555</v>
      </c>
      <c r="F150" s="13">
        <v>42678.938159722224</v>
      </c>
      <c r="G150" s="7">
        <v>2</v>
      </c>
      <c r="H150" s="22" t="s">
        <v>312</v>
      </c>
      <c r="I150" s="13">
        <v>42678.962002314816</v>
      </c>
      <c r="J150" s="7">
        <v>0</v>
      </c>
      <c r="K150" s="112" t="str">
        <f t="shared" si="36"/>
        <v>4041/4042</v>
      </c>
      <c r="L150" s="22" t="str">
        <f>VLOOKUP(A150,'Trips&amp;Operators'!$C$1:$E$10000,3,FALSE)</f>
        <v>STAMBAUGH</v>
      </c>
      <c r="M150" s="6">
        <f t="shared" si="37"/>
        <v>2.3842592592700385E-2</v>
      </c>
      <c r="N150" s="7">
        <f t="shared" si="38"/>
        <v>34.333333333488554</v>
      </c>
      <c r="O150" s="7"/>
      <c r="P150" s="7"/>
      <c r="Q150" s="23"/>
      <c r="R150" s="23"/>
      <c r="S150" s="35">
        <f t="shared" si="39"/>
        <v>1</v>
      </c>
      <c r="T150" s="50" t="str">
        <f t="shared" si="40"/>
        <v>NorthBound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21:08:45-0600',mode:absolute,to:'2016-11-05 00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0" s="52" t="str">
        <f t="shared" si="42"/>
        <v>N</v>
      </c>
      <c r="X150" s="177">
        <f t="shared" si="43"/>
        <v>1</v>
      </c>
      <c r="Y150" s="67">
        <f t="shared" si="44"/>
        <v>4.6399999999999997E-2</v>
      </c>
      <c r="Z150" s="67">
        <f t="shared" si="45"/>
        <v>23.3308</v>
      </c>
      <c r="AA150" s="67">
        <f t="shared" si="46"/>
        <v>23.284400000000002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47"/>
        <v>0235-04</v>
      </c>
      <c r="AE150" s="91" t="str">
        <f t="shared" si="48"/>
        <v>aws s3 cp s3://rtdc.mdm.uploadarchive.raw/RTDC4042/ "%USERPROFILE%\AppData\Local\Temp\OnboardLogs"\RTDC4042\2016-11-04 --exclude "*" --recursive --include "*20161104*" &amp; "%USERPROFILE%\Documents\GitHub\mrs-test-scripts\Headless Mode &amp; Sideloading\WalkAndUnGZ.bat" "%USERPROFILE%\AppData\Local\Temp\OnboardLogs"\RTDC4042\2016-11-04 &amp; aws s3 cp s3://rtdc.mdm.uploadarchive.raw/RTDC4042/ "%USERPROFILE%\AppData\Local\Temp\OnboardLogs"\RTDC4042\2016-11-05 --exclude "*" --recursive --include "*20161105*" &amp; "%USERPROFILE%\Documents\GitHub\mrs-test-scripts\Headless Mode &amp; Sideloading\WalkAndUnGZ.bat" "%USERPROFILE%\AppData\Local\Temp\OnboardLogs"\RTDC4042\2016-11-05</v>
      </c>
      <c r="AF150" s="88" t="str">
        <f t="shared" si="49"/>
        <v>"C:\Program Files (x86)\AstroGrep\AstroGrep.exe" /spath="%USERPROFILE%\AppData\Local\Temp\OnboardLogs" /stypes="app*4042*20161105*" /stext=" 05:.+((SYSTEM_STATE.+slice.+state.+changed )|(ment ac)|(system.+state.+changed )|(\[timeout)|(PRM\|1\|D)|(kpr)|(kdp)|(\|loc)|(penalty))" /e /r /s</v>
      </c>
      <c r="AG150" s="1" t="str">
        <f t="shared" si="50"/>
        <v>EC</v>
      </c>
      <c r="AH150" s="92" t="str">
        <f t="shared" si="51"/>
        <v>"%USERPROFILE%\Documents\GitHub\eaglep3\Utilities\RefineRTDCRunTimes.py" --tripid 235-04 --locoid 4042 --swversion DE.1.0.8.0 --startMP 204:464 --initTime 2016-11-04T22:08:45 --startdatetime 2016-11-04T22:30:57 --delay 2 --endMP 204:233308 --enddatetime 2016-11-04T23:05:17 --enforcementcount 0 &gt;&gt;C:\Users\stu\Documents\GitHub\eaglep3-reporting\EC\2016-11-04-refined-times.txt</v>
      </c>
      <c r="AI150" s="122" t="str">
        <f t="shared" si="52"/>
        <v>echo {"issue":{"subject":"","project_id":79,"tracker_id":40,"status_id":1,"priority_id":2,"assigned_to_id":23,"start_date":"2016-11-04","description":"","custom_fields":[{"id":1,"name":"Subdivision","value":"EC"},{"id":4,"name":"Milepost","value":"23.3308"},{"id":17,"name":"Train ID","value":"235-04"},{"id":16,"name":"Locomotive ID","value":"4042"},{"id":130,"name":"Impact","value":""},{"id":150,"name":"Time of Event (Mountain Time)","value":"23:05:17"},{"id":151,"name":"Denver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7" t="s">
        <v>435</v>
      </c>
      <c r="B151" s="7">
        <v>4041</v>
      </c>
      <c r="C151" s="22" t="s">
        <v>239</v>
      </c>
      <c r="D151" s="22" t="s">
        <v>231</v>
      </c>
      <c r="E151" s="13">
        <v>42678.971192129633</v>
      </c>
      <c r="F151" s="13">
        <v>42678.977013888885</v>
      </c>
      <c r="G151" s="7">
        <v>1</v>
      </c>
      <c r="H151" s="22" t="s">
        <v>654</v>
      </c>
      <c r="I151" s="13">
        <v>42679.002152777779</v>
      </c>
      <c r="J151" s="7">
        <v>0</v>
      </c>
      <c r="K151" s="112" t="str">
        <f t="shared" si="36"/>
        <v>4041/4042</v>
      </c>
      <c r="L151" s="22" t="str">
        <f>VLOOKUP(A151,'Trips&amp;Operators'!$C$1:$E$10000,3,FALSE)</f>
        <v>STAMBAUGH</v>
      </c>
      <c r="M151" s="6">
        <f t="shared" si="37"/>
        <v>2.513888889370719E-2</v>
      </c>
      <c r="N151" s="7">
        <f t="shared" si="38"/>
        <v>36.200000006938353</v>
      </c>
      <c r="O151" s="7"/>
      <c r="P151" s="7"/>
      <c r="Q151" s="23"/>
      <c r="R151" s="23"/>
      <c r="S151" s="35">
        <f t="shared" si="39"/>
        <v>1</v>
      </c>
      <c r="T151" s="50" t="str">
        <f t="shared" si="40"/>
        <v>Southbound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22:18:31-0600',mode:absolute,to:'2016-11-05 01:03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1" s="52" t="str">
        <f t="shared" si="42"/>
        <v>N</v>
      </c>
      <c r="X151" s="177">
        <f t="shared" si="43"/>
        <v>1</v>
      </c>
      <c r="Y151" s="67">
        <f t="shared" si="44"/>
        <v>23.298500000000001</v>
      </c>
      <c r="Z151" s="67">
        <f t="shared" si="45"/>
        <v>1.72E-2</v>
      </c>
      <c r="AA151" s="67">
        <f t="shared" si="46"/>
        <v>23.281300000000002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47"/>
        <v>0236-04</v>
      </c>
      <c r="AE151" s="91" t="str">
        <f t="shared" si="48"/>
        <v>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 &amp; aws s3 cp s3://rtdc.mdm.uploadarchive.raw/RTDC4041/ "%USERPROFILE%\AppData\Local\Temp\OnboardLogs"\RTDC4041\2016-11-05 --exclude "*" --recursive --include "*20161105*" &amp; "%USERPROFILE%\Documents\GitHub\mrs-test-scripts\Headless Mode &amp; Sideloading\WalkAndUnGZ.bat" "%USERPROFILE%\AppData\Local\Temp\OnboardLogs"\RTDC4041\2016-11-05</v>
      </c>
      <c r="AF151" s="88" t="str">
        <f t="shared" si="49"/>
        <v>"C:\Program Files (x86)\AstroGrep\AstroGrep.exe" /spath="%USERPROFILE%\AppData\Local\Temp\OnboardLogs" /stypes="app*4041*20161105*" /stext=" 06:.+((SYSTEM_STATE.+slice.+state.+changed )|(ment ac)|(system.+state.+changed )|(\[timeout)|(PRM\|1\|D)|(kpr)|(kdp)|(\|loc)|(penalty))" /e /r /s</v>
      </c>
      <c r="AG151" s="1" t="str">
        <f t="shared" si="50"/>
        <v>EC</v>
      </c>
      <c r="AH151" s="92" t="str">
        <f t="shared" si="51"/>
        <v>"%USERPROFILE%\Documents\GitHub\eaglep3\Utilities\RefineRTDCRunTimes.py" --tripid 236-04 --locoid 4041 --swversion DE.1.0.8.0 --startMP 204:232985 --initTime 2016-11-04T23:18:31 --startdatetime 2016-11-04T23:26:54 --delay 1 --endMP 204:172 --enddatetime 2016-11-05T00:03:06 --enforcementcount 0 &gt;&gt;C:\Users\stu\Documents\GitHub\eaglep3-reporting\EC\2016-11-04-refined-times.txt</v>
      </c>
      <c r="AI151" s="122" t="str">
        <f t="shared" si="52"/>
        <v>echo {"issue":{"subject":"","project_id":79,"tracker_id":40,"status_id":1,"priority_id":2,"assigned_to_id":23,"start_date":"2016-11-05","description":"","custom_fields":[{"id":1,"name":"Subdivision","value":"EC"},{"id":4,"name":"Milepost","value":"0.0172"},{"id":17,"name":"Train ID","value":"236-04"},{"id":16,"name":"Locomotive ID","value":"4041"},{"id":130,"name":"Impact","value":""},{"id":150,"name":"Time of Event (Mountain Time)","value":"00:03:06"},{"id":151,"name":"Denver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91" s="21" customFormat="1" x14ac:dyDescent="0.25">
      <c r="A152" s="37" t="s">
        <v>433</v>
      </c>
      <c r="B152" s="7">
        <v>4038</v>
      </c>
      <c r="C152" s="22" t="s">
        <v>239</v>
      </c>
      <c r="D152" s="22" t="s">
        <v>694</v>
      </c>
      <c r="E152" s="13">
        <v>42678.965127314812</v>
      </c>
      <c r="F152" s="13">
        <v>42678.966006944444</v>
      </c>
      <c r="G152" s="7">
        <v>0</v>
      </c>
      <c r="H152" s="22" t="s">
        <v>279</v>
      </c>
      <c r="I152" s="13">
        <v>42678.983553240738</v>
      </c>
      <c r="J152" s="7">
        <v>0</v>
      </c>
      <c r="K152" s="112" t="str">
        <f t="shared" si="36"/>
        <v>4037/4038</v>
      </c>
      <c r="L152" s="22" t="str">
        <f>VLOOKUP(A152,'Trips&amp;Operators'!$C$1:$E$10000,3,FALSE)</f>
        <v>LEVIN</v>
      </c>
      <c r="M152" s="6">
        <f t="shared" si="37"/>
        <v>1.7546296294312924E-2</v>
      </c>
      <c r="N152" s="7"/>
      <c r="O152" s="7"/>
      <c r="P152" s="7">
        <f t="shared" si="38"/>
        <v>25.266666663810611</v>
      </c>
      <c r="Q152" s="23"/>
      <c r="R152" s="23" t="s">
        <v>793</v>
      </c>
      <c r="S152" s="35">
        <f t="shared" si="39"/>
        <v>0.75</v>
      </c>
      <c r="T152" s="50" t="str">
        <f t="shared" si="40"/>
        <v>NorthBound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9</v>
      </c>
      <c r="V15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22:09:47-0600',mode:absolute,to:'2016-11-05 00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2" s="52" t="str">
        <f t="shared" si="42"/>
        <v>Y</v>
      </c>
      <c r="X152" s="177">
        <f t="shared" si="43"/>
        <v>1</v>
      </c>
      <c r="Y152" s="67">
        <f t="shared" si="44"/>
        <v>3.7193000000000001</v>
      </c>
      <c r="Z152" s="67">
        <f t="shared" si="45"/>
        <v>23.330200000000001</v>
      </c>
      <c r="AA152" s="67">
        <f t="shared" si="46"/>
        <v>19.610900000000001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47"/>
        <v>0237-04</v>
      </c>
      <c r="AE152" s="91" t="str">
        <f t="shared" si="48"/>
        <v>aws s3 cp s3://rtdc.mdm.uploadarchive.raw/RTDC4038/ "%USERPROFILE%\AppData\Local\Temp\OnboardLogs"\RTDC4038\2016-11-04 --exclude "*" --recursive --include "*20161104*" &amp; "%USERPROFILE%\Documents\GitHub\mrs-test-scripts\Headless Mode &amp; Sideloading\WalkAndUnGZ.bat" "%USERPROFILE%\AppData\Local\Temp\OnboardLogs"\RTDC4038\2016-11-04 &amp; aws s3 cp s3://rtdc.mdm.uploadarchive.raw/RTDC4038/ "%USERPROFILE%\AppData\Local\Temp\OnboardLogs"\RTDC4038\2016-11-05 --exclude "*" --recursive --include "*20161105*" &amp; "%USERPROFILE%\Documents\GitHub\mrs-test-scripts\Headless Mode &amp; Sideloading\WalkAndUnGZ.bat" "%USERPROFILE%\AppData\Local\Temp\OnboardLogs"\RTDC4038\2016-11-05</v>
      </c>
      <c r="AF152" s="88" t="str">
        <f t="shared" si="49"/>
        <v>"C:\Program Files (x86)\AstroGrep\AstroGrep.exe" /spath="%USERPROFILE%\AppData\Local\Temp\OnboardLogs" /stypes="app*4038*20161105*" /stext=" 05:.+((SYSTEM_STATE.+slice.+state.+changed )|(ment ac)|(system.+state.+changed )|(\[timeout)|(PRM\|1\|D)|(kpr)|(kdp)|(\|loc)|(penalty))" /e /r /s</v>
      </c>
      <c r="AG152" s="1" t="str">
        <f t="shared" si="50"/>
        <v>EC</v>
      </c>
      <c r="AH152" s="92" t="str">
        <f t="shared" si="51"/>
        <v>"%USERPROFILE%\Documents\GitHub\eaglep3\Utilities\RefineRTDCRunTimes.py" --tripid 237-04 --locoid 4038 --swversion DE.1.0.8.0 --startMP 204:37193 --initTime 2016-11-04T23:09:47 --startdatetime 2016-11-04T23:11:03 --delay 0 --endMP 204:233302 --enddatetime 2016-11-04T23:36:19 --enforcementcount 0 &gt;&gt;C:\Users\stu\Documents\GitHub\eaglep3-reporting\EC\2016-11-04-refined-times.txt</v>
      </c>
      <c r="AI152" s="122" t="str">
        <f t="shared" si="52"/>
        <v>echo {"issue":{"subject":"DUS 4N STOP due to 22N STOP","project_id":79,"tracker_id":40,"status_id":1,"priority_id":2,"assigned_to_id":23,"start_date":"2016-11-04","description":"Train was stopped by a STOP aspect at DUS 4N due to the vital logic (4N must be STOP if 22N is STOP)","custom_fields":[{"id":1,"name":"Subdivision","value":"EC"},{"id":4,"name":"Milepost","value":"23.3302"},{"id":17,"name":"Train ID","value":"237-04"},{"id":16,"name":"Locomotive ID","value":"4038"},{"id":130,"name":"Impact","value":"Unexpected Cut-Out or Disengaged"},{"id":150,"name":"Time of Event (Mountain Time)","value":"23:36:19"},{"id":151,"name":"Denver Issue ID","value":""},{"id":178,"name":"Operational Impact","value":"Yes"},{"id":179,"name":"Denver Segment Assigned","value":"Human Factors"}]}} | curl -X POST -H "Content-Type: application/json" -H "X-Redmine-API-Key: d6333d4a04012a730768444271f8ca06482dae87" https://secure.xorail.net/redmine/issues.json --data @-</v>
      </c>
      <c r="AJ152" s="53" t="s">
        <v>794</v>
      </c>
      <c r="AK152" s="53" t="s">
        <v>131</v>
      </c>
      <c r="AL152" s="53" t="s">
        <v>284</v>
      </c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617</v>
      </c>
      <c r="B153" s="7">
        <v>4037</v>
      </c>
      <c r="C153" s="22" t="s">
        <v>239</v>
      </c>
      <c r="D153" s="22" t="s">
        <v>375</v>
      </c>
      <c r="E153" s="13">
        <v>42678.994085648148</v>
      </c>
      <c r="F153" s="13">
        <v>42678.997384259259</v>
      </c>
      <c r="G153" s="7">
        <v>1</v>
      </c>
      <c r="H153" s="22" t="s">
        <v>205</v>
      </c>
      <c r="I153" s="13">
        <v>42679.023344907408</v>
      </c>
      <c r="J153" s="7">
        <v>0</v>
      </c>
      <c r="K153" s="112" t="str">
        <f t="shared" si="36"/>
        <v>4037/4038</v>
      </c>
      <c r="L153" s="22" t="str">
        <f>VLOOKUP(A153,'Trips&amp;Operators'!$C$1:$E$10000,3,FALSE)</f>
        <v>LEVIN</v>
      </c>
      <c r="M153" s="6">
        <f t="shared" si="37"/>
        <v>2.5960648148611654E-2</v>
      </c>
      <c r="N153" s="7">
        <f t="shared" si="38"/>
        <v>37.383333334000781</v>
      </c>
      <c r="O153" s="7"/>
      <c r="P153" s="7"/>
      <c r="Q153" s="23"/>
      <c r="R153" s="23"/>
      <c r="S153" s="35">
        <f t="shared" si="39"/>
        <v>1</v>
      </c>
      <c r="T153" s="50" t="str">
        <f t="shared" si="40"/>
        <v>Southbound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22:51:29-0600',mode:absolute,to:'2016-11-05 01:33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3" s="52" t="str">
        <f t="shared" si="42"/>
        <v>N</v>
      </c>
      <c r="X153" s="177">
        <f t="shared" si="43"/>
        <v>1</v>
      </c>
      <c r="Y153" s="67">
        <f t="shared" si="44"/>
        <v>23.301500000000001</v>
      </c>
      <c r="Z153" s="67">
        <f t="shared" si="45"/>
        <v>1.43E-2</v>
      </c>
      <c r="AA153" s="67">
        <f t="shared" si="46"/>
        <v>23.287200000000002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47"/>
        <v>0238-04</v>
      </c>
      <c r="AE153" s="91" t="str">
        <f t="shared" si="48"/>
        <v>aws s3 cp s3://rtdc.mdm.uploadarchive.raw/RTDC4037/ "%USERPROFILE%\AppData\Local\Temp\OnboardLogs"\RTDC4037\2016-11-04 --exclude "*" --recursive --include "*20161104*" &amp; "%USERPROFILE%\Documents\GitHub\mrs-test-scripts\Headless Mode &amp; Sideloading\WalkAndUnGZ.bat" "%USERPROFILE%\AppData\Local\Temp\OnboardLogs"\RTDC4037\2016-11-04 &amp; aws s3 cp s3://rtdc.mdm.uploadarchive.raw/RTDC4037/ "%USERPROFILE%\AppData\Local\Temp\OnboardLogs"\RTDC4037\2016-11-05 --exclude "*" --recursive --include "*20161105*" &amp; "%USERPROFILE%\Documents\GitHub\mrs-test-scripts\Headless Mode &amp; Sideloading\WalkAndUnGZ.bat" "%USERPROFILE%\AppData\Local\Temp\OnboardLogs"\RTDC4037\2016-11-05</v>
      </c>
      <c r="AF153" s="88" t="str">
        <f t="shared" si="49"/>
        <v>"C:\Program Files (x86)\AstroGrep\AstroGrep.exe" /spath="%USERPROFILE%\AppData\Local\Temp\OnboardLogs" /stypes="app*4037*20161105*" /stext=" 06:.+((SYSTEM_STATE.+slice.+state.+changed )|(ment ac)|(system.+state.+changed )|(\[timeout)|(PRM\|1\|D)|(kpr)|(kdp)|(\|loc)|(penalty))" /e /r /s</v>
      </c>
      <c r="AG153" s="1" t="str">
        <f t="shared" si="50"/>
        <v>EC</v>
      </c>
      <c r="AH153" s="92" t="str">
        <f t="shared" si="51"/>
        <v>"%USERPROFILE%\Documents\GitHub\eaglep3\Utilities\RefineRTDCRunTimes.py" --tripid 238-04 --locoid 4037 --swversion DE.1.0.8.0 --startMP 204:233015 --initTime 2016-11-04T23:51:29 --startdatetime 2016-11-04T23:56:14 --delay 1 --endMP 204:143 --enddatetime 2016-11-05T00:33:37 --enforcementcount 0 &gt;&gt;C:\Users\stu\Documents\GitHub\eaglep3-reporting\EC\2016-11-04-refined-times.txt</v>
      </c>
      <c r="AI153" s="122" t="str">
        <f t="shared" si="52"/>
        <v>echo {"issue":{"subject":"","project_id":79,"tracker_id":40,"status_id":1,"priority_id":2,"assigned_to_id":23,"start_date":"2016-11-05","description":"","custom_fields":[{"id":1,"name":"Subdivision","value":"EC"},{"id":4,"name":"Milepost","value":"0.0143"},{"id":17,"name":"Train ID","value":"238-04"},{"id":16,"name":"Locomotive ID","value":"4037"},{"id":130,"name":"Impact","value":""},{"id":150,"name":"Time of Event (Mountain Time)","value":"00:33:37"},{"id":151,"name":"Denver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434</v>
      </c>
      <c r="B154" s="7">
        <v>4007</v>
      </c>
      <c r="C154" s="22" t="s">
        <v>239</v>
      </c>
      <c r="D154" s="22" t="s">
        <v>695</v>
      </c>
      <c r="E154" s="13">
        <v>42678.961516203701</v>
      </c>
      <c r="F154" s="13">
        <v>42678.979328703703</v>
      </c>
      <c r="G154" s="7">
        <v>1</v>
      </c>
      <c r="H154" s="22" t="s">
        <v>312</v>
      </c>
      <c r="I154" s="13">
        <v>42679.003668981481</v>
      </c>
      <c r="J154" s="7">
        <v>0</v>
      </c>
      <c r="K154" s="112" t="str">
        <f t="shared" si="36"/>
        <v>4007/4008</v>
      </c>
      <c r="L154" s="22" t="str">
        <f>VLOOKUP(A154,'Trips&amp;Operators'!$C$1:$E$10000,3,FALSE)</f>
        <v>MAGEE</v>
      </c>
      <c r="M154" s="6">
        <f t="shared" si="37"/>
        <v>2.4340277777810115E-2</v>
      </c>
      <c r="N154" s="7">
        <f t="shared" si="38"/>
        <v>35.050000000046566</v>
      </c>
      <c r="O154" s="7"/>
      <c r="P154" s="7"/>
      <c r="Q154" s="23"/>
      <c r="R154" s="23"/>
      <c r="S154" s="35">
        <f t="shared" si="39"/>
        <v>1</v>
      </c>
      <c r="T154" s="50" t="str">
        <f t="shared" si="40"/>
        <v>NorthBound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22:04:35-0600',mode:absolute,to:'2016-11-05 01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54" s="52" t="str">
        <f t="shared" si="42"/>
        <v>N</v>
      </c>
      <c r="X154" s="177">
        <f t="shared" si="43"/>
        <v>1</v>
      </c>
      <c r="Y154" s="67">
        <f t="shared" si="44"/>
        <v>4.1300000000000003E-2</v>
      </c>
      <c r="Z154" s="67">
        <f t="shared" si="45"/>
        <v>23.3308</v>
      </c>
      <c r="AA154" s="67">
        <f t="shared" si="46"/>
        <v>23.2895</v>
      </c>
      <c r="AB154" s="64" t="str">
        <f>VLOOKUP(A154,Enforcements!$C$7:$K$21,8,0)</f>
        <v>Bulletin (2)</v>
      </c>
      <c r="AC154" s="60" t="str">
        <f>VLOOKUP(A154,Enforcements!$C$7:$E$21,3,0)</f>
        <v>GRADE CROSSING</v>
      </c>
      <c r="AD154" s="61" t="str">
        <f t="shared" si="47"/>
        <v>0239-04</v>
      </c>
      <c r="AE154" s="91" t="str">
        <f t="shared" si="48"/>
        <v>aws s3 cp s3://rtdc.mdm.uploadarchive.raw/RTDC4007/ "%USERPROFILE%\AppData\Local\Temp\OnboardLogs"\RTDC4007\2016-11-04 --exclude "*" --recursive --include "*20161104*" &amp; "%USERPROFILE%\Documents\GitHub\mrs-test-scripts\Headless Mode &amp; Sideloading\WalkAndUnGZ.bat" "%USERPROFILE%\AppData\Local\Temp\OnboardLogs"\RTDC4007\2016-11-04 &amp; aws s3 cp s3://rtdc.mdm.uploadarchive.raw/RTDC4007/ "%USERPROFILE%\AppData\Local\Temp\OnboardLogs"\RTDC4007\2016-11-05 --exclude "*" --recursive --include "*20161105*" &amp; "%USERPROFILE%\Documents\GitHub\mrs-test-scripts\Headless Mode &amp; Sideloading\WalkAndUnGZ.bat" "%USERPROFILE%\AppData\Local\Temp\OnboardLogs"\RTDC4007\2016-11-05</v>
      </c>
      <c r="AF154" s="88" t="str">
        <f t="shared" si="49"/>
        <v>"C:\Program Files (x86)\AstroGrep\AstroGrep.exe" /spath="%USERPROFILE%\AppData\Local\Temp\OnboardLogs" /stypes="app*4007*20161105*" /stext=" 06:.+((SYSTEM_STATE.+slice.+state.+changed )|(ment ac)|(system.+state.+changed )|(\[timeout)|(PRM\|1\|D)|(kpr)|(kdp)|(\|loc)|(penalty))" /e /r /s</v>
      </c>
      <c r="AG154" s="1" t="str">
        <f t="shared" si="50"/>
        <v>EC</v>
      </c>
      <c r="AH154" s="92" t="str">
        <f t="shared" si="51"/>
        <v>"%USERPROFILE%\Documents\GitHub\eaglep3\Utilities\RefineRTDCRunTimes.py" --tripid 239-04 --locoid 4007 --swversion DE.1.0.8.0 --startMP 204:413 --initTime 2016-11-04T23:04:35 --startdatetime 2016-11-04T23:30:14 --delay 1 --endMP 204:233308 --enddatetime 2016-11-05T00:05:17 --enforcementcount 0 &gt;&gt;C:\Users\stu\Documents\GitHub\eaglep3-reporting\EC\2016-11-04-refined-times.txt</v>
      </c>
      <c r="AI154" s="122" t="str">
        <f t="shared" si="52"/>
        <v>echo {"issue":{"subject":"","project_id":79,"tracker_id":40,"status_id":1,"priority_id":2,"assigned_to_id":23,"start_date":"2016-11-05","description":"","custom_fields":[{"id":1,"name":"Subdivision","value":"EC"},{"id":4,"name":"Milepost","value":"23.3308"},{"id":17,"name":"Train ID","value":"239-04"},{"id":16,"name":"Locomotive ID","value":"4007"},{"id":130,"name":"Impact","value":""},{"id":150,"name":"Time of Event (Mountain Time)","value":"00:05:17"},{"id":151,"name":"Denver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7" t="s">
        <v>619</v>
      </c>
      <c r="B155" s="7">
        <v>4008</v>
      </c>
      <c r="C155" s="22" t="s">
        <v>239</v>
      </c>
      <c r="D155" s="22" t="s">
        <v>242</v>
      </c>
      <c r="E155" s="13">
        <v>42679.00509259259</v>
      </c>
      <c r="F155" s="13">
        <v>42679.018206018518</v>
      </c>
      <c r="G155" s="7">
        <v>1</v>
      </c>
      <c r="H155" s="22" t="s">
        <v>372</v>
      </c>
      <c r="I155" s="13">
        <v>42679.043599537035</v>
      </c>
      <c r="J155" s="7">
        <v>0</v>
      </c>
      <c r="K155" s="112" t="str">
        <f t="shared" si="36"/>
        <v>4007/4008</v>
      </c>
      <c r="L155" s="22" t="str">
        <f>VLOOKUP(A155,'Trips&amp;Operators'!$C$1:$E$10000,3,FALSE)</f>
        <v>MAGEE</v>
      </c>
      <c r="M155" s="6">
        <f t="shared" si="37"/>
        <v>2.5393518517375924E-2</v>
      </c>
      <c r="N155" s="7">
        <f t="shared" si="38"/>
        <v>36.56666666502133</v>
      </c>
      <c r="O155" s="7"/>
      <c r="P155" s="7"/>
      <c r="Q155" s="23"/>
      <c r="R155" s="23"/>
      <c r="S155" s="35">
        <f t="shared" si="39"/>
        <v>1</v>
      </c>
      <c r="T155" s="50" t="str">
        <f t="shared" si="40"/>
        <v>Southbound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23:07:20-0600',mode:absolute,to:'2016-11-05 02:02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5" s="52" t="str">
        <f t="shared" si="42"/>
        <v>N</v>
      </c>
      <c r="X155" s="177">
        <f t="shared" si="43"/>
        <v>1</v>
      </c>
      <c r="Y155" s="67">
        <f t="shared" si="44"/>
        <v>23.298300000000001</v>
      </c>
      <c r="Z155" s="67">
        <f t="shared" si="45"/>
        <v>1.9800000000000002E-2</v>
      </c>
      <c r="AA155" s="67">
        <f t="shared" si="46"/>
        <v>23.278500000000001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47"/>
        <v>0240-04</v>
      </c>
      <c r="AE155" s="91" t="str">
        <f t="shared" si="48"/>
        <v>aws s3 cp s3://rtdc.mdm.uploadarchive.raw/RTDC4008/ "%USERPROFILE%\AppData\Local\Temp\OnboardLogs"\RTDC4008\2016-11-05 --exclude "*" --recursive --include "*20161105*" &amp; "%USERPROFILE%\Documents\GitHub\mrs-test-scripts\Headless Mode &amp; Sideloading\WalkAndUnGZ.bat" "%USERPROFILE%\AppData\Local\Temp\OnboardLogs"\RTDC4008\2016-11-05 &amp; 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</v>
      </c>
      <c r="AF155" s="88" t="str">
        <f t="shared" si="49"/>
        <v>"C:\Program Files (x86)\AstroGrep\AstroGrep.exe" /spath="%USERPROFILE%\AppData\Local\Temp\OnboardLogs" /stypes="app*4008*20161105*" /stext=" 07:.+((SYSTEM_STATE.+slice.+state.+changed )|(ment ac)|(system.+state.+changed )|(\[timeout)|(PRM\|1\|D)|(kpr)|(kdp)|(\|loc)|(penalty))" /e /r /s</v>
      </c>
      <c r="AG155" s="1" t="str">
        <f t="shared" si="50"/>
        <v>EC</v>
      </c>
      <c r="AH155" s="92" t="str">
        <f t="shared" si="51"/>
        <v>"%USERPROFILE%\Documents\GitHub\eaglep3\Utilities\RefineRTDCRunTimes.py" --tripid 240-04 --locoid 4008 --swversion DE.1.0.8.0 --startMP 204:232983 --initTime 2016-11-05T00:07:20 --startdatetime 2016-11-05T00:26:13 --delay 1 --endMP 204:198 --enddatetime 2016-11-05T01:02:47 --enforcementcount 0 &gt;&gt;C:\Users\stu\Documents\GitHub\eaglep3-reporting\EC\2016-11-04-refined-times.txt</v>
      </c>
      <c r="AI155" s="122" t="str">
        <f t="shared" si="52"/>
        <v>echo {"issue":{"subject":"","project_id":79,"tracker_id":40,"status_id":1,"priority_id":2,"assigned_to_id":23,"start_date":"2016-11-05","description":"","custom_fields":[{"id":1,"name":"Subdivision","value":"EC"},{"id":4,"name":"Milepost","value":"0.0198"},{"id":17,"name":"Train ID","value":"240-04"},{"id":16,"name":"Locomotive ID","value":"4008"},{"id":130,"name":"Impact","value":""},{"id":150,"name":"Time of Event (Mountain Time)","value":"01:02:47"},{"id":151,"name":"Denver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s="21" customFormat="1" x14ac:dyDescent="0.25">
      <c r="A156" s="37" t="s">
        <v>618</v>
      </c>
      <c r="B156" s="7">
        <v>4029</v>
      </c>
      <c r="C156" s="22" t="s">
        <v>239</v>
      </c>
      <c r="D156" s="22" t="s">
        <v>206</v>
      </c>
      <c r="E156" s="13">
        <v>42678.997199074074</v>
      </c>
      <c r="F156" s="13">
        <v>42679.000231481485</v>
      </c>
      <c r="G156" s="7">
        <v>1</v>
      </c>
      <c r="H156" s="22" t="s">
        <v>368</v>
      </c>
      <c r="I156" s="13">
        <v>42679.025231481479</v>
      </c>
      <c r="J156" s="7">
        <v>0</v>
      </c>
      <c r="K156" s="112" t="str">
        <f t="shared" si="36"/>
        <v>4029/4030</v>
      </c>
      <c r="L156" s="22" t="str">
        <f>VLOOKUP(A156,'Trips&amp;Operators'!$C$1:$E$10000,3,FALSE)</f>
        <v>CHANDLER</v>
      </c>
      <c r="M156" s="6">
        <f t="shared" si="37"/>
        <v>2.4999999994179234E-2</v>
      </c>
      <c r="N156" s="7">
        <f t="shared" si="38"/>
        <v>35.999999991618097</v>
      </c>
      <c r="O156" s="7"/>
      <c r="P156" s="7"/>
      <c r="Q156" s="23"/>
      <c r="R156" s="23"/>
      <c r="S156" s="35">
        <f t="shared" si="39"/>
        <v>1</v>
      </c>
      <c r="T156" s="50" t="str">
        <f t="shared" si="40"/>
        <v>NorthBound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22:55:58-0600',mode:absolute,to:'2016-11-05 01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6" s="52" t="str">
        <f t="shared" si="42"/>
        <v>N</v>
      </c>
      <c r="X156" s="177">
        <f t="shared" si="43"/>
        <v>1</v>
      </c>
      <c r="Y156" s="67">
        <f t="shared" si="44"/>
        <v>4.4699999999999997E-2</v>
      </c>
      <c r="Z156" s="67">
        <f t="shared" si="45"/>
        <v>23.328199999999999</v>
      </c>
      <c r="AA156" s="67">
        <f t="shared" si="46"/>
        <v>23.2835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47"/>
        <v>0241-04</v>
      </c>
      <c r="AE156" s="91" t="str">
        <f t="shared" si="48"/>
        <v>aws s3 cp s3://rtdc.mdm.uploadarchive.raw/RTDC4029/ "%USERPROFILE%\AppData\Local\Temp\OnboardLogs"\RTDC4029\2016-11-05 --exclude "*" --recursive --include "*20161105*" &amp; "%USERPROFILE%\Documents\GitHub\mrs-test-scripts\Headless Mode &amp; Sideloading\WalkAndUnGZ.bat" "%USERPROFILE%\AppData\Local\Temp\OnboardLogs"\RTDC4029\2016-11-05 &amp; aws s3 cp s3://rtdc.mdm.uploadarchive.raw/RTDC4029/ "%USERPROFILE%\AppData\Local\Temp\OnboardLogs"\RTDC4029\2016-11-06 --exclude "*" --recursive --include "*20161106*" &amp; "%USERPROFILE%\Documents\GitHub\mrs-test-scripts\Headless Mode &amp; Sideloading\WalkAndUnGZ.bat" "%USERPROFILE%\AppData\Local\Temp\OnboardLogs"\RTDC4029\2016-11-06</v>
      </c>
      <c r="AF156" s="88" t="str">
        <f t="shared" si="49"/>
        <v>"C:\Program Files (x86)\AstroGrep\AstroGrep.exe" /spath="%USERPROFILE%\AppData\Local\Temp\OnboardLogs" /stypes="app*4029*20161105*" /stext=" 06:.+((SYSTEM_STATE.+slice.+state.+changed )|(ment ac)|(system.+state.+changed )|(\[timeout)|(PRM\|1\|D)|(kpr)|(kdp)|(\|loc)|(penalty))" /e /r /s</v>
      </c>
      <c r="AG156" s="1" t="str">
        <f t="shared" si="50"/>
        <v>EC</v>
      </c>
      <c r="AH156" s="92" t="str">
        <f t="shared" si="51"/>
        <v>"%USERPROFILE%\Documents\GitHub\eaglep3\Utilities\RefineRTDCRunTimes.py" --tripid 241-04 --locoid 4029 --swversion DE.1.0.8.0 --startMP 204:447 --initTime 2016-11-04T23:55:58 --startdatetime 2016-11-05T00:00:20 --delay 1 --endMP 204:233282 --enddatetime 2016-11-05T00:36:20 --enforcementcount 0 &gt;&gt;C:\Users\stu\Documents\GitHub\eaglep3-reporting\EC\2016-11-04-refined-times.txt</v>
      </c>
      <c r="AI156" s="122" t="str">
        <f t="shared" si="52"/>
        <v>echo {"issue":{"subject":"","project_id":79,"tracker_id":40,"status_id":1,"priority_id":2,"assigned_to_id":23,"start_date":"2016-11-05","description":"","custom_fields":[{"id":1,"name":"Subdivision","value":"EC"},{"id":4,"name":"Milepost","value":"23.3282"},{"id":17,"name":"Train ID","value":"241-04"},{"id":16,"name":"Locomotive ID","value":"4029"},{"id":130,"name":"Impact","value":""},{"id":150,"name":"Time of Event (Mountain Time)","value":"00:36:20"},{"id":151,"name":"Denver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7" t="s">
        <v>622</v>
      </c>
      <c r="B157" s="7">
        <v>4030</v>
      </c>
      <c r="C157" s="22" t="s">
        <v>239</v>
      </c>
      <c r="D157" s="22" t="s">
        <v>366</v>
      </c>
      <c r="E157" s="13">
        <v>42679.038136574076</v>
      </c>
      <c r="F157" s="13">
        <v>42679.039317129631</v>
      </c>
      <c r="G157" s="7">
        <v>1</v>
      </c>
      <c r="H157" s="22" t="s">
        <v>261</v>
      </c>
      <c r="I157" s="13">
        <v>42679.06621527778</v>
      </c>
      <c r="J157" s="7">
        <v>0</v>
      </c>
      <c r="K157" s="112" t="str">
        <f t="shared" si="36"/>
        <v>4029/4030</v>
      </c>
      <c r="L157" s="22" t="str">
        <f>VLOOKUP(A157,'Trips&amp;Operators'!$C$1:$E$10000,3,FALSE)</f>
        <v>CHANDLER</v>
      </c>
      <c r="M157" s="6">
        <f t="shared" si="37"/>
        <v>2.6898148149484769E-2</v>
      </c>
      <c r="N157" s="7">
        <f t="shared" si="38"/>
        <v>38.733333335258067</v>
      </c>
      <c r="O157" s="7"/>
      <c r="P157" s="7"/>
      <c r="Q157" s="23"/>
      <c r="R157" s="23"/>
      <c r="S157" s="35">
        <f t="shared" si="39"/>
        <v>1</v>
      </c>
      <c r="T157" s="50" t="str">
        <f t="shared" si="40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23:54:55-0600',mode:absolute,to:'2016-11-05 02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7" s="52" t="str">
        <f t="shared" si="42"/>
        <v>N</v>
      </c>
      <c r="X157" s="177">
        <f t="shared" si="43"/>
        <v>1</v>
      </c>
      <c r="Y157" s="67">
        <f t="shared" si="44"/>
        <v>23.296700000000001</v>
      </c>
      <c r="Z157" s="67">
        <f t="shared" si="45"/>
        <v>1.5800000000000002E-2</v>
      </c>
      <c r="AA157" s="67">
        <f t="shared" si="46"/>
        <v>23.280900000000003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47"/>
        <v>0242-04</v>
      </c>
      <c r="AE157" s="91" t="str">
        <f t="shared" si="48"/>
        <v>aws s3 cp s3://rtdc.mdm.uploadarchive.raw/RTDC4030/ "%USERPROFILE%\AppData\Local\Temp\OnboardLogs"\RTDC4030\2016-11-05 --exclude "*" --recursive --include "*20161105*" &amp; "%USERPROFILE%\Documents\GitHub\mrs-test-scripts\Headless Mode &amp; Sideloading\WalkAndUnGZ.bat" "%USERPROFILE%\AppData\Local\Temp\OnboardLogs"\RTDC4030\2016-11-05 &amp; aws s3 cp s3://rtdc.mdm.uploadarchive.raw/RTDC4030/ "%USERPROFILE%\AppData\Local\Temp\OnboardLogs"\RTDC4030\2016-11-06 --exclude "*" --recursive --include "*20161106*" &amp; "%USERPROFILE%\Documents\GitHub\mrs-test-scripts\Headless Mode &amp; Sideloading\WalkAndUnGZ.bat" "%USERPROFILE%\AppData\Local\Temp\OnboardLogs"\RTDC4030\2016-11-06</v>
      </c>
      <c r="AF157" s="88" t="str">
        <f t="shared" si="49"/>
        <v>"C:\Program Files (x86)\AstroGrep\AstroGrep.exe" /spath="%USERPROFILE%\AppData\Local\Temp\OnboardLogs" /stypes="app*4030*20161105*" /stext=" 07:.+((SYSTEM_STATE.+slice.+state.+changed )|(ment ac)|(system.+state.+changed )|(\[timeout)|(PRM\|1\|D)|(kpr)|(kdp)|(\|loc)|(penalty))" /e /r /s</v>
      </c>
      <c r="AG157" s="1" t="str">
        <f t="shared" si="50"/>
        <v>EC</v>
      </c>
      <c r="AH157" s="92" t="str">
        <f t="shared" si="51"/>
        <v>"%USERPROFILE%\Documents\GitHub\eaglep3\Utilities\RefineRTDCRunTimes.py" --tripid 242-04 --locoid 4030 --swversion DE.1.0.8.0 --startMP 204:232967 --initTime 2016-11-05T00:54:55 --startdatetime 2016-11-05T00:56:37 --delay 1 --endMP 204:158 --enddatetime 2016-11-05T01:35:21 --enforcementcount 0 &gt;&gt;C:\Users\stu\Documents\GitHub\eaglep3-reporting\EC\2016-11-04-refined-times.txt</v>
      </c>
      <c r="AI157" s="122" t="str">
        <f t="shared" si="52"/>
        <v>echo {"issue":{"subject":"","project_id":79,"tracker_id":40,"status_id":1,"priority_id":2,"assigned_to_id":23,"start_date":"2016-11-05","description":"","custom_fields":[{"id":1,"name":"Subdivision","value":"EC"},{"id":4,"name":"Milepost","value":"0.0158"},{"id":17,"name":"Train ID","value":"242-04"},{"id":16,"name":"Locomotive ID","value":"4030"},{"id":130,"name":"Impact","value":""},{"id":150,"name":"Time of Event (Mountain Time)","value":"01:35:21"},{"id":151,"name":"Denver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x14ac:dyDescent="0.25">
      <c r="A158" s="37" t="s">
        <v>620</v>
      </c>
      <c r="B158" s="7">
        <v>4042</v>
      </c>
      <c r="C158" s="22" t="s">
        <v>239</v>
      </c>
      <c r="D158" s="22" t="s">
        <v>208</v>
      </c>
      <c r="E158" s="13">
        <v>42679.005555555559</v>
      </c>
      <c r="F158" s="13">
        <v>42679.02107638889</v>
      </c>
      <c r="G158" s="7">
        <v>1</v>
      </c>
      <c r="H158" s="22" t="s">
        <v>210</v>
      </c>
      <c r="I158" s="13">
        <v>42679.053379629629</v>
      </c>
      <c r="J158" s="7">
        <v>0</v>
      </c>
      <c r="K158" s="112" t="str">
        <f t="shared" si="36"/>
        <v>4041/4042</v>
      </c>
      <c r="L158" s="22" t="str">
        <f>VLOOKUP(A158,'Trips&amp;Operators'!$C$1:$E$10000,3,FALSE)</f>
        <v>STAMBAUGH</v>
      </c>
      <c r="M158" s="6">
        <f t="shared" si="37"/>
        <v>3.2303240739565808E-2</v>
      </c>
      <c r="N158" s="7">
        <f t="shared" si="38"/>
        <v>46.516666664974764</v>
      </c>
      <c r="O158" s="7"/>
      <c r="P158" s="7"/>
      <c r="Q158" s="23"/>
      <c r="R158" s="23"/>
      <c r="S158" s="35">
        <f t="shared" si="39"/>
        <v>1</v>
      </c>
      <c r="T158" s="50" t="str">
        <f t="shared" si="40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23:08:00-0600',mode:absolute,to:'2016-11-05 02:16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8" s="52" t="str">
        <f t="shared" si="42"/>
        <v>N</v>
      </c>
      <c r="X158" s="177">
        <f t="shared" si="43"/>
        <v>1</v>
      </c>
      <c r="Y158" s="67">
        <f t="shared" si="44"/>
        <v>4.5499999999999999E-2</v>
      </c>
      <c r="Z158" s="67">
        <f t="shared" si="45"/>
        <v>23.329499999999999</v>
      </c>
      <c r="AA158" s="67">
        <f t="shared" si="46"/>
        <v>23.283999999999999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47"/>
        <v>0243-04</v>
      </c>
      <c r="AE158" s="91" t="str">
        <f t="shared" si="48"/>
        <v>aws s3 cp s3://rtdc.mdm.uploadarchive.raw/RTDC4042/ "%USERPROFILE%\AppData\Local\Temp\OnboardLogs"\RTDC4042\2016-11-05 --exclude "*" --recursive --include "*20161105*" &amp; "%USERPROFILE%\Documents\GitHub\mrs-test-scripts\Headless Mode &amp; Sideloading\WalkAndUnGZ.bat" "%USERPROFILE%\AppData\Local\Temp\OnboardLogs"\RTDC4042\2016-11-05 &amp; 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</v>
      </c>
      <c r="AF158" s="88" t="str">
        <f t="shared" si="49"/>
        <v>"C:\Program Files (x86)\AstroGrep\AstroGrep.exe" /spath="%USERPROFILE%\AppData\Local\Temp\OnboardLogs" /stypes="app*4042*20161105*" /stext=" 07:.+((SYSTEM_STATE.+slice.+state.+changed )|(ment ac)|(system.+state.+changed )|(\[timeout)|(PRM\|1\|D)|(kpr)|(kdp)|(\|loc)|(penalty))" /e /r /s</v>
      </c>
      <c r="AG158" s="1" t="str">
        <f t="shared" si="50"/>
        <v>EC</v>
      </c>
      <c r="AH158" s="92" t="str">
        <f t="shared" si="51"/>
        <v>"%USERPROFILE%\Documents\GitHub\eaglep3\Utilities\RefineRTDCRunTimes.py" --tripid 243-04 --locoid 4042 --swversion DE.1.0.8.0 --startMP 204:455 --initTime 2016-11-05T00:08:00 --startdatetime 2016-11-05T00:30:21 --delay 1 --endMP 204:233295 --enddatetime 2016-11-05T01:16:52 --enforcementcount 0 &gt;&gt;C:\Users\stu\Documents\GitHub\eaglep3-reporting\EC\2016-11-04-refined-times.txt</v>
      </c>
      <c r="AI158" s="122" t="str">
        <f t="shared" si="52"/>
        <v>echo {"issue":{"subject":"","project_id":79,"tracker_id":40,"status_id":1,"priority_id":2,"assigned_to_id":23,"start_date":"2016-11-05","description":"","custom_fields":[{"id":1,"name":"Subdivision","value":"EC"},{"id":4,"name":"Milepost","value":"23.3295"},{"id":17,"name":"Train ID","value":"243-04"},{"id":16,"name":"Locomotive ID","value":"4042"},{"id":130,"name":"Impact","value":""},{"id":150,"name":"Time of Event (Mountain Time)","value":"01:16:52"},{"id":151,"name":"Denver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</row>
    <row r="159" spans="1:91" x14ac:dyDescent="0.25">
      <c r="A159" s="37" t="s">
        <v>624</v>
      </c>
      <c r="B159" s="7">
        <v>4041</v>
      </c>
      <c r="C159" s="22" t="s">
        <v>239</v>
      </c>
      <c r="D159" s="22" t="s">
        <v>311</v>
      </c>
      <c r="E159" s="13">
        <v>42679.056157407409</v>
      </c>
      <c r="F159" s="13">
        <v>42679.059918981482</v>
      </c>
      <c r="G159" s="7">
        <v>1</v>
      </c>
      <c r="H159" s="22" t="s">
        <v>250</v>
      </c>
      <c r="I159" s="13">
        <v>42679.086851851855</v>
      </c>
      <c r="J159" s="7">
        <v>0</v>
      </c>
      <c r="K159" s="112" t="str">
        <f t="shared" si="36"/>
        <v>4041/4042</v>
      </c>
      <c r="L159" s="22" t="str">
        <f>VLOOKUP(A159,'Trips&amp;Operators'!$C$1:$E$10000,3,FALSE)</f>
        <v>STAMBAUGH</v>
      </c>
      <c r="M159" s="6">
        <f t="shared" si="37"/>
        <v>2.6932870372547768E-2</v>
      </c>
      <c r="N159" s="7">
        <f t="shared" si="38"/>
        <v>38.783333336468786</v>
      </c>
      <c r="O159" s="7"/>
      <c r="P159" s="7"/>
      <c r="Q159" s="23"/>
      <c r="R159" s="23"/>
      <c r="S159" s="35">
        <f t="shared" si="39"/>
        <v>1</v>
      </c>
      <c r="T159" s="50" t="str">
        <f t="shared" si="40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00:20:52-0600',mode:absolute,to:'2016-11-05 03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9" s="52" t="str">
        <f t="shared" si="42"/>
        <v>N</v>
      </c>
      <c r="X159" s="177">
        <f t="shared" si="43"/>
        <v>1</v>
      </c>
      <c r="Y159" s="67">
        <f t="shared" si="44"/>
        <v>23.299800000000001</v>
      </c>
      <c r="Z159" s="67">
        <f t="shared" si="45"/>
        <v>1.3599999999999999E-2</v>
      </c>
      <c r="AA159" s="67">
        <f t="shared" si="46"/>
        <v>23.286200000000001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47"/>
        <v>0244-04</v>
      </c>
      <c r="AE159" s="91" t="str">
        <f t="shared" si="48"/>
        <v>aws s3 cp s3://rtdc.mdm.uploadarchive.raw/RTDC4041/ "%USERPROFILE%\AppData\Local\Temp\OnboardLogs"\RTDC4041\2016-11-05 --exclude "*" --recursive --include "*20161105*" &amp; "%USERPROFILE%\Documents\GitHub\mrs-test-scripts\Headless Mode &amp; Sideloading\WalkAndUnGZ.bat" "%USERPROFILE%\AppData\Local\Temp\OnboardLogs"\RTDC4041\2016-11-05 &amp; 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</v>
      </c>
      <c r="AF159" s="88" t="str">
        <f t="shared" si="49"/>
        <v>"C:\Program Files (x86)\AstroGrep\AstroGrep.exe" /spath="%USERPROFILE%\AppData\Local\Temp\OnboardLogs" /stypes="app*4041*20161105*" /stext=" 08:.+((SYSTEM_STATE.+slice.+state.+changed )|(ment ac)|(system.+state.+changed )|(\[timeout)|(PRM\|1\|D)|(kpr)|(kdp)|(\|loc)|(penalty))" /e /r /s</v>
      </c>
      <c r="AG159" s="1" t="str">
        <f t="shared" si="50"/>
        <v>EC</v>
      </c>
      <c r="AH159" s="92" t="str">
        <f t="shared" si="51"/>
        <v>"%USERPROFILE%\Documents\GitHub\eaglep3\Utilities\RefineRTDCRunTimes.py" --tripid 244-04 --locoid 4041 --swversion DE.1.0.8.0 --startMP 204:232998 --initTime 2016-11-05T01:20:52 --startdatetime 2016-11-05T01:26:17 --delay 1 --endMP 204:136 --enddatetime 2016-11-05T02:05:04 --enforcementcount 0 &gt;&gt;C:\Users\stu\Documents\GitHub\eaglep3-reporting\EC\2016-11-04-refined-times.txt</v>
      </c>
      <c r="AI159" s="122" t="str">
        <f t="shared" si="52"/>
        <v>echo {"issue":{"subject":"","project_id":79,"tracker_id":40,"status_id":1,"priority_id":2,"assigned_to_id":23,"start_date":"2016-11-05","description":"","custom_fields":[{"id":1,"name":"Subdivision","value":"EC"},{"id":4,"name":"Milepost","value":"0.0136"},{"id":17,"name":"Train ID","value":"244-04"},{"id":16,"name":"Locomotive ID","value":"4041"},{"id":130,"name":"Impact","value":""},{"id":150,"name":"Time of Event (Mountain Time)","value":"02:05:04"},{"id":151,"name":"Denver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x14ac:dyDescent="0.25">
      <c r="A160" s="37" t="s">
        <v>621</v>
      </c>
      <c r="B160" s="7">
        <v>4038</v>
      </c>
      <c r="C160" s="22" t="s">
        <v>239</v>
      </c>
      <c r="D160" s="22" t="s">
        <v>691</v>
      </c>
      <c r="E160" s="13">
        <v>42679.035787037035</v>
      </c>
      <c r="F160" s="13">
        <v>42679.041909722226</v>
      </c>
      <c r="G160" s="7">
        <v>1</v>
      </c>
      <c r="H160" s="22" t="s">
        <v>343</v>
      </c>
      <c r="I160" s="13">
        <v>42679.073553240742</v>
      </c>
      <c r="J160" s="7">
        <v>0</v>
      </c>
      <c r="K160" s="112" t="str">
        <f t="shared" si="36"/>
        <v>4037/4038</v>
      </c>
      <c r="L160" s="22" t="str">
        <f>VLOOKUP(A160,'Trips&amp;Operators'!$C$1:$E$10000,3,FALSE)</f>
        <v>LEVIN</v>
      </c>
      <c r="M160" s="6">
        <f t="shared" si="37"/>
        <v>3.1643518515920732E-2</v>
      </c>
      <c r="N160" s="7">
        <f t="shared" si="38"/>
        <v>45.566666662925854</v>
      </c>
      <c r="O160" s="7"/>
      <c r="P160" s="7"/>
      <c r="Q160" s="23"/>
      <c r="R160" s="23"/>
      <c r="S160" s="35">
        <f t="shared" si="39"/>
        <v>1</v>
      </c>
      <c r="T160" s="50" t="str">
        <f t="shared" si="40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23:51:32-0600',mode:absolute,to:'2016-11-05 02:45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60" s="52" t="str">
        <f t="shared" si="42"/>
        <v>N</v>
      </c>
      <c r="X160" s="177">
        <f t="shared" si="43"/>
        <v>1</v>
      </c>
      <c r="Y160" s="67">
        <f t="shared" si="44"/>
        <v>4.6699999999999998E-2</v>
      </c>
      <c r="Z160" s="67">
        <f t="shared" si="45"/>
        <v>23.330500000000001</v>
      </c>
      <c r="AA160" s="67">
        <f t="shared" si="46"/>
        <v>23.283799999999999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47"/>
        <v>0245-04</v>
      </c>
      <c r="AE160" s="91" t="str">
        <f t="shared" si="48"/>
        <v>aws s3 cp s3://rtdc.mdm.uploadarchive.raw/RTDC4038/ "%USERPROFILE%\AppData\Local\Temp\OnboardLogs"\RTDC4038\2016-11-05 --exclude "*" --recursive --include "*20161105*" &amp; "%USERPROFILE%\Documents\GitHub\mrs-test-scripts\Headless Mode &amp; Sideloading\WalkAndUnGZ.bat" "%USERPROFILE%\AppData\Local\Temp\OnboardLogs"\RTDC4038\2016-11-05 &amp; aws s3 cp s3://rtdc.mdm.uploadarchive.raw/RTDC4038/ "%USERPROFILE%\AppData\Local\Temp\OnboardLogs"\RTDC4038\2016-11-06 --exclude "*" --recursive --include "*20161106*" &amp; "%USERPROFILE%\Documents\GitHub\mrs-test-scripts\Headless Mode &amp; Sideloading\WalkAndUnGZ.bat" "%USERPROFILE%\AppData\Local\Temp\OnboardLogs"\RTDC4038\2016-11-06</v>
      </c>
      <c r="AF160" s="88" t="str">
        <f t="shared" si="49"/>
        <v>"C:\Program Files (x86)\AstroGrep\AstroGrep.exe" /spath="%USERPROFILE%\AppData\Local\Temp\OnboardLogs" /stypes="app*4038*20161105*" /stext=" 07:.+((SYSTEM_STATE.+slice.+state.+changed )|(ment ac)|(system.+state.+changed )|(\[timeout)|(PRM\|1\|D)|(kpr)|(kdp)|(\|loc)|(penalty))" /e /r /s</v>
      </c>
      <c r="AG160" s="1" t="str">
        <f t="shared" si="50"/>
        <v>EC</v>
      </c>
      <c r="AH160" s="92" t="str">
        <f t="shared" si="51"/>
        <v>"%USERPROFILE%\Documents\GitHub\eaglep3\Utilities\RefineRTDCRunTimes.py" --tripid 245-04 --locoid 4038 --swversion DE.1.0.8.0 --startMP 204:467 --initTime 2016-11-05T00:51:32 --startdatetime 2016-11-05T01:00:21 --delay 1 --endMP 204:233305 --enddatetime 2016-11-05T01:45:55 --enforcementcount 0 &gt;&gt;C:\Users\stu\Documents\GitHub\eaglep3-reporting\EC\2016-11-04-refined-times.txt</v>
      </c>
      <c r="AI160" s="122" t="str">
        <f t="shared" si="52"/>
        <v>echo {"issue":{"subject":"","project_id":79,"tracker_id":40,"status_id":1,"priority_id":2,"assigned_to_id":23,"start_date":"2016-11-05","description":"","custom_fields":[{"id":1,"name":"Subdivision","value":"EC"},{"id":4,"name":"Milepost","value":"23.3305"},{"id":17,"name":"Train ID","value":"245-04"},{"id":16,"name":"Locomotive ID","value":"4038"},{"id":130,"name":"Impact","value":""},{"id":150,"name":"Time of Event (Mountain Time)","value":"01:45:55"},{"id":151,"name":"Denver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s="21" customFormat="1" x14ac:dyDescent="0.25">
      <c r="A161" s="37" t="s">
        <v>626</v>
      </c>
      <c r="B161" s="7">
        <v>4037</v>
      </c>
      <c r="C161" s="22" t="s">
        <v>239</v>
      </c>
      <c r="D161" s="22" t="s">
        <v>254</v>
      </c>
      <c r="E161" s="13">
        <v>42679.077731481484</v>
      </c>
      <c r="F161" s="13">
        <v>42679.080821759257</v>
      </c>
      <c r="G161" s="7">
        <v>1</v>
      </c>
      <c r="H161" s="22" t="s">
        <v>362</v>
      </c>
      <c r="I161" s="13">
        <v>42679.106874999998</v>
      </c>
      <c r="J161" s="7">
        <v>0</v>
      </c>
      <c r="K161" s="112" t="str">
        <f t="shared" si="36"/>
        <v>4037/4038</v>
      </c>
      <c r="L161" s="22" t="str">
        <f>VLOOKUP(A161,'Trips&amp;Operators'!$C$1:$E$10000,3,FALSE)</f>
        <v>LEVIN</v>
      </c>
      <c r="M161" s="6">
        <f t="shared" si="37"/>
        <v>2.6053240741021E-2</v>
      </c>
      <c r="N161" s="7">
        <f t="shared" si="38"/>
        <v>37.51666666707024</v>
      </c>
      <c r="O161" s="7"/>
      <c r="P161" s="7"/>
      <c r="Q161" s="23"/>
      <c r="R161" s="23"/>
      <c r="S161" s="35">
        <f t="shared" si="39"/>
        <v>1</v>
      </c>
      <c r="T161" s="50" t="str">
        <f t="shared" si="40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00:51:56-0600',mode:absolute,to:'2016-11-05 03:33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61" s="52" t="str">
        <f t="shared" si="42"/>
        <v>N</v>
      </c>
      <c r="X161" s="177">
        <f t="shared" si="43"/>
        <v>1</v>
      </c>
      <c r="Y161" s="67">
        <f t="shared" si="44"/>
        <v>23.297499999999999</v>
      </c>
      <c r="Z161" s="67">
        <f t="shared" si="45"/>
        <v>1.6E-2</v>
      </c>
      <c r="AA161" s="67">
        <f t="shared" si="46"/>
        <v>23.281500000000001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47"/>
        <v>0246-04</v>
      </c>
      <c r="AE161" s="91" t="str">
        <f t="shared" si="48"/>
        <v>aws s3 cp s3://rtdc.mdm.uploadarchive.raw/RTDC4037/ "%USERPROFILE%\AppData\Local\Temp\OnboardLogs"\RTDC4037\2016-11-05 --exclude "*" --recursive --include "*20161105*" &amp; "%USERPROFILE%\Documents\GitHub\mrs-test-scripts\Headless Mode &amp; Sideloading\WalkAndUnGZ.bat" "%USERPROFILE%\AppData\Local\Temp\OnboardLogs"\RTDC4037\2016-11-05 &amp; aws s3 cp s3://rtdc.mdm.uploadarchive.raw/RTDC4037/ "%USERPROFILE%\AppData\Local\Temp\OnboardLogs"\RTDC4037\2016-11-06 --exclude "*" --recursive --include "*20161106*" &amp; "%USERPROFILE%\Documents\GitHub\mrs-test-scripts\Headless Mode &amp; Sideloading\WalkAndUnGZ.bat" "%USERPROFILE%\AppData\Local\Temp\OnboardLogs"\RTDC4037\2016-11-06</v>
      </c>
      <c r="AF161" s="88" t="str">
        <f t="shared" si="49"/>
        <v>"C:\Program Files (x86)\AstroGrep\AstroGrep.exe" /spath="%USERPROFILE%\AppData\Local\Temp\OnboardLogs" /stypes="app*4037*20161105*" /stext=" 08:.+((SYSTEM_STATE.+slice.+state.+changed )|(ment ac)|(system.+state.+changed )|(\[timeout)|(PRM\|1\|D)|(kpr)|(kdp)|(\|loc)|(penalty))" /e /r /s</v>
      </c>
      <c r="AG161" s="1" t="str">
        <f t="shared" si="50"/>
        <v>EC</v>
      </c>
      <c r="AH161" s="92" t="str">
        <f t="shared" si="51"/>
        <v>"%USERPROFILE%\Documents\GitHub\eaglep3\Utilities\RefineRTDCRunTimes.py" --tripid 246-04 --locoid 4037 --swversion DE.1.0.8.0 --startMP 204:232975 --initTime 2016-11-05T01:51:56 --startdatetime 2016-11-05T01:56:23 --delay 1 --endMP 204:160 --enddatetime 2016-11-05T02:33:54 --enforcementcount 0 &gt;&gt;C:\Users\stu\Documents\GitHub\eaglep3-reporting\EC\2016-11-04-refined-times.txt</v>
      </c>
      <c r="AI161" s="122" t="str">
        <f t="shared" si="52"/>
        <v>echo {"issue":{"subject":"","project_id":79,"tracker_id":40,"status_id":1,"priority_id":2,"assigned_to_id":23,"start_date":"2016-11-05","description":"","custom_fields":[{"id":1,"name":"Subdivision","value":"EC"},{"id":4,"name":"Milepost","value":"0.016"},{"id":17,"name":"Train ID","value":"246-04"},{"id":16,"name":"Locomotive ID","value":"4037"},{"id":130,"name":"Impact","value":""},{"id":150,"name":"Time of Event (Mountain Time)","value":"02:33:54"},{"id":151,"name":"Denver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451</v>
      </c>
      <c r="B162" s="7">
        <v>4012</v>
      </c>
      <c r="C162" s="22" t="s">
        <v>239</v>
      </c>
      <c r="D162" s="22" t="s">
        <v>714</v>
      </c>
      <c r="E162" s="13">
        <v>42678.21361111111</v>
      </c>
      <c r="F162" s="13">
        <v>42678.215127314812</v>
      </c>
      <c r="G162" s="7">
        <v>1</v>
      </c>
      <c r="H162" s="22" t="s">
        <v>715</v>
      </c>
      <c r="I162" s="13">
        <v>42678.226770833331</v>
      </c>
      <c r="J162" s="7">
        <v>0</v>
      </c>
      <c r="K162" s="112" t="str">
        <f t="shared" si="36"/>
        <v>4011/4012</v>
      </c>
      <c r="L162" s="22" t="str">
        <f>VLOOKUP(A162,'Trips&amp;Operators'!$C$1:$E$10000,3,FALSE)</f>
        <v>ROBINSON</v>
      </c>
      <c r="M162" s="6">
        <f t="shared" si="37"/>
        <v>1.1643518519122154E-2</v>
      </c>
      <c r="N162" s="7">
        <f t="shared" si="38"/>
        <v>16.766666667535901</v>
      </c>
      <c r="O162" s="7"/>
      <c r="P162" s="7"/>
      <c r="Q162" s="23"/>
      <c r="R162" s="23"/>
      <c r="S162" s="35">
        <f t="shared" si="39"/>
        <v>1</v>
      </c>
      <c r="T162" s="50" t="str">
        <f t="shared" si="40"/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04:07:36-0600',mode:absolute,to:'2016-11-04 06:26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2" s="52" t="str">
        <f t="shared" si="42"/>
        <v>N</v>
      </c>
      <c r="X162" s="177">
        <f t="shared" si="43"/>
        <v>554</v>
      </c>
      <c r="Y162" s="67">
        <f t="shared" si="44"/>
        <v>5.8689999999999998</v>
      </c>
      <c r="Z162" s="67">
        <f t="shared" si="45"/>
        <v>6.7000000000000004E-2</v>
      </c>
      <c r="AA162" s="67">
        <f t="shared" si="46"/>
        <v>5.8019999999999996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47"/>
        <v>0800-04</v>
      </c>
      <c r="AE162" s="91" t="str">
        <f t="shared" si="48"/>
        <v>aws s3 cp s3://rtdc.mdm.uploadarchive.raw/RTDC4012/ "%USERPROFILE%\AppData\Local\Temp\OnboardLogs"\RTDC4012\2016-11-04 --exclude "*" --recursive --include "*20161104*" &amp; "%USERPROFILE%\Documents\GitHub\mrs-test-scripts\Headless Mode &amp; Sideloading\WalkAndUnGZ.bat" "%USERPROFILE%\AppData\Local\Temp\OnboardLogs"\RTDC4012\2016-11-04 &amp; 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</v>
      </c>
      <c r="AF162" s="88" t="str">
        <f t="shared" si="49"/>
        <v>"C:\Program Files (x86)\AstroGrep\AstroGrep.exe" /spath="%USERPROFILE%\AppData\Local\Temp\OnboardLogs" /stypes="app*4012*20161104*" /stext=" 11:.+((SYSTEM_STATE.+slice.+state.+changed )|(ment ac)|(system.+state.+changed )|(\[timeout)|(PRM\|1\|D)|(kpr)|(kdp)|(\|loc)|(penalty))" /e /r /s</v>
      </c>
      <c r="AG162" s="1" t="str">
        <f t="shared" si="50"/>
        <v>NW</v>
      </c>
      <c r="AH162" s="92" t="str">
        <f t="shared" si="51"/>
        <v>"%USERPROFILE%\Documents\GitHub\eaglep3\Utilities\RefineRTDCRunTimes.py" --tripid 800-04 --locoid 4012 --swversion DE.1.0.8.0 --startMP 300:58690 --initTime 2016-11-04T05:07:36 --startdatetime 2016-11-04T05:09:47 --delay 1 --endMP 204:670 --enddatetime 2016-11-04T05:26:33 --enforcementcount 0 &gt;&gt;C:\Users\stu\Documents\GitHub\eaglep3-reporting\EC\2016-11-04-refined-times.txt</v>
      </c>
      <c r="AI162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{"issue":{"subject":"","project_id":79,"tracker_id":40,"status_id":1,"priority_id":2,"assigned_to_id":23,"start_date":"2016-11-04","description":"","custom_fields":[{"id":1,"name":"Subdivision","value":"NW"},{"id":4,"name":"Milepost","value":"0.067"},{"id":17,"name":"Train ID","value":"800-04"},{"id":16,"name":"Locomotive ID","value":"4012"},{"id":130,"name":"Impact","value":""},{"id":150,"name":"Time of Event (Mountain Time)","value":"05:26:33"},{"id":151,"name":"Denver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7" t="s">
        <v>455</v>
      </c>
      <c r="B163" s="7">
        <v>4011</v>
      </c>
      <c r="C163" s="22" t="s">
        <v>239</v>
      </c>
      <c r="D163" s="22" t="s">
        <v>716</v>
      </c>
      <c r="E163" s="13">
        <v>42678.228680555556</v>
      </c>
      <c r="F163" s="13">
        <v>42678.243993055556</v>
      </c>
      <c r="G163" s="7">
        <v>1</v>
      </c>
      <c r="H163" s="22" t="s">
        <v>717</v>
      </c>
      <c r="I163" s="13">
        <v>42678.253622685188</v>
      </c>
      <c r="J163" s="7">
        <v>0</v>
      </c>
      <c r="K163" s="112" t="str">
        <f t="shared" si="36"/>
        <v>4011/4012</v>
      </c>
      <c r="L163" s="22" t="str">
        <f>VLOOKUP(A163,'Trips&amp;Operators'!$C$1:$E$10000,3,FALSE)</f>
        <v>ROBINSON</v>
      </c>
      <c r="M163" s="6">
        <f t="shared" si="37"/>
        <v>9.6296296323998831E-3</v>
      </c>
      <c r="N163" s="7">
        <f t="shared" si="38"/>
        <v>13.866666670655832</v>
      </c>
      <c r="O163" s="7"/>
      <c r="P163" s="7"/>
      <c r="Q163" s="23"/>
      <c r="R163" s="23"/>
      <c r="S163" s="35">
        <f t="shared" si="39"/>
        <v>1</v>
      </c>
      <c r="T163" s="50" t="str">
        <f t="shared" si="40"/>
        <v>NorthBound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04:29:18-0600',mode:absolute,to:'2016-11-04 07:05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3" s="52" t="str">
        <f t="shared" si="42"/>
        <v>N</v>
      </c>
      <c r="X163" s="177">
        <f t="shared" si="43"/>
        <v>1</v>
      </c>
      <c r="Y163" s="67">
        <f t="shared" si="44"/>
        <v>9.4799999999999995E-2</v>
      </c>
      <c r="Z163" s="67">
        <f t="shared" si="45"/>
        <v>5.9005000000000001</v>
      </c>
      <c r="AA163" s="67">
        <f t="shared" si="46"/>
        <v>5.8056999999999999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47"/>
        <v>0801-04</v>
      </c>
      <c r="AE163" s="91" t="str">
        <f t="shared" si="48"/>
        <v>aws s3 cp s3://rtdc.mdm.uploadarchive.raw/RTDC4011/ "%USERPROFILE%\AppData\Local\Temp\OnboardLogs"\RTDC4011\2016-11-04 --exclude "*" --recursive --include "*20161104*" &amp; "%USERPROFILE%\Documents\GitHub\mrs-test-scripts\Headless Mode &amp; Sideloading\WalkAndUnGZ.bat" "%USERPROFILE%\AppData\Local\Temp\OnboardLogs"\RTDC4011\2016-11-04 &amp; 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</v>
      </c>
      <c r="AF163" s="88" t="str">
        <f t="shared" si="49"/>
        <v>"C:\Program Files (x86)\AstroGrep\AstroGrep.exe" /spath="%USERPROFILE%\AppData\Local\Temp\OnboardLogs" /stypes="app*4011*20161104*" /stext=" 12:.+((SYSTEM_STATE.+slice.+state.+changed )|(ment ac)|(system.+state.+changed )|(\[timeout)|(PRM\|1\|D)|(kpr)|(kdp)|(\|loc)|(penalty))" /e /r /s</v>
      </c>
      <c r="AG163" s="1" t="str">
        <f t="shared" si="50"/>
        <v>NW</v>
      </c>
      <c r="AH163" s="92" t="str">
        <f t="shared" si="51"/>
        <v>"%USERPROFILE%\Documents\GitHub\eaglep3\Utilities\RefineRTDCRunTimes.py" --tripid 801-04 --locoid 4011 --swversion DE.1.0.8.0 --startMP 204:948 --initTime 2016-11-04T05:29:18 --startdatetime 2016-11-04T05:51:21 --delay 1 --endMP 300:59005 --enddatetime 2016-11-04T06:05:13 --enforcementcount 0 &gt;&gt;C:\Users\stu\Documents\GitHub\eaglep3-reporting\EC\2016-11-04-refined-times.txt</v>
      </c>
      <c r="AI163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{"issue":{"subject":"","project_id":79,"tracker_id":40,"status_id":1,"priority_id":2,"assigned_to_id":23,"start_date":"2016-11-04","description":"","custom_fields":[{"id":1,"name":"Subdivision","value":"NW"},{"id":4,"name":"Milepost","value":"5.9005"},{"id":17,"name":"Train ID","value":"801-04"},{"id":16,"name":"Locomotive ID","value":"4011"},{"id":130,"name":"Impact","value":""},{"id":150,"name":"Time of Event (Mountain Time)","value":"06:05:13"},{"id":151,"name":"Denver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s="21" customFormat="1" x14ac:dyDescent="0.25">
      <c r="A164" s="37" t="s">
        <v>407</v>
      </c>
      <c r="B164" s="7">
        <v>4012</v>
      </c>
      <c r="C164" s="22" t="s">
        <v>239</v>
      </c>
      <c r="D164" s="22" t="s">
        <v>718</v>
      </c>
      <c r="E164" s="13">
        <v>42678.254675925928</v>
      </c>
      <c r="F164" s="13">
        <v>42678.256423611114</v>
      </c>
      <c r="G164" s="7">
        <v>1</v>
      </c>
      <c r="H164" s="22" t="s">
        <v>719</v>
      </c>
      <c r="I164" s="13">
        <v>42678.271226851852</v>
      </c>
      <c r="J164" s="7">
        <v>0</v>
      </c>
      <c r="K164" s="112" t="str">
        <f t="shared" si="36"/>
        <v>4011/4012</v>
      </c>
      <c r="L164" s="22" t="str">
        <f>VLOOKUP(A164,'Trips&amp;Operators'!$C$1:$E$10000,3,FALSE)</f>
        <v>ROBINSON</v>
      </c>
      <c r="M164" s="6">
        <f t="shared" si="37"/>
        <v>1.4803240737819578E-2</v>
      </c>
      <c r="N164" s="7">
        <f t="shared" si="38"/>
        <v>21.316666662460193</v>
      </c>
      <c r="O164" s="7"/>
      <c r="P164" s="7"/>
      <c r="Q164" s="23"/>
      <c r="R164" s="23"/>
      <c r="S164" s="35">
        <f t="shared" si="39"/>
        <v>1</v>
      </c>
      <c r="T164" s="50" t="str">
        <f t="shared" si="40"/>
        <v>Southbound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05:06:44-0600',mode:absolute,to:'2016-11-04 07:30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4" s="52" t="str">
        <f t="shared" si="42"/>
        <v>N</v>
      </c>
      <c r="X164" s="177">
        <f t="shared" si="43"/>
        <v>1</v>
      </c>
      <c r="Y164" s="67">
        <f t="shared" si="44"/>
        <v>5.8688000000000002</v>
      </c>
      <c r="Z164" s="67">
        <f t="shared" si="45"/>
        <v>6.7500000000000004E-2</v>
      </c>
      <c r="AA164" s="67">
        <f t="shared" si="46"/>
        <v>5.8013000000000003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47"/>
        <v>0802-04</v>
      </c>
      <c r="AE164" s="91" t="str">
        <f t="shared" si="48"/>
        <v>aws s3 cp s3://rtdc.mdm.uploadarchive.raw/RTDC4012/ "%USERPROFILE%\AppData\Local\Temp\OnboardLogs"\RTDC4012\2016-11-04 --exclude "*" --recursive --include "*20161104*" &amp; "%USERPROFILE%\Documents\GitHub\mrs-test-scripts\Headless Mode &amp; Sideloading\WalkAndUnGZ.bat" "%USERPROFILE%\AppData\Local\Temp\OnboardLogs"\RTDC4012\2016-11-04 &amp; 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</v>
      </c>
      <c r="AF164" s="88" t="str">
        <f t="shared" si="49"/>
        <v>"C:\Program Files (x86)\AstroGrep\AstroGrep.exe" /spath="%USERPROFILE%\AppData\Local\Temp\OnboardLogs" /stypes="app*4012*20161104*" /stext=" 12:.+((SYSTEM_STATE.+slice.+state.+changed )|(ment ac)|(system.+state.+changed )|(\[timeout)|(PRM\|1\|D)|(kpr)|(kdp)|(\|loc)|(penalty))" /e /r /s</v>
      </c>
      <c r="AG164" s="1" t="str">
        <f t="shared" si="50"/>
        <v>NW</v>
      </c>
      <c r="AH164" s="92" t="str">
        <f t="shared" si="51"/>
        <v>"%USERPROFILE%\Documents\GitHub\eaglep3\Utilities\RefineRTDCRunTimes.py" --tripid 802-04 --locoid 4012 --swversion DE.1.0.8.0 --startMP 300:58688 --initTime 2016-11-04T06:06:44 --startdatetime 2016-11-04T06:09:15 --delay 1 --endMP 204:675 --enddatetime 2016-11-04T06:30:34 --enforcementcount 0 &gt;&gt;C:\Users\stu\Documents\GitHub\eaglep3-reporting\EC\2016-11-04-refined-times.txt</v>
      </c>
      <c r="AI164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{"issue":{"subject":"","project_id":79,"tracker_id":40,"status_id":1,"priority_id":2,"assigned_to_id":23,"start_date":"2016-11-04","description":"","custom_fields":[{"id":1,"name":"Subdivision","value":"NW"},{"id":4,"name":"Milepost","value":"0.0675"},{"id":17,"name":"Train ID","value":"802-04"},{"id":16,"name":"Locomotive ID","value":"4012"},{"id":130,"name":"Impact","value":""},{"id":150,"name":"Time of Event (Mountain Time)","value":"06:30:34"},{"id":151,"name":"Denver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461</v>
      </c>
      <c r="B165" s="7">
        <v>4009</v>
      </c>
      <c r="C165" s="22" t="s">
        <v>239</v>
      </c>
      <c r="D165" s="22" t="s">
        <v>720</v>
      </c>
      <c r="E165" s="13">
        <v>42678.259050925924</v>
      </c>
      <c r="F165" s="13">
        <v>42678.264768518522</v>
      </c>
      <c r="G165" s="7">
        <v>1</v>
      </c>
      <c r="H165" s="22" t="s">
        <v>721</v>
      </c>
      <c r="I165" s="13">
        <v>42678.273854166669</v>
      </c>
      <c r="J165" s="7">
        <v>0</v>
      </c>
      <c r="K165" s="112" t="str">
        <f t="shared" si="36"/>
        <v>4009/4010</v>
      </c>
      <c r="L165" s="22" t="str">
        <f>VLOOKUP(A165,'Trips&amp;Operators'!$C$1:$E$10000,3,FALSE)</f>
        <v>LALONDE</v>
      </c>
      <c r="M165" s="6">
        <f t="shared" si="37"/>
        <v>9.0856481474475004E-3</v>
      </c>
      <c r="N165" s="7">
        <f t="shared" si="38"/>
        <v>13.083333332324401</v>
      </c>
      <c r="O165" s="7"/>
      <c r="P165" s="7"/>
      <c r="Q165" s="23"/>
      <c r="R165" s="23"/>
      <c r="S165" s="35">
        <f t="shared" si="39"/>
        <v>1</v>
      </c>
      <c r="T165" s="50" t="str">
        <f t="shared" si="40"/>
        <v>NorthBound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05:13:02-0600',mode:absolute,to:'2016-11-04 07:34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5" s="52" t="str">
        <f t="shared" si="42"/>
        <v>N</v>
      </c>
      <c r="X165" s="177">
        <f t="shared" si="43"/>
        <v>1</v>
      </c>
      <c r="Y165" s="67">
        <f t="shared" si="44"/>
        <v>0.1014</v>
      </c>
      <c r="Z165" s="67">
        <f t="shared" si="45"/>
        <v>5.8912000000000004</v>
      </c>
      <c r="AA165" s="67">
        <f t="shared" si="46"/>
        <v>5.7898000000000005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47"/>
        <v>0803-04</v>
      </c>
      <c r="AE165" s="91" t="str">
        <f t="shared" si="48"/>
        <v>aws s3 cp s3://rtdc.mdm.uploadarchive.raw/RTDC4009/ "%USERPROFILE%\AppData\Local\Temp\OnboardLogs"\RTDC4009\2016-11-04 --exclude "*" --recursive --include "*20161104*" &amp; "%USERPROFILE%\Documents\GitHub\mrs-test-scripts\Headless Mode &amp; Sideloading\WalkAndUnGZ.bat" "%USERPROFILE%\AppData\Local\Temp\OnboardLogs"\RTDC4009\2016-11-04 &amp; aws s3 cp s3://rtdc.mdm.uploadarchive.raw/RTDC4009/ "%USERPROFILE%\AppData\Local\Temp\OnboardLogs"\RTDC4009\2016-11-05 --exclude "*" --recursive --include "*20161105*" &amp; "%USERPROFILE%\Documents\GitHub\mrs-test-scripts\Headless Mode &amp; Sideloading\WalkAndUnGZ.bat" "%USERPROFILE%\AppData\Local\Temp\OnboardLogs"\RTDC4009\2016-11-05</v>
      </c>
      <c r="AF165" s="88" t="str">
        <f t="shared" si="49"/>
        <v>"C:\Program Files (x86)\AstroGrep\AstroGrep.exe" /spath="%USERPROFILE%\AppData\Local\Temp\OnboardLogs" /stypes="app*4009*20161104*" /stext=" 12:.+((SYSTEM_STATE.+slice.+state.+changed )|(ment ac)|(system.+state.+changed )|(\[timeout)|(PRM\|1\|D)|(kpr)|(kdp)|(\|loc)|(penalty))" /e /r /s</v>
      </c>
      <c r="AG165" s="1" t="str">
        <f t="shared" si="50"/>
        <v>NW</v>
      </c>
      <c r="AH165" s="92" t="str">
        <f t="shared" si="51"/>
        <v>"%USERPROFILE%\Documents\GitHub\eaglep3\Utilities\RefineRTDCRunTimes.py" --tripid 803-04 --locoid 4009 --swversion DE.1.0.8.0 --startMP 204:1014 --initTime 2016-11-04T06:13:02 --startdatetime 2016-11-04T06:21:16 --delay 1 --endMP 300:58912 --enddatetime 2016-11-04T06:34:21 --enforcementcount 0 &gt;&gt;C:\Users\stu\Documents\GitHub\eaglep3-reporting\EC\2016-11-04-refined-times.txt</v>
      </c>
      <c r="AI165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{"issue":{"subject":"","project_id":79,"tracker_id":40,"status_id":1,"priority_id":2,"assigned_to_id":23,"start_date":"2016-11-04","description":"","custom_fields":[{"id":1,"name":"Subdivision","value":"NW"},{"id":4,"name":"Milepost","value":"5.8912"},{"id":17,"name":"Train ID","value":"803-04"},{"id":16,"name":"Locomotive ID","value":"4009"},{"id":130,"name":"Impact","value":""},{"id":150,"name":"Time of Event (Mountain Time)","value":"06:34:21"},{"id":151,"name":"Denver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464</v>
      </c>
      <c r="B166" s="7">
        <v>4010</v>
      </c>
      <c r="C166" s="22" t="s">
        <v>239</v>
      </c>
      <c r="D166" s="22" t="s">
        <v>722</v>
      </c>
      <c r="E166" s="13">
        <v>42678.275196759256</v>
      </c>
      <c r="F166" s="13">
        <v>42678.276689814818</v>
      </c>
      <c r="G166" s="7">
        <v>1</v>
      </c>
      <c r="H166" s="22" t="s">
        <v>397</v>
      </c>
      <c r="I166" s="13">
        <v>42678.28875</v>
      </c>
      <c r="J166" s="7">
        <v>0</v>
      </c>
      <c r="K166" s="112" t="str">
        <f t="shared" si="36"/>
        <v>4009/4010</v>
      </c>
      <c r="L166" s="22" t="str">
        <f>VLOOKUP(A166,'Trips&amp;Operators'!$C$1:$E$10000,3,FALSE)</f>
        <v>LALONDE</v>
      </c>
      <c r="M166" s="6">
        <f t="shared" si="37"/>
        <v>1.2060185181326233E-2</v>
      </c>
      <c r="N166" s="7">
        <f t="shared" si="38"/>
        <v>17.366666661109775</v>
      </c>
      <c r="O166" s="7"/>
      <c r="P166" s="7"/>
      <c r="Q166" s="23"/>
      <c r="R166" s="23"/>
      <c r="S166" s="35">
        <f t="shared" si="39"/>
        <v>1</v>
      </c>
      <c r="T166" s="50" t="str">
        <f t="shared" si="40"/>
        <v>Southbound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05:36:17-0600',mode:absolute,to:'2016-11-04 07:55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6" s="52" t="str">
        <f t="shared" si="42"/>
        <v>N</v>
      </c>
      <c r="X166" s="177">
        <f t="shared" si="43"/>
        <v>1</v>
      </c>
      <c r="Y166" s="67">
        <f t="shared" si="44"/>
        <v>5.8593999999999999</v>
      </c>
      <c r="Z166" s="67">
        <f t="shared" si="45"/>
        <v>7.2700000000000001E-2</v>
      </c>
      <c r="AA166" s="67">
        <f t="shared" si="46"/>
        <v>5.7866999999999997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47"/>
        <v>0804-04</v>
      </c>
      <c r="AE166" s="91" t="str">
        <f t="shared" si="48"/>
        <v>aws s3 cp s3://rtdc.mdm.uploadarchive.raw/RTDC4010/ "%USERPROFILE%\AppData\Local\Temp\OnboardLogs"\RTDC4010\2016-11-04 --exclude "*" --recursive --include "*20161104*" &amp; "%USERPROFILE%\Documents\GitHub\mrs-test-scripts\Headless Mode &amp; Sideloading\WalkAndUnGZ.bat" "%USERPROFILE%\AppData\Local\Temp\OnboardLogs"\RTDC4010\2016-11-04 &amp; aws s3 cp s3://rtdc.mdm.uploadarchive.raw/RTDC4010/ "%USERPROFILE%\AppData\Local\Temp\OnboardLogs"\RTDC4010\2016-11-05 --exclude "*" --recursive --include "*20161105*" &amp; "%USERPROFILE%\Documents\GitHub\mrs-test-scripts\Headless Mode &amp; Sideloading\WalkAndUnGZ.bat" "%USERPROFILE%\AppData\Local\Temp\OnboardLogs"\RTDC4010\2016-11-05</v>
      </c>
      <c r="AF166" s="88" t="str">
        <f t="shared" si="49"/>
        <v>"C:\Program Files (x86)\AstroGrep\AstroGrep.exe" /spath="%USERPROFILE%\AppData\Local\Temp\OnboardLogs" /stypes="app*4010*20161104*" /stext=" 12:.+((SYSTEM_STATE.+slice.+state.+changed )|(ment ac)|(system.+state.+changed )|(\[timeout)|(PRM\|1\|D)|(kpr)|(kdp)|(\|loc)|(penalty))" /e /r /s</v>
      </c>
      <c r="AG166" s="1" t="str">
        <f t="shared" si="50"/>
        <v>NW</v>
      </c>
      <c r="AH166" s="92" t="str">
        <f t="shared" si="51"/>
        <v>"%USERPROFILE%\Documents\GitHub\eaglep3\Utilities\RefineRTDCRunTimes.py" --tripid 804-04 --locoid 4010 --swversion DE.1.0.8.0 --startMP 300:58594 --initTime 2016-11-04T06:36:17 --startdatetime 2016-11-04T06:38:26 --delay 1 --endMP 204:727 --enddatetime 2016-11-04T06:55:48 --enforcementcount 0 &gt;&gt;C:\Users\stu\Documents\GitHub\eaglep3-reporting\EC\2016-11-04-refined-times.txt</v>
      </c>
      <c r="AI166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{"issue":{"subject":"","project_id":79,"tracker_id":40,"status_id":1,"priority_id":2,"assigned_to_id":23,"start_date":"2016-11-04","description":"","custom_fields":[{"id":1,"name":"Subdivision","value":"NW"},{"id":4,"name":"Milepost","value":"0.0727"},{"id":17,"name":"Train ID","value":"804-04"},{"id":16,"name":"Locomotive ID","value":"4010"},{"id":130,"name":"Impact","value":""},{"id":150,"name":"Time of Event (Mountain Time)","value":"06:55:48"},{"id":151,"name":"Denver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409</v>
      </c>
      <c r="B167" s="7">
        <v>4011</v>
      </c>
      <c r="C167" s="22" t="s">
        <v>239</v>
      </c>
      <c r="D167" s="22" t="s">
        <v>723</v>
      </c>
      <c r="E167" s="13">
        <v>42678.272731481484</v>
      </c>
      <c r="F167" s="13">
        <v>42678.285601851851</v>
      </c>
      <c r="G167" s="7">
        <v>1</v>
      </c>
      <c r="H167" s="22" t="s">
        <v>724</v>
      </c>
      <c r="I167" s="13">
        <v>42678.295567129629</v>
      </c>
      <c r="J167" s="7">
        <v>0</v>
      </c>
      <c r="K167" s="112" t="str">
        <f t="shared" si="36"/>
        <v>4011/4012</v>
      </c>
      <c r="L167" s="22" t="str">
        <f>VLOOKUP(A167,'Trips&amp;Operators'!$C$1:$E$10000,3,FALSE)</f>
        <v>ROBINSON</v>
      </c>
      <c r="M167" s="6">
        <f t="shared" si="37"/>
        <v>9.9652777789742686E-3</v>
      </c>
      <c r="N167" s="7">
        <f t="shared" si="38"/>
        <v>14.350000001722947</v>
      </c>
      <c r="O167" s="7"/>
      <c r="P167" s="7"/>
      <c r="Q167" s="23"/>
      <c r="R167" s="23"/>
      <c r="S167" s="35">
        <f t="shared" si="39"/>
        <v>1</v>
      </c>
      <c r="T167" s="50" t="str">
        <f t="shared" si="40"/>
        <v>NorthBound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05:32:44-0600',mode:absolute,to:'2016-11-04 08:05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7" s="52" t="str">
        <f t="shared" si="42"/>
        <v>N</v>
      </c>
      <c r="X167" s="177">
        <f t="shared" si="43"/>
        <v>1</v>
      </c>
      <c r="Y167" s="67">
        <f t="shared" si="44"/>
        <v>9.6500000000000002E-2</v>
      </c>
      <c r="Z167" s="67">
        <f t="shared" si="45"/>
        <v>5.9016000000000002</v>
      </c>
      <c r="AA167" s="67">
        <f t="shared" si="46"/>
        <v>5.8051000000000004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47"/>
        <v>0805-04</v>
      </c>
      <c r="AE167" s="91" t="str">
        <f t="shared" si="48"/>
        <v>aws s3 cp s3://rtdc.mdm.uploadarchive.raw/RTDC4011/ "%USERPROFILE%\AppData\Local\Temp\OnboardLogs"\RTDC4011\2016-11-04 --exclude "*" --recursive --include "*20161104*" &amp; "%USERPROFILE%\Documents\GitHub\mrs-test-scripts\Headless Mode &amp; Sideloading\WalkAndUnGZ.bat" "%USERPROFILE%\AppData\Local\Temp\OnboardLogs"\RTDC4011\2016-11-04 &amp; 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</v>
      </c>
      <c r="AF167" s="88" t="str">
        <f t="shared" si="49"/>
        <v>"C:\Program Files (x86)\AstroGrep\AstroGrep.exe" /spath="%USERPROFILE%\AppData\Local\Temp\OnboardLogs" /stypes="app*4011*20161104*" /stext=" 13:.+((SYSTEM_STATE.+slice.+state.+changed )|(ment ac)|(system.+state.+changed )|(\[timeout)|(PRM\|1\|D)|(kpr)|(kdp)|(\|loc)|(penalty))" /e /r /s</v>
      </c>
      <c r="AG167" s="1" t="str">
        <f t="shared" si="50"/>
        <v>NW</v>
      </c>
      <c r="AH167" s="92" t="str">
        <f t="shared" si="51"/>
        <v>"%USERPROFILE%\Documents\GitHub\eaglep3\Utilities\RefineRTDCRunTimes.py" --tripid 805-04 --locoid 4011 --swversion DE.1.0.8.0 --startMP 204:965 --initTime 2016-11-04T06:32:44 --startdatetime 2016-11-04T06:51:16 --delay 1 --endMP 300:59016 --enddatetime 2016-11-04T07:05:37 --enforcementcount 0 &gt;&gt;C:\Users\stu\Documents\GitHub\eaglep3-reporting\EC\2016-11-04-refined-times.txt</v>
      </c>
      <c r="AI167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{"issue":{"subject":"","project_id":79,"tracker_id":40,"status_id":1,"priority_id":2,"assigned_to_id":23,"start_date":"2016-11-04","description":"","custom_fields":[{"id":1,"name":"Subdivision","value":"NW"},{"id":4,"name":"Milepost","value":"5.9016"},{"id":17,"name":"Train ID","value":"805-04"},{"id":16,"name":"Locomotive ID","value":"4011"},{"id":130,"name":"Impact","value":""},{"id":150,"name":"Time of Event (Mountain Time)","value":"07:05:37"},{"id":151,"name":"Denver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469</v>
      </c>
      <c r="B168" s="7">
        <v>4012</v>
      </c>
      <c r="C168" s="22" t="s">
        <v>239</v>
      </c>
      <c r="D168" s="22" t="s">
        <v>725</v>
      </c>
      <c r="E168" s="13">
        <v>42678.298472222225</v>
      </c>
      <c r="F168" s="13">
        <v>42678.300578703704</v>
      </c>
      <c r="G168" s="7">
        <v>2</v>
      </c>
      <c r="H168" s="22" t="s">
        <v>726</v>
      </c>
      <c r="I168" s="13">
        <v>42678.310833333337</v>
      </c>
      <c r="J168" s="7">
        <v>0</v>
      </c>
      <c r="K168" s="112" t="str">
        <f t="shared" si="36"/>
        <v>4011/4012</v>
      </c>
      <c r="L168" s="22" t="str">
        <f>VLOOKUP(A168,'Trips&amp;Operators'!$C$1:$E$10000,3,FALSE)</f>
        <v>ROBINSON</v>
      </c>
      <c r="M168" s="6">
        <f t="shared" si="37"/>
        <v>1.025462963298196E-2</v>
      </c>
      <c r="N168" s="7">
        <f t="shared" si="38"/>
        <v>14.766666671494022</v>
      </c>
      <c r="O168" s="7"/>
      <c r="P168" s="7"/>
      <c r="Q168" s="23"/>
      <c r="R168" s="23"/>
      <c r="S168" s="35">
        <f t="shared" si="39"/>
        <v>1</v>
      </c>
      <c r="T168" s="50" t="str">
        <f t="shared" si="40"/>
        <v>Southbound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06:09:48-0600',mode:absolute,to:'2016-11-04 08:27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8" s="52" t="str">
        <f t="shared" si="42"/>
        <v>N</v>
      </c>
      <c r="X168" s="177">
        <f t="shared" si="43"/>
        <v>1</v>
      </c>
      <c r="Y168" s="67">
        <f t="shared" si="44"/>
        <v>5.8578999999999999</v>
      </c>
      <c r="Z168" s="67">
        <f t="shared" si="45"/>
        <v>6.8900000000000003E-2</v>
      </c>
      <c r="AA168" s="67">
        <f t="shared" si="46"/>
        <v>5.7889999999999997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47"/>
        <v>0806-04</v>
      </c>
      <c r="AE168" s="91" t="str">
        <f t="shared" si="48"/>
        <v>aws s3 cp s3://rtdc.mdm.uploadarchive.raw/RTDC4012/ "%USERPROFILE%\AppData\Local\Temp\OnboardLogs"\RTDC4012\2016-11-04 --exclude "*" --recursive --include "*20161104*" &amp; "%USERPROFILE%\Documents\GitHub\mrs-test-scripts\Headless Mode &amp; Sideloading\WalkAndUnGZ.bat" "%USERPROFILE%\AppData\Local\Temp\OnboardLogs"\RTDC4012\2016-11-04 &amp; 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</v>
      </c>
      <c r="AF168" s="88" t="str">
        <f t="shared" si="49"/>
        <v>"C:\Program Files (x86)\AstroGrep\AstroGrep.exe" /spath="%USERPROFILE%\AppData\Local\Temp\OnboardLogs" /stypes="app*4012*20161104*" /stext=" 13:.+((SYSTEM_STATE.+slice.+state.+changed )|(ment ac)|(system.+state.+changed )|(\[timeout)|(PRM\|1\|D)|(kpr)|(kdp)|(\|loc)|(penalty))" /e /r /s</v>
      </c>
      <c r="AG168" s="1" t="str">
        <f t="shared" si="50"/>
        <v>NW</v>
      </c>
      <c r="AH168" s="92" t="str">
        <f t="shared" si="51"/>
        <v>"%USERPROFILE%\Documents\GitHub\eaglep3\Utilities\RefineRTDCRunTimes.py" --tripid 806-04 --locoid 4012 --swversion DE.1.0.8.0 --startMP 300:58579 --initTime 2016-11-04T07:09:48 --startdatetime 2016-11-04T07:12:50 --delay 2 --endMP 204:689 --enddatetime 2016-11-04T07:27:36 --enforcementcount 0 &gt;&gt;C:\Users\stu\Documents\GitHub\eaglep3-reporting\EC\2016-11-04-refined-times.txt</v>
      </c>
      <c r="AI168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{"issue":{"subject":"","project_id":79,"tracker_id":40,"status_id":1,"priority_id":2,"assigned_to_id":23,"start_date":"2016-11-04","description":"","custom_fields":[{"id":1,"name":"Subdivision","value":"NW"},{"id":4,"name":"Milepost","value":"0.0689"},{"id":17,"name":"Train ID","value":"806-04"},{"id":16,"name":"Locomotive ID","value":"4012"},{"id":130,"name":"Impact","value":""},{"id":150,"name":"Time of Event (Mountain Time)","value":"07:27:36"},{"id":151,"name":"Denver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467</v>
      </c>
      <c r="B169" s="7">
        <v>4009</v>
      </c>
      <c r="C169" s="22" t="s">
        <v>239</v>
      </c>
      <c r="D169" s="22" t="s">
        <v>727</v>
      </c>
      <c r="E169" s="13">
        <v>42678.290289351855</v>
      </c>
      <c r="F169" s="13">
        <v>42678.30641203704</v>
      </c>
      <c r="G169" s="7">
        <v>1</v>
      </c>
      <c r="H169" s="22" t="s">
        <v>392</v>
      </c>
      <c r="I169" s="13">
        <v>42678.315381944441</v>
      </c>
      <c r="J169" s="7">
        <v>0</v>
      </c>
      <c r="K169" s="112" t="str">
        <f t="shared" si="36"/>
        <v>4009/4010</v>
      </c>
      <c r="L169" s="22" t="str">
        <f>VLOOKUP(A169,'Trips&amp;Operators'!$C$1:$E$10000,3,FALSE)</f>
        <v>LALONDE</v>
      </c>
      <c r="M169" s="6">
        <f t="shared" si="37"/>
        <v>8.9699074014788494E-3</v>
      </c>
      <c r="N169" s="7">
        <f t="shared" si="38"/>
        <v>12.916666658129543</v>
      </c>
      <c r="O169" s="7"/>
      <c r="P169" s="7"/>
      <c r="Q169" s="23"/>
      <c r="R169" s="23"/>
      <c r="S169" s="35">
        <f t="shared" si="39"/>
        <v>1</v>
      </c>
      <c r="T169" s="50" t="str">
        <f t="shared" si="40"/>
        <v>NorthBound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05:58:01-0600',mode:absolute,to:'2016-11-04 08:34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9" s="52" t="str">
        <f t="shared" si="42"/>
        <v>N</v>
      </c>
      <c r="X169" s="177">
        <f t="shared" si="43"/>
        <v>1</v>
      </c>
      <c r="Y169" s="67">
        <f t="shared" si="44"/>
        <v>0.1021</v>
      </c>
      <c r="Z169" s="67">
        <f t="shared" si="45"/>
        <v>5.8939000000000004</v>
      </c>
      <c r="AA169" s="67">
        <f t="shared" si="46"/>
        <v>5.7918000000000003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47"/>
        <v>0807-04</v>
      </c>
      <c r="AE169" s="91" t="str">
        <f t="shared" si="48"/>
        <v>aws s3 cp s3://rtdc.mdm.uploadarchive.raw/RTDC4009/ "%USERPROFILE%\AppData\Local\Temp\OnboardLogs"\RTDC4009\2016-11-04 --exclude "*" --recursive --include "*20161104*" &amp; "%USERPROFILE%\Documents\GitHub\mrs-test-scripts\Headless Mode &amp; Sideloading\WalkAndUnGZ.bat" "%USERPROFILE%\AppData\Local\Temp\OnboardLogs"\RTDC4009\2016-11-04 &amp; aws s3 cp s3://rtdc.mdm.uploadarchive.raw/RTDC4009/ "%USERPROFILE%\AppData\Local\Temp\OnboardLogs"\RTDC4009\2016-11-05 --exclude "*" --recursive --include "*20161105*" &amp; "%USERPROFILE%\Documents\GitHub\mrs-test-scripts\Headless Mode &amp; Sideloading\WalkAndUnGZ.bat" "%USERPROFILE%\AppData\Local\Temp\OnboardLogs"\RTDC4009\2016-11-05</v>
      </c>
      <c r="AF169" s="88" t="str">
        <f t="shared" si="49"/>
        <v>"C:\Program Files (x86)\AstroGrep\AstroGrep.exe" /spath="%USERPROFILE%\AppData\Local\Temp\OnboardLogs" /stypes="app*4009*20161104*" /stext=" 13:.+((SYSTEM_STATE.+slice.+state.+changed )|(ment ac)|(system.+state.+changed )|(\[timeout)|(PRM\|1\|D)|(kpr)|(kdp)|(\|loc)|(penalty))" /e /r /s</v>
      </c>
      <c r="AG169" s="1" t="str">
        <f t="shared" si="50"/>
        <v>NW</v>
      </c>
      <c r="AH169" s="92" t="str">
        <f t="shared" si="51"/>
        <v>"%USERPROFILE%\Documents\GitHub\eaglep3\Utilities\RefineRTDCRunTimes.py" --tripid 807-04 --locoid 4009 --swversion DE.1.0.8.0 --startMP 204:1021 --initTime 2016-11-04T06:58:01 --startdatetime 2016-11-04T07:21:14 --delay 1 --endMP 300:58939 --enddatetime 2016-11-04T07:34:09 --enforcementcount 0 &gt;&gt;C:\Users\stu\Documents\GitHub\eaglep3-reporting\EC\2016-11-04-refined-times.txt</v>
      </c>
      <c r="AI169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{"issue":{"subject":"","project_id":79,"tracker_id":40,"status_id":1,"priority_id":2,"assigned_to_id":23,"start_date":"2016-11-04","description":"","custom_fields":[{"id":1,"name":"Subdivision","value":"NW"},{"id":4,"name":"Milepost","value":"5.8939"},{"id":17,"name":"Train ID","value":"807-04"},{"id":16,"name":"Locomotive ID","value":"4009"},{"id":130,"name":"Impact","value":""},{"id":150,"name":"Time of Event (Mountain Time)","value":"07:34:09"},{"id":151,"name":"Denver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474</v>
      </c>
      <c r="B170" s="7">
        <v>4010</v>
      </c>
      <c r="C170" s="22" t="s">
        <v>239</v>
      </c>
      <c r="D170" s="22" t="s">
        <v>399</v>
      </c>
      <c r="E170" s="13">
        <v>42678.317071759258</v>
      </c>
      <c r="F170" s="13">
        <v>42678.319618055553</v>
      </c>
      <c r="G170" s="7">
        <v>1</v>
      </c>
      <c r="H170" s="22" t="s">
        <v>397</v>
      </c>
      <c r="I170" s="13">
        <v>42678.330243055556</v>
      </c>
      <c r="J170" s="7">
        <v>0</v>
      </c>
      <c r="K170" s="112" t="str">
        <f t="shared" si="36"/>
        <v>4009/4010</v>
      </c>
      <c r="L170" s="22" t="str">
        <f>VLOOKUP(A170,'Trips&amp;Operators'!$C$1:$E$10000,3,FALSE)</f>
        <v>LALONDE</v>
      </c>
      <c r="M170" s="6">
        <f t="shared" si="37"/>
        <v>1.0625000002619345E-2</v>
      </c>
      <c r="N170" s="7">
        <f t="shared" si="38"/>
        <v>15.300000003771856</v>
      </c>
      <c r="O170" s="7"/>
      <c r="P170" s="7"/>
      <c r="Q170" s="23"/>
      <c r="R170" s="23"/>
      <c r="S170" s="35">
        <f t="shared" si="39"/>
        <v>1</v>
      </c>
      <c r="T170" s="50" t="str">
        <f t="shared" si="40"/>
        <v>Southbound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06:36:35-0600',mode:absolute,to:'2016-11-04 08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0" s="52" t="str">
        <f t="shared" si="42"/>
        <v>N</v>
      </c>
      <c r="X170" s="177">
        <f t="shared" si="43"/>
        <v>1</v>
      </c>
      <c r="Y170" s="67">
        <f t="shared" si="44"/>
        <v>5.8624000000000001</v>
      </c>
      <c r="Z170" s="67">
        <f t="shared" si="45"/>
        <v>7.2700000000000001E-2</v>
      </c>
      <c r="AA170" s="67">
        <f t="shared" si="46"/>
        <v>5.7896999999999998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47"/>
        <v>0808-04</v>
      </c>
      <c r="AE170" s="91" t="str">
        <f t="shared" si="48"/>
        <v>aws s3 cp s3://rtdc.mdm.uploadarchive.raw/RTDC4010/ "%USERPROFILE%\AppData\Local\Temp\OnboardLogs"\RTDC4010\2016-11-04 --exclude "*" --recursive --include "*20161104*" &amp; "%USERPROFILE%\Documents\GitHub\mrs-test-scripts\Headless Mode &amp; Sideloading\WalkAndUnGZ.bat" "%USERPROFILE%\AppData\Local\Temp\OnboardLogs"\RTDC4010\2016-11-04 &amp; aws s3 cp s3://rtdc.mdm.uploadarchive.raw/RTDC4010/ "%USERPROFILE%\AppData\Local\Temp\OnboardLogs"\RTDC4010\2016-11-05 --exclude "*" --recursive --include "*20161105*" &amp; "%USERPROFILE%\Documents\GitHub\mrs-test-scripts\Headless Mode &amp; Sideloading\WalkAndUnGZ.bat" "%USERPROFILE%\AppData\Local\Temp\OnboardLogs"\RTDC4010\2016-11-05</v>
      </c>
      <c r="AF170" s="88" t="str">
        <f t="shared" si="49"/>
        <v>"C:\Program Files (x86)\AstroGrep\AstroGrep.exe" /spath="%USERPROFILE%\AppData\Local\Temp\OnboardLogs" /stypes="app*4010*20161104*" /stext=" 13:.+((SYSTEM_STATE.+slice.+state.+changed )|(ment ac)|(system.+state.+changed )|(\[timeout)|(PRM\|1\|D)|(kpr)|(kdp)|(\|loc)|(penalty))" /e /r /s</v>
      </c>
      <c r="AG170" s="1" t="str">
        <f t="shared" si="50"/>
        <v>NW</v>
      </c>
      <c r="AH170" s="92" t="str">
        <f t="shared" si="51"/>
        <v>"%USERPROFILE%\Documents\GitHub\eaglep3\Utilities\RefineRTDCRunTimes.py" --tripid 808-04 --locoid 4010 --swversion DE.1.0.8.0 --startMP 300:58624 --initTime 2016-11-04T07:36:35 --startdatetime 2016-11-04T07:40:15 --delay 1 --endMP 204:727 --enddatetime 2016-11-04T07:55:33 --enforcementcount 0 &gt;&gt;C:\Users\stu\Documents\GitHub\eaglep3-reporting\EC\2016-11-04-refined-times.txt</v>
      </c>
      <c r="AI170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{"issue":{"subject":"","project_id":79,"tracker_id":40,"status_id":1,"priority_id":2,"assigned_to_id":23,"start_date":"2016-11-04","description":"","custom_fields":[{"id":1,"name":"Subdivision","value":"NW"},{"id":4,"name":"Milepost","value":"0.0727"},{"id":17,"name":"Train ID","value":"808-04"},{"id":16,"name":"Locomotive ID","value":"4010"},{"id":130,"name":"Impact","value":""},{"id":150,"name":"Time of Event (Mountain Time)","value":"07:55:33"},{"id":151,"name":"Denver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473</v>
      </c>
      <c r="B171" s="7">
        <v>4011</v>
      </c>
      <c r="C171" s="22" t="s">
        <v>239</v>
      </c>
      <c r="D171" s="22" t="s">
        <v>728</v>
      </c>
      <c r="E171" s="13">
        <v>42678.312210648146</v>
      </c>
      <c r="F171" s="13">
        <v>42678.327222222222</v>
      </c>
      <c r="G171" s="7">
        <v>1</v>
      </c>
      <c r="H171" s="22" t="s">
        <v>729</v>
      </c>
      <c r="I171" s="13">
        <v>42678.336168981485</v>
      </c>
      <c r="J171" s="7">
        <v>0</v>
      </c>
      <c r="K171" s="112" t="str">
        <f t="shared" si="36"/>
        <v>4011/4012</v>
      </c>
      <c r="L171" s="22" t="str">
        <f>VLOOKUP(A171,'Trips&amp;Operators'!$C$1:$E$10000,3,FALSE)</f>
        <v>ROBINSON</v>
      </c>
      <c r="M171" s="6">
        <f t="shared" si="37"/>
        <v>8.9467592624714598E-3</v>
      </c>
      <c r="N171" s="7">
        <f t="shared" si="38"/>
        <v>12.883333337958902</v>
      </c>
      <c r="O171" s="7"/>
      <c r="P171" s="7"/>
      <c r="Q171" s="23"/>
      <c r="R171" s="23"/>
      <c r="S171" s="35">
        <f t="shared" si="39"/>
        <v>1</v>
      </c>
      <c r="T171" s="50" t="str">
        <f t="shared" si="40"/>
        <v>NorthBound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06:29:35-0600',mode:absolute,to:'2016-11-04 09:04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1" s="52" t="str">
        <f t="shared" si="42"/>
        <v>N</v>
      </c>
      <c r="X171" s="177">
        <f t="shared" si="43"/>
        <v>1</v>
      </c>
      <c r="Y171" s="67">
        <f t="shared" si="44"/>
        <v>9.8299999999999998E-2</v>
      </c>
      <c r="Z171" s="67">
        <f t="shared" si="45"/>
        <v>5.8954000000000004</v>
      </c>
      <c r="AA171" s="67">
        <f t="shared" si="46"/>
        <v>5.7971000000000004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47"/>
        <v>0809-04</v>
      </c>
      <c r="AE171" s="91" t="str">
        <f t="shared" si="48"/>
        <v>aws s3 cp s3://rtdc.mdm.uploadarchive.raw/RTDC4011/ "%USERPROFILE%\AppData\Local\Temp\OnboardLogs"\RTDC4011\2016-11-04 --exclude "*" --recursive --include "*20161104*" &amp; "%USERPROFILE%\Documents\GitHub\mrs-test-scripts\Headless Mode &amp; Sideloading\WalkAndUnGZ.bat" "%USERPROFILE%\AppData\Local\Temp\OnboardLogs"\RTDC4011\2016-11-04 &amp; 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</v>
      </c>
      <c r="AF171" s="88" t="str">
        <f t="shared" si="49"/>
        <v>"C:\Program Files (x86)\AstroGrep\AstroGrep.exe" /spath="%USERPROFILE%\AppData\Local\Temp\OnboardLogs" /stypes="app*4011*20161104*" /stext=" 14:.+((SYSTEM_STATE.+slice.+state.+changed )|(ment ac)|(system.+state.+changed )|(\[timeout)|(PRM\|1\|D)|(kpr)|(kdp)|(\|loc)|(penalty))" /e /r /s</v>
      </c>
      <c r="AG171" s="1" t="str">
        <f t="shared" si="50"/>
        <v>NW</v>
      </c>
      <c r="AH171" s="92" t="str">
        <f t="shared" si="51"/>
        <v>"%USERPROFILE%\Documents\GitHub\eaglep3\Utilities\RefineRTDCRunTimes.py" --tripid 809-04 --locoid 4011 --swversion DE.1.0.8.0 --startMP 204:983 --initTime 2016-11-04T07:29:35 --startdatetime 2016-11-04T07:51:12 --delay 1 --endMP 300:58954 --enddatetime 2016-11-04T08:04:05 --enforcementcount 0 &gt;&gt;C:\Users\stu\Documents\GitHub\eaglep3-reporting\EC\2016-11-04-refined-times.txt</v>
      </c>
      <c r="AI171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{"issue":{"subject":"","project_id":79,"tracker_id":40,"status_id":1,"priority_id":2,"assigned_to_id":23,"start_date":"2016-11-04","description":"","custom_fields":[{"id":1,"name":"Subdivision","value":"NW"},{"id":4,"name":"Milepost","value":"5.8954"},{"id":17,"name":"Train ID","value":"809-04"},{"id":16,"name":"Locomotive ID","value":"4011"},{"id":130,"name":"Impact","value":""},{"id":150,"name":"Time of Event (Mountain Time)","value":"08:04:05"},{"id":151,"name":"Denver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478</v>
      </c>
      <c r="B172" s="7">
        <v>4012</v>
      </c>
      <c r="C172" s="22" t="s">
        <v>239</v>
      </c>
      <c r="D172" s="22" t="s">
        <v>730</v>
      </c>
      <c r="E172" s="13">
        <v>42678.337523148148</v>
      </c>
      <c r="F172" s="13">
        <v>42678.339004629626</v>
      </c>
      <c r="G172" s="7">
        <v>1</v>
      </c>
      <c r="H172" s="22" t="s">
        <v>731</v>
      </c>
      <c r="I172" s="13">
        <v>42678.351168981484</v>
      </c>
      <c r="J172" s="7">
        <v>0</v>
      </c>
      <c r="K172" s="112" t="str">
        <f t="shared" si="36"/>
        <v>4011/4012</v>
      </c>
      <c r="L172" s="22" t="str">
        <f>VLOOKUP(A172,'Trips&amp;Operators'!$C$1:$E$10000,3,FALSE)</f>
        <v>ROBINSON</v>
      </c>
      <c r="M172" s="6">
        <f t="shared" si="37"/>
        <v>1.2164351857791189E-2</v>
      </c>
      <c r="N172" s="7">
        <f t="shared" si="38"/>
        <v>17.516666675219312</v>
      </c>
      <c r="O172" s="7"/>
      <c r="P172" s="7"/>
      <c r="Q172" s="23"/>
      <c r="R172" s="23"/>
      <c r="S172" s="35">
        <f t="shared" si="39"/>
        <v>1</v>
      </c>
      <c r="T172" s="50" t="str">
        <f t="shared" si="40"/>
        <v>Southbound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07:06:02-0600',mode:absolute,to:'2016-11-04 09:25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2" s="52" t="str">
        <f t="shared" si="42"/>
        <v>N</v>
      </c>
      <c r="X172" s="177">
        <f t="shared" si="43"/>
        <v>1</v>
      </c>
      <c r="Y172" s="67">
        <f t="shared" si="44"/>
        <v>5.8632</v>
      </c>
      <c r="Z172" s="67">
        <f t="shared" si="45"/>
        <v>1.2200000000000001E-2</v>
      </c>
      <c r="AA172" s="67">
        <f t="shared" si="46"/>
        <v>5.851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47"/>
        <v>0810-04</v>
      </c>
      <c r="AE172" s="91" t="str">
        <f t="shared" si="48"/>
        <v>aws s3 cp s3://rtdc.mdm.uploadarchive.raw/RTDC4012/ "%USERPROFILE%\AppData\Local\Temp\OnboardLogs"\RTDC4012\2016-11-04 --exclude "*" --recursive --include "*20161104*" &amp; "%USERPROFILE%\Documents\GitHub\mrs-test-scripts\Headless Mode &amp; Sideloading\WalkAndUnGZ.bat" "%USERPROFILE%\AppData\Local\Temp\OnboardLogs"\RTDC4012\2016-11-04 &amp; 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</v>
      </c>
      <c r="AF172" s="88" t="str">
        <f t="shared" si="49"/>
        <v>"C:\Program Files (x86)\AstroGrep\AstroGrep.exe" /spath="%USERPROFILE%\AppData\Local\Temp\OnboardLogs" /stypes="app*4012*20161104*" /stext=" 14:.+((SYSTEM_STATE.+slice.+state.+changed )|(ment ac)|(system.+state.+changed )|(\[timeout)|(PRM\|1\|D)|(kpr)|(kdp)|(\|loc)|(penalty))" /e /r /s</v>
      </c>
      <c r="AG172" s="1" t="str">
        <f t="shared" si="50"/>
        <v>NW</v>
      </c>
      <c r="AH172" s="92" t="str">
        <f t="shared" si="51"/>
        <v>"%USERPROFILE%\Documents\GitHub\eaglep3\Utilities\RefineRTDCRunTimes.py" --tripid 810-04 --locoid 4012 --swversion DE.1.0.8.0 --startMP 300:58632 --initTime 2016-11-04T08:06:02 --startdatetime 2016-11-04T08:08:10 --delay 1 --endMP 204:122 --enddatetime 2016-11-04T08:25:41 --enforcementcount 0 &gt;&gt;C:\Users\stu\Documents\GitHub\eaglep3-reporting\EC\2016-11-04-refined-times.txt</v>
      </c>
      <c r="AI172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{"issue":{"subject":"","project_id":79,"tracker_id":40,"status_id":1,"priority_id":2,"assigned_to_id":23,"start_date":"2016-11-04","description":"","custom_fields":[{"id":1,"name":"Subdivision","value":"NW"},{"id":4,"name":"Milepost","value":"0.0122"},{"id":17,"name":"Train ID","value":"810-04"},{"id":16,"name":"Locomotive ID","value":"4012"},{"id":130,"name":"Impact","value":""},{"id":150,"name":"Time of Event (Mountain Time)","value":"08:25:41"},{"id":151,"name":"Denver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477</v>
      </c>
      <c r="B173" s="7">
        <v>4009</v>
      </c>
      <c r="C173" s="22" t="s">
        <v>239</v>
      </c>
      <c r="D173" s="22" t="s">
        <v>732</v>
      </c>
      <c r="E173" s="13">
        <v>42678.335324074076</v>
      </c>
      <c r="F173" s="13">
        <v>42678.348078703704</v>
      </c>
      <c r="G173" s="7">
        <v>0</v>
      </c>
      <c r="H173" s="22" t="s">
        <v>733</v>
      </c>
      <c r="I173" s="13">
        <v>42678.356446759259</v>
      </c>
      <c r="J173" s="7">
        <v>0</v>
      </c>
      <c r="K173" s="112" t="str">
        <f t="shared" si="36"/>
        <v>4009/4010</v>
      </c>
      <c r="L173" s="22" t="str">
        <f>VLOOKUP(A173,'Trips&amp;Operators'!$C$1:$E$10000,3,FALSE)</f>
        <v>LALONDE</v>
      </c>
      <c r="M173" s="6">
        <f t="shared" si="37"/>
        <v>8.3680555544560775E-3</v>
      </c>
      <c r="N173" s="7">
        <f t="shared" si="38"/>
        <v>12.049999998416752</v>
      </c>
      <c r="O173" s="7"/>
      <c r="P173" s="7"/>
      <c r="Q173" s="23"/>
      <c r="R173" s="23"/>
      <c r="S173" s="35">
        <f t="shared" si="39"/>
        <v>1</v>
      </c>
      <c r="T173" s="50" t="str">
        <f t="shared" si="40"/>
        <v>NorthBound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07:02:52-0600',mode:absolute,to:'2016-11-04 09:33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3" s="52" t="str">
        <f t="shared" si="42"/>
        <v>N</v>
      </c>
      <c r="X173" s="177">
        <f t="shared" si="43"/>
        <v>1</v>
      </c>
      <c r="Y173" s="67">
        <f t="shared" si="44"/>
        <v>0.1018</v>
      </c>
      <c r="Z173" s="67">
        <f t="shared" si="45"/>
        <v>5.8924000000000003</v>
      </c>
      <c r="AA173" s="67">
        <f t="shared" si="46"/>
        <v>5.7906000000000004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47"/>
        <v>0811-04</v>
      </c>
      <c r="AE173" s="91" t="str">
        <f t="shared" si="48"/>
        <v>aws s3 cp s3://rtdc.mdm.uploadarchive.raw/RTDC4009/ "%USERPROFILE%\AppData\Local\Temp\OnboardLogs"\RTDC4009\2016-11-04 --exclude "*" --recursive --include "*20161104*" &amp; "%USERPROFILE%\Documents\GitHub\mrs-test-scripts\Headless Mode &amp; Sideloading\WalkAndUnGZ.bat" "%USERPROFILE%\AppData\Local\Temp\OnboardLogs"\RTDC4009\2016-11-04 &amp; aws s3 cp s3://rtdc.mdm.uploadarchive.raw/RTDC4009/ "%USERPROFILE%\AppData\Local\Temp\OnboardLogs"\RTDC4009\2016-11-05 --exclude "*" --recursive --include "*20161105*" &amp; "%USERPROFILE%\Documents\GitHub\mrs-test-scripts\Headless Mode &amp; Sideloading\WalkAndUnGZ.bat" "%USERPROFILE%\AppData\Local\Temp\OnboardLogs"\RTDC4009\2016-11-05</v>
      </c>
      <c r="AF173" s="88" t="str">
        <f t="shared" si="49"/>
        <v>"C:\Program Files (x86)\AstroGrep\AstroGrep.exe" /spath="%USERPROFILE%\AppData\Local\Temp\OnboardLogs" /stypes="app*4009*20161104*" /stext=" 14:.+((SYSTEM_STATE.+slice.+state.+changed )|(ment ac)|(system.+state.+changed )|(\[timeout)|(PRM\|1\|D)|(kpr)|(kdp)|(\|loc)|(penalty))" /e /r /s</v>
      </c>
      <c r="AG173" s="1" t="str">
        <f t="shared" si="50"/>
        <v>NW</v>
      </c>
      <c r="AH173" s="92" t="str">
        <f t="shared" si="51"/>
        <v>"%USERPROFILE%\Documents\GitHub\eaglep3\Utilities\RefineRTDCRunTimes.py" --tripid 811-04 --locoid 4009 --swversion DE.1.0.8.0 --startMP 204:1018 --initTime 2016-11-04T08:02:52 --startdatetime 2016-11-04T08:21:14 --delay 0 --endMP 300:58924 --enddatetime 2016-11-04T08:33:17 --enforcementcount 0 &gt;&gt;C:\Users\stu\Documents\GitHub\eaglep3-reporting\EC\2016-11-04-refined-times.txt</v>
      </c>
      <c r="AI173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{"issue":{"subject":"","project_id":79,"tracker_id":40,"status_id":1,"priority_id":2,"assigned_to_id":23,"start_date":"2016-11-04","description":"","custom_fields":[{"id":1,"name":"Subdivision","value":"NW"},{"id":4,"name":"Milepost","value":"5.8924"},{"id":17,"name":"Train ID","value":"811-04"},{"id":16,"name":"Locomotive ID","value":"4009"},{"id":130,"name":"Impact","value":""},{"id":150,"name":"Time of Event (Mountain Time)","value":"08:33:17"},{"id":151,"name":"Denver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483</v>
      </c>
      <c r="B174" s="7">
        <v>4010</v>
      </c>
      <c r="C174" s="22" t="s">
        <v>239</v>
      </c>
      <c r="D174" s="22" t="s">
        <v>321</v>
      </c>
      <c r="E174" s="13">
        <v>42678.358518518522</v>
      </c>
      <c r="F174" s="13">
        <v>42678.361481481479</v>
      </c>
      <c r="G174" s="7">
        <v>0</v>
      </c>
      <c r="H174" s="22" t="s">
        <v>734</v>
      </c>
      <c r="I174" s="13">
        <v>42678.370625000003</v>
      </c>
      <c r="J174" s="7">
        <v>0</v>
      </c>
      <c r="K174" s="112" t="str">
        <f t="shared" si="36"/>
        <v>4009/4010</v>
      </c>
      <c r="L174" s="22" t="str">
        <f>VLOOKUP(A174,'Trips&amp;Operators'!$C$1:$E$10000,3,FALSE)</f>
        <v>LALONDE</v>
      </c>
      <c r="M174" s="6">
        <f t="shared" si="37"/>
        <v>9.1435185240698047E-3</v>
      </c>
      <c r="N174" s="7">
        <f t="shared" si="38"/>
        <v>13.166666674660519</v>
      </c>
      <c r="O174" s="7"/>
      <c r="P174" s="7"/>
      <c r="Q174" s="23"/>
      <c r="R174" s="23"/>
      <c r="S174" s="35">
        <f t="shared" si="39"/>
        <v>1</v>
      </c>
      <c r="T174" s="50" t="str">
        <f t="shared" si="40"/>
        <v>Southbound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07:36:16-0600',mode:absolute,to:'2016-11-04 09:53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4" s="52" t="str">
        <f t="shared" si="42"/>
        <v>N</v>
      </c>
      <c r="X174" s="177">
        <f t="shared" si="43"/>
        <v>1</v>
      </c>
      <c r="Y174" s="67">
        <f t="shared" si="44"/>
        <v>5.8611000000000004</v>
      </c>
      <c r="Z174" s="67">
        <f t="shared" si="45"/>
        <v>4.8800000000000003E-2</v>
      </c>
      <c r="AA174" s="67">
        <f t="shared" si="46"/>
        <v>5.8123000000000005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47"/>
        <v>0812-04</v>
      </c>
      <c r="AE174" s="91" t="str">
        <f t="shared" si="48"/>
        <v>aws s3 cp s3://rtdc.mdm.uploadarchive.raw/RTDC4010/ "%USERPROFILE%\AppData\Local\Temp\OnboardLogs"\RTDC4010\2016-11-04 --exclude "*" --recursive --include "*20161104*" &amp; "%USERPROFILE%\Documents\GitHub\mrs-test-scripts\Headless Mode &amp; Sideloading\WalkAndUnGZ.bat" "%USERPROFILE%\AppData\Local\Temp\OnboardLogs"\RTDC4010\2016-11-04 &amp; aws s3 cp s3://rtdc.mdm.uploadarchive.raw/RTDC4010/ "%USERPROFILE%\AppData\Local\Temp\OnboardLogs"\RTDC4010\2016-11-05 --exclude "*" --recursive --include "*20161105*" &amp; "%USERPROFILE%\Documents\GitHub\mrs-test-scripts\Headless Mode &amp; Sideloading\WalkAndUnGZ.bat" "%USERPROFILE%\AppData\Local\Temp\OnboardLogs"\RTDC4010\2016-11-05</v>
      </c>
      <c r="AF174" s="88" t="str">
        <f t="shared" si="49"/>
        <v>"C:\Program Files (x86)\AstroGrep\AstroGrep.exe" /spath="%USERPROFILE%\AppData\Local\Temp\OnboardLogs" /stypes="app*4010*20161104*" /stext=" 14:.+((SYSTEM_STATE.+slice.+state.+changed )|(ment ac)|(system.+state.+changed )|(\[timeout)|(PRM\|1\|D)|(kpr)|(kdp)|(\|loc)|(penalty))" /e /r /s</v>
      </c>
      <c r="AG174" s="1" t="str">
        <f t="shared" si="50"/>
        <v>NW</v>
      </c>
      <c r="AH174" s="92" t="str">
        <f t="shared" si="51"/>
        <v>"%USERPROFILE%\Documents\GitHub\eaglep3\Utilities\RefineRTDCRunTimes.py" --tripid 812-04 --locoid 4010 --swversion DE.1.0.8.0 --startMP 300:58611 --initTime 2016-11-04T08:36:16 --startdatetime 2016-11-04T08:40:32 --delay 0 --endMP 204:488 --enddatetime 2016-11-04T08:53:42 --enforcementcount 0 &gt;&gt;C:\Users\stu\Documents\GitHub\eaglep3-reporting\EC\2016-11-04-refined-times.txt</v>
      </c>
      <c r="AI174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{"issue":{"subject":"","project_id":79,"tracker_id":40,"status_id":1,"priority_id":2,"assigned_to_id":23,"start_date":"2016-11-04","description":"","custom_fields":[{"id":1,"name":"Subdivision","value":"NW"},{"id":4,"name":"Milepost","value":"0.0488"},{"id":17,"name":"Train ID","value":"812-04"},{"id":16,"name":"Locomotive ID","value":"4010"},{"id":130,"name":"Impact","value":""},{"id":150,"name":"Time of Event (Mountain Time)","value":"08:53:42"},{"id":151,"name":"Denver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489</v>
      </c>
      <c r="B175" s="7">
        <v>4009</v>
      </c>
      <c r="C175" s="22" t="s">
        <v>239</v>
      </c>
      <c r="D175" s="22" t="s">
        <v>735</v>
      </c>
      <c r="E175" s="13">
        <v>42678.383437500001</v>
      </c>
      <c r="F175" s="13">
        <v>42678.389837962961</v>
      </c>
      <c r="G175" s="7">
        <v>2</v>
      </c>
      <c r="H175" s="22" t="s">
        <v>736</v>
      </c>
      <c r="I175" s="13">
        <v>42678.399814814817</v>
      </c>
      <c r="J175" s="7">
        <v>0</v>
      </c>
      <c r="K175" s="112" t="str">
        <f t="shared" si="36"/>
        <v>4009/4010</v>
      </c>
      <c r="L175" s="22" t="str">
        <f>VLOOKUP(A175,'Trips&amp;Operators'!$C$1:$E$10000,3,FALSE)</f>
        <v>LOZA</v>
      </c>
      <c r="M175" s="6">
        <f t="shared" si="37"/>
        <v>9.976851855753921E-3</v>
      </c>
      <c r="N175" s="7">
        <f t="shared" si="38"/>
        <v>14.366666672285646</v>
      </c>
      <c r="O175" s="7"/>
      <c r="P175" s="7"/>
      <c r="Q175" s="23"/>
      <c r="R175" s="23"/>
      <c r="S175" s="35">
        <f t="shared" si="39"/>
        <v>1</v>
      </c>
      <c r="T175" s="50" t="str">
        <f t="shared" si="40"/>
        <v>NorthBound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08:12:09-0600',mode:absolute,to:'2016-11-04 10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5" s="52" t="str">
        <f t="shared" si="42"/>
        <v>N</v>
      </c>
      <c r="X175" s="177">
        <f t="shared" si="43"/>
        <v>1</v>
      </c>
      <c r="Y175" s="67">
        <f t="shared" si="44"/>
        <v>8.0199999999999994E-2</v>
      </c>
      <c r="Z175" s="67">
        <f t="shared" si="45"/>
        <v>5.8944000000000001</v>
      </c>
      <c r="AA175" s="67">
        <f t="shared" si="46"/>
        <v>5.8142000000000005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47"/>
        <v>0813-04</v>
      </c>
      <c r="AE175" s="91" t="str">
        <f t="shared" si="48"/>
        <v>aws s3 cp s3://rtdc.mdm.uploadarchive.raw/RTDC4009/ "%USERPROFILE%\AppData\Local\Temp\OnboardLogs"\RTDC4009\2016-11-04 --exclude "*" --recursive --include "*20161104*" &amp; "%USERPROFILE%\Documents\GitHub\mrs-test-scripts\Headless Mode &amp; Sideloading\WalkAndUnGZ.bat" "%USERPROFILE%\AppData\Local\Temp\OnboardLogs"\RTDC4009\2016-11-04 &amp; aws s3 cp s3://rtdc.mdm.uploadarchive.raw/RTDC4009/ "%USERPROFILE%\AppData\Local\Temp\OnboardLogs"\RTDC4009\2016-11-05 --exclude "*" --recursive --include "*20161105*" &amp; "%USERPROFILE%\Documents\GitHub\mrs-test-scripts\Headless Mode &amp; Sideloading\WalkAndUnGZ.bat" "%USERPROFILE%\AppData\Local\Temp\OnboardLogs"\RTDC4009\2016-11-05</v>
      </c>
      <c r="AF175" s="88" t="str">
        <f t="shared" si="49"/>
        <v>"C:\Program Files (x86)\AstroGrep\AstroGrep.exe" /spath="%USERPROFILE%\AppData\Local\Temp\OnboardLogs" /stypes="app*4009*20161104*" /stext=" 15:.+((SYSTEM_STATE.+slice.+state.+changed )|(ment ac)|(system.+state.+changed )|(\[timeout)|(PRM\|1\|D)|(kpr)|(kdp)|(\|loc)|(penalty))" /e /r /s</v>
      </c>
      <c r="AG175" s="1" t="str">
        <f t="shared" si="50"/>
        <v>NW</v>
      </c>
      <c r="AH175" s="92" t="str">
        <f t="shared" si="51"/>
        <v>"%USERPROFILE%\Documents\GitHub\eaglep3\Utilities\RefineRTDCRunTimes.py" --tripid 813-04 --locoid 4009 --swversion DE.1.0.8.0 --startMP 204:802 --initTime 2016-11-04T09:12:09 --startdatetime 2016-11-04T09:21:22 --delay 2 --endMP 300:58944 --enddatetime 2016-11-04T09:35:44 --enforcementcount 0 &gt;&gt;C:\Users\stu\Documents\GitHub\eaglep3-reporting\EC\2016-11-04-refined-times.txt</v>
      </c>
      <c r="AI175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{"issue":{"subject":"","project_id":79,"tracker_id":40,"status_id":1,"priority_id":2,"assigned_to_id":23,"start_date":"2016-11-04","description":"","custom_fields":[{"id":1,"name":"Subdivision","value":"NW"},{"id":4,"name":"Milepost","value":"5.8944"},{"id":17,"name":"Train ID","value":"813-04"},{"id":16,"name":"Locomotive ID","value":"4009"},{"id":130,"name":"Impact","value":""},{"id":150,"name":"Time of Event (Mountain Time)","value":"09:35:44"},{"id":151,"name":"Denver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493</v>
      </c>
      <c r="B176" s="7">
        <v>4010</v>
      </c>
      <c r="C176" s="22" t="s">
        <v>239</v>
      </c>
      <c r="D176" s="22" t="s">
        <v>730</v>
      </c>
      <c r="E176" s="13">
        <v>42678.401192129626</v>
      </c>
      <c r="F176" s="13">
        <v>42678.403726851851</v>
      </c>
      <c r="G176" s="7">
        <v>2</v>
      </c>
      <c r="H176" s="22" t="s">
        <v>737</v>
      </c>
      <c r="I176" s="13">
        <v>42678.413472222222</v>
      </c>
      <c r="J176" s="7">
        <v>0</v>
      </c>
      <c r="K176" s="112" t="str">
        <f t="shared" si="36"/>
        <v>4009/4010</v>
      </c>
      <c r="L176" s="22" t="str">
        <f>VLOOKUP(A176,'Trips&amp;Operators'!$C$1:$E$10000,3,FALSE)</f>
        <v>LOZA</v>
      </c>
      <c r="M176" s="6">
        <f t="shared" si="37"/>
        <v>9.7453703710925765E-3</v>
      </c>
      <c r="N176" s="7">
        <f t="shared" si="38"/>
        <v>14.03333333437331</v>
      </c>
      <c r="O176" s="7"/>
      <c r="P176" s="7"/>
      <c r="Q176" s="23"/>
      <c r="R176" s="23"/>
      <c r="S176" s="35">
        <f t="shared" si="39"/>
        <v>1</v>
      </c>
      <c r="T176" s="50" t="str">
        <f t="shared" si="40"/>
        <v>Southbound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08:37:43-0600',mode:absolute,to:'2016-11-04 10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6" s="52" t="str">
        <f t="shared" si="42"/>
        <v>N</v>
      </c>
      <c r="X176" s="177">
        <f t="shared" si="43"/>
        <v>1</v>
      </c>
      <c r="Y176" s="67">
        <f t="shared" si="44"/>
        <v>5.8632</v>
      </c>
      <c r="Z176" s="67">
        <f t="shared" si="45"/>
        <v>1.44E-2</v>
      </c>
      <c r="AA176" s="67">
        <f t="shared" si="46"/>
        <v>5.8487999999999998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47"/>
        <v>0814-04</v>
      </c>
      <c r="AE176" s="91" t="str">
        <f t="shared" si="48"/>
        <v>aws s3 cp s3://rtdc.mdm.uploadarchive.raw/RTDC4010/ "%USERPROFILE%\AppData\Local\Temp\OnboardLogs"\RTDC4010\2016-11-04 --exclude "*" --recursive --include "*20161104*" &amp; "%USERPROFILE%\Documents\GitHub\mrs-test-scripts\Headless Mode &amp; Sideloading\WalkAndUnGZ.bat" "%USERPROFILE%\AppData\Local\Temp\OnboardLogs"\RTDC4010\2016-11-04 &amp; aws s3 cp s3://rtdc.mdm.uploadarchive.raw/RTDC4010/ "%USERPROFILE%\AppData\Local\Temp\OnboardLogs"\RTDC4010\2016-11-05 --exclude "*" --recursive --include "*20161105*" &amp; "%USERPROFILE%\Documents\GitHub\mrs-test-scripts\Headless Mode &amp; Sideloading\WalkAndUnGZ.bat" "%USERPROFILE%\AppData\Local\Temp\OnboardLogs"\RTDC4010\2016-11-05</v>
      </c>
      <c r="AF176" s="88" t="str">
        <f t="shared" si="49"/>
        <v>"C:\Program Files (x86)\AstroGrep\AstroGrep.exe" /spath="%USERPROFILE%\AppData\Local\Temp\OnboardLogs" /stypes="app*4010*20161104*" /stext=" 15:.+((SYSTEM_STATE.+slice.+state.+changed )|(ment ac)|(system.+state.+changed )|(\[timeout)|(PRM\|1\|D)|(kpr)|(kdp)|(\|loc)|(penalty))" /e /r /s</v>
      </c>
      <c r="AG176" s="1" t="str">
        <f t="shared" si="50"/>
        <v>NW</v>
      </c>
      <c r="AH176" s="92" t="str">
        <f t="shared" si="51"/>
        <v>"%USERPROFILE%\Documents\GitHub\eaglep3\Utilities\RefineRTDCRunTimes.py" --tripid 814-04 --locoid 4010 --swversion DE.1.0.8.0 --startMP 300:58632 --initTime 2016-11-04T09:37:43 --startdatetime 2016-11-04T09:41:22 --delay 2 --endMP 204:144 --enddatetime 2016-11-04T09:55:24 --enforcementcount 0 &gt;&gt;C:\Users\stu\Documents\GitHub\eaglep3-reporting\EC\2016-11-04-refined-times.txt</v>
      </c>
      <c r="AI176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{"issue":{"subject":"","project_id":79,"tracker_id":40,"status_id":1,"priority_id":2,"assigned_to_id":23,"start_date":"2016-11-04","description":"","custom_fields":[{"id":1,"name":"Subdivision","value":"NW"},{"id":4,"name":"Milepost","value":"0.0144"},{"id":17,"name":"Train ID","value":"814-04"},{"id":16,"name":"Locomotive ID","value":"4010"},{"id":130,"name":"Impact","value":""},{"id":150,"name":"Time of Event (Mountain Time)","value":"09:55:24"},{"id":151,"name":"Denver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7" t="s">
        <v>498</v>
      </c>
      <c r="B177" s="7">
        <v>4009</v>
      </c>
      <c r="C177" s="22" t="s">
        <v>239</v>
      </c>
      <c r="D177" s="22" t="s">
        <v>233</v>
      </c>
      <c r="E177" s="13">
        <v>42678.428020833337</v>
      </c>
      <c r="F177" s="13">
        <v>42678.431446759256</v>
      </c>
      <c r="G177" s="7">
        <v>2</v>
      </c>
      <c r="H177" s="22" t="s">
        <v>729</v>
      </c>
      <c r="I177" s="13">
        <v>42678.440694444442</v>
      </c>
      <c r="J177" s="7">
        <v>0</v>
      </c>
      <c r="K177" s="112" t="str">
        <f t="shared" si="36"/>
        <v>4009/4010</v>
      </c>
      <c r="L177" s="22" t="str">
        <f>VLOOKUP(A177,'Trips&amp;Operators'!$C$1:$E$10000,3,FALSE)</f>
        <v>LOZA</v>
      </c>
      <c r="M177" s="6">
        <f t="shared" si="37"/>
        <v>9.2476851859828457E-3</v>
      </c>
      <c r="N177" s="7">
        <f t="shared" si="38"/>
        <v>13.316666667815298</v>
      </c>
      <c r="O177" s="7"/>
      <c r="P177" s="7"/>
      <c r="Q177" s="23"/>
      <c r="R177" s="23"/>
      <c r="S177" s="35">
        <f t="shared" si="39"/>
        <v>1</v>
      </c>
      <c r="T177" s="50" t="str">
        <f t="shared" si="40"/>
        <v>NorthBound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09:16:21-0600',mode:absolute,to:'2016-11-04 11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7" s="52" t="str">
        <f t="shared" si="42"/>
        <v>N</v>
      </c>
      <c r="X177" s="177">
        <f t="shared" si="43"/>
        <v>1</v>
      </c>
      <c r="Y177" s="67">
        <f t="shared" si="44"/>
        <v>4.5699999999999998E-2</v>
      </c>
      <c r="Z177" s="67">
        <f t="shared" si="45"/>
        <v>5.8954000000000004</v>
      </c>
      <c r="AA177" s="67">
        <f t="shared" si="46"/>
        <v>5.8497000000000003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47"/>
        <v>0815-04</v>
      </c>
      <c r="AE177" s="91" t="str">
        <f t="shared" si="48"/>
        <v>aws s3 cp s3://rtdc.mdm.uploadarchive.raw/RTDC4009/ "%USERPROFILE%\AppData\Local\Temp\OnboardLogs"\RTDC4009\2016-11-04 --exclude "*" --recursive --include "*20161104*" &amp; "%USERPROFILE%\Documents\GitHub\mrs-test-scripts\Headless Mode &amp; Sideloading\WalkAndUnGZ.bat" "%USERPROFILE%\AppData\Local\Temp\OnboardLogs"\RTDC4009\2016-11-04 &amp; aws s3 cp s3://rtdc.mdm.uploadarchive.raw/RTDC4009/ "%USERPROFILE%\AppData\Local\Temp\OnboardLogs"\RTDC4009\2016-11-05 --exclude "*" --recursive --include "*20161105*" &amp; "%USERPROFILE%\Documents\GitHub\mrs-test-scripts\Headless Mode &amp; Sideloading\WalkAndUnGZ.bat" "%USERPROFILE%\AppData\Local\Temp\OnboardLogs"\RTDC4009\2016-11-05</v>
      </c>
      <c r="AF177" s="88" t="str">
        <f t="shared" si="49"/>
        <v>"C:\Program Files (x86)\AstroGrep\AstroGrep.exe" /spath="%USERPROFILE%\AppData\Local\Temp\OnboardLogs" /stypes="app*4009*20161104*" /stext=" 16:.+((SYSTEM_STATE.+slice.+state.+changed )|(ment ac)|(system.+state.+changed )|(\[timeout)|(PRM\|1\|D)|(kpr)|(kdp)|(\|loc)|(penalty))" /e /r /s</v>
      </c>
      <c r="AG177" s="1" t="str">
        <f t="shared" si="50"/>
        <v>NW</v>
      </c>
      <c r="AH177" s="92" t="str">
        <f t="shared" si="51"/>
        <v>"%USERPROFILE%\Documents\GitHub\eaglep3\Utilities\RefineRTDCRunTimes.py" --tripid 815-04 --locoid 4009 --swversion DE.1.0.8.0 --startMP 204:457 --initTime 2016-11-04T10:16:21 --startdatetime 2016-11-04T10:21:17 --delay 2 --endMP 300:58954 --enddatetime 2016-11-04T10:34:36 --enforcementcount 0 &gt;&gt;C:\Users\stu\Documents\GitHub\eaglep3-reporting\EC\2016-11-04-refined-times.txt</v>
      </c>
      <c r="AI177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{"issue":{"subject":"","project_id":79,"tracker_id":40,"status_id":1,"priority_id":2,"assigned_to_id":23,"start_date":"2016-11-04","description":"","custom_fields":[{"id":1,"name":"Subdivision","value":"NW"},{"id":4,"name":"Milepost","value":"5.8954"},{"id":17,"name":"Train ID","value":"815-04"},{"id":16,"name":"Locomotive ID","value":"4009"},{"id":130,"name":"Impact","value":""},{"id":150,"name":"Time of Event (Mountain Time)","value":"10:34:36"},{"id":151,"name":"Denver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502</v>
      </c>
      <c r="B178" s="7">
        <v>4010</v>
      </c>
      <c r="C178" s="22" t="s">
        <v>239</v>
      </c>
      <c r="D178" s="22" t="s">
        <v>738</v>
      </c>
      <c r="E178" s="13">
        <v>42678.442152777781</v>
      </c>
      <c r="F178" s="13">
        <v>42678.444803240738</v>
      </c>
      <c r="G178" s="7">
        <v>1</v>
      </c>
      <c r="H178" s="22" t="s">
        <v>739</v>
      </c>
      <c r="I178" s="13">
        <v>42678.454467592594</v>
      </c>
      <c r="J178" s="7">
        <v>0</v>
      </c>
      <c r="K178" s="112" t="str">
        <f t="shared" si="36"/>
        <v>4009/4010</v>
      </c>
      <c r="L178" s="22" t="str">
        <f>VLOOKUP(A178,'Trips&amp;Operators'!$C$1:$E$10000,3,FALSE)</f>
        <v>LOZA</v>
      </c>
      <c r="M178" s="6">
        <f t="shared" si="37"/>
        <v>9.6643518554628827E-3</v>
      </c>
      <c r="N178" s="7">
        <f t="shared" si="38"/>
        <v>13.916666671866551</v>
      </c>
      <c r="O178" s="7"/>
      <c r="P178" s="7"/>
      <c r="Q178" s="23"/>
      <c r="R178" s="23"/>
      <c r="S178" s="35">
        <f t="shared" si="39"/>
        <v>1</v>
      </c>
      <c r="T178" s="50" t="str">
        <f t="shared" si="40"/>
        <v>Southbound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09:36:42-0600',mode:absolute,to:'2016-11-04 11:54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78" s="52" t="str">
        <f t="shared" si="42"/>
        <v>N</v>
      </c>
      <c r="X178" s="177">
        <f t="shared" si="43"/>
        <v>1</v>
      </c>
      <c r="Y178" s="67">
        <f t="shared" si="44"/>
        <v>5.8647</v>
      </c>
      <c r="Z178" s="67">
        <f t="shared" si="45"/>
        <v>6.7699999999999996E-2</v>
      </c>
      <c r="AA178" s="67">
        <f t="shared" si="46"/>
        <v>5.7969999999999997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47"/>
        <v>0816-04</v>
      </c>
      <c r="AE178" s="91" t="str">
        <f t="shared" si="48"/>
        <v>aws s3 cp s3://rtdc.mdm.uploadarchive.raw/RTDC4010/ "%USERPROFILE%\AppData\Local\Temp\OnboardLogs"\RTDC4010\2016-11-04 --exclude "*" --recursive --include "*20161104*" &amp; "%USERPROFILE%\Documents\GitHub\mrs-test-scripts\Headless Mode &amp; Sideloading\WalkAndUnGZ.bat" "%USERPROFILE%\AppData\Local\Temp\OnboardLogs"\RTDC4010\2016-11-04 &amp; aws s3 cp s3://rtdc.mdm.uploadarchive.raw/RTDC4010/ "%USERPROFILE%\AppData\Local\Temp\OnboardLogs"\RTDC4010\2016-11-05 --exclude "*" --recursive --include "*20161105*" &amp; "%USERPROFILE%\Documents\GitHub\mrs-test-scripts\Headless Mode &amp; Sideloading\WalkAndUnGZ.bat" "%USERPROFILE%\AppData\Local\Temp\OnboardLogs"\RTDC4010\2016-11-05</v>
      </c>
      <c r="AF178" s="88" t="str">
        <f t="shared" si="49"/>
        <v>"C:\Program Files (x86)\AstroGrep\AstroGrep.exe" /spath="%USERPROFILE%\AppData\Local\Temp\OnboardLogs" /stypes="app*4010*20161104*" /stext=" 16:.+((SYSTEM_STATE.+slice.+state.+changed )|(ment ac)|(system.+state.+changed )|(\[timeout)|(PRM\|1\|D)|(kpr)|(kdp)|(\|loc)|(penalty))" /e /r /s</v>
      </c>
      <c r="AG178" s="1" t="str">
        <f t="shared" si="50"/>
        <v>NW</v>
      </c>
      <c r="AH178" s="92" t="str">
        <f t="shared" si="51"/>
        <v>"%USERPROFILE%\Documents\GitHub\eaglep3\Utilities\RefineRTDCRunTimes.py" --tripid 816-04 --locoid 4010 --swversion DE.1.0.8.0 --startMP 300:58647 --initTime 2016-11-04T10:36:42 --startdatetime 2016-11-04T10:40:31 --delay 1 --endMP 204:677 --enddatetime 2016-11-04T10:54:26 --enforcementcount 0 &gt;&gt;C:\Users\stu\Documents\GitHub\eaglep3-reporting\EC\2016-11-04-refined-times.txt</v>
      </c>
      <c r="AI178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{"issue":{"subject":"","project_id":79,"tracker_id":40,"status_id":1,"priority_id":2,"assigned_to_id":23,"start_date":"2016-11-04","description":"","custom_fields":[{"id":1,"name":"Subdivision","value":"NW"},{"id":4,"name":"Milepost","value":"0.0677"},{"id":17,"name":"Train ID","value":"816-04"},{"id":16,"name":"Locomotive ID","value":"4010"},{"id":130,"name":"Impact","value":""},{"id":150,"name":"Time of Event (Mountain Time)","value":"10:54:26"},{"id":151,"name":"Denver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7" t="s">
        <v>512</v>
      </c>
      <c r="B179" s="7">
        <v>4009</v>
      </c>
      <c r="C179" s="22" t="s">
        <v>239</v>
      </c>
      <c r="D179" s="22" t="s">
        <v>740</v>
      </c>
      <c r="E179" s="13">
        <v>42678.468946759262</v>
      </c>
      <c r="F179" s="13">
        <v>42678.473182870373</v>
      </c>
      <c r="G179" s="7">
        <v>1</v>
      </c>
      <c r="H179" s="22" t="s">
        <v>396</v>
      </c>
      <c r="I179" s="13">
        <v>42678.483680555553</v>
      </c>
      <c r="J179" s="7">
        <v>0</v>
      </c>
      <c r="K179" s="112" t="str">
        <f t="shared" si="36"/>
        <v>4009/4010</v>
      </c>
      <c r="L179" s="22" t="str">
        <f>VLOOKUP(A179,'Trips&amp;Operators'!$C$1:$E$10000,3,FALSE)</f>
        <v>LOPES</v>
      </c>
      <c r="M179" s="6">
        <f t="shared" si="37"/>
        <v>1.0497685179871041E-2</v>
      </c>
      <c r="N179" s="7">
        <f t="shared" si="38"/>
        <v>15.1166666590143</v>
      </c>
      <c r="O179" s="7"/>
      <c r="P179" s="7"/>
      <c r="Q179" s="23"/>
      <c r="R179" s="23"/>
      <c r="S179" s="35">
        <f t="shared" si="39"/>
        <v>1</v>
      </c>
      <c r="T179" s="50" t="str">
        <f t="shared" si="40"/>
        <v>NorthBound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10:15:17-0600',mode:absolute,to:'2016-11-04 12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79" s="52" t="str">
        <f t="shared" si="42"/>
        <v>N</v>
      </c>
      <c r="X179" s="177">
        <f t="shared" si="43"/>
        <v>1</v>
      </c>
      <c r="Y179" s="67">
        <f t="shared" si="44"/>
        <v>9.74E-2</v>
      </c>
      <c r="Z179" s="67">
        <f t="shared" si="45"/>
        <v>5.8940999999999999</v>
      </c>
      <c r="AA179" s="67">
        <f t="shared" si="46"/>
        <v>5.7966999999999995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47"/>
        <v>0817-04</v>
      </c>
      <c r="AE179" s="91" t="str">
        <f t="shared" si="48"/>
        <v>aws s3 cp s3://rtdc.mdm.uploadarchive.raw/RTDC4009/ "%USERPROFILE%\AppData\Local\Temp\OnboardLogs"\RTDC4009\2016-11-04 --exclude "*" --recursive --include "*20161104*" &amp; "%USERPROFILE%\Documents\GitHub\mrs-test-scripts\Headless Mode &amp; Sideloading\WalkAndUnGZ.bat" "%USERPROFILE%\AppData\Local\Temp\OnboardLogs"\RTDC4009\2016-11-04 &amp; aws s3 cp s3://rtdc.mdm.uploadarchive.raw/RTDC4009/ "%USERPROFILE%\AppData\Local\Temp\OnboardLogs"\RTDC4009\2016-11-05 --exclude "*" --recursive --include "*20161105*" &amp; "%USERPROFILE%\Documents\GitHub\mrs-test-scripts\Headless Mode &amp; Sideloading\WalkAndUnGZ.bat" "%USERPROFILE%\AppData\Local\Temp\OnboardLogs"\RTDC4009\2016-11-05</v>
      </c>
      <c r="AF179" s="88" t="str">
        <f t="shared" si="49"/>
        <v>"C:\Program Files (x86)\AstroGrep\AstroGrep.exe" /spath="%USERPROFILE%\AppData\Local\Temp\OnboardLogs" /stypes="app*4009*20161104*" /stext=" 17:.+((SYSTEM_STATE.+slice.+state.+changed )|(ment ac)|(system.+state.+changed )|(\[timeout)|(PRM\|1\|D)|(kpr)|(kdp)|(\|loc)|(penalty))" /e /r /s</v>
      </c>
      <c r="AG179" s="1" t="str">
        <f t="shared" si="50"/>
        <v>NW</v>
      </c>
      <c r="AH179" s="92" t="str">
        <f t="shared" si="51"/>
        <v>"%USERPROFILE%\Documents\GitHub\eaglep3\Utilities\RefineRTDCRunTimes.py" --tripid 817-04 --locoid 4009 --swversion DE.1.0.8.0 --startMP 204:974 --initTime 2016-11-04T11:15:17 --startdatetime 2016-11-04T11:21:23 --delay 1 --endMP 300:58941 --enddatetime 2016-11-04T11:36:30 --enforcementcount 0 &gt;&gt;C:\Users\stu\Documents\GitHub\eaglep3-reporting\EC\2016-11-04-refined-times.txt</v>
      </c>
      <c r="AI179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{"issue":{"subject":"","project_id":79,"tracker_id":40,"status_id":1,"priority_id":2,"assigned_to_id":23,"start_date":"2016-11-04","description":"","custom_fields":[{"id":1,"name":"Subdivision","value":"NW"},{"id":4,"name":"Milepost","value":"5.8941"},{"id":17,"name":"Train ID","value":"817-04"},{"id":16,"name":"Locomotive ID","value":"4009"},{"id":130,"name":"Impact","value":""},{"id":150,"name":"Time of Event (Mountain Time)","value":"11:36:30"},{"id":151,"name":"Denver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s="21" customFormat="1" x14ac:dyDescent="0.25">
      <c r="A180" s="37" t="s">
        <v>515</v>
      </c>
      <c r="B180" s="7">
        <v>4010</v>
      </c>
      <c r="C180" s="22" t="s">
        <v>239</v>
      </c>
      <c r="D180" s="22" t="s">
        <v>402</v>
      </c>
      <c r="E180" s="13">
        <v>42678.485775462963</v>
      </c>
      <c r="F180" s="13">
        <v>42678.487280092595</v>
      </c>
      <c r="G180" s="7">
        <v>1</v>
      </c>
      <c r="H180" s="22" t="s">
        <v>347</v>
      </c>
      <c r="I180" s="13">
        <v>42678.498020833336</v>
      </c>
      <c r="J180" s="7">
        <v>0</v>
      </c>
      <c r="K180" s="112" t="str">
        <f t="shared" si="36"/>
        <v>4009/4010</v>
      </c>
      <c r="L180" s="22" t="str">
        <f>VLOOKUP(A180,'Trips&amp;Operators'!$C$1:$E$10000,3,FALSE)</f>
        <v>LOPES</v>
      </c>
      <c r="M180" s="6">
        <f t="shared" si="37"/>
        <v>1.0740740741312038E-2</v>
      </c>
      <c r="N180" s="7">
        <f t="shared" si="38"/>
        <v>15.466666667489335</v>
      </c>
      <c r="O180" s="7"/>
      <c r="P180" s="7"/>
      <c r="Q180" s="23"/>
      <c r="R180" s="23"/>
      <c r="S180" s="35">
        <f t="shared" si="39"/>
        <v>1</v>
      </c>
      <c r="T180" s="50" t="str">
        <f t="shared" si="40"/>
        <v>Southbound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10:39:31-0600',mode:absolute,to:'2016-11-04 12:57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0" s="52" t="str">
        <f t="shared" si="42"/>
        <v>N</v>
      </c>
      <c r="X180" s="177">
        <f t="shared" si="43"/>
        <v>1</v>
      </c>
      <c r="Y180" s="67">
        <f t="shared" si="44"/>
        <v>5.8623000000000003</v>
      </c>
      <c r="Z180" s="67">
        <f t="shared" si="45"/>
        <v>7.6799999999999993E-2</v>
      </c>
      <c r="AA180" s="67">
        <f t="shared" si="46"/>
        <v>5.7854999999999999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47"/>
        <v>0818-04</v>
      </c>
      <c r="AE180" s="91" t="str">
        <f t="shared" si="48"/>
        <v>aws s3 cp s3://rtdc.mdm.uploadarchive.raw/RTDC4010/ "%USERPROFILE%\AppData\Local\Temp\OnboardLogs"\RTDC4010\2016-11-04 --exclude "*" --recursive --include "*20161104*" &amp; "%USERPROFILE%\Documents\GitHub\mrs-test-scripts\Headless Mode &amp; Sideloading\WalkAndUnGZ.bat" "%USERPROFILE%\AppData\Local\Temp\OnboardLogs"\RTDC4010\2016-11-04 &amp; aws s3 cp s3://rtdc.mdm.uploadarchive.raw/RTDC4010/ "%USERPROFILE%\AppData\Local\Temp\OnboardLogs"\RTDC4010\2016-11-05 --exclude "*" --recursive --include "*20161105*" &amp; "%USERPROFILE%\Documents\GitHub\mrs-test-scripts\Headless Mode &amp; Sideloading\WalkAndUnGZ.bat" "%USERPROFILE%\AppData\Local\Temp\OnboardLogs"\RTDC4010\2016-11-05</v>
      </c>
      <c r="AF180" s="88" t="str">
        <f t="shared" si="49"/>
        <v>"C:\Program Files (x86)\AstroGrep\AstroGrep.exe" /spath="%USERPROFILE%\AppData\Local\Temp\OnboardLogs" /stypes="app*4010*20161104*" /stext=" 17:.+((SYSTEM_STATE.+slice.+state.+changed )|(ment ac)|(system.+state.+changed )|(\[timeout)|(PRM\|1\|D)|(kpr)|(kdp)|(\|loc)|(penalty))" /e /r /s</v>
      </c>
      <c r="AG180" s="1" t="str">
        <f t="shared" si="50"/>
        <v>NW</v>
      </c>
      <c r="AH180" s="92" t="str">
        <f t="shared" si="51"/>
        <v>"%USERPROFILE%\Documents\GitHub\eaglep3\Utilities\RefineRTDCRunTimes.py" --tripid 818-04 --locoid 4010 --swversion DE.1.0.8.0 --startMP 300:58623 --initTime 2016-11-04T11:39:31 --startdatetime 2016-11-04T11:41:41 --delay 1 --endMP 204:768 --enddatetime 2016-11-04T11:57:09 --enforcementcount 0 &gt;&gt;C:\Users\stu\Documents\GitHub\eaglep3-reporting\EC\2016-11-04-refined-times.txt</v>
      </c>
      <c r="AI180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{"issue":{"subject":"","project_id":79,"tracker_id":40,"status_id":1,"priority_id":2,"assigned_to_id":23,"start_date":"2016-11-04","description":"","custom_fields":[{"id":1,"name":"Subdivision","value":"NW"},{"id":4,"name":"Milepost","value":"0.0768"},{"id":17,"name":"Train ID","value":"818-04"},{"id":16,"name":"Locomotive ID","value":"4010"},{"id":130,"name":"Impact","value":""},{"id":150,"name":"Time of Event (Mountain Time)","value":"11:57:09"},{"id":151,"name":"Denver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7" t="s">
        <v>522</v>
      </c>
      <c r="B181" s="7">
        <v>4009</v>
      </c>
      <c r="C181" s="22" t="s">
        <v>239</v>
      </c>
      <c r="D181" s="22" t="s">
        <v>401</v>
      </c>
      <c r="E181" s="13">
        <v>42678.505555555559</v>
      </c>
      <c r="F181" s="13">
        <v>42678.51489583333</v>
      </c>
      <c r="G181" s="7">
        <v>3</v>
      </c>
      <c r="H181" s="22" t="s">
        <v>741</v>
      </c>
      <c r="I181" s="13">
        <v>42678.526006944441</v>
      </c>
      <c r="J181" s="7">
        <v>0</v>
      </c>
      <c r="K181" s="112" t="str">
        <f t="shared" si="36"/>
        <v>4009/4010</v>
      </c>
      <c r="L181" s="22" t="str">
        <f>VLOOKUP(A181,'Trips&amp;Operators'!$C$1:$E$10000,3,FALSE)</f>
        <v>HOLCOMB</v>
      </c>
      <c r="M181" s="6">
        <f t="shared" si="37"/>
        <v>1.1111111110949423E-2</v>
      </c>
      <c r="N181" s="7">
        <f t="shared" si="38"/>
        <v>15.999999999767169</v>
      </c>
      <c r="O181" s="7"/>
      <c r="P181" s="7"/>
      <c r="Q181" s="23"/>
      <c r="R181" s="23"/>
      <c r="S181" s="35">
        <f t="shared" si="39"/>
        <v>1</v>
      </c>
      <c r="T181" s="50" t="str">
        <f t="shared" si="40"/>
        <v>NorthBound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11:08:00-0600',mode:absolute,to:'2016-11-04 13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1" s="52" t="str">
        <f t="shared" si="42"/>
        <v>N</v>
      </c>
      <c r="X181" s="177">
        <f t="shared" si="43"/>
        <v>1</v>
      </c>
      <c r="Y181" s="67">
        <f t="shared" si="44"/>
        <v>0.1055</v>
      </c>
      <c r="Z181" s="67">
        <f t="shared" si="45"/>
        <v>5.8928000000000003</v>
      </c>
      <c r="AA181" s="67">
        <f t="shared" si="46"/>
        <v>5.7873000000000001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47"/>
        <v>0819-04</v>
      </c>
      <c r="AE181" s="91" t="str">
        <f t="shared" si="48"/>
        <v>aws s3 cp s3://rtdc.mdm.uploadarchive.raw/RTDC4009/ "%USERPROFILE%\AppData\Local\Temp\OnboardLogs"\RTDC4009\2016-11-04 --exclude "*" --recursive --include "*20161104*" &amp; "%USERPROFILE%\Documents\GitHub\mrs-test-scripts\Headless Mode &amp; Sideloading\WalkAndUnGZ.bat" "%USERPROFILE%\AppData\Local\Temp\OnboardLogs"\RTDC4009\2016-11-04 &amp; aws s3 cp s3://rtdc.mdm.uploadarchive.raw/RTDC4009/ "%USERPROFILE%\AppData\Local\Temp\OnboardLogs"\RTDC4009\2016-11-05 --exclude "*" --recursive --include "*20161105*" &amp; "%USERPROFILE%\Documents\GitHub\mrs-test-scripts\Headless Mode &amp; Sideloading\WalkAndUnGZ.bat" "%USERPROFILE%\AppData\Local\Temp\OnboardLogs"\RTDC4009\2016-11-05</v>
      </c>
      <c r="AF181" s="88" t="str">
        <f t="shared" si="49"/>
        <v>"C:\Program Files (x86)\AstroGrep\AstroGrep.exe" /spath="%USERPROFILE%\AppData\Local\Temp\OnboardLogs" /stypes="app*4009*20161104*" /stext=" 18:.+((SYSTEM_STATE.+slice.+state.+changed )|(ment ac)|(system.+state.+changed )|(\[timeout)|(PRM\|1\|D)|(kpr)|(kdp)|(\|loc)|(penalty))" /e /r /s</v>
      </c>
      <c r="AG181" s="1" t="str">
        <f t="shared" si="50"/>
        <v>NW</v>
      </c>
      <c r="AH181" s="92" t="str">
        <f t="shared" si="51"/>
        <v>"%USERPROFILE%\Documents\GitHub\eaglep3\Utilities\RefineRTDCRunTimes.py" --tripid 819-04 --locoid 4009 --swversion DE.1.0.8.0 --startMP 204:1055 --initTime 2016-11-04T12:08:00 --startdatetime 2016-11-04T12:21:27 --delay 3 --endMP 300:58928 --enddatetime 2016-11-04T12:37:27 --enforcementcount 0 &gt;&gt;C:\Users\stu\Documents\GitHub\eaglep3-reporting\EC\2016-11-04-refined-times.txt</v>
      </c>
      <c r="AI181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{"issue":{"subject":"","project_id":79,"tracker_id":40,"status_id":1,"priority_id":2,"assigned_to_id":23,"start_date":"2016-11-04","description":"","custom_fields":[{"id":1,"name":"Subdivision","value":"NW"},{"id":4,"name":"Milepost","value":"5.8928"},{"id":17,"name":"Train ID","value":"819-04"},{"id":16,"name":"Locomotive ID","value":"4009"},{"id":130,"name":"Impact","value":""},{"id":150,"name":"Time of Event (Mountain Time)","value":"12:37:27"},{"id":151,"name":"Denver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527</v>
      </c>
      <c r="B182" s="7">
        <v>4010</v>
      </c>
      <c r="C182" s="22" t="s">
        <v>239</v>
      </c>
      <c r="D182" s="22" t="s">
        <v>256</v>
      </c>
      <c r="E182" s="13">
        <v>42678.527488425927</v>
      </c>
      <c r="F182" s="13">
        <v>42678.529421296298</v>
      </c>
      <c r="G182" s="7">
        <v>1</v>
      </c>
      <c r="H182" s="22" t="s">
        <v>742</v>
      </c>
      <c r="I182" s="13">
        <v>42678.539340277777</v>
      </c>
      <c r="J182" s="7">
        <v>0</v>
      </c>
      <c r="K182" s="112" t="str">
        <f t="shared" si="36"/>
        <v>4009/4010</v>
      </c>
      <c r="L182" s="22" t="str">
        <f>VLOOKUP(A182,'Trips&amp;Operators'!$C$1:$E$10000,3,FALSE)</f>
        <v>HOLCOMB</v>
      </c>
      <c r="M182" s="6">
        <f t="shared" si="37"/>
        <v>9.9189814791316167E-3</v>
      </c>
      <c r="N182" s="7">
        <f t="shared" si="38"/>
        <v>14.283333329949528</v>
      </c>
      <c r="O182" s="7"/>
      <c r="P182" s="7"/>
      <c r="Q182" s="23"/>
      <c r="R182" s="23"/>
      <c r="S182" s="35">
        <f t="shared" si="39"/>
        <v>1</v>
      </c>
      <c r="T182" s="50" t="str">
        <f t="shared" si="40"/>
        <v>Southbound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11:39:35-0600',mode:absolute,to:'2016-11-04 13:56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2" s="52" t="str">
        <f t="shared" si="42"/>
        <v>N</v>
      </c>
      <c r="X182" s="177">
        <f t="shared" si="43"/>
        <v>1</v>
      </c>
      <c r="Y182" s="67">
        <f t="shared" si="44"/>
        <v>5.8613</v>
      </c>
      <c r="Z182" s="67">
        <f t="shared" si="45"/>
        <v>7.0099999999999996E-2</v>
      </c>
      <c r="AA182" s="67">
        <f t="shared" si="46"/>
        <v>5.7911999999999999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47"/>
        <v>0820-04</v>
      </c>
      <c r="AE182" s="91" t="str">
        <f t="shared" si="48"/>
        <v>aws s3 cp s3://rtdc.mdm.uploadarchive.raw/RTDC4010/ "%USERPROFILE%\AppData\Local\Temp\OnboardLogs"\RTDC4010\2016-11-04 --exclude "*" --recursive --include "*20161104*" &amp; "%USERPROFILE%\Documents\GitHub\mrs-test-scripts\Headless Mode &amp; Sideloading\WalkAndUnGZ.bat" "%USERPROFILE%\AppData\Local\Temp\OnboardLogs"\RTDC4010\2016-11-04 &amp; aws s3 cp s3://rtdc.mdm.uploadarchive.raw/RTDC4010/ "%USERPROFILE%\AppData\Local\Temp\OnboardLogs"\RTDC4010\2016-11-05 --exclude "*" --recursive --include "*20161105*" &amp; "%USERPROFILE%\Documents\GitHub\mrs-test-scripts\Headless Mode &amp; Sideloading\WalkAndUnGZ.bat" "%USERPROFILE%\AppData\Local\Temp\OnboardLogs"\RTDC4010\2016-11-05</v>
      </c>
      <c r="AF182" s="88" t="str">
        <f t="shared" si="49"/>
        <v>"C:\Program Files (x86)\AstroGrep\AstroGrep.exe" /spath="%USERPROFILE%\AppData\Local\Temp\OnboardLogs" /stypes="app*4010*20161104*" /stext=" 18:.+((SYSTEM_STATE.+slice.+state.+changed )|(ment ac)|(system.+state.+changed )|(\[timeout)|(PRM\|1\|D)|(kpr)|(kdp)|(\|loc)|(penalty))" /e /r /s</v>
      </c>
      <c r="AG182" s="1" t="str">
        <f t="shared" si="50"/>
        <v>NW</v>
      </c>
      <c r="AH182" s="92" t="str">
        <f t="shared" si="51"/>
        <v>"%USERPROFILE%\Documents\GitHub\eaglep3\Utilities\RefineRTDCRunTimes.py" --tripid 820-04 --locoid 4010 --swversion DE.1.0.8.0 --startMP 300:58613 --initTime 2016-11-04T12:39:35 --startdatetime 2016-11-04T12:42:22 --delay 1 --endMP 204:701 --enddatetime 2016-11-04T12:56:39 --enforcementcount 0 &gt;&gt;C:\Users\stu\Documents\GitHub\eaglep3-reporting\EC\2016-11-04-refined-times.txt</v>
      </c>
      <c r="AI182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{"issue":{"subject":"","project_id":79,"tracker_id":40,"status_id":1,"priority_id":2,"assigned_to_id":23,"start_date":"2016-11-04","description":"","custom_fields":[{"id":1,"name":"Subdivision","value":"NW"},{"id":4,"name":"Milepost","value":"0.0701"},{"id":17,"name":"Train ID","value":"820-04"},{"id":16,"name":"Locomotive ID","value":"4010"},{"id":130,"name":"Impact","value":""},{"id":150,"name":"Time of Event (Mountain Time)","value":"12:56:39"},{"id":151,"name":"Denver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532</v>
      </c>
      <c r="B183" s="7">
        <v>4009</v>
      </c>
      <c r="C183" s="22" t="s">
        <v>239</v>
      </c>
      <c r="D183" s="22" t="s">
        <v>743</v>
      </c>
      <c r="E183" s="13">
        <v>42678.552175925928</v>
      </c>
      <c r="F183" s="13">
        <v>42678.556435185186</v>
      </c>
      <c r="G183" s="7">
        <v>2</v>
      </c>
      <c r="H183" s="22" t="s">
        <v>319</v>
      </c>
      <c r="I183" s="13">
        <v>42678.565729166665</v>
      </c>
      <c r="J183" s="7">
        <v>0</v>
      </c>
      <c r="K183" s="112" t="str">
        <f t="shared" si="36"/>
        <v>4009/4010</v>
      </c>
      <c r="L183" s="22" t="str">
        <f>VLOOKUP(A183,'Trips&amp;Operators'!$C$1:$E$10000,3,FALSE)</f>
        <v>LOZA</v>
      </c>
      <c r="M183" s="6">
        <f t="shared" si="37"/>
        <v>9.29398147854954E-3</v>
      </c>
      <c r="N183" s="7">
        <f t="shared" si="38"/>
        <v>13.383333329111338</v>
      </c>
      <c r="O183" s="7"/>
      <c r="P183" s="7"/>
      <c r="Q183" s="23"/>
      <c r="R183" s="23"/>
      <c r="S183" s="35">
        <f t="shared" si="39"/>
        <v>1</v>
      </c>
      <c r="T183" s="50" t="str">
        <f t="shared" si="40"/>
        <v>NorthBound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12:15:08-0600',mode:absolute,to:'2016-11-04 14:34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3" s="52" t="str">
        <f t="shared" si="42"/>
        <v>N</v>
      </c>
      <c r="X183" s="177">
        <f t="shared" si="43"/>
        <v>1</v>
      </c>
      <c r="Y183" s="67">
        <f t="shared" si="44"/>
        <v>9.8500000000000004E-2</v>
      </c>
      <c r="Z183" s="67">
        <f t="shared" si="45"/>
        <v>5.8930999999999996</v>
      </c>
      <c r="AA183" s="67">
        <f t="shared" si="46"/>
        <v>5.7946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47"/>
        <v>0821-04</v>
      </c>
      <c r="AE183" s="91" t="str">
        <f t="shared" si="48"/>
        <v>aws s3 cp s3://rtdc.mdm.uploadarchive.raw/RTDC4009/ "%USERPROFILE%\AppData\Local\Temp\OnboardLogs"\RTDC4009\2016-11-04 --exclude "*" --recursive --include "*20161104*" &amp; "%USERPROFILE%\Documents\GitHub\mrs-test-scripts\Headless Mode &amp; Sideloading\WalkAndUnGZ.bat" "%USERPROFILE%\AppData\Local\Temp\OnboardLogs"\RTDC4009\2016-11-04 &amp; aws s3 cp s3://rtdc.mdm.uploadarchive.raw/RTDC4009/ "%USERPROFILE%\AppData\Local\Temp\OnboardLogs"\RTDC4009\2016-11-05 --exclude "*" --recursive --include "*20161105*" &amp; "%USERPROFILE%\Documents\GitHub\mrs-test-scripts\Headless Mode &amp; Sideloading\WalkAndUnGZ.bat" "%USERPROFILE%\AppData\Local\Temp\OnboardLogs"\RTDC4009\2016-11-05</v>
      </c>
      <c r="AF183" s="88" t="str">
        <f t="shared" si="49"/>
        <v>"C:\Program Files (x86)\AstroGrep\AstroGrep.exe" /spath="%USERPROFILE%\AppData\Local\Temp\OnboardLogs" /stypes="app*4009*20161104*" /stext=" 19:.+((SYSTEM_STATE.+slice.+state.+changed )|(ment ac)|(system.+state.+changed )|(\[timeout)|(PRM\|1\|D)|(kpr)|(kdp)|(\|loc)|(penalty))" /e /r /s</v>
      </c>
      <c r="AG183" s="1" t="str">
        <f t="shared" si="50"/>
        <v>NW</v>
      </c>
      <c r="AH183" s="92" t="str">
        <f t="shared" si="51"/>
        <v>"%USERPROFILE%\Documents\GitHub\eaglep3\Utilities\RefineRTDCRunTimes.py" --tripid 821-04 --locoid 4009 --swversion DE.1.0.8.0 --startMP 204:985 --initTime 2016-11-04T13:15:08 --startdatetime 2016-11-04T13:21:16 --delay 2 --endMP 300:58931 --enddatetime 2016-11-04T13:34:39 --enforcementcount 0 &gt;&gt;C:\Users\stu\Documents\GitHub\eaglep3-reporting\EC\2016-11-04-refined-times.txt</v>
      </c>
      <c r="AI183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{"issue":{"subject":"","project_id":79,"tracker_id":40,"status_id":1,"priority_id":2,"assigned_to_id":23,"start_date":"2016-11-04","description":"","custom_fields":[{"id":1,"name":"Subdivision","value":"NW"},{"id":4,"name":"Milepost","value":"5.8931"},{"id":17,"name":"Train ID","value":"821-04"},{"id":16,"name":"Locomotive ID","value":"4009"},{"id":130,"name":"Impact","value":""},{"id":150,"name":"Time of Event (Mountain Time)","value":"13:34:39"},{"id":151,"name":"Denver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535</v>
      </c>
      <c r="B184" s="7">
        <v>4010</v>
      </c>
      <c r="C184" s="22" t="s">
        <v>239</v>
      </c>
      <c r="D184" s="22" t="s">
        <v>393</v>
      </c>
      <c r="E184" s="13">
        <v>42678.567037037035</v>
      </c>
      <c r="F184" s="13">
        <v>42678.569108796299</v>
      </c>
      <c r="G184" s="7">
        <v>1</v>
      </c>
      <c r="H184" s="22" t="s">
        <v>744</v>
      </c>
      <c r="I184" s="13">
        <v>42678.579583333332</v>
      </c>
      <c r="J184" s="7">
        <v>0</v>
      </c>
      <c r="K184" s="112" t="str">
        <f t="shared" si="36"/>
        <v>4009/4010</v>
      </c>
      <c r="L184" s="22" t="str">
        <f>VLOOKUP(A184,'Trips&amp;Operators'!$C$1:$E$10000,3,FALSE)</f>
        <v>LOZA</v>
      </c>
      <c r="M184" s="6">
        <f t="shared" si="37"/>
        <v>1.0474537033587694E-2</v>
      </c>
      <c r="N184" s="7">
        <f t="shared" si="38"/>
        <v>15.08333332836628</v>
      </c>
      <c r="O184" s="7"/>
      <c r="P184" s="7"/>
      <c r="Q184" s="23"/>
      <c r="R184" s="23"/>
      <c r="S184" s="35">
        <f t="shared" si="39"/>
        <v>1</v>
      </c>
      <c r="T184" s="50" t="str">
        <f t="shared" si="40"/>
        <v>Southbound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12:36:32-0600',mode:absolute,to:'2016-11-04 14:54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4" s="52" t="str">
        <f t="shared" si="42"/>
        <v>N</v>
      </c>
      <c r="X184" s="177">
        <f t="shared" si="43"/>
        <v>1</v>
      </c>
      <c r="Y184" s="67">
        <f t="shared" si="44"/>
        <v>5.8620999999999999</v>
      </c>
      <c r="Z184" s="67">
        <f t="shared" si="45"/>
        <v>6.3799999999999996E-2</v>
      </c>
      <c r="AA184" s="67">
        <f t="shared" si="46"/>
        <v>5.7983000000000002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47"/>
        <v>0822-04</v>
      </c>
      <c r="AE184" s="91" t="str">
        <f t="shared" si="48"/>
        <v>aws s3 cp s3://rtdc.mdm.uploadarchive.raw/RTDC4010/ "%USERPROFILE%\AppData\Local\Temp\OnboardLogs"\RTDC4010\2016-11-04 --exclude "*" --recursive --include "*20161104*" &amp; "%USERPROFILE%\Documents\GitHub\mrs-test-scripts\Headless Mode &amp; Sideloading\WalkAndUnGZ.bat" "%USERPROFILE%\AppData\Local\Temp\OnboardLogs"\RTDC4010\2016-11-04 &amp; aws s3 cp s3://rtdc.mdm.uploadarchive.raw/RTDC4010/ "%USERPROFILE%\AppData\Local\Temp\OnboardLogs"\RTDC4010\2016-11-05 --exclude "*" --recursive --include "*20161105*" &amp; "%USERPROFILE%\Documents\GitHub\mrs-test-scripts\Headless Mode &amp; Sideloading\WalkAndUnGZ.bat" "%USERPROFILE%\AppData\Local\Temp\OnboardLogs"\RTDC4010\2016-11-05</v>
      </c>
      <c r="AF184" s="88" t="str">
        <f t="shared" si="49"/>
        <v>"C:\Program Files (x86)\AstroGrep\AstroGrep.exe" /spath="%USERPROFILE%\AppData\Local\Temp\OnboardLogs" /stypes="app*4010*20161104*" /stext=" 19:.+((SYSTEM_STATE.+slice.+state.+changed )|(ment ac)|(system.+state.+changed )|(\[timeout)|(PRM\|1\|D)|(kpr)|(kdp)|(\|loc)|(penalty))" /e /r /s</v>
      </c>
      <c r="AG184" s="1" t="str">
        <f t="shared" si="50"/>
        <v>NW</v>
      </c>
      <c r="AH184" s="92" t="str">
        <f t="shared" si="51"/>
        <v>"%USERPROFILE%\Documents\GitHub\eaglep3\Utilities\RefineRTDCRunTimes.py" --tripid 822-04 --locoid 4010 --swversion DE.1.0.8.0 --startMP 300:58621 --initTime 2016-11-04T13:36:32 --startdatetime 2016-11-04T13:39:31 --delay 1 --endMP 204:638 --enddatetime 2016-11-04T13:54:36 --enforcementcount 0 &gt;&gt;C:\Users\stu\Documents\GitHub\eaglep3-reporting\EC\2016-11-04-refined-times.txt</v>
      </c>
      <c r="AI184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{"issue":{"subject":"","project_id":79,"tracker_id":40,"status_id":1,"priority_id":2,"assigned_to_id":23,"start_date":"2016-11-04","description":"","custom_fields":[{"id":1,"name":"Subdivision","value":"NW"},{"id":4,"name":"Milepost","value":"0.0638"},{"id":17,"name":"Train ID","value":"822-04"},{"id":16,"name":"Locomotive ID","value":"4010"},{"id":130,"name":"Impact","value":""},{"id":150,"name":"Time of Event (Mountain Time)","value":"13:54:36"},{"id":151,"name":"Denver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541</v>
      </c>
      <c r="B185" s="7">
        <v>4009</v>
      </c>
      <c r="C185" s="22" t="s">
        <v>239</v>
      </c>
      <c r="D185" s="22" t="s">
        <v>745</v>
      </c>
      <c r="E185" s="13">
        <v>42678.595196759263</v>
      </c>
      <c r="F185" s="13">
        <v>42678.598171296297</v>
      </c>
      <c r="G185" s="7">
        <v>1</v>
      </c>
      <c r="H185" s="22" t="s">
        <v>733</v>
      </c>
      <c r="I185" s="13">
        <v>42678.60738425926</v>
      </c>
      <c r="J185" s="7">
        <v>0</v>
      </c>
      <c r="K185" s="112" t="str">
        <f t="shared" si="36"/>
        <v>4009/4010</v>
      </c>
      <c r="L185" s="22" t="str">
        <f>VLOOKUP(A185,'Trips&amp;Operators'!$C$1:$E$10000,3,FALSE)</f>
        <v>LOZA</v>
      </c>
      <c r="M185" s="6">
        <f t="shared" si="37"/>
        <v>9.2129629629198462E-3</v>
      </c>
      <c r="N185" s="7">
        <f t="shared" si="38"/>
        <v>13.266666666604578</v>
      </c>
      <c r="O185" s="7"/>
      <c r="P185" s="7"/>
      <c r="Q185" s="23"/>
      <c r="R185" s="23"/>
      <c r="S185" s="35">
        <f t="shared" si="39"/>
        <v>1</v>
      </c>
      <c r="T185" s="50" t="str">
        <f t="shared" si="40"/>
        <v>NorthBound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13:17:05-0600',mode:absolute,to:'2016-11-04 15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5" s="52" t="str">
        <f t="shared" si="42"/>
        <v>N</v>
      </c>
      <c r="X185" s="177">
        <f t="shared" si="43"/>
        <v>1</v>
      </c>
      <c r="Y185" s="67">
        <f t="shared" si="44"/>
        <v>9.2299999999999993E-2</v>
      </c>
      <c r="Z185" s="67">
        <f t="shared" si="45"/>
        <v>5.8924000000000003</v>
      </c>
      <c r="AA185" s="67">
        <f t="shared" si="46"/>
        <v>5.8001000000000005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47"/>
        <v>0823-04</v>
      </c>
      <c r="AE185" s="91" t="str">
        <f t="shared" si="48"/>
        <v>aws s3 cp s3://rtdc.mdm.uploadarchive.raw/RTDC4009/ "%USERPROFILE%\AppData\Local\Temp\OnboardLogs"\RTDC4009\2016-11-04 --exclude "*" --recursive --include "*20161104*" &amp; "%USERPROFILE%\Documents\GitHub\mrs-test-scripts\Headless Mode &amp; Sideloading\WalkAndUnGZ.bat" "%USERPROFILE%\AppData\Local\Temp\OnboardLogs"\RTDC4009\2016-11-04 &amp; aws s3 cp s3://rtdc.mdm.uploadarchive.raw/RTDC4009/ "%USERPROFILE%\AppData\Local\Temp\OnboardLogs"\RTDC4009\2016-11-05 --exclude "*" --recursive --include "*20161105*" &amp; "%USERPROFILE%\Documents\GitHub\mrs-test-scripts\Headless Mode &amp; Sideloading\WalkAndUnGZ.bat" "%USERPROFILE%\AppData\Local\Temp\OnboardLogs"\RTDC4009\2016-11-05</v>
      </c>
      <c r="AF185" s="88" t="str">
        <f t="shared" si="49"/>
        <v>"C:\Program Files (x86)\AstroGrep\AstroGrep.exe" /spath="%USERPROFILE%\AppData\Local\Temp\OnboardLogs" /stypes="app*4009*20161104*" /stext=" 20:.+((SYSTEM_STATE.+slice.+state.+changed )|(ment ac)|(system.+state.+changed )|(\[timeout)|(PRM\|1\|D)|(kpr)|(kdp)|(\|loc)|(penalty))" /e /r /s</v>
      </c>
      <c r="AG185" s="1" t="str">
        <f t="shared" si="50"/>
        <v>NW</v>
      </c>
      <c r="AH185" s="92" t="str">
        <f t="shared" si="51"/>
        <v>"%USERPROFILE%\Documents\GitHub\eaglep3\Utilities\RefineRTDCRunTimes.py" --tripid 823-04 --locoid 4009 --swversion DE.1.0.8.0 --startMP 204:923 --initTime 2016-11-04T14:17:05 --startdatetime 2016-11-04T14:21:22 --delay 1 --endMP 300:58924 --enddatetime 2016-11-04T14:34:38 --enforcementcount 0 &gt;&gt;C:\Users\stu\Documents\GitHub\eaglep3-reporting\EC\2016-11-04-refined-times.txt</v>
      </c>
      <c r="AI185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{"issue":{"subject":"","project_id":79,"tracker_id":40,"status_id":1,"priority_id":2,"assigned_to_id":23,"start_date":"2016-11-04","description":"","custom_fields":[{"id":1,"name":"Subdivision","value":"NW"},{"id":4,"name":"Milepost","value":"5.8924"},{"id":17,"name":"Train ID","value":"823-04"},{"id":16,"name":"Locomotive ID","value":"4009"},{"id":130,"name":"Impact","value":""},{"id":150,"name":"Time of Event (Mountain Time)","value":"14:34:38"},{"id":151,"name":"Denver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s="21" customFormat="1" x14ac:dyDescent="0.25">
      <c r="A186" s="37" t="s">
        <v>543</v>
      </c>
      <c r="B186" s="7">
        <v>4010</v>
      </c>
      <c r="C186" s="22" t="s">
        <v>239</v>
      </c>
      <c r="D186" s="22" t="s">
        <v>256</v>
      </c>
      <c r="E186" s="13">
        <v>42678.608553240738</v>
      </c>
      <c r="F186" s="13">
        <v>42678.609965277778</v>
      </c>
      <c r="G186" s="7">
        <v>1</v>
      </c>
      <c r="H186" s="22" t="s">
        <v>746</v>
      </c>
      <c r="I186" s="13">
        <v>42678.621377314812</v>
      </c>
      <c r="J186" s="7">
        <v>0</v>
      </c>
      <c r="K186" s="112" t="str">
        <f t="shared" si="36"/>
        <v>4009/4010</v>
      </c>
      <c r="L186" s="22" t="str">
        <f>VLOOKUP(A186,'Trips&amp;Operators'!$C$1:$E$10000,3,FALSE)</f>
        <v>LOZA</v>
      </c>
      <c r="M186" s="6">
        <f t="shared" si="37"/>
        <v>1.1412037034460809E-2</v>
      </c>
      <c r="N186" s="7">
        <f t="shared" si="38"/>
        <v>16.433333329623565</v>
      </c>
      <c r="O186" s="7"/>
      <c r="P186" s="7"/>
      <c r="Q186" s="23"/>
      <c r="R186" s="23"/>
      <c r="S186" s="35">
        <f t="shared" si="39"/>
        <v>1</v>
      </c>
      <c r="T186" s="50" t="str">
        <f t="shared" si="40"/>
        <v>Southbound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13:36:19-0600',mode:absolute,to:'2016-11-04 15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6" s="52" t="str">
        <f t="shared" si="42"/>
        <v>N</v>
      </c>
      <c r="X186" s="177">
        <f t="shared" si="43"/>
        <v>1</v>
      </c>
      <c r="Y186" s="67">
        <f t="shared" si="44"/>
        <v>5.8613</v>
      </c>
      <c r="Z186" s="67">
        <f t="shared" si="45"/>
        <v>6.6299999999999998E-2</v>
      </c>
      <c r="AA186" s="67">
        <f t="shared" si="46"/>
        <v>5.7949999999999999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47"/>
        <v>0824-04</v>
      </c>
      <c r="AE186" s="91" t="str">
        <f t="shared" si="48"/>
        <v>aws s3 cp s3://rtdc.mdm.uploadarchive.raw/RTDC4010/ "%USERPROFILE%\AppData\Local\Temp\OnboardLogs"\RTDC4010\2016-11-04 --exclude "*" --recursive --include "*20161104*" &amp; "%USERPROFILE%\Documents\GitHub\mrs-test-scripts\Headless Mode &amp; Sideloading\WalkAndUnGZ.bat" "%USERPROFILE%\AppData\Local\Temp\OnboardLogs"\RTDC4010\2016-11-04 &amp; aws s3 cp s3://rtdc.mdm.uploadarchive.raw/RTDC4010/ "%USERPROFILE%\AppData\Local\Temp\OnboardLogs"\RTDC4010\2016-11-05 --exclude "*" --recursive --include "*20161105*" &amp; "%USERPROFILE%\Documents\GitHub\mrs-test-scripts\Headless Mode &amp; Sideloading\WalkAndUnGZ.bat" "%USERPROFILE%\AppData\Local\Temp\OnboardLogs"\RTDC4010\2016-11-05</v>
      </c>
      <c r="AF186" s="88" t="str">
        <f t="shared" si="49"/>
        <v>"C:\Program Files (x86)\AstroGrep\AstroGrep.exe" /spath="%USERPROFILE%\AppData\Local\Temp\OnboardLogs" /stypes="app*4010*20161104*" /stext=" 20:.+((SYSTEM_STATE.+slice.+state.+changed )|(ment ac)|(system.+state.+changed )|(\[timeout)|(PRM\|1\|D)|(kpr)|(kdp)|(\|loc)|(penalty))" /e /r /s</v>
      </c>
      <c r="AG186" s="1" t="str">
        <f t="shared" si="50"/>
        <v>NW</v>
      </c>
      <c r="AH186" s="92" t="str">
        <f t="shared" si="51"/>
        <v>"%USERPROFILE%\Documents\GitHub\eaglep3\Utilities\RefineRTDCRunTimes.py" --tripid 824-04 --locoid 4010 --swversion DE.1.0.8.0 --startMP 300:58613 --initTime 2016-11-04T14:36:19 --startdatetime 2016-11-04T14:38:21 --delay 1 --endMP 204:663 --enddatetime 2016-11-04T14:54:47 --enforcementcount 0 &gt;&gt;C:\Users\stu\Documents\GitHub\eaglep3-reporting\EC\2016-11-04-refined-times.txt</v>
      </c>
      <c r="AI186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{"issue":{"subject":"","project_id":79,"tracker_id":40,"status_id":1,"priority_id":2,"assigned_to_id":23,"start_date":"2016-11-04","description":"","custom_fields":[{"id":1,"name":"Subdivision","value":"NW"},{"id":4,"name":"Milepost","value":"0.0663"},{"id":17,"name":"Train ID","value":"824-04"},{"id":16,"name":"Locomotive ID","value":"4010"},{"id":130,"name":"Impact","value":""},{"id":150,"name":"Time of Event (Mountain Time)","value":"14:54:47"},{"id":151,"name":"Denver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548</v>
      </c>
      <c r="B187" s="7">
        <v>4009</v>
      </c>
      <c r="C187" s="22" t="s">
        <v>239</v>
      </c>
      <c r="D187" s="22" t="s">
        <v>747</v>
      </c>
      <c r="E187" s="13">
        <v>42678.622754629629</v>
      </c>
      <c r="F187" s="13">
        <v>42678.639849537038</v>
      </c>
      <c r="G187" s="7">
        <v>1</v>
      </c>
      <c r="H187" s="22" t="s">
        <v>748</v>
      </c>
      <c r="I187" s="13">
        <v>42678.65084490741</v>
      </c>
      <c r="J187" s="7">
        <v>0</v>
      </c>
      <c r="K187" s="112" t="str">
        <f t="shared" si="36"/>
        <v>4009/4010</v>
      </c>
      <c r="L187" s="22" t="str">
        <f>VLOOKUP(A187,'Trips&amp;Operators'!$C$1:$E$10000,3,FALSE)</f>
        <v>LOZA</v>
      </c>
      <c r="M187" s="6">
        <f t="shared" si="37"/>
        <v>1.099537037225673E-2</v>
      </c>
      <c r="N187" s="7">
        <f t="shared" si="38"/>
        <v>15.833333336049691</v>
      </c>
      <c r="O187" s="7"/>
      <c r="P187" s="7"/>
      <c r="Q187" s="23"/>
      <c r="R187" s="23"/>
      <c r="S187" s="35">
        <f t="shared" si="39"/>
        <v>1</v>
      </c>
      <c r="T187" s="50" t="str">
        <f t="shared" si="40"/>
        <v>NorthBound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13:56:46-0600',mode:absolute,to:'2016-11-04 16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7" s="52" t="str">
        <f t="shared" si="42"/>
        <v>N</v>
      </c>
      <c r="X187" s="177">
        <f t="shared" si="43"/>
        <v>1</v>
      </c>
      <c r="Y187" s="67">
        <f t="shared" si="44"/>
        <v>9.5699999999999993E-2</v>
      </c>
      <c r="Z187" s="67">
        <f t="shared" si="45"/>
        <v>5.8905000000000003</v>
      </c>
      <c r="AA187" s="67">
        <f t="shared" si="46"/>
        <v>5.7948000000000004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47"/>
        <v>0825-04</v>
      </c>
      <c r="AE187" s="91" t="str">
        <f t="shared" si="48"/>
        <v>aws s3 cp s3://rtdc.mdm.uploadarchive.raw/RTDC4009/ "%USERPROFILE%\AppData\Local\Temp\OnboardLogs"\RTDC4009\2016-11-04 --exclude "*" --recursive --include "*20161104*" &amp; "%USERPROFILE%\Documents\GitHub\mrs-test-scripts\Headless Mode &amp; Sideloading\WalkAndUnGZ.bat" "%USERPROFILE%\AppData\Local\Temp\OnboardLogs"\RTDC4009\2016-11-04 &amp; aws s3 cp s3://rtdc.mdm.uploadarchive.raw/RTDC4009/ "%USERPROFILE%\AppData\Local\Temp\OnboardLogs"\RTDC4009\2016-11-05 --exclude "*" --recursive --include "*20161105*" &amp; "%USERPROFILE%\Documents\GitHub\mrs-test-scripts\Headless Mode &amp; Sideloading\WalkAndUnGZ.bat" "%USERPROFILE%\AppData\Local\Temp\OnboardLogs"\RTDC4009\2016-11-05</v>
      </c>
      <c r="AF187" s="88" t="str">
        <f t="shared" si="49"/>
        <v>"C:\Program Files (x86)\AstroGrep\AstroGrep.exe" /spath="%USERPROFILE%\AppData\Local\Temp\OnboardLogs" /stypes="app*4009*20161104*" /stext=" 21:.+((SYSTEM_STATE.+slice.+state.+changed )|(ment ac)|(system.+state.+changed )|(\[timeout)|(PRM\|1\|D)|(kpr)|(kdp)|(\|loc)|(penalty))" /e /r /s</v>
      </c>
      <c r="AG187" s="1" t="str">
        <f t="shared" si="50"/>
        <v>NW</v>
      </c>
      <c r="AH187" s="92" t="str">
        <f t="shared" si="51"/>
        <v>"%USERPROFILE%\Documents\GitHub\eaglep3\Utilities\RefineRTDCRunTimes.py" --tripid 825-04 --locoid 4009 --swversion DE.1.0.8.0 --startMP 204:957 --initTime 2016-11-04T14:56:46 --startdatetime 2016-11-04T15:21:23 --delay 1 --endMP 300:58905 --enddatetime 2016-11-04T15:37:13 --enforcementcount 0 &gt;&gt;C:\Users\stu\Documents\GitHub\eaglep3-reporting\EC\2016-11-04-refined-times.txt</v>
      </c>
      <c r="AI187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{"issue":{"subject":"","project_id":79,"tracker_id":40,"status_id":1,"priority_id":2,"assigned_to_id":23,"start_date":"2016-11-04","description":"","custom_fields":[{"id":1,"name":"Subdivision","value":"NW"},{"id":4,"name":"Milepost","value":"5.8905"},{"id":17,"name":"Train ID","value":"825-04"},{"id":16,"name":"Locomotive ID","value":"4009"},{"id":130,"name":"Impact","value":""},{"id":150,"name":"Time of Event (Mountain Time)","value":"15:37:13"},{"id":151,"name":"Denver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7" t="s">
        <v>556</v>
      </c>
      <c r="B188" s="7">
        <v>4010</v>
      </c>
      <c r="C188" s="22" t="s">
        <v>239</v>
      </c>
      <c r="D188" s="22" t="s">
        <v>749</v>
      </c>
      <c r="E188" s="13">
        <v>42678.652870370373</v>
      </c>
      <c r="F188" s="13">
        <v>42678.654583333337</v>
      </c>
      <c r="G188" s="7">
        <v>1</v>
      </c>
      <c r="H188" s="22" t="s">
        <v>750</v>
      </c>
      <c r="I188" s="13">
        <v>42678.663877314815</v>
      </c>
      <c r="J188" s="7">
        <v>0</v>
      </c>
      <c r="K188" s="112" t="str">
        <f t="shared" si="36"/>
        <v>4009/4010</v>
      </c>
      <c r="L188" s="22" t="str">
        <f>VLOOKUP(A188,'Trips&amp;Operators'!$C$1:$E$10000,3,FALSE)</f>
        <v>LOZA</v>
      </c>
      <c r="M188" s="6">
        <f t="shared" si="37"/>
        <v>9.29398147854954E-3</v>
      </c>
      <c r="N188" s="7">
        <f t="shared" si="38"/>
        <v>13.383333329111338</v>
      </c>
      <c r="O188" s="7"/>
      <c r="P188" s="7"/>
      <c r="Q188" s="23"/>
      <c r="R188" s="23"/>
      <c r="S188" s="35">
        <f t="shared" si="39"/>
        <v>1</v>
      </c>
      <c r="T188" s="50" t="str">
        <f t="shared" si="40"/>
        <v>Southbound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14:40:08-0600',mode:absolute,to:'2016-11-04 16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8" s="52" t="str">
        <f t="shared" si="42"/>
        <v>N</v>
      </c>
      <c r="X188" s="177">
        <f t="shared" si="43"/>
        <v>1</v>
      </c>
      <c r="Y188" s="67">
        <f t="shared" si="44"/>
        <v>5.8597999999999999</v>
      </c>
      <c r="Z188" s="67">
        <f t="shared" si="45"/>
        <v>6.9400000000000003E-2</v>
      </c>
      <c r="AA188" s="67">
        <f t="shared" si="46"/>
        <v>5.7904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47"/>
        <v>0826-04</v>
      </c>
      <c r="AE188" s="91" t="str">
        <f t="shared" si="48"/>
        <v>aws s3 cp s3://rtdc.mdm.uploadarchive.raw/RTDC4010/ "%USERPROFILE%\AppData\Local\Temp\OnboardLogs"\RTDC4010\2016-11-04 --exclude "*" --recursive --include "*20161104*" &amp; "%USERPROFILE%\Documents\GitHub\mrs-test-scripts\Headless Mode &amp; Sideloading\WalkAndUnGZ.bat" "%USERPROFILE%\AppData\Local\Temp\OnboardLogs"\RTDC4010\2016-11-04 &amp; aws s3 cp s3://rtdc.mdm.uploadarchive.raw/RTDC4010/ "%USERPROFILE%\AppData\Local\Temp\OnboardLogs"\RTDC4010\2016-11-05 --exclude "*" --recursive --include "*20161105*" &amp; "%USERPROFILE%\Documents\GitHub\mrs-test-scripts\Headless Mode &amp; Sideloading\WalkAndUnGZ.bat" "%USERPROFILE%\AppData\Local\Temp\OnboardLogs"\RTDC4010\2016-11-05</v>
      </c>
      <c r="AF188" s="88" t="str">
        <f t="shared" si="49"/>
        <v>"C:\Program Files (x86)\AstroGrep\AstroGrep.exe" /spath="%USERPROFILE%\AppData\Local\Temp\OnboardLogs" /stypes="app*4010*20161104*" /stext=" 21:.+((SYSTEM_STATE.+slice.+state.+changed )|(ment ac)|(system.+state.+changed )|(\[timeout)|(PRM\|1\|D)|(kpr)|(kdp)|(\|loc)|(penalty))" /e /r /s</v>
      </c>
      <c r="AG188" s="1" t="str">
        <f t="shared" si="50"/>
        <v>NW</v>
      </c>
      <c r="AH188" s="92" t="str">
        <f t="shared" si="51"/>
        <v>"%USERPROFILE%\Documents\GitHub\eaglep3\Utilities\RefineRTDCRunTimes.py" --tripid 826-04 --locoid 4010 --swversion DE.1.0.8.0 --startMP 300:58598 --initTime 2016-11-04T15:40:08 --startdatetime 2016-11-04T15:42:36 --delay 1 --endMP 204:694 --enddatetime 2016-11-04T15:55:59 --enforcementcount 0 &gt;&gt;C:\Users\stu\Documents\GitHub\eaglep3-reporting\EC\2016-11-04-refined-times.txt</v>
      </c>
      <c r="AI188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{"issue":{"subject":"","project_id":79,"tracker_id":40,"status_id":1,"priority_id":2,"assigned_to_id":23,"start_date":"2016-11-04","description":"","custom_fields":[{"id":1,"name":"Subdivision","value":"NW"},{"id":4,"name":"Milepost","value":"0.0694"},{"id":17,"name":"Train ID","value":"826-04"},{"id":16,"name":"Locomotive ID","value":"4010"},{"id":130,"name":"Impact","value":""},{"id":150,"name":"Time of Event (Mountain Time)","value":"15:55:59"},{"id":151,"name":"Denver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s="21" customFormat="1" x14ac:dyDescent="0.25">
      <c r="A189" s="37" t="s">
        <v>558</v>
      </c>
      <c r="B189" s="7">
        <v>4011</v>
      </c>
      <c r="C189" s="22" t="s">
        <v>239</v>
      </c>
      <c r="D189" s="22" t="s">
        <v>394</v>
      </c>
      <c r="E189" s="13">
        <v>42678.65384259259</v>
      </c>
      <c r="F189" s="13">
        <v>42678.660578703704</v>
      </c>
      <c r="G189" s="7">
        <v>2</v>
      </c>
      <c r="H189" s="22" t="s">
        <v>741</v>
      </c>
      <c r="I189" s="13">
        <v>42678.669618055559</v>
      </c>
      <c r="J189" s="7">
        <v>0</v>
      </c>
      <c r="K189" s="112" t="str">
        <f t="shared" si="36"/>
        <v>4011/4012</v>
      </c>
      <c r="L189" s="22" t="str">
        <f>VLOOKUP(A189,'Trips&amp;Operators'!$C$1:$E$10000,3,FALSE)</f>
        <v>JOHNSON</v>
      </c>
      <c r="M189" s="6">
        <f t="shared" si="37"/>
        <v>9.0393518548808061E-3</v>
      </c>
      <c r="N189" s="7">
        <f t="shared" si="38"/>
        <v>13.016666671028361</v>
      </c>
      <c r="O189" s="7"/>
      <c r="P189" s="7"/>
      <c r="Q189" s="23"/>
      <c r="R189" s="23"/>
      <c r="S189" s="35">
        <f t="shared" si="39"/>
        <v>1</v>
      </c>
      <c r="T189" s="50" t="str">
        <f t="shared" si="40"/>
        <v>NorthBound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14:41:32-0600',mode:absolute,to:'2016-11-04 17:04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9" s="52" t="str">
        <f t="shared" si="42"/>
        <v>N</v>
      </c>
      <c r="X189" s="177">
        <f t="shared" si="43"/>
        <v>1</v>
      </c>
      <c r="Y189" s="67">
        <f t="shared" si="44"/>
        <v>9.5299999999999996E-2</v>
      </c>
      <c r="Z189" s="67">
        <f t="shared" si="45"/>
        <v>5.8928000000000003</v>
      </c>
      <c r="AA189" s="67">
        <f t="shared" si="46"/>
        <v>5.7975000000000003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47"/>
        <v>0827-04</v>
      </c>
      <c r="AE189" s="91" t="str">
        <f t="shared" si="48"/>
        <v>aws s3 cp s3://rtdc.mdm.uploadarchive.raw/RTDC4011/ "%USERPROFILE%\AppData\Local\Temp\OnboardLogs"\RTDC4011\2016-11-04 --exclude "*" --recursive --include "*20161104*" &amp; "%USERPROFILE%\Documents\GitHub\mrs-test-scripts\Headless Mode &amp; Sideloading\WalkAndUnGZ.bat" "%USERPROFILE%\AppData\Local\Temp\OnboardLogs"\RTDC4011\2016-11-04 &amp; 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</v>
      </c>
      <c r="AF189" s="88" t="str">
        <f t="shared" si="49"/>
        <v>"C:\Program Files (x86)\AstroGrep\AstroGrep.exe" /spath="%USERPROFILE%\AppData\Local\Temp\OnboardLogs" /stypes="app*4011*20161104*" /stext=" 22:.+((SYSTEM_STATE.+slice.+state.+changed )|(ment ac)|(system.+state.+changed )|(\[timeout)|(PRM\|1\|D)|(kpr)|(kdp)|(\|loc)|(penalty))" /e /r /s</v>
      </c>
      <c r="AG189" s="1" t="str">
        <f t="shared" si="50"/>
        <v>NW</v>
      </c>
      <c r="AH189" s="92" t="str">
        <f t="shared" si="51"/>
        <v>"%USERPROFILE%\Documents\GitHub\eaglep3\Utilities\RefineRTDCRunTimes.py" --tripid 827-04 --locoid 4011 --swversion DE.1.0.8.0 --startMP 204:953 --initTime 2016-11-04T15:41:32 --startdatetime 2016-11-04T15:51:14 --delay 2 --endMP 300:58928 --enddatetime 2016-11-04T16:04:15 --enforcementcount 0 &gt;&gt;C:\Users\stu\Documents\GitHub\eaglep3-reporting\EC\2016-11-04-refined-times.txt</v>
      </c>
      <c r="AI189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{"issue":{"subject":"","project_id":79,"tracker_id":40,"status_id":1,"priority_id":2,"assigned_to_id":23,"start_date":"2016-11-04","description":"","custom_fields":[{"id":1,"name":"Subdivision","value":"NW"},{"id":4,"name":"Milepost","value":"5.8928"},{"id":17,"name":"Train ID","value":"827-04"},{"id":16,"name":"Locomotive ID","value":"4011"},{"id":130,"name":"Impact","value":""},{"id":150,"name":"Time of Event (Mountain Time)","value":"16:04:15"},{"id":151,"name":"Denver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561</v>
      </c>
      <c r="B190" s="7">
        <v>4012</v>
      </c>
      <c r="C190" s="22" t="s">
        <v>239</v>
      </c>
      <c r="D190" s="22" t="s">
        <v>256</v>
      </c>
      <c r="E190" s="13">
        <v>42678.670590277776</v>
      </c>
      <c r="F190" s="13">
        <v>42678.672025462962</v>
      </c>
      <c r="G190" s="7">
        <v>1</v>
      </c>
      <c r="H190" s="22" t="s">
        <v>751</v>
      </c>
      <c r="I190" s="13">
        <v>42678.684756944444</v>
      </c>
      <c r="J190" s="7">
        <v>0</v>
      </c>
      <c r="K190" s="112" t="str">
        <f t="shared" si="36"/>
        <v>4011/4012</v>
      </c>
      <c r="L190" s="22" t="str">
        <f>VLOOKUP(A190,'Trips&amp;Operators'!$C$1:$E$10000,3,FALSE)</f>
        <v>JOHNSON</v>
      </c>
      <c r="M190" s="6">
        <f t="shared" si="37"/>
        <v>1.2731481481750961E-2</v>
      </c>
      <c r="N190" s="7">
        <f t="shared" si="38"/>
        <v>18.333333333721384</v>
      </c>
      <c r="O190" s="7"/>
      <c r="P190" s="7"/>
      <c r="Q190" s="23"/>
      <c r="R190" s="23"/>
      <c r="S190" s="35">
        <f t="shared" si="39"/>
        <v>1</v>
      </c>
      <c r="T190" s="50" t="str">
        <f t="shared" si="40"/>
        <v>Southbound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15:05:39-0600',mode:absolute,to:'2016-11-04 17:26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0" s="52" t="str">
        <f t="shared" si="42"/>
        <v>N</v>
      </c>
      <c r="X190" s="177">
        <f t="shared" si="43"/>
        <v>1</v>
      </c>
      <c r="Y190" s="67">
        <f t="shared" si="44"/>
        <v>5.8613</v>
      </c>
      <c r="Z190" s="67">
        <f t="shared" si="45"/>
        <v>6.6600000000000006E-2</v>
      </c>
      <c r="AA190" s="67">
        <f t="shared" si="46"/>
        <v>5.7946999999999997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47"/>
        <v>0828-04</v>
      </c>
      <c r="AE190" s="91" t="str">
        <f t="shared" si="48"/>
        <v>aws s3 cp s3://rtdc.mdm.uploadarchive.raw/RTDC4012/ "%USERPROFILE%\AppData\Local\Temp\OnboardLogs"\RTDC4012\2016-11-04 --exclude "*" --recursive --include "*20161104*" &amp; "%USERPROFILE%\Documents\GitHub\mrs-test-scripts\Headless Mode &amp; Sideloading\WalkAndUnGZ.bat" "%USERPROFILE%\AppData\Local\Temp\OnboardLogs"\RTDC4012\2016-11-04 &amp; 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</v>
      </c>
      <c r="AF190" s="88" t="str">
        <f t="shared" si="49"/>
        <v>"C:\Program Files (x86)\AstroGrep\AstroGrep.exe" /spath="%USERPROFILE%\AppData\Local\Temp\OnboardLogs" /stypes="app*4012*20161104*" /stext=" 22:.+((SYSTEM_STATE.+slice.+state.+changed )|(ment ac)|(system.+state.+changed )|(\[timeout)|(PRM\|1\|D)|(kpr)|(kdp)|(\|loc)|(penalty))" /e /r /s</v>
      </c>
      <c r="AG190" s="1" t="str">
        <f t="shared" si="50"/>
        <v>NW</v>
      </c>
      <c r="AH190" s="92" t="str">
        <f t="shared" si="51"/>
        <v>"%USERPROFILE%\Documents\GitHub\eaglep3\Utilities\RefineRTDCRunTimes.py" --tripid 828-04 --locoid 4012 --swversion DE.1.0.8.0 --startMP 300:58613 --initTime 2016-11-04T16:05:39 --startdatetime 2016-11-04T16:07:43 --delay 1 --endMP 204:666 --enddatetime 2016-11-04T16:26:03 --enforcementcount 0 &gt;&gt;C:\Users\stu\Documents\GitHub\eaglep3-reporting\EC\2016-11-04-refined-times.txt</v>
      </c>
      <c r="AI190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{"issue":{"subject":"","project_id":79,"tracker_id":40,"status_id":1,"priority_id":2,"assigned_to_id":23,"start_date":"2016-11-04","description":"","custom_fields":[{"id":1,"name":"Subdivision","value":"NW"},{"id":4,"name":"Milepost","value":"0.0666"},{"id":17,"name":"Train ID","value":"828-04"},{"id":16,"name":"Locomotive ID","value":"4012"},{"id":130,"name":"Impact","value":""},{"id":150,"name":"Time of Event (Mountain Time)","value":"16:26:03"},{"id":151,"name":"Denver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423</v>
      </c>
      <c r="B191" s="7">
        <v>4009</v>
      </c>
      <c r="C191" s="22" t="s">
        <v>239</v>
      </c>
      <c r="D191" s="22" t="s">
        <v>752</v>
      </c>
      <c r="E191" s="13">
        <v>42678.678611111114</v>
      </c>
      <c r="F191" s="13">
        <v>42678.681458333333</v>
      </c>
      <c r="G191" s="7">
        <v>1</v>
      </c>
      <c r="H191" s="22" t="s">
        <v>753</v>
      </c>
      <c r="I191" s="13">
        <v>42678.692106481481</v>
      </c>
      <c r="J191" s="7">
        <v>0</v>
      </c>
      <c r="K191" s="112" t="str">
        <f t="shared" si="36"/>
        <v>4009/4010</v>
      </c>
      <c r="L191" s="22" t="str">
        <f>VLOOKUP(A191,'Trips&amp;Operators'!$C$1:$E$10000,3,FALSE)</f>
        <v>LOZA</v>
      </c>
      <c r="M191" s="6">
        <f t="shared" si="37"/>
        <v>1.0648148148902692E-2</v>
      </c>
      <c r="N191" s="7">
        <f t="shared" si="38"/>
        <v>15.333333334419876</v>
      </c>
      <c r="O191" s="7"/>
      <c r="P191" s="7"/>
      <c r="Q191" s="23"/>
      <c r="R191" s="23"/>
      <c r="S191" s="35">
        <f t="shared" si="39"/>
        <v>1</v>
      </c>
      <c r="T191" s="50" t="str">
        <f t="shared" si="40"/>
        <v>NorthBound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15:17:12-0600',mode:absolute,to:'2016-11-04 17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1" s="52" t="str">
        <f t="shared" si="42"/>
        <v>N</v>
      </c>
      <c r="X191" s="177">
        <f t="shared" si="43"/>
        <v>1</v>
      </c>
      <c r="Y191" s="67">
        <f t="shared" si="44"/>
        <v>9.69E-2</v>
      </c>
      <c r="Z191" s="67">
        <f t="shared" si="45"/>
        <v>5.8921999999999999</v>
      </c>
      <c r="AA191" s="67">
        <f t="shared" si="46"/>
        <v>5.7953000000000001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47"/>
        <v>0829-04</v>
      </c>
      <c r="AE191" s="91" t="str">
        <f t="shared" si="48"/>
        <v>aws s3 cp s3://rtdc.mdm.uploadarchive.raw/RTDC4009/ "%USERPROFILE%\AppData\Local\Temp\OnboardLogs"\RTDC4009\2016-11-04 --exclude "*" --recursive --include "*20161104*" &amp; "%USERPROFILE%\Documents\GitHub\mrs-test-scripts\Headless Mode &amp; Sideloading\WalkAndUnGZ.bat" "%USERPROFILE%\AppData\Local\Temp\OnboardLogs"\RTDC4009\2016-11-04 &amp; aws s3 cp s3://rtdc.mdm.uploadarchive.raw/RTDC4009/ "%USERPROFILE%\AppData\Local\Temp\OnboardLogs"\RTDC4009\2016-11-05 --exclude "*" --recursive --include "*20161105*" &amp; "%USERPROFILE%\Documents\GitHub\mrs-test-scripts\Headless Mode &amp; Sideloading\WalkAndUnGZ.bat" "%USERPROFILE%\AppData\Local\Temp\OnboardLogs"\RTDC4009\2016-11-05</v>
      </c>
      <c r="AF191" s="88" t="str">
        <f t="shared" si="49"/>
        <v>"C:\Program Files (x86)\AstroGrep\AstroGrep.exe" /spath="%USERPROFILE%\AppData\Local\Temp\OnboardLogs" /stypes="app*4009*20161104*" /stext=" 22:.+((SYSTEM_STATE.+slice.+state.+changed )|(ment ac)|(system.+state.+changed )|(\[timeout)|(PRM\|1\|D)|(kpr)|(kdp)|(\|loc)|(penalty))" /e /r /s</v>
      </c>
      <c r="AG191" s="1" t="str">
        <f t="shared" si="50"/>
        <v>NW</v>
      </c>
      <c r="AH191" s="92" t="str">
        <f t="shared" si="51"/>
        <v>"%USERPROFILE%\Documents\GitHub\eaglep3\Utilities\RefineRTDCRunTimes.py" --tripid 829-04 --locoid 4009 --swversion DE.1.0.8.0 --startMP 204:969 --initTime 2016-11-04T16:17:12 --startdatetime 2016-11-04T16:21:18 --delay 1 --endMP 300:58922 --enddatetime 2016-11-04T16:36:38 --enforcementcount 0 &gt;&gt;C:\Users\stu\Documents\GitHub\eaglep3-reporting\EC\2016-11-04-refined-times.txt</v>
      </c>
      <c r="AI191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{"issue":{"subject":"","project_id":79,"tracker_id":40,"status_id":1,"priority_id":2,"assigned_to_id":23,"start_date":"2016-11-04","description":"","custom_fields":[{"id":1,"name":"Subdivision","value":"NW"},{"id":4,"name":"Milepost","value":"5.8922"},{"id":17,"name":"Train ID","value":"829-04"},{"id":16,"name":"Locomotive ID","value":"4009"},{"id":130,"name":"Impact","value":""},{"id":150,"name":"Time of Event (Mountain Time)","value":"16:36:38"},{"id":151,"name":"Denver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568</v>
      </c>
      <c r="B192" s="7">
        <v>4010</v>
      </c>
      <c r="C192" s="22" t="s">
        <v>239</v>
      </c>
      <c r="D192" s="22" t="s">
        <v>321</v>
      </c>
      <c r="E192" s="13">
        <v>42678.693344907406</v>
      </c>
      <c r="F192" s="13">
        <v>42678.695069444446</v>
      </c>
      <c r="G192" s="7">
        <v>1</v>
      </c>
      <c r="H192" s="22" t="s">
        <v>754</v>
      </c>
      <c r="I192" s="13">
        <v>42678.706446759257</v>
      </c>
      <c r="J192" s="7">
        <v>0</v>
      </c>
      <c r="K192" s="112" t="str">
        <f t="shared" si="36"/>
        <v>4009/4010</v>
      </c>
      <c r="L192" s="22" t="str">
        <f>VLOOKUP(A192,'Trips&amp;Operators'!$C$1:$E$10000,3,FALSE)</f>
        <v>LOZA</v>
      </c>
      <c r="M192" s="6">
        <f t="shared" si="37"/>
        <v>1.137731481139781E-2</v>
      </c>
      <c r="N192" s="7">
        <f t="shared" si="38"/>
        <v>16.383333328412846</v>
      </c>
      <c r="O192" s="7"/>
      <c r="P192" s="7"/>
      <c r="Q192" s="23"/>
      <c r="R192" s="23"/>
      <c r="S192" s="35">
        <f t="shared" si="39"/>
        <v>1</v>
      </c>
      <c r="T192" s="50" t="str">
        <f t="shared" si="40"/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15:38:25-0600',mode:absolute,to:'2016-11-04 17:57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2" s="52" t="str">
        <f t="shared" si="42"/>
        <v>N</v>
      </c>
      <c r="X192" s="177">
        <f t="shared" si="43"/>
        <v>1</v>
      </c>
      <c r="Y192" s="67">
        <f t="shared" si="44"/>
        <v>5.8611000000000004</v>
      </c>
      <c r="Z192" s="67">
        <f t="shared" si="45"/>
        <v>6.7100000000000007E-2</v>
      </c>
      <c r="AA192" s="67">
        <f t="shared" si="46"/>
        <v>5.7940000000000005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47"/>
        <v>0830-04</v>
      </c>
      <c r="AE192" s="91" t="str">
        <f t="shared" si="48"/>
        <v>aws s3 cp s3://rtdc.mdm.uploadarchive.raw/RTDC4010/ "%USERPROFILE%\AppData\Local\Temp\OnboardLogs"\RTDC4010\2016-11-04 --exclude "*" --recursive --include "*20161104*" &amp; "%USERPROFILE%\Documents\GitHub\mrs-test-scripts\Headless Mode &amp; Sideloading\WalkAndUnGZ.bat" "%USERPROFILE%\AppData\Local\Temp\OnboardLogs"\RTDC4010\2016-11-04 &amp; aws s3 cp s3://rtdc.mdm.uploadarchive.raw/RTDC4010/ "%USERPROFILE%\AppData\Local\Temp\OnboardLogs"\RTDC4010\2016-11-05 --exclude "*" --recursive --include "*20161105*" &amp; "%USERPROFILE%\Documents\GitHub\mrs-test-scripts\Headless Mode &amp; Sideloading\WalkAndUnGZ.bat" "%USERPROFILE%\AppData\Local\Temp\OnboardLogs"\RTDC4010\2016-11-05</v>
      </c>
      <c r="AF192" s="88" t="str">
        <f t="shared" si="49"/>
        <v>"C:\Program Files (x86)\AstroGrep\AstroGrep.exe" /spath="%USERPROFILE%\AppData\Local\Temp\OnboardLogs" /stypes="app*4010*20161104*" /stext=" 22:.+((SYSTEM_STATE.+slice.+state.+changed )|(ment ac)|(system.+state.+changed )|(\[timeout)|(PRM\|1\|D)|(kpr)|(kdp)|(\|loc)|(penalty))" /e /r /s</v>
      </c>
      <c r="AG192" s="1" t="str">
        <f t="shared" si="50"/>
        <v>NW</v>
      </c>
      <c r="AH192" s="92" t="str">
        <f t="shared" si="51"/>
        <v>"%USERPROFILE%\Documents\GitHub\eaglep3\Utilities\RefineRTDCRunTimes.py" --tripid 830-04 --locoid 4010 --swversion DE.1.0.8.0 --startMP 300:58611 --initTime 2016-11-04T16:38:25 --startdatetime 2016-11-04T16:40:54 --delay 1 --endMP 204:671 --enddatetime 2016-11-04T16:57:17 --enforcementcount 0 &gt;&gt;C:\Users\stu\Documents\GitHub\eaglep3-reporting\EC\2016-11-04-refined-times.txt</v>
      </c>
      <c r="AI192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{"issue":{"subject":"","project_id":79,"tracker_id":40,"status_id":1,"priority_id":2,"assigned_to_id":23,"start_date":"2016-11-04","description":"","custom_fields":[{"id":1,"name":"Subdivision","value":"NW"},{"id":4,"name":"Milepost","value":"0.0671"},{"id":17,"name":"Train ID","value":"830-04"},{"id":16,"name":"Locomotive ID","value":"4010"},{"id":130,"name":"Impact","value":""},{"id":150,"name":"Time of Event (Mountain Time)","value":"16:57:17"},{"id":151,"name":"Denver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7" t="s">
        <v>565</v>
      </c>
      <c r="B193" s="7">
        <v>4011</v>
      </c>
      <c r="C193" s="22" t="s">
        <v>239</v>
      </c>
      <c r="D193" s="22" t="s">
        <v>755</v>
      </c>
      <c r="E193" s="13">
        <v>42678.686678240738</v>
      </c>
      <c r="F193" s="13">
        <v>42678.702280092592</v>
      </c>
      <c r="G193" s="7">
        <v>1</v>
      </c>
      <c r="H193" s="22" t="s">
        <v>733</v>
      </c>
      <c r="I193" s="13">
        <v>42678.712268518517</v>
      </c>
      <c r="J193" s="7">
        <v>0</v>
      </c>
      <c r="K193" s="112" t="str">
        <f t="shared" si="36"/>
        <v>4011/4012</v>
      </c>
      <c r="L193" s="22" t="str">
        <f>VLOOKUP(A193,'Trips&amp;Operators'!$C$1:$E$10000,3,FALSE)</f>
        <v>JOHNSON</v>
      </c>
      <c r="M193" s="6">
        <f t="shared" si="37"/>
        <v>9.9884259252576157E-3</v>
      </c>
      <c r="N193" s="7">
        <f t="shared" si="38"/>
        <v>14.383333332370967</v>
      </c>
      <c r="O193" s="7"/>
      <c r="P193" s="7"/>
      <c r="Q193" s="23"/>
      <c r="R193" s="23"/>
      <c r="S193" s="35">
        <f t="shared" si="39"/>
        <v>1</v>
      </c>
      <c r="T193" s="50" t="str">
        <f t="shared" si="40"/>
        <v>NorthBound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15:28:49-0600',mode:absolute,to:'2016-11-04 18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3" s="52" t="str">
        <f t="shared" si="42"/>
        <v>N</v>
      </c>
      <c r="X193" s="177">
        <f t="shared" si="43"/>
        <v>1</v>
      </c>
      <c r="Y193" s="67">
        <f t="shared" si="44"/>
        <v>9.5799999999999996E-2</v>
      </c>
      <c r="Z193" s="67">
        <f t="shared" si="45"/>
        <v>5.8924000000000003</v>
      </c>
      <c r="AA193" s="67">
        <f t="shared" si="46"/>
        <v>5.7966000000000006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47"/>
        <v>0831-04</v>
      </c>
      <c r="AE193" s="91" t="str">
        <f t="shared" si="48"/>
        <v>aws s3 cp s3://rtdc.mdm.uploadarchive.raw/RTDC4011/ "%USERPROFILE%\AppData\Local\Temp\OnboardLogs"\RTDC4011\2016-11-04 --exclude "*" --recursive --include "*20161104*" &amp; "%USERPROFILE%\Documents\GitHub\mrs-test-scripts\Headless Mode &amp; Sideloading\WalkAndUnGZ.bat" "%USERPROFILE%\AppData\Local\Temp\OnboardLogs"\RTDC4011\2016-11-04 &amp; 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</v>
      </c>
      <c r="AF193" s="88" t="str">
        <f t="shared" si="49"/>
        <v>"C:\Program Files (x86)\AstroGrep\AstroGrep.exe" /spath="%USERPROFILE%\AppData\Local\Temp\OnboardLogs" /stypes="app*4011*20161104*" /stext=" 23:.+((SYSTEM_STATE.+slice.+state.+changed )|(ment ac)|(system.+state.+changed )|(\[timeout)|(PRM\|1\|D)|(kpr)|(kdp)|(\|loc)|(penalty))" /e /r /s</v>
      </c>
      <c r="AG193" s="1" t="str">
        <f t="shared" si="50"/>
        <v>NW</v>
      </c>
      <c r="AH193" s="92" t="str">
        <f t="shared" si="51"/>
        <v>"%USERPROFILE%\Documents\GitHub\eaglep3\Utilities\RefineRTDCRunTimes.py" --tripid 831-04 --locoid 4011 --swversion DE.1.0.8.0 --startMP 204:958 --initTime 2016-11-04T16:28:49 --startdatetime 2016-11-04T16:51:17 --delay 1 --endMP 300:58924 --enddatetime 2016-11-04T17:05:40 --enforcementcount 0 &gt;&gt;C:\Users\stu\Documents\GitHub\eaglep3-reporting\EC\2016-11-04-refined-times.txt</v>
      </c>
      <c r="AI193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{"issue":{"subject":"","project_id":79,"tracker_id":40,"status_id":1,"priority_id":2,"assigned_to_id":23,"start_date":"2016-11-04","description":"","custom_fields":[{"id":1,"name":"Subdivision","value":"NW"},{"id":4,"name":"Milepost","value":"5.8924"},{"id":17,"name":"Train ID","value":"831-04"},{"id":16,"name":"Locomotive ID","value":"4011"},{"id":130,"name":"Impact","value":""},{"id":150,"name":"Time of Event (Mountain Time)","value":"17:05:40"},{"id":151,"name":"Denver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x14ac:dyDescent="0.25">
      <c r="A194" s="37" t="s">
        <v>571</v>
      </c>
      <c r="B194" s="7">
        <v>4012</v>
      </c>
      <c r="C194" s="22" t="s">
        <v>239</v>
      </c>
      <c r="D194" s="22" t="s">
        <v>756</v>
      </c>
      <c r="E194" s="13">
        <v>42678.713472222225</v>
      </c>
      <c r="F194" s="13">
        <v>42678.714895833335</v>
      </c>
      <c r="G194" s="7">
        <v>1</v>
      </c>
      <c r="H194" s="22" t="s">
        <v>757</v>
      </c>
      <c r="I194" s="13">
        <v>42678.7268287037</v>
      </c>
      <c r="J194" s="7">
        <v>0</v>
      </c>
      <c r="K194" s="112" t="str">
        <f t="shared" si="36"/>
        <v>4011/4012</v>
      </c>
      <c r="L194" s="22" t="str">
        <f>VLOOKUP(A194,'Trips&amp;Operators'!$C$1:$E$10000,3,FALSE)</f>
        <v>JOHNSON</v>
      </c>
      <c r="M194" s="6">
        <f t="shared" si="37"/>
        <v>1.1932870365853887E-2</v>
      </c>
      <c r="N194" s="7">
        <f t="shared" si="38"/>
        <v>17.183333326829597</v>
      </c>
      <c r="O194" s="7"/>
      <c r="P194" s="7"/>
      <c r="Q194" s="23"/>
      <c r="R194" s="23"/>
      <c r="S194" s="35">
        <f t="shared" si="39"/>
        <v>1</v>
      </c>
      <c r="T194" s="50" t="str">
        <f t="shared" si="40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16:07:24-0600',mode:absolute,to:'2016-11-04 18:26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4" s="52" t="str">
        <f t="shared" si="42"/>
        <v>N</v>
      </c>
      <c r="X194" s="177">
        <f t="shared" si="43"/>
        <v>1</v>
      </c>
      <c r="Y194" s="67">
        <f t="shared" si="44"/>
        <v>5.8608000000000002</v>
      </c>
      <c r="Z194" s="67">
        <f t="shared" si="45"/>
        <v>7.0300000000000001E-2</v>
      </c>
      <c r="AA194" s="67">
        <f t="shared" si="46"/>
        <v>5.7905000000000006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47"/>
        <v>0832-04</v>
      </c>
      <c r="AE194" s="91" t="str">
        <f t="shared" si="48"/>
        <v>aws s3 cp s3://rtdc.mdm.uploadarchive.raw/RTDC4012/ "%USERPROFILE%\AppData\Local\Temp\OnboardLogs"\RTDC4012\2016-11-04 --exclude "*" --recursive --include "*20161104*" &amp; "%USERPROFILE%\Documents\GitHub\mrs-test-scripts\Headless Mode &amp; Sideloading\WalkAndUnGZ.bat" "%USERPROFILE%\AppData\Local\Temp\OnboardLogs"\RTDC4012\2016-11-04 &amp; 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</v>
      </c>
      <c r="AF194" s="88" t="str">
        <f t="shared" si="49"/>
        <v>"C:\Program Files (x86)\AstroGrep\AstroGrep.exe" /spath="%USERPROFILE%\AppData\Local\Temp\OnboardLogs" /stypes="app*4012*20161104*" /stext=" 23:.+((SYSTEM_STATE.+slice.+state.+changed )|(ment ac)|(system.+state.+changed )|(\[timeout)|(PRM\|1\|D)|(kpr)|(kdp)|(\|loc)|(penalty))" /e /r /s</v>
      </c>
      <c r="AG194" s="1" t="str">
        <f t="shared" si="50"/>
        <v>NW</v>
      </c>
      <c r="AH194" s="92" t="str">
        <f t="shared" si="51"/>
        <v>"%USERPROFILE%\Documents\GitHub\eaglep3\Utilities\RefineRTDCRunTimes.py" --tripid 832-04 --locoid 4012 --swversion DE.1.0.8.0 --startMP 300:58608 --initTime 2016-11-04T17:07:24 --startdatetime 2016-11-04T17:09:27 --delay 1 --endMP 204:703 --enddatetime 2016-11-04T17:26:38 --enforcementcount 0 &gt;&gt;C:\Users\stu\Documents\GitHub\eaglep3-reporting\EC\2016-11-04-refined-times.txt</v>
      </c>
      <c r="AI194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{"issue":{"subject":"","project_id":79,"tracker_id":40,"status_id":1,"priority_id":2,"assigned_to_id":23,"start_date":"2016-11-04","description":"","custom_fields":[{"id":1,"name":"Subdivision","value":"NW"},{"id":4,"name":"Milepost","value":"0.0703"},{"id":17,"name":"Train ID","value":"832-04"},{"id":16,"name":"Locomotive ID","value":"4012"},{"id":130,"name":"Impact","value":""},{"id":150,"name":"Time of Event (Mountain Time)","value":"17:26:38"},{"id":151,"name":"Denver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s="21" customFormat="1" x14ac:dyDescent="0.25">
      <c r="A195" s="37" t="s">
        <v>574</v>
      </c>
      <c r="B195" s="7">
        <v>4009</v>
      </c>
      <c r="C195" s="22" t="s">
        <v>239</v>
      </c>
      <c r="D195" s="22" t="s">
        <v>758</v>
      </c>
      <c r="E195" s="13">
        <v>42678.720729166664</v>
      </c>
      <c r="F195" s="13">
        <v>42678.723113425927</v>
      </c>
      <c r="G195" s="7">
        <v>1</v>
      </c>
      <c r="H195" s="22" t="s">
        <v>391</v>
      </c>
      <c r="I195" s="13">
        <v>42678.732152777775</v>
      </c>
      <c r="J195" s="7">
        <v>0</v>
      </c>
      <c r="K195" s="112" t="str">
        <f t="shared" si="36"/>
        <v>4009/4010</v>
      </c>
      <c r="L195" s="22" t="str">
        <f>VLOOKUP(A195,'Trips&amp;Operators'!$C$1:$E$10000,3,FALSE)</f>
        <v>HELVIE</v>
      </c>
      <c r="M195" s="6">
        <f t="shared" si="37"/>
        <v>9.0393518476048484E-3</v>
      </c>
      <c r="N195" s="7">
        <f t="shared" si="38"/>
        <v>13.016666660550982</v>
      </c>
      <c r="O195" s="7"/>
      <c r="P195" s="7"/>
      <c r="Q195" s="23"/>
      <c r="R195" s="23"/>
      <c r="S195" s="35">
        <f t="shared" si="39"/>
        <v>1</v>
      </c>
      <c r="T195" s="50" t="str">
        <f t="shared" si="40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16:17:51-0600',mode:absolute,to:'2016-11-04 18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5" s="52" t="str">
        <f t="shared" si="42"/>
        <v>N</v>
      </c>
      <c r="X195" s="177">
        <f t="shared" si="43"/>
        <v>1</v>
      </c>
      <c r="Y195" s="67">
        <f t="shared" si="44"/>
        <v>9.4100000000000003E-2</v>
      </c>
      <c r="Z195" s="67">
        <f t="shared" si="45"/>
        <v>5.8935000000000004</v>
      </c>
      <c r="AA195" s="67">
        <f t="shared" si="46"/>
        <v>5.7994000000000003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47"/>
        <v>0833-04</v>
      </c>
      <c r="AE195" s="91" t="str">
        <f t="shared" si="48"/>
        <v>aws s3 cp s3://rtdc.mdm.uploadarchive.raw/RTDC4009/ "%USERPROFILE%\AppData\Local\Temp\OnboardLogs"\RTDC4009\2016-11-04 --exclude "*" --recursive --include "*20161104*" &amp; "%USERPROFILE%\Documents\GitHub\mrs-test-scripts\Headless Mode &amp; Sideloading\WalkAndUnGZ.bat" "%USERPROFILE%\AppData\Local\Temp\OnboardLogs"\RTDC4009\2016-11-04 &amp; aws s3 cp s3://rtdc.mdm.uploadarchive.raw/RTDC4009/ "%USERPROFILE%\AppData\Local\Temp\OnboardLogs"\RTDC4009\2016-11-05 --exclude "*" --recursive --include "*20161105*" &amp; "%USERPROFILE%\Documents\GitHub\mrs-test-scripts\Headless Mode &amp; Sideloading\WalkAndUnGZ.bat" "%USERPROFILE%\AppData\Local\Temp\OnboardLogs"\RTDC4009\2016-11-05</v>
      </c>
      <c r="AF195" s="88" t="str">
        <f t="shared" si="49"/>
        <v>"C:\Program Files (x86)\AstroGrep\AstroGrep.exe" /spath="%USERPROFILE%\AppData\Local\Temp\OnboardLogs" /stypes="app*4009*20161104*" /stext=" 23:.+((SYSTEM_STATE.+slice.+state.+changed )|(ment ac)|(system.+state.+changed )|(\[timeout)|(PRM\|1\|D)|(kpr)|(kdp)|(\|loc)|(penalty))" /e /r /s</v>
      </c>
      <c r="AG195" s="1" t="str">
        <f t="shared" si="50"/>
        <v>NW</v>
      </c>
      <c r="AH195" s="92" t="str">
        <f t="shared" si="51"/>
        <v>"%USERPROFILE%\Documents\GitHub\eaglep3\Utilities\RefineRTDCRunTimes.py" --tripid 833-04 --locoid 4009 --swversion DE.1.0.8.0 --startMP 204:941 --initTime 2016-11-04T17:17:51 --startdatetime 2016-11-04T17:21:17 --delay 1 --endMP 300:58935 --enddatetime 2016-11-04T17:34:18 --enforcementcount 0 &gt;&gt;C:\Users\stu\Documents\GitHub\eaglep3-reporting\EC\2016-11-04-refined-times.txt</v>
      </c>
      <c r="AI195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{"issue":{"subject":"","project_id":79,"tracker_id":40,"status_id":1,"priority_id":2,"assigned_to_id":23,"start_date":"2016-11-04","description":"","custom_fields":[{"id":1,"name":"Subdivision","value":"NW"},{"id":4,"name":"Milepost","value":"5.8935"},{"id":17,"name":"Train ID","value":"833-04"},{"id":16,"name":"Locomotive ID","value":"4009"},{"id":130,"name":"Impact","value":""},{"id":150,"name":"Time of Event (Mountain Time)","value":"17:34:18"},{"id":151,"name":"Denver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7" t="s">
        <v>426</v>
      </c>
      <c r="B196" s="7">
        <v>4010</v>
      </c>
      <c r="C196" s="22" t="s">
        <v>239</v>
      </c>
      <c r="D196" s="22" t="s">
        <v>399</v>
      </c>
      <c r="E196" s="13">
        <v>42678.733090277776</v>
      </c>
      <c r="F196" s="13">
        <v>42678.734768518516</v>
      </c>
      <c r="G196" s="7">
        <v>1</v>
      </c>
      <c r="H196" s="22" t="s">
        <v>759</v>
      </c>
      <c r="I196" s="13">
        <v>42678.747025462966</v>
      </c>
      <c r="J196" s="7">
        <v>0</v>
      </c>
      <c r="K196" s="112" t="str">
        <f t="shared" si="36"/>
        <v>4009/4010</v>
      </c>
      <c r="L196" s="22" t="str">
        <f>VLOOKUP(A196,'Trips&amp;Operators'!$C$1:$E$10000,3,FALSE)</f>
        <v>HELVIE</v>
      </c>
      <c r="M196" s="6">
        <f t="shared" si="37"/>
        <v>1.2256944450200535E-2</v>
      </c>
      <c r="N196" s="7">
        <f t="shared" si="38"/>
        <v>17.650000008288771</v>
      </c>
      <c r="O196" s="7"/>
      <c r="P196" s="7"/>
      <c r="Q196" s="23"/>
      <c r="R196" s="23"/>
      <c r="S196" s="35">
        <f t="shared" si="39"/>
        <v>1</v>
      </c>
      <c r="T196" s="50" t="str">
        <f t="shared" si="40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16:35:39-0600',mode:absolute,to:'2016-11-04 18:55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6" s="52" t="str">
        <f t="shared" si="42"/>
        <v>N</v>
      </c>
      <c r="X196" s="177">
        <f t="shared" si="43"/>
        <v>1</v>
      </c>
      <c r="Y196" s="67">
        <f t="shared" si="44"/>
        <v>5.8624000000000001</v>
      </c>
      <c r="Z196" s="67">
        <f t="shared" si="45"/>
        <v>7.7799999999999994E-2</v>
      </c>
      <c r="AA196" s="67">
        <f t="shared" si="46"/>
        <v>5.7846000000000002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47"/>
        <v>0834-04</v>
      </c>
      <c r="AE196" s="91" t="str">
        <f t="shared" si="48"/>
        <v>aws s3 cp s3://rtdc.mdm.uploadarchive.raw/RTDC4010/ "%USERPROFILE%\AppData\Local\Temp\OnboardLogs"\RTDC4010\2016-11-04 --exclude "*" --recursive --include "*20161104*" &amp; "%USERPROFILE%\Documents\GitHub\mrs-test-scripts\Headless Mode &amp; Sideloading\WalkAndUnGZ.bat" "%USERPROFILE%\AppData\Local\Temp\OnboardLogs"\RTDC4010\2016-11-04 &amp; aws s3 cp s3://rtdc.mdm.uploadarchive.raw/RTDC4010/ "%USERPROFILE%\AppData\Local\Temp\OnboardLogs"\RTDC4010\2016-11-05 --exclude "*" --recursive --include "*20161105*" &amp; "%USERPROFILE%\Documents\GitHub\mrs-test-scripts\Headless Mode &amp; Sideloading\WalkAndUnGZ.bat" "%USERPROFILE%\AppData\Local\Temp\OnboardLogs"\RTDC4010\2016-11-05</v>
      </c>
      <c r="AF196" s="88" t="str">
        <f t="shared" si="49"/>
        <v>"C:\Program Files (x86)\AstroGrep\AstroGrep.exe" /spath="%USERPROFILE%\AppData\Local\Temp\OnboardLogs" /stypes="app*4010*20161104*" /stext=" 23:.+((SYSTEM_STATE.+slice.+state.+changed )|(ment ac)|(system.+state.+changed )|(\[timeout)|(PRM\|1\|D)|(kpr)|(kdp)|(\|loc)|(penalty))" /e /r /s</v>
      </c>
      <c r="AG196" s="1" t="str">
        <f t="shared" si="50"/>
        <v>NW</v>
      </c>
      <c r="AH196" s="92" t="str">
        <f t="shared" si="51"/>
        <v>"%USERPROFILE%\Documents\GitHub\eaglep3\Utilities\RefineRTDCRunTimes.py" --tripid 834-04 --locoid 4010 --swversion DE.1.0.8.0 --startMP 300:58624 --initTime 2016-11-04T17:35:39 --startdatetime 2016-11-04T17:38:04 --delay 1 --endMP 204:778 --enddatetime 2016-11-04T17:55:43 --enforcementcount 0 &gt;&gt;C:\Users\stu\Documents\GitHub\eaglep3-reporting\EC\2016-11-04-refined-times.txt</v>
      </c>
      <c r="AI196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{"issue":{"subject":"","project_id":79,"tracker_id":40,"status_id":1,"priority_id":2,"assigned_to_id":23,"start_date":"2016-11-04","description":"","custom_fields":[{"id":1,"name":"Subdivision","value":"NW"},{"id":4,"name":"Milepost","value":"0.0778"},{"id":17,"name":"Train ID","value":"834-04"},{"id":16,"name":"Locomotive ID","value":"4010"},{"id":130,"name":"Impact","value":""},{"id":150,"name":"Time of Event (Mountain Time)","value":"17:55:43"},{"id":151,"name":"Denver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s="21" customFormat="1" x14ac:dyDescent="0.25">
      <c r="A197" s="37" t="s">
        <v>578</v>
      </c>
      <c r="B197" s="7">
        <v>4011</v>
      </c>
      <c r="C197" s="22" t="s">
        <v>239</v>
      </c>
      <c r="D197" s="22" t="s">
        <v>723</v>
      </c>
      <c r="E197" s="13">
        <v>42678.728148148148</v>
      </c>
      <c r="F197" s="13">
        <v>42678.743946759256</v>
      </c>
      <c r="G197" s="7">
        <v>1</v>
      </c>
      <c r="H197" s="22" t="s">
        <v>760</v>
      </c>
      <c r="I197" s="13">
        <v>42678.752974537034</v>
      </c>
      <c r="J197" s="7">
        <v>0</v>
      </c>
      <c r="K197" s="112" t="str">
        <f t="shared" si="36"/>
        <v>4011/4012</v>
      </c>
      <c r="L197" s="22" t="str">
        <f>VLOOKUP(A197,'Trips&amp;Operators'!$C$1:$E$10000,3,FALSE)</f>
        <v>JOHNSON</v>
      </c>
      <c r="M197" s="6">
        <f t="shared" si="37"/>
        <v>9.0277777781011537E-3</v>
      </c>
      <c r="N197" s="7">
        <f t="shared" si="38"/>
        <v>13.000000000465661</v>
      </c>
      <c r="O197" s="7"/>
      <c r="P197" s="7"/>
      <c r="Q197" s="23"/>
      <c r="R197" s="23"/>
      <c r="S197" s="35">
        <f t="shared" si="39"/>
        <v>1</v>
      </c>
      <c r="T197" s="50" t="str">
        <f t="shared" si="40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16:28:32-0600',mode:absolute,to:'2016-11-04 19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7" s="52" t="str">
        <f t="shared" si="42"/>
        <v>N</v>
      </c>
      <c r="X197" s="177">
        <f t="shared" si="43"/>
        <v>1</v>
      </c>
      <c r="Y197" s="67">
        <f t="shared" si="44"/>
        <v>9.6500000000000002E-2</v>
      </c>
      <c r="Z197" s="67">
        <f t="shared" si="45"/>
        <v>5.8914</v>
      </c>
      <c r="AA197" s="67">
        <f t="shared" si="46"/>
        <v>5.7949000000000002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47"/>
        <v>0835-04</v>
      </c>
      <c r="AE197" s="91" t="str">
        <f t="shared" si="48"/>
        <v>aws s3 cp s3://rtdc.mdm.uploadarchive.raw/RTDC4011/ "%USERPROFILE%\AppData\Local\Temp\OnboardLogs"\RTDC4011\2016-11-04 --exclude "*" --recursive --include "*20161104*" &amp; "%USERPROFILE%\Documents\GitHub\mrs-test-scripts\Headless Mode &amp; Sideloading\WalkAndUnGZ.bat" "%USERPROFILE%\AppData\Local\Temp\OnboardLogs"\RTDC4011\2016-11-04 &amp; 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</v>
      </c>
      <c r="AF197" s="88" t="str">
        <f t="shared" si="49"/>
        <v>"C:\Program Files (x86)\AstroGrep\AstroGrep.exe" /spath="%USERPROFILE%\AppData\Local\Temp\OnboardLogs" /stypes="app*4011*20161105*" /stext=" 00:.+((SYSTEM_STATE.+slice.+state.+changed )|(ment ac)|(system.+state.+changed )|(\[timeout)|(PRM\|1\|D)|(kpr)|(kdp)|(\|loc)|(penalty))" /e /r /s</v>
      </c>
      <c r="AG197" s="1" t="str">
        <f t="shared" si="50"/>
        <v>NW</v>
      </c>
      <c r="AH197" s="92" t="str">
        <f t="shared" si="51"/>
        <v>"%USERPROFILE%\Documents\GitHub\eaglep3\Utilities\RefineRTDCRunTimes.py" --tripid 835-04 --locoid 4011 --swversion DE.1.0.8.0 --startMP 204:965 --initTime 2016-11-04T17:28:32 --startdatetime 2016-11-04T17:51:17 --delay 1 --endMP 300:58914 --enddatetime 2016-11-04T18:04:17 --enforcementcount 0 &gt;&gt;C:\Users\stu\Documents\GitHub\eaglep3-reporting\EC\2016-11-04-refined-times.txt</v>
      </c>
      <c r="AI197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{"issue":{"subject":"","project_id":79,"tracker_id":40,"status_id":1,"priority_id":2,"assigned_to_id":23,"start_date":"2016-11-04","description":"","custom_fields":[{"id":1,"name":"Subdivision","value":"NW"},{"id":4,"name":"Milepost","value":"5.8914"},{"id":17,"name":"Train ID","value":"835-04"},{"id":16,"name":"Locomotive ID","value":"4011"},{"id":130,"name":"Impact","value":""},{"id":150,"name":"Time of Event (Mountain Time)","value":"18:04:17"},{"id":151,"name":"Denver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7" t="s">
        <v>584</v>
      </c>
      <c r="B198" s="7">
        <v>4012</v>
      </c>
      <c r="C198" s="22" t="s">
        <v>239</v>
      </c>
      <c r="D198" s="22" t="s">
        <v>761</v>
      </c>
      <c r="E198" s="13">
        <v>42678.753946759258</v>
      </c>
      <c r="F198" s="13">
        <v>42678.755115740743</v>
      </c>
      <c r="G198" s="7">
        <v>1</v>
      </c>
      <c r="H198" s="22" t="s">
        <v>762</v>
      </c>
      <c r="I198" s="13">
        <v>42678.767974537041</v>
      </c>
      <c r="J198" s="7">
        <v>0</v>
      </c>
      <c r="K198" s="112" t="str">
        <f t="shared" si="36"/>
        <v>4011/4012</v>
      </c>
      <c r="L198" s="22" t="str">
        <f>VLOOKUP(A198,'Trips&amp;Operators'!$C$1:$E$10000,3,FALSE)</f>
        <v>JOHNSON</v>
      </c>
      <c r="M198" s="6">
        <f t="shared" si="37"/>
        <v>1.2858796297223307E-2</v>
      </c>
      <c r="N198" s="7">
        <f t="shared" si="38"/>
        <v>18.516666668001562</v>
      </c>
      <c r="O198" s="7"/>
      <c r="P198" s="7"/>
      <c r="Q198" s="23"/>
      <c r="R198" s="23"/>
      <c r="S198" s="35">
        <f t="shared" si="39"/>
        <v>1</v>
      </c>
      <c r="T198" s="50" t="str">
        <f t="shared" si="40"/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17:05:41-0600',mode:absolute,to:'2016-11-04 19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8" s="52" t="str">
        <f t="shared" si="42"/>
        <v>N</v>
      </c>
      <c r="X198" s="177">
        <f t="shared" si="43"/>
        <v>1</v>
      </c>
      <c r="Y198" s="67">
        <f t="shared" si="44"/>
        <v>5.8605999999999998</v>
      </c>
      <c r="Z198" s="67">
        <f t="shared" si="45"/>
        <v>6.7299999999999999E-2</v>
      </c>
      <c r="AA198" s="67">
        <f t="shared" si="46"/>
        <v>5.7932999999999995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47"/>
        <v>0836-04</v>
      </c>
      <c r="AE198" s="91" t="str">
        <f t="shared" si="48"/>
        <v>aws s3 cp s3://rtdc.mdm.uploadarchive.raw/RTDC4012/ "%USERPROFILE%\AppData\Local\Temp\OnboardLogs"\RTDC4012\2016-11-04 --exclude "*" --recursive --include "*20161104*" &amp; "%USERPROFILE%\Documents\GitHub\mrs-test-scripts\Headless Mode &amp; Sideloading\WalkAndUnGZ.bat" "%USERPROFILE%\AppData\Local\Temp\OnboardLogs"\RTDC4012\2016-11-04 &amp; 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</v>
      </c>
      <c r="AF198" s="88" t="str">
        <f t="shared" si="49"/>
        <v>"C:\Program Files (x86)\AstroGrep\AstroGrep.exe" /spath="%USERPROFILE%\AppData\Local\Temp\OnboardLogs" /stypes="app*4012*20161105*" /stext=" 00:.+((SYSTEM_STATE.+slice.+state.+changed )|(ment ac)|(system.+state.+changed )|(\[timeout)|(PRM\|1\|D)|(kpr)|(kdp)|(\|loc)|(penalty))" /e /r /s</v>
      </c>
      <c r="AG198" s="1" t="str">
        <f t="shared" si="50"/>
        <v>NW</v>
      </c>
      <c r="AH198" s="92" t="str">
        <f t="shared" si="51"/>
        <v>"%USERPROFILE%\Documents\GitHub\eaglep3\Utilities\RefineRTDCRunTimes.py" --tripid 836-04 --locoid 4012 --swversion DE.1.0.8.0 --startMP 300:58606 --initTime 2016-11-04T18:05:41 --startdatetime 2016-11-04T18:07:22 --delay 1 --endMP 204:673 --enddatetime 2016-11-04T18:25:53 --enforcementcount 0 &gt;&gt;C:\Users\stu\Documents\GitHub\eaglep3-reporting\EC\2016-11-04-refined-times.txt</v>
      </c>
      <c r="AI198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{"issue":{"subject":"","project_id":79,"tracker_id":40,"status_id":1,"priority_id":2,"assigned_to_id":23,"start_date":"2016-11-04","description":"","custom_fields":[{"id":1,"name":"Subdivision","value":"NW"},{"id":4,"name":"Milepost","value":"0.0673"},{"id":17,"name":"Train ID","value":"836-04"},{"id":16,"name":"Locomotive ID","value":"4012"},{"id":130,"name":"Impact","value":""},{"id":150,"name":"Time of Event (Mountain Time)","value":"18:25:53"},{"id":151,"name":"Denver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7" t="s">
        <v>585</v>
      </c>
      <c r="B199" s="7">
        <v>4009</v>
      </c>
      <c r="C199" s="22" t="s">
        <v>239</v>
      </c>
      <c r="D199" s="22" t="s">
        <v>763</v>
      </c>
      <c r="E199" s="13">
        <v>42678.757986111108</v>
      </c>
      <c r="F199" s="13">
        <v>42678.764803240738</v>
      </c>
      <c r="G199" s="7">
        <v>2</v>
      </c>
      <c r="H199" s="22" t="s">
        <v>400</v>
      </c>
      <c r="I199" s="13">
        <v>42678.775034722225</v>
      </c>
      <c r="J199" s="7">
        <v>0</v>
      </c>
      <c r="K199" s="112" t="str">
        <f t="shared" si="36"/>
        <v>4009/4010</v>
      </c>
      <c r="L199" s="22" t="str">
        <f>VLOOKUP(A199,'Trips&amp;Operators'!$C$1:$E$10000,3,FALSE)</f>
        <v>HELVIE</v>
      </c>
      <c r="M199" s="6">
        <f t="shared" si="37"/>
        <v>1.0231481486698613E-2</v>
      </c>
      <c r="N199" s="7">
        <f t="shared" si="38"/>
        <v>14.733333340846002</v>
      </c>
      <c r="O199" s="7"/>
      <c r="P199" s="7"/>
      <c r="Q199" s="23"/>
      <c r="R199" s="23"/>
      <c r="S199" s="35">
        <f t="shared" si="39"/>
        <v>1</v>
      </c>
      <c r="T199" s="50" t="str">
        <f t="shared" si="40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17:11:30-0600',mode:absolute,to:'2016-11-04 19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9" s="52" t="str">
        <f t="shared" si="42"/>
        <v>N</v>
      </c>
      <c r="X199" s="177">
        <f t="shared" si="43"/>
        <v>1</v>
      </c>
      <c r="Y199" s="67">
        <f t="shared" si="44"/>
        <v>0.106</v>
      </c>
      <c r="Z199" s="67">
        <f t="shared" si="45"/>
        <v>5.8920000000000003</v>
      </c>
      <c r="AA199" s="67">
        <f t="shared" si="46"/>
        <v>5.7860000000000005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47"/>
        <v>0837-04</v>
      </c>
      <c r="AE199" s="91" t="str">
        <f t="shared" si="48"/>
        <v>aws s3 cp s3://rtdc.mdm.uploadarchive.raw/RTDC4009/ "%USERPROFILE%\AppData\Local\Temp\OnboardLogs"\RTDC4009\2016-11-04 --exclude "*" --recursive --include "*20161104*" &amp; "%USERPROFILE%\Documents\GitHub\mrs-test-scripts\Headless Mode &amp; Sideloading\WalkAndUnGZ.bat" "%USERPROFILE%\AppData\Local\Temp\OnboardLogs"\RTDC4009\2016-11-04 &amp; aws s3 cp s3://rtdc.mdm.uploadarchive.raw/RTDC4009/ "%USERPROFILE%\AppData\Local\Temp\OnboardLogs"\RTDC4009\2016-11-05 --exclude "*" --recursive --include "*20161105*" &amp; "%USERPROFILE%\Documents\GitHub\mrs-test-scripts\Headless Mode &amp; Sideloading\WalkAndUnGZ.bat" "%USERPROFILE%\AppData\Local\Temp\OnboardLogs"\RTDC4009\2016-11-05</v>
      </c>
      <c r="AF199" s="88" t="str">
        <f t="shared" si="49"/>
        <v>"C:\Program Files (x86)\AstroGrep\AstroGrep.exe" /spath="%USERPROFILE%\AppData\Local\Temp\OnboardLogs" /stypes="app*4009*20161105*" /stext=" 00:.+((SYSTEM_STATE.+slice.+state.+changed )|(ment ac)|(system.+state.+changed )|(\[timeout)|(PRM\|1\|D)|(kpr)|(kdp)|(\|loc)|(penalty))" /e /r /s</v>
      </c>
      <c r="AG199" s="1" t="str">
        <f t="shared" si="50"/>
        <v>NW</v>
      </c>
      <c r="AH199" s="92" t="str">
        <f t="shared" si="51"/>
        <v>"%USERPROFILE%\Documents\GitHub\eaglep3\Utilities\RefineRTDCRunTimes.py" --tripid 837-04 --locoid 4009 --swversion DE.1.0.8.0 --startMP 204:1060 --initTime 2016-11-04T18:11:30 --startdatetime 2016-11-04T18:21:19 --delay 2 --endMP 300:58920 --enddatetime 2016-11-04T18:36:03 --enforcementcount 0 &gt;&gt;C:\Users\stu\Documents\GitHub\eaglep3-reporting\EC\2016-11-04-refined-times.txt</v>
      </c>
      <c r="AI199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{"issue":{"subject":"","project_id":79,"tracker_id":40,"status_id":1,"priority_id":2,"assigned_to_id":23,"start_date":"2016-11-04","description":"","custom_fields":[{"id":1,"name":"Subdivision","value":"NW"},{"id":4,"name":"Milepost","value":"5.892"},{"id":17,"name":"Train ID","value":"837-04"},{"id":16,"name":"Locomotive ID","value":"4009"},{"id":130,"name":"Impact","value":""},{"id":150,"name":"Time of Event (Mountain Time)","value":"18:36:03"},{"id":151,"name":"Denver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s="21" customFormat="1" x14ac:dyDescent="0.25">
      <c r="A200" s="37" t="s">
        <v>590</v>
      </c>
      <c r="B200" s="7">
        <v>4010</v>
      </c>
      <c r="C200" s="22" t="s">
        <v>239</v>
      </c>
      <c r="D200" s="22" t="s">
        <v>764</v>
      </c>
      <c r="E200" s="13">
        <v>42678.776284722226</v>
      </c>
      <c r="F200" s="13">
        <v>42678.778402777774</v>
      </c>
      <c r="G200" s="7">
        <v>1</v>
      </c>
      <c r="H200" s="22" t="s">
        <v>765</v>
      </c>
      <c r="I200" s="13">
        <v>42678.791458333333</v>
      </c>
      <c r="J200" s="7">
        <v>0</v>
      </c>
      <c r="K200" s="112" t="str">
        <f t="shared" si="36"/>
        <v>4009/4010</v>
      </c>
      <c r="L200" s="22" t="str">
        <f>VLOOKUP(A200,'Trips&amp;Operators'!$C$1:$E$10000,3,FALSE)</f>
        <v>HELVIE</v>
      </c>
      <c r="M200" s="6">
        <f t="shared" si="37"/>
        <v>1.3055555558821652E-2</v>
      </c>
      <c r="N200" s="7">
        <f t="shared" si="38"/>
        <v>18.800000004703179</v>
      </c>
      <c r="O200" s="7"/>
      <c r="P200" s="7"/>
      <c r="Q200" s="23"/>
      <c r="R200" s="23"/>
      <c r="S200" s="35">
        <f t="shared" si="39"/>
        <v>1</v>
      </c>
      <c r="T200" s="50" t="str">
        <f t="shared" si="40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https://search-rtdc-monitor-bjffxe2xuh6vdkpspy63sjmuny.us-east-1.es.amazonaws.com/_plugin/kibana/#/discover/Steve-Slow-Train-Analysis-(2080s-and-2083s)?_g=(refreshInterval:(display:Off,section:0,value:0),time:(from:'2016-11-04 17:37:51-0600',mode:absolute,to:'2016-11-04 19:59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0" s="52" t="str">
        <f t="shared" si="42"/>
        <v>N</v>
      </c>
      <c r="X200" s="177">
        <f t="shared" si="43"/>
        <v>1</v>
      </c>
      <c r="Y200" s="67">
        <f t="shared" si="44"/>
        <v>5.86</v>
      </c>
      <c r="Z200" s="67">
        <f t="shared" si="45"/>
        <v>6.8199999999999997E-2</v>
      </c>
      <c r="AA200" s="67">
        <f t="shared" si="46"/>
        <v>5.7918000000000003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47"/>
        <v>0838-04</v>
      </c>
      <c r="AE200" s="91" t="str">
        <f t="shared" si="48"/>
        <v>aws s3 cp s3://rtdc.mdm.uploadarchive.raw/RTDC4010/ "%USERPROFILE%\AppData\Local\Temp\OnboardLogs"\RTDC4010\2016-11-04 --exclude "*" --recursive --include "*20161104*" &amp; "%USERPROFILE%\Documents\GitHub\mrs-test-scripts\Headless Mode &amp; Sideloading\WalkAndUnGZ.bat" "%USERPROFILE%\AppData\Local\Temp\OnboardLogs"\RTDC4010\2016-11-04 &amp; aws s3 cp s3://rtdc.mdm.uploadarchive.raw/RTDC4010/ "%USERPROFILE%\AppData\Local\Temp\OnboardLogs"\RTDC4010\2016-11-05 --exclude "*" --recursive --include "*20161105*" &amp; "%USERPROFILE%\Documents\GitHub\mrs-test-scripts\Headless Mode &amp; Sideloading\WalkAndUnGZ.bat" "%USERPROFILE%\AppData\Local\Temp\OnboardLogs"\RTDC4010\2016-11-05</v>
      </c>
      <c r="AF200" s="88" t="str">
        <f t="shared" si="49"/>
        <v>"C:\Program Files (x86)\AstroGrep\AstroGrep.exe" /spath="%USERPROFILE%\AppData\Local\Temp\OnboardLogs" /stypes="app*4010*20161105*" /stext=" 00:.+((SYSTEM_STATE.+slice.+state.+changed )|(ment ac)|(system.+state.+changed )|(\[timeout)|(PRM\|1\|D)|(kpr)|(kdp)|(\|loc)|(penalty))" /e /r /s</v>
      </c>
      <c r="AG200" s="1" t="str">
        <f t="shared" si="50"/>
        <v>NW</v>
      </c>
      <c r="AH200" s="92" t="str">
        <f t="shared" si="51"/>
        <v>"%USERPROFILE%\Documents\GitHub\eaglep3\Utilities\RefineRTDCRunTimes.py" --tripid 838-04 --locoid 4010 --swversion DE.1.0.8.0 --startMP 300:58600 --initTime 2016-11-04T18:37:51 --startdatetime 2016-11-04T18:40:54 --delay 1 --endMP 204:682 --enddatetime 2016-11-04T18:59:42 --enforcementcount 0 &gt;&gt;C:\Users\stu\Documents\GitHub\eaglep3-reporting\EC\2016-11-04-refined-times.txt</v>
      </c>
      <c r="AI200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{"issue":{"subject":"","project_id":79,"tracker_id":40,"status_id":1,"priority_id":2,"assigned_to_id":23,"start_date":"2016-11-04","description":"","custom_fields":[{"id":1,"name":"Subdivision","value":"NW"},{"id":4,"name":"Milepost","value":"0.0682"},{"id":17,"name":"Train ID","value":"838-04"},{"id":16,"name":"Locomotive ID","value":"4010"},{"id":130,"name":"Impact","value":""},{"id":150,"name":"Time of Event (Mountain Time)","value":"18:59:42"},{"id":151,"name":"Denver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1" customFormat="1" x14ac:dyDescent="0.25">
      <c r="A201" s="37" t="s">
        <v>589</v>
      </c>
      <c r="B201" s="7">
        <v>4011</v>
      </c>
      <c r="C201" s="22" t="s">
        <v>239</v>
      </c>
      <c r="D201" s="22" t="s">
        <v>716</v>
      </c>
      <c r="E201" s="13">
        <v>42678.769780092596</v>
      </c>
      <c r="F201" s="13">
        <v>42678.785624999997</v>
      </c>
      <c r="G201" s="7">
        <v>1</v>
      </c>
      <c r="H201" s="22" t="s">
        <v>392</v>
      </c>
      <c r="I201" s="13">
        <v>42678.796087962961</v>
      </c>
      <c r="J201" s="7">
        <v>0</v>
      </c>
      <c r="K201" s="112" t="str">
        <f t="shared" ref="K201:K231" si="53">IF(ISEVEN(B201),(B201-1)&amp;"/"&amp;B201,B201&amp;"/"&amp;(B201+1))</f>
        <v>4011/4012</v>
      </c>
      <c r="L201" s="22" t="str">
        <f>VLOOKUP(A201,'Trips&amp;Operators'!$C$1:$E$10000,3,FALSE)</f>
        <v>JOHNSON</v>
      </c>
      <c r="M201" s="6">
        <f t="shared" ref="M201:M231" si="54">I201-F201</f>
        <v>1.0462962964083999E-2</v>
      </c>
      <c r="N201" s="7">
        <f t="shared" ref="N201:N231" si="55">24*60*SUM($M201:$M201)</f>
        <v>15.066666668280959</v>
      </c>
      <c r="O201" s="7"/>
      <c r="P201" s="7"/>
      <c r="Q201" s="23"/>
      <c r="R201" s="23"/>
      <c r="S201" s="35">
        <f t="shared" ref="S201:S231" si="56">SUM(U201:U201)/IF(AG201="EC",12,1)</f>
        <v>1</v>
      </c>
      <c r="T201" s="50" t="str">
        <f t="shared" ref="T201:T231" si="57">IF(ISEVEN(LEFT(AD201,4)),"Southbound","NorthBound")</f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ref="V201:V231" si="58">"https://search-rtdc-monitor-bjffxe2xuh6vdkpspy63sjmuny.us-east-1.es.amazonaws.com/_plugin/kibana/#/discover/Steve-Slow-Train-Analysis-(2080s-and-2083s)?_g=(refreshInterval:(display:Off,section:0,value:0),time:(from:'"&amp;TEXT(E201-1/24,"yyyy-MM-DD hh:mm:ss")&amp;"-0600',mode:absolute,to:'"&amp;TEXT(I201+1/24,"yyyy-MM-DD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https://search-rtdc-monitor-bjffxe2xuh6vdkpspy63sjmuny.us-east-1.es.amazonaws.com/_plugin/kibana/#/discover/Steve-Slow-Train-Analysis-(2080s-and-2083s)?_g=(refreshInterval:(display:Off,section:0,value:0),time:(from:'2016-11-04 17:28:29-0600',mode:absolute,to:'2016-11-04 20:06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1" s="52" t="str">
        <f t="shared" ref="W201:W231" si="59">IF(AA201&lt;IF(AG201="EC",23,5.65),"Y","N")</f>
        <v>N</v>
      </c>
      <c r="X201" s="177">
        <f t="shared" ref="X201:X231" si="60">VALUE(LEFT(AD201,4))-VALUE(LEFT(AD200,4))</f>
        <v>1</v>
      </c>
      <c r="Y201" s="67">
        <f t="shared" ref="Y201:Y231" si="61">RIGHT(D201,LEN(D201)-4)/10000</f>
        <v>9.4799999999999995E-2</v>
      </c>
      <c r="Z201" s="67">
        <f t="shared" ref="Z201:Z231" si="62">RIGHT(H201,LEN(H201)-4)/10000</f>
        <v>5.8939000000000004</v>
      </c>
      <c r="AA201" s="67">
        <f t="shared" ref="AA201:AA231" si="63">ABS(Z201-Y201)</f>
        <v>5.7991000000000001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ref="AD201:AD231" si="64">IF(LEN(A201)=6,"0"&amp;A201,A201)</f>
        <v>0839-04</v>
      </c>
      <c r="AE201" s="91" t="str">
        <f t="shared" ref="AE201:AE231" si="65"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s3://rtdc.mdm.uploadarchive.raw/RTDC4011/ "%USERPROFILE%\AppData\Local\Temp\OnboardLogs"\RTDC4011\2016-11-04 --exclude "*" --recursive --include "*20161104*" &amp; "%USERPROFILE%\Documents\GitHub\mrs-test-scripts\Headless Mode &amp; Sideloading\WalkAndUnGZ.bat" "%USERPROFILE%\AppData\Local\Temp\OnboardLogs"\RTDC4011\2016-11-04 &amp; 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</v>
      </c>
      <c r="AF201" s="88" t="str">
        <f t="shared" ref="AF201:AF231" si="66"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/stypes="app*4011*20161105*" /stext=" 01:.+((SYSTEM_STATE.+slice.+state.+changed )|(ment ac)|(system.+state.+changed )|(\[timeout)|(PRM\|1\|D)|(kpr)|(kdp)|(\|loc)|(penalty))" /e /r /s</v>
      </c>
      <c r="AG201" s="1" t="str">
        <f t="shared" ref="AG201:AG231" si="67">IFERROR(IF(VALUE(LEFT(AD201,2))&lt;=2,"EC",IF(OR(VALUE(LEFT(AD201,2))=8,VALUE(LEFT(AD201,2))=18),"NW","Other")),"Other")</f>
        <v>NW</v>
      </c>
      <c r="AH201" s="92" t="str">
        <f t="shared" si="51"/>
        <v>"%USERPROFILE%\Documents\GitHub\eaglep3\Utilities\RefineRTDCRunTimes.py" --tripid 839-04 --locoid 4011 --swversion DE.1.0.8.0 --startMP 204:948 --initTime 2016-11-04T18:28:29 --startdatetime 2016-11-04T18:51:18 --delay 1 --endMP 300:58939 --enddatetime 2016-11-04T19:06:22 --enforcementcount 0 &gt;&gt;C:\Users\stu\Documents\GitHub\eaglep3-reporting\EC\2016-11-04-refined-times.txt</v>
      </c>
      <c r="AI201" s="122" t="str">
        <f t="shared" si="52"/>
        <v>echo {"issue":{"subject":"","project_id":79,"tracker_id":40,"status_id":1,"priority_id":2,"assigned_to_id":23,"start_date":"2016-11-04","description":"","custom_fields":[{"id":1,"name":"Subdivision","value":"NW"},{"id":4,"name":"Milepost","value":"5.8939"},{"id":17,"name":"Train ID","value":"839-04"},{"id":16,"name":"Locomotive ID","value":"4011"},{"id":130,"name":"Impact","value":""},{"id":150,"name":"Time of Event (Mountain Time)","value":"19:06:22"},{"id":151,"name":"Denver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1" customFormat="1" x14ac:dyDescent="0.25">
      <c r="A202" s="37" t="s">
        <v>599</v>
      </c>
      <c r="B202" s="7">
        <v>4010</v>
      </c>
      <c r="C202" s="22" t="s">
        <v>239</v>
      </c>
      <c r="D202" s="22" t="s">
        <v>390</v>
      </c>
      <c r="E202" s="13">
        <v>42678.818067129629</v>
      </c>
      <c r="F202" s="13">
        <v>42678.819363425922</v>
      </c>
      <c r="G202" s="7">
        <v>1</v>
      </c>
      <c r="H202" s="22" t="s">
        <v>389</v>
      </c>
      <c r="I202" s="13">
        <v>42678.829930555556</v>
      </c>
      <c r="J202" s="7">
        <v>0</v>
      </c>
      <c r="K202" s="112" t="str">
        <f t="shared" si="53"/>
        <v>4009/4010</v>
      </c>
      <c r="L202" s="22" t="str">
        <f>VLOOKUP(A202,'Trips&amp;Operators'!$C$1:$E$10000,3,FALSE)</f>
        <v>HELVIE</v>
      </c>
      <c r="M202" s="6">
        <f t="shared" si="54"/>
        <v>1.0567129633272998E-2</v>
      </c>
      <c r="N202" s="7">
        <f t="shared" si="55"/>
        <v>15.216666671913117</v>
      </c>
      <c r="O202" s="7"/>
      <c r="P202" s="7"/>
      <c r="Q202" s="23"/>
      <c r="R202" s="23"/>
      <c r="S202" s="35">
        <f t="shared" si="56"/>
        <v>1</v>
      </c>
      <c r="T202" s="50" t="str">
        <f t="shared" si="57"/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18:38:01-0600',mode:absolute,to:'2016-11-04 20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2" s="52" t="str">
        <f t="shared" si="59"/>
        <v>N</v>
      </c>
      <c r="X202" s="177">
        <f t="shared" si="60"/>
        <v>1</v>
      </c>
      <c r="Y202" s="67">
        <f t="shared" si="61"/>
        <v>5.8619000000000003</v>
      </c>
      <c r="Z202" s="67">
        <f t="shared" si="62"/>
        <v>7.4800000000000005E-2</v>
      </c>
      <c r="AA202" s="67">
        <f t="shared" si="63"/>
        <v>5.7871000000000006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64"/>
        <v>0840-04</v>
      </c>
      <c r="AE202" s="91" t="str">
        <f t="shared" si="65"/>
        <v>aws s3 cp s3://rtdc.mdm.uploadarchive.raw/RTDC4010/ "%USERPROFILE%\AppData\Local\Temp\OnboardLogs"\RTDC4010\2016-11-04 --exclude "*" --recursive --include "*20161104*" &amp; "%USERPROFILE%\Documents\GitHub\mrs-test-scripts\Headless Mode &amp; Sideloading\WalkAndUnGZ.bat" "%USERPROFILE%\AppData\Local\Temp\OnboardLogs"\RTDC4010\2016-11-04 &amp; aws s3 cp s3://rtdc.mdm.uploadarchive.raw/RTDC4010/ "%USERPROFILE%\AppData\Local\Temp\OnboardLogs"\RTDC4010\2016-11-05 --exclude "*" --recursive --include "*20161105*" &amp; "%USERPROFILE%\Documents\GitHub\mrs-test-scripts\Headless Mode &amp; Sideloading\WalkAndUnGZ.bat" "%USERPROFILE%\AppData\Local\Temp\OnboardLogs"\RTDC4010\2016-11-05</v>
      </c>
      <c r="AF202" s="88" t="str">
        <f t="shared" si="66"/>
        <v>"C:\Program Files (x86)\AstroGrep\AstroGrep.exe" /spath="%USERPROFILE%\AppData\Local\Temp\OnboardLogs" /stypes="app*4010*20161105*" /stext=" 01:.+((SYSTEM_STATE.+slice.+state.+changed )|(ment ac)|(system.+state.+changed )|(\[timeout)|(PRM\|1\|D)|(kpr)|(kdp)|(\|loc)|(penalty))" /e /r /s</v>
      </c>
      <c r="AG202" s="1" t="str">
        <f t="shared" si="67"/>
        <v>NW</v>
      </c>
      <c r="AH202" s="92" t="str">
        <f t="shared" ref="AH202:AH231" si="68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840-04 --locoid 4010 --swversion DE.1.0.8.0 --startMP 300:58619 --initTime 2016-11-04T19:38:01 --startdatetime 2016-11-04T19:39:53 --delay 1 --endMP 204:748 --enddatetime 2016-11-04T19:55:06 --enforcementcount 0 &gt;&gt;C:\Users\stu\Documents\GitHub\eaglep3-reporting\EC\2016-11-04-refined-times.txt</v>
      </c>
      <c r="AI202" s="122" t="str">
        <f t="shared" ref="AI202:AI231" si="69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{"issue":{"subject":"","project_id":79,"tracker_id":40,"status_id":1,"priority_id":2,"assigned_to_id":23,"start_date":"2016-11-04","description":"","custom_fields":[{"id":1,"name":"Subdivision","value":"NW"},{"id":4,"name":"Milepost","value":"0.0748"},{"id":17,"name":"Train ID","value":"840-04"},{"id":16,"name":"Locomotive ID","value":"4010"},{"id":130,"name":"Impact","value":""},{"id":150,"name":"Time of Event (Mountain Time)","value":"19:55:06"},{"id":151,"name":"Denver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1" customFormat="1" x14ac:dyDescent="0.25">
      <c r="A203" s="37" t="s">
        <v>596</v>
      </c>
      <c r="B203" s="7">
        <v>4009</v>
      </c>
      <c r="C203" s="22" t="s">
        <v>239</v>
      </c>
      <c r="D203" s="22" t="s">
        <v>716</v>
      </c>
      <c r="E203" s="13">
        <v>42678.804293981484</v>
      </c>
      <c r="F203" s="13">
        <v>42678.806423611109</v>
      </c>
      <c r="G203" s="7">
        <v>1</v>
      </c>
      <c r="H203" s="22" t="s">
        <v>398</v>
      </c>
      <c r="I203" s="13">
        <v>42678.815138888887</v>
      </c>
      <c r="J203" s="7">
        <v>0</v>
      </c>
      <c r="K203" s="112" t="str">
        <f t="shared" si="53"/>
        <v>4009/4010</v>
      </c>
      <c r="L203" s="22" t="str">
        <f>VLOOKUP(A203,'Trips&amp;Operators'!$C$1:$E$10000,3,FALSE)</f>
        <v>HELVIE</v>
      </c>
      <c r="M203" s="6">
        <f t="shared" si="54"/>
        <v>8.7152777778101154E-3</v>
      </c>
      <c r="N203" s="7">
        <f t="shared" si="55"/>
        <v>12.550000000046566</v>
      </c>
      <c r="O203" s="7"/>
      <c r="P203" s="7"/>
      <c r="Q203" s="23"/>
      <c r="R203" s="23"/>
      <c r="S203" s="35">
        <f t="shared" si="56"/>
        <v>1</v>
      </c>
      <c r="T203" s="50" t="str">
        <f t="shared" si="57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18:18:11-0600',mode:absolute,to:'2016-11-04 20:33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3" s="52" t="str">
        <f t="shared" si="59"/>
        <v>N</v>
      </c>
      <c r="X203" s="177">
        <f t="shared" si="60"/>
        <v>1</v>
      </c>
      <c r="Y203" s="67">
        <f t="shared" si="61"/>
        <v>9.4799999999999995E-2</v>
      </c>
      <c r="Z203" s="67">
        <f t="shared" si="62"/>
        <v>5.8929</v>
      </c>
      <c r="AA203" s="67">
        <f t="shared" si="63"/>
        <v>5.7980999999999998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64"/>
        <v>0841-04</v>
      </c>
      <c r="AE203" s="91" t="str">
        <f t="shared" si="65"/>
        <v>aws s3 cp s3://rtdc.mdm.uploadarchive.raw/RTDC4009/ "%USERPROFILE%\AppData\Local\Temp\OnboardLogs"\RTDC4009\2016-11-04 --exclude "*" --recursive --include "*20161104*" &amp; "%USERPROFILE%\Documents\GitHub\mrs-test-scripts\Headless Mode &amp; Sideloading\WalkAndUnGZ.bat" "%USERPROFILE%\AppData\Local\Temp\OnboardLogs"\RTDC4009\2016-11-04 &amp; aws s3 cp s3://rtdc.mdm.uploadarchive.raw/RTDC4009/ "%USERPROFILE%\AppData\Local\Temp\OnboardLogs"\RTDC4009\2016-11-05 --exclude "*" --recursive --include "*20161105*" &amp; "%USERPROFILE%\Documents\GitHub\mrs-test-scripts\Headless Mode &amp; Sideloading\WalkAndUnGZ.bat" "%USERPROFILE%\AppData\Local\Temp\OnboardLogs"\RTDC4009\2016-11-05</v>
      </c>
      <c r="AF203" s="88" t="str">
        <f t="shared" si="66"/>
        <v>"C:\Program Files (x86)\AstroGrep\AstroGrep.exe" /spath="%USERPROFILE%\AppData\Local\Temp\OnboardLogs" /stypes="app*4009*20161105*" /stext=" 01:.+((SYSTEM_STATE.+slice.+state.+changed )|(ment ac)|(system.+state.+changed )|(\[timeout)|(PRM\|1\|D)|(kpr)|(kdp)|(\|loc)|(penalty))" /e /r /s</v>
      </c>
      <c r="AG203" s="1" t="str">
        <f t="shared" si="67"/>
        <v>NW</v>
      </c>
      <c r="AH203" s="92" t="str">
        <f t="shared" si="68"/>
        <v>"%USERPROFILE%\Documents\GitHub\eaglep3\Utilities\RefineRTDCRunTimes.py" --tripid 841-04 --locoid 4009 --swversion DE.1.0.8.0 --startMP 204:948 --initTime 2016-11-04T19:18:11 --startdatetime 2016-11-04T19:21:15 --delay 1 --endMP 300:58929 --enddatetime 2016-11-04T19:33:48 --enforcementcount 0 &gt;&gt;C:\Users\stu\Documents\GitHub\eaglep3-reporting\EC\2016-11-04-refined-times.txt</v>
      </c>
      <c r="AI203" s="122" t="str">
        <f t="shared" si="69"/>
        <v>echo {"issue":{"subject":"","project_id":79,"tracker_id":40,"status_id":1,"priority_id":2,"assigned_to_id":23,"start_date":"2016-11-04","description":"","custom_fields":[{"id":1,"name":"Subdivision","value":"NW"},{"id":4,"name":"Milepost","value":"5.8929"},{"id":17,"name":"Train ID","value":"841-04"},{"id":16,"name":"Locomotive ID","value":"4009"},{"id":130,"name":"Impact","value":""},{"id":150,"name":"Time of Event (Mountain Time)","value":"19:33:48"},{"id":151,"name":"Denver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1" customFormat="1" x14ac:dyDescent="0.25">
      <c r="A204" s="37" t="s">
        <v>604</v>
      </c>
      <c r="B204" s="7">
        <v>4010</v>
      </c>
      <c r="C204" s="22" t="s">
        <v>239</v>
      </c>
      <c r="D204" s="22" t="s">
        <v>320</v>
      </c>
      <c r="E204" s="13">
        <v>42678.857708333337</v>
      </c>
      <c r="F204" s="13">
        <v>42678.859236111108</v>
      </c>
      <c r="G204" s="7">
        <v>1</v>
      </c>
      <c r="H204" s="22" t="s">
        <v>395</v>
      </c>
      <c r="I204" s="13">
        <v>42678.871238425927</v>
      </c>
      <c r="J204" s="7">
        <v>0</v>
      </c>
      <c r="K204" s="112" t="str">
        <f t="shared" si="53"/>
        <v>4009/4010</v>
      </c>
      <c r="L204" s="22" t="str">
        <f>VLOOKUP(A204,'Trips&amp;Operators'!$C$1:$E$10000,3,FALSE)</f>
        <v>HELVIE</v>
      </c>
      <c r="M204" s="6">
        <f t="shared" si="54"/>
        <v>1.2002314819255844E-2</v>
      </c>
      <c r="N204" s="7">
        <f t="shared" si="55"/>
        <v>17.283333339728415</v>
      </c>
      <c r="O204" s="7"/>
      <c r="P204" s="7"/>
      <c r="Q204" s="23"/>
      <c r="R204" s="23"/>
      <c r="S204" s="35">
        <f t="shared" si="56"/>
        <v>1</v>
      </c>
      <c r="T204" s="50" t="str">
        <f t="shared" si="57"/>
        <v>Southbound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19:35:06-0600',mode:absolute,to:'2016-11-04 21:54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4" s="52" t="str">
        <f t="shared" si="59"/>
        <v>N</v>
      </c>
      <c r="X204" s="177">
        <f t="shared" si="60"/>
        <v>1</v>
      </c>
      <c r="Y204" s="67">
        <f t="shared" si="61"/>
        <v>5.8615000000000004</v>
      </c>
      <c r="Z204" s="67">
        <f t="shared" si="62"/>
        <v>7.4999999999999997E-2</v>
      </c>
      <c r="AA204" s="67">
        <f t="shared" si="63"/>
        <v>5.7865000000000002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64"/>
        <v>0842-04</v>
      </c>
      <c r="AE204" s="91" t="str">
        <f t="shared" si="65"/>
        <v>aws s3 cp s3://rtdc.mdm.uploadarchive.raw/RTDC4010/ "%USERPROFILE%\AppData\Local\Temp\OnboardLogs"\RTDC4010\2016-11-04 --exclude "*" --recursive --include "*20161104*" &amp; "%USERPROFILE%\Documents\GitHub\mrs-test-scripts\Headless Mode &amp; Sideloading\WalkAndUnGZ.bat" "%USERPROFILE%\AppData\Local\Temp\OnboardLogs"\RTDC4010\2016-11-04 &amp; aws s3 cp s3://rtdc.mdm.uploadarchive.raw/RTDC4010/ "%USERPROFILE%\AppData\Local\Temp\OnboardLogs"\RTDC4010\2016-11-05 --exclude "*" --recursive --include "*20161105*" &amp; "%USERPROFILE%\Documents\GitHub\mrs-test-scripts\Headless Mode &amp; Sideloading\WalkAndUnGZ.bat" "%USERPROFILE%\AppData\Local\Temp\OnboardLogs"\RTDC4010\2016-11-05</v>
      </c>
      <c r="AF204" s="88" t="str">
        <f t="shared" si="66"/>
        <v>"C:\Program Files (x86)\AstroGrep\AstroGrep.exe" /spath="%USERPROFILE%\AppData\Local\Temp\OnboardLogs" /stypes="app*4010*20161105*" /stext=" 02:.+((SYSTEM_STATE.+slice.+state.+changed )|(ment ac)|(system.+state.+changed )|(\[timeout)|(PRM\|1\|D)|(kpr)|(kdp)|(\|loc)|(penalty))" /e /r /s</v>
      </c>
      <c r="AG204" s="1" t="str">
        <f t="shared" si="67"/>
        <v>NW</v>
      </c>
      <c r="AH204" s="92" t="str">
        <f t="shared" si="68"/>
        <v>"%USERPROFILE%\Documents\GitHub\eaglep3\Utilities\RefineRTDCRunTimes.py" --tripid 842-04 --locoid 4010 --swversion DE.1.0.8.0 --startMP 300:58615 --initTime 2016-11-04T20:35:06 --startdatetime 2016-11-04T20:37:18 --delay 1 --endMP 204:750 --enddatetime 2016-11-04T20:54:35 --enforcementcount 0 &gt;&gt;C:\Users\stu\Documents\GitHub\eaglep3-reporting\EC\2016-11-04-refined-times.txt</v>
      </c>
      <c r="AI204" s="122" t="str">
        <f t="shared" si="69"/>
        <v>echo {"issue":{"subject":"","project_id":79,"tracker_id":40,"status_id":1,"priority_id":2,"assigned_to_id":23,"start_date":"2016-11-04","description":"","custom_fields":[{"id":1,"name":"Subdivision","value":"NW"},{"id":4,"name":"Milepost","value":"0.075"},{"id":17,"name":"Train ID","value":"842-04"},{"id":16,"name":"Locomotive ID","value":"4010"},{"id":130,"name":"Impact","value":""},{"id":150,"name":"Time of Event (Mountain Time)","value":"20:54:35"},{"id":151,"name":"Denver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1" customFormat="1" x14ac:dyDescent="0.25">
      <c r="A205" s="37" t="s">
        <v>602</v>
      </c>
      <c r="B205" s="7">
        <v>4009</v>
      </c>
      <c r="C205" s="22" t="s">
        <v>239</v>
      </c>
      <c r="D205" s="22" t="s">
        <v>766</v>
      </c>
      <c r="E205" s="13">
        <v>42678.844884259262</v>
      </c>
      <c r="F205" s="13">
        <v>42678.848067129627</v>
      </c>
      <c r="G205" s="7">
        <v>1</v>
      </c>
      <c r="H205" s="22" t="s">
        <v>319</v>
      </c>
      <c r="I205" s="13">
        <v>42678.856793981482</v>
      </c>
      <c r="J205" s="7">
        <v>0</v>
      </c>
      <c r="K205" s="112" t="str">
        <f t="shared" si="53"/>
        <v>4009/4010</v>
      </c>
      <c r="L205" s="22" t="str">
        <f>VLOOKUP(A205,'Trips&amp;Operators'!$C$1:$E$10000,3,FALSE)</f>
        <v>HELVIE</v>
      </c>
      <c r="M205" s="6">
        <f t="shared" si="54"/>
        <v>8.7268518545897678E-3</v>
      </c>
      <c r="N205" s="7">
        <f t="shared" si="55"/>
        <v>12.566666670609266</v>
      </c>
      <c r="O205" s="7"/>
      <c r="P205" s="7"/>
      <c r="Q205" s="23"/>
      <c r="R205" s="23"/>
      <c r="S205" s="35">
        <f t="shared" si="56"/>
        <v>1</v>
      </c>
      <c r="T205" s="50" t="str">
        <f t="shared" si="57"/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19:16:38-0600',mode:absolute,to:'2016-11-04 21:33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5" s="52" t="str">
        <f t="shared" si="59"/>
        <v>N</v>
      </c>
      <c r="X205" s="177">
        <f t="shared" si="60"/>
        <v>1</v>
      </c>
      <c r="Y205" s="67">
        <f t="shared" si="61"/>
        <v>0.10349999999999999</v>
      </c>
      <c r="Z205" s="67">
        <f t="shared" si="62"/>
        <v>5.8930999999999996</v>
      </c>
      <c r="AA205" s="67">
        <f t="shared" si="63"/>
        <v>5.7895999999999992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si="64"/>
        <v>0843-04</v>
      </c>
      <c r="AE205" s="91" t="str">
        <f t="shared" si="65"/>
        <v>aws s3 cp s3://rtdc.mdm.uploadarchive.raw/RTDC4009/ "%USERPROFILE%\AppData\Local\Temp\OnboardLogs"\RTDC4009\2016-11-04 --exclude "*" --recursive --include "*20161104*" &amp; "%USERPROFILE%\Documents\GitHub\mrs-test-scripts\Headless Mode &amp; Sideloading\WalkAndUnGZ.bat" "%USERPROFILE%\AppData\Local\Temp\OnboardLogs"\RTDC4009\2016-11-04 &amp; aws s3 cp s3://rtdc.mdm.uploadarchive.raw/RTDC4009/ "%USERPROFILE%\AppData\Local\Temp\OnboardLogs"\RTDC4009\2016-11-05 --exclude "*" --recursive --include "*20161105*" &amp; "%USERPROFILE%\Documents\GitHub\mrs-test-scripts\Headless Mode &amp; Sideloading\WalkAndUnGZ.bat" "%USERPROFILE%\AppData\Local\Temp\OnboardLogs"\RTDC4009\2016-11-05</v>
      </c>
      <c r="AF205" s="88" t="str">
        <f t="shared" si="66"/>
        <v>"C:\Program Files (x86)\AstroGrep\AstroGrep.exe" /spath="%USERPROFILE%\AppData\Local\Temp\OnboardLogs" /stypes="app*4009*20161105*" /stext=" 02:.+((SYSTEM_STATE.+slice.+state.+changed )|(ment ac)|(system.+state.+changed )|(\[timeout)|(PRM\|1\|D)|(kpr)|(kdp)|(\|loc)|(penalty))" /e /r /s</v>
      </c>
      <c r="AG205" s="1" t="str">
        <f t="shared" si="67"/>
        <v>NW</v>
      </c>
      <c r="AH205" s="92" t="str">
        <f t="shared" si="68"/>
        <v>"%USERPROFILE%\Documents\GitHub\eaglep3\Utilities\RefineRTDCRunTimes.py" --tripid 843-04 --locoid 4009 --swversion DE.1.0.8.0 --startMP 204:1035 --initTime 2016-11-04T20:16:38 --startdatetime 2016-11-04T20:21:13 --delay 1 --endMP 300:58931 --enddatetime 2016-11-04T20:33:47 --enforcementcount 0 &gt;&gt;C:\Users\stu\Documents\GitHub\eaglep3-reporting\EC\2016-11-04-refined-times.txt</v>
      </c>
      <c r="AI205" s="122" t="str">
        <f t="shared" si="69"/>
        <v>echo {"issue":{"subject":"","project_id":79,"tracker_id":40,"status_id":1,"priority_id":2,"assigned_to_id":23,"start_date":"2016-11-04","description":"","custom_fields":[{"id":1,"name":"Subdivision","value":"NW"},{"id":4,"name":"Milepost","value":"5.8931"},{"id":17,"name":"Train ID","value":"843-04"},{"id":16,"name":"Locomotive ID","value":"4009"},{"id":130,"name":"Impact","value":""},{"id":150,"name":"Time of Event (Mountain Time)","value":"20:33:47"},{"id":151,"name":"Denver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1" customFormat="1" x14ac:dyDescent="0.25">
      <c r="A206" s="37" t="s">
        <v>432</v>
      </c>
      <c r="B206" s="7">
        <v>4010</v>
      </c>
      <c r="C206" s="22" t="s">
        <v>239</v>
      </c>
      <c r="D206" s="22" t="s">
        <v>402</v>
      </c>
      <c r="E206" s="13">
        <v>42678.901435185187</v>
      </c>
      <c r="F206" s="13">
        <v>42678.903657407405</v>
      </c>
      <c r="G206" s="7">
        <v>1</v>
      </c>
      <c r="H206" s="22" t="s">
        <v>719</v>
      </c>
      <c r="I206" s="13">
        <v>42678.914247685185</v>
      </c>
      <c r="J206" s="7">
        <v>0</v>
      </c>
      <c r="K206" s="112" t="str">
        <f t="shared" si="53"/>
        <v>4009/4010</v>
      </c>
      <c r="L206" s="22" t="str">
        <f>VLOOKUP(A206,'Trips&amp;Operators'!$C$1:$E$10000,3,FALSE)</f>
        <v>JOHNSON</v>
      </c>
      <c r="M206" s="6">
        <f t="shared" si="54"/>
        <v>1.0590277779556345E-2</v>
      </c>
      <c r="N206" s="7">
        <f t="shared" si="55"/>
        <v>15.250000002561137</v>
      </c>
      <c r="O206" s="7"/>
      <c r="P206" s="7"/>
      <c r="Q206" s="23"/>
      <c r="R206" s="23"/>
      <c r="S206" s="35">
        <f t="shared" si="56"/>
        <v>1</v>
      </c>
      <c r="T206" s="50" t="str">
        <f t="shared" si="57"/>
        <v>Southbound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20:38:04-0600',mode:absolute,to:'2016-11-04 22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6" s="52" t="str">
        <f t="shared" si="59"/>
        <v>N</v>
      </c>
      <c r="X206" s="177">
        <f t="shared" si="60"/>
        <v>1</v>
      </c>
      <c r="Y206" s="67">
        <f t="shared" si="61"/>
        <v>5.8623000000000003</v>
      </c>
      <c r="Z206" s="67">
        <f t="shared" si="62"/>
        <v>6.7500000000000004E-2</v>
      </c>
      <c r="AA206" s="67">
        <f t="shared" si="63"/>
        <v>5.7948000000000004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64"/>
        <v>0844-04</v>
      </c>
      <c r="AE206" s="91" t="str">
        <f t="shared" si="65"/>
        <v>aws s3 cp s3://rtdc.mdm.uploadarchive.raw/RTDC4010/ "%USERPROFILE%\AppData\Local\Temp\OnboardLogs"\RTDC4010\2016-11-04 --exclude "*" --recursive --include "*20161104*" &amp; "%USERPROFILE%\Documents\GitHub\mrs-test-scripts\Headless Mode &amp; Sideloading\WalkAndUnGZ.bat" "%USERPROFILE%\AppData\Local\Temp\OnboardLogs"\RTDC4010\2016-11-04 &amp; aws s3 cp s3://rtdc.mdm.uploadarchive.raw/RTDC4010/ "%USERPROFILE%\AppData\Local\Temp\OnboardLogs"\RTDC4010\2016-11-05 --exclude "*" --recursive --include "*20161105*" &amp; "%USERPROFILE%\Documents\GitHub\mrs-test-scripts\Headless Mode &amp; Sideloading\WalkAndUnGZ.bat" "%USERPROFILE%\AppData\Local\Temp\OnboardLogs"\RTDC4010\2016-11-05</v>
      </c>
      <c r="AF206" s="88" t="str">
        <f t="shared" si="66"/>
        <v>"C:\Program Files (x86)\AstroGrep\AstroGrep.exe" /spath="%USERPROFILE%\AppData\Local\Temp\OnboardLogs" /stypes="app*4010*20161105*" /stext=" 03:.+((SYSTEM_STATE.+slice.+state.+changed )|(ment ac)|(system.+state.+changed )|(\[timeout)|(PRM\|1\|D)|(kpr)|(kdp)|(\|loc)|(penalty))" /e /r /s</v>
      </c>
      <c r="AG206" s="1" t="str">
        <f t="shared" si="67"/>
        <v>NW</v>
      </c>
      <c r="AH206" s="92" t="str">
        <f t="shared" si="68"/>
        <v>"%USERPROFILE%\Documents\GitHub\eaglep3\Utilities\RefineRTDCRunTimes.py" --tripid 844-04 --locoid 4010 --swversion DE.1.0.8.0 --startMP 300:58623 --initTime 2016-11-04T21:38:04 --startdatetime 2016-11-04T21:41:16 --delay 1 --endMP 204:675 --enddatetime 2016-11-04T21:56:31 --enforcementcount 0 &gt;&gt;C:\Users\stu\Documents\GitHub\eaglep3-reporting\EC\2016-11-04-refined-times.txt</v>
      </c>
      <c r="AI206" s="122" t="str">
        <f t="shared" si="69"/>
        <v>echo {"issue":{"subject":"","project_id":79,"tracker_id":40,"status_id":1,"priority_id":2,"assigned_to_id":23,"start_date":"2016-11-04","description":"","custom_fields":[{"id":1,"name":"Subdivision","value":"NW"},{"id":4,"name":"Milepost","value":"0.0675"},{"id":17,"name":"Train ID","value":"844-04"},{"id":16,"name":"Locomotive ID","value":"4010"},{"id":130,"name":"Impact","value":""},{"id":150,"name":"Time of Event (Mountain Time)","value":"21:56:31"},{"id":151,"name":"Denver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7" t="s">
        <v>607</v>
      </c>
      <c r="B207" s="7">
        <v>4009</v>
      </c>
      <c r="C207" s="22" t="s">
        <v>239</v>
      </c>
      <c r="D207" s="22" t="s">
        <v>348</v>
      </c>
      <c r="E207" s="13">
        <v>42678.876574074071</v>
      </c>
      <c r="F207" s="13">
        <v>42678.889803240738</v>
      </c>
      <c r="G207" s="7">
        <v>2</v>
      </c>
      <c r="H207" s="22" t="s">
        <v>349</v>
      </c>
      <c r="I207" s="13">
        <v>42678.900196759256</v>
      </c>
      <c r="J207" s="7">
        <v>0</v>
      </c>
      <c r="K207" s="112" t="str">
        <f t="shared" si="53"/>
        <v>4009/4010</v>
      </c>
      <c r="L207" s="22" t="str">
        <f>VLOOKUP(A207,'Trips&amp;Operators'!$C$1:$E$10000,3,FALSE)</f>
        <v>JOHNSON</v>
      </c>
      <c r="M207" s="6">
        <f t="shared" si="54"/>
        <v>1.0393518517958E-2</v>
      </c>
      <c r="N207" s="7">
        <f t="shared" si="55"/>
        <v>14.96666666585952</v>
      </c>
      <c r="O207" s="7"/>
      <c r="P207" s="7"/>
      <c r="Q207" s="23"/>
      <c r="R207" s="23"/>
      <c r="S207" s="35">
        <f t="shared" si="56"/>
        <v>1</v>
      </c>
      <c r="T207" s="50" t="str">
        <f t="shared" si="57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20:02:16-0600',mode:absolute,to:'2016-11-04 22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7" s="52" t="str">
        <f t="shared" si="59"/>
        <v>N</v>
      </c>
      <c r="X207" s="177">
        <f t="shared" si="60"/>
        <v>1</v>
      </c>
      <c r="Y207" s="67">
        <f t="shared" si="61"/>
        <v>0.1023</v>
      </c>
      <c r="Z207" s="67">
        <f t="shared" si="62"/>
        <v>5.8936999999999999</v>
      </c>
      <c r="AA207" s="67">
        <f t="shared" si="63"/>
        <v>5.7914000000000003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64"/>
        <v>0845-04</v>
      </c>
      <c r="AE207" s="91" t="str">
        <f t="shared" si="65"/>
        <v>aws s3 cp s3://rtdc.mdm.uploadarchive.raw/RTDC4009/ "%USERPROFILE%\AppData\Local\Temp\OnboardLogs"\RTDC4009\2016-11-04 --exclude "*" --recursive --include "*20161104*" &amp; "%USERPROFILE%\Documents\GitHub\mrs-test-scripts\Headless Mode &amp; Sideloading\WalkAndUnGZ.bat" "%USERPROFILE%\AppData\Local\Temp\OnboardLogs"\RTDC4009\2016-11-04 &amp; aws s3 cp s3://rtdc.mdm.uploadarchive.raw/RTDC4009/ "%USERPROFILE%\AppData\Local\Temp\OnboardLogs"\RTDC4009\2016-11-05 --exclude "*" --recursive --include "*20161105*" &amp; "%USERPROFILE%\Documents\GitHub\mrs-test-scripts\Headless Mode &amp; Sideloading\WalkAndUnGZ.bat" "%USERPROFILE%\AppData\Local\Temp\OnboardLogs"\RTDC4009\2016-11-05</v>
      </c>
      <c r="AF207" s="88" t="str">
        <f t="shared" si="66"/>
        <v>"C:\Program Files (x86)\AstroGrep\AstroGrep.exe" /spath="%USERPROFILE%\AppData\Local\Temp\OnboardLogs" /stypes="app*4009*20161105*" /stext=" 03:.+((SYSTEM_STATE.+slice.+state.+changed )|(ment ac)|(system.+state.+changed )|(\[timeout)|(PRM\|1\|D)|(kpr)|(kdp)|(\|loc)|(penalty))" /e /r /s</v>
      </c>
      <c r="AG207" s="1" t="str">
        <f t="shared" si="67"/>
        <v>NW</v>
      </c>
      <c r="AH207" s="92" t="str">
        <f t="shared" si="68"/>
        <v>"%USERPROFILE%\Documents\GitHub\eaglep3\Utilities\RefineRTDCRunTimes.py" --tripid 845-04 --locoid 4009 --swversion DE.1.0.8.0 --startMP 204:1023 --initTime 2016-11-04T21:02:16 --startdatetime 2016-11-04T21:21:19 --delay 2 --endMP 300:58937 --enddatetime 2016-11-04T21:36:17 --enforcementcount 0 &gt;&gt;C:\Users\stu\Documents\GitHub\eaglep3-reporting\EC\2016-11-04-refined-times.txt</v>
      </c>
      <c r="AI207" s="122" t="str">
        <f t="shared" si="69"/>
        <v>echo {"issue":{"subject":"","project_id":79,"tracker_id":40,"status_id":1,"priority_id":2,"assigned_to_id":23,"start_date":"2016-11-04","description":"","custom_fields":[{"id":1,"name":"Subdivision","value":"NW"},{"id":4,"name":"Milepost","value":"5.8937"},{"id":17,"name":"Train ID","value":"845-04"},{"id":16,"name":"Locomotive ID","value":"4009"},{"id":130,"name":"Impact","value":""},{"id":150,"name":"Time of Event (Mountain Time)","value":"21:36:17"},{"id":151,"name":"Denver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612</v>
      </c>
      <c r="B208" s="7">
        <v>4009</v>
      </c>
      <c r="C208" s="22" t="s">
        <v>239</v>
      </c>
      <c r="D208" s="22" t="s">
        <v>394</v>
      </c>
      <c r="E208" s="13">
        <v>42678.915706018517</v>
      </c>
      <c r="F208" s="13">
        <v>42678.931435185186</v>
      </c>
      <c r="G208" s="7">
        <v>1</v>
      </c>
      <c r="H208" s="22" t="s">
        <v>257</v>
      </c>
      <c r="I208" s="13">
        <v>42678.940729166665</v>
      </c>
      <c r="J208" s="7">
        <v>0</v>
      </c>
      <c r="K208" s="112" t="str">
        <f t="shared" si="53"/>
        <v>4009/4010</v>
      </c>
      <c r="L208" s="22" t="str">
        <f>VLOOKUP(A208,'Trips&amp;Operators'!$C$1:$E$10000,3,FALSE)</f>
        <v>JOHNSON</v>
      </c>
      <c r="M208" s="6">
        <f t="shared" si="54"/>
        <v>9.29398147854954E-3</v>
      </c>
      <c r="N208" s="7">
        <f t="shared" si="55"/>
        <v>13.383333329111338</v>
      </c>
      <c r="O208" s="7"/>
      <c r="P208" s="7"/>
      <c r="Q208" s="23"/>
      <c r="R208" s="23"/>
      <c r="S208" s="35">
        <f t="shared" si="56"/>
        <v>1</v>
      </c>
      <c r="T208" s="50" t="str">
        <f t="shared" si="57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20:58:37-0600',mode:absolute,to:'2016-11-04 23:34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8" s="52" t="str">
        <f t="shared" si="59"/>
        <v>N</v>
      </c>
      <c r="X208" s="177">
        <f t="shared" si="60"/>
        <v>2</v>
      </c>
      <c r="Y208" s="67">
        <f t="shared" si="61"/>
        <v>9.5299999999999996E-2</v>
      </c>
      <c r="Z208" s="67">
        <f t="shared" si="62"/>
        <v>5.8925999999999998</v>
      </c>
      <c r="AA208" s="67">
        <f t="shared" si="63"/>
        <v>5.7972999999999999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64"/>
        <v>0847-04</v>
      </c>
      <c r="AE208" s="91" t="str">
        <f t="shared" si="65"/>
        <v>aws s3 cp s3://rtdc.mdm.uploadarchive.raw/RTDC4009/ "%USERPROFILE%\AppData\Local\Temp\OnboardLogs"\RTDC4009\2016-11-04 --exclude "*" --recursive --include "*20161104*" &amp; "%USERPROFILE%\Documents\GitHub\mrs-test-scripts\Headless Mode &amp; Sideloading\WalkAndUnGZ.bat" "%USERPROFILE%\AppData\Local\Temp\OnboardLogs"\RTDC4009\2016-11-04 &amp; aws s3 cp s3://rtdc.mdm.uploadarchive.raw/RTDC4009/ "%USERPROFILE%\AppData\Local\Temp\OnboardLogs"\RTDC4009\2016-11-05 --exclude "*" --recursive --include "*20161105*" &amp; "%USERPROFILE%\Documents\GitHub\mrs-test-scripts\Headless Mode &amp; Sideloading\WalkAndUnGZ.bat" "%USERPROFILE%\AppData\Local\Temp\OnboardLogs"\RTDC4009\2016-11-05</v>
      </c>
      <c r="AF208" s="88" t="str">
        <f t="shared" si="66"/>
        <v>"C:\Program Files (x86)\AstroGrep\AstroGrep.exe" /spath="%USERPROFILE%\AppData\Local\Temp\OnboardLogs" /stypes="app*4009*20161105*" /stext=" 04:.+((SYSTEM_STATE.+slice.+state.+changed )|(ment ac)|(system.+state.+changed )|(\[timeout)|(PRM\|1\|D)|(kpr)|(kdp)|(\|loc)|(penalty))" /e /r /s</v>
      </c>
      <c r="AG208" s="1" t="str">
        <f t="shared" si="67"/>
        <v>NW</v>
      </c>
      <c r="AH208" s="92" t="str">
        <f t="shared" si="68"/>
        <v>"%USERPROFILE%\Documents\GitHub\eaglep3\Utilities\RefineRTDCRunTimes.py" --tripid 847-04 --locoid 4009 --swversion DE.1.0.8.0 --startMP 204:953 --initTime 2016-11-04T21:58:37 --startdatetime 2016-11-04T22:21:16 --delay 1 --endMP 300:58926 --enddatetime 2016-11-04T22:34:39 --enforcementcount 0 &gt;&gt;C:\Users\stu\Documents\GitHub\eaglep3-reporting\EC\2016-11-04-refined-times.txt</v>
      </c>
      <c r="AI208" s="122" t="str">
        <f t="shared" si="69"/>
        <v>echo {"issue":{"subject":"","project_id":79,"tracker_id":40,"status_id":1,"priority_id":2,"assigned_to_id":23,"start_date":"2016-11-04","description":"","custom_fields":[{"id":1,"name":"Subdivision","value":"NW"},{"id":4,"name":"Milepost","value":"5.8926"},{"id":17,"name":"Train ID","value":"847-04"},{"id":16,"name":"Locomotive ID","value":"4009"},{"id":130,"name":"Impact","value":""},{"id":150,"name":"Time of Event (Mountain Time)","value":"22:34:39"},{"id":151,"name":"Denver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436</v>
      </c>
      <c r="B209" s="7">
        <v>4004</v>
      </c>
      <c r="C209" s="22" t="s">
        <v>239</v>
      </c>
      <c r="D209" s="22" t="s">
        <v>696</v>
      </c>
      <c r="E209" s="13">
        <v>42678.123541666668</v>
      </c>
      <c r="F209" s="13">
        <v>42678.124895833331</v>
      </c>
      <c r="G209" s="7">
        <v>1</v>
      </c>
      <c r="H209" s="22" t="s">
        <v>176</v>
      </c>
      <c r="I209" s="13">
        <v>42678.130659722221</v>
      </c>
      <c r="J209" s="7">
        <v>0</v>
      </c>
      <c r="K209" s="112" t="str">
        <f t="shared" si="53"/>
        <v>4003/4004</v>
      </c>
      <c r="L209" s="22" t="str">
        <f>VLOOKUP(A209,'Trips&amp;Operators'!$C$1:$E$10000,3,FALSE)</f>
        <v>MAELZER</v>
      </c>
      <c r="M209" s="6">
        <f t="shared" si="54"/>
        <v>5.7638888902147301E-3</v>
      </c>
      <c r="N209" s="7">
        <f t="shared" si="55"/>
        <v>8.3000000019092113</v>
      </c>
      <c r="O209" s="7"/>
      <c r="P209" s="7"/>
      <c r="Q209" s="23"/>
      <c r="R209" s="23"/>
      <c r="S209" s="35">
        <f t="shared" si="56"/>
        <v>1</v>
      </c>
      <c r="T209" s="50" t="str">
        <f t="shared" si="57"/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01:57:54-0600',mode:absolute,to:'2016-11-04 04:08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9" s="52" t="str">
        <f t="shared" si="59"/>
        <v>Y</v>
      </c>
      <c r="X209" s="177">
        <f t="shared" si="60"/>
        <v>-545</v>
      </c>
      <c r="Y209" s="67">
        <f t="shared" si="61"/>
        <v>2.3197000000000001</v>
      </c>
      <c r="Z209" s="67">
        <f t="shared" si="62"/>
        <v>1.52E-2</v>
      </c>
      <c r="AA209" s="67">
        <f t="shared" si="63"/>
        <v>2.3045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64"/>
        <v>0302-04</v>
      </c>
      <c r="AE209" s="91" t="str">
        <f t="shared" si="65"/>
        <v>aws s3 cp s3://rtdc.mdm.uploadarchive.raw/RTDC4004/ "%USERPROFILE%\AppData\Local\Temp\OnboardLogs"\RTDC4004\2016-11-04 --exclude "*" --recursive --include "*20161104*" &amp; "%USERPROFILE%\Documents\GitHub\mrs-test-scripts\Headless Mode &amp; Sideloading\WalkAndUnGZ.bat" "%USERPROFILE%\AppData\Local\Temp\OnboardLogs"\RTDC4004\2016-11-04 &amp; 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</v>
      </c>
      <c r="AF209" s="88" t="str">
        <f t="shared" si="66"/>
        <v>"C:\Program Files (x86)\AstroGrep\AstroGrep.exe" /spath="%USERPROFILE%\AppData\Local\Temp\OnboardLogs" /stypes="app*4004*20161104*" /stext=" 09:.+((SYSTEM_STATE.+slice.+state.+changed )|(ment ac)|(system.+state.+changed )|(\[timeout)|(PRM\|1\|D)|(kpr)|(kdp)|(\|loc)|(penalty))" /e /r /s</v>
      </c>
      <c r="AG209" s="1" t="str">
        <f t="shared" si="67"/>
        <v>Other</v>
      </c>
      <c r="AH209" s="92" t="str">
        <f t="shared" si="68"/>
        <v>"%USERPROFILE%\Documents\GitHub\eaglep3\Utilities\RefineRTDCRunTimes.py" --tripid 302-04 --locoid 4004 --swversion DE.1.0.8.0 --startMP 300:23197 --initTime 2016-11-04T02:57:54 --startdatetime 2016-11-04T02:59:51 --delay 1 --endMP 204:152 --enddatetime 2016-11-04T03:08:09 --enforcementcount 0 &gt;&gt;C:\Users\stu\Documents\GitHub\eaglep3-reporting\EC\2016-11-04-refined-times.txt</v>
      </c>
      <c r="AI209" s="122" t="str">
        <f t="shared" si="69"/>
        <v>echo {"issue":{"subject":"","project_id":79,"tracker_id":40,"status_id":1,"priority_id":2,"assigned_to_id":23,"start_date":"2016-11-04","description":"","custom_fields":[{"id":1,"name":"Subdivision","value":"Other"},{"id":4,"name":"Milepost","value":"0.0152"},{"id":17,"name":"Train ID","value":"302-04"},{"id":16,"name":"Locomotive ID","value":"4004"},{"id":130,"name":"Impact","value":""},{"id":150,"name":"Time of Event (Mountain Time)","value":"03:08:09"},{"id":151,"name":"Denver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591</v>
      </c>
      <c r="B210" s="7">
        <v>4053</v>
      </c>
      <c r="C210" s="22" t="s">
        <v>239</v>
      </c>
      <c r="D210" s="22" t="s">
        <v>377</v>
      </c>
      <c r="E210" s="13">
        <v>42678.77652777778</v>
      </c>
      <c r="F210" s="13">
        <v>25568.708333333332</v>
      </c>
      <c r="G210" s="7">
        <v>1</v>
      </c>
      <c r="H210" s="22" t="s">
        <v>346</v>
      </c>
      <c r="I210" s="13">
        <v>25568.708333333332</v>
      </c>
      <c r="J210" s="7">
        <v>0</v>
      </c>
      <c r="K210" s="112" t="str">
        <f t="shared" si="53"/>
        <v>4053/4054</v>
      </c>
      <c r="L210" s="22" t="str">
        <f>VLOOKUP(A210,'Trips&amp;Operators'!$C$1:$E$10000,3,FALSE)</f>
        <v>SWANSON</v>
      </c>
      <c r="M210" s="6">
        <f t="shared" si="54"/>
        <v>0</v>
      </c>
      <c r="N210" s="7">
        <f t="shared" si="55"/>
        <v>0</v>
      </c>
      <c r="O210" s="7"/>
      <c r="P210" s="7"/>
      <c r="Q210" s="23"/>
      <c r="R210" s="23"/>
      <c r="S210" s="35">
        <f t="shared" si="56"/>
        <v>1</v>
      </c>
      <c r="T210" s="50" t="str">
        <f t="shared" si="57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17:38:12-0600',mode:absolute,to:'1969-12-31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0" s="52" t="str">
        <f t="shared" si="59"/>
        <v>Y</v>
      </c>
      <c r="X210" s="177">
        <f t="shared" si="60"/>
        <v>1</v>
      </c>
      <c r="Y210" s="67">
        <f t="shared" si="61"/>
        <v>4.3499999999999997E-2</v>
      </c>
      <c r="Z210" s="67">
        <f t="shared" si="62"/>
        <v>2.3302</v>
      </c>
      <c r="AA210" s="67">
        <f t="shared" si="63"/>
        <v>2.2867000000000002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64"/>
        <v>0303-04</v>
      </c>
      <c r="AE210" s="91" t="str">
        <f t="shared" si="65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10" s="88" t="str">
        <f t="shared" si="66"/>
        <v>"C:\Program Files (x86)\AstroGrep\AstroGrep.exe" /spath="%USERPROFILE%\AppData\Local\Temp\OnboardLogs" /stypes="app*4053*19691231*" /stext=" 23:.+((SYSTEM_STATE.+slice.+state.+changed )|(ment ac)|(system.+state.+changed )|(\[timeout)|(PRM\|1\|D)|(kpr)|(kdp)|(\|loc)|(penalty))" /e /r /s</v>
      </c>
      <c r="AG210" s="1" t="str">
        <f t="shared" si="67"/>
        <v>Other</v>
      </c>
      <c r="AH210" s="92" t="str">
        <f t="shared" si="68"/>
        <v>"%USERPROFILE%\Documents\GitHub\eaglep3\Utilities\RefineRTDCRunTimes.py" --tripid 303-04 --locoid 4053 --swversion DE.1.0.8.0 --startMP 204:435 --initTime 2016-11-04T18:38:12 --startdatetime 1969-12-31T17:00:00 --delay 1 --endMP 300:23302 --enddatetime 1969-12-31T17:00:00 --enforcementcount 0 &gt;&gt;C:\Users\stu\Documents\GitHub\eaglep3-reporting\EC\2016-11-04-refined-times.txt</v>
      </c>
      <c r="AI210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ID","value":"303-04"},{"id":16,"name":"Locomotive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438</v>
      </c>
      <c r="B211" s="7">
        <v>4021</v>
      </c>
      <c r="C211" s="22" t="s">
        <v>239</v>
      </c>
      <c r="D211" s="22" t="s">
        <v>697</v>
      </c>
      <c r="E211" s="13">
        <v>42678.143252314818</v>
      </c>
      <c r="F211" s="13">
        <v>42678.145567129628</v>
      </c>
      <c r="G211" s="7">
        <v>1</v>
      </c>
      <c r="H211" s="22" t="s">
        <v>250</v>
      </c>
      <c r="I211" s="13">
        <v>42678.152453703704</v>
      </c>
      <c r="J211" s="7">
        <v>0</v>
      </c>
      <c r="K211" s="112" t="str">
        <f t="shared" si="53"/>
        <v>4021/4022</v>
      </c>
      <c r="L211" s="22" t="str">
        <f>VLOOKUP(A211,'Trips&amp;Operators'!$C$1:$E$10000,3,FALSE)</f>
        <v>DAVIS</v>
      </c>
      <c r="M211" s="6">
        <f t="shared" si="54"/>
        <v>6.8865740759065375E-3</v>
      </c>
      <c r="N211" s="7">
        <f t="shared" si="55"/>
        <v>9.916666669305414</v>
      </c>
      <c r="O211" s="7"/>
      <c r="P211" s="7"/>
      <c r="Q211" s="23"/>
      <c r="R211" s="23"/>
      <c r="S211" s="35">
        <f t="shared" si="56"/>
        <v>1</v>
      </c>
      <c r="T211" s="50" t="str">
        <f t="shared" si="57"/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02:26:17-0600',mode:absolute,to:'2016-11-04 04:39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1" s="52" t="str">
        <f t="shared" si="59"/>
        <v>Y</v>
      </c>
      <c r="X211" s="177">
        <f t="shared" si="60"/>
        <v>1</v>
      </c>
      <c r="Y211" s="67">
        <f t="shared" si="61"/>
        <v>2.3191999999999999</v>
      </c>
      <c r="Z211" s="67">
        <f t="shared" si="62"/>
        <v>1.3599999999999999E-2</v>
      </c>
      <c r="AA211" s="67">
        <f t="shared" si="63"/>
        <v>2.3056000000000001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64"/>
        <v>0304-04</v>
      </c>
      <c r="AE211" s="91" t="str">
        <f t="shared" si="65"/>
        <v>aws s3 cp s3://rtdc.mdm.uploadarchive.raw/RTDC4021/ "%USERPROFILE%\AppData\Local\Temp\OnboardLogs"\RTDC4021\2016-11-04 --exclude "*" --recursive --include "*20161104*" &amp; "%USERPROFILE%\Documents\GitHub\mrs-test-scripts\Headless Mode &amp; Sideloading\WalkAndUnGZ.bat" "%USERPROFILE%\AppData\Local\Temp\OnboardLogs"\RTDC4021\2016-11-04 &amp; aws s3 cp s3://rtdc.mdm.uploadarchive.raw/RTDC4021/ "%USERPROFILE%\AppData\Local\Temp\OnboardLogs"\RTDC4021\2016-11-05 --exclude "*" --recursive --include "*20161105*" &amp; "%USERPROFILE%\Documents\GitHub\mrs-test-scripts\Headless Mode &amp; Sideloading\WalkAndUnGZ.bat" "%USERPROFILE%\AppData\Local\Temp\OnboardLogs"\RTDC4021\2016-11-05</v>
      </c>
      <c r="AF211" s="88" t="str">
        <f t="shared" si="66"/>
        <v>"C:\Program Files (x86)\AstroGrep\AstroGrep.exe" /spath="%USERPROFILE%\AppData\Local\Temp\OnboardLogs" /stypes="app*4021*20161104*" /stext=" 09:.+((SYSTEM_STATE.+slice.+state.+changed )|(ment ac)|(system.+state.+changed )|(\[timeout)|(PRM\|1\|D)|(kpr)|(kdp)|(\|loc)|(penalty))" /e /r /s</v>
      </c>
      <c r="AG211" s="1" t="str">
        <f t="shared" si="67"/>
        <v>Other</v>
      </c>
      <c r="AH211" s="92" t="str">
        <f t="shared" si="68"/>
        <v>"%USERPROFILE%\Documents\GitHub\eaglep3\Utilities\RefineRTDCRunTimes.py" --tripid 304-04 --locoid 4021 --swversion DE.1.0.8.0 --startMP 300:23192 --initTime 2016-11-04T03:26:17 --startdatetime 2016-11-04T03:29:37 --delay 1 --endMP 204:136 --enddatetime 2016-11-04T03:39:32 --enforcementcount 0 &gt;&gt;C:\Users\stu\Documents\GitHub\eaglep3-reporting\EC\2016-11-04-refined-times.txt</v>
      </c>
      <c r="AI211" s="122" t="str">
        <f t="shared" si="69"/>
        <v>echo {"issue":{"subject":"","project_id":79,"tracker_id":40,"status_id":1,"priority_id":2,"assigned_to_id":23,"start_date":"2016-11-04","description":"","custom_fields":[{"id":1,"name":"Subdivision","value":"Other"},{"id":4,"name":"Milepost","value":"0.0136"},{"id":17,"name":"Train ID","value":"304-04"},{"id":16,"name":"Locomotive ID","value":"4021"},{"id":130,"name":"Impact","value":""},{"id":150,"name":"Time of Event (Mountain Time)","value":"03:39:32"},{"id":151,"name":"Denver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595</v>
      </c>
      <c r="B212" s="7">
        <v>4003</v>
      </c>
      <c r="C212" s="22" t="s">
        <v>239</v>
      </c>
      <c r="D212" s="22" t="s">
        <v>228</v>
      </c>
      <c r="E212" s="13">
        <v>42678.800104166665</v>
      </c>
      <c r="F212" s="13">
        <v>25568.708333333332</v>
      </c>
      <c r="G212" s="7">
        <v>1</v>
      </c>
      <c r="H212" s="22" t="s">
        <v>345</v>
      </c>
      <c r="I212" s="13">
        <v>25568.708333333332</v>
      </c>
      <c r="J212" s="7">
        <v>0</v>
      </c>
      <c r="K212" s="112" t="str">
        <f t="shared" si="53"/>
        <v>4003/4004</v>
      </c>
      <c r="L212" s="22" t="str">
        <f>VLOOKUP(A212,'Trips&amp;Operators'!$C$1:$E$10000,3,FALSE)</f>
        <v>SHOOK</v>
      </c>
      <c r="M212" s="6">
        <f t="shared" si="54"/>
        <v>0</v>
      </c>
      <c r="N212" s="7">
        <f t="shared" si="55"/>
        <v>0</v>
      </c>
      <c r="O212" s="7"/>
      <c r="P212" s="7"/>
      <c r="Q212" s="23"/>
      <c r="R212" s="23"/>
      <c r="S212" s="35">
        <f t="shared" si="56"/>
        <v>1</v>
      </c>
      <c r="T212" s="50" t="str">
        <f t="shared" si="57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18:12:09-0600',mode:absolute,to:'1969-12-31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2" s="52" t="str">
        <f t="shared" si="59"/>
        <v>Y</v>
      </c>
      <c r="X212" s="177">
        <f t="shared" si="60"/>
        <v>1</v>
      </c>
      <c r="Y212" s="67">
        <f t="shared" si="61"/>
        <v>4.6199999999999998E-2</v>
      </c>
      <c r="Z212" s="67">
        <f t="shared" si="62"/>
        <v>2.3300999999999998</v>
      </c>
      <c r="AA212" s="67">
        <f t="shared" si="63"/>
        <v>2.2839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64"/>
        <v>0305-04</v>
      </c>
      <c r="AE212" s="91" t="str">
        <f t="shared" si="65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12" s="88" t="str">
        <f t="shared" si="66"/>
        <v>"C:\Program Files (x86)\AstroGrep\AstroGrep.exe" /spath="%USERPROFILE%\AppData\Local\Temp\OnboardLogs" /stypes="app*4003*19691231*" /stext=" 23:.+((SYSTEM_STATE.+slice.+state.+changed )|(ment ac)|(system.+state.+changed )|(\[timeout)|(PRM\|1\|D)|(kpr)|(kdp)|(\|loc)|(penalty))" /e /r /s</v>
      </c>
      <c r="AG212" s="1" t="str">
        <f t="shared" si="67"/>
        <v>Other</v>
      </c>
      <c r="AH212" s="92" t="str">
        <f t="shared" si="68"/>
        <v>"%USERPROFILE%\Documents\GitHub\eaglep3\Utilities\RefineRTDCRunTimes.py" --tripid 305-04 --locoid 4003 --swversion DE.1.0.8.0 --startMP 204:462 --initTime 2016-11-04T19:12:09 --startdatetime 1969-12-31T17:00:00 --delay 1 --endMP 300:23301 --enddatetime 1969-12-31T17:00:00 --enforcementcount 0 &gt;&gt;C:\Users\stu\Documents\GitHub\eaglep3-reporting\EC\2016-11-04-refined-times.txt</v>
      </c>
      <c r="AI212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ID","value":"305-04"},{"id":16,"name":"Locomotive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598</v>
      </c>
      <c r="B213" s="7">
        <v>4022</v>
      </c>
      <c r="C213" s="22" t="s">
        <v>239</v>
      </c>
      <c r="D213" s="22" t="s">
        <v>209</v>
      </c>
      <c r="E213" s="13">
        <v>42678.817685185182</v>
      </c>
      <c r="F213" s="13">
        <v>25568.708333333332</v>
      </c>
      <c r="G213" s="7">
        <v>2</v>
      </c>
      <c r="H213" s="22" t="s">
        <v>386</v>
      </c>
      <c r="I213" s="13">
        <v>25568.708333333332</v>
      </c>
      <c r="J213" s="7">
        <v>0</v>
      </c>
      <c r="K213" s="112" t="str">
        <f t="shared" si="53"/>
        <v>4021/4022</v>
      </c>
      <c r="L213" s="22" t="str">
        <f>VLOOKUP(A213,'Trips&amp;Operators'!$C$1:$E$10000,3,FALSE)</f>
        <v>MACDONALD</v>
      </c>
      <c r="M213" s="6">
        <f t="shared" si="54"/>
        <v>0</v>
      </c>
      <c r="N213" s="7">
        <f t="shared" si="55"/>
        <v>0</v>
      </c>
      <c r="O213" s="7"/>
      <c r="P213" s="7"/>
      <c r="Q213" s="23"/>
      <c r="R213" s="23"/>
      <c r="S213" s="35">
        <f t="shared" si="56"/>
        <v>1</v>
      </c>
      <c r="T213" s="50" t="str">
        <f t="shared" si="57"/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18:37:28-0600',mode:absolute,to:'1969-12-31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3" s="52" t="str">
        <f t="shared" si="59"/>
        <v>Y</v>
      </c>
      <c r="X213" s="177">
        <f t="shared" si="60"/>
        <v>2</v>
      </c>
      <c r="Y213" s="67">
        <f t="shared" si="61"/>
        <v>4.6600000000000003E-2</v>
      </c>
      <c r="Z213" s="67">
        <f t="shared" si="62"/>
        <v>2.331</v>
      </c>
      <c r="AA213" s="67">
        <f t="shared" si="63"/>
        <v>2.2843999999999998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64"/>
        <v>0307-04</v>
      </c>
      <c r="AE213" s="91" t="str">
        <f t="shared" si="65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3" s="88" t="str">
        <f t="shared" si="66"/>
        <v>"C:\Program Files (x86)\AstroGrep\AstroGrep.exe" /spath="%USERPROFILE%\AppData\Local\Temp\OnboardLogs" /stypes="app*4022*19691231*" /stext=" 23:.+((SYSTEM_STATE.+slice.+state.+changed )|(ment ac)|(system.+state.+changed )|(\[timeout)|(PRM\|1\|D)|(kpr)|(kdp)|(\|loc)|(penalty))" /e /r /s</v>
      </c>
      <c r="AG213" s="1" t="str">
        <f t="shared" si="67"/>
        <v>Other</v>
      </c>
      <c r="AH213" s="92" t="str">
        <f t="shared" si="68"/>
        <v>"%USERPROFILE%\Documents\GitHub\eaglep3\Utilities\RefineRTDCRunTimes.py" --tripid 307-04 --locoid 4022 --swversion DE.1.0.8.0 --startMP 204:466 --initTime 2016-11-04T19:37:28 --startdatetime 1969-12-31T17:00:00 --delay 2 --endMP 300:23310 --enddatetime 1969-12-31T17:00:00 --enforcementcount 0 &gt;&gt;C:\Users\stu\Documents\GitHub\eaglep3-reporting\EC\2016-11-04-refined-times.txt</v>
      </c>
      <c r="AI213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ID","value":"307-04"},{"id":16,"name":"Locomotive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442</v>
      </c>
      <c r="B214" s="7">
        <v>4041</v>
      </c>
      <c r="C214" s="22" t="s">
        <v>239</v>
      </c>
      <c r="D214" s="22" t="s">
        <v>698</v>
      </c>
      <c r="E214" s="13">
        <v>42678.168981481482</v>
      </c>
      <c r="F214" s="13">
        <v>42678.172500000001</v>
      </c>
      <c r="G214" s="7">
        <v>4</v>
      </c>
      <c r="H214" s="22" t="s">
        <v>203</v>
      </c>
      <c r="I214" s="13">
        <v>42678.178819444445</v>
      </c>
      <c r="J214" s="7">
        <v>0</v>
      </c>
      <c r="K214" s="112" t="str">
        <f t="shared" si="53"/>
        <v>4041/4042</v>
      </c>
      <c r="L214" s="22" t="str">
        <f>VLOOKUP(A214,'Trips&amp;Operators'!$C$1:$E$10000,3,FALSE)</f>
        <v>PERKINS</v>
      </c>
      <c r="M214" s="6">
        <f t="shared" si="54"/>
        <v>6.3194444446708076E-3</v>
      </c>
      <c r="N214" s="7">
        <f t="shared" si="55"/>
        <v>9.1000000003259629</v>
      </c>
      <c r="O214" s="7"/>
      <c r="P214" s="7"/>
      <c r="Q214" s="23"/>
      <c r="R214" s="23"/>
      <c r="S214" s="35">
        <f t="shared" si="56"/>
        <v>1</v>
      </c>
      <c r="T214" s="50" t="str">
        <f t="shared" si="57"/>
        <v>Southbound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03:03:20-0600',mode:absolute,to:'2016-11-04 05:17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4" s="52" t="str">
        <f t="shared" si="59"/>
        <v>Y</v>
      </c>
      <c r="X214" s="177">
        <f t="shared" si="60"/>
        <v>1</v>
      </c>
      <c r="Y214" s="67">
        <f t="shared" si="61"/>
        <v>1.9847999999999999</v>
      </c>
      <c r="Z214" s="67">
        <f t="shared" si="62"/>
        <v>1.49E-2</v>
      </c>
      <c r="AA214" s="67">
        <f t="shared" si="63"/>
        <v>1.9699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64"/>
        <v>0308-04</v>
      </c>
      <c r="AE214" s="91" t="str">
        <f t="shared" si="65"/>
        <v>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 &amp; aws s3 cp s3://rtdc.mdm.uploadarchive.raw/RTDC4041/ "%USERPROFILE%\AppData\Local\Temp\OnboardLogs"\RTDC4041\2016-11-05 --exclude "*" --recursive --include "*20161105*" &amp; "%USERPROFILE%\Documents\GitHub\mrs-test-scripts\Headless Mode &amp; Sideloading\WalkAndUnGZ.bat" "%USERPROFILE%\AppData\Local\Temp\OnboardLogs"\RTDC4041\2016-11-05</v>
      </c>
      <c r="AF214" s="88" t="str">
        <f t="shared" si="66"/>
        <v>"C:\Program Files (x86)\AstroGrep\AstroGrep.exe" /spath="%USERPROFILE%\AppData\Local\Temp\OnboardLogs" /stypes="app*4041*20161104*" /stext=" 10:.+((SYSTEM_STATE.+slice.+state.+changed )|(ment ac)|(system.+state.+changed )|(\[timeout)|(PRM\|1\|D)|(kpr)|(kdp)|(\|loc)|(penalty))" /e /r /s</v>
      </c>
      <c r="AG214" s="1" t="str">
        <f t="shared" si="67"/>
        <v>Other</v>
      </c>
      <c r="AH214" s="92" t="str">
        <f t="shared" si="68"/>
        <v>"%USERPROFILE%\Documents\GitHub\eaglep3\Utilities\RefineRTDCRunTimes.py" --tripid 308-04 --locoid 4041 --swversion DE.1.0.8.0 --startMP 300:19848 --initTime 2016-11-04T04:03:20 --startdatetime 2016-11-04T04:08:24 --delay 4 --endMP 204:149 --enddatetime 2016-11-04T04:17:30 --enforcementcount 0 &gt;&gt;C:\Users\stu\Documents\GitHub\eaglep3-reporting\EC\2016-11-04-refined-times.txt</v>
      </c>
      <c r="AI214" s="122" t="str">
        <f t="shared" si="69"/>
        <v>echo {"issue":{"subject":"","project_id":79,"tracker_id":40,"status_id":1,"priority_id":2,"assigned_to_id":23,"start_date":"2016-11-04","description":"","custom_fields":[{"id":1,"name":"Subdivision","value":"Other"},{"id":4,"name":"Milepost","value":"0.0149"},{"id":17,"name":"Train ID","value":"308-04"},{"id":16,"name":"Locomotive ID","value":"4041"},{"id":130,"name":"Impact","value":""},{"id":150,"name":"Time of Event (Mountain Time)","value":"04:17:30"},{"id":151,"name":"Denver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623</v>
      </c>
      <c r="B215" s="7">
        <v>4007</v>
      </c>
      <c r="C215" s="22" t="s">
        <v>239</v>
      </c>
      <c r="D215" s="22" t="s">
        <v>699</v>
      </c>
      <c r="E215" s="13">
        <v>42679.044571759259</v>
      </c>
      <c r="F215" s="13">
        <v>25568.708333333332</v>
      </c>
      <c r="G215" s="7">
        <v>1</v>
      </c>
      <c r="H215" s="22" t="s">
        <v>700</v>
      </c>
      <c r="I215" s="13">
        <v>25568.708333333332</v>
      </c>
      <c r="J215" s="7">
        <v>0</v>
      </c>
      <c r="K215" s="112" t="str">
        <f t="shared" si="53"/>
        <v>4007/4008</v>
      </c>
      <c r="L215" s="22" t="str">
        <f>VLOOKUP(A215,'Trips&amp;Operators'!$C$1:$E$10000,3,FALSE)</f>
        <v>MAGEE</v>
      </c>
      <c r="M215" s="6">
        <f t="shared" si="54"/>
        <v>0</v>
      </c>
      <c r="N215" s="7">
        <f t="shared" si="55"/>
        <v>0</v>
      </c>
      <c r="O215" s="7"/>
      <c r="P215" s="7"/>
      <c r="Q215" s="23"/>
      <c r="R215" s="23"/>
      <c r="S215" s="35">
        <f t="shared" si="56"/>
        <v>1</v>
      </c>
      <c r="T215" s="50" t="str">
        <f t="shared" si="57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https://search-rtdc-monitor-bjffxe2xuh6vdkpspy63sjmuny.us-east-1.es.amazonaws.com/_plugin/kibana/#/discover/Steve-Slow-Train-Analysis-(2080s-and-2083s)?_g=(refreshInterval:(display:Off,section:0,value:0),time:(from:'2016-11-05 00:04:11-0600',mode:absolute,to:'1969-12-31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5" s="52" t="str">
        <f t="shared" si="59"/>
        <v>Y</v>
      </c>
      <c r="X215" s="177">
        <f t="shared" si="60"/>
        <v>1</v>
      </c>
      <c r="Y215" s="67">
        <f t="shared" si="61"/>
        <v>0.05</v>
      </c>
      <c r="Z215" s="67">
        <f t="shared" si="62"/>
        <v>2.3104</v>
      </c>
      <c r="AA215" s="67">
        <f t="shared" si="63"/>
        <v>2.2604000000000002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64"/>
        <v>0309-04</v>
      </c>
      <c r="AE215" s="91" t="str">
        <f t="shared" si="65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5" s="88" t="str">
        <f t="shared" si="66"/>
        <v>"C:\Program Files (x86)\AstroGrep\AstroGrep.exe" /spath="%USERPROFILE%\AppData\Local\Temp\OnboardLogs" /stypes="app*4007*19691231*" /stext=" 23:.+((SYSTEM_STATE.+slice.+state.+changed )|(ment ac)|(system.+state.+changed )|(\[timeout)|(PRM\|1\|D)|(kpr)|(kdp)|(\|loc)|(penalty))" /e /r /s</v>
      </c>
      <c r="AG215" s="1" t="str">
        <f t="shared" si="67"/>
        <v>Other</v>
      </c>
      <c r="AH215" s="92" t="str">
        <f t="shared" si="68"/>
        <v>"%USERPROFILE%\Documents\GitHub\eaglep3\Utilities\RefineRTDCRunTimes.py" --tripid 309-04 --locoid 4007 --swversion DE.1.0.8.0 --startMP 204:500 --initTime 2016-11-05T01:04:11 --startdatetime 1969-12-31T17:00:00 --delay 1 --endMP 300:23104 --enddatetime 1969-12-31T17:00:00 --enforcementcount 0 &gt;&gt;C:\Users\stu\Documents\GitHub\eaglep3-reporting\EC\2016-11-04-refined-times.txt</v>
      </c>
      <c r="AI215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{"issue":{"subject":"","project_id":79,"tracker_id":40,"status_id":1,"priority_id":2,"assigned_to_id":23,"start_date":"1969-12-31","description":"","custom_fields":[{"id":1,"name":"Subdivision","value":"Other"},{"id":4,"name":"Milepost","value":"2.3104"},{"id":17,"name":"Train ID","value":"309-04"},{"id":16,"name":"Locomotive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446</v>
      </c>
      <c r="B216" s="7">
        <v>4054</v>
      </c>
      <c r="C216" s="22" t="s">
        <v>239</v>
      </c>
      <c r="D216" s="22" t="s">
        <v>701</v>
      </c>
      <c r="E216" s="13">
        <v>42678.186585648145</v>
      </c>
      <c r="F216" s="13">
        <v>42678.188067129631</v>
      </c>
      <c r="G216" s="7">
        <v>1</v>
      </c>
      <c r="H216" s="22" t="s">
        <v>201</v>
      </c>
      <c r="I216" s="13">
        <v>42678.193599537037</v>
      </c>
      <c r="J216" s="7">
        <v>0</v>
      </c>
      <c r="K216" s="112" t="str">
        <f t="shared" si="53"/>
        <v>4053/4054</v>
      </c>
      <c r="L216" s="22" t="str">
        <f>VLOOKUP(A216,'Trips&amp;Operators'!$C$1:$E$10000,3,FALSE)</f>
        <v>DAVIDSON</v>
      </c>
      <c r="M216" s="6">
        <f t="shared" si="54"/>
        <v>5.5324074055533856E-3</v>
      </c>
      <c r="N216" s="7">
        <f t="shared" si="55"/>
        <v>7.9666666639968753</v>
      </c>
      <c r="O216" s="7"/>
      <c r="P216" s="7"/>
      <c r="Q216" s="23"/>
      <c r="R216" s="23"/>
      <c r="S216" s="35">
        <f t="shared" si="56"/>
        <v>1</v>
      </c>
      <c r="T216" s="50" t="str">
        <f t="shared" si="57"/>
        <v>Southbound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03:28:41-0600',mode:absolute,to:'2016-11-04 05:38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6" s="52" t="str">
        <f t="shared" si="59"/>
        <v>Y</v>
      </c>
      <c r="X216" s="177">
        <f t="shared" si="60"/>
        <v>1</v>
      </c>
      <c r="Y216" s="67">
        <f t="shared" si="61"/>
        <v>2.3496999999999999</v>
      </c>
      <c r="Z216" s="67">
        <f t="shared" si="62"/>
        <v>1.54E-2</v>
      </c>
      <c r="AA216" s="67">
        <f t="shared" si="63"/>
        <v>2.3342999999999998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64"/>
        <v>0310-04</v>
      </c>
      <c r="AE216" s="91" t="str">
        <f t="shared" si="65"/>
        <v>aws s3 cp s3://rtdc.mdm.uploadarchive.raw/RTDC4054/ "%USERPROFILE%\AppData\Local\Temp\OnboardLogs"\RTDC4054\2016-11-04 --exclude "*" --recursive --include "*20161104*" &amp; "%USERPROFILE%\Documents\GitHub\mrs-test-scripts\Headless Mode &amp; Sideloading\WalkAndUnGZ.bat" "%USERPROFILE%\AppData\Local\Temp\OnboardLogs"\RTDC4054\2016-11-04 &amp; 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</v>
      </c>
      <c r="AF216" s="88" t="str">
        <f t="shared" si="66"/>
        <v>"C:\Program Files (x86)\AstroGrep\AstroGrep.exe" /spath="%USERPROFILE%\AppData\Local\Temp\OnboardLogs" /stypes="app*4054*20161104*" /stext=" 10:.+((SYSTEM_STATE.+slice.+state.+changed )|(ment ac)|(system.+state.+changed )|(\[timeout)|(PRM\|1\|D)|(kpr)|(kdp)|(\|loc)|(penalty))" /e /r /s</v>
      </c>
      <c r="AG216" s="1" t="str">
        <f t="shared" si="67"/>
        <v>Other</v>
      </c>
      <c r="AH216" s="92" t="str">
        <f t="shared" si="68"/>
        <v>"%USERPROFILE%\Documents\GitHub\eaglep3\Utilities\RefineRTDCRunTimes.py" --tripid 310-04 --locoid 4054 --swversion DE.1.0.8.0 --startMP 300:23497 --initTime 2016-11-04T04:28:41 --startdatetime 2016-11-04T04:30:49 --delay 1 --endMP 204:154 --enddatetime 2016-11-04T04:38:47 --enforcementcount 0 &gt;&gt;C:\Users\stu\Documents\GitHub\eaglep3-reporting\EC\2016-11-04-refined-times.txt</v>
      </c>
      <c r="AI216" s="122" t="str">
        <f t="shared" si="69"/>
        <v>echo {"issue":{"subject":"","project_id":79,"tracker_id":40,"status_id":1,"priority_id":2,"assigned_to_id":23,"start_date":"2016-11-04","description":"","custom_fields":[{"id":1,"name":"Subdivision","value":"Other"},{"id":4,"name":"Milepost","value":"0.0154"},{"id":17,"name":"Train ID","value":"310-04"},{"id":16,"name":"Locomotive ID","value":"4054"},{"id":130,"name":"Impact","value":""},{"id":150,"name":"Time of Event (Mountain Time)","value":"04:38:47"},{"id":151,"name":"Denver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625</v>
      </c>
      <c r="B217" s="7">
        <v>4029</v>
      </c>
      <c r="C217" s="22" t="s">
        <v>239</v>
      </c>
      <c r="D217" s="22" t="s">
        <v>691</v>
      </c>
      <c r="E217" s="13">
        <v>42679.068449074075</v>
      </c>
      <c r="F217" s="13">
        <v>42679.069525462961</v>
      </c>
      <c r="G217" s="7">
        <v>0</v>
      </c>
      <c r="H217" s="22" t="s">
        <v>702</v>
      </c>
      <c r="I217" s="13">
        <v>42679.07545138889</v>
      </c>
      <c r="J217" s="7">
        <v>0</v>
      </c>
      <c r="K217" s="112" t="str">
        <f t="shared" si="53"/>
        <v>4029/4030</v>
      </c>
      <c r="L217" s="22" t="str">
        <f>VLOOKUP(A217,'Trips&amp;Operators'!$C$1:$E$10000,3,FALSE)</f>
        <v>CHANDLER</v>
      </c>
      <c r="M217" s="6">
        <f t="shared" si="54"/>
        <v>5.9259259287500754E-3</v>
      </c>
      <c r="N217" s="7">
        <f t="shared" si="55"/>
        <v>8.5333333374001086</v>
      </c>
      <c r="O217" s="7"/>
      <c r="P217" s="7"/>
      <c r="Q217" s="23"/>
      <c r="R217" s="23"/>
      <c r="S217" s="35">
        <f t="shared" si="56"/>
        <v>1</v>
      </c>
      <c r="T217" s="50" t="str">
        <f t="shared" si="57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https://search-rtdc-monitor-bjffxe2xuh6vdkpspy63sjmuny.us-east-1.es.amazonaws.com/_plugin/kibana/#/discover/Steve-Slow-Train-Analysis-(2080s-and-2083s)?_g=(refreshInterval:(display:Off,section:0,value:0),time:(from:'2016-11-05 00:38:34-0600',mode:absolute,to:'2016-11-05 02:48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7" s="52" t="str">
        <f t="shared" si="59"/>
        <v>Y</v>
      </c>
      <c r="X217" s="177">
        <f t="shared" si="60"/>
        <v>1</v>
      </c>
      <c r="Y217" s="67">
        <f t="shared" si="61"/>
        <v>4.6699999999999998E-2</v>
      </c>
      <c r="Z217" s="67">
        <f t="shared" si="62"/>
        <v>2.2841</v>
      </c>
      <c r="AA217" s="67">
        <f t="shared" si="63"/>
        <v>2.2374000000000001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64"/>
        <v>0311-04</v>
      </c>
      <c r="AE217" s="91" t="str">
        <f t="shared" si="65"/>
        <v>aws s3 cp s3://rtdc.mdm.uploadarchive.raw/RTDC4029/ "%USERPROFILE%\AppData\Local\Temp\OnboardLogs"\RTDC4029\2016-11-05 --exclude "*" --recursive --include "*20161105*" &amp; "%USERPROFILE%\Documents\GitHub\mrs-test-scripts\Headless Mode &amp; Sideloading\WalkAndUnGZ.bat" "%USERPROFILE%\AppData\Local\Temp\OnboardLogs"\RTDC4029\2016-11-05 &amp; aws s3 cp s3://rtdc.mdm.uploadarchive.raw/RTDC4029/ "%USERPROFILE%\AppData\Local\Temp\OnboardLogs"\RTDC4029\2016-11-06 --exclude "*" --recursive --include "*20161106*" &amp; "%USERPROFILE%\Documents\GitHub\mrs-test-scripts\Headless Mode &amp; Sideloading\WalkAndUnGZ.bat" "%USERPROFILE%\AppData\Local\Temp\OnboardLogs"\RTDC4029\2016-11-06</v>
      </c>
      <c r="AF217" s="88" t="str">
        <f t="shared" si="66"/>
        <v>"C:\Program Files (x86)\AstroGrep\AstroGrep.exe" /spath="%USERPROFILE%\AppData\Local\Temp\OnboardLogs" /stypes="app*4029*20161105*" /stext=" 07:.+((SYSTEM_STATE.+slice.+state.+changed )|(ment ac)|(system.+state.+changed )|(\[timeout)|(PRM\|1\|D)|(kpr)|(kdp)|(\|loc)|(penalty))" /e /r /s</v>
      </c>
      <c r="AG217" s="1" t="str">
        <f t="shared" si="67"/>
        <v>Other</v>
      </c>
      <c r="AH217" s="92" t="str">
        <f t="shared" si="68"/>
        <v>"%USERPROFILE%\Documents\GitHub\eaglep3\Utilities\RefineRTDCRunTimes.py" --tripid 311-04 --locoid 4029 --swversion DE.1.0.8.0 --startMP 204:467 --initTime 2016-11-05T01:38:34 --startdatetime 2016-11-05T01:40:07 --delay 0 --endMP 300:22841 --enddatetime 2016-11-05T01:48:39 --enforcementcount 0 &gt;&gt;C:\Users\stu\Documents\GitHub\eaglep3-reporting\EC\2016-11-04-refined-times.txt</v>
      </c>
      <c r="AI217" s="122" t="str">
        <f t="shared" si="69"/>
        <v>echo {"issue":{"subject":"","project_id":79,"tracker_id":40,"status_id":1,"priority_id":2,"assigned_to_id":23,"start_date":"2016-11-05","description":"","custom_fields":[{"id":1,"name":"Subdivision","value":"Other"},{"id":4,"name":"Milepost","value":"2.2841"},{"id":17,"name":"Train ID","value":"311-04"},{"id":16,"name":"Locomotive ID","value":"4029"},{"id":130,"name":"Impact","value":""},{"id":150,"name":"Time of Event (Mountain Time)","value":"01:48:39"},{"id":151,"name":"Denver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627</v>
      </c>
      <c r="B218" s="7">
        <v>4042</v>
      </c>
      <c r="C218" s="22" t="s">
        <v>239</v>
      </c>
      <c r="D218" s="22" t="s">
        <v>656</v>
      </c>
      <c r="E218" s="13">
        <v>42679.090196759258</v>
      </c>
      <c r="F218" s="13">
        <v>25568.708333333332</v>
      </c>
      <c r="G218" s="7">
        <v>1</v>
      </c>
      <c r="H218" s="22" t="s">
        <v>388</v>
      </c>
      <c r="I218" s="13">
        <v>25568.708333333332</v>
      </c>
      <c r="J218" s="7">
        <v>0</v>
      </c>
      <c r="K218" s="112" t="str">
        <f t="shared" si="53"/>
        <v>4041/4042</v>
      </c>
      <c r="L218" s="22" t="str">
        <f>VLOOKUP(A218,'Trips&amp;Operators'!$C$1:$E$10000,3,FALSE)</f>
        <v>STAMBAUGH</v>
      </c>
      <c r="M218" s="6">
        <f t="shared" si="54"/>
        <v>0</v>
      </c>
      <c r="N218" s="7">
        <f t="shared" si="55"/>
        <v>0</v>
      </c>
      <c r="O218" s="7"/>
      <c r="P218" s="7"/>
      <c r="Q218" s="23"/>
      <c r="R218" s="23"/>
      <c r="S218" s="35">
        <f t="shared" si="56"/>
        <v>1</v>
      </c>
      <c r="T218" s="50" t="str">
        <f t="shared" si="57"/>
        <v>NorthBound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https://search-rtdc-monitor-bjffxe2xuh6vdkpspy63sjmuny.us-east-1.es.amazonaws.com/_plugin/kibana/#/discover/Steve-Slow-Train-Analysis-(2080s-and-2083s)?_g=(refreshInterval:(display:Off,section:0,value:0),time:(from:'2016-11-05 01:09:53-0600',mode:absolute,to:'1969-12-31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8" s="52" t="str">
        <f t="shared" si="59"/>
        <v>Y</v>
      </c>
      <c r="X218" s="177">
        <f t="shared" si="60"/>
        <v>2</v>
      </c>
      <c r="Y218" s="67">
        <f t="shared" si="61"/>
        <v>4.3299999999999998E-2</v>
      </c>
      <c r="Z218" s="67">
        <f t="shared" si="62"/>
        <v>2.3308</v>
      </c>
      <c r="AA218" s="67">
        <f t="shared" si="63"/>
        <v>2.2875000000000001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64"/>
        <v>0313-04</v>
      </c>
      <c r="AE218" s="91" t="str">
        <f t="shared" si="65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18" s="88" t="str">
        <f t="shared" si="66"/>
        <v>"C:\Program Files (x86)\AstroGrep\AstroGrep.exe" /spath="%USERPROFILE%\AppData\Local\Temp\OnboardLogs" /stypes="app*4042*19691231*" /stext=" 23:.+((SYSTEM_STATE.+slice.+state.+changed )|(ment ac)|(system.+state.+changed )|(\[timeout)|(PRM\|1\|D)|(kpr)|(kdp)|(\|loc)|(penalty))" /e /r /s</v>
      </c>
      <c r="AG218" s="1" t="str">
        <f t="shared" si="67"/>
        <v>Other</v>
      </c>
      <c r="AH218" s="92" t="str">
        <f t="shared" si="68"/>
        <v>"%USERPROFILE%\Documents\GitHub\eaglep3\Utilities\RefineRTDCRunTimes.py" --tripid 313-04 --locoid 4042 --swversion DE.1.0.8.0 --startMP 204:433 --initTime 2016-11-05T02:09:53 --startdatetime 1969-12-31T17:00:00 --delay 1 --endMP 300:23308 --enddatetime 1969-12-31T17:00:00 --enforcementcount 0 &gt;&gt;C:\Users\stu\Documents\GitHub\eaglep3-reporting\EC\2016-11-04-refined-times.txt</v>
      </c>
      <c r="AI218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ID","value":"313-04"},{"id":16,"name":"Locomotive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628</v>
      </c>
      <c r="B219" s="7">
        <v>4038</v>
      </c>
      <c r="C219" s="22" t="s">
        <v>239</v>
      </c>
      <c r="D219" s="22" t="s">
        <v>228</v>
      </c>
      <c r="E219" s="13">
        <v>42679.108460648145</v>
      </c>
      <c r="F219" s="13">
        <v>25568.708333333332</v>
      </c>
      <c r="G219" s="7">
        <v>1</v>
      </c>
      <c r="H219" s="22" t="s">
        <v>345</v>
      </c>
      <c r="I219" s="13">
        <v>25568.708333333332</v>
      </c>
      <c r="J219" s="7">
        <v>0</v>
      </c>
      <c r="K219" s="112" t="str">
        <f t="shared" si="53"/>
        <v>4037/4038</v>
      </c>
      <c r="L219" s="22" t="str">
        <f>VLOOKUP(A219,'Trips&amp;Operators'!$C$1:$E$10000,3,FALSE)</f>
        <v>LEVIN</v>
      </c>
      <c r="M219" s="6">
        <f t="shared" si="54"/>
        <v>0</v>
      </c>
      <c r="N219" s="7">
        <f t="shared" si="55"/>
        <v>0</v>
      </c>
      <c r="O219" s="7"/>
      <c r="P219" s="7"/>
      <c r="Q219" s="23"/>
      <c r="R219" s="23"/>
      <c r="S219" s="35">
        <f t="shared" si="56"/>
        <v>1</v>
      </c>
      <c r="T219" s="50" t="str">
        <f t="shared" si="57"/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https://search-rtdc-monitor-bjffxe2xuh6vdkpspy63sjmuny.us-east-1.es.amazonaws.com/_plugin/kibana/#/discover/Steve-Slow-Train-Analysis-(2080s-and-2083s)?_g=(refreshInterval:(display:Off,section:0,value:0),time:(from:'2016-11-05 01:36:11-0600',mode:absolute,to:'1969-12-31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19" s="52" t="str">
        <f t="shared" si="59"/>
        <v>Y</v>
      </c>
      <c r="X219" s="177">
        <f t="shared" si="60"/>
        <v>2</v>
      </c>
      <c r="Y219" s="67">
        <f t="shared" si="61"/>
        <v>4.6199999999999998E-2</v>
      </c>
      <c r="Z219" s="67">
        <f t="shared" si="62"/>
        <v>2.3300999999999998</v>
      </c>
      <c r="AA219" s="67">
        <f t="shared" si="63"/>
        <v>2.2839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64"/>
        <v>0315-04</v>
      </c>
      <c r="AE219" s="91" t="str">
        <f t="shared" si="65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19" s="88" t="str">
        <f t="shared" si="66"/>
        <v>"C:\Program Files (x86)\AstroGrep\AstroGrep.exe" /spath="%USERPROFILE%\AppData\Local\Temp\OnboardLogs" /stypes="app*4038*19691231*" /stext=" 23:.+((SYSTEM_STATE.+slice.+state.+changed )|(ment ac)|(system.+state.+changed )|(\[timeout)|(PRM\|1\|D)|(kpr)|(kdp)|(\|loc)|(penalty))" /e /r /s</v>
      </c>
      <c r="AG219" s="1" t="str">
        <f t="shared" si="67"/>
        <v>Other</v>
      </c>
      <c r="AH219" s="92" t="str">
        <f t="shared" si="68"/>
        <v>"%USERPROFILE%\Documents\GitHub\eaglep3\Utilities\RefineRTDCRunTimes.py" --tripid 315-04 --locoid 4038 --swversion DE.1.0.8.0 --startMP 204:462 --initTime 2016-11-05T02:36:11 --startdatetime 1969-12-31T17:00:00 --delay 1 --endMP 300:23301 --enddatetime 1969-12-31T17:00:00 --enforcementcount 0 &gt;&gt;C:\Users\stu\Documents\GitHub\eaglep3-reporting\EC\2016-11-04-refined-times.txt</v>
      </c>
      <c r="AI219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ID","value":"315-04"},{"id":16,"name":"Locomotive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448</v>
      </c>
      <c r="B220" s="7">
        <v>4011</v>
      </c>
      <c r="C220" s="22" t="s">
        <v>239</v>
      </c>
      <c r="D220" s="22" t="s">
        <v>767</v>
      </c>
      <c r="E220" s="13">
        <v>42678.203935185185</v>
      </c>
      <c r="F220" s="13">
        <v>42678.205995370372</v>
      </c>
      <c r="G220" s="7">
        <v>1</v>
      </c>
      <c r="H220" s="22" t="s">
        <v>768</v>
      </c>
      <c r="I220" s="13">
        <v>42678.212152777778</v>
      </c>
      <c r="J220" s="7">
        <v>0</v>
      </c>
      <c r="K220" s="112" t="str">
        <f t="shared" si="53"/>
        <v>4011/4012</v>
      </c>
      <c r="L220" s="22" t="str">
        <f>VLOOKUP(A220,'Trips&amp;Operators'!$C$1:$E$10000,3,FALSE)</f>
        <v>ROBINSON</v>
      </c>
      <c r="M220" s="6">
        <f t="shared" si="54"/>
        <v>6.1574074061354622E-3</v>
      </c>
      <c r="N220" s="7">
        <f t="shared" si="55"/>
        <v>8.8666666648350656</v>
      </c>
      <c r="O220" s="7"/>
      <c r="P220" s="7"/>
      <c r="Q220" s="23"/>
      <c r="R220" s="23"/>
      <c r="S220" s="35">
        <f t="shared" si="56"/>
        <v>0</v>
      </c>
      <c r="T220" s="50" t="str">
        <f t="shared" si="57"/>
        <v>NorthBound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03:53:40-0600',mode:absolute,to:'2016-11-04 06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20" s="52" t="str">
        <f t="shared" si="59"/>
        <v>Y</v>
      </c>
      <c r="X220" s="177">
        <f t="shared" si="60"/>
        <v>586</v>
      </c>
      <c r="Y220" s="67">
        <f t="shared" si="61"/>
        <v>2.9998</v>
      </c>
      <c r="Z220" s="67">
        <f t="shared" si="62"/>
        <v>5.9006999999999996</v>
      </c>
      <c r="AA220" s="67">
        <f t="shared" si="63"/>
        <v>2.9008999999999996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64"/>
        <v>0901-04</v>
      </c>
      <c r="AE220" s="91" t="str">
        <f t="shared" si="65"/>
        <v>aws s3 cp s3://rtdc.mdm.uploadarchive.raw/RTDC4011/ "%USERPROFILE%\AppData\Local\Temp\OnboardLogs"\RTDC4011\2016-11-04 --exclude "*" --recursive --include "*20161104*" &amp; "%USERPROFILE%\Documents\GitHub\mrs-test-scripts\Headless Mode &amp; Sideloading\WalkAndUnGZ.bat" "%USERPROFILE%\AppData\Local\Temp\OnboardLogs"\RTDC4011\2016-11-04 &amp; 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</v>
      </c>
      <c r="AF220" s="88" t="str">
        <f t="shared" si="66"/>
        <v>"C:\Program Files (x86)\AstroGrep\AstroGrep.exe" /spath="%USERPROFILE%\AppData\Local\Temp\OnboardLogs" /stypes="app*4011*20161104*" /stext=" 11:.+((SYSTEM_STATE.+slice.+state.+changed )|(ment ac)|(system.+state.+changed )|(\[timeout)|(PRM\|1\|D)|(kpr)|(kdp)|(\|loc)|(penalty))" /e /r /s</v>
      </c>
      <c r="AG220" s="1" t="str">
        <f t="shared" si="67"/>
        <v>Other</v>
      </c>
      <c r="AH220" s="92" t="str">
        <f t="shared" si="68"/>
        <v>"%USERPROFILE%\Documents\GitHub\eaglep3\Utilities\RefineRTDCRunTimes.py" --tripid 901-04 --locoid 4011 --swversion DE.1.0.8.0 --startMP 300:29998 --initTime 2016-11-04T04:53:40 --startdatetime 2016-11-04T04:56:38 --delay 1 --endMP 300:59007 --enddatetime 2016-11-04T05:05:30 --enforcementcount 0 &gt;&gt;C:\Users\stu\Documents\GitHub\eaglep3-reporting\EC\2016-11-04-refined-times.txt</v>
      </c>
      <c r="AI220" s="122" t="str">
        <f t="shared" si="69"/>
        <v>echo {"issue":{"subject":"","project_id":79,"tracker_id":40,"status_id":1,"priority_id":2,"assigned_to_id":23,"start_date":"2016-11-04","description":"","custom_fields":[{"id":1,"name":"Subdivision","value":"Other"},{"id":4,"name":"Milepost","value":"5.9007"},{"id":17,"name":"Train ID","value":"901-04"},{"id":16,"name":"Locomotive ID","value":"4011"},{"id":130,"name":"Impact","value":""},{"id":150,"name":"Time of Event (Mountain Time)","value":"05:05:30"},{"id":151,"name":"Denver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458</v>
      </c>
      <c r="B221" s="7">
        <v>4010</v>
      </c>
      <c r="C221" s="22" t="s">
        <v>239</v>
      </c>
      <c r="D221" s="22" t="s">
        <v>769</v>
      </c>
      <c r="E221" s="13">
        <v>42678.248854166668</v>
      </c>
      <c r="F221" s="13">
        <v>42678.250324074077</v>
      </c>
      <c r="G221" s="7">
        <v>1</v>
      </c>
      <c r="H221" s="22" t="s">
        <v>770</v>
      </c>
      <c r="I221" s="13">
        <v>42678.255624999998</v>
      </c>
      <c r="J221" s="7">
        <v>0</v>
      </c>
      <c r="K221" s="112" t="str">
        <f t="shared" si="53"/>
        <v>4009/4010</v>
      </c>
      <c r="L221" s="22" t="str">
        <f>VLOOKUP(A221,'Trips&amp;Operators'!$C$1:$E$10000,3,FALSE)</f>
        <v>LALONDE</v>
      </c>
      <c r="M221" s="6">
        <f t="shared" si="54"/>
        <v>5.3009259208920412E-3</v>
      </c>
      <c r="N221" s="7">
        <f t="shared" si="55"/>
        <v>7.6333333260845393</v>
      </c>
      <c r="O221" s="7"/>
      <c r="P221" s="7"/>
      <c r="Q221" s="23"/>
      <c r="R221" s="23"/>
      <c r="S221" s="35">
        <f t="shared" si="56"/>
        <v>1</v>
      </c>
      <c r="T221" s="50" t="str">
        <f t="shared" si="57"/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04:58:21-0600',mode:absolute,to:'2016-11-04 07:08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1" s="52" t="str">
        <f t="shared" si="59"/>
        <v>Y</v>
      </c>
      <c r="X221" s="177">
        <f t="shared" si="60"/>
        <v>1</v>
      </c>
      <c r="Y221" s="67">
        <f t="shared" si="61"/>
        <v>2.2342</v>
      </c>
      <c r="Z221" s="67">
        <f t="shared" si="62"/>
        <v>7.22E-2</v>
      </c>
      <c r="AA221" s="67">
        <f t="shared" si="63"/>
        <v>2.1619999999999999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64"/>
        <v>0902-04</v>
      </c>
      <c r="AE221" s="91" t="str">
        <f t="shared" si="65"/>
        <v>aws s3 cp s3://rtdc.mdm.uploadarchive.raw/RTDC4010/ "%USERPROFILE%\AppData\Local\Temp\OnboardLogs"\RTDC4010\2016-11-04 --exclude "*" --recursive --include "*20161104*" &amp; "%USERPROFILE%\Documents\GitHub\mrs-test-scripts\Headless Mode &amp; Sideloading\WalkAndUnGZ.bat" "%USERPROFILE%\AppData\Local\Temp\OnboardLogs"\RTDC4010\2016-11-04 &amp; aws s3 cp s3://rtdc.mdm.uploadarchive.raw/RTDC4010/ "%USERPROFILE%\AppData\Local\Temp\OnboardLogs"\RTDC4010\2016-11-05 --exclude "*" --recursive --include "*20161105*" &amp; "%USERPROFILE%\Documents\GitHub\mrs-test-scripts\Headless Mode &amp; Sideloading\WalkAndUnGZ.bat" "%USERPROFILE%\AppData\Local\Temp\OnboardLogs"\RTDC4010\2016-11-05</v>
      </c>
      <c r="AF221" s="88" t="str">
        <f t="shared" si="66"/>
        <v>"C:\Program Files (x86)\AstroGrep\AstroGrep.exe" /spath="%USERPROFILE%\AppData\Local\Temp\OnboardLogs" /stypes="app*4010*20161104*" /stext=" 12:.+((SYSTEM_STATE.+slice.+state.+changed )|(ment ac)|(system.+state.+changed )|(\[timeout)|(PRM\|1\|D)|(kpr)|(kdp)|(\|loc)|(penalty))" /e /r /s</v>
      </c>
      <c r="AG221" s="1" t="str">
        <f t="shared" si="67"/>
        <v>Other</v>
      </c>
      <c r="AH221" s="92" t="str">
        <f t="shared" si="68"/>
        <v>"%USERPROFILE%\Documents\GitHub\eaglep3\Utilities\RefineRTDCRunTimes.py" --tripid 902-04 --locoid 4010 --swversion DE.1.0.8.0 --startMP 300:22342 --initTime 2016-11-04T05:58:21 --startdatetime 2016-11-04T06:00:28 --delay 1 --endMP 204:722 --enddatetime 2016-11-04T06:08:06 --enforcementcount 0 &gt;&gt;C:\Users\stu\Documents\GitHub\eaglep3-reporting\EC\2016-11-04-refined-times.txt</v>
      </c>
      <c r="AI221" s="122" t="str">
        <f t="shared" si="69"/>
        <v>echo {"issue":{"subject":"","project_id":79,"tracker_id":40,"status_id":1,"priority_id":2,"assigned_to_id":23,"start_date":"2016-11-04","description":"","custom_fields":[{"id":1,"name":"Subdivision","value":"Other"},{"id":4,"name":"Milepost","value":"0.0722"},{"id":17,"name":"Train ID","value":"902-04"},{"id":16,"name":"Locomotive ID","value":"4010"},{"id":130,"name":"Impact","value":""},{"id":150,"name":"Time of Event (Mountain Time)","value":"06:08:06"},{"id":151,"name":"Denver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482</v>
      </c>
      <c r="B222" s="7">
        <v>4011</v>
      </c>
      <c r="C222" s="22" t="s">
        <v>239</v>
      </c>
      <c r="D222" s="22" t="s">
        <v>387</v>
      </c>
      <c r="E222" s="13">
        <v>42678.353680555556</v>
      </c>
      <c r="F222" s="13">
        <v>25568.708333333332</v>
      </c>
      <c r="G222" s="7">
        <v>1</v>
      </c>
      <c r="H222" s="22" t="s">
        <v>771</v>
      </c>
      <c r="I222" s="13">
        <v>25568.708333333332</v>
      </c>
      <c r="J222" s="7">
        <v>0</v>
      </c>
      <c r="K222" s="112" t="str">
        <f t="shared" si="53"/>
        <v>4011/4012</v>
      </c>
      <c r="L222" s="22" t="str">
        <f>VLOOKUP(A222,'Trips&amp;Operators'!$C$1:$E$10000,3,FALSE)</f>
        <v>ROBINSON</v>
      </c>
      <c r="M222" s="6">
        <f t="shared" si="54"/>
        <v>0</v>
      </c>
      <c r="N222" s="7">
        <f t="shared" si="55"/>
        <v>0</v>
      </c>
      <c r="O222" s="7"/>
      <c r="P222" s="7"/>
      <c r="Q222" s="23"/>
      <c r="R222" s="23"/>
      <c r="S222" s="35">
        <f t="shared" si="56"/>
        <v>1</v>
      </c>
      <c r="T222" s="50" t="str">
        <f t="shared" si="57"/>
        <v>NorthBound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07:29:18-0600',mode:absolute,to:'1969-12-31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22" s="52" t="str">
        <f t="shared" si="59"/>
        <v>Y</v>
      </c>
      <c r="X222" s="177">
        <f t="shared" si="60"/>
        <v>1</v>
      </c>
      <c r="Y222" s="67">
        <f t="shared" si="61"/>
        <v>4.2099999999999999E-2</v>
      </c>
      <c r="Z222" s="67">
        <f t="shared" si="62"/>
        <v>2.4195000000000002</v>
      </c>
      <c r="AA222" s="67">
        <f t="shared" si="63"/>
        <v>2.3774000000000002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64"/>
        <v>0903-04</v>
      </c>
      <c r="AE222" s="91" t="str">
        <f t="shared" si="65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22" s="88" t="str">
        <f t="shared" si="66"/>
        <v>"C:\Program Files (x86)\AstroGrep\AstroGrep.exe" /spath="%USERPROFILE%\AppData\Local\Temp\OnboardLogs" /stypes="app*4011*19691231*" /stext=" 23:.+((SYSTEM_STATE.+slice.+state.+changed )|(ment ac)|(system.+state.+changed )|(\[timeout)|(PRM\|1\|D)|(kpr)|(kdp)|(\|loc)|(penalty))" /e /r /s</v>
      </c>
      <c r="AG222" s="1" t="str">
        <f t="shared" si="67"/>
        <v>Other</v>
      </c>
      <c r="AH222" s="92" t="str">
        <f t="shared" si="68"/>
        <v>"%USERPROFILE%\Documents\GitHub\eaglep3\Utilities\RefineRTDCRunTimes.py" --tripid 903-04 --locoid 4011 --swversion DE.1.0.8.0 --startMP 204:421 --initTime 2016-11-04T08:29:18 --startdatetime 1969-12-31T17:00:00 --delay 1 --endMP 300:24195 --enddatetime 1969-12-31T17:00:00 --enforcementcount 0 &gt;&gt;C:\Users\stu\Documents\GitHub\eaglep3-reporting\EC\2016-11-04-refined-times.txt</v>
      </c>
      <c r="AI222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{"issue":{"subject":"","project_id":79,"tracker_id":40,"status_id":1,"priority_id":2,"assigned_to_id":23,"start_date":"1969-12-31","description":"","custom_fields":[{"id":1,"name":"Subdivision","value":"Other"},{"id":4,"name":"Milepost","value":"2.4195"},{"id":17,"name":"Train ID","value":"903-04"},{"id":16,"name":"Locomotive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553</v>
      </c>
      <c r="B223" s="7">
        <v>4012</v>
      </c>
      <c r="C223" s="22" t="s">
        <v>239</v>
      </c>
      <c r="D223" s="22" t="s">
        <v>772</v>
      </c>
      <c r="E223" s="13">
        <v>42678.643090277779</v>
      </c>
      <c r="F223" s="13">
        <v>42678.645682870374</v>
      </c>
      <c r="G223" s="7">
        <v>3</v>
      </c>
      <c r="H223" s="22" t="s">
        <v>773</v>
      </c>
      <c r="I223" s="13">
        <v>42678.651562500003</v>
      </c>
      <c r="J223" s="7">
        <v>0</v>
      </c>
      <c r="K223" s="112" t="str">
        <f t="shared" si="53"/>
        <v>4011/4012</v>
      </c>
      <c r="L223" s="22" t="str">
        <f>VLOOKUP(A223,'Trips&amp;Operators'!$C$1:$E$10000,3,FALSE)</f>
        <v>JOHNSON</v>
      </c>
      <c r="M223" s="6">
        <f t="shared" si="54"/>
        <v>5.8796296289074235E-3</v>
      </c>
      <c r="N223" s="7">
        <f t="shared" si="55"/>
        <v>8.4666666656266898</v>
      </c>
      <c r="O223" s="7"/>
      <c r="P223" s="7"/>
      <c r="Q223" s="23"/>
      <c r="R223" s="23"/>
      <c r="S223" s="35">
        <f t="shared" si="56"/>
        <v>1</v>
      </c>
      <c r="T223" s="50" t="str">
        <f t="shared" si="57"/>
        <v>Southbound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14:26:03-0600',mode:absolute,to:'2016-11-04 16:38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3" s="52" t="str">
        <f t="shared" si="59"/>
        <v>Y</v>
      </c>
      <c r="X223" s="177">
        <f t="shared" si="60"/>
        <v>1</v>
      </c>
      <c r="Y223" s="67">
        <f t="shared" si="61"/>
        <v>2.3586</v>
      </c>
      <c r="Z223" s="67">
        <f t="shared" si="62"/>
        <v>6.59E-2</v>
      </c>
      <c r="AA223" s="67">
        <f t="shared" si="63"/>
        <v>2.2927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64"/>
        <v>0904-04</v>
      </c>
      <c r="AE223" s="91" t="str">
        <f t="shared" si="65"/>
        <v>aws s3 cp s3://rtdc.mdm.uploadarchive.raw/RTDC4012/ "%USERPROFILE%\AppData\Local\Temp\OnboardLogs"\RTDC4012\2016-11-04 --exclude "*" --recursive --include "*20161104*" &amp; "%USERPROFILE%\Documents\GitHub\mrs-test-scripts\Headless Mode &amp; Sideloading\WalkAndUnGZ.bat" "%USERPROFILE%\AppData\Local\Temp\OnboardLogs"\RTDC4012\2016-11-04 &amp; 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</v>
      </c>
      <c r="AF223" s="88" t="str">
        <f t="shared" si="66"/>
        <v>"C:\Program Files (x86)\AstroGrep\AstroGrep.exe" /spath="%USERPROFILE%\AppData\Local\Temp\OnboardLogs" /stypes="app*4012*20161104*" /stext=" 21:.+((SYSTEM_STATE.+slice.+state.+changed )|(ment ac)|(system.+state.+changed )|(\[timeout)|(PRM\|1\|D)|(kpr)|(kdp)|(\|loc)|(penalty))" /e /r /s</v>
      </c>
      <c r="AG223" s="1" t="str">
        <f t="shared" si="67"/>
        <v>Other</v>
      </c>
      <c r="AH223" s="92" t="str">
        <f t="shared" si="68"/>
        <v>"%USERPROFILE%\Documents\GitHub\eaglep3\Utilities\RefineRTDCRunTimes.py" --tripid 904-04 --locoid 4012 --swversion DE.1.0.8.0 --startMP 300:23586 --initTime 2016-11-04T15:26:03 --startdatetime 2016-11-04T15:29:47 --delay 3 --endMP 204:659 --enddatetime 2016-11-04T15:38:15 --enforcementcount 0 &gt;&gt;C:\Users\stu\Documents\GitHub\eaglep3-reporting\EC\2016-11-04-refined-times.txt</v>
      </c>
      <c r="AI223" s="122" t="str">
        <f t="shared" si="69"/>
        <v>echo {"issue":{"subject":"","project_id":79,"tracker_id":40,"status_id":1,"priority_id":2,"assigned_to_id":23,"start_date":"2016-11-04","description":"","custom_fields":[{"id":1,"name":"Subdivision","value":"Other"},{"id":4,"name":"Milepost","value":"0.0659"},{"id":17,"name":"Train ID","value":"904-04"},{"id":16,"name":"Locomotive ID","value":"4012"},{"id":130,"name":"Impact","value":""},{"id":150,"name":"Time of Event (Mountain Time)","value":"15:38:15"},{"id":151,"name":"Denver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593</v>
      </c>
      <c r="B224" s="7">
        <v>4012</v>
      </c>
      <c r="C224" s="22" t="s">
        <v>239</v>
      </c>
      <c r="D224" s="22" t="s">
        <v>320</v>
      </c>
      <c r="E224" s="13">
        <v>42678.797118055554</v>
      </c>
      <c r="F224" s="13">
        <v>25568.708333333332</v>
      </c>
      <c r="G224" s="7">
        <v>1</v>
      </c>
      <c r="H224" s="22" t="s">
        <v>774</v>
      </c>
      <c r="I224" s="13">
        <v>25568.708333333332</v>
      </c>
      <c r="J224" s="7">
        <v>0</v>
      </c>
      <c r="K224" s="112" t="str">
        <f t="shared" si="53"/>
        <v>4011/4012</v>
      </c>
      <c r="L224" s="22" t="str">
        <f>VLOOKUP(A224,'Trips&amp;Operators'!$C$1:$E$10000,3,FALSE)</f>
        <v>JOHNSON</v>
      </c>
      <c r="M224" s="6">
        <f t="shared" si="54"/>
        <v>0</v>
      </c>
      <c r="N224" s="7">
        <f t="shared" si="55"/>
        <v>0</v>
      </c>
      <c r="O224" s="7"/>
      <c r="P224" s="7"/>
      <c r="Q224" s="23"/>
      <c r="R224" s="23"/>
      <c r="S224" s="35">
        <f t="shared" si="56"/>
        <v>0</v>
      </c>
      <c r="T224" s="50" t="str">
        <f t="shared" si="57"/>
        <v>Southbound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18:07:51-0600',mode:absolute,to:'1969-12-31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4" s="52" t="str">
        <f t="shared" si="59"/>
        <v>Y</v>
      </c>
      <c r="X224" s="177">
        <f t="shared" si="60"/>
        <v>2</v>
      </c>
      <c r="Y224" s="67">
        <f t="shared" si="61"/>
        <v>5.8615000000000004</v>
      </c>
      <c r="Z224" s="67">
        <f t="shared" si="62"/>
        <v>2.8788999999999998</v>
      </c>
      <c r="AA224" s="67">
        <f t="shared" si="63"/>
        <v>2.9826000000000006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 t="shared" si="64"/>
        <v>0906-04</v>
      </c>
      <c r="AE224" s="91" t="str">
        <f t="shared" si="65"/>
        <v>aws s3 cp s3://rtdc.mdm.uploadarchive.raw/RTDC4012/ "%USERPROFILE%\AppData\Local\Temp\OnboardLogs"\RTDC4012\1969-12-31 --exclude "*" --recursive --include "*19691231*" &amp; "%USERPROFILE%\Documents\GitHub\mrs-test-scripts\Headless Mode &amp; Sideloading\WalkAndUnGZ.bat" "%USERPROFILE%\AppData\Local\Temp\OnboardLogs"\RTDC4012\1969-12-31 &amp; aws s3 cp s3://rtdc.mdm.uploadarchive.raw/RTDC4012/ "%USERPROFILE%\AppData\Local\Temp\OnboardLogs"\RTDC4012\1970-01-01 --exclude "*" --recursive --include "*19700101*" &amp; "%USERPROFILE%\Documents\GitHub\mrs-test-scripts\Headless Mode &amp; Sideloading\WalkAndUnGZ.bat" "%USERPROFILE%\AppData\Local\Temp\OnboardLogs"\RTDC4012\1970-01-01</v>
      </c>
      <c r="AF224" s="88" t="str">
        <f t="shared" si="66"/>
        <v>"C:\Program Files (x86)\AstroGrep\AstroGrep.exe" /spath="%USERPROFILE%\AppData\Local\Temp\OnboardLogs" /stypes="app*4012*19691231*" /stext=" 23:.+((SYSTEM_STATE.+slice.+state.+changed )|(ment ac)|(system.+state.+changed )|(\[timeout)|(PRM\|1\|D)|(kpr)|(kdp)|(\|loc)|(penalty))" /e /r /s</v>
      </c>
      <c r="AG224" s="1" t="str">
        <f t="shared" si="67"/>
        <v>Other</v>
      </c>
      <c r="AH224" s="92" t="str">
        <f t="shared" si="68"/>
        <v>"%USERPROFILE%\Documents\GitHub\eaglep3\Utilities\RefineRTDCRunTimes.py" --tripid 906-04 --locoid 4012 --swversion DE.1.0.8.0 --startMP 300:58615 --initTime 2016-11-04T19:07:51 --startdatetime 1969-12-31T17:00:00 --delay 1 --endMP 300:28789 --enddatetime 1969-12-31T17:00:00 --enforcementcount 0 &gt;&gt;C:\Users\stu\Documents\GitHub\eaglep3-reporting\EC\2016-11-04-refined-times.txt</v>
      </c>
      <c r="AI224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{"issue":{"subject":"","project_id":79,"tracker_id":40,"status_id":1,"priority_id":2,"assigned_to_id":23,"start_date":"1969-12-31","description":"","custom_fields":[{"id":1,"name":"Subdivision","value":"Other"},{"id":4,"name":"Milepost","value":"2.8789"},{"id":17,"name":"Train ID","value":"906-04"},{"id":16,"name":"Locomotive ID","value":"4012"},{"id":130,"name":"Impact","value":""},{"id":150,"name":"Time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615</v>
      </c>
      <c r="B225" s="7">
        <v>4010</v>
      </c>
      <c r="C225" s="22" t="s">
        <v>239</v>
      </c>
      <c r="D225" s="22" t="s">
        <v>775</v>
      </c>
      <c r="E225" s="13">
        <v>42678.942245370374</v>
      </c>
      <c r="F225" s="13">
        <v>42678.943773148145</v>
      </c>
      <c r="G225" s="7">
        <v>1</v>
      </c>
      <c r="H225" s="22" t="s">
        <v>776</v>
      </c>
      <c r="I225" s="13">
        <v>42678.948564814818</v>
      </c>
      <c r="J225" s="7">
        <v>0</v>
      </c>
      <c r="K225" s="112" t="str">
        <f t="shared" si="53"/>
        <v>4009/4010</v>
      </c>
      <c r="L225" s="22" t="str">
        <f>VLOOKUP(A225,'Trips&amp;Operators'!$C$1:$E$10000,3,FALSE)</f>
        <v>JOHNSON</v>
      </c>
      <c r="M225" s="6">
        <f t="shared" si="54"/>
        <v>4.7916666735545732E-3</v>
      </c>
      <c r="N225" s="7">
        <f t="shared" si="55"/>
        <v>6.9000000099185854</v>
      </c>
      <c r="O225" s="7"/>
      <c r="P225" s="7"/>
      <c r="Q225" s="23"/>
      <c r="R225" s="23"/>
      <c r="S225" s="35">
        <f t="shared" si="56"/>
        <v>0</v>
      </c>
      <c r="T225" s="50" t="str">
        <f t="shared" si="57"/>
        <v>Southbound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21:36:50-0600',mode:absolute,to:'2016-11-04 23:45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5" s="52" t="str">
        <f t="shared" si="59"/>
        <v>Y</v>
      </c>
      <c r="X225" s="177">
        <f t="shared" si="60"/>
        <v>2</v>
      </c>
      <c r="Y225" s="67">
        <f t="shared" si="61"/>
        <v>5.8604000000000003</v>
      </c>
      <c r="Z225" s="67">
        <f t="shared" si="62"/>
        <v>2.1711999999999998</v>
      </c>
      <c r="AA225" s="67">
        <f t="shared" si="63"/>
        <v>3.6892000000000005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 t="shared" si="64"/>
        <v>0908-04</v>
      </c>
      <c r="AE225" s="91" t="str">
        <f t="shared" si="65"/>
        <v>aws s3 cp s3://rtdc.mdm.uploadarchive.raw/RTDC4010/ "%USERPROFILE%\AppData\Local\Temp\OnboardLogs"\RTDC4010\2016-11-04 --exclude "*" --recursive --include "*20161104*" &amp; "%USERPROFILE%\Documents\GitHub\mrs-test-scripts\Headless Mode &amp; Sideloading\WalkAndUnGZ.bat" "%USERPROFILE%\AppData\Local\Temp\OnboardLogs"\RTDC4010\2016-11-04 &amp; aws s3 cp s3://rtdc.mdm.uploadarchive.raw/RTDC4010/ "%USERPROFILE%\AppData\Local\Temp\OnboardLogs"\RTDC4010\2016-11-05 --exclude "*" --recursive --include "*20161105*" &amp; "%USERPROFILE%\Documents\GitHub\mrs-test-scripts\Headless Mode &amp; Sideloading\WalkAndUnGZ.bat" "%USERPROFILE%\AppData\Local\Temp\OnboardLogs"\RTDC4010\2016-11-05</v>
      </c>
      <c r="AF225" s="88" t="str">
        <f t="shared" si="66"/>
        <v>"C:\Program Files (x86)\AstroGrep\AstroGrep.exe" /spath="%USERPROFILE%\AppData\Local\Temp\OnboardLogs" /stypes="app*4010*20161105*" /stext=" 04:.+((SYSTEM_STATE.+slice.+state.+changed )|(ment ac)|(system.+state.+changed )|(\[timeout)|(PRM\|1\|D)|(kpr)|(kdp)|(\|loc)|(penalty))" /e /r /s</v>
      </c>
      <c r="AG225" s="1" t="str">
        <f t="shared" si="67"/>
        <v>Other</v>
      </c>
      <c r="AH225" s="92" t="str">
        <f t="shared" si="68"/>
        <v>"%USERPROFILE%\Documents\GitHub\eaglep3\Utilities\RefineRTDCRunTimes.py" --tripid 908-04 --locoid 4010 --swversion DE.1.0.8.0 --startMP 300:58604 --initTime 2016-11-04T22:36:50 --startdatetime 2016-11-04T22:39:02 --delay 1 --endMP 300:21712 --enddatetime 2016-11-04T22:45:56 --enforcementcount 0 &gt;&gt;C:\Users\stu\Documents\GitHub\eaglep3-reporting\EC\2016-11-04-refined-times.txt</v>
      </c>
      <c r="AI225" s="122" t="str">
        <f t="shared" si="69"/>
        <v>echo {"issue":{"subject":"","project_id":79,"tracker_id":40,"status_id":1,"priority_id":2,"assigned_to_id":23,"start_date":"2016-11-04","description":"","custom_fields":[{"id":1,"name":"Subdivision","value":"Other"},{"id":4,"name":"Milepost","value":"2.1712"},{"id":17,"name":"Train ID","value":"908-04"},{"id":16,"name":"Locomotive ID","value":"4010"},{"id":130,"name":"Impact","value":""},{"id":150,"name":"Time of Event (Mountain Time)","value":"22:45:56"},{"id":151,"name":"Denver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499</v>
      </c>
      <c r="B226" s="7">
        <v>4039</v>
      </c>
      <c r="C226" s="22" t="s">
        <v>239</v>
      </c>
      <c r="D226" s="22" t="s">
        <v>703</v>
      </c>
      <c r="E226" s="13">
        <v>42678.430081018516</v>
      </c>
      <c r="F226" s="13">
        <v>42678.431076388886</v>
      </c>
      <c r="G226" s="7">
        <v>1</v>
      </c>
      <c r="H226" s="22" t="s">
        <v>704</v>
      </c>
      <c r="I226" s="13">
        <v>42678.437523148146</v>
      </c>
      <c r="J226" s="7">
        <v>0</v>
      </c>
      <c r="K226" s="112" t="str">
        <f t="shared" si="53"/>
        <v>4039/4040</v>
      </c>
      <c r="L226" s="22" t="str">
        <f>VLOOKUP(A226,'Trips&amp;Operators'!$C$1:$E$10000,3,FALSE)</f>
        <v>OUN</v>
      </c>
      <c r="M226" s="6">
        <f t="shared" si="54"/>
        <v>6.4467592601431534E-3</v>
      </c>
      <c r="N226" s="7">
        <f t="shared" si="55"/>
        <v>9.2833333346061409</v>
      </c>
      <c r="O226" s="7"/>
      <c r="P226" s="7"/>
      <c r="Q226" s="23"/>
      <c r="R226" s="23"/>
      <c r="S226" s="35">
        <f t="shared" si="56"/>
        <v>0</v>
      </c>
      <c r="T226" s="50" t="e">
        <f t="shared" si="57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09:19:19-0600',mode:absolute,to:'2016-11-04 11:30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6" s="52" t="str">
        <f t="shared" si="59"/>
        <v>Y</v>
      </c>
      <c r="X226" s="177" t="e">
        <f t="shared" si="60"/>
        <v>#VALUE!</v>
      </c>
      <c r="Y226" s="67">
        <f t="shared" si="61"/>
        <v>2.3468</v>
      </c>
      <c r="Z226" s="67">
        <f t="shared" si="62"/>
        <v>8.7800000000000003E-2</v>
      </c>
      <c r="AA226" s="67">
        <f t="shared" si="63"/>
        <v>2.2589999999999999</v>
      </c>
      <c r="AB226" s="64" t="e">
        <f>VLOOKUP(A226,Enforcements!$C$7:$K$21,8,0)</f>
        <v>#N/A</v>
      </c>
      <c r="AC226" s="60" t="e">
        <f>VLOOKUP(A226,Enforcements!$C$7:$E$21,3,0)</f>
        <v>#N/A</v>
      </c>
      <c r="AD226" s="61" t="str">
        <f t="shared" si="64"/>
        <v>50-04</v>
      </c>
      <c r="AE226" s="91" t="str">
        <f t="shared" si="65"/>
        <v>aws s3 cp s3://rtdc.mdm.uploadarchive.raw/RTDC4039/ "%USERPROFILE%\AppData\Local\Temp\OnboardLogs"\RTDC4039\2016-11-04 --exclude "*" --recursive --include "*20161104*" &amp; "%USERPROFILE%\Documents\GitHub\mrs-test-scripts\Headless Mode &amp; Sideloading\WalkAndUnGZ.bat" "%USERPROFILE%\AppData\Local\Temp\OnboardLogs"\RTDC4039\2016-11-04 &amp; aws s3 cp s3://rtdc.mdm.uploadarchive.raw/RTDC4039/ "%USERPROFILE%\AppData\Local\Temp\OnboardLogs"\RTDC4039\2016-11-05 --exclude "*" --recursive --include "*20161105*" &amp; "%USERPROFILE%\Documents\GitHub\mrs-test-scripts\Headless Mode &amp; Sideloading\WalkAndUnGZ.bat" "%USERPROFILE%\AppData\Local\Temp\OnboardLogs"\RTDC4039\2016-11-05</v>
      </c>
      <c r="AF226" s="88" t="str">
        <f t="shared" si="66"/>
        <v>"C:\Program Files (x86)\AstroGrep\AstroGrep.exe" /spath="%USERPROFILE%\AppData\Local\Temp\OnboardLogs" /stypes="app*4039*20161104*" /stext=" 16:.+((SYSTEM_STATE.+slice.+state.+changed )|(ment ac)|(system.+state.+changed )|(\[timeout)|(PRM\|1\|D)|(kpr)|(kdp)|(\|loc)|(penalty))" /e /r /s</v>
      </c>
      <c r="AG226" s="1" t="str">
        <f t="shared" si="67"/>
        <v>Other</v>
      </c>
      <c r="AH226" s="92" t="str">
        <f t="shared" si="68"/>
        <v>"%USERPROFILE%\Documents\GitHub\eaglep3\Utilities\RefineRTDCRunTimes.py" --tripid 50-04 --locoid 4039 --swversion DE.1.0.8.0 --startMP 300:23468 --initTime 2016-11-04T10:19:19 --startdatetime 2016-11-04T10:20:45 --delay 1 --endMP 204:878 --enddatetime 2016-11-04T10:30:02 --enforcementcount 0 &gt;&gt;C:\Users\stu\Documents\GitHub\eaglep3-reporting\EC\2016-11-04-refined-times.txt</v>
      </c>
      <c r="AI226" s="122" t="str">
        <f t="shared" si="69"/>
        <v>echo {"issue":{"subject":"","project_id":79,"tracker_id":40,"status_id":1,"priority_id":2,"assigned_to_id":23,"start_date":"2016-11-04","description":"","custom_fields":[{"id":1,"name":"Subdivision","value":"Other"},{"id":4,"name":"Milepost","value":"0.0878"},{"id":17,"name":"Train ID","value":"50-04"},{"id":16,"name":"Locomotive ID","value":"4039"},{"id":130,"name":"Impact","value":""},{"id":150,"name":"Time of Event (Mountain Time)","value":"10:30:02"},{"id":151,"name":"Denver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513</v>
      </c>
      <c r="B227" s="7">
        <v>4040</v>
      </c>
      <c r="C227" s="22" t="s">
        <v>239</v>
      </c>
      <c r="D227" s="22" t="s">
        <v>705</v>
      </c>
      <c r="E227" s="13">
        <v>42678.469710648147</v>
      </c>
      <c r="F227" s="13">
        <v>25568.708333333332</v>
      </c>
      <c r="G227" s="7">
        <v>1</v>
      </c>
      <c r="H227" s="22" t="s">
        <v>706</v>
      </c>
      <c r="I227" s="13">
        <v>25568.708333333332</v>
      </c>
      <c r="J227" s="7">
        <v>0</v>
      </c>
      <c r="K227" s="112" t="str">
        <f t="shared" si="53"/>
        <v>4039/4040</v>
      </c>
      <c r="L227" s="22" t="str">
        <f>VLOOKUP(A227,'Trips&amp;Operators'!$C$1:$E$10000,3,FALSE)</f>
        <v>GRASTON</v>
      </c>
      <c r="M227" s="6">
        <f t="shared" si="54"/>
        <v>0</v>
      </c>
      <c r="N227" s="7">
        <f t="shared" si="55"/>
        <v>0</v>
      </c>
      <c r="O227" s="7"/>
      <c r="P227" s="7"/>
      <c r="Q227" s="23"/>
      <c r="R227" s="23"/>
      <c r="S227" s="35">
        <f t="shared" si="56"/>
        <v>0</v>
      </c>
      <c r="T227" s="50" t="e">
        <f t="shared" si="57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10:16:23-0600',mode:absolute,to:'1969-12-31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27" s="52" t="str">
        <f t="shared" si="59"/>
        <v>Y</v>
      </c>
      <c r="X227" s="177" t="e">
        <f t="shared" si="60"/>
        <v>#VALUE!</v>
      </c>
      <c r="Y227" s="67">
        <f t="shared" si="61"/>
        <v>0.11990000000000001</v>
      </c>
      <c r="Z227" s="67">
        <f t="shared" si="62"/>
        <v>2.4243999999999999</v>
      </c>
      <c r="AA227" s="67">
        <f t="shared" si="63"/>
        <v>2.3045</v>
      </c>
      <c r="AB227" s="64" t="e">
        <f>VLOOKUP(A227,Enforcements!$C$7:$K$21,8,0)</f>
        <v>#N/A</v>
      </c>
      <c r="AC227" s="60" t="e">
        <f>VLOOKUP(A227,Enforcements!$C$7:$E$21,3,0)</f>
        <v>#N/A</v>
      </c>
      <c r="AD227" s="61" t="str">
        <f t="shared" si="64"/>
        <v>51-04</v>
      </c>
      <c r="AE227" s="91" t="str">
        <f t="shared" si="65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27" s="88" t="str">
        <f t="shared" si="66"/>
        <v>"C:\Program Files (x86)\AstroGrep\AstroGrep.exe" /spath="%USERPROFILE%\AppData\Local\Temp\OnboardLogs" /stypes="app*4040*19691231*" /stext=" 23:.+((SYSTEM_STATE.+slice.+state.+changed )|(ment ac)|(system.+state.+changed )|(\[timeout)|(PRM\|1\|D)|(kpr)|(kdp)|(\|loc)|(penalty))" /e /r /s</v>
      </c>
      <c r="AG227" s="1" t="str">
        <f t="shared" si="67"/>
        <v>Other</v>
      </c>
      <c r="AH227" s="92" t="str">
        <f t="shared" si="68"/>
        <v>"%USERPROFILE%\Documents\GitHub\eaglep3\Utilities\RefineRTDCRunTimes.py" --tripid 51-04 --locoid 4040 --swversion DE.1.0.8.0 --startMP 204:1199 --initTime 2016-11-04T11:16:23 --startdatetime 1969-12-31T17:00:00 --delay 1 --endMP 300:24244 --enddatetime 1969-12-31T17:00:00 --enforcementcount 0 &gt;&gt;C:\Users\stu\Documents\GitHub\eaglep3-reporting\EC\2016-11-04-refined-times.txt</v>
      </c>
      <c r="AI227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{"issue":{"subject":"","project_id":79,"tracker_id":40,"status_id":1,"priority_id":2,"assigned_to_id":23,"start_date":"1969-12-31","description":"","custom_fields":[{"id":1,"name":"Subdivision","value":"Other"},{"id":4,"name":"Milepost","value":"2.4244"},{"id":17,"name":"Train ID","value":"51-04"},{"id":16,"name":"Locomotive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419</v>
      </c>
      <c r="B228" s="7">
        <v>4015</v>
      </c>
      <c r="C228" s="22" t="s">
        <v>239</v>
      </c>
      <c r="D228" s="22" t="s">
        <v>707</v>
      </c>
      <c r="E228" s="13">
        <v>42678.457951388889</v>
      </c>
      <c r="F228" s="13">
        <v>42678.459421296298</v>
      </c>
      <c r="G228" s="7">
        <v>1</v>
      </c>
      <c r="H228" s="22">
        <v>8.5222222222222221</v>
      </c>
      <c r="I228" s="13">
        <v>42678.46533564815</v>
      </c>
      <c r="J228" s="7">
        <v>0</v>
      </c>
      <c r="K228" s="112" t="str">
        <f t="shared" si="53"/>
        <v>4015/4016</v>
      </c>
      <c r="L228" s="22" t="str">
        <f>VLOOKUP(A228,'Trips&amp;Operators'!$C$1:$E$10000,3,FALSE)</f>
        <v>SWANSON</v>
      </c>
      <c r="M228" s="6">
        <f t="shared" si="54"/>
        <v>5.914351851970423E-3</v>
      </c>
      <c r="N228" s="7">
        <f t="shared" si="55"/>
        <v>8.5166666668374091</v>
      </c>
      <c r="O228" s="7"/>
      <c r="P228" s="7"/>
      <c r="Q228" s="23"/>
      <c r="R228" s="23"/>
      <c r="S228" s="35">
        <f t="shared" si="56"/>
        <v>0</v>
      </c>
      <c r="T228" s="50" t="e">
        <f t="shared" si="57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09:59:27-0600',mode:absolute,to:'2016-11-04 12:10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8" s="52" t="str">
        <f t="shared" si="59"/>
        <v>N</v>
      </c>
      <c r="X228" s="177" t="e">
        <f t="shared" si="60"/>
        <v>#VALUE!</v>
      </c>
      <c r="Y228" s="67">
        <f t="shared" si="61"/>
        <v>2.1783999999999999</v>
      </c>
      <c r="Z228" s="67">
        <f t="shared" si="62"/>
        <v>22222222.222199999</v>
      </c>
      <c r="AA228" s="67">
        <f t="shared" si="63"/>
        <v>22222220.0438</v>
      </c>
      <c r="AB228" s="64" t="e">
        <f>VLOOKUP(A228,Enforcements!$C$7:$K$21,8,0)</f>
        <v>#N/A</v>
      </c>
      <c r="AC228" s="60" t="e">
        <f>VLOOKUP(A228,Enforcements!$C$7:$E$21,3,0)</f>
        <v>#N/A</v>
      </c>
      <c r="AD228" s="61" t="str">
        <f t="shared" si="64"/>
        <v>52-04</v>
      </c>
      <c r="AE228" s="91" t="str">
        <f t="shared" si="65"/>
        <v>aws s3 cp s3://rtdc.mdm.uploadarchive.raw/RTDC4015/ "%USERPROFILE%\AppData\Local\Temp\OnboardLogs"\RTDC4015\2016-11-04 --exclude "*" --recursive --include "*20161104*" &amp; "%USERPROFILE%\Documents\GitHub\mrs-test-scripts\Headless Mode &amp; Sideloading\WalkAndUnGZ.bat" "%USERPROFILE%\AppData\Local\Temp\OnboardLogs"\RTDC4015\2016-11-04 &amp; 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</v>
      </c>
      <c r="AF228" s="88" t="str">
        <f t="shared" si="66"/>
        <v>"C:\Program Files (x86)\AstroGrep\AstroGrep.exe" /spath="%USERPROFILE%\AppData\Local\Temp\OnboardLogs" /stypes="app*4015*20161104*" /stext=" 17:.+((SYSTEM_STATE.+slice.+state.+changed )|(ment ac)|(system.+state.+changed )|(\[timeout)|(PRM\|1\|D)|(kpr)|(kdp)|(\|loc)|(penalty))" /e /r /s</v>
      </c>
      <c r="AG228" s="1" t="str">
        <f t="shared" si="67"/>
        <v>Other</v>
      </c>
      <c r="AH228" s="92" t="str">
        <f t="shared" si="68"/>
        <v>"%USERPROFILE%\Documents\GitHub\eaglep3\Utilities\RefineRTDCRunTimes.py" --tripid 52-04 --locoid 4015 --swversion DE.1.0.8.0 --startMP 300:21784 --initTime 2016-11-04T10:59:27 --startdatetime 2016-11-04T11:01:34 --delay 1 --endMP 8.52222222222222 --enddatetime 2016-11-04T11:10:05 --enforcementcount 0 &gt;&gt;C:\Users\stu\Documents\GitHub\eaglep3-reporting\EC\2016-11-04-refined-times.txt</v>
      </c>
      <c r="AI228" s="122" t="str">
        <f t="shared" si="69"/>
        <v>echo {"issue":{"subject":"","project_id":79,"tracker_id":40,"status_id":1,"priority_id":2,"assigned_to_id":23,"start_date":"2016-11-04","description":"","custom_fields":[{"id":1,"name":"Subdivision","value":"Other"},{"id":4,"name":"Milepost","value":"22222222.2222"},{"id":17,"name":"Train ID","value":"52-04"},{"id":16,"name":"Locomotive ID","value":"4015"},{"id":130,"name":"Impact","value":""},{"id":150,"name":"Time of Event (Mountain Time)","value":"11:10:05"},{"id":151,"name":"Denver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517</v>
      </c>
      <c r="B229" s="7">
        <v>4016</v>
      </c>
      <c r="C229" s="22" t="s">
        <v>239</v>
      </c>
      <c r="D229" s="22" t="s">
        <v>708</v>
      </c>
      <c r="E229" s="13">
        <v>42678.486296296294</v>
      </c>
      <c r="F229" s="13">
        <v>42678.488993055558</v>
      </c>
      <c r="G229" s="7">
        <v>3</v>
      </c>
      <c r="H229" s="22" t="s">
        <v>709</v>
      </c>
      <c r="I229" s="13">
        <v>42678.494560185187</v>
      </c>
      <c r="J229" s="7">
        <v>0</v>
      </c>
      <c r="K229" s="112" t="str">
        <f t="shared" si="53"/>
        <v>4015/4016</v>
      </c>
      <c r="L229" s="22" t="str">
        <f>VLOOKUP(A229,'Trips&amp;Operators'!$C$1:$E$10000,3,FALSE)</f>
        <v>BEAM</v>
      </c>
      <c r="M229" s="6">
        <f t="shared" si="54"/>
        <v>5.5671296286163852E-3</v>
      </c>
      <c r="N229" s="7">
        <f t="shared" si="55"/>
        <v>8.0166666652075946</v>
      </c>
      <c r="O229" s="7"/>
      <c r="P229" s="7"/>
      <c r="Q229" s="23"/>
      <c r="R229" s="23"/>
      <c r="S229" s="35">
        <f t="shared" si="56"/>
        <v>0</v>
      </c>
      <c r="T229" s="50" t="e">
        <f t="shared" si="57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10:40:16-0600',mode:absolute,to:'2016-11-04 12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9" s="52" t="str">
        <f t="shared" si="59"/>
        <v>Y</v>
      </c>
      <c r="X229" s="177" t="e">
        <f t="shared" si="60"/>
        <v>#VALUE!</v>
      </c>
      <c r="Y229" s="67">
        <f t="shared" si="61"/>
        <v>3.4799999999999998E-2</v>
      </c>
      <c r="Z229" s="67">
        <f t="shared" si="62"/>
        <v>2.4262999999999999</v>
      </c>
      <c r="AA229" s="67">
        <f t="shared" si="63"/>
        <v>2.3914999999999997</v>
      </c>
      <c r="AB229" s="64" t="e">
        <f>VLOOKUP(A229,Enforcements!$C$7:$K$21,8,0)</f>
        <v>#N/A</v>
      </c>
      <c r="AC229" s="60" t="e">
        <f>VLOOKUP(A229,Enforcements!$C$7:$E$21,3,0)</f>
        <v>#N/A</v>
      </c>
      <c r="AD229" s="61" t="str">
        <f t="shared" si="64"/>
        <v>53-04</v>
      </c>
      <c r="AE229" s="91" t="str">
        <f t="shared" si="65"/>
        <v>aws s3 cp s3://rtdc.mdm.uploadarchive.raw/RTDC4016/ "%USERPROFILE%\AppData\Local\Temp\OnboardLogs"\RTDC4016\2016-11-04 --exclude "*" --recursive --include "*20161104*" &amp; "%USERPROFILE%\Documents\GitHub\mrs-test-scripts\Headless Mode &amp; Sideloading\WalkAndUnGZ.bat" "%USERPROFILE%\AppData\Local\Temp\OnboardLogs"\RTDC4016\2016-11-04 &amp; 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</v>
      </c>
      <c r="AF229" s="88" t="str">
        <f t="shared" si="66"/>
        <v>"C:\Program Files (x86)\AstroGrep\AstroGrep.exe" /spath="%USERPROFILE%\AppData\Local\Temp\OnboardLogs" /stypes="app*4016*20161104*" /stext=" 17:.+((SYSTEM_STATE.+slice.+state.+changed )|(ment ac)|(system.+state.+changed )|(\[timeout)|(PRM\|1\|D)|(kpr)|(kdp)|(\|loc)|(penalty))" /e /r /s</v>
      </c>
      <c r="AG229" s="1" t="str">
        <f t="shared" si="67"/>
        <v>Other</v>
      </c>
      <c r="AH229" s="92" t="str">
        <f t="shared" si="68"/>
        <v>"%USERPROFILE%\Documents\GitHub\eaglep3\Utilities\RefineRTDCRunTimes.py" --tripid 53-04 --locoid 4016 --swversion DE.1.0.8.0 --startMP 204:348 --initTime 2016-11-04T11:40:16 --startdatetime 2016-11-04T11:44:09 --delay 3 --endMP 300:24263 --enddatetime 2016-11-04T11:52:10 --enforcementcount 0 &gt;&gt;C:\Users\stu\Documents\GitHub\eaglep3-reporting\EC\2016-11-04-refined-times.txt</v>
      </c>
      <c r="AI229" s="122" t="str">
        <f t="shared" si="69"/>
        <v>echo {"issue":{"subject":"","project_id":79,"tracker_id":40,"status_id":1,"priority_id":2,"assigned_to_id":23,"start_date":"2016-11-04","description":"","custom_fields":[{"id":1,"name":"Subdivision","value":"Other"},{"id":4,"name":"Milepost","value":"2.4263"},{"id":17,"name":"Train ID","value":"53-04"},{"id":16,"name":"Locomotive ID","value":"4016"},{"id":130,"name":"Impact","value":""},{"id":150,"name":"Time of Event (Mountain Time)","value":"11:52:10"},{"id":151,"name":"Denver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582</v>
      </c>
      <c r="B230" s="7">
        <v>4032</v>
      </c>
      <c r="C230" s="22" t="s">
        <v>239</v>
      </c>
      <c r="D230" s="22" t="s">
        <v>710</v>
      </c>
      <c r="E230" s="13">
        <v>42678.751527777778</v>
      </c>
      <c r="F230" s="13">
        <v>42678.75273148148</v>
      </c>
      <c r="G230" s="7">
        <v>1</v>
      </c>
      <c r="H230" s="22" t="s">
        <v>711</v>
      </c>
      <c r="I230" s="13">
        <v>42678.760370370372</v>
      </c>
      <c r="J230" s="7">
        <v>0</v>
      </c>
      <c r="K230" s="112" t="str">
        <f t="shared" si="53"/>
        <v>4031/4032</v>
      </c>
      <c r="L230" s="22" t="str">
        <f>VLOOKUP(A230,'Trips&amp;Operators'!$C$1:$E$10000,3,FALSE)</f>
        <v>ARVIDSON</v>
      </c>
      <c r="M230" s="6">
        <f t="shared" si="54"/>
        <v>7.6388888919609599E-3</v>
      </c>
      <c r="N230" s="7">
        <f t="shared" si="55"/>
        <v>11.000000004423782</v>
      </c>
      <c r="O230" s="7"/>
      <c r="P230" s="7"/>
      <c r="Q230" s="23"/>
      <c r="R230" s="23"/>
      <c r="S230" s="35">
        <f t="shared" si="56"/>
        <v>0</v>
      </c>
      <c r="T230" s="50" t="e">
        <f t="shared" si="57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17:02:12-0600',mode:absolute,to:'2016-11-04 19:14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30" s="52" t="str">
        <f t="shared" si="59"/>
        <v>Y</v>
      </c>
      <c r="X230" s="177" t="e">
        <f t="shared" si="60"/>
        <v>#VALUE!</v>
      </c>
      <c r="Y230" s="67">
        <f t="shared" si="61"/>
        <v>2.2159</v>
      </c>
      <c r="Z230" s="67">
        <f t="shared" si="62"/>
        <v>8.9099999999999999E-2</v>
      </c>
      <c r="AA230" s="67">
        <f t="shared" si="63"/>
        <v>2.1267999999999998</v>
      </c>
      <c r="AB230" s="64" t="e">
        <f>VLOOKUP(A230,Enforcements!$C$7:$K$21,8,0)</f>
        <v>#N/A</v>
      </c>
      <c r="AC230" s="60" t="e">
        <f>VLOOKUP(A230,Enforcements!$C$7:$E$21,3,0)</f>
        <v>#N/A</v>
      </c>
      <c r="AD230" s="61" t="str">
        <f t="shared" si="64"/>
        <v>56-04</v>
      </c>
      <c r="AE230" s="91" t="str">
        <f t="shared" si="65"/>
        <v>aws s3 cp s3://rtdc.mdm.uploadarchive.raw/RTDC4032/ "%USERPROFILE%\AppData\Local\Temp\OnboardLogs"\RTDC4032\2016-11-04 --exclude "*" --recursive --include "*20161104*" &amp; "%USERPROFILE%\Documents\GitHub\mrs-test-scripts\Headless Mode &amp; Sideloading\WalkAndUnGZ.bat" "%USERPROFILE%\AppData\Local\Temp\OnboardLogs"\RTDC4032\2016-11-04 &amp; aws s3 cp s3://rtdc.mdm.uploadarchive.raw/RTDC4032/ "%USERPROFILE%\AppData\Local\Temp\OnboardLogs"\RTDC4032\2016-11-05 --exclude "*" --recursive --include "*20161105*" &amp; "%USERPROFILE%\Documents\GitHub\mrs-test-scripts\Headless Mode &amp; Sideloading\WalkAndUnGZ.bat" "%USERPROFILE%\AppData\Local\Temp\OnboardLogs"\RTDC4032\2016-11-05</v>
      </c>
      <c r="AF230" s="88" t="str">
        <f t="shared" si="66"/>
        <v>"C:\Program Files (x86)\AstroGrep\AstroGrep.exe" /spath="%USERPROFILE%\AppData\Local\Temp\OnboardLogs" /stypes="app*4032*20161105*" /stext=" 00:.+((SYSTEM_STATE.+slice.+state.+changed )|(ment ac)|(system.+state.+changed )|(\[timeout)|(PRM\|1\|D)|(kpr)|(kdp)|(\|loc)|(penalty))" /e /r /s</v>
      </c>
      <c r="AG230" s="1" t="str">
        <f t="shared" si="67"/>
        <v>Other</v>
      </c>
      <c r="AH230" s="92" t="str">
        <f t="shared" si="68"/>
        <v>"%USERPROFILE%\Documents\GitHub\eaglep3\Utilities\RefineRTDCRunTimes.py" --tripid 56-04 --locoid 4032 --swversion DE.1.0.8.0 --startMP 300:22159 --initTime 2016-11-04T18:02:12 --startdatetime 2016-11-04T18:03:56 --delay 1 --endMP 204:891 --enddatetime 2016-11-04T18:14:56 --enforcementcount 0 &gt;&gt;C:\Users\stu\Documents\GitHub\eaglep3-reporting\EC\2016-11-04-refined-times.txt</v>
      </c>
      <c r="AI230" s="122" t="str">
        <f t="shared" si="69"/>
        <v>echo {"issue":{"subject":"","project_id":79,"tracker_id":40,"status_id":1,"priority_id":2,"assigned_to_id":23,"start_date":"2016-11-04","description":"","custom_fields":[{"id":1,"name":"Subdivision","value":"Other"},{"id":4,"name":"Milepost","value":"0.0891"},{"id":17,"name":"Train ID","value":"56-04"},{"id":16,"name":"Locomotive ID","value":"4032"},{"id":130,"name":"Impact","value":""},{"id":150,"name":"Time of Event (Mountain Time)","value":"18:14:56"},{"id":151,"name":"Denver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573</v>
      </c>
      <c r="B231" s="7">
        <v>4046</v>
      </c>
      <c r="C231" s="22" t="s">
        <v>239</v>
      </c>
      <c r="D231" s="22" t="s">
        <v>712</v>
      </c>
      <c r="E231" s="13">
        <v>42678.714583333334</v>
      </c>
      <c r="F231" s="13">
        <v>25568.708333333332</v>
      </c>
      <c r="G231" s="7">
        <v>1</v>
      </c>
      <c r="H231" s="22" t="s">
        <v>713</v>
      </c>
      <c r="I231" s="13">
        <v>25568.708333333332</v>
      </c>
      <c r="J231" s="7">
        <v>0</v>
      </c>
      <c r="K231" s="112" t="str">
        <f t="shared" si="53"/>
        <v>4045/4046</v>
      </c>
      <c r="L231" s="22" t="str">
        <f>VLOOKUP(A231,'Trips&amp;Operators'!$C$1:$E$10000,3,FALSE)</f>
        <v>OUN</v>
      </c>
      <c r="M231" s="6">
        <f t="shared" si="54"/>
        <v>0</v>
      </c>
      <c r="N231" s="7">
        <f t="shared" si="55"/>
        <v>0</v>
      </c>
      <c r="O231" s="7"/>
      <c r="P231" s="7"/>
      <c r="Q231" s="23"/>
      <c r="R231" s="23"/>
      <c r="S231" s="35">
        <f t="shared" si="56"/>
        <v>0</v>
      </c>
      <c r="T231" s="50" t="e">
        <f t="shared" si="57"/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https://search-rtdc-monitor-bjffxe2xuh6vdkpspy63sjmuny.us-east-1.es.amazonaws.com/_plugin/kibana/#/discover/Steve-Slow-Train-Analysis-(2080s-and-2083s)?_g=(refreshInterval:(display:Off,section:0,value:0),time:(from:'2016-11-04 16:09:00-0600',mode:absolute,to:'1969-12-31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31" s="52" t="str">
        <f t="shared" si="59"/>
        <v>Y</v>
      </c>
      <c r="X231" s="177" t="e">
        <f t="shared" si="60"/>
        <v>#VALUE!</v>
      </c>
      <c r="Y231" s="67">
        <f t="shared" si="61"/>
        <v>0.14940000000000001</v>
      </c>
      <c r="Z231" s="67">
        <f t="shared" si="62"/>
        <v>2.3346</v>
      </c>
      <c r="AA231" s="67">
        <f t="shared" si="63"/>
        <v>2.1852</v>
      </c>
      <c r="AB231" s="64" t="e">
        <f>VLOOKUP(A231,Enforcements!$C$7:$K$21,8,0)</f>
        <v>#N/A</v>
      </c>
      <c r="AC231" s="60" t="e">
        <f>VLOOKUP(A231,Enforcements!$C$7:$E$21,3,0)</f>
        <v>#N/A</v>
      </c>
      <c r="AD231" s="61" t="str">
        <f t="shared" si="64"/>
        <v>67-04</v>
      </c>
      <c r="AE231" s="91" t="str">
        <f t="shared" si="65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31" s="88" t="str">
        <f t="shared" si="66"/>
        <v>"C:\Program Files (x86)\AstroGrep\AstroGrep.exe" /spath="%USERPROFILE%\AppData\Local\Temp\OnboardLogs" /stypes="app*4046*19691231*" /stext=" 23:.+((SYSTEM_STATE.+slice.+state.+changed )|(ment ac)|(system.+state.+changed )|(\[timeout)|(PRM\|1\|D)|(kpr)|(kdp)|(\|loc)|(penalty))" /e /r /s</v>
      </c>
      <c r="AG231" s="1" t="str">
        <f t="shared" si="67"/>
        <v>Other</v>
      </c>
      <c r="AH231" s="92" t="str">
        <f t="shared" si="68"/>
        <v>"%USERPROFILE%\Documents\GitHub\eaglep3\Utilities\RefineRTDCRunTimes.py" --tripid 67-04 --locoid 4046 --swversion DE.1.0.8.0 --startMP 204:1494 --initTime 2016-11-04T17:09:00 --startdatetime 1969-12-31T17:00:00 --delay 1 --endMP 300:23346 --enddatetime 1969-12-31T17:00:00 --enforcementcount 0 &gt;&gt;C:\Users\stu\Documents\GitHub\eaglep3-reporting\EC\2016-11-04-refined-times.txt</v>
      </c>
      <c r="AI231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ID","value":"67-04"},{"id":16,"name":"Locomotive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</sheetData>
  <autoFilter ref="A12:AG259">
    <sortState ref="A13:AG263">
      <sortCondition ref="AG13:AG235"/>
      <sortCondition ref="AD13:AD235"/>
    </sortState>
  </autoFilter>
  <sortState ref="A13:AH200">
    <sortCondition ref="AG13:AG200"/>
    <sortCondition ref="AD13:AD200"/>
  </sortState>
  <mergeCells count="1">
    <mergeCell ref="A11:P11"/>
  </mergeCells>
  <conditionalFormatting sqref="W11:W12 W260:X1048576 W13:X231">
    <cfRule type="cellIs" dxfId="18" priority="344" operator="equal">
      <formula>"Y"</formula>
    </cfRule>
  </conditionalFormatting>
  <conditionalFormatting sqref="X260:X1048576 X13:X231">
    <cfRule type="cellIs" dxfId="17" priority="327" operator="greaterThan">
      <formula>1</formula>
    </cfRule>
  </conditionalFormatting>
  <conditionalFormatting sqref="X260:X1048576 X12:X231">
    <cfRule type="cellIs" dxfId="16" priority="324" operator="equal">
      <formula>0</formula>
    </cfRule>
  </conditionalFormatting>
  <conditionalFormatting sqref="A13:S231">
    <cfRule type="expression" dxfId="15" priority="318" stopIfTrue="1">
      <formula>$P13&gt;0</formula>
    </cfRule>
    <cfRule type="expression" dxfId="14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AK13:AK231</xm:sqref>
        </x14:dataValidation>
        <x14:dataValidation type="list" allowBlank="1" showInputMessage="1" showErrorMessage="1">
          <x14:formula1>
            <xm:f>'Redmine List Values'!$C$2:$C$15</xm:f>
          </x14:formula1>
          <xm:sqref>AL13:AL231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8"/>
  <sheetViews>
    <sheetView tabSelected="1" topLeftCell="A2" workbookViewId="0">
      <selection activeCell="A7" sqref="A7:P1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3.5703125" style="138" bestFit="1" customWidth="1"/>
    <col min="15" max="15" width="5.140625" style="169" customWidth="1"/>
    <col min="16" max="16" width="31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9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1">
        <f>COUNTIF($O$7:$O$337,"=Y")</f>
        <v>4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2">
        <f>COUNTA($O$7:$O$337)-O2</f>
        <v>35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9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5" t="str">
        <f>"Eagle P3 Braking Events - "&amp;TEXT(Variables!$A$2,"YYYY-mm-dd")</f>
        <v>Eagle P3 Braking Events - 2016-11-04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158</v>
      </c>
      <c r="J6" s="140" t="s">
        <v>30</v>
      </c>
      <c r="K6" s="140" t="s">
        <v>29</v>
      </c>
      <c r="L6" s="140" t="s">
        <v>28</v>
      </c>
      <c r="M6" s="125" t="s">
        <v>159</v>
      </c>
      <c r="N6" s="155" t="s">
        <v>47</v>
      </c>
      <c r="O6" s="183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148</v>
      </c>
      <c r="Z6" s="132" t="s">
        <v>149</v>
      </c>
      <c r="AA6" s="132" t="s">
        <v>122</v>
      </c>
      <c r="AB6" s="132" t="s">
        <v>150</v>
      </c>
      <c r="AC6" s="144" t="s">
        <v>180</v>
      </c>
    </row>
    <row r="7" spans="1:29" s="1" customFormat="1" x14ac:dyDescent="0.25">
      <c r="A7" s="36">
        <v>42678.723321759258</v>
      </c>
      <c r="B7" s="31" t="s">
        <v>241</v>
      </c>
      <c r="C7" s="31" t="s">
        <v>424</v>
      </c>
      <c r="D7" s="31" t="s">
        <v>49</v>
      </c>
      <c r="E7" s="31" t="s">
        <v>154</v>
      </c>
      <c r="F7" s="47">
        <v>0</v>
      </c>
      <c r="G7" s="47">
        <v>226</v>
      </c>
      <c r="H7" s="47">
        <v>26805</v>
      </c>
      <c r="I7" s="47">
        <v>27173</v>
      </c>
      <c r="J7" s="31" t="s">
        <v>153</v>
      </c>
      <c r="K7" s="47">
        <v>27053</v>
      </c>
      <c r="L7" s="157" t="s">
        <v>50</v>
      </c>
      <c r="M7" s="158">
        <f t="shared" ref="M7:M45" si="0">CONVERT((I7-K7)/10000,"mi","ft")*IF(L7="Increasing Mileposts (1)",-1,1)</f>
        <v>-63.36</v>
      </c>
      <c r="N7" s="159" t="str">
        <f>VLOOKUP(C7,'Trips&amp;Operators'!$C$1:$E$99999,3,FALSE)</f>
        <v>ADANE</v>
      </c>
      <c r="O7" s="184" t="s">
        <v>213</v>
      </c>
      <c r="P7" s="160" t="s">
        <v>803</v>
      </c>
      <c r="Q7" s="31"/>
      <c r="R7" s="100" t="str">
        <f>VLOOKUP(C7,'Train Runs'!$A$13:$AE$10003,31,0)</f>
        <v>aws s3 cp s3://rtdc.mdm.uploadarchive.raw/RTDC4038/ "%USERPROFILE%\AppData\Local\Temp\OnboardLogs"\RTDC4038\2016-11-04 --exclude "*" --recursive --include "*20161104*" &amp; "%USERPROFILE%\Documents\GitHub\mrs-test-scripts\Headless Mode &amp; Sideloading\WalkAndUnGZ.bat" "%USERPROFILE%\AppData\Local\Temp\OnboardLogs"\RTDC4038\2016-11-04 &amp; aws s3 cp s3://rtdc.mdm.uploadarchive.raw/RTDC4038/ "%USERPROFILE%\AppData\Local\Temp\OnboardLogs"\RTDC4038\2016-11-05 --exclude "*" --recursive --include "*20161105*" &amp; "%USERPROFILE%\Documents\GitHub\mrs-test-scripts\Headless Mode &amp; Sideloading\WalkAndUnGZ.bat" "%USERPROFILE%\AppData\Local\Temp\OnboardLogs"\RTDC4038\2016-11-05</v>
      </c>
      <c r="S7" s="103" t="str">
        <f>VLOOKUP(C7,'Train Runs'!$A$13:$AE$10003,22,0)</f>
        <v>https://search-rtdc-monitor-bjffxe2xuh6vdkpspy63sjmuny.us-east-1.es.amazonaws.com/_plugin/kibana/#/discover/Steve-Slow-Train-Analysis-(2080s-and-2083s)?_g=(refreshInterval:(display:Off,section:0,value:0),time:(from:'2016-11-04 16:12:03-0600',mode:absolute,to:'2016-11-04 18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7" s="105" t="str">
        <f t="shared" ref="T7:T45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/stypes="*4038*201611042*" /stext=" 23:.+((SYSTEM_STATE.+slice.+state.+changed )|(ment ac)|(system.+state.+changed )|(\[timeout)|(PRM\|1\|D)|(kpr)|(kdp)|(\|loc)|(penalty))" /e /r /s</v>
      </c>
      <c r="U7" s="9" t="str">
        <f t="shared" ref="U7:U45" si="2">MID(B7,13,4)</f>
        <v>4038</v>
      </c>
      <c r="V7" s="36">
        <f t="shared" ref="V7:V45" si="3">A7+6/24</f>
        <v>42678.973321759258</v>
      </c>
      <c r="W7" s="50" t="str">
        <f t="shared" ref="W7:W45" si="4">IF(VALUE(LEFT(IF(LEN(C7)=6,"0"&amp;C7,C7),2))&lt;=2,"EC",IF(OR(VALUE(LEFT(IF(LEN(C7)=6,"0"&amp;C7,C7),2))=8,VALUE(LEFT(IF(LEN(C7)=6,"0"&amp;C7,C7),2))=18),"NW","Other"))</f>
        <v>EC</v>
      </c>
      <c r="X7" s="50" t="str">
        <f t="shared" ref="X7:X45" si="5">IF(AND(E7="TRACK WARRANT AUTHORITY",G7&lt;10),"OMIT","KEEP")</f>
        <v>KEEP</v>
      </c>
      <c r="Y7" s="122" t="str">
        <f t="shared" ref="Y7:Y4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arrival; didn't slow down quickly enough","project_id":79,"tracker_id":40,"status_id":1,"priority_id":2,"assigned_to_id":23,"start_date":"2016-11-04","description":"","custom_fields":[{"id":1,"name":"Subdivision","value":"EC"},{"id":4,"name":"Milepost","value":"2.7053"},{"id":17,"name":"Train ID","value":"209-04"},{"id":16,"name":"Locomotive ID","value":"4038"},{"id":130,"name":"Impact","value":""},{"id":150,"name":"Time of Event (Mountain Time)","value":"17:21:35"},{"id":151,"name":"Denver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1" t="str">
        <f t="shared" ref="AC7:AC45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"%USERPROFILE%\AppData\Local\Temp\OnboardLogs"\RTDC4038\*4038*201611042* | grep -SE "((Enforcement Ac)|(PRM))" -</v>
      </c>
    </row>
    <row r="8" spans="1:29" s="1" customFormat="1" x14ac:dyDescent="0.25">
      <c r="A8" s="36">
        <v>42678.984571759262</v>
      </c>
      <c r="B8" s="31" t="s">
        <v>191</v>
      </c>
      <c r="C8" s="31" t="s">
        <v>434</v>
      </c>
      <c r="D8" s="31" t="s">
        <v>98</v>
      </c>
      <c r="E8" s="31" t="s">
        <v>154</v>
      </c>
      <c r="F8" s="47">
        <v>180</v>
      </c>
      <c r="G8" s="47">
        <v>233</v>
      </c>
      <c r="H8" s="47">
        <v>30947</v>
      </c>
      <c r="I8" s="47">
        <v>31494</v>
      </c>
      <c r="J8" s="31" t="s">
        <v>153</v>
      </c>
      <c r="K8" s="47">
        <v>30830</v>
      </c>
      <c r="L8" s="157" t="s">
        <v>50</v>
      </c>
      <c r="M8" s="158">
        <f t="shared" si="0"/>
        <v>-350.59199999999998</v>
      </c>
      <c r="N8" s="159" t="str">
        <f>VLOOKUP(C8,'Trips&amp;Operators'!$C$1:$E$99999,3,FALSE)</f>
        <v>MAGEE</v>
      </c>
      <c r="O8" s="184" t="s">
        <v>213</v>
      </c>
      <c r="P8" s="160" t="s">
        <v>802</v>
      </c>
      <c r="Q8" s="31"/>
      <c r="R8" s="100" t="str">
        <f>VLOOKUP(C8,'Train Runs'!$A$13:$AE$10003,31,0)</f>
        <v>aws s3 cp s3://rtdc.mdm.uploadarchive.raw/RTDC4007/ "%USERPROFILE%\AppData\Local\Temp\OnboardLogs"\RTDC4007\2016-11-04 --exclude "*" --recursive --include "*20161104*" &amp; "%USERPROFILE%\Documents\GitHub\mrs-test-scripts\Headless Mode &amp; Sideloading\WalkAndUnGZ.bat" "%USERPROFILE%\AppData\Local\Temp\OnboardLogs"\RTDC4007\2016-11-04 &amp; aws s3 cp s3://rtdc.mdm.uploadarchive.raw/RTDC4007/ "%USERPROFILE%\AppData\Local\Temp\OnboardLogs"\RTDC4007\2016-11-05 --exclude "*" --recursive --include "*20161105*" &amp; "%USERPROFILE%\Documents\GitHub\mrs-test-scripts\Headless Mode &amp; Sideloading\WalkAndUnGZ.bat" "%USERPROFILE%\AppData\Local\Temp\OnboardLogs"\RTDC4007\2016-11-05</v>
      </c>
      <c r="S8" s="103" t="str">
        <f>VLOOKUP(C8,'Train Runs'!$A$13:$AE$10003,22,0)</f>
        <v>https://search-rtdc-monitor-bjffxe2xuh6vdkpspy63sjmuny.us-east-1.es.amazonaws.com/_plugin/kibana/#/discover/Steve-Slow-Train-Analysis-(2080s-and-2083s)?_g=(refreshInterval:(display:Off,section:0,value:0),time:(from:'2016-11-04 22:04:35-0600',mode:absolute,to:'2016-11-05 01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8" s="105" t="str">
        <f t="shared" si="1"/>
        <v>"C:\Program Files (x86)\AstroGrep\AstroGrep.exe" /spath="%USERPROFILE%\AppData\Local\Temp\OnboardLogs" /stypes="*4007*201611050*" /stext=" 05:.+((SYSTEM_STATE.+slice.+state.+changed )|(ment ac)|(system.+state.+changed )|(\[timeout)|(PRM\|1\|D)|(kpr)|(kdp)|(\|loc)|(penalty))" /e /r /s</v>
      </c>
      <c r="U8" s="9" t="str">
        <f t="shared" si="2"/>
        <v>4007</v>
      </c>
      <c r="V8" s="36">
        <f t="shared" si="3"/>
        <v>42679.234571759262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arrival; accelerated before clearing crossing","project_id":79,"tracker_id":40,"status_id":1,"priority_id":2,"assigned_to_id":23,"start_date":"2016-11-04","description":"","custom_fields":[{"id":1,"name":"Subdivision","value":"EC"},{"id":4,"name":"Milepost","value":"3.083"},{"id":17,"name":"Train ID","value":"239-04"},{"id":16,"name":"Locomotive ID","value":"4007"},{"id":130,"name":"Impact","value":""},{"id":150,"name":"Time of Event (Mountain Time)","value":"23:37:47"},{"id":151,"name":"Denver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"%USERPROFILE%\AppData\Local\Temp\OnboardLogs"\RTDC4007\*4007*201611050* | grep -SE "((Enforcement Ac)|(PRM))" -</v>
      </c>
    </row>
    <row r="9" spans="1:29" s="1" customFormat="1" x14ac:dyDescent="0.25">
      <c r="A9" s="36">
        <v>42678.235266203701</v>
      </c>
      <c r="B9" s="31" t="s">
        <v>191</v>
      </c>
      <c r="C9" s="31" t="s">
        <v>406</v>
      </c>
      <c r="D9" s="31" t="s">
        <v>49</v>
      </c>
      <c r="E9" s="31" t="s">
        <v>154</v>
      </c>
      <c r="F9" s="47">
        <v>0</v>
      </c>
      <c r="G9" s="47">
        <v>268</v>
      </c>
      <c r="H9" s="47">
        <v>32899</v>
      </c>
      <c r="I9" s="47">
        <v>33371</v>
      </c>
      <c r="J9" s="31" t="s">
        <v>153</v>
      </c>
      <c r="K9" s="47">
        <v>33137</v>
      </c>
      <c r="L9" s="157" t="s">
        <v>50</v>
      </c>
      <c r="M9" s="158">
        <f t="shared" si="0"/>
        <v>-123.55200000000001</v>
      </c>
      <c r="N9" s="159" t="str">
        <f>VLOOKUP(C9,'Trips&amp;Operators'!$C$1:$E$99999,3,FALSE)</f>
        <v>NELSON</v>
      </c>
      <c r="O9" s="184" t="s">
        <v>213</v>
      </c>
      <c r="P9" s="160" t="s">
        <v>803</v>
      </c>
      <c r="Q9" s="31"/>
      <c r="R9" s="100" t="str">
        <f>VLOOKUP(C9,'Train Runs'!$A$13:$AE$10003,31,0)</f>
        <v>aws s3 cp s3://rtdc.mdm.uploadarchive.raw/RTDC4007/ "%USERPROFILE%\AppData\Local\Temp\OnboardLogs"\RTDC4007\2016-11-04 --exclude "*" --recursive --include "*20161104*" &amp; "%USERPROFILE%\Documents\GitHub\mrs-test-scripts\Headless Mode &amp; Sideloading\WalkAndUnGZ.bat" "%USERPROFILE%\AppData\Local\Temp\OnboardLogs"\RTDC4007\2016-11-04 &amp; aws s3 cp s3://rtdc.mdm.uploadarchive.raw/RTDC4007/ "%USERPROFILE%\AppData\Local\Temp\OnboardLogs"\RTDC4007\2016-11-05 --exclude "*" --recursive --include "*20161105*" &amp; "%USERPROFILE%\Documents\GitHub\mrs-test-scripts\Headless Mode &amp; Sideloading\WalkAndUnGZ.bat" "%USERPROFILE%\AppData\Local\Temp\OnboardLogs"\RTDC4007\2016-11-05</v>
      </c>
      <c r="S9" s="103" t="str">
        <f>VLOOKUP(C9,'Train Runs'!$A$13:$AE$10003,22,0)</f>
        <v>https://search-rtdc-monitor-bjffxe2xuh6vdkpspy63sjmuny.us-east-1.es.amazonaws.com/_plugin/kibana/#/discover/Steve-Slow-Train-Analysis-(2080s-and-2083s)?_g=(refreshInterval:(display:Off,section:0,value:0),time:(from:'2016-11-04 04:26:16-0600',mode:absolute,to:'2016-11-04 07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9" s="105" t="str">
        <f t="shared" si="1"/>
        <v>"C:\Program Files (x86)\AstroGrep\AstroGrep.exe" /spath="%USERPROFILE%\AppData\Local\Temp\OnboardLogs" /stypes="*4007*201611041*" /stext=" 11:.+((SYSTEM_STATE.+slice.+state.+changed )|(ment ac)|(system.+state.+changed )|(\[timeout)|(PRM\|1\|D)|(kpr)|(kdp)|(\|loc)|(penalty))" /e /r /s</v>
      </c>
      <c r="U9" s="9" t="str">
        <f t="shared" si="2"/>
        <v>4007</v>
      </c>
      <c r="V9" s="36">
        <f t="shared" si="3"/>
        <v>42678.485266203701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arrival; didn't slow down quickly enough","project_id":79,"tracker_id":40,"status_id":1,"priority_id":2,"assigned_to_id":23,"start_date":"2016-11-04","description":"","custom_fields":[{"id":1,"name":"Subdivision","value":"EC"},{"id":4,"name":"Milepost","value":"3.3137"},{"id":17,"name":"Train ID","value":"115-04"},{"id":16,"name":"Locomotive ID","value":"4007"},{"id":130,"name":"Impact","value":""},{"id":150,"name":"Time of Event (Mountain Time)","value":"05:38:47"},{"id":151,"name":"Denver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"%USERPROFILE%\AppData\Local\Temp\OnboardLogs"\RTDC4007\*4007*201611041* | grep -SE "((Enforcement Ac)|(PRM))" -</v>
      </c>
    </row>
    <row r="10" spans="1:29" s="1" customFormat="1" x14ac:dyDescent="0.25">
      <c r="A10" s="36">
        <v>42678.756111111114</v>
      </c>
      <c r="B10" s="31" t="s">
        <v>246</v>
      </c>
      <c r="C10" s="31" t="s">
        <v>427</v>
      </c>
      <c r="D10" s="31" t="s">
        <v>49</v>
      </c>
      <c r="E10" s="31" t="s">
        <v>154</v>
      </c>
      <c r="F10" s="47">
        <v>290</v>
      </c>
      <c r="G10" s="47">
        <v>340</v>
      </c>
      <c r="H10" s="47">
        <v>31903</v>
      </c>
      <c r="I10" s="47">
        <v>32715</v>
      </c>
      <c r="J10" s="31" t="s">
        <v>153</v>
      </c>
      <c r="K10" s="47">
        <v>33137</v>
      </c>
      <c r="L10" s="157" t="s">
        <v>50</v>
      </c>
      <c r="M10" s="158">
        <f t="shared" si="0"/>
        <v>222.816</v>
      </c>
      <c r="N10" s="159" t="str">
        <f>VLOOKUP(C10,'Trips&amp;Operators'!$C$1:$E$99999,3,FALSE)</f>
        <v>MACDONALD</v>
      </c>
      <c r="O10" s="184" t="s">
        <v>213</v>
      </c>
      <c r="P10" s="160" t="s">
        <v>801</v>
      </c>
      <c r="Q10" s="31"/>
      <c r="R10" s="100" t="str">
        <f>VLOOKUP(C10,'Train Runs'!$A$13:$AE$10003,31,0)</f>
        <v>aws s3 cp s3://rtdc.mdm.uploadarchive.raw/RTDC4022/ "%USERPROFILE%\AppData\Local\Temp\OnboardLogs"\RTDC4022\2016-11-04 --exclude "*" --recursive --include "*20161104*" &amp; "%USERPROFILE%\Documents\GitHub\mrs-test-scripts\Headless Mode &amp; Sideloading\WalkAndUnGZ.bat" "%USERPROFILE%\AppData\Local\Temp\OnboardLogs"\RTDC4022\2016-11-04 &amp; aws s3 cp s3://rtdc.mdm.uploadarchive.raw/RTDC4022/ "%USERPROFILE%\AppData\Local\Temp\OnboardLogs"\RTDC4022\2016-11-05 --exclude "*" --recursive --include "*20161105*" &amp; "%USERPROFILE%\Documents\GitHub\mrs-test-scripts\Headless Mode &amp; Sideloading\WalkAndUnGZ.bat" "%USERPROFILE%\AppData\Local\Temp\OnboardLogs"\RTDC4022\2016-11-05</v>
      </c>
      <c r="S10" s="103" t="str">
        <f>VLOOKUP(C10,'Train Runs'!$A$13:$AE$10003,22,0)</f>
        <v>https://search-rtdc-monitor-bjffxe2xuh6vdkpspy63sjmuny.us-east-1.es.amazonaws.com/_plugin/kibana/#/discover/Steve-Slow-Train-Analysis-(2080s-and-2083s)?_g=(refreshInterval:(display:Off,section:0,value:0),time:(from:'2016-11-04 17:25:52-0600',mode:absolute,to:'2016-11-04 19:32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10" s="105" t="str">
        <f t="shared" si="1"/>
        <v>"C:\Program Files (x86)\AstroGrep\AstroGrep.exe" /spath="%USERPROFILE%\AppData\Local\Temp\OnboardLogs" /stypes="*4022*201611050*" /stext=" 00:.+((SYSTEM_STATE.+slice.+state.+changed )|(ment ac)|(system.+state.+changed )|(\[timeout)|(PRM\|1\|D)|(kpr)|(kdp)|(\|loc)|(penalty))" /e /r /s</v>
      </c>
      <c r="U10" s="9" t="str">
        <f t="shared" si="2"/>
        <v>4022</v>
      </c>
      <c r="V10" s="36">
        <f t="shared" si="3"/>
        <v>42679.006111111114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{"issue":{"subject":"Early arrival; accelerated into crossing","project_id":79,"tracker_id":40,"status_id":1,"priority_id":2,"assigned_to_id":23,"start_date":"2016-11-04","description":"","custom_fields":[{"id":1,"name":"Subdivision","value":"EC"},{"id":4,"name":"Milepost","value":"3.3137"},{"id":17,"name":"Train ID","value":"215-04"},{"id":16,"name":"Locomotive ID","value":"4022"},{"id":130,"name":"Impact","value":""},{"id":150,"name":"Time of Event (Mountain Time)","value":"18:08:48"},{"id":151,"name":"Denver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"%USERPROFILE%\AppData\Local\Temp\OnboardLogs"\RTDC4022\*4022*201611050* | grep -SE "((Enforcement Ac)|(PRM))" -</v>
      </c>
    </row>
    <row r="11" spans="1:29" s="1" customFormat="1" x14ac:dyDescent="0.25">
      <c r="A11" s="36">
        <v>42678.30914351852</v>
      </c>
      <c r="B11" s="31" t="s">
        <v>225</v>
      </c>
      <c r="C11" s="31" t="s">
        <v>410</v>
      </c>
      <c r="D11" s="31" t="s">
        <v>49</v>
      </c>
      <c r="E11" s="31" t="s">
        <v>154</v>
      </c>
      <c r="F11" s="47">
        <v>0</v>
      </c>
      <c r="G11" s="47">
        <v>249</v>
      </c>
      <c r="H11" s="47">
        <v>33439</v>
      </c>
      <c r="I11" s="47">
        <v>33095</v>
      </c>
      <c r="J11" s="31" t="s">
        <v>153</v>
      </c>
      <c r="K11" s="47">
        <v>33257</v>
      </c>
      <c r="L11" s="157" t="s">
        <v>51</v>
      </c>
      <c r="M11" s="158">
        <f t="shared" si="0"/>
        <v>-85.536000000000001</v>
      </c>
      <c r="N11" s="159" t="str">
        <f>VLOOKUP(C11,'Trips&amp;Operators'!$C$1:$E$99999,3,FALSE)</f>
        <v>MALAVE</v>
      </c>
      <c r="O11" s="184" t="s">
        <v>213</v>
      </c>
      <c r="P11" s="160" t="s">
        <v>803</v>
      </c>
      <c r="Q11" s="31"/>
      <c r="R11" s="100" t="str">
        <f>VLOOKUP(C11,'Train Runs'!$A$13:$AE$10003,31,0)</f>
        <v>aws s3 cp s3://rtdc.mdm.uploadarchive.raw/RTDC4030/ "%USERPROFILE%\AppData\Local\Temp\OnboardLogs"\RTDC4030\2016-11-04 --exclude "*" --recursive --include "*20161104*" &amp; "%USERPROFILE%\Documents\GitHub\mrs-test-scripts\Headless Mode &amp; Sideloading\WalkAndUnGZ.bat" "%USERPROFILE%\AppData\Local\Temp\OnboardLogs"\RTDC4030\2016-11-04 &amp; aws s3 cp s3://rtdc.mdm.uploadarchive.raw/RTDC4030/ "%USERPROFILE%\AppData\Local\Temp\OnboardLogs"\RTDC4030\2016-11-05 --exclude "*" --recursive --include "*20161105*" &amp; "%USERPROFILE%\Documents\GitHub\mrs-test-scripts\Headless Mode &amp; Sideloading\WalkAndUnGZ.bat" "%USERPROFILE%\AppData\Local\Temp\OnboardLogs"\RTDC4030\2016-11-05</v>
      </c>
      <c r="S11" s="103" t="str">
        <f>VLOOKUP(C11,'Train Runs'!$A$13:$AE$10003,22,0)</f>
        <v>https://search-rtdc-monitor-bjffxe2xuh6vdkpspy63sjmuny.us-east-1.es.amazonaws.com/_plugin/kibana/#/discover/Steve-Slow-Train-Analysis-(2080s-and-2083s)?_g=(refreshInterval:(display:Off,section:0,value:0),time:(from:'2016-11-04 05:54:49-0600',mode:absolute,to:'2016-11-04 08:34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11" s="105" t="str">
        <f t="shared" si="1"/>
        <v>"C:\Program Files (x86)\AstroGrep\AstroGrep.exe" /spath="%USERPROFILE%\AppData\Local\Temp\OnboardLogs" /stypes="*4030*201611041*" /stext=" 13:.+((SYSTEM_STATE.+slice.+state.+changed )|(ment ac)|(system.+state.+changed )|(\[timeout)|(PRM\|1\|D)|(kpr)|(kdp)|(\|loc)|(penalty))" /e /r /s</v>
      </c>
      <c r="U11" s="9" t="str">
        <f t="shared" si="2"/>
        <v>4030</v>
      </c>
      <c r="V11" s="36">
        <f t="shared" si="3"/>
        <v>42678.55914351852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{"issue":{"subject":"Early arrival; didn't slow down quickly enough","project_id":79,"tracker_id":40,"status_id":1,"priority_id":2,"assigned_to_id":23,"start_date":"2016-11-04","description":"","custom_fields":[{"id":1,"name":"Subdivision","value":"EC"},{"id":4,"name":"Milepost","value":"3.3257"},{"id":17,"name":"Train ID","value":"120-04"},{"id":16,"name":"Locomotive ID","value":"4030"},{"id":130,"name":"Impact","value":""},{"id":150,"name":"Time of Event (Mountain Time)","value":"07:25:10"},{"id":151,"name":"Denver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 t="shared" si="7"/>
        <v>grep -hSE -A100 "Enforcement Action" "%USERPROFILE%\AppData\Local\Temp\OnboardLogs"\RTDC4030\*4030*201611041* | grep -SE "((Enforcement Ac)|(PRM))" -</v>
      </c>
    </row>
    <row r="12" spans="1:29" s="1" customFormat="1" x14ac:dyDescent="0.25">
      <c r="A12" s="36">
        <v>42678.72552083333</v>
      </c>
      <c r="B12" s="31" t="s">
        <v>286</v>
      </c>
      <c r="C12" s="31" t="s">
        <v>425</v>
      </c>
      <c r="D12" s="31" t="s">
        <v>49</v>
      </c>
      <c r="E12" s="31" t="s">
        <v>154</v>
      </c>
      <c r="F12" s="47">
        <v>0</v>
      </c>
      <c r="G12" s="47">
        <v>242</v>
      </c>
      <c r="H12" s="47">
        <v>33549</v>
      </c>
      <c r="I12" s="47">
        <v>33211</v>
      </c>
      <c r="J12" s="31" t="s">
        <v>153</v>
      </c>
      <c r="K12" s="47">
        <v>33257</v>
      </c>
      <c r="L12" s="157" t="s">
        <v>51</v>
      </c>
      <c r="M12" s="158">
        <f t="shared" si="0"/>
        <v>-24.288</v>
      </c>
      <c r="N12" s="159" t="str">
        <f>VLOOKUP(C12,'Trips&amp;Operators'!$C$1:$E$99999,3,FALSE)</f>
        <v>MACDONALD</v>
      </c>
      <c r="O12" s="184" t="s">
        <v>213</v>
      </c>
      <c r="P12" s="160" t="s">
        <v>803</v>
      </c>
      <c r="Q12" s="31"/>
      <c r="R12" s="100" t="str">
        <f>VLOOKUP(C12,'Train Runs'!$A$13:$AE$10003,31,0)</f>
        <v>aws s3 cp s3://rtdc.mdm.uploadarchive.raw/RTDC4008/ "%USERPROFILE%\AppData\Local\Temp\OnboardLogs"\RTDC4008\2016-11-04 --exclude "*" --recursive --include "*20161104*" &amp; "%USERPROFILE%\Documents\GitHub\mrs-test-scripts\Headless Mode &amp; Sideloading\WalkAndUnGZ.bat" "%USERPROFILE%\AppData\Local\Temp\OnboardLogs"\RTDC4008\2016-11-04 &amp; aws s3 cp s3://rtdc.mdm.uploadarchive.raw/RTDC4008/ "%USERPROFILE%\AppData\Local\Temp\OnboardLogs"\RTDC4008\2016-11-05 --exclude "*" --recursive --include "*20161105*" &amp; "%USERPROFILE%\Documents\GitHub\mrs-test-scripts\Headless Mode &amp; Sideloading\WalkAndUnGZ.bat" "%USERPROFILE%\AppData\Local\Temp\OnboardLogs"\RTDC4008\2016-11-05</v>
      </c>
      <c r="S12" s="103" t="str">
        <f>VLOOKUP(C12,'Train Runs'!$A$13:$AE$10003,22,0)</f>
        <v>https://search-rtdc-monitor-bjffxe2xuh6vdkpspy63sjmuny.us-east-1.es.amazonaws.com/_plugin/kibana/#/discover/Steve-Slow-Train-Analysis-(2080s-and-2083s)?_g=(refreshInterval:(display:Off,section:0,value:0),time:(from:'2016-11-04 15:49:31-0600',mode:absolute,to:'2016-11-04 18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2" s="105" t="str">
        <f t="shared" si="1"/>
        <v>"C:\Program Files (x86)\AstroGrep\AstroGrep.exe" /spath="%USERPROFILE%\AppData\Local\Temp\OnboardLogs" /stypes="*4008*201611042*" /stext=" 23:.+((SYSTEM_STATE.+slice.+state.+changed )|(ment ac)|(system.+state.+changed )|(\[timeout)|(PRM\|1\|D)|(kpr)|(kdp)|(\|loc)|(penalty))" /e /r /s</v>
      </c>
      <c r="U12" s="9" t="str">
        <f t="shared" si="2"/>
        <v>4008</v>
      </c>
      <c r="V12" s="36">
        <f t="shared" si="3"/>
        <v>42678.97552083333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{"issue":{"subject":"Early arrival; didn't slow down quickly enough","project_id":79,"tracker_id":40,"status_id":1,"priority_id":2,"assigned_to_id":23,"start_date":"2016-11-04","description":"","custom_fields":[{"id":1,"name":"Subdivision","value":"EC"},{"id":4,"name":"Milepost","value":"3.3257"},{"id":17,"name":"Train ID","value":"200-04"},{"id":16,"name":"Locomotive ID","value":"4008"},{"id":130,"name":"Impact","value":""},{"id":150,"name":"Time of Event (Mountain Time)","value":"17:24:45"},{"id":151,"name":"Denver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"%USERPROFILE%\AppData\Local\Temp\OnboardLogs"\RTDC4008\*4008*201611042* | grep -SE "((Enforcement Ac)|(PRM))" -</v>
      </c>
    </row>
    <row r="13" spans="1:29" s="1" customFormat="1" x14ac:dyDescent="0.25">
      <c r="A13" s="36">
        <v>42678.862766203703</v>
      </c>
      <c r="B13" s="31" t="s">
        <v>288</v>
      </c>
      <c r="C13" s="31" t="s">
        <v>431</v>
      </c>
      <c r="D13" s="31" t="s">
        <v>49</v>
      </c>
      <c r="E13" s="31" t="s">
        <v>154</v>
      </c>
      <c r="F13" s="47">
        <v>0</v>
      </c>
      <c r="G13" s="47">
        <v>398</v>
      </c>
      <c r="H13" s="47">
        <v>42413</v>
      </c>
      <c r="I13" s="47">
        <v>43443</v>
      </c>
      <c r="J13" s="31" t="s">
        <v>153</v>
      </c>
      <c r="K13" s="47">
        <v>42779</v>
      </c>
      <c r="L13" s="157" t="s">
        <v>50</v>
      </c>
      <c r="M13" s="158">
        <f t="shared" si="0"/>
        <v>-350.59199999999998</v>
      </c>
      <c r="N13" s="159" t="str">
        <f>VLOOKUP(C13,'Trips&amp;Operators'!$C$1:$E$99999,3,FALSE)</f>
        <v>STAMBAUGH</v>
      </c>
      <c r="O13" s="184" t="s">
        <v>213</v>
      </c>
      <c r="P13" s="160" t="s">
        <v>803</v>
      </c>
      <c r="Q13" s="31"/>
      <c r="R13" s="100" t="str">
        <f>VLOOKUP(C13,'Train Runs'!$A$13:$AE$10003,31,0)</f>
        <v>aws s3 cp s3://rtdc.mdm.uploadarchive.raw/RTDC4042/ "%USERPROFILE%\AppData\Local\Temp\OnboardLogs"\RTDC4042\2016-11-04 --exclude "*" --recursive --include "*20161104*" &amp; "%USERPROFILE%\Documents\GitHub\mrs-test-scripts\Headless Mode &amp; Sideloading\WalkAndUnGZ.bat" "%USERPROFILE%\AppData\Local\Temp\OnboardLogs"\RTDC4042\2016-11-04 &amp; aws s3 cp s3://rtdc.mdm.uploadarchive.raw/RTDC4042/ "%USERPROFILE%\AppData\Local\Temp\OnboardLogs"\RTDC4042\2016-11-05 --exclude "*" --recursive --include "*20161105*" &amp; "%USERPROFILE%\Documents\GitHub\mrs-test-scripts\Headless Mode &amp; Sideloading\WalkAndUnGZ.bat" "%USERPROFILE%\AppData\Local\Temp\OnboardLogs"\RTDC4042\2016-11-05</v>
      </c>
      <c r="S13" s="103" t="str">
        <f>VLOOKUP(C13,'Train Runs'!$A$13:$AE$10003,22,0)</f>
        <v>https://search-rtdc-monitor-bjffxe2xuh6vdkpspy63sjmuny.us-east-1.es.amazonaws.com/_plugin/kibana/#/discover/Steve-Slow-Train-Analysis-(2080s-and-2083s)?_g=(refreshInterval:(display:Off,section:0,value:0),time:(from:'2016-11-04 19:11:24-0600',mode:absolute,to:'2016-11-04 22:08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3" s="105" t="str">
        <f t="shared" si="1"/>
        <v>"C:\Program Files (x86)\AstroGrep\AstroGrep.exe" /spath="%USERPROFILE%\AppData\Local\Temp\OnboardLogs" /stypes="*4042*201611050*" /stext=" 02:.+((SYSTEM_STATE.+slice.+state.+changed )|(ment ac)|(system.+state.+changed )|(\[timeout)|(PRM\|1\|D)|(kpr)|(kdp)|(\|loc)|(penalty))" /e /r /s</v>
      </c>
      <c r="U13" s="9" t="str">
        <f t="shared" si="2"/>
        <v>4042</v>
      </c>
      <c r="V13" s="36">
        <f t="shared" si="3"/>
        <v>42679.112766203703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{"issue":{"subject":"Early arrival; didn't slow down quickly enough","project_id":79,"tracker_id":40,"status_id":1,"priority_id":2,"assigned_to_id":23,"start_date":"2016-11-04","description":"","custom_fields":[{"id":1,"name":"Subdivision","value":"EC"},{"id":4,"name":"Milepost","value":"4.2779"},{"id":17,"name":"Train ID","value":"227-04"},{"id":16,"name":"Locomotive ID","value":"4042"},{"id":130,"name":"Impact","value":""},{"id":150,"name":"Time of Event (Mountain Time)","value":"20:42:23"},{"id":151,"name":"Denver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"%USERPROFILE%\AppData\Local\Temp\OnboardLogs"\RTDC4042\*4042*201611050* | grep -SE "((Enforcement Ac)|(PRM))" -</v>
      </c>
    </row>
    <row r="14" spans="1:29" s="1" customFormat="1" x14ac:dyDescent="0.25">
      <c r="A14" s="36">
        <v>42678.337743055556</v>
      </c>
      <c r="B14" s="31" t="s">
        <v>229</v>
      </c>
      <c r="C14" s="31" t="s">
        <v>412</v>
      </c>
      <c r="D14" s="31" t="s">
        <v>49</v>
      </c>
      <c r="E14" s="31" t="s">
        <v>154</v>
      </c>
      <c r="F14" s="47">
        <v>400</v>
      </c>
      <c r="G14" s="47">
        <v>459</v>
      </c>
      <c r="H14" s="47">
        <v>54329</v>
      </c>
      <c r="I14" s="47">
        <v>53059</v>
      </c>
      <c r="J14" s="31" t="s">
        <v>153</v>
      </c>
      <c r="K14" s="47">
        <v>53277</v>
      </c>
      <c r="L14" s="157" t="s">
        <v>51</v>
      </c>
      <c r="M14" s="158">
        <f t="shared" si="0"/>
        <v>-115.104</v>
      </c>
      <c r="N14" s="159" t="str">
        <f>VLOOKUP(C14,'Trips&amp;Operators'!$C$1:$E$99999,3,FALSE)</f>
        <v>RICHARDSON</v>
      </c>
      <c r="O14" s="184" t="s">
        <v>213</v>
      </c>
      <c r="P14" s="160" t="s">
        <v>803</v>
      </c>
      <c r="Q14" s="31"/>
      <c r="R14" s="100" t="str">
        <f>VLOOKUP(C14,'Train Runs'!$A$13:$AE$10003,31,0)</f>
        <v>aws s3 cp s3://rtdc.mdm.uploadarchive.raw/RTDC4037/ "%USERPROFILE%\AppData\Local\Temp\OnboardLogs"\RTDC4037\2016-11-04 --exclude "*" --recursive --include "*20161104*" &amp; "%USERPROFILE%\Documents\GitHub\mrs-test-scripts\Headless Mode &amp; Sideloading\WalkAndUnGZ.bat" "%USERPROFILE%\AppData\Local\Temp\OnboardLogs"\RTDC4037\2016-11-04 &amp; aws s3 cp s3://rtdc.mdm.uploadarchive.raw/RTDC4037/ "%USERPROFILE%\AppData\Local\Temp\OnboardLogs"\RTDC4037\2016-11-05 --exclude "*" --recursive --include "*20161105*" &amp; "%USERPROFILE%\Documents\GitHub\mrs-test-scripts\Headless Mode &amp; Sideloading\WalkAndUnGZ.bat" "%USERPROFILE%\AppData\Local\Temp\OnboardLogs"\RTDC4037\2016-11-05</v>
      </c>
      <c r="S14" s="103" t="str">
        <f>VLOOKUP(C14,'Train Runs'!$A$13:$AE$10003,22,0)</f>
        <v>https://search-rtdc-monitor-bjffxe2xuh6vdkpspy63sjmuny.us-east-1.es.amazonaws.com/_plugin/kibana/#/discover/Steve-Slow-Train-Analysis-(2080s-and-2083s)?_g=(refreshInterval:(display:Off,section:0,value:0),time:(from:'2016-11-04 06:33:43-0600',mode:absolute,to:'2016-11-04 09:18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4" s="105" t="str">
        <f t="shared" si="1"/>
        <v>"C:\Program Files (x86)\AstroGrep\AstroGrep.exe" /spath="%USERPROFILE%\AppData\Local\Temp\OnboardLogs" /stypes="*4037*201611041*" /stext=" 14:.+((SYSTEM_STATE.+slice.+state.+changed )|(ment ac)|(system.+state.+changed )|(\[timeout)|(PRM\|1\|D)|(kpr)|(kdp)|(\|loc)|(penalty))" /e /r /s</v>
      </c>
      <c r="U14" s="9" t="str">
        <f t="shared" si="2"/>
        <v>4037</v>
      </c>
      <c r="V14" s="36">
        <f t="shared" si="3"/>
        <v>42678.587743055556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{"issue":{"subject":"Early arrival; didn't slow down quickly enough","project_id":79,"tracker_id":40,"status_id":1,"priority_id":2,"assigned_to_id":23,"start_date":"2016-11-04","description":"","custom_fields":[{"id":1,"name":"Subdivision","value":"EC"},{"id":4,"name":"Milepost","value":"5.3277"},{"id":17,"name":"Train ID","value":"126-04"},{"id":16,"name":"Locomotive ID","value":"4037"},{"id":130,"name":"Impact","value":""},{"id":150,"name":"Time of Event (Mountain Time)","value":"08:06:21"},{"id":151,"name":"Denver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"%USERPROFILE%\AppData\Local\Temp\OnboardLogs"\RTDC4037\*4037*201611041* | grep -SE "((Enforcement Ac)|(PRM))" -</v>
      </c>
    </row>
    <row r="15" spans="1:29" s="1" customFormat="1" x14ac:dyDescent="0.25">
      <c r="A15" s="36">
        <v>42678.411863425928</v>
      </c>
      <c r="B15" s="31" t="s">
        <v>229</v>
      </c>
      <c r="C15" s="31" t="s">
        <v>415</v>
      </c>
      <c r="D15" s="31" t="s">
        <v>49</v>
      </c>
      <c r="E15" s="31" t="s">
        <v>154</v>
      </c>
      <c r="F15" s="47">
        <v>410</v>
      </c>
      <c r="G15" s="47">
        <v>555</v>
      </c>
      <c r="H15" s="47">
        <v>55830</v>
      </c>
      <c r="I15" s="47">
        <v>54077</v>
      </c>
      <c r="J15" s="31" t="s">
        <v>153</v>
      </c>
      <c r="K15" s="47">
        <v>53277</v>
      </c>
      <c r="L15" s="157" t="s">
        <v>51</v>
      </c>
      <c r="M15" s="158">
        <f t="shared" si="0"/>
        <v>422.4</v>
      </c>
      <c r="N15" s="159" t="str">
        <f>VLOOKUP(C15,'Trips&amp;Operators'!$C$1:$E$99999,3,FALSE)</f>
        <v>RICHARDSON</v>
      </c>
      <c r="O15" s="184" t="s">
        <v>213</v>
      </c>
      <c r="P15" s="160" t="s">
        <v>801</v>
      </c>
      <c r="Q15" s="31"/>
      <c r="R15" s="100" t="str">
        <f>VLOOKUP(C15,'Train Runs'!$A$13:$AE$10003,31,0)</f>
        <v>aws s3 cp s3://rtdc.mdm.uploadarchive.raw/RTDC4037/ "%USERPROFILE%\AppData\Local\Temp\OnboardLogs"\RTDC4037\2016-11-04 --exclude "*" --recursive --include "*20161104*" &amp; "%USERPROFILE%\Documents\GitHub\mrs-test-scripts\Headless Mode &amp; Sideloading\WalkAndUnGZ.bat" "%USERPROFILE%\AppData\Local\Temp\OnboardLogs"\RTDC4037\2016-11-04 &amp; aws s3 cp s3://rtdc.mdm.uploadarchive.raw/RTDC4037/ "%USERPROFILE%\AppData\Local\Temp\OnboardLogs"\RTDC4037\2016-11-05 --exclude "*" --recursive --include "*20161105*" &amp; "%USERPROFILE%\Documents\GitHub\mrs-test-scripts\Headless Mode &amp; Sideloading\WalkAndUnGZ.bat" "%USERPROFILE%\AppData\Local\Temp\OnboardLogs"\RTDC4037\2016-11-05</v>
      </c>
      <c r="S15" s="103" t="str">
        <f>VLOOKUP(C15,'Train Runs'!$A$13:$AE$10003,22,0)</f>
        <v>https://search-rtdc-monitor-bjffxe2xuh6vdkpspy63sjmuny.us-east-1.es.amazonaws.com/_plugin/kibana/#/discover/Steve-Slow-Train-Analysis-(2080s-and-2083s)?_g=(refreshInterval:(display:Off,section:0,value:0),time:(from:'2016-11-04 08:18:46-0600',mode:absolute,to:'2016-11-04 11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5" s="105" t="str">
        <f t="shared" si="1"/>
        <v>"C:\Program Files (x86)\AstroGrep\AstroGrep.exe" /spath="%USERPROFILE%\AppData\Local\Temp\OnboardLogs" /stypes="*4037*201611041*" /stext=" 15:.+((SYSTEM_STATE.+slice.+state.+changed )|(ment ac)|(system.+state.+changed )|(\[timeout)|(PRM\|1\|D)|(kpr)|(kdp)|(\|loc)|(penalty))" /e /r /s</v>
      </c>
      <c r="U15" s="9" t="str">
        <f t="shared" si="2"/>
        <v>4037</v>
      </c>
      <c r="V15" s="36">
        <f t="shared" si="3"/>
        <v>42678.661863425928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{"issue":{"subject":"Early arrival; accelerated into crossing","project_id":79,"tracker_id":40,"status_id":1,"priority_id":2,"assigned_to_id":23,"start_date":"2016-11-04","description":"","custom_fields":[{"id":1,"name":"Subdivision","value":"EC"},{"id":4,"name":"Milepost","value":"5.3277"},{"id":17,"name":"Train ID","value":"140-04"},{"id":16,"name":"Locomotive ID","value":"4037"},{"id":130,"name":"Impact","value":""},{"id":150,"name":"Time of Event (Mountain Time)","value":"09:53:05"},{"id":151,"name":"Denver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"%USERPROFILE%\AppData\Local\Temp\OnboardLogs"\RTDC4037\*4037*201611041* | grep -SE "((Enforcement Ac)|(PRM))" -</v>
      </c>
    </row>
    <row r="16" spans="1:29" s="1" customFormat="1" x14ac:dyDescent="0.25">
      <c r="A16" s="36">
        <v>42678.265439814815</v>
      </c>
      <c r="B16" s="31" t="s">
        <v>229</v>
      </c>
      <c r="C16" s="31" t="s">
        <v>408</v>
      </c>
      <c r="D16" s="31" t="s">
        <v>49</v>
      </c>
      <c r="E16" s="31" t="s">
        <v>154</v>
      </c>
      <c r="F16" s="47">
        <v>380</v>
      </c>
      <c r="G16" s="47">
        <v>491</v>
      </c>
      <c r="H16" s="47">
        <v>60979</v>
      </c>
      <c r="I16" s="47">
        <v>59179</v>
      </c>
      <c r="J16" s="31" t="s">
        <v>153</v>
      </c>
      <c r="K16" s="47">
        <v>58904</v>
      </c>
      <c r="L16" s="157" t="s">
        <v>51</v>
      </c>
      <c r="M16" s="158">
        <f t="shared" si="0"/>
        <v>145.19999999999999</v>
      </c>
      <c r="N16" s="159" t="str">
        <f>VLOOKUP(C16,'Trips&amp;Operators'!$C$1:$E$99999,3,FALSE)</f>
        <v>RICHARDSON</v>
      </c>
      <c r="O16" s="184" t="s">
        <v>213</v>
      </c>
      <c r="P16" s="160" t="s">
        <v>801</v>
      </c>
      <c r="Q16" s="31"/>
      <c r="R16" s="100" t="str">
        <f>VLOOKUP(C16,'Train Runs'!$A$13:$AE$10003,31,0)</f>
        <v>aws s3 cp s3://rtdc.mdm.uploadarchive.raw/RTDC4037/ "%USERPROFILE%\AppData\Local\Temp\OnboardLogs"\RTDC4037\2016-11-04 --exclude "*" --recursive --include "*20161104*" &amp; "%USERPROFILE%\Documents\GitHub\mrs-test-scripts\Headless Mode &amp; Sideloading\WalkAndUnGZ.bat" "%USERPROFILE%\AppData\Local\Temp\OnboardLogs"\RTDC4037\2016-11-04 &amp; aws s3 cp s3://rtdc.mdm.uploadarchive.raw/RTDC4037/ "%USERPROFILE%\AppData\Local\Temp\OnboardLogs"\RTDC4037\2016-11-05 --exclude "*" --recursive --include "*20161105*" &amp; "%USERPROFILE%\Documents\GitHub\mrs-test-scripts\Headless Mode &amp; Sideloading\WalkAndUnGZ.bat" "%USERPROFILE%\AppData\Local\Temp\OnboardLogs"\RTDC4037\2016-11-05</v>
      </c>
      <c r="S16" s="103" t="str">
        <f>VLOOKUP(C16,'Train Runs'!$A$13:$AE$10003,22,0)</f>
        <v>https://search-rtdc-monitor-bjffxe2xuh6vdkpspy63sjmuny.us-east-1.es.amazonaws.com/_plugin/kibana/#/discover/Steve-Slow-Train-Analysis-(2080s-and-2083s)?_g=(refreshInterval:(display:Off,section:0,value:0),time:(from:'2016-11-04 04:46:51-0600',mode:absolute,to:'2016-11-04 07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6" s="105" t="str">
        <f t="shared" si="1"/>
        <v>"C:\Program Files (x86)\AstroGrep\AstroGrep.exe" /spath="%USERPROFILE%\AppData\Local\Temp\OnboardLogs" /stypes="*4037*201611041*" /stext=" 12:.+((SYSTEM_STATE.+slice.+state.+changed )|(ment ac)|(system.+state.+changed )|(\[timeout)|(PRM\|1\|D)|(kpr)|(kdp)|(\|loc)|(penalty))" /e /r /s</v>
      </c>
      <c r="U16" s="9" t="str">
        <f t="shared" si="2"/>
        <v>4037</v>
      </c>
      <c r="V16" s="36">
        <f t="shared" si="3"/>
        <v>42678.515439814815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{"issue":{"subject":"Early arrival; accelerated into crossing","project_id":79,"tracker_id":40,"status_id":1,"priority_id":2,"assigned_to_id":23,"start_date":"2016-11-04","description":"","custom_fields":[{"id":1,"name":"Subdivision","value":"EC"},{"id":4,"name":"Milepost","value":"5.8904"},{"id":17,"name":"Train ID","value":"112-04"},{"id":16,"name":"Locomotive ID","value":"4037"},{"id":130,"name":"Impact","value":""},{"id":150,"name":"Time of Event (Mountain Time)","value":"06:22:14"},{"id":151,"name":"Denver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"%USERPROFILE%\AppData\Local\Temp\OnboardLogs"\RTDC4037\*4037*201611041* | grep -SE "((Enforcement Ac)|(PRM))" -</v>
      </c>
    </row>
    <row r="17" spans="1:30" s="1" customFormat="1" x14ac:dyDescent="0.25">
      <c r="A17" s="36">
        <v>42678.23170138889</v>
      </c>
      <c r="B17" s="31" t="s">
        <v>404</v>
      </c>
      <c r="C17" s="31" t="s">
        <v>405</v>
      </c>
      <c r="D17" s="31" t="s">
        <v>49</v>
      </c>
      <c r="E17" s="31" t="s">
        <v>154</v>
      </c>
      <c r="F17" s="47">
        <v>320</v>
      </c>
      <c r="G17" s="47">
        <v>791</v>
      </c>
      <c r="H17" s="47">
        <v>69197</v>
      </c>
      <c r="I17" s="47">
        <v>65469</v>
      </c>
      <c r="J17" s="31" t="s">
        <v>153</v>
      </c>
      <c r="K17" s="47">
        <v>63309</v>
      </c>
      <c r="L17" s="157" t="s">
        <v>51</v>
      </c>
      <c r="M17" s="158">
        <f t="shared" si="0"/>
        <v>1140.48</v>
      </c>
      <c r="N17" s="159" t="str">
        <f>VLOOKUP(C17,'Trips&amp;Operators'!$C$1:$E$99999,3,FALSE)</f>
        <v>MALAVE</v>
      </c>
      <c r="O17" s="184" t="s">
        <v>213</v>
      </c>
      <c r="P17" s="160" t="s">
        <v>801</v>
      </c>
      <c r="Q17" s="31"/>
      <c r="R17" s="100" t="str">
        <f>VLOOKUP(C17,'Train Runs'!$A$13:$AE$10003,31,0)</f>
        <v>aws s3 cp s3://rtdc.mdm.uploadarchive.raw/RTDC4045/ "%USERPROFILE%\AppData\Local\Temp\OnboardLogs"\RTDC4045\2016-11-04 --exclude "*" --recursive --include "*20161104*" &amp; "%USERPROFILE%\Documents\GitHub\mrs-test-scripts\Headless Mode &amp; Sideloading\WalkAndUnGZ.bat" "%USERPROFILE%\AppData\Local\Temp\OnboardLogs"\RTDC4045\2016-11-04 &amp; aws s3 cp s3://rtdc.mdm.uploadarchive.raw/RTDC4045/ "%USERPROFILE%\AppData\Local\Temp\OnboardLogs"\RTDC4045\2016-11-05 --exclude "*" --recursive --include "*20161105*" &amp; "%USERPROFILE%\Documents\GitHub\mrs-test-scripts\Headless Mode &amp; Sideloading\WalkAndUnGZ.bat" "%USERPROFILE%\AppData\Local\Temp\OnboardLogs"\RTDC4045\2016-11-05</v>
      </c>
      <c r="S17" s="103" t="str">
        <f>VLOOKUP(C17,'Train Runs'!$A$13:$AE$10003,22,0)</f>
        <v>https://search-rtdc-monitor-bjffxe2xuh6vdkpspy63sjmuny.us-east-1.es.amazonaws.com/_plugin/kibana/#/discover/Steve-Slow-Train-Analysis-(2080s-and-2083s)?_g=(refreshInterval:(display:Off,section:0,value:0),time:(from:'2016-11-04 04:09:19-0600',mode:absolute,to:'2016-11-04 06:49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7" s="105" t="str">
        <f t="shared" si="1"/>
        <v>"C:\Program Files (x86)\AstroGrep\AstroGrep.exe" /spath="%USERPROFILE%\AppData\Local\Temp\OnboardLogs" /stypes="*4045*201611041*" /stext=" 11:.+((SYSTEM_STATE.+slice.+state.+changed )|(ment ac)|(system.+state.+changed )|(\[timeout)|(PRM\|1\|D)|(kpr)|(kdp)|(\|loc)|(penalty))" /e /r /s</v>
      </c>
      <c r="U17" s="9" t="str">
        <f t="shared" si="2"/>
        <v>4045</v>
      </c>
      <c r="V17" s="36">
        <f t="shared" si="3"/>
        <v>42678.48170138889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{"issue":{"subject":"Early arrival; accelerated into crossing","project_id":79,"tracker_id":40,"status_id":1,"priority_id":2,"assigned_to_id":23,"start_date":"2016-11-04","description":"","custom_fields":[{"id":1,"name":"Subdivision","value":"EC"},{"id":4,"name":"Milepost","value":"6.3309"},{"id":17,"name":"Train ID","value":"106-04"},{"id":16,"name":"Locomotive ID","value":"4045"},{"id":130,"name":"Impact","value":""},{"id":150,"name":"Time of Event (Mountain Time)","value":"05:33:39"},{"id":151,"name":"Denver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"%USERPROFILE%\AppData\Local\Temp\OnboardLogs"\RTDC4045\*4045*201611041* | grep -SE "((Enforcement Ac)|(PRM))" -</v>
      </c>
    </row>
    <row r="18" spans="1:30" s="1" customFormat="1" x14ac:dyDescent="0.25">
      <c r="A18" s="36">
        <v>42678.429594907408</v>
      </c>
      <c r="B18" s="31" t="s">
        <v>241</v>
      </c>
      <c r="C18" s="31" t="s">
        <v>417</v>
      </c>
      <c r="D18" s="31" t="s">
        <v>98</v>
      </c>
      <c r="E18" s="31" t="s">
        <v>214</v>
      </c>
      <c r="F18" s="47">
        <v>200</v>
      </c>
      <c r="G18" s="47">
        <v>250</v>
      </c>
      <c r="H18" s="47">
        <v>5464</v>
      </c>
      <c r="I18" s="47">
        <v>5957</v>
      </c>
      <c r="J18" s="31" t="s">
        <v>215</v>
      </c>
      <c r="K18" s="47">
        <v>4677</v>
      </c>
      <c r="L18" s="157" t="s">
        <v>50</v>
      </c>
      <c r="M18" s="158">
        <f t="shared" si="0"/>
        <v>-675.84</v>
      </c>
      <c r="N18" s="159" t="str">
        <f>VLOOKUP(C18,'Trips&amp;Operators'!$C$1:$E$99999,3,FALSE)</f>
        <v>RICHARDSON</v>
      </c>
      <c r="O18" s="184" t="s">
        <v>213</v>
      </c>
      <c r="P18" s="160"/>
      <c r="Q18" s="31"/>
      <c r="R18" s="100" t="str">
        <f>VLOOKUP(C18,'Train Runs'!$A$13:$AE$10003,31,0)</f>
        <v>aws s3 cp s3://rtdc.mdm.uploadarchive.raw/RTDC4038/ "%USERPROFILE%\AppData\Local\Temp\OnboardLogs"\RTDC4038\2016-11-04 --exclude "*" --recursive --include "*20161104*" &amp; "%USERPROFILE%\Documents\GitHub\mrs-test-scripts\Headless Mode &amp; Sideloading\WalkAndUnGZ.bat" "%USERPROFILE%\AppData\Local\Temp\OnboardLogs"\RTDC4038\2016-11-04 &amp; aws s3 cp s3://rtdc.mdm.uploadarchive.raw/RTDC4038/ "%USERPROFILE%\AppData\Local\Temp\OnboardLogs"\RTDC4038\2016-11-05 --exclude "*" --recursive --include "*20161105*" &amp; "%USERPROFILE%\Documents\GitHub\mrs-test-scripts\Headless Mode &amp; Sideloading\WalkAndUnGZ.bat" "%USERPROFILE%\AppData\Local\Temp\OnboardLogs"\RTDC4038\2016-11-05</v>
      </c>
      <c r="S18" s="103" t="str">
        <f>VLOOKUP(C18,'Train Runs'!$A$13:$AE$10003,22,0)</f>
        <v>https://search-rtdc-monitor-bjffxe2xuh6vdkpspy63sjmuny.us-east-1.es.amazonaws.com/_plugin/kibana/#/discover/Steve-Slow-Train-Analysis-(2080s-and-2083s)?_g=(refreshInterval:(display:Off,section:0,value:0),time:(from:'2016-11-04 09:11:56-0600',mode:absolute,to:'2016-11-04 11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18" s="105" t="str">
        <f t="shared" si="1"/>
        <v>"C:\Program Files (x86)\AstroGrep\AstroGrep.exe" /spath="%USERPROFILE%\AppData\Local\Temp\OnboardLogs" /stypes="*4038*201611041*" /stext=" 16:.+((SYSTEM_STATE.+slice.+state.+changed )|(ment ac)|(system.+state.+changed )|(\[timeout)|(PRM\|1\|D)|(kpr)|(kdp)|(\|loc)|(penalty))" /e /r /s</v>
      </c>
      <c r="U18" s="9" t="str">
        <f t="shared" si="2"/>
        <v>4038</v>
      </c>
      <c r="V18" s="36">
        <f t="shared" si="3"/>
        <v>42678.679594907408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{"issue":{"subject":"","project_id":79,"tracker_id":40,"status_id":1,"priority_id":2,"assigned_to_id":23,"start_date":"2016-11-04","description":"","custom_fields":[{"id":1,"name":"Subdivision","value":"EC"},{"id":4,"name":"Milepost","value":"0.4677"},{"id":17,"name":"Train ID","value":"153-04"},{"id":16,"name":"Locomotive ID","value":"4038"},{"id":130,"name":"Impact","value":""},{"id":150,"name":"Time of Event (Mountain Time)","value":"10:18:37"},{"id":151,"name":"Denver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"%USERPROFILE%\AppData\Local\Temp\OnboardLogs"\RTDC4038\*4038*201611041* | grep -SE "((Enforcement Ac)|(PRM))" -</v>
      </c>
    </row>
    <row r="19" spans="1:30" s="1" customFormat="1" x14ac:dyDescent="0.25">
      <c r="A19" s="36">
        <v>42678.357002314813</v>
      </c>
      <c r="B19" s="31" t="s">
        <v>241</v>
      </c>
      <c r="C19" s="31" t="s">
        <v>414</v>
      </c>
      <c r="D19" s="31" t="s">
        <v>49</v>
      </c>
      <c r="E19" s="31" t="s">
        <v>214</v>
      </c>
      <c r="F19" s="47">
        <v>400</v>
      </c>
      <c r="G19" s="47">
        <v>569</v>
      </c>
      <c r="H19" s="47">
        <v>14358</v>
      </c>
      <c r="I19" s="47">
        <v>17776</v>
      </c>
      <c r="J19" s="31" t="s">
        <v>215</v>
      </c>
      <c r="K19" s="47">
        <v>17867</v>
      </c>
      <c r="L19" s="157" t="s">
        <v>50</v>
      </c>
      <c r="M19" s="158">
        <f t="shared" si="0"/>
        <v>48.048000000000002</v>
      </c>
      <c r="N19" s="159" t="str">
        <f>VLOOKUP(C19,'Trips&amp;Operators'!$C$1:$E$99999,3,FALSE)</f>
        <v>RICHARDSON</v>
      </c>
      <c r="O19" s="184" t="s">
        <v>213</v>
      </c>
      <c r="P19" s="160"/>
      <c r="Q19" s="31"/>
      <c r="R19" s="100" t="str">
        <f>VLOOKUP(C19,'Train Runs'!$A$13:$AE$10003,31,0)</f>
        <v>aws s3 cp s3://rtdc.mdm.uploadarchive.raw/RTDC4038/ "%USERPROFILE%\AppData\Local\Temp\OnboardLogs"\RTDC4038\2016-11-04 --exclude "*" --recursive --include "*20161104*" &amp; "%USERPROFILE%\Documents\GitHub\mrs-test-scripts\Headless Mode &amp; Sideloading\WalkAndUnGZ.bat" "%USERPROFILE%\AppData\Local\Temp\OnboardLogs"\RTDC4038\2016-11-04 &amp; aws s3 cp s3://rtdc.mdm.uploadarchive.raw/RTDC4038/ "%USERPROFILE%\AppData\Local\Temp\OnboardLogs"\RTDC4038\2016-11-05 --exclude "*" --recursive --include "*20161105*" &amp; "%USERPROFILE%\Documents\GitHub\mrs-test-scripts\Headless Mode &amp; Sideloading\WalkAndUnGZ.bat" "%USERPROFILE%\AppData\Local\Temp\OnboardLogs"\RTDC4038\2016-11-05</v>
      </c>
      <c r="S19" s="103" t="str">
        <f>VLOOKUP(C19,'Train Runs'!$A$13:$AE$10003,22,0)</f>
        <v>https://search-rtdc-monitor-bjffxe2xuh6vdkpspy63sjmuny.us-east-1.es.amazonaws.com/_plugin/kibana/#/discover/Steve-Slow-Train-Analysis-(2080s-and-2083s)?_g=(refreshInterval:(display:Off,section:0,value:0),time:(from:'2016-11-04 07:24:13-0600',mode:absolute,to:'2016-11-04 10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19" s="105" t="str">
        <f t="shared" si="1"/>
        <v>"C:\Program Files (x86)\AstroGrep\AstroGrep.exe" /spath="%USERPROFILE%\AppData\Local\Temp\OnboardLogs" /stypes="*4038*201611041*" /stext=" 14:.+((SYSTEM_STATE.+slice.+state.+changed )|(ment ac)|(system.+state.+changed )|(\[timeout)|(PRM\|1\|D)|(kpr)|(kdp)|(\|loc)|(penalty))" /e /r /s</v>
      </c>
      <c r="U19" s="9" t="str">
        <f t="shared" si="2"/>
        <v>4038</v>
      </c>
      <c r="V19" s="36">
        <f t="shared" si="3"/>
        <v>42678.607002314813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{"issue":{"subject":"","project_id":79,"tracker_id":40,"status_id":1,"priority_id":2,"assigned_to_id":23,"start_date":"2016-11-04","description":"","custom_fields":[{"id":1,"name":"Subdivision","value":"EC"},{"id":4,"name":"Milepost","value":"1.7867"},{"id":17,"name":"Train ID","value":"139-04"},{"id":16,"name":"Locomotive ID","value":"4038"},{"id":130,"name":"Impact","value":""},{"id":150,"name":"Time of Event (Mountain Time)","value":"08:34:05"},{"id":151,"name":"Denver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"%USERPROFILE%\AppData\Local\Temp\OnboardLogs"\RTDC4038\*4038*201611041* | grep -SE "((Enforcement Ac)|(PRM))" -</v>
      </c>
    </row>
    <row r="20" spans="1:30" x14ac:dyDescent="0.25">
      <c r="A20" s="36">
        <v>42678.348287037035</v>
      </c>
      <c r="B20" s="31" t="s">
        <v>288</v>
      </c>
      <c r="C20" s="31" t="s">
        <v>413</v>
      </c>
      <c r="D20" s="31" t="s">
        <v>49</v>
      </c>
      <c r="E20" s="31" t="s">
        <v>214</v>
      </c>
      <c r="F20" s="47">
        <v>400</v>
      </c>
      <c r="G20" s="47">
        <v>636</v>
      </c>
      <c r="H20" s="47">
        <v>114731</v>
      </c>
      <c r="I20" s="47">
        <v>117164</v>
      </c>
      <c r="J20" s="31" t="s">
        <v>215</v>
      </c>
      <c r="K20" s="47">
        <v>116838</v>
      </c>
      <c r="L20" s="157" t="s">
        <v>50</v>
      </c>
      <c r="M20" s="158">
        <f t="shared" si="0"/>
        <v>-172.12799999999999</v>
      </c>
      <c r="N20" s="159" t="str">
        <f>VLOOKUP(C20,'Trips&amp;Operators'!$C$1:$E$99999,3,FALSE)</f>
        <v>PERKINS</v>
      </c>
      <c r="O20" s="184" t="s">
        <v>213</v>
      </c>
      <c r="P20" s="160"/>
      <c r="Q20" s="31"/>
      <c r="R20" s="100" t="str">
        <f>VLOOKUP(C20,'Train Runs'!$A$13:$AE$10003,31,0)</f>
        <v>aws s3 cp s3://rtdc.mdm.uploadarchive.raw/RTDC4042/ "%USERPROFILE%\AppData\Local\Temp\OnboardLogs"\RTDC4042\2016-11-04 --exclude "*" --recursive --include "*20161104*" &amp; "%USERPROFILE%\Documents\GitHub\mrs-test-scripts\Headless Mode &amp; Sideloading\WalkAndUnGZ.bat" "%USERPROFILE%\AppData\Local\Temp\OnboardLogs"\RTDC4042\2016-11-04 &amp; aws s3 cp s3://rtdc.mdm.uploadarchive.raw/RTDC4042/ "%USERPROFILE%\AppData\Local\Temp\OnboardLogs"\RTDC4042\2016-11-05 --exclude "*" --recursive --include "*20161105*" &amp; "%USERPROFILE%\Documents\GitHub\mrs-test-scripts\Headless Mode &amp; Sideloading\WalkAndUnGZ.bat" "%USERPROFILE%\AppData\Local\Temp\OnboardLogs"\RTDC4042\2016-11-05</v>
      </c>
      <c r="S20" s="103" t="str">
        <f>VLOOKUP(C20,'Train Runs'!$A$13:$AE$10003,22,0)</f>
        <v>https://search-rtdc-monitor-bjffxe2xuh6vdkpspy63sjmuny.us-east-1.es.amazonaws.com/_plugin/kibana/#/discover/Steve-Slow-Train-Analysis-(2080s-and-2083s)?_g=(refreshInterval:(display:Off,section:0,value:0),time:(from:'2016-11-04 06:53:04-0600',mode:absolute,to:'2016-11-04 09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0" s="105" t="str">
        <f t="shared" si="1"/>
        <v>"C:\Program Files (x86)\AstroGrep\AstroGrep.exe" /spath="%USERPROFILE%\AppData\Local\Temp\OnboardLogs" /stypes="*4042*201611041*" /stext=" 14:.+((SYSTEM_STATE.+slice.+state.+changed )|(ment ac)|(system.+state.+changed )|(\[timeout)|(PRM\|1\|D)|(kpr)|(kdp)|(\|loc)|(penalty))" /e /r /s</v>
      </c>
      <c r="U20" s="9" t="str">
        <f t="shared" si="2"/>
        <v>4042</v>
      </c>
      <c r="V20" s="36">
        <f t="shared" si="3"/>
        <v>42678.598287037035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{"issue":{"subject":"","project_id":79,"tracker_id":40,"status_id":1,"priority_id":2,"assigned_to_id":23,"start_date":"2016-11-04","description":"","custom_fields":[{"id":1,"name":"Subdivision","value":"EC"},{"id":4,"name":"Milepost","value":"11.6838"},{"id":17,"name":"Train ID","value":"135-04"},{"id":16,"name":"Locomotive ID","value":"4042"},{"id":130,"name":"Impact","value":""},{"id":150,"name":"Time of Event (Mountain Time)","value":"08:21:32"},{"id":151,"name":"Denver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 t="shared" si="7"/>
        <v>grep -hSE -A100 "Enforcement Action" "%USERPROFILE%\AppData\Local\Temp\OnboardLogs"\RTDC4042\*4042*201611041* | grep -SE "((Enforcement Ac)|(PRM))" -</v>
      </c>
      <c r="AD20" s="1"/>
    </row>
    <row r="21" spans="1:30" s="1" customFormat="1" x14ac:dyDescent="0.25">
      <c r="A21" s="36">
        <v>42678.349317129629</v>
      </c>
      <c r="B21" s="31" t="s">
        <v>288</v>
      </c>
      <c r="C21" s="31" t="s">
        <v>413</v>
      </c>
      <c r="D21" s="31" t="s">
        <v>98</v>
      </c>
      <c r="E21" s="31" t="s">
        <v>214</v>
      </c>
      <c r="F21" s="47">
        <v>400</v>
      </c>
      <c r="G21" s="47">
        <v>456</v>
      </c>
      <c r="H21" s="47">
        <v>119669</v>
      </c>
      <c r="I21" s="47">
        <v>121312</v>
      </c>
      <c r="J21" s="31" t="s">
        <v>215</v>
      </c>
      <c r="K21" s="47">
        <v>116838</v>
      </c>
      <c r="L21" s="157" t="s">
        <v>50</v>
      </c>
      <c r="M21" s="158">
        <f t="shared" si="0"/>
        <v>-2362.2719999999999</v>
      </c>
      <c r="N21" s="159" t="str">
        <f>VLOOKUP(C21,'Trips&amp;Operators'!$C$1:$E$99999,3,FALSE)</f>
        <v>PERKINS</v>
      </c>
      <c r="O21" s="184" t="s">
        <v>213</v>
      </c>
      <c r="P21" s="160"/>
      <c r="Q21" s="31"/>
      <c r="R21" s="100" t="str">
        <f>VLOOKUP(C21,'Train Runs'!$A$13:$AE$10003,31,0)</f>
        <v>aws s3 cp s3://rtdc.mdm.uploadarchive.raw/RTDC4042/ "%USERPROFILE%\AppData\Local\Temp\OnboardLogs"\RTDC4042\2016-11-04 --exclude "*" --recursive --include "*20161104*" &amp; "%USERPROFILE%\Documents\GitHub\mrs-test-scripts\Headless Mode &amp; Sideloading\WalkAndUnGZ.bat" "%USERPROFILE%\AppData\Local\Temp\OnboardLogs"\RTDC4042\2016-11-04 &amp; aws s3 cp s3://rtdc.mdm.uploadarchive.raw/RTDC4042/ "%USERPROFILE%\AppData\Local\Temp\OnboardLogs"\RTDC4042\2016-11-05 --exclude "*" --recursive --include "*20161105*" &amp; "%USERPROFILE%\Documents\GitHub\mrs-test-scripts\Headless Mode &amp; Sideloading\WalkAndUnGZ.bat" "%USERPROFILE%\AppData\Local\Temp\OnboardLogs"\RTDC4042\2016-11-05</v>
      </c>
      <c r="S21" s="103" t="str">
        <f>VLOOKUP(C21,'Train Runs'!$A$13:$AE$10003,22,0)</f>
        <v>https://search-rtdc-monitor-bjffxe2xuh6vdkpspy63sjmuny.us-east-1.es.amazonaws.com/_plugin/kibana/#/discover/Steve-Slow-Train-Analysis-(2080s-and-2083s)?_g=(refreshInterval:(display:Off,section:0,value:0),time:(from:'2016-11-04 06:53:04-0600',mode:absolute,to:'2016-11-04 09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1" s="105" t="str">
        <f t="shared" si="1"/>
        <v>"C:\Program Files (x86)\AstroGrep\AstroGrep.exe" /spath="%USERPROFILE%\AppData\Local\Temp\OnboardLogs" /stypes="*4042*201611041*" /stext=" 14:.+((SYSTEM_STATE.+slice.+state.+changed )|(ment ac)|(system.+state.+changed )|(\[timeout)|(PRM\|1\|D)|(kpr)|(kdp)|(\|loc)|(penalty))" /e /r /s</v>
      </c>
      <c r="U21" s="9" t="str">
        <f t="shared" si="2"/>
        <v>4042</v>
      </c>
      <c r="V21" s="36">
        <f t="shared" si="3"/>
        <v>42678.599317129629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{"issue":{"subject":"","project_id":79,"tracker_id":40,"status_id":1,"priority_id":2,"assigned_to_id":23,"start_date":"2016-11-04","description":"","custom_fields":[{"id":1,"name":"Subdivision","value":"EC"},{"id":4,"name":"Milepost","value":"11.6838"},{"id":17,"name":"Train ID","value":"135-04"},{"id":16,"name":"Locomotive ID","value":"4042"},{"id":130,"name":"Impact","value":""},{"id":150,"name":"Time of Event (Mountain Time)","value":"08:23:01"},{"id":151,"name":"Denver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"%USERPROFILE%\AppData\Local\Temp\OnboardLogs"\RTDC4042\*4042*201611041* | grep -SE "((Enforcement Ac)|(PRM))" -</v>
      </c>
    </row>
    <row r="22" spans="1:30" x14ac:dyDescent="0.25">
      <c r="A22" s="36">
        <v>42678.785902777781</v>
      </c>
      <c r="B22" s="31" t="s">
        <v>286</v>
      </c>
      <c r="C22" s="31" t="s">
        <v>428</v>
      </c>
      <c r="D22" s="31" t="s">
        <v>98</v>
      </c>
      <c r="E22" s="31" t="s">
        <v>214</v>
      </c>
      <c r="F22" s="47">
        <v>700</v>
      </c>
      <c r="G22" s="47">
        <v>750</v>
      </c>
      <c r="H22" s="47">
        <v>179803</v>
      </c>
      <c r="I22" s="47">
        <v>176139</v>
      </c>
      <c r="J22" s="31" t="s">
        <v>215</v>
      </c>
      <c r="K22" s="47">
        <v>183829</v>
      </c>
      <c r="L22" s="157" t="s">
        <v>51</v>
      </c>
      <c r="M22" s="158">
        <f t="shared" si="0"/>
        <v>-4060.32</v>
      </c>
      <c r="N22" s="159" t="str">
        <f>VLOOKUP(C22,'Trips&amp;Operators'!$C$1:$E$99999,3,FALSE)</f>
        <v>MAGEE</v>
      </c>
      <c r="O22" s="184" t="s">
        <v>213</v>
      </c>
      <c r="P22" s="160"/>
      <c r="Q22" s="31"/>
      <c r="R22" s="100" t="str">
        <f>VLOOKUP(C22,'Train Runs'!$A$13:$AE$10003,31,0)</f>
        <v>aws s3 cp s3://rtdc.mdm.uploadarchive.raw/RTDC4008/ "%USERPROFILE%\AppData\Local\Temp\OnboardLogs"\RTDC4008\2016-11-04 --exclude "*" --recursive --include "*20161104*" &amp; "%USERPROFILE%\Documents\GitHub\mrs-test-scripts\Headless Mode &amp; Sideloading\WalkAndUnGZ.bat" "%USERPROFILE%\AppData\Local\Temp\OnboardLogs"\RTDC4008\2016-11-04 &amp; aws s3 cp s3://rtdc.mdm.uploadarchive.raw/RTDC4008/ "%USERPROFILE%\AppData\Local\Temp\OnboardLogs"\RTDC4008\2016-11-05 --exclude "*" --recursive --include "*20161105*" &amp; "%USERPROFILE%\Documents\GitHub\mrs-test-scripts\Headless Mode &amp; Sideloading\WalkAndUnGZ.bat" "%USERPROFILE%\AppData\Local\Temp\OnboardLogs"\RTDC4008\2016-11-05</v>
      </c>
      <c r="S22" s="103" t="str">
        <f>VLOOKUP(C22,'Train Runs'!$A$13:$AE$10003,22,0)</f>
        <v>https://search-rtdc-monitor-bjffxe2xuh6vdkpspy63sjmuny.us-east-1.es.amazonaws.com/_plugin/kibana/#/discover/Steve-Slow-Train-Analysis-(2080s-and-2083s)?_g=(refreshInterval:(display:Off,section:0,value:0),time:(from:'2016-11-04 17:24:42-0600',mode:absolute,to:'2016-11-04 20:22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2" s="105" t="str">
        <f t="shared" si="1"/>
        <v>"C:\Program Files (x86)\AstroGrep\AstroGrep.exe" /spath="%USERPROFILE%\AppData\Local\Temp\OnboardLogs" /stypes="*4008*201611050*" /stext=" 00:.+((SYSTEM_STATE.+slice.+state.+changed )|(ment ac)|(system.+state.+changed )|(\[timeout)|(PRM\|1\|D)|(kpr)|(kdp)|(\|loc)|(penalty))" /e /r /s</v>
      </c>
      <c r="U22" s="9" t="str">
        <f t="shared" si="2"/>
        <v>4008</v>
      </c>
      <c r="V22" s="36">
        <f t="shared" si="3"/>
        <v>42679.035902777781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{"issue":{"subject":"","project_id":79,"tracker_id":40,"status_id":1,"priority_id":2,"assigned_to_id":23,"start_date":"2016-11-04","description":"","custom_fields":[{"id":1,"name":"Subdivision","value":"EC"},{"id":4,"name":"Milepost","value":"18.3829"},{"id":17,"name":"Train ID","value":"214-04"},{"id":16,"name":"Locomotive ID","value":"4008"},{"id":130,"name":"Impact","value":""},{"id":150,"name":"Time of Event (Mountain Time)","value":"18:51:42"},{"id":151,"name":"Denver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"%USERPROFILE%\AppData\Local\Temp\OnboardLogs"\RTDC4008\*4008*201611050* | grep -SE "((Enforcement Ac)|(PRM))" -</v>
      </c>
      <c r="AD22" s="1"/>
    </row>
    <row r="23" spans="1:30" x14ac:dyDescent="0.25">
      <c r="A23" s="36">
        <v>42678.564895833333</v>
      </c>
      <c r="B23" s="31" t="s">
        <v>286</v>
      </c>
      <c r="C23" s="31" t="s">
        <v>421</v>
      </c>
      <c r="D23" s="31" t="s">
        <v>98</v>
      </c>
      <c r="E23" s="31" t="s">
        <v>214</v>
      </c>
      <c r="F23" s="47">
        <v>600</v>
      </c>
      <c r="G23" s="47">
        <v>651</v>
      </c>
      <c r="H23" s="47">
        <v>184200</v>
      </c>
      <c r="I23" s="47">
        <v>181197</v>
      </c>
      <c r="J23" s="31" t="s">
        <v>215</v>
      </c>
      <c r="K23" s="47">
        <v>190834</v>
      </c>
      <c r="L23" s="157" t="s">
        <v>51</v>
      </c>
      <c r="M23" s="158">
        <f t="shared" si="0"/>
        <v>-5088.3360000000002</v>
      </c>
      <c r="N23" s="159" t="str">
        <f>VLOOKUP(C23,'Trips&amp;Operators'!$C$1:$E$99999,3,FALSE)</f>
        <v>MACDONALD</v>
      </c>
      <c r="O23" s="184" t="s">
        <v>213</v>
      </c>
      <c r="P23" s="160"/>
      <c r="Q23" s="31"/>
      <c r="R23" s="100" t="str">
        <f>VLOOKUP(C23,'Train Runs'!$A$13:$AE$10003,31,0)</f>
        <v>aws s3 cp s3://rtdc.mdm.uploadarchive.raw/RTDC4008/ "%USERPROFILE%\AppData\Local\Temp\OnboardLogs"\RTDC4008\2016-11-04 --exclude "*" --recursive --include "*20161104*" &amp; "%USERPROFILE%\Documents\GitHub\mrs-test-scripts\Headless Mode &amp; Sideloading\WalkAndUnGZ.bat" "%USERPROFILE%\AppData\Local\Temp\OnboardLogs"\RTDC4008\2016-11-04 &amp; aws s3 cp s3://rtdc.mdm.uploadarchive.raw/RTDC4008/ "%USERPROFILE%\AppData\Local\Temp\OnboardLogs"\RTDC4008\2016-11-05 --exclude "*" --recursive --include "*20161105*" &amp; "%USERPROFILE%\Documents\GitHub\mrs-test-scripts\Headless Mode &amp; Sideloading\WalkAndUnGZ.bat" "%USERPROFILE%\AppData\Local\Temp\OnboardLogs"\RTDC4008\2016-11-05</v>
      </c>
      <c r="S23" s="103" t="str">
        <f>VLOOKUP(C23,'Train Runs'!$A$13:$AE$10003,22,0)</f>
        <v>https://search-rtdc-monitor-bjffxe2xuh6vdkpspy63sjmuny.us-east-1.es.amazonaws.com/_plugin/kibana/#/discover/Steve-Slow-Train-Analysis-(2080s-and-2083s)?_g=(refreshInterval:(display:Off,section:0,value:0),time:(from:'2016-11-04 12:19:44-0600',mode:absolute,to:'2016-11-04 15:51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3" s="105" t="str">
        <f t="shared" si="1"/>
        <v>"C:\Program Files (x86)\AstroGrep\AstroGrep.exe" /spath="%USERPROFILE%\AppData\Local\Temp\OnboardLogs" /stypes="*4008*201611041*" /stext=" 19:.+((SYSTEM_STATE.+slice.+state.+changed )|(ment ac)|(system.+state.+changed )|(\[timeout)|(PRM\|1\|D)|(kpr)|(kdp)|(\|loc)|(penalty))" /e /r /s</v>
      </c>
      <c r="U23" s="9" t="str">
        <f t="shared" si="2"/>
        <v>4008</v>
      </c>
      <c r="V23" s="36">
        <f t="shared" si="3"/>
        <v>42678.814895833333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{"issue":{"subject":"","project_id":79,"tracker_id":40,"status_id":1,"priority_id":2,"assigned_to_id":23,"start_date":"2016-11-04","description":"","custom_fields":[{"id":1,"name":"Subdivision","value":"EC"},{"id":4,"name":"Milepost","value":"19.0834"},{"id":17,"name":"Train ID","value":"172-04"},{"id":16,"name":"Locomotive ID","value":"4008"},{"id":130,"name":"Impact","value":""},{"id":150,"name":"Time of Event (Mountain Time)","value":"13:33:27"},{"id":151,"name":"Denver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1" t="str">
        <f t="shared" si="7"/>
        <v>grep -hSE -A100 "Enforcement Action" "%USERPROFILE%\AppData\Local\Temp\OnboardLogs"\RTDC4008\*4008*201611041* | grep -SE "((Enforcement Ac)|(PRM))" -</v>
      </c>
      <c r="AD23" s="1"/>
    </row>
    <row r="24" spans="1:30" x14ac:dyDescent="0.25">
      <c r="A24" s="36">
        <v>42678.982106481482</v>
      </c>
      <c r="B24" s="31" t="s">
        <v>241</v>
      </c>
      <c r="C24" s="31" t="s">
        <v>433</v>
      </c>
      <c r="D24" s="31" t="s">
        <v>49</v>
      </c>
      <c r="E24" s="31" t="s">
        <v>214</v>
      </c>
      <c r="F24" s="47">
        <v>150</v>
      </c>
      <c r="G24" s="47">
        <v>209</v>
      </c>
      <c r="H24" s="47">
        <v>229802</v>
      </c>
      <c r="I24" s="47">
        <v>230438</v>
      </c>
      <c r="J24" s="31" t="s">
        <v>215</v>
      </c>
      <c r="K24" s="47">
        <v>230436</v>
      </c>
      <c r="L24" s="157" t="s">
        <v>50</v>
      </c>
      <c r="M24" s="158">
        <f t="shared" si="0"/>
        <v>-1.056</v>
      </c>
      <c r="N24" s="159" t="str">
        <f>VLOOKUP(C24,'Trips&amp;Operators'!$C$1:$E$99999,3,FALSE)</f>
        <v>LEVIN</v>
      </c>
      <c r="O24" s="184" t="s">
        <v>213</v>
      </c>
      <c r="P24" s="160"/>
      <c r="Q24" s="31"/>
      <c r="R24" s="100" t="str">
        <f>VLOOKUP(C24,'Train Runs'!$A$13:$AE$10003,31,0)</f>
        <v>aws s3 cp s3://rtdc.mdm.uploadarchive.raw/RTDC4038/ "%USERPROFILE%\AppData\Local\Temp\OnboardLogs"\RTDC4038\2016-11-04 --exclude "*" --recursive --include "*20161104*" &amp; "%USERPROFILE%\Documents\GitHub\mrs-test-scripts\Headless Mode &amp; Sideloading\WalkAndUnGZ.bat" "%USERPROFILE%\AppData\Local\Temp\OnboardLogs"\RTDC4038\2016-11-04 &amp; aws s3 cp s3://rtdc.mdm.uploadarchive.raw/RTDC4038/ "%USERPROFILE%\AppData\Local\Temp\OnboardLogs"\RTDC4038\2016-11-05 --exclude "*" --recursive --include "*20161105*" &amp; "%USERPROFILE%\Documents\GitHub\mrs-test-scripts\Headless Mode &amp; Sideloading\WalkAndUnGZ.bat" "%USERPROFILE%\AppData\Local\Temp\OnboardLogs"\RTDC4038\2016-11-05</v>
      </c>
      <c r="S24" s="103" t="str">
        <f>VLOOKUP(C24,'Train Runs'!$A$13:$AE$10003,22,0)</f>
        <v>https://search-rtdc-monitor-bjffxe2xuh6vdkpspy63sjmuny.us-east-1.es.amazonaws.com/_plugin/kibana/#/discover/Steve-Slow-Train-Analysis-(2080s-and-2083s)?_g=(refreshInterval:(display:Off,section:0,value:0),time:(from:'2016-11-04 22:09:47-0600',mode:absolute,to:'2016-11-05 00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24" s="105" t="str">
        <f t="shared" si="1"/>
        <v>"C:\Program Files (x86)\AstroGrep\AstroGrep.exe" /spath="%USERPROFILE%\AppData\Local\Temp\OnboardLogs" /stypes="*4038*201611050*" /stext=" 05:.+((SYSTEM_STATE.+slice.+state.+changed )|(ment ac)|(system.+state.+changed )|(\[timeout)|(PRM\|1\|D)|(kpr)|(kdp)|(\|loc)|(penalty))" /e /r /s</v>
      </c>
      <c r="U24" s="9" t="str">
        <f t="shared" si="2"/>
        <v>4038</v>
      </c>
      <c r="V24" s="36">
        <f t="shared" si="3"/>
        <v>42679.232106481482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{"issue":{"subject":"","project_id":79,"tracker_id":40,"status_id":1,"priority_id":2,"assigned_to_id":23,"start_date":"2016-11-04","description":"","custom_fields":[{"id":1,"name":"Subdivision","value":"EC"},{"id":4,"name":"Milepost","value":"23.0436"},{"id":17,"name":"Train ID","value":"237-04"},{"id":16,"name":"Locomotive ID","value":"4038"},{"id":130,"name":"Impact","value":""},{"id":150,"name":"Time of Event (Mountain Time)","value":"23:34:14"},{"id":151,"name":"Denver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1" t="str">
        <f t="shared" si="7"/>
        <v>grep -hSE -A100 "Enforcement Action" "%USERPROFILE%\AppData\Local\Temp\OnboardLogs"\RTDC4038\*4038*201611050* | grep -SE "((Enforcement Ac)|(PRM))" -</v>
      </c>
      <c r="AD24" s="1"/>
    </row>
    <row r="25" spans="1:30" ht="15" customHeight="1" x14ac:dyDescent="0.25">
      <c r="A25" s="36">
        <v>42678.452847222223</v>
      </c>
      <c r="B25" s="31" t="s">
        <v>241</v>
      </c>
      <c r="C25" s="31" t="s">
        <v>417</v>
      </c>
      <c r="D25" s="31" t="s">
        <v>49</v>
      </c>
      <c r="E25" s="31" t="s">
        <v>214</v>
      </c>
      <c r="F25" s="47">
        <v>150</v>
      </c>
      <c r="G25" s="47">
        <v>202</v>
      </c>
      <c r="H25" s="47">
        <v>231521</v>
      </c>
      <c r="I25" s="47">
        <v>231933</v>
      </c>
      <c r="J25" s="31" t="s">
        <v>215</v>
      </c>
      <c r="K25" s="47">
        <v>232107</v>
      </c>
      <c r="L25" s="157" t="s">
        <v>50</v>
      </c>
      <c r="M25" s="158">
        <f t="shared" si="0"/>
        <v>91.872</v>
      </c>
      <c r="N25" s="159" t="str">
        <f>VLOOKUP(C25,'Trips&amp;Operators'!$C$1:$E$99999,3,FALSE)</f>
        <v>RICHARDSON</v>
      </c>
      <c r="O25" s="184" t="s">
        <v>213</v>
      </c>
      <c r="P25" s="160"/>
      <c r="Q25" s="31"/>
      <c r="R25" s="100" t="str">
        <f>VLOOKUP(C25,'Train Runs'!$A$13:$AE$10003,31,0)</f>
        <v>aws s3 cp s3://rtdc.mdm.uploadarchive.raw/RTDC4038/ "%USERPROFILE%\AppData\Local\Temp\OnboardLogs"\RTDC4038\2016-11-04 --exclude "*" --recursive --include "*20161104*" &amp; "%USERPROFILE%\Documents\GitHub\mrs-test-scripts\Headless Mode &amp; Sideloading\WalkAndUnGZ.bat" "%USERPROFILE%\AppData\Local\Temp\OnboardLogs"\RTDC4038\2016-11-04 &amp; aws s3 cp s3://rtdc.mdm.uploadarchive.raw/RTDC4038/ "%USERPROFILE%\AppData\Local\Temp\OnboardLogs"\RTDC4038\2016-11-05 --exclude "*" --recursive --include "*20161105*" &amp; "%USERPROFILE%\Documents\GitHub\mrs-test-scripts\Headless Mode &amp; Sideloading\WalkAndUnGZ.bat" "%USERPROFILE%\AppData\Local\Temp\OnboardLogs"\RTDC4038\2016-11-05</v>
      </c>
      <c r="S25" s="103" t="str">
        <f>VLOOKUP(C25,'Train Runs'!$A$13:$AE$10003,22,0)</f>
        <v>https://search-rtdc-monitor-bjffxe2xuh6vdkpspy63sjmuny.us-east-1.es.amazonaws.com/_plugin/kibana/#/discover/Steve-Slow-Train-Analysis-(2080s-and-2083s)?_g=(refreshInterval:(display:Off,section:0,value:0),time:(from:'2016-11-04 09:11:56-0600',mode:absolute,to:'2016-11-04 11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25" s="105" t="str">
        <f t="shared" si="1"/>
        <v>"C:\Program Files (x86)\AstroGrep\AstroGrep.exe" /spath="%USERPROFILE%\AppData\Local\Temp\OnboardLogs" /stypes="*4038*201611041*" /stext=" 16:.+((SYSTEM_STATE.+slice.+state.+changed )|(ment ac)|(system.+state.+changed )|(\[timeout)|(PRM\|1\|D)|(kpr)|(kdp)|(\|loc)|(penalty))" /e /r /s</v>
      </c>
      <c r="U25" s="9" t="str">
        <f t="shared" si="2"/>
        <v>4038</v>
      </c>
      <c r="V25" s="36">
        <f t="shared" si="3"/>
        <v>42678.702847222223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{"issue":{"subject":"","project_id":79,"tracker_id":40,"status_id":1,"priority_id":2,"assigned_to_id":23,"start_date":"2016-11-04","description":"","custom_fields":[{"id":1,"name":"Subdivision","value":"EC"},{"id":4,"name":"Milepost","value":"23.2107"},{"id":17,"name":"Train ID","value":"153-04"},{"id":16,"name":"Locomotive ID","value":"4038"},{"id":130,"name":"Impact","value":""},{"id":150,"name":"Time of Event (Mountain Time)","value":"10:52:06"},{"id":151,"name":"Denver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1" t="str">
        <f t="shared" si="7"/>
        <v>grep -hSE -A100 "Enforcement Action" "%USERPROFILE%\AppData\Local\Temp\OnboardLogs"\RTDC4038\*4038*201611041* | grep -SE "((Enforcement Ac)|(PRM))" -</v>
      </c>
      <c r="AD25" s="1"/>
    </row>
    <row r="26" spans="1:30" x14ac:dyDescent="0.25">
      <c r="A26" s="36">
        <v>42678.196736111109</v>
      </c>
      <c r="B26" s="31" t="s">
        <v>234</v>
      </c>
      <c r="C26" s="31" t="s">
        <v>403</v>
      </c>
      <c r="D26" s="31" t="s">
        <v>98</v>
      </c>
      <c r="E26" s="31" t="s">
        <v>214</v>
      </c>
      <c r="F26" s="47">
        <v>350</v>
      </c>
      <c r="G26" s="47">
        <v>406</v>
      </c>
      <c r="H26" s="47">
        <v>224959</v>
      </c>
      <c r="I26" s="47">
        <v>223426</v>
      </c>
      <c r="J26" s="31" t="s">
        <v>215</v>
      </c>
      <c r="K26" s="47">
        <v>232107</v>
      </c>
      <c r="L26" s="157" t="s">
        <v>51</v>
      </c>
      <c r="M26" s="158">
        <f t="shared" si="0"/>
        <v>-4583.5680000000002</v>
      </c>
      <c r="N26" s="159" t="str">
        <f>VLOOKUP(C26,'Trips&amp;Operators'!$C$1:$E$99999,3,FALSE)</f>
        <v>DAVIS</v>
      </c>
      <c r="O26" s="184" t="s">
        <v>213</v>
      </c>
      <c r="P26" s="160"/>
      <c r="Q26" s="31"/>
      <c r="R26" s="100" t="str">
        <f>VLOOKUP(C26,'Train Runs'!$A$13:$AE$10003,31,0)</f>
        <v>aws s3 cp s3://rtdc.mdm.uploadarchive.raw/RTDC4021/ "%USERPROFILE%\AppData\Local\Temp\OnboardLogs"\RTDC4021\2016-11-04 --exclude "*" --recursive --include "*20161104*" &amp; "%USERPROFILE%\Documents\GitHub\mrs-test-scripts\Headless Mode &amp; Sideloading\WalkAndUnGZ.bat" "%USERPROFILE%\AppData\Local\Temp\OnboardLogs"\RTDC4021\2016-11-04 &amp; aws s3 cp s3://rtdc.mdm.uploadarchive.raw/RTDC4021/ "%USERPROFILE%\AppData\Local\Temp\OnboardLogs"\RTDC4021\2016-11-05 --exclude "*" --recursive --include "*20161105*" &amp; "%USERPROFILE%\Documents\GitHub\mrs-test-scripts\Headless Mode &amp; Sideloading\WalkAndUnGZ.bat" "%USERPROFILE%\AppData\Local\Temp\OnboardLogs"\RTDC4021\2016-11-05</v>
      </c>
      <c r="S26" s="103" t="str">
        <f>VLOOKUP(C26,'Train Runs'!$A$13:$AE$10003,22,0)</f>
        <v>https://search-rtdc-monitor-bjffxe2xuh6vdkpspy63sjmuny.us-east-1.es.amazonaws.com/_plugin/kibana/#/discover/Steve-Slow-Train-Analysis-(2080s-and-2083s)?_g=(refreshInterval:(display:Off,section:0,value:0),time:(from:'2016-11-04 03:37:40-0600',mode:absolute,to:'2016-11-04 06:20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26" s="105" t="str">
        <f t="shared" si="1"/>
        <v>"C:\Program Files (x86)\AstroGrep\AstroGrep.exe" /spath="%USERPROFILE%\AppData\Local\Temp\OnboardLogs" /stypes="*4021*201611041*" /stext=" 10:.+((SYSTEM_STATE.+slice.+state.+changed )|(ment ac)|(system.+state.+changed )|(\[timeout)|(PRM\|1\|D)|(kpr)|(kdp)|(\|loc)|(penalty))" /e /r /s</v>
      </c>
      <c r="U26" s="9" t="str">
        <f t="shared" si="2"/>
        <v>4021</v>
      </c>
      <c r="V26" s="36">
        <f t="shared" si="3"/>
        <v>42678.446736111109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{"issue":{"subject":"","project_id":79,"tracker_id":40,"status_id":1,"priority_id":2,"assigned_to_id":23,"start_date":"2016-11-04","description":"","custom_fields":[{"id":1,"name":"Subdivision","value":"EC"},{"id":4,"name":"Milepost","value":"23.2107"},{"id":17,"name":"Train ID","value":"104-04"},{"id":16,"name":"Locomotive ID","value":"4021"},{"id":130,"name":"Impact","value":""},{"id":150,"name":"Time of Event (Mountain Time)","value":"04:43:18"},{"id":151,"name":"Denver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1" t="str">
        <f t="shared" si="7"/>
        <v>grep -hSE -A100 "Enforcement Action" "%USERPROFILE%\AppData\Local\Temp\OnboardLogs"\RTDC4021\*4021*201611041* | grep -SE "((Enforcement Ac)|(PRM))" -</v>
      </c>
      <c r="AD26" s="1"/>
    </row>
    <row r="27" spans="1:30" x14ac:dyDescent="0.25">
      <c r="A27" s="36">
        <v>42678.819976851853</v>
      </c>
      <c r="B27" s="31" t="s">
        <v>225</v>
      </c>
      <c r="C27" s="31" t="s">
        <v>430</v>
      </c>
      <c r="D27" s="31" t="s">
        <v>49</v>
      </c>
      <c r="E27" s="31" t="s">
        <v>216</v>
      </c>
      <c r="F27" s="47">
        <v>0</v>
      </c>
      <c r="G27" s="47">
        <v>165</v>
      </c>
      <c r="H27" s="47">
        <v>44292</v>
      </c>
      <c r="I27" s="47">
        <v>43973</v>
      </c>
      <c r="J27" s="31" t="s">
        <v>217</v>
      </c>
      <c r="K27" s="47">
        <v>43664</v>
      </c>
      <c r="L27" s="157" t="s">
        <v>51</v>
      </c>
      <c r="M27" s="158">
        <f t="shared" si="0"/>
        <v>163.15199999999999</v>
      </c>
      <c r="N27" s="159" t="str">
        <f>VLOOKUP(C27,'Trips&amp;Operators'!$C$1:$E$99999,3,FALSE)</f>
        <v>CHANDLER</v>
      </c>
      <c r="O27" s="184" t="s">
        <v>271</v>
      </c>
      <c r="P27" s="160" t="s">
        <v>787</v>
      </c>
      <c r="Q27" s="31"/>
      <c r="R27" s="100" t="str">
        <f>VLOOKUP(C27,'Train Runs'!$A$13:$AE$10003,31,0)</f>
        <v>aws s3 cp s3://rtdc.mdm.uploadarchive.raw/RTDC4030/ "%USERPROFILE%\AppData\Local\Temp\OnboardLogs"\RTDC4030\2016-11-04 --exclude "*" --recursive --include "*20161104*" &amp; "%USERPROFILE%\Documents\GitHub\mrs-test-scripts\Headless Mode &amp; Sideloading\WalkAndUnGZ.bat" "%USERPROFILE%\AppData\Local\Temp\OnboardLogs"\RTDC4030\2016-11-04 &amp; aws s3 cp s3://rtdc.mdm.uploadarchive.raw/RTDC4030/ "%USERPROFILE%\AppData\Local\Temp\OnboardLogs"\RTDC4030\2016-11-05 --exclude "*" --recursive --include "*20161105*" &amp; "%USERPROFILE%\Documents\GitHub\mrs-test-scripts\Headless Mode &amp; Sideloading\WalkAndUnGZ.bat" "%USERPROFILE%\AppData\Local\Temp\OnboardLogs"\RTDC4030\2016-11-05</v>
      </c>
      <c r="S27" s="103" t="str">
        <f>VLOOKUP(C27,'Train Runs'!$A$13:$AE$10003,22,0)</f>
        <v>https://search-rtdc-monitor-bjffxe2xuh6vdkpspy63sjmuny.us-east-1.es.amazonaws.com/_plugin/kibana/#/discover/Steve-Slow-Train-Analysis-(2080s-and-2083s)?_g=(refreshInterval:(display:Off,section:0,value:0),time:(from:'2016-11-04 18:08:30-0600',mode:absolute,to:'2016-11-04 20:40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7" s="105" t="str">
        <f t="shared" si="1"/>
        <v>"C:\Program Files (x86)\AstroGrep\AstroGrep.exe" /spath="%USERPROFILE%\AppData\Local\Temp\OnboardLogs" /stypes="*4030*201611050*" /stext=" 01:.+((SYSTEM_STATE.+slice.+state.+changed )|(ment ac)|(system.+state.+changed )|(\[timeout)|(PRM\|1\|D)|(kpr)|(kdp)|(\|loc)|(penalty))" /e /r /s</v>
      </c>
      <c r="U27" s="9" t="str">
        <f t="shared" si="2"/>
        <v>4030</v>
      </c>
      <c r="V27" s="36">
        <f t="shared" si="3"/>
        <v>42679.069976851853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{"issue":{"subject":"Onboard in-route failure","project_id":79,"tracker_id":40,"status_id":1,"priority_id":2,"assigned_to_id":23,"start_date":"2016-11-04","description":"","custom_fields":[{"id":1,"name":"Subdivision","value":"EC"},{"id":4,"name":"Milepost","value":"4.3664"},{"id":17,"name":"Train ID","value":"218-04"},{"id":16,"name":"Locomotive ID","value":"4030"},{"id":130,"name":"Impact","value":""},{"id":150,"name":"Time of Event (Mountain Time)","value":"19:40:46"},{"id":151,"name":"Denver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"%USERPROFILE%\AppData\Local\Temp\OnboardLogs"\RTDC4030\*4030*201611050* | grep -SE "((Enforcement Ac)|(PRM))" -</v>
      </c>
      <c r="AD27" s="1"/>
    </row>
    <row r="28" spans="1:30" x14ac:dyDescent="0.25">
      <c r="A28" s="36">
        <v>42678.455150462964</v>
      </c>
      <c r="B28" s="31" t="s">
        <v>285</v>
      </c>
      <c r="C28" s="31" t="s">
        <v>418</v>
      </c>
      <c r="D28" s="31" t="s">
        <v>49</v>
      </c>
      <c r="E28" s="31" t="s">
        <v>216</v>
      </c>
      <c r="F28" s="47">
        <v>0</v>
      </c>
      <c r="G28" s="47">
        <v>308</v>
      </c>
      <c r="H28" s="47">
        <v>128566</v>
      </c>
      <c r="I28" s="47">
        <v>128087</v>
      </c>
      <c r="J28" s="31" t="s">
        <v>217</v>
      </c>
      <c r="K28" s="47">
        <v>127587</v>
      </c>
      <c r="L28" s="157" t="s">
        <v>51</v>
      </c>
      <c r="M28" s="158">
        <f t="shared" si="0"/>
        <v>264</v>
      </c>
      <c r="N28" s="159" t="str">
        <f>VLOOKUP(C28,'Trips&amp;Operators'!$C$1:$E$99999,3,FALSE)</f>
        <v>PERKINS</v>
      </c>
      <c r="O28" s="184" t="s">
        <v>213</v>
      </c>
      <c r="P28" s="160" t="s">
        <v>797</v>
      </c>
      <c r="Q28" s="31"/>
      <c r="R28" s="100" t="str">
        <f>VLOOKUP(C28,'Train Runs'!$A$13:$AE$10003,31,0)</f>
        <v>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 &amp; aws s3 cp s3://rtdc.mdm.uploadarchive.raw/RTDC4041/ "%USERPROFILE%\AppData\Local\Temp\OnboardLogs"\RTDC4041\2016-11-05 --exclude "*" --recursive --include "*20161105*" &amp; "%USERPROFILE%\Documents\GitHub\mrs-test-scripts\Headless Mode &amp; Sideloading\WalkAndUnGZ.bat" "%USERPROFILE%\AppData\Local\Temp\OnboardLogs"\RTDC4041\2016-11-05</v>
      </c>
      <c r="S28" s="103" t="str">
        <f>VLOOKUP(C28,'Train Runs'!$A$13:$AE$10003,22,0)</f>
        <v>https://search-rtdc-monitor-bjffxe2xuh6vdkpspy63sjmuny.us-east-1.es.amazonaws.com/_plugin/kibana/#/discover/Steve-Slow-Train-Analysis-(2080s-and-2083s)?_g=(refreshInterval:(display:Off,section:0,value:0),time:(from:'2016-11-04 09:30:22-0600',mode:absolute,to:'2016-11-04 12:20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8" s="105" t="str">
        <f t="shared" si="1"/>
        <v>"C:\Program Files (x86)\AstroGrep\AstroGrep.exe" /spath="%USERPROFILE%\AppData\Local\Temp\OnboardLogs" /stypes="*4041*201611041*" /stext=" 16:.+((SYSTEM_STATE.+slice.+state.+changed )|(ment ac)|(system.+state.+changed )|(\[timeout)|(PRM\|1\|D)|(kpr)|(kdp)|(\|loc)|(penalty))" /e /r /s</v>
      </c>
      <c r="U28" s="9" t="str">
        <f t="shared" si="2"/>
        <v>4041</v>
      </c>
      <c r="V28" s="36">
        <f t="shared" si="3"/>
        <v>42678.705150462964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{"issue":{"subject":"40th 4S STOP, cleared afterward","project_id":79,"tracker_id":40,"status_id":1,"priority_id":2,"assigned_to_id":23,"start_date":"2016-11-04","description":"","custom_fields":[{"id":1,"name":"Subdivision","value":"EC"},{"id":4,"name":"Milepost","value":"12.7587"},{"id":17,"name":"Train ID","value":"150-04"},{"id":16,"name":"Locomotive ID","value":"4041"},{"id":130,"name":"Impact","value":""},{"id":150,"name":"Time of Event (Mountain Time)","value":"10:55:25"},{"id":151,"name":"Denver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"%USERPROFILE%\AppData\Local\Temp\OnboardLogs"\RTDC4041\*4041*201611041* | grep -SE "((Enforcement Ac)|(PRM))" -</v>
      </c>
      <c r="AD28" s="1"/>
    </row>
    <row r="29" spans="1:30" x14ac:dyDescent="0.25">
      <c r="A29" s="36">
        <v>42678.767384259256</v>
      </c>
      <c r="B29" s="31" t="s">
        <v>246</v>
      </c>
      <c r="C29" s="31" t="s">
        <v>427</v>
      </c>
      <c r="D29" s="31" t="s">
        <v>49</v>
      </c>
      <c r="E29" s="31" t="s">
        <v>216</v>
      </c>
      <c r="F29" s="47">
        <v>0</v>
      </c>
      <c r="G29" s="47">
        <v>494</v>
      </c>
      <c r="H29" s="47">
        <v>130878</v>
      </c>
      <c r="I29" s="47">
        <v>133225</v>
      </c>
      <c r="J29" s="31" t="s">
        <v>217</v>
      </c>
      <c r="K29" s="47">
        <v>133155</v>
      </c>
      <c r="L29" s="157" t="s">
        <v>50</v>
      </c>
      <c r="M29" s="158">
        <f t="shared" si="0"/>
        <v>-36.96</v>
      </c>
      <c r="N29" s="159" t="str">
        <f>VLOOKUP(C29,'Trips&amp;Operators'!$C$1:$E$99999,3,FALSE)</f>
        <v>MACDONALD</v>
      </c>
      <c r="O29" s="184" t="s">
        <v>271</v>
      </c>
      <c r="P29" s="160" t="s">
        <v>798</v>
      </c>
      <c r="Q29" s="31"/>
      <c r="R29" s="100" t="str">
        <f>VLOOKUP(C29,'Train Runs'!$A$13:$AE$10003,31,0)</f>
        <v>aws s3 cp s3://rtdc.mdm.uploadarchive.raw/RTDC4022/ "%USERPROFILE%\AppData\Local\Temp\OnboardLogs"\RTDC4022\2016-11-04 --exclude "*" --recursive --include "*20161104*" &amp; "%USERPROFILE%\Documents\GitHub\mrs-test-scripts\Headless Mode &amp; Sideloading\WalkAndUnGZ.bat" "%USERPROFILE%\AppData\Local\Temp\OnboardLogs"\RTDC4022\2016-11-04 &amp; aws s3 cp s3://rtdc.mdm.uploadarchive.raw/RTDC4022/ "%USERPROFILE%\AppData\Local\Temp\OnboardLogs"\RTDC4022\2016-11-05 --exclude "*" --recursive --include "*20161105*" &amp; "%USERPROFILE%\Documents\GitHub\mrs-test-scripts\Headless Mode &amp; Sideloading\WalkAndUnGZ.bat" "%USERPROFILE%\AppData\Local\Temp\OnboardLogs"\RTDC4022\2016-11-05</v>
      </c>
      <c r="S29" s="103" t="str">
        <f>VLOOKUP(C29,'Train Runs'!$A$13:$AE$10003,22,0)</f>
        <v>https://search-rtdc-monitor-bjffxe2xuh6vdkpspy63sjmuny.us-east-1.es.amazonaws.com/_plugin/kibana/#/discover/Steve-Slow-Train-Analysis-(2080s-and-2083s)?_g=(refreshInterval:(display:Off,section:0,value:0),time:(from:'2016-11-04 17:25:52-0600',mode:absolute,to:'2016-11-04 19:32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29" s="105" t="str">
        <f t="shared" si="1"/>
        <v>"C:\Program Files (x86)\AstroGrep\AstroGrep.exe" /spath="%USERPROFILE%\AppData\Local\Temp\OnboardLogs" /stypes="*4022*201611050*" /stext=" 00:.+((SYSTEM_STATE.+slice.+state.+changed )|(ment ac)|(system.+state.+changed )|(\[timeout)|(PRM\|1\|D)|(kpr)|(kdp)|(\|loc)|(penalty))" /e /r /s</v>
      </c>
      <c r="U29" s="9" t="str">
        <f t="shared" si="2"/>
        <v>4022</v>
      </c>
      <c r="V29" s="36">
        <f t="shared" si="3"/>
        <v>42679.017384259256</v>
      </c>
      <c r="W29" s="50" t="str">
        <f t="shared" si="4"/>
        <v>EC</v>
      </c>
      <c r="X29" s="50" t="str">
        <f t="shared" si="5"/>
        <v>KEEP</v>
      </c>
      <c r="Y29" s="122" t="str">
        <f t="shared" si="6"/>
        <v>echo {"issue":{"subject":"CP 61st ELXS failure","project_id":79,"tracker_id":40,"status_id":1,"priority_id":2,"assigned_to_id":23,"start_date":"2016-11-04","description":"","custom_fields":[{"id":1,"name":"Subdivision","value":"EC"},{"id":4,"name":"Milepost","value":"13.3155"},{"id":17,"name":"Train ID","value":"215-04"},{"id":16,"name":"Locomotive ID","value":"4022"},{"id":130,"name":"Impact","value":""},{"id":150,"name":"Time of Event (Mountain Time)","value":"18:25:02"},{"id":151,"name":"Denver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 t="shared" si="7"/>
        <v>grep -hSE -A100 "Enforcement Action" "%USERPROFILE%\AppData\Local\Temp\OnboardLogs"\RTDC4022\*4022*201611050* | grep -SE "((Enforcement Ac)|(PRM))" -</v>
      </c>
      <c r="AD29" s="1"/>
    </row>
    <row r="30" spans="1:30" x14ac:dyDescent="0.25">
      <c r="A30" s="36">
        <v>42678.770752314813</v>
      </c>
      <c r="B30" s="31" t="s">
        <v>246</v>
      </c>
      <c r="C30" s="31" t="s">
        <v>427</v>
      </c>
      <c r="D30" s="31" t="s">
        <v>49</v>
      </c>
      <c r="E30" s="31" t="s">
        <v>216</v>
      </c>
      <c r="F30" s="47">
        <v>0</v>
      </c>
      <c r="G30" s="47">
        <v>96</v>
      </c>
      <c r="H30" s="47">
        <v>138467</v>
      </c>
      <c r="I30" s="47">
        <v>138632</v>
      </c>
      <c r="J30" s="31" t="s">
        <v>217</v>
      </c>
      <c r="K30" s="47">
        <v>138837</v>
      </c>
      <c r="L30" s="157" t="s">
        <v>50</v>
      </c>
      <c r="M30" s="158">
        <f t="shared" si="0"/>
        <v>108.24</v>
      </c>
      <c r="N30" s="159" t="str">
        <f>VLOOKUP(C30,'Trips&amp;Operators'!$C$1:$E$99999,3,FALSE)</f>
        <v>MACDONALD</v>
      </c>
      <c r="O30" s="184" t="s">
        <v>271</v>
      </c>
      <c r="P30" s="160" t="s">
        <v>798</v>
      </c>
      <c r="Q30" s="31"/>
      <c r="R30" s="100" t="str">
        <f>VLOOKUP(C30,'Train Runs'!$A$13:$AE$10003,31,0)</f>
        <v>aws s3 cp s3://rtdc.mdm.uploadarchive.raw/RTDC4022/ "%USERPROFILE%\AppData\Local\Temp\OnboardLogs"\RTDC4022\2016-11-04 --exclude "*" --recursive --include "*20161104*" &amp; "%USERPROFILE%\Documents\GitHub\mrs-test-scripts\Headless Mode &amp; Sideloading\WalkAndUnGZ.bat" "%USERPROFILE%\AppData\Local\Temp\OnboardLogs"\RTDC4022\2016-11-04 &amp; aws s3 cp s3://rtdc.mdm.uploadarchive.raw/RTDC4022/ "%USERPROFILE%\AppData\Local\Temp\OnboardLogs"\RTDC4022\2016-11-05 --exclude "*" --recursive --include "*20161105*" &amp; "%USERPROFILE%\Documents\GitHub\mrs-test-scripts\Headless Mode &amp; Sideloading\WalkAndUnGZ.bat" "%USERPROFILE%\AppData\Local\Temp\OnboardLogs"\RTDC4022\2016-11-05</v>
      </c>
      <c r="S30" s="103" t="str">
        <f>VLOOKUP(C30,'Train Runs'!$A$13:$AE$10003,22,0)</f>
        <v>https://search-rtdc-monitor-bjffxe2xuh6vdkpspy63sjmuny.us-east-1.es.amazonaws.com/_plugin/kibana/#/discover/Steve-Slow-Train-Analysis-(2080s-and-2083s)?_g=(refreshInterval:(display:Off,section:0,value:0),time:(from:'2016-11-04 17:25:52-0600',mode:absolute,to:'2016-11-04 19:32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0" s="105" t="str">
        <f t="shared" si="1"/>
        <v>"C:\Program Files (x86)\AstroGrep\AstroGrep.exe" /spath="%USERPROFILE%\AppData\Local\Temp\OnboardLogs" /stypes="*4022*201611050*" /stext=" 00:.+((SYSTEM_STATE.+slice.+state.+changed )|(ment ac)|(system.+state.+changed )|(\[timeout)|(PRM\|1\|D)|(kpr)|(kdp)|(\|loc)|(penalty))" /e /r /s</v>
      </c>
      <c r="U30" s="9" t="str">
        <f t="shared" si="2"/>
        <v>4022</v>
      </c>
      <c r="V30" s="36">
        <f t="shared" si="3"/>
        <v>42679.020752314813</v>
      </c>
      <c r="W30" s="50" t="str">
        <f t="shared" si="4"/>
        <v>EC</v>
      </c>
      <c r="X30" s="50" t="str">
        <f t="shared" si="5"/>
        <v>KEEP</v>
      </c>
      <c r="Y30" s="122" t="str">
        <f t="shared" si="6"/>
        <v>echo {"issue":{"subject":"CP 61st ELXS failure","project_id":79,"tracker_id":40,"status_id":1,"priority_id":2,"assigned_to_id":23,"start_date":"2016-11-04","description":"","custom_fields":[{"id":1,"name":"Subdivision","value":"EC"},{"id":4,"name":"Milepost","value":"13.8837"},{"id":17,"name":"Train ID","value":"215-04"},{"id":16,"name":"Locomotive ID","value":"4022"},{"id":130,"name":"Impact","value":""},{"id":150,"name":"Time of Event (Mountain Time)","value":"18:29:53"},{"id":151,"name":"Denver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"%USERPROFILE%\AppData\Local\Temp\OnboardLogs"\RTDC4022\*4022*201611050* | grep -SE "((Enforcement Ac)|(PRM))" -</v>
      </c>
      <c r="AD30" s="1"/>
    </row>
    <row r="31" spans="1:30" ht="15" customHeight="1" x14ac:dyDescent="0.25">
      <c r="A31" s="36">
        <v>42678.397650462961</v>
      </c>
      <c r="B31" s="31" t="s">
        <v>229</v>
      </c>
      <c r="C31" s="31" t="s">
        <v>415</v>
      </c>
      <c r="D31" s="31" t="s">
        <v>49</v>
      </c>
      <c r="E31" s="31" t="s">
        <v>216</v>
      </c>
      <c r="F31" s="47">
        <v>0</v>
      </c>
      <c r="G31" s="47">
        <v>446</v>
      </c>
      <c r="H31" s="47">
        <v>194899</v>
      </c>
      <c r="I31" s="47">
        <v>193611</v>
      </c>
      <c r="J31" s="31" t="s">
        <v>217</v>
      </c>
      <c r="K31" s="47">
        <v>191723</v>
      </c>
      <c r="L31" s="157" t="s">
        <v>51</v>
      </c>
      <c r="M31" s="158">
        <f t="shared" si="0"/>
        <v>996.86400000000003</v>
      </c>
      <c r="N31" s="159" t="str">
        <f>VLOOKUP(C31,'Trips&amp;Operators'!$C$1:$E$99999,3,FALSE)</f>
        <v>RICHARDSON</v>
      </c>
      <c r="O31" s="184" t="s">
        <v>213</v>
      </c>
      <c r="P31" s="160" t="s">
        <v>799</v>
      </c>
      <c r="Q31" s="31"/>
      <c r="R31" s="100" t="str">
        <f>VLOOKUP(C31,'Train Runs'!$A$13:$AE$10003,31,0)</f>
        <v>aws s3 cp s3://rtdc.mdm.uploadarchive.raw/RTDC4037/ "%USERPROFILE%\AppData\Local\Temp\OnboardLogs"\RTDC4037\2016-11-04 --exclude "*" --recursive --include "*20161104*" &amp; "%USERPROFILE%\Documents\GitHub\mrs-test-scripts\Headless Mode &amp; Sideloading\WalkAndUnGZ.bat" "%USERPROFILE%\AppData\Local\Temp\OnboardLogs"\RTDC4037\2016-11-04 &amp; aws s3 cp s3://rtdc.mdm.uploadarchive.raw/RTDC4037/ "%USERPROFILE%\AppData\Local\Temp\OnboardLogs"\RTDC4037\2016-11-05 --exclude "*" --recursive --include "*20161105*" &amp; "%USERPROFILE%\Documents\GitHub\mrs-test-scripts\Headless Mode &amp; Sideloading\WalkAndUnGZ.bat" "%USERPROFILE%\AppData\Local\Temp\OnboardLogs"\RTDC4037\2016-11-05</v>
      </c>
      <c r="S31" s="103" t="str">
        <f>VLOOKUP(C31,'Train Runs'!$A$13:$AE$10003,22,0)</f>
        <v>https://search-rtdc-monitor-bjffxe2xuh6vdkpspy63sjmuny.us-east-1.es.amazonaws.com/_plugin/kibana/#/discover/Steve-Slow-Train-Analysis-(2080s-and-2083s)?_g=(refreshInterval:(display:Off,section:0,value:0),time:(from:'2016-11-04 08:18:46-0600',mode:absolute,to:'2016-11-04 11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31" s="105" t="str">
        <f t="shared" si="1"/>
        <v>"C:\Program Files (x86)\AstroGrep\AstroGrep.exe" /spath="%USERPROFILE%\AppData\Local\Temp\OnboardLogs" /stypes="*4037*201611041*" /stext=" 15:.+((SYSTEM_STATE.+slice.+state.+changed )|(ment ac)|(system.+state.+changed )|(\[timeout)|(PRM\|1\|D)|(kpr)|(kdp)|(\|loc)|(penalty))" /e /r /s</v>
      </c>
      <c r="U31" s="9" t="str">
        <f t="shared" si="2"/>
        <v>4037</v>
      </c>
      <c r="V31" s="36">
        <f t="shared" si="3"/>
        <v>42678.647650462961</v>
      </c>
      <c r="W31" s="50" t="str">
        <f t="shared" si="4"/>
        <v>EC</v>
      </c>
      <c r="X31" s="50" t="str">
        <f t="shared" si="5"/>
        <v>KEEP</v>
      </c>
      <c r="Y31" s="122" t="str">
        <f t="shared" si="6"/>
        <v>echo {"issue":{"subject":"Pena 4S STOP, cleared afterward","project_id":79,"tracker_id":40,"status_id":1,"priority_id":2,"assigned_to_id":23,"start_date":"2016-11-04","description":"","custom_fields":[{"id":1,"name":"Subdivision","value":"EC"},{"id":4,"name":"Milepost","value":"19.1723"},{"id":17,"name":"Train ID","value":"140-04"},{"id":16,"name":"Locomotive ID","value":"4037"},{"id":130,"name":"Impact","value":""},{"id":150,"name":"Time of Event (Mountain Time)","value":"09:32:37"},{"id":151,"name":"Denver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"%USERPROFILE%\AppData\Local\Temp\OnboardLogs"\RTDC4037\*4037*201611041* | grep -SE "((Enforcement Ac)|(PRM))" -</v>
      </c>
      <c r="AD31" s="1"/>
    </row>
    <row r="32" spans="1:30" x14ac:dyDescent="0.25">
      <c r="A32" s="36">
        <v>42678.617407407408</v>
      </c>
      <c r="B32" s="31" t="s">
        <v>285</v>
      </c>
      <c r="C32" s="31" t="s">
        <v>422</v>
      </c>
      <c r="D32" s="31" t="s">
        <v>49</v>
      </c>
      <c r="E32" s="31" t="s">
        <v>218</v>
      </c>
      <c r="F32" s="47">
        <v>0</v>
      </c>
      <c r="G32" s="47">
        <v>41</v>
      </c>
      <c r="H32" s="47">
        <v>143</v>
      </c>
      <c r="I32" s="47">
        <v>110</v>
      </c>
      <c r="J32" s="31" t="s">
        <v>219</v>
      </c>
      <c r="K32" s="47">
        <v>1</v>
      </c>
      <c r="L32" s="157" t="s">
        <v>51</v>
      </c>
      <c r="M32" s="158">
        <f t="shared" si="0"/>
        <v>57.552</v>
      </c>
      <c r="N32" s="159" t="str">
        <f>VLOOKUP(C32,'Trips&amp;Operators'!$C$1:$E$99999,3,FALSE)</f>
        <v>SAFIEF</v>
      </c>
      <c r="O32" s="184" t="s">
        <v>213</v>
      </c>
      <c r="P32" s="160"/>
      <c r="Q32" s="31"/>
      <c r="R32" s="100" t="str">
        <f>VLOOKUP(C32,'Train Runs'!$A$13:$AE$10003,31,0)</f>
        <v>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 &amp; aws s3 cp s3://rtdc.mdm.uploadarchive.raw/RTDC4041/ "%USERPROFILE%\AppData\Local\Temp\OnboardLogs"\RTDC4041\2016-11-05 --exclude "*" --recursive --include "*20161105*" &amp; "%USERPROFILE%\Documents\GitHub\mrs-test-scripts\Headless Mode &amp; Sideloading\WalkAndUnGZ.bat" "%USERPROFILE%\AppData\Local\Temp\OnboardLogs"\RTDC4041\2016-11-05</v>
      </c>
      <c r="S32" s="103" t="str">
        <f>VLOOKUP(C32,'Train Runs'!$A$13:$AE$10003,22,0)</f>
        <v>https://search-rtdc-monitor-bjffxe2xuh6vdkpspy63sjmuny.us-east-1.es.amazonaws.com/_plugin/kibana/#/discover/Steve-Slow-Train-Analysis-(2080s-and-2083s)?_g=(refreshInterval:(display:Off,section:0,value:0),time:(from:'2016-11-04 12:54:54-0600',mode:absolute,to:'2016-11-04 15:49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2" s="105" t="str">
        <f t="shared" si="1"/>
        <v>"C:\Program Files (x86)\AstroGrep\AstroGrep.exe" /spath="%USERPROFILE%\AppData\Local\Temp\OnboardLogs" /stypes="*4041*201611042*" /stext=" 20:.+((SYSTEM_STATE.+slice.+state.+changed )|(ment ac)|(system.+state.+changed )|(\[timeout)|(PRM\|1\|D)|(kpr)|(kdp)|(\|loc)|(penalty))" /e /r /s</v>
      </c>
      <c r="U32" s="9" t="str">
        <f t="shared" si="2"/>
        <v>4041</v>
      </c>
      <c r="V32" s="36">
        <f t="shared" si="3"/>
        <v>42678.867407407408</v>
      </c>
      <c r="W32" s="50" t="str">
        <f t="shared" si="4"/>
        <v>EC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{"issue":{"subject":"","project_id":79,"tracker_id":40,"status_id":1,"priority_id":2,"assigned_to_id":23,"start_date":"2016-11-04","description":"","custom_fields":[{"id":1,"name":"Subdivision","value":"EC"},{"id":4,"name":"Milepost","value":"0.0001"},{"id":17,"name":"Train ID","value":"178-04"},{"id":16,"name":"Locomotive ID","value":"4041"},{"id":130,"name":"Impact","value":""},{"id":150,"name":"Time of Event (Mountain Time)","value":"14:49:04"},{"id":151,"name":"Denver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 t="shared" si="7"/>
        <v>grep -hSE -A100 "Enforcement Action" "%USERPROFILE%\AppData\Local\Temp\OnboardLogs"\RTDC4041\*4041*201611042* | grep -SE "((Enforcement Ac)|(PRM))" -</v>
      </c>
      <c r="AD32" s="1"/>
    </row>
    <row r="33" spans="1:30" ht="15" customHeight="1" x14ac:dyDescent="0.25">
      <c r="A33" s="36">
        <v>42678.814988425926</v>
      </c>
      <c r="B33" s="31" t="s">
        <v>234</v>
      </c>
      <c r="C33" s="31" t="s">
        <v>429</v>
      </c>
      <c r="D33" s="31" t="s">
        <v>49</v>
      </c>
      <c r="E33" s="31" t="s">
        <v>218</v>
      </c>
      <c r="F33" s="47">
        <v>0</v>
      </c>
      <c r="G33" s="47">
        <v>131</v>
      </c>
      <c r="H33" s="47">
        <v>533</v>
      </c>
      <c r="I33" s="47">
        <v>376</v>
      </c>
      <c r="J33" s="31" t="s">
        <v>219</v>
      </c>
      <c r="K33" s="47">
        <v>1</v>
      </c>
      <c r="L33" s="157" t="s">
        <v>51</v>
      </c>
      <c r="M33" s="158">
        <f t="shared" si="0"/>
        <v>198</v>
      </c>
      <c r="N33" s="159" t="str">
        <f>VLOOKUP(C33,'Trips&amp;Operators'!$C$1:$E$99999,3,FALSE)</f>
        <v>MACDONALD</v>
      </c>
      <c r="O33" s="184" t="s">
        <v>213</v>
      </c>
      <c r="P33" s="160"/>
      <c r="Q33" s="31"/>
      <c r="R33" s="100" t="str">
        <f>VLOOKUP(C33,'Train Runs'!$A$13:$AE$10003,31,0)</f>
        <v>aws s3 cp s3://rtdc.mdm.uploadarchive.raw/RTDC4021/ "%USERPROFILE%\AppData\Local\Temp\OnboardLogs"\RTDC4021\2016-11-04 --exclude "*" --recursive --include "*20161104*" &amp; "%USERPROFILE%\Documents\GitHub\mrs-test-scripts\Headless Mode &amp; Sideloading\WalkAndUnGZ.bat" "%USERPROFILE%\AppData\Local\Temp\OnboardLogs"\RTDC4021\2016-11-04 &amp; aws s3 cp s3://rtdc.mdm.uploadarchive.raw/RTDC4021/ "%USERPROFILE%\AppData\Local\Temp\OnboardLogs"\RTDC4021\2016-11-05 --exclude "*" --recursive --include "*20161105*" &amp; "%USERPROFILE%\Documents\GitHub\mrs-test-scripts\Headless Mode &amp; Sideloading\WalkAndUnGZ.bat" "%USERPROFILE%\AppData\Local\Temp\OnboardLogs"\RTDC4021\2016-11-05</v>
      </c>
      <c r="S33" s="103" t="str">
        <f>VLOOKUP(C33,'Train Runs'!$A$13:$AE$10003,22,0)</f>
        <v>https://search-rtdc-monitor-bjffxe2xuh6vdkpspy63sjmuny.us-east-1.es.amazonaws.com/_plugin/kibana/#/discover/Steve-Slow-Train-Analysis-(2080s-and-2083s)?_g=(refreshInterval:(display:Off,section:0,value:0),time:(from:'2016-11-04 17:51:48-0600',mode:absolute,to:'2016-11-04 20:33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3" s="105" t="str">
        <f t="shared" si="1"/>
        <v>"C:\Program Files (x86)\AstroGrep\AstroGrep.exe" /spath="%USERPROFILE%\AppData\Local\Temp\OnboardLogs" /stypes="*4021*201611050*" /stext=" 01:.+((SYSTEM_STATE.+slice.+state.+changed )|(ment ac)|(system.+state.+changed )|(\[timeout)|(PRM\|1\|D)|(kpr)|(kdp)|(\|loc)|(penalty))" /e /r /s</v>
      </c>
      <c r="U33" s="9" t="str">
        <f t="shared" si="2"/>
        <v>4021</v>
      </c>
      <c r="V33" s="36">
        <f t="shared" si="3"/>
        <v>42679.064988425926</v>
      </c>
      <c r="W33" s="50" t="str">
        <f t="shared" si="4"/>
        <v>EC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{"issue":{"subject":"","project_id":79,"tracker_id":40,"status_id":1,"priority_id":2,"assigned_to_id":23,"start_date":"2016-11-04","description":"","custom_fields":[{"id":1,"name":"Subdivision","value":"EC"},{"id":4,"name":"Milepost","value":"0.0001"},{"id":17,"name":"Train ID","value":"216-04"},{"id":16,"name":"Locomotive ID","value":"4021"},{"id":130,"name":"Impact","value":""},{"id":150,"name":"Time of Event (Mountain Time)","value":"19:33:35"},{"id":151,"name":"Denver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"%USERPROFILE%\AppData\Local\Temp\OnboardLogs"\RTDC4021\*4021*201611050* | grep -SE "((Enforcement Ac)|(PRM))" -</v>
      </c>
      <c r="AD33" s="1"/>
    </row>
    <row r="34" spans="1:30" x14ac:dyDescent="0.25">
      <c r="A34" s="36">
        <v>42678.815509259257</v>
      </c>
      <c r="B34" s="31" t="s">
        <v>234</v>
      </c>
      <c r="C34" s="31" t="s">
        <v>429</v>
      </c>
      <c r="D34" s="31" t="s">
        <v>49</v>
      </c>
      <c r="E34" s="31" t="s">
        <v>218</v>
      </c>
      <c r="F34" s="47">
        <v>0</v>
      </c>
      <c r="G34" s="47">
        <v>49</v>
      </c>
      <c r="H34" s="47">
        <v>181</v>
      </c>
      <c r="I34" s="47">
        <v>141</v>
      </c>
      <c r="J34" s="31" t="s">
        <v>219</v>
      </c>
      <c r="K34" s="47">
        <v>1</v>
      </c>
      <c r="L34" s="157" t="s">
        <v>51</v>
      </c>
      <c r="M34" s="158">
        <f t="shared" si="0"/>
        <v>73.92</v>
      </c>
      <c r="N34" s="159" t="str">
        <f>VLOOKUP(C34,'Trips&amp;Operators'!$C$1:$E$99999,3,FALSE)</f>
        <v>MACDONALD</v>
      </c>
      <c r="O34" s="184" t="s">
        <v>213</v>
      </c>
      <c r="P34" s="160"/>
      <c r="Q34" s="31"/>
      <c r="R34" s="100" t="str">
        <f>VLOOKUP(C34,'Train Runs'!$A$13:$AE$10003,31,0)</f>
        <v>aws s3 cp s3://rtdc.mdm.uploadarchive.raw/RTDC4021/ "%USERPROFILE%\AppData\Local\Temp\OnboardLogs"\RTDC4021\2016-11-04 --exclude "*" --recursive --include "*20161104*" &amp; "%USERPROFILE%\Documents\GitHub\mrs-test-scripts\Headless Mode &amp; Sideloading\WalkAndUnGZ.bat" "%USERPROFILE%\AppData\Local\Temp\OnboardLogs"\RTDC4021\2016-11-04 &amp; aws s3 cp s3://rtdc.mdm.uploadarchive.raw/RTDC4021/ "%USERPROFILE%\AppData\Local\Temp\OnboardLogs"\RTDC4021\2016-11-05 --exclude "*" --recursive --include "*20161105*" &amp; "%USERPROFILE%\Documents\GitHub\mrs-test-scripts\Headless Mode &amp; Sideloading\WalkAndUnGZ.bat" "%USERPROFILE%\AppData\Local\Temp\OnboardLogs"\RTDC4021\2016-11-05</v>
      </c>
      <c r="S34" s="103" t="str">
        <f>VLOOKUP(C34,'Train Runs'!$A$13:$AE$10003,22,0)</f>
        <v>https://search-rtdc-monitor-bjffxe2xuh6vdkpspy63sjmuny.us-east-1.es.amazonaws.com/_plugin/kibana/#/discover/Steve-Slow-Train-Analysis-(2080s-and-2083s)?_g=(refreshInterval:(display:Off,section:0,value:0),time:(from:'2016-11-04 17:51:48-0600',mode:absolute,to:'2016-11-04 20:33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4" s="105" t="str">
        <f t="shared" si="1"/>
        <v>"C:\Program Files (x86)\AstroGrep\AstroGrep.exe" /spath="%USERPROFILE%\AppData\Local\Temp\OnboardLogs" /stypes="*4021*201611050*" /stext=" 01:.+((SYSTEM_STATE.+slice.+state.+changed )|(ment ac)|(system.+state.+changed )|(\[timeout)|(PRM\|1\|D)|(kpr)|(kdp)|(\|loc)|(penalty))" /e /r /s</v>
      </c>
      <c r="U34" s="9" t="str">
        <f t="shared" si="2"/>
        <v>4021</v>
      </c>
      <c r="V34" s="36">
        <f t="shared" si="3"/>
        <v>42679.065509259257</v>
      </c>
      <c r="W34" s="50" t="str">
        <f t="shared" si="4"/>
        <v>EC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{"issue":{"subject":"","project_id":79,"tracker_id":40,"status_id":1,"priority_id":2,"assigned_to_id":23,"start_date":"2016-11-04","description":"","custom_fields":[{"id":1,"name":"Subdivision","value":"EC"},{"id":4,"name":"Milepost","value":"0.0001"},{"id":17,"name":"Train ID","value":"216-04"},{"id":16,"name":"Locomotive ID","value":"4021"},{"id":130,"name":"Impact","value":""},{"id":150,"name":"Time of Event (Mountain Time)","value":"19:34:20"},{"id":151,"name":"Denver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"%USERPROFILE%\AppData\Local\Temp\OnboardLogs"\RTDC4021\*4021*201611050* | grep -SE "((Enforcement Ac)|(PRM))" -</v>
      </c>
      <c r="AD34" s="1"/>
    </row>
    <row r="35" spans="1:30" x14ac:dyDescent="0.25">
      <c r="A35" s="36">
        <v>42679.002152777779</v>
      </c>
      <c r="B35" s="31" t="s">
        <v>285</v>
      </c>
      <c r="C35" s="31" t="s">
        <v>435</v>
      </c>
      <c r="D35" s="31" t="s">
        <v>49</v>
      </c>
      <c r="E35" s="31" t="s">
        <v>218</v>
      </c>
      <c r="F35" s="47">
        <v>0</v>
      </c>
      <c r="G35" s="47">
        <v>50</v>
      </c>
      <c r="H35" s="47">
        <v>187</v>
      </c>
      <c r="I35" s="47">
        <v>138</v>
      </c>
      <c r="J35" s="31" t="s">
        <v>219</v>
      </c>
      <c r="K35" s="47">
        <v>1</v>
      </c>
      <c r="L35" s="157" t="s">
        <v>51</v>
      </c>
      <c r="M35" s="158">
        <f t="shared" si="0"/>
        <v>72.335999999999999</v>
      </c>
      <c r="N35" s="159" t="str">
        <f>VLOOKUP(C35,'Trips&amp;Operators'!$C$1:$E$99999,3,FALSE)</f>
        <v>STAMBAUGH</v>
      </c>
      <c r="O35" s="184" t="s">
        <v>213</v>
      </c>
      <c r="P35" s="160"/>
      <c r="Q35" s="31"/>
      <c r="R35" s="100" t="str">
        <f>VLOOKUP(C35,'Train Runs'!$A$13:$AE$10003,31,0)</f>
        <v>aws s3 cp s3://rtdc.mdm.uploadarchive.raw/RTDC4041/ "%USERPROFILE%\AppData\Local\Temp\OnboardLogs"\RTDC4041\2016-11-04 --exclude "*" --recursive --include "*20161104*" &amp; "%USERPROFILE%\Documents\GitHub\mrs-test-scripts\Headless Mode &amp; Sideloading\WalkAndUnGZ.bat" "%USERPROFILE%\AppData\Local\Temp\OnboardLogs"\RTDC4041\2016-11-04 &amp; aws s3 cp s3://rtdc.mdm.uploadarchive.raw/RTDC4041/ "%USERPROFILE%\AppData\Local\Temp\OnboardLogs"\RTDC4041\2016-11-05 --exclude "*" --recursive --include "*20161105*" &amp; "%USERPROFILE%\Documents\GitHub\mrs-test-scripts\Headless Mode &amp; Sideloading\WalkAndUnGZ.bat" "%USERPROFILE%\AppData\Local\Temp\OnboardLogs"\RTDC4041\2016-11-05</v>
      </c>
      <c r="S35" s="103" t="str">
        <f>VLOOKUP(C35,'Train Runs'!$A$13:$AE$10003,22,0)</f>
        <v>https://search-rtdc-monitor-bjffxe2xuh6vdkpspy63sjmuny.us-east-1.es.amazonaws.com/_plugin/kibana/#/discover/Steve-Slow-Train-Analysis-(2080s-and-2083s)?_g=(refreshInterval:(display:Off,section:0,value:0),time:(from:'2016-11-04 22:18:31-0600',mode:absolute,to:'2016-11-05 01:03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5" s="105" t="str">
        <f t="shared" si="1"/>
        <v>"C:\Program Files (x86)\AstroGrep\AstroGrep.exe" /spath="%USERPROFILE%\AppData\Local\Temp\OnboardLogs" /stypes="*4041*201611050*" /stext=" 06:.+((SYSTEM_STATE.+slice.+state.+changed )|(ment ac)|(system.+state.+changed )|(\[timeout)|(PRM\|1\|D)|(kpr)|(kdp)|(\|loc)|(penalty))" /e /r /s</v>
      </c>
      <c r="U35" s="9" t="str">
        <f t="shared" si="2"/>
        <v>4041</v>
      </c>
      <c r="V35" s="36">
        <f t="shared" si="3"/>
        <v>42679.252152777779</v>
      </c>
      <c r="W35" s="50" t="str">
        <f t="shared" si="4"/>
        <v>EC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{"issue":{"subject":"","project_id":79,"tracker_id":40,"status_id":1,"priority_id":2,"assigned_to_id":23,"start_date":"2016-11-05","description":"","custom_fields":[{"id":1,"name":"Subdivision","value":"EC"},{"id":4,"name":"Milepost","value":"0.0001"},{"id":17,"name":"Train ID","value":"236-04"},{"id":16,"name":"Locomotive ID","value":"4041"},{"id":130,"name":"Impact","value":""},{"id":150,"name":"Time of Event (Mountain Time)","value":"00:03:06"},{"id":151,"name":"Denver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1" t="str">
        <f t="shared" si="7"/>
        <v>grep -hSE -A100 "Enforcement Action" "%USERPROFILE%\AppData\Local\Temp\OnboardLogs"\RTDC4041\*4041*201611050* | grep -SE "((Enforcement Ac)|(PRM))" -</v>
      </c>
      <c r="AD35" s="1"/>
    </row>
    <row r="36" spans="1:30" x14ac:dyDescent="0.25">
      <c r="A36" s="36">
        <v>42678.318842592591</v>
      </c>
      <c r="B36" s="31" t="s">
        <v>263</v>
      </c>
      <c r="C36" s="31" t="s">
        <v>411</v>
      </c>
      <c r="D36" s="31" t="s">
        <v>49</v>
      </c>
      <c r="E36" s="31" t="s">
        <v>218</v>
      </c>
      <c r="F36" s="47">
        <v>0</v>
      </c>
      <c r="G36" s="47">
        <v>150</v>
      </c>
      <c r="H36" s="47">
        <v>232817</v>
      </c>
      <c r="I36" s="47">
        <v>233026</v>
      </c>
      <c r="J36" s="31" t="s">
        <v>219</v>
      </c>
      <c r="K36" s="47">
        <v>233491</v>
      </c>
      <c r="L36" s="157" t="s">
        <v>50</v>
      </c>
      <c r="M36" s="158">
        <f t="shared" si="0"/>
        <v>245.52</v>
      </c>
      <c r="N36" s="159" t="str">
        <f>VLOOKUP(C36,'Trips&amp;Operators'!$C$1:$E$99999,3,FALSE)</f>
        <v>MAELZER</v>
      </c>
      <c r="O36" s="184" t="s">
        <v>213</v>
      </c>
      <c r="P36" s="160"/>
      <c r="Q36" s="31"/>
      <c r="R36" s="100" t="str">
        <f>VLOOKUP(C36,'Train Runs'!$A$13:$AE$10003,31,0)</f>
        <v>aws s3 cp s3://rtdc.mdm.uploadarchive.raw/RTDC4003/ "%USERPROFILE%\AppData\Local\Temp\OnboardLogs"\RTDC4003\2016-11-04 --exclude "*" --recursive --include "*20161104*" &amp; "%USERPROFILE%\Documents\GitHub\mrs-test-scripts\Headless Mode &amp; Sideloading\WalkAndUnGZ.bat" "%USERPROFILE%\AppData\Local\Temp\OnboardLogs"\RTDC4003\2016-11-04 &amp; 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</v>
      </c>
      <c r="S36" s="103" t="str">
        <f>VLOOKUP(C36,'Train Runs'!$A$13:$AE$10003,22,0)</f>
        <v>https://search-rtdc-monitor-bjffxe2xuh6vdkpspy63sjmuny.us-east-1.es.amazonaws.com/_plugin/kibana/#/discover/Steve-Slow-Train-Analysis-(2080s-and-2083s)?_g=(refreshInterval:(display:Off,section:0,value:0),time:(from:'2016-11-04 05:52:49-0600',mode:absolute,to:'2016-11-04 08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6" s="105" t="str">
        <f t="shared" si="1"/>
        <v>"C:\Program Files (x86)\AstroGrep\AstroGrep.exe" /spath="%USERPROFILE%\AppData\Local\Temp\OnboardLogs" /stypes="*4003*201611041*" /stext=" 13:.+((SYSTEM_STATE.+slice.+state.+changed )|(ment ac)|(system.+state.+changed )|(\[timeout)|(PRM\|1\|D)|(kpr)|(kdp)|(\|loc)|(penalty))" /e /r /s</v>
      </c>
      <c r="U36" s="9" t="str">
        <f t="shared" si="2"/>
        <v>4003</v>
      </c>
      <c r="V36" s="36">
        <f t="shared" si="3"/>
        <v>42678.568842592591</v>
      </c>
      <c r="W36" s="50" t="str">
        <f t="shared" si="4"/>
        <v>EC</v>
      </c>
      <c r="X36" s="50" t="str">
        <f t="shared" si="5"/>
        <v>KEEP</v>
      </c>
      <c r="Y36" s="122" t="str">
        <f t="shared" si="6"/>
        <v>echo {"issue":{"subject":"","project_id":79,"tracker_id":40,"status_id":1,"priority_id":2,"assigned_to_id":23,"start_date":"2016-11-04","description":"","custom_fields":[{"id":1,"name":"Subdivision","value":"EC"},{"id":4,"name":"Milepost","value":"23.3491"},{"id":17,"name":"Train ID","value":"127-04"},{"id":16,"name":"Locomotive ID","value":"4003"},{"id":130,"name":"Impact","value":""},{"id":150,"name":"Time of Event (Mountain Time)","value":"07:39:08"},{"id":151,"name":"Denver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41" t="str">
        <f t="shared" si="7"/>
        <v>grep -hSE -A100 "Enforcement Action" "%USERPROFILE%\AppData\Local\Temp\OnboardLogs"\RTDC4003\*4003*201611041* | grep -SE "((Enforcement Ac)|(PRM))" -</v>
      </c>
      <c r="AD36" s="1"/>
    </row>
    <row r="37" spans="1:30" x14ac:dyDescent="0.25">
      <c r="A37" s="36">
        <v>42678.411782407406</v>
      </c>
      <c r="B37" s="31" t="s">
        <v>246</v>
      </c>
      <c r="C37" s="31" t="s">
        <v>416</v>
      </c>
      <c r="D37" s="31" t="s">
        <v>49</v>
      </c>
      <c r="E37" s="31" t="s">
        <v>218</v>
      </c>
      <c r="F37" s="47">
        <v>0</v>
      </c>
      <c r="G37" s="47">
        <v>50</v>
      </c>
      <c r="H37" s="47">
        <v>233302</v>
      </c>
      <c r="I37" s="47">
        <v>233336</v>
      </c>
      <c r="J37" s="31" t="s">
        <v>219</v>
      </c>
      <c r="K37" s="47">
        <v>233491</v>
      </c>
      <c r="L37" s="157" t="s">
        <v>50</v>
      </c>
      <c r="M37" s="158">
        <f t="shared" si="0"/>
        <v>81.84</v>
      </c>
      <c r="N37" s="159" t="str">
        <f>VLOOKUP(C37,'Trips&amp;Operators'!$C$1:$E$99999,3,FALSE)</f>
        <v>HOLCOMB</v>
      </c>
      <c r="O37" s="184" t="s">
        <v>213</v>
      </c>
      <c r="P37" s="160"/>
      <c r="Q37" s="31"/>
      <c r="R37" s="100" t="str">
        <f>VLOOKUP(C37,'Train Runs'!$A$13:$AE$10003,31,0)</f>
        <v>aws s3 cp s3://rtdc.mdm.uploadarchive.raw/RTDC4022/ "%USERPROFILE%\AppData\Local\Temp\OnboardLogs"\RTDC4022\2016-11-04 --exclude "*" --recursive --include "*20161104*" &amp; "%USERPROFILE%\Documents\GitHub\mrs-test-scripts\Headless Mode &amp; Sideloading\WalkAndUnGZ.bat" "%USERPROFILE%\AppData\Local\Temp\OnboardLogs"\RTDC4022\2016-11-04 &amp; aws s3 cp s3://rtdc.mdm.uploadarchive.raw/RTDC4022/ "%USERPROFILE%\AppData\Local\Temp\OnboardLogs"\RTDC4022\2016-11-05 --exclude "*" --recursive --include "*20161105*" &amp; "%USERPROFILE%\Documents\GitHub\mrs-test-scripts\Headless Mode &amp; Sideloading\WalkAndUnGZ.bat" "%USERPROFILE%\AppData\Local\Temp\OnboardLogs"\RTDC4022\2016-11-05</v>
      </c>
      <c r="S37" s="103" t="str">
        <f>VLOOKUP(C37,'Train Runs'!$A$13:$AE$10003,22,0)</f>
        <v>https://search-rtdc-monitor-bjffxe2xuh6vdkpspy63sjmuny.us-east-1.es.amazonaws.com/_plugin/kibana/#/discover/Steve-Slow-Train-Analysis-(2080s-and-2083s)?_g=(refreshInterval:(display:Off,section:0,value:0),time:(from:'2016-11-04 08:09:33-0600',mode:absolute,to:'2016-11-04 10:52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7" s="105" t="str">
        <f t="shared" si="1"/>
        <v>"C:\Program Files (x86)\AstroGrep\AstroGrep.exe" /spath="%USERPROFILE%\AppData\Local\Temp\OnboardLogs" /stypes="*4022*201611041*" /stext=" 15:.+((SYSTEM_STATE.+slice.+state.+changed )|(ment ac)|(system.+state.+changed )|(\[timeout)|(PRM\|1\|D)|(kpr)|(kdp)|(\|loc)|(penalty))" /e /r /s</v>
      </c>
      <c r="U37" s="9" t="str">
        <f t="shared" si="2"/>
        <v>4022</v>
      </c>
      <c r="V37" s="36">
        <f t="shared" si="3"/>
        <v>42678.661782407406</v>
      </c>
      <c r="W37" s="50" t="str">
        <f t="shared" si="4"/>
        <v>EC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{"issue":{"subject":"","project_id":79,"tracker_id":40,"status_id":1,"priority_id":2,"assigned_to_id":23,"start_date":"2016-11-04","description":"","custom_fields":[{"id":1,"name":"Subdivision","value":"EC"},{"id":4,"name":"Milepost","value":"23.3491"},{"id":17,"name":"Train ID","value":"145-04"},{"id":16,"name":"Locomotive ID","value":"4022"},{"id":130,"name":"Impact","value":""},{"id":150,"name":"Time of Event (Mountain Time)","value":"09:52:58"},{"id":151,"name":"Denver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1" t="str">
        <f t="shared" si="7"/>
        <v>grep -hSE -A100 "Enforcement Action" "%USERPROFILE%\AppData\Local\Temp\OnboardLogs"\RTDC4022\*4022*201611041* | grep -SE "((Enforcement Ac)|(PRM))" -</v>
      </c>
      <c r="AD37" s="1"/>
    </row>
    <row r="38" spans="1:30" x14ac:dyDescent="0.25">
      <c r="A38" s="36">
        <v>42678.504027777781</v>
      </c>
      <c r="B38" s="31" t="s">
        <v>288</v>
      </c>
      <c r="C38" s="31" t="s">
        <v>420</v>
      </c>
      <c r="D38" s="31" t="s">
        <v>49</v>
      </c>
      <c r="E38" s="31" t="s">
        <v>218</v>
      </c>
      <c r="F38" s="47">
        <v>0</v>
      </c>
      <c r="G38" s="47">
        <v>55</v>
      </c>
      <c r="H38" s="47">
        <v>233178</v>
      </c>
      <c r="I38" s="47">
        <v>233264</v>
      </c>
      <c r="J38" s="31" t="s">
        <v>219</v>
      </c>
      <c r="K38" s="47">
        <v>233491</v>
      </c>
      <c r="L38" s="157" t="s">
        <v>50</v>
      </c>
      <c r="M38" s="158">
        <f t="shared" si="0"/>
        <v>119.85599999999999</v>
      </c>
      <c r="N38" s="159" t="str">
        <f>VLOOKUP(C38,'Trips&amp;Operators'!$C$1:$E$99999,3,FALSE)</f>
        <v>SAFIEF</v>
      </c>
      <c r="O38" s="184" t="s">
        <v>213</v>
      </c>
      <c r="P38" s="160"/>
      <c r="Q38" s="31"/>
      <c r="R38" s="100" t="str">
        <f>VLOOKUP(C38,'Train Runs'!$A$13:$AE$10003,31,0)</f>
        <v>aws s3 cp s3://rtdc.mdm.uploadarchive.raw/RTDC4042/ "%USERPROFILE%\AppData\Local\Temp\OnboardLogs"\RTDC4042\2016-11-04 --exclude "*" --recursive --include "*20161104*" &amp; "%USERPROFILE%\Documents\GitHub\mrs-test-scripts\Headless Mode &amp; Sideloading\WalkAndUnGZ.bat" "%USERPROFILE%\AppData\Local\Temp\OnboardLogs"\RTDC4042\2016-11-04 &amp; aws s3 cp s3://rtdc.mdm.uploadarchive.raw/RTDC4042/ "%USERPROFILE%\AppData\Local\Temp\OnboardLogs"\RTDC4042\2016-11-05 --exclude "*" --recursive --include "*20161105*" &amp; "%USERPROFILE%\Documents\GitHub\mrs-test-scripts\Headless Mode &amp; Sideloading\WalkAndUnGZ.bat" "%USERPROFILE%\AppData\Local\Temp\OnboardLogs"\RTDC4042\2016-11-05</v>
      </c>
      <c r="S38" s="103" t="str">
        <f>VLOOKUP(C38,'Train Runs'!$A$13:$AE$10003,22,0)</f>
        <v>https://search-rtdc-monitor-bjffxe2xuh6vdkpspy63sjmuny.us-east-1.es.amazonaws.com/_plugin/kibana/#/discover/Steve-Slow-Train-Analysis-(2080s-and-2083s)?_g=(refreshInterval:(display:Off,section:0,value:0),time:(from:'2016-11-04 10:22:54-0600',mode:absolute,to:'2016-11-04 13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8" s="105" t="str">
        <f t="shared" si="1"/>
        <v>"C:\Program Files (x86)\AstroGrep\AstroGrep.exe" /spath="%USERPROFILE%\AppData\Local\Temp\OnboardLogs" /stypes="*4042*201611041*" /stext=" 18:.+((SYSTEM_STATE.+slice.+state.+changed )|(ment ac)|(system.+state.+changed )|(\[timeout)|(PRM\|1\|D)|(kpr)|(kdp)|(\|loc)|(penalty))" /e /r /s</v>
      </c>
      <c r="U38" s="9" t="str">
        <f t="shared" si="2"/>
        <v>4042</v>
      </c>
      <c r="V38" s="36">
        <f t="shared" si="3"/>
        <v>42678.754027777781</v>
      </c>
      <c r="W38" s="50" t="str">
        <f t="shared" si="4"/>
        <v>EC</v>
      </c>
      <c r="X38" s="50" t="str">
        <f t="shared" si="5"/>
        <v>KEEP</v>
      </c>
      <c r="Y38" s="122" t="str">
        <f t="shared" si="6"/>
        <v>echo {"issue":{"subject":"","project_id":79,"tracker_id":40,"status_id":1,"priority_id":2,"assigned_to_id":23,"start_date":"2016-11-04","description":"","custom_fields":[{"id":1,"name":"Subdivision","value":"EC"},{"id":4,"name":"Milepost","value":"23.3491"},{"id":17,"name":"Train ID","value":"163-04"},{"id":16,"name":"Locomotive ID","value":"4042"},{"id":130,"name":"Impact","value":""},{"id":150,"name":"Time of Event (Mountain Time)","value":"12:05:48"},{"id":151,"name":"Denver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41" t="str">
        <f t="shared" si="7"/>
        <v>grep -hSE -A100 "Enforcement Action" "%USERPROFILE%\AppData\Local\Temp\OnboardLogs"\RTDC4042\*4042*201611041* | grep -SE "((Enforcement Ac)|(PRM))" -</v>
      </c>
      <c r="AD38" s="1"/>
    </row>
    <row r="39" spans="1:30" x14ac:dyDescent="0.25">
      <c r="A39" s="36">
        <v>42678.68959490741</v>
      </c>
      <c r="B39" s="31" t="s">
        <v>189</v>
      </c>
      <c r="C39" s="31" t="s">
        <v>423</v>
      </c>
      <c r="D39" s="31" t="s">
        <v>49</v>
      </c>
      <c r="E39" s="31" t="s">
        <v>214</v>
      </c>
      <c r="F39" s="47">
        <v>150</v>
      </c>
      <c r="G39" s="47">
        <v>299</v>
      </c>
      <c r="H39" s="47">
        <v>56090</v>
      </c>
      <c r="I39" s="47">
        <v>56748</v>
      </c>
      <c r="J39" s="31" t="s">
        <v>215</v>
      </c>
      <c r="K39" s="47">
        <v>57008</v>
      </c>
      <c r="L39" s="157" t="s">
        <v>50</v>
      </c>
      <c r="M39" s="158">
        <f t="shared" si="0"/>
        <v>137.28</v>
      </c>
      <c r="N39" s="159" t="str">
        <f>VLOOKUP(C39,'Trips&amp;Operators'!$C$1:$E$99999,3,FALSE)</f>
        <v>LOZA</v>
      </c>
      <c r="O39" s="184" t="s">
        <v>213</v>
      </c>
      <c r="P39" s="160"/>
      <c r="Q39" s="31"/>
      <c r="R39" s="100" t="str">
        <f>VLOOKUP(C39,'Train Runs'!$A$13:$AE$10003,31,0)</f>
        <v>aws s3 cp s3://rtdc.mdm.uploadarchive.raw/RTDC4009/ "%USERPROFILE%\AppData\Local\Temp\OnboardLogs"\RTDC4009\2016-11-04 --exclude "*" --recursive --include "*20161104*" &amp; "%USERPROFILE%\Documents\GitHub\mrs-test-scripts\Headless Mode &amp; Sideloading\WalkAndUnGZ.bat" "%USERPROFILE%\AppData\Local\Temp\OnboardLogs"\RTDC4009\2016-11-04 &amp; aws s3 cp s3://rtdc.mdm.uploadarchive.raw/RTDC4009/ "%USERPROFILE%\AppData\Local\Temp\OnboardLogs"\RTDC4009\2016-11-05 --exclude "*" --recursive --include "*20161105*" &amp; "%USERPROFILE%\Documents\GitHub\mrs-test-scripts\Headless Mode &amp; Sideloading\WalkAndUnGZ.bat" "%USERPROFILE%\AppData\Local\Temp\OnboardLogs"\RTDC4009\2016-11-05</v>
      </c>
      <c r="S39" s="103" t="str">
        <f>VLOOKUP(C39,'Train Runs'!$A$13:$AE$10003,22,0)</f>
        <v>https://search-rtdc-monitor-bjffxe2xuh6vdkpspy63sjmuny.us-east-1.es.amazonaws.com/_plugin/kibana/#/discover/Steve-Slow-Train-Analysis-(2080s-and-2083s)?_g=(refreshInterval:(display:Off,section:0,value:0),time:(from:'2016-11-04 15:17:12-0600',mode:absolute,to:'2016-11-04 17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39" s="105" t="str">
        <f t="shared" si="1"/>
        <v>"C:\Program Files (x86)\AstroGrep\AstroGrep.exe" /spath="%USERPROFILE%\AppData\Local\Temp\OnboardLogs" /stypes="*4009*201611042*" /stext=" 22:.+((SYSTEM_STATE.+slice.+state.+changed )|(ment ac)|(system.+state.+changed )|(\[timeout)|(PRM\|1\|D)|(kpr)|(kdp)|(\|loc)|(penalty))" /e /r /s</v>
      </c>
      <c r="U39" s="9" t="str">
        <f t="shared" si="2"/>
        <v>4009</v>
      </c>
      <c r="V39" s="36">
        <f t="shared" si="3"/>
        <v>42678.93959490741</v>
      </c>
      <c r="W39" s="50" t="str">
        <f t="shared" si="4"/>
        <v>NW</v>
      </c>
      <c r="X39" s="50" t="str">
        <f t="shared" si="5"/>
        <v>KEEP</v>
      </c>
      <c r="Y39" s="122" t="str">
        <f t="shared" si="6"/>
        <v>echo {"issue":{"subject":"","project_id":79,"tracker_id":40,"status_id":1,"priority_id":2,"assigned_to_id":23,"start_date":"2016-11-04","description":"","custom_fields":[{"id":1,"name":"Subdivision","value":"NW"},{"id":4,"name":"Milepost","value":"5.7008"},{"id":17,"name":"Train ID","value":"829-04"},{"id":16,"name":"Locomotive ID","value":"4009"},{"id":130,"name":"Impact","value":""},{"id":150,"name":"Time of Event (Mountain Time)","value":"16:33:01"},{"id":151,"name":"Denver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1" t="str">
        <f t="shared" si="7"/>
        <v>grep -hSE -A100 "Enforcement Action" "%USERPROFILE%\AppData\Local\Temp\OnboardLogs"\RTDC4009\*4009*201611042* | grep -SE "((Enforcement Ac)|(PRM))" -</v>
      </c>
      <c r="AD39" s="1"/>
    </row>
    <row r="40" spans="1:30" x14ac:dyDescent="0.25">
      <c r="A40" s="36">
        <v>42678.264687499999</v>
      </c>
      <c r="B40" s="31" t="s">
        <v>350</v>
      </c>
      <c r="C40" s="31" t="s">
        <v>407</v>
      </c>
      <c r="D40" s="31" t="s">
        <v>49</v>
      </c>
      <c r="E40" s="31" t="s">
        <v>216</v>
      </c>
      <c r="F40" s="47">
        <v>0</v>
      </c>
      <c r="G40" s="47">
        <v>89</v>
      </c>
      <c r="H40" s="47">
        <v>11022</v>
      </c>
      <c r="I40" s="47">
        <v>10858</v>
      </c>
      <c r="J40" s="31" t="s">
        <v>217</v>
      </c>
      <c r="K40" s="47">
        <v>11016</v>
      </c>
      <c r="L40" s="157" t="s">
        <v>51</v>
      </c>
      <c r="M40" s="158">
        <f t="shared" si="0"/>
        <v>-83.424000000000007</v>
      </c>
      <c r="N40" s="159" t="str">
        <f>VLOOKUP(C40,'Trips&amp;Operators'!$C$1:$E$99999,3,FALSE)</f>
        <v>ROBINSON</v>
      </c>
      <c r="O40" s="184" t="s">
        <v>271</v>
      </c>
      <c r="P40" s="160" t="s">
        <v>795</v>
      </c>
      <c r="Q40" s="31"/>
      <c r="R40" s="100" t="str">
        <f>VLOOKUP(C40,'Train Runs'!$A$13:$AE$10003,31,0)</f>
        <v>aws s3 cp s3://rtdc.mdm.uploadarchive.raw/RTDC4012/ "%USERPROFILE%\AppData\Local\Temp\OnboardLogs"\RTDC4012\2016-11-04 --exclude "*" --recursive --include "*20161104*" &amp; "%USERPROFILE%\Documents\GitHub\mrs-test-scripts\Headless Mode &amp; Sideloading\WalkAndUnGZ.bat" "%USERPROFILE%\AppData\Local\Temp\OnboardLogs"\RTDC4012\2016-11-04 &amp; 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</v>
      </c>
      <c r="S40" s="103" t="str">
        <f>VLOOKUP(C40,'Train Runs'!$A$13:$AE$10003,22,0)</f>
        <v>https://search-rtdc-monitor-bjffxe2xuh6vdkpspy63sjmuny.us-east-1.es.amazonaws.com/_plugin/kibana/#/discover/Steve-Slow-Train-Analysis-(2080s-and-2083s)?_g=(refreshInterval:(display:Off,section:0,value:0),time:(from:'2016-11-04 05:06:44-0600',mode:absolute,to:'2016-11-04 07:30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40" s="105" t="str">
        <f t="shared" si="1"/>
        <v>"C:\Program Files (x86)\AstroGrep\AstroGrep.exe" /spath="%USERPROFILE%\AppData\Local\Temp\OnboardLogs" /stypes="*4012*201611041*" /stext=" 12:.+((SYSTEM_STATE.+slice.+state.+changed )|(ment ac)|(system.+state.+changed )|(\[timeout)|(PRM\|1\|D)|(kpr)|(kdp)|(\|loc)|(penalty))" /e /r /s</v>
      </c>
      <c r="U40" s="9" t="str">
        <f t="shared" si="2"/>
        <v>4012</v>
      </c>
      <c r="V40" s="36">
        <f t="shared" si="3"/>
        <v>42678.514687499999</v>
      </c>
      <c r="W40" s="50" t="str">
        <f t="shared" si="4"/>
        <v>NW</v>
      </c>
      <c r="X40" s="50" t="str">
        <f t="shared" si="5"/>
        <v>KEEP</v>
      </c>
      <c r="Y40" s="122" t="str">
        <f t="shared" si="6"/>
        <v>echo {"issue":{"subject":"GPS/wheeltach underneath I-25","project_id":79,"tracker_id":40,"status_id":1,"priority_id":2,"assigned_to_id":23,"start_date":"2016-11-04","description":"See title","custom_fields":[{"id":1,"name":"Subdivision","value":"NW"},{"id":4,"name":"Milepost","value":"1.1016"},{"id":17,"name":"Train ID","value":"802-04"},{"id":16,"name":"Locomotive ID","value":"4012"},{"id":130,"name":"Impact","value":"Enforcement"},{"id":150,"name":"Time of Event (Mountain Time)","value":"06:21:09"},{"id":151,"name":"Denver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40" s="53" t="s">
        <v>796</v>
      </c>
      <c r="AA40" s="53" t="s">
        <v>125</v>
      </c>
      <c r="AB40" s="53" t="s">
        <v>178</v>
      </c>
      <c r="AC40" s="141" t="str">
        <f t="shared" si="7"/>
        <v>grep -hSE -A100 "Enforcement Action" "%USERPROFILE%\AppData\Local\Temp\OnboardLogs"\RTDC4012\*4012*201611041* | grep -SE "((Enforcement Ac)|(PRM))" -</v>
      </c>
      <c r="AD40" s="1"/>
    </row>
    <row r="41" spans="1:30" x14ac:dyDescent="0.25">
      <c r="A41" s="36">
        <v>42678.746550925927</v>
      </c>
      <c r="B41" s="31" t="s">
        <v>188</v>
      </c>
      <c r="C41" s="31" t="s">
        <v>426</v>
      </c>
      <c r="D41" s="31" t="s">
        <v>49</v>
      </c>
      <c r="E41" s="31" t="s">
        <v>218</v>
      </c>
      <c r="F41" s="47">
        <v>0</v>
      </c>
      <c r="G41" s="47">
        <v>144</v>
      </c>
      <c r="H41" s="47">
        <v>1151</v>
      </c>
      <c r="I41" s="47">
        <v>1018</v>
      </c>
      <c r="J41" s="31" t="s">
        <v>219</v>
      </c>
      <c r="K41" s="47">
        <v>575</v>
      </c>
      <c r="L41" s="157" t="s">
        <v>51</v>
      </c>
      <c r="M41" s="158">
        <f t="shared" si="0"/>
        <v>233.904</v>
      </c>
      <c r="N41" s="159" t="str">
        <f>VLOOKUP(C41,'Trips&amp;Operators'!$C$1:$E$99999,3,FALSE)</f>
        <v>HELVIE</v>
      </c>
      <c r="O41" s="184" t="s">
        <v>213</v>
      </c>
      <c r="P41" s="160"/>
      <c r="Q41" s="31"/>
      <c r="R41" s="100" t="str">
        <f>VLOOKUP(C41,'Train Runs'!$A$13:$AE$10003,31,0)</f>
        <v>aws s3 cp s3://rtdc.mdm.uploadarchive.raw/RTDC4010/ "%USERPROFILE%\AppData\Local\Temp\OnboardLogs"\RTDC4010\2016-11-04 --exclude "*" --recursive --include "*20161104*" &amp; "%USERPROFILE%\Documents\GitHub\mrs-test-scripts\Headless Mode &amp; Sideloading\WalkAndUnGZ.bat" "%USERPROFILE%\AppData\Local\Temp\OnboardLogs"\RTDC4010\2016-11-04 &amp; aws s3 cp s3://rtdc.mdm.uploadarchive.raw/RTDC4010/ "%USERPROFILE%\AppData\Local\Temp\OnboardLogs"\RTDC4010\2016-11-05 --exclude "*" --recursive --include "*20161105*" &amp; "%USERPROFILE%\Documents\GitHub\mrs-test-scripts\Headless Mode &amp; Sideloading\WalkAndUnGZ.bat" "%USERPROFILE%\AppData\Local\Temp\OnboardLogs"\RTDC4010\2016-11-05</v>
      </c>
      <c r="S41" s="103" t="str">
        <f>VLOOKUP(C41,'Train Runs'!$A$13:$AE$10003,22,0)</f>
        <v>https://search-rtdc-monitor-bjffxe2xuh6vdkpspy63sjmuny.us-east-1.es.amazonaws.com/_plugin/kibana/#/discover/Steve-Slow-Train-Analysis-(2080s-and-2083s)?_g=(refreshInterval:(display:Off,section:0,value:0),time:(from:'2016-11-04 16:35:39-0600',mode:absolute,to:'2016-11-04 18:55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1" s="105" t="str">
        <f t="shared" si="1"/>
        <v>"C:\Program Files (x86)\AstroGrep\AstroGrep.exe" /spath="%USERPROFILE%\AppData\Local\Temp\OnboardLogs" /stypes="*4010*201611042*" /stext=" 23:.+((SYSTEM_STATE.+slice.+state.+changed )|(ment ac)|(system.+state.+changed )|(\[timeout)|(PRM\|1\|D)|(kpr)|(kdp)|(\|loc)|(penalty))" /e /r /s</v>
      </c>
      <c r="U41" s="9" t="str">
        <f t="shared" si="2"/>
        <v>4010</v>
      </c>
      <c r="V41" s="36">
        <f t="shared" si="3"/>
        <v>42678.996550925927</v>
      </c>
      <c r="W41" s="50" t="str">
        <f t="shared" si="4"/>
        <v>NW</v>
      </c>
      <c r="X41" s="50" t="str">
        <f t="shared" si="5"/>
        <v>KEEP</v>
      </c>
      <c r="Y41" s="122" t="str">
        <f t="shared" si="6"/>
        <v>echo {"issue":{"subject":"","project_id":79,"tracker_id":40,"status_id":1,"priority_id":2,"assigned_to_id":23,"start_date":"2016-11-04","description":"","custom_fields":[{"id":1,"name":"Subdivision","value":"NW"},{"id":4,"name":"Milepost","value":"0.0575"},{"id":17,"name":"Train ID","value":"834-04"},{"id":16,"name":"Locomotive ID","value":"4010"},{"id":130,"name":"Impact","value":""},{"id":150,"name":"Time of Event (Mountain Time)","value":"17:55:02"},{"id":151,"name":"Denver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41" t="str">
        <f t="shared" si="7"/>
        <v>grep -hSE -A100 "Enforcement Action" "%USERPROFILE%\AppData\Local\Temp\OnboardLogs"\RTDC4010\*4010*201611042* | grep -SE "((Enforcement Ac)|(PRM))" -</v>
      </c>
      <c r="AD41" s="1"/>
    </row>
    <row r="42" spans="1:30" x14ac:dyDescent="0.25">
      <c r="A42" s="36">
        <v>42678.747037037036</v>
      </c>
      <c r="B42" s="31" t="s">
        <v>188</v>
      </c>
      <c r="C42" s="31" t="s">
        <v>426</v>
      </c>
      <c r="D42" s="31" t="s">
        <v>49</v>
      </c>
      <c r="E42" s="31" t="s">
        <v>218</v>
      </c>
      <c r="F42" s="47">
        <v>0</v>
      </c>
      <c r="G42" s="47">
        <v>72</v>
      </c>
      <c r="H42" s="47">
        <v>775</v>
      </c>
      <c r="I42" s="47">
        <v>743</v>
      </c>
      <c r="J42" s="31" t="s">
        <v>219</v>
      </c>
      <c r="K42" s="47">
        <v>575</v>
      </c>
      <c r="L42" s="157" t="s">
        <v>51</v>
      </c>
      <c r="M42" s="158">
        <f t="shared" si="0"/>
        <v>88.703999999999994</v>
      </c>
      <c r="N42" s="159" t="str">
        <f>VLOOKUP(C42,'Trips&amp;Operators'!$C$1:$E$99999,3,FALSE)</f>
        <v>HELVIE</v>
      </c>
      <c r="O42" s="184" t="s">
        <v>213</v>
      </c>
      <c r="P42" s="160"/>
      <c r="Q42" s="31"/>
      <c r="R42" s="100" t="str">
        <f>VLOOKUP(C42,'Train Runs'!$A$13:$AE$10003,31,0)</f>
        <v>aws s3 cp s3://rtdc.mdm.uploadarchive.raw/RTDC4010/ "%USERPROFILE%\AppData\Local\Temp\OnboardLogs"\RTDC4010\2016-11-04 --exclude "*" --recursive --include "*20161104*" &amp; "%USERPROFILE%\Documents\GitHub\mrs-test-scripts\Headless Mode &amp; Sideloading\WalkAndUnGZ.bat" "%USERPROFILE%\AppData\Local\Temp\OnboardLogs"\RTDC4010\2016-11-04 &amp; aws s3 cp s3://rtdc.mdm.uploadarchive.raw/RTDC4010/ "%USERPROFILE%\AppData\Local\Temp\OnboardLogs"\RTDC4010\2016-11-05 --exclude "*" --recursive --include "*20161105*" &amp; "%USERPROFILE%\Documents\GitHub\mrs-test-scripts\Headless Mode &amp; Sideloading\WalkAndUnGZ.bat" "%USERPROFILE%\AppData\Local\Temp\OnboardLogs"\RTDC4010\2016-11-05</v>
      </c>
      <c r="S42" s="103" t="str">
        <f>VLOOKUP(C42,'Train Runs'!$A$13:$AE$10003,22,0)</f>
        <v>https://search-rtdc-monitor-bjffxe2xuh6vdkpspy63sjmuny.us-east-1.es.amazonaws.com/_plugin/kibana/#/discover/Steve-Slow-Train-Analysis-(2080s-and-2083s)?_g=(refreshInterval:(display:Off,section:0,value:0),time:(from:'2016-11-04 16:35:39-0600',mode:absolute,to:'2016-11-04 18:55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2" s="105" t="str">
        <f t="shared" si="1"/>
        <v>"C:\Program Files (x86)\AstroGrep\AstroGrep.exe" /spath="%USERPROFILE%\AppData\Local\Temp\OnboardLogs" /stypes="*4010*201611042*" /stext=" 23:.+((SYSTEM_STATE.+slice.+state.+changed )|(ment ac)|(system.+state.+changed )|(\[timeout)|(PRM\|1\|D)|(kpr)|(kdp)|(\|loc)|(penalty))" /e /r /s</v>
      </c>
      <c r="U42" s="9" t="str">
        <f t="shared" si="2"/>
        <v>4010</v>
      </c>
      <c r="V42" s="36">
        <f t="shared" si="3"/>
        <v>42678.997037037036</v>
      </c>
      <c r="W42" s="50" t="str">
        <f t="shared" si="4"/>
        <v>NW</v>
      </c>
      <c r="X42" s="50" t="str">
        <f t="shared" si="5"/>
        <v>KEEP</v>
      </c>
      <c r="Y42" s="122" t="str">
        <f t="shared" si="6"/>
        <v>echo {"issue":{"subject":"","project_id":79,"tracker_id":40,"status_id":1,"priority_id":2,"assigned_to_id":23,"start_date":"2016-11-04","description":"","custom_fields":[{"id":1,"name":"Subdivision","value":"NW"},{"id":4,"name":"Milepost","value":"0.0575"},{"id":17,"name":"Train ID","value":"834-04"},{"id":16,"name":"Locomotive ID","value":"4010"},{"id":130,"name":"Impact","value":""},{"id":150,"name":"Time of Event (Mountain Time)","value":"17:55:44"},{"id":151,"name":"Denver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41" t="str">
        <f t="shared" si="7"/>
        <v>grep -hSE -A100 "Enforcement Action" "%USERPROFILE%\AppData\Local\Temp\OnboardLogs"\RTDC4010\*4010*201611042* | grep -SE "((Enforcement Ac)|(PRM))" -</v>
      </c>
      <c r="AD42" s="1"/>
    </row>
    <row r="43" spans="1:30" x14ac:dyDescent="0.25">
      <c r="A43" s="36">
        <v>42678.914259259262</v>
      </c>
      <c r="B43" s="31" t="s">
        <v>188</v>
      </c>
      <c r="C43" s="31" t="s">
        <v>432</v>
      </c>
      <c r="D43" s="31" t="s">
        <v>49</v>
      </c>
      <c r="E43" s="31" t="s">
        <v>218</v>
      </c>
      <c r="F43" s="47">
        <v>0</v>
      </c>
      <c r="G43" s="47">
        <v>25</v>
      </c>
      <c r="H43" s="47">
        <v>664</v>
      </c>
      <c r="I43" s="47">
        <v>650</v>
      </c>
      <c r="J43" s="31" t="s">
        <v>219</v>
      </c>
      <c r="K43" s="47">
        <v>575</v>
      </c>
      <c r="L43" s="157" t="s">
        <v>51</v>
      </c>
      <c r="M43" s="158">
        <f t="shared" si="0"/>
        <v>39.6</v>
      </c>
      <c r="N43" s="159" t="str">
        <f>VLOOKUP(C43,'Trips&amp;Operators'!$C$1:$E$99999,3,FALSE)</f>
        <v>JOHNSON</v>
      </c>
      <c r="O43" s="184" t="s">
        <v>213</v>
      </c>
      <c r="P43" s="160"/>
      <c r="Q43" s="31"/>
      <c r="R43" s="100" t="str">
        <f>VLOOKUP(C43,'Train Runs'!$A$13:$AE$10003,31,0)</f>
        <v>aws s3 cp s3://rtdc.mdm.uploadarchive.raw/RTDC4010/ "%USERPROFILE%\AppData\Local\Temp\OnboardLogs"\RTDC4010\2016-11-04 --exclude "*" --recursive --include "*20161104*" &amp; "%USERPROFILE%\Documents\GitHub\mrs-test-scripts\Headless Mode &amp; Sideloading\WalkAndUnGZ.bat" "%USERPROFILE%\AppData\Local\Temp\OnboardLogs"\RTDC4010\2016-11-04 &amp; aws s3 cp s3://rtdc.mdm.uploadarchive.raw/RTDC4010/ "%USERPROFILE%\AppData\Local\Temp\OnboardLogs"\RTDC4010\2016-11-05 --exclude "*" --recursive --include "*20161105*" &amp; "%USERPROFILE%\Documents\GitHub\mrs-test-scripts\Headless Mode &amp; Sideloading\WalkAndUnGZ.bat" "%USERPROFILE%\AppData\Local\Temp\OnboardLogs"\RTDC4010\2016-11-05</v>
      </c>
      <c r="S43" s="103" t="str">
        <f>VLOOKUP(C43,'Train Runs'!$A$13:$AE$10003,22,0)</f>
        <v>https://search-rtdc-monitor-bjffxe2xuh6vdkpspy63sjmuny.us-east-1.es.amazonaws.com/_plugin/kibana/#/discover/Steve-Slow-Train-Analysis-(2080s-and-2083s)?_g=(refreshInterval:(display:Off,section:0,value:0),time:(from:'2016-11-04 20:38:04-0600',mode:absolute,to:'2016-11-04 22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3" s="105" t="str">
        <f t="shared" si="1"/>
        <v>"C:\Program Files (x86)\AstroGrep\AstroGrep.exe" /spath="%USERPROFILE%\AppData\Local\Temp\OnboardLogs" /stypes="*4010*201611050*" /stext=" 03:.+((SYSTEM_STATE.+slice.+state.+changed )|(ment ac)|(system.+state.+changed )|(\[timeout)|(PRM\|1\|D)|(kpr)|(kdp)|(\|loc)|(penalty))" /e /r /s</v>
      </c>
      <c r="U43" s="9" t="str">
        <f t="shared" si="2"/>
        <v>4010</v>
      </c>
      <c r="V43" s="36">
        <f t="shared" si="3"/>
        <v>42679.164259259262</v>
      </c>
      <c r="W43" s="50" t="str">
        <f t="shared" si="4"/>
        <v>NW</v>
      </c>
      <c r="X43" s="50" t="str">
        <f t="shared" si="5"/>
        <v>KEEP</v>
      </c>
      <c r="Y43" s="122" t="str">
        <f t="shared" si="6"/>
        <v>echo {"issue":{"subject":"","project_id":79,"tracker_id":40,"status_id":1,"priority_id":2,"assigned_to_id":23,"start_date":"2016-11-04","description":"","custom_fields":[{"id":1,"name":"Subdivision","value":"NW"},{"id":4,"name":"Milepost","value":"0.0575"},{"id":17,"name":"Train ID","value":"844-04"},{"id":16,"name":"Locomotive ID","value":"4010"},{"id":130,"name":"Impact","value":""},{"id":150,"name":"Time of Event (Mountain Time)","value":"21:56:32"},{"id":151,"name":"Denver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41" t="str">
        <f t="shared" si="7"/>
        <v>grep -hSE -A100 "Enforcement Action" "%USERPROFILE%\AppData\Local\Temp\OnboardLogs"\RTDC4010\*4010*201611050* | grep -SE "((Enforcement Ac)|(PRM))" -</v>
      </c>
      <c r="AD43" s="1"/>
    </row>
    <row r="44" spans="1:30" x14ac:dyDescent="0.25">
      <c r="A44" s="36">
        <v>42678.295659722222</v>
      </c>
      <c r="B44" s="31" t="s">
        <v>232</v>
      </c>
      <c r="C44" s="31" t="s">
        <v>409</v>
      </c>
      <c r="D44" s="31" t="s">
        <v>98</v>
      </c>
      <c r="E44" s="31" t="s">
        <v>218</v>
      </c>
      <c r="F44" s="47">
        <v>0</v>
      </c>
      <c r="G44" s="47">
        <v>2</v>
      </c>
      <c r="H44" s="47">
        <v>59048</v>
      </c>
      <c r="I44" s="47">
        <v>59048</v>
      </c>
      <c r="J44" s="31" t="s">
        <v>219</v>
      </c>
      <c r="K44" s="47">
        <v>59048</v>
      </c>
      <c r="L44" s="157" t="s">
        <v>50</v>
      </c>
      <c r="M44" s="158">
        <f t="shared" si="0"/>
        <v>0</v>
      </c>
      <c r="N44" s="159" t="str">
        <f>VLOOKUP(C44,'Trips&amp;Operators'!$C$1:$E$99999,3,FALSE)</f>
        <v>ROBINSON</v>
      </c>
      <c r="O44" s="184" t="s">
        <v>213</v>
      </c>
      <c r="P44" s="160"/>
      <c r="Q44" s="31"/>
      <c r="R44" s="100" t="str">
        <f>VLOOKUP(C44,'Train Runs'!$A$13:$AE$10003,31,0)</f>
        <v>aws s3 cp s3://rtdc.mdm.uploadarchive.raw/RTDC4011/ "%USERPROFILE%\AppData\Local\Temp\OnboardLogs"\RTDC4011\2016-11-04 --exclude "*" --recursive --include "*20161104*" &amp; "%USERPROFILE%\Documents\GitHub\mrs-test-scripts\Headless Mode &amp; Sideloading\WalkAndUnGZ.bat" "%USERPROFILE%\AppData\Local\Temp\OnboardLogs"\RTDC4011\2016-11-04 &amp; 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</v>
      </c>
      <c r="S44" s="103" t="str">
        <f>VLOOKUP(C44,'Train Runs'!$A$13:$AE$10003,22,0)</f>
        <v>https://search-rtdc-monitor-bjffxe2xuh6vdkpspy63sjmuny.us-east-1.es.amazonaws.com/_plugin/kibana/#/discover/Steve-Slow-Train-Analysis-(2080s-and-2083s)?_g=(refreshInterval:(display:Off,section:0,value:0),time:(from:'2016-11-04 05:32:44-0600',mode:absolute,to:'2016-11-04 08:05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44" s="105" t="str">
        <f t="shared" si="1"/>
        <v>"C:\Program Files (x86)\AstroGrep\AstroGrep.exe" /spath="%USERPROFILE%\AppData\Local\Temp\OnboardLogs" /stypes="*4011*201611041*" /stext=" 13:.+((SYSTEM_STATE.+slice.+state.+changed )|(ment ac)|(system.+state.+changed )|(\[timeout)|(PRM\|1\|D)|(kpr)|(kdp)|(\|loc)|(penalty))" /e /r /s</v>
      </c>
      <c r="U44" s="9" t="str">
        <f t="shared" si="2"/>
        <v>4011</v>
      </c>
      <c r="V44" s="36">
        <f t="shared" si="3"/>
        <v>42678.545659722222</v>
      </c>
      <c r="W44" s="50" t="str">
        <f t="shared" si="4"/>
        <v>NW</v>
      </c>
      <c r="X44" s="50" t="str">
        <f t="shared" si="5"/>
        <v>OMIT</v>
      </c>
      <c r="Y44" s="122" t="str">
        <f t="shared" si="6"/>
        <v>echo {"issue":{"subject":"","project_id":79,"tracker_id":40,"status_id":1,"priority_id":2,"assigned_to_id":23,"start_date":"2016-11-04","description":"","custom_fields":[{"id":1,"name":"Subdivision","value":"NW"},{"id":4,"name":"Milepost","value":"5.9048"},{"id":17,"name":"Train ID","value":"805-04"},{"id":16,"name":"Locomotive ID","value":"4011"},{"id":130,"name":"Impact","value":""},{"id":150,"name":"Time of Event (Mountain Time)","value":"07:05:45"},{"id":151,"name":"Denver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41" t="str">
        <f t="shared" si="7"/>
        <v>grep -hSE -A100 "Enforcement Action" "%USERPROFILE%\AppData\Local\Temp\OnboardLogs"\RTDC4011\*4011*201611041* | grep -SE "((Enforcement Ac)|(PRM))" -</v>
      </c>
      <c r="AD44" s="1"/>
    </row>
    <row r="45" spans="1:30" x14ac:dyDescent="0.25">
      <c r="A45" s="36">
        <v>42678.46533564815</v>
      </c>
      <c r="B45" s="31" t="s">
        <v>351</v>
      </c>
      <c r="C45" s="31" t="s">
        <v>419</v>
      </c>
      <c r="D45" s="31" t="s">
        <v>98</v>
      </c>
      <c r="E45" s="31" t="s">
        <v>218</v>
      </c>
      <c r="F45" s="47">
        <v>0</v>
      </c>
      <c r="G45" s="47">
        <v>5</v>
      </c>
      <c r="H45" s="47">
        <v>1</v>
      </c>
      <c r="I45" s="47">
        <v>1</v>
      </c>
      <c r="J45" s="31" t="s">
        <v>219</v>
      </c>
      <c r="K45" s="47">
        <v>1</v>
      </c>
      <c r="L45" s="157" t="s">
        <v>51</v>
      </c>
      <c r="M45" s="158">
        <f t="shared" si="0"/>
        <v>0</v>
      </c>
      <c r="N45" s="159" t="str">
        <f>VLOOKUP(C45,'Trips&amp;Operators'!$C$1:$E$99999,3,FALSE)</f>
        <v>SWANSON</v>
      </c>
      <c r="O45" s="184" t="s">
        <v>213</v>
      </c>
      <c r="P45" s="160"/>
      <c r="Q45" s="31"/>
      <c r="R45" s="100" t="str">
        <f>VLOOKUP(C45,'Train Runs'!$A$13:$AE$10003,31,0)</f>
        <v>aws s3 cp s3://rtdc.mdm.uploadarchive.raw/RTDC4015/ "%USERPROFILE%\AppData\Local\Temp\OnboardLogs"\RTDC4015\2016-11-04 --exclude "*" --recursive --include "*20161104*" &amp; "%USERPROFILE%\Documents\GitHub\mrs-test-scripts\Headless Mode &amp; Sideloading\WalkAndUnGZ.bat" "%USERPROFILE%\AppData\Local\Temp\OnboardLogs"\RTDC4015\2016-11-04 &amp; 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</v>
      </c>
      <c r="S45" s="103" t="str">
        <f>VLOOKUP(C45,'Train Runs'!$A$13:$AE$10003,22,0)</f>
        <v>https://search-rtdc-monitor-bjffxe2xuh6vdkpspy63sjmuny.us-east-1.es.amazonaws.com/_plugin/kibana/#/discover/Steve-Slow-Train-Analysis-(2080s-and-2083s)?_g=(refreshInterval:(display:Off,section:0,value:0),time:(from:'2016-11-04 09:59:27-0600',mode:absolute,to:'2016-11-04 12:10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45" s="105" t="str">
        <f t="shared" si="1"/>
        <v>"C:\Program Files (x86)\AstroGrep\AstroGrep.exe" /spath="%USERPROFILE%\AppData\Local\Temp\OnboardLogs" /stypes="*4015*201611041*" /stext=" 17:.+((SYSTEM_STATE.+slice.+state.+changed )|(ment ac)|(system.+state.+changed )|(\[timeout)|(PRM\|1\|D)|(kpr)|(kdp)|(\|loc)|(penalty))" /e /r /s</v>
      </c>
      <c r="U45" s="9" t="str">
        <f t="shared" si="2"/>
        <v>4015</v>
      </c>
      <c r="V45" s="36">
        <f t="shared" si="3"/>
        <v>42678.71533564815</v>
      </c>
      <c r="W45" s="50" t="str">
        <f t="shared" si="4"/>
        <v>Other</v>
      </c>
      <c r="X45" s="50" t="str">
        <f t="shared" si="5"/>
        <v>OMIT</v>
      </c>
      <c r="Y45" s="122" t="str">
        <f t="shared" si="6"/>
        <v>echo {"issue":{"subject":"","project_id":79,"tracker_id":40,"status_id":1,"priority_id":2,"assigned_to_id":23,"start_date":"2016-11-04","description":"","custom_fields":[{"id":1,"name":"Subdivision","value":"Other"},{"id":4,"name":"Milepost","value":"0.0001"},{"id":17,"name":"Train ID","value":"52-04"},{"id":16,"name":"Locomotive ID","value":"4015"},{"id":130,"name":"Impact","value":""},{"id":150,"name":"Time of Event (Mountain Time)","value":"11:10:05"},{"id":151,"name":"Denver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41" t="str">
        <f t="shared" si="7"/>
        <v>grep -hSE -A100 "Enforcement Action" "%USERPROFILE%\AppData\Local\Temp\OnboardLogs"\RTDC4015\*4015*201611041* | grep -SE "((Enforcement Ac)|(PRM))" -</v>
      </c>
      <c r="AD45" s="1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</sheetData>
  <autoFilter ref="A6:AC45">
    <sortState ref="A7:AC45">
      <sortCondition ref="W7:W45"/>
      <sortCondition ref="E7:E45"/>
      <sortCondition ref="K7:K45"/>
      <sortCondition ref="F7:F45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9:O1048576">
    <cfRule type="cellIs" dxfId="11" priority="36" operator="equal">
      <formula>"Y"</formula>
    </cfRule>
  </conditionalFormatting>
  <conditionalFormatting sqref="O2:O3">
    <cfRule type="cellIs" dxfId="10" priority="27" operator="equal">
      <formula>"Y"</formula>
    </cfRule>
  </conditionalFormatting>
  <conditionalFormatting sqref="O7:O45">
    <cfRule type="cellIs" dxfId="9" priority="21" operator="equal">
      <formula>"Y"</formula>
    </cfRule>
  </conditionalFormatting>
  <conditionalFormatting sqref="A7:P45">
    <cfRule type="expression" dxfId="8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AA7:AA45</xm:sqref>
        </x14:dataValidation>
        <x14:dataValidation type="list" allowBlank="1" showInputMessage="1" showErrorMessage="1">
          <x14:formula1>
            <xm:f>'Redmine List Values'!$C$2:$C$15</xm:f>
          </x14:formula1>
          <xm:sqref>AB7:AB45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"/>
  <sheetViews>
    <sheetView workbookViewId="0">
      <selection activeCell="A3" sqref="A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6" t="str">
        <f>"Trips that did not appear in PTC Data "&amp;TEXT(Variables!$A$2,"YYYY-mm-dd")</f>
        <v>Trips that did not appear in PTC Data 2016-11-04</v>
      </c>
      <c r="C1" s="186"/>
      <c r="D1" s="186"/>
      <c r="E1" s="186"/>
      <c r="F1" s="186"/>
    </row>
    <row r="2" spans="1:11" s="24" customFormat="1" ht="45" x14ac:dyDescent="0.25">
      <c r="A2" s="179" t="s">
        <v>155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80"/>
      <c r="B3" s="47" t="str">
        <f>A3&amp;"-"&amp;IF(DAY(Variables!$A$2)&lt;10,0,"")&amp;DAY(Variables!$A$2)</f>
        <v>-04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3" s="31" t="e">
        <f>VLOOKUP(B3,'Train Runs'!$A$13:$A$100000,1,FALSE)</f>
        <v>#N/A</v>
      </c>
      <c r="K3" s="21" t="e">
        <f t="shared" ref="K3:K13" si="1">IF(VLOOKUP(A3,$K$52:$K$75,1,FALSE),"Cancelled")</f>
        <v>#N/A</v>
      </c>
    </row>
    <row r="4" spans="1:11" x14ac:dyDescent="0.25">
      <c r="A4" s="180"/>
      <c r="B4" s="47" t="str">
        <f>A4&amp;"-"&amp;IF(DAY(Variables!$A$2)&lt;10,0,"")&amp;DAY(Variables!$A$2)</f>
        <v>-04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4" s="31" t="e">
        <f>VLOOKUP(B4,'Train Runs'!$A$13:$A$100000,1,FALSE)</f>
        <v>#N/A</v>
      </c>
      <c r="K4" s="21" t="e">
        <f t="shared" si="1"/>
        <v>#N/A</v>
      </c>
    </row>
    <row r="5" spans="1:11" x14ac:dyDescent="0.25">
      <c r="A5" s="180"/>
      <c r="B5" s="47" t="str">
        <f>A5&amp;"-"&amp;IF(DAY(Variables!$A$2)&lt;10,0,"")&amp;DAY(Variables!$A$2)</f>
        <v>-04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5" s="31" t="e">
        <f>VLOOKUP(B5,'Train Runs'!$A$13:$A$100000,1,FALSE)</f>
        <v>#N/A</v>
      </c>
      <c r="K5" s="21" t="e">
        <f t="shared" si="1"/>
        <v>#N/A</v>
      </c>
    </row>
    <row r="6" spans="1:11" x14ac:dyDescent="0.25">
      <c r="A6" s="180"/>
      <c r="B6" s="47" t="str">
        <f>A6&amp;"-"&amp;IF(DAY(Variables!$A$2)&lt;10,0,"")&amp;DAY(Variables!$A$2)</f>
        <v>-04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6" s="31" t="e">
        <f>VLOOKUP(B6,'Train Runs'!$A$13:$A$100000,1,FALSE)</f>
        <v>#N/A</v>
      </c>
      <c r="K6" s="21" t="e">
        <f t="shared" si="1"/>
        <v>#N/A</v>
      </c>
    </row>
    <row r="7" spans="1:11" x14ac:dyDescent="0.25">
      <c r="A7" s="180"/>
      <c r="B7" s="47" t="str">
        <f>A7&amp;"-"&amp;IF(DAY(Variables!$A$2)&lt;10,0,"")&amp;DAY(Variables!$A$2)</f>
        <v>-04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7" s="31" t="e">
        <f>VLOOKUP(B7,'Train Runs'!$A$13:$A$100000,1,FALSE)</f>
        <v>#N/A</v>
      </c>
      <c r="K7" s="21" t="e">
        <f t="shared" si="1"/>
        <v>#N/A</v>
      </c>
    </row>
    <row r="8" spans="1:11" x14ac:dyDescent="0.25">
      <c r="A8" s="180"/>
      <c r="B8" s="47" t="str">
        <f>A8&amp;"-"&amp;IF(DAY(Variables!$A$2)&lt;10,0,"")&amp;DAY(Variables!$A$2)</f>
        <v>-04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8" s="31" t="e">
        <f>VLOOKUP(B8,'Train Runs'!$A$13:$A$100000,1,FALSE)</f>
        <v>#N/A</v>
      </c>
      <c r="K8" s="21" t="e">
        <f t="shared" si="1"/>
        <v>#N/A</v>
      </c>
    </row>
    <row r="9" spans="1:11" x14ac:dyDescent="0.25">
      <c r="A9" s="180"/>
      <c r="B9" s="47" t="str">
        <f>A9&amp;"-"&amp;IF(DAY(Variables!$A$2)&lt;10,0,"")&amp;DAY(Variables!$A$2)</f>
        <v>-04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9" s="31" t="e">
        <f>VLOOKUP(B9,'Train Runs'!$A$13:$A$100000,1,FALSE)</f>
        <v>#N/A</v>
      </c>
      <c r="K9" s="21" t="e">
        <f t="shared" si="1"/>
        <v>#N/A</v>
      </c>
    </row>
    <row r="10" spans="1:11" x14ac:dyDescent="0.25">
      <c r="A10" s="180"/>
      <c r="B10" s="47" t="str">
        <f>A10&amp;"-"&amp;IF(DAY(Variables!$A$2)&lt;10,0,"")&amp;DAY(Variables!$A$2)</f>
        <v>-04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10" s="31" t="e">
        <f>VLOOKUP(B10,'Train Runs'!$A$13:$A$100000,1,FALSE)</f>
        <v>#N/A</v>
      </c>
      <c r="K10" s="21" t="e">
        <f t="shared" si="1"/>
        <v>#N/A</v>
      </c>
    </row>
    <row r="11" spans="1:11" x14ac:dyDescent="0.25">
      <c r="A11" s="180"/>
      <c r="B11" s="47" t="str">
        <f>A11&amp;"-"&amp;IF(DAY(Variables!$A$2)&lt;10,0,"")&amp;DAY(Variables!$A$2)</f>
        <v>-04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11" s="31" t="e">
        <f>VLOOKUP(B11,'Train Runs'!$A$13:$A$100000,1,FALSE)</f>
        <v>#N/A</v>
      </c>
      <c r="K11" s="21" t="e">
        <f t="shared" si="1"/>
        <v>#N/A</v>
      </c>
    </row>
    <row r="12" spans="1:11" x14ac:dyDescent="0.25">
      <c r="A12" s="180"/>
      <c r="B12" s="47" t="str">
        <f>A12&amp;"-"&amp;IF(DAY(Variables!$A$2)&lt;10,0,"")&amp;DAY(Variables!$A$2)</f>
        <v>-04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12" s="31" t="e">
        <f>VLOOKUP(B12,'Train Runs'!$A$13:$A$100000,1,FALSE)</f>
        <v>#N/A</v>
      </c>
      <c r="K12" s="21" t="e">
        <f t="shared" si="1"/>
        <v>#N/A</v>
      </c>
    </row>
    <row r="13" spans="1:11" x14ac:dyDescent="0.25">
      <c r="A13" s="180"/>
      <c r="B13" s="47" t="str">
        <f>A13&amp;"-"&amp;IF(DAY(Variables!$A$2)&lt;10,0,"")&amp;DAY(Variables!$A$2)</f>
        <v>-04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13" s="31" t="e">
        <f>VLOOKUP(B13,'Train Runs'!$A$13:$A$100000,1,FALSE)</f>
        <v>#N/A</v>
      </c>
      <c r="K13" s="21" t="e">
        <f t="shared" si="1"/>
        <v>#N/A</v>
      </c>
    </row>
    <row r="14" spans="1:11" x14ac:dyDescent="0.25">
      <c r="C14" s="110"/>
      <c r="D14" s="110"/>
      <c r="E14" s="31"/>
      <c r="F14" s="22"/>
      <c r="G14" s="22"/>
      <c r="H14" s="30"/>
      <c r="I14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182</v>
      </c>
      <c r="B1" s="21" t="s">
        <v>183</v>
      </c>
      <c r="C1" s="21" t="s">
        <v>0</v>
      </c>
      <c r="D1" s="21" t="s">
        <v>184</v>
      </c>
      <c r="E1" s="21" t="s">
        <v>185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42678.034791666665</v>
      </c>
      <c r="B2" s="21" t="s">
        <v>351</v>
      </c>
      <c r="C2" s="21" t="s">
        <v>355</v>
      </c>
      <c r="D2" s="21">
        <v>1300000</v>
      </c>
      <c r="E2" s="21" t="s">
        <v>113</v>
      </c>
      <c r="F2" s="21" t="str">
        <f t="shared" ref="F2:F65" si="0">B2</f>
        <v>rtdc.l.rtdc.4015:itc</v>
      </c>
      <c r="G2" s="8">
        <f t="shared" ref="G2:G65" si="1">A2</f>
        <v>42678.034791666665</v>
      </c>
    </row>
    <row r="3" spans="1:7" x14ac:dyDescent="0.25">
      <c r="A3" s="8">
        <v>42678.047881944447</v>
      </c>
      <c r="B3" s="21" t="s">
        <v>245</v>
      </c>
      <c r="C3" s="21" t="s">
        <v>356</v>
      </c>
      <c r="D3" s="21">
        <v>2250000</v>
      </c>
      <c r="E3" s="21" t="s">
        <v>262</v>
      </c>
      <c r="F3" s="21" t="str">
        <f t="shared" si="0"/>
        <v>rtdc.l.rtdc.4014:itc</v>
      </c>
      <c r="G3" s="8">
        <f t="shared" si="1"/>
        <v>42678.047881944447</v>
      </c>
    </row>
    <row r="4" spans="1:7" x14ac:dyDescent="0.25">
      <c r="A4" s="8">
        <v>42678.048449074071</v>
      </c>
      <c r="B4" s="21" t="s">
        <v>245</v>
      </c>
      <c r="C4" s="21" t="s">
        <v>356</v>
      </c>
      <c r="D4" s="21">
        <v>2250000</v>
      </c>
      <c r="E4" s="21" t="s">
        <v>262</v>
      </c>
      <c r="F4" s="21" t="str">
        <f t="shared" si="0"/>
        <v>rtdc.l.rtdc.4014:itc</v>
      </c>
      <c r="G4" s="8">
        <f t="shared" si="1"/>
        <v>42678.048449074071</v>
      </c>
    </row>
    <row r="5" spans="1:7" x14ac:dyDescent="0.25">
      <c r="A5" s="8">
        <v>42678.049733796295</v>
      </c>
      <c r="B5" s="21" t="s">
        <v>245</v>
      </c>
      <c r="C5" s="21" t="s">
        <v>356</v>
      </c>
      <c r="D5" s="21">
        <v>2250000</v>
      </c>
      <c r="E5" s="21" t="s">
        <v>262</v>
      </c>
      <c r="F5" s="21" t="str">
        <f t="shared" si="0"/>
        <v>rtdc.l.rtdc.4014:itc</v>
      </c>
      <c r="G5" s="8">
        <f t="shared" si="1"/>
        <v>42678.049733796295</v>
      </c>
    </row>
    <row r="6" spans="1:7" x14ac:dyDescent="0.25">
      <c r="A6" s="8">
        <v>42678.055555555555</v>
      </c>
      <c r="B6" s="21" t="s">
        <v>328</v>
      </c>
      <c r="C6" s="21" t="s">
        <v>357</v>
      </c>
      <c r="D6" s="21">
        <v>2000000</v>
      </c>
      <c r="E6" s="21" t="s">
        <v>291</v>
      </c>
      <c r="F6" s="21" t="str">
        <f t="shared" si="0"/>
        <v>rtdc.l.rtdc.4026:itc</v>
      </c>
      <c r="G6" s="8">
        <f t="shared" si="1"/>
        <v>42678.055555555555</v>
      </c>
    </row>
    <row r="7" spans="1:7" x14ac:dyDescent="0.25">
      <c r="A7" s="8">
        <v>42678.066863425927</v>
      </c>
      <c r="B7" s="21" t="s">
        <v>352</v>
      </c>
      <c r="C7" s="21" t="s">
        <v>358</v>
      </c>
      <c r="D7" s="21">
        <v>1300000</v>
      </c>
      <c r="E7" s="21" t="s">
        <v>113</v>
      </c>
      <c r="F7" s="21" t="str">
        <f t="shared" si="0"/>
        <v>rtdc.l.rtdc.4016:itc</v>
      </c>
      <c r="G7" s="8">
        <f t="shared" si="1"/>
        <v>42678.066863425927</v>
      </c>
    </row>
    <row r="8" spans="1:7" x14ac:dyDescent="0.25">
      <c r="A8" s="8">
        <v>42678.087708333333</v>
      </c>
      <c r="B8" s="21" t="s">
        <v>322</v>
      </c>
      <c r="C8" s="21" t="s">
        <v>359</v>
      </c>
      <c r="D8" s="21">
        <v>2000000</v>
      </c>
      <c r="E8" s="21" t="s">
        <v>291</v>
      </c>
      <c r="F8" s="21" t="str">
        <f t="shared" si="0"/>
        <v>rtdc.l.rtdc.4025:itc</v>
      </c>
      <c r="G8" s="8">
        <f t="shared" si="1"/>
        <v>42678.087708333333</v>
      </c>
    </row>
    <row r="9" spans="1:7" ht="15.75" thickBot="1" x14ac:dyDescent="0.3">
      <c r="A9" s="25">
        <v>42678.123923611114</v>
      </c>
      <c r="B9" s="21" t="s">
        <v>274</v>
      </c>
      <c r="C9" s="21" t="s">
        <v>436</v>
      </c>
      <c r="D9" s="21">
        <v>2010000</v>
      </c>
      <c r="E9" s="21" t="s">
        <v>325</v>
      </c>
      <c r="F9" s="21" t="str">
        <f t="shared" si="0"/>
        <v>rtdc.l.rtdc.4004:itc</v>
      </c>
      <c r="G9" s="8">
        <f t="shared" si="1"/>
        <v>42678.123923611114</v>
      </c>
    </row>
    <row r="10" spans="1:7" x14ac:dyDescent="0.25">
      <c r="A10" s="8">
        <v>42678.133206018516</v>
      </c>
      <c r="B10" s="21" t="s">
        <v>241</v>
      </c>
      <c r="C10" s="21" t="s">
        <v>437</v>
      </c>
      <c r="D10" s="21">
        <v>2010000</v>
      </c>
      <c r="E10" s="21" t="s">
        <v>325</v>
      </c>
      <c r="F10" s="21" t="str">
        <f t="shared" si="0"/>
        <v>rtdc.l.rtdc.4038:itc</v>
      </c>
      <c r="G10" s="8">
        <f t="shared" si="1"/>
        <v>42678.133206018516</v>
      </c>
    </row>
    <row r="11" spans="1:7" x14ac:dyDescent="0.25">
      <c r="A11" s="8">
        <v>42678.142534722225</v>
      </c>
      <c r="B11" s="21" t="s">
        <v>241</v>
      </c>
      <c r="C11" s="21" t="s">
        <v>437</v>
      </c>
      <c r="D11" s="21">
        <v>2010000</v>
      </c>
      <c r="E11" s="21" t="s">
        <v>325</v>
      </c>
      <c r="F11" s="21" t="str">
        <f t="shared" si="0"/>
        <v>rtdc.l.rtdc.4038:itc</v>
      </c>
      <c r="G11" s="8">
        <f t="shared" si="1"/>
        <v>42678.142534722225</v>
      </c>
    </row>
    <row r="12" spans="1:7" x14ac:dyDescent="0.25">
      <c r="A12" s="8">
        <v>42678.143969907411</v>
      </c>
      <c r="B12" s="21" t="s">
        <v>234</v>
      </c>
      <c r="C12" s="21" t="s">
        <v>438</v>
      </c>
      <c r="D12" s="21">
        <v>1990000</v>
      </c>
      <c r="E12" s="21" t="s">
        <v>439</v>
      </c>
      <c r="F12" s="21" t="str">
        <f t="shared" si="0"/>
        <v>rtdc.l.rtdc.4021:itc</v>
      </c>
      <c r="G12" s="8">
        <f t="shared" si="1"/>
        <v>42678.143969907411</v>
      </c>
    </row>
    <row r="13" spans="1:7" x14ac:dyDescent="0.25">
      <c r="A13" s="8">
        <v>42678.155312499999</v>
      </c>
      <c r="B13" s="21" t="s">
        <v>191</v>
      </c>
      <c r="C13" s="21" t="s">
        <v>440</v>
      </c>
      <c r="D13" s="21">
        <v>1990000</v>
      </c>
      <c r="E13" s="21" t="s">
        <v>439</v>
      </c>
      <c r="F13" s="21" t="str">
        <f t="shared" si="0"/>
        <v>rtdc.l.rtdc.4007:itc</v>
      </c>
      <c r="G13" s="8">
        <f t="shared" si="1"/>
        <v>42678.155312499999</v>
      </c>
    </row>
    <row r="14" spans="1:7" x14ac:dyDescent="0.25">
      <c r="A14" s="8">
        <v>42678.168587962966</v>
      </c>
      <c r="B14" s="21" t="s">
        <v>274</v>
      </c>
      <c r="C14" s="21" t="s">
        <v>441</v>
      </c>
      <c r="D14" s="21">
        <v>2010000</v>
      </c>
      <c r="E14" s="21" t="s">
        <v>325</v>
      </c>
      <c r="F14" s="21" t="str">
        <f t="shared" si="0"/>
        <v>rtdc.l.rtdc.4004:itc</v>
      </c>
      <c r="G14" s="8">
        <f t="shared" si="1"/>
        <v>42678.168587962966</v>
      </c>
    </row>
    <row r="15" spans="1:7" x14ac:dyDescent="0.25">
      <c r="A15" s="8">
        <v>42678.170092592591</v>
      </c>
      <c r="B15" s="21" t="s">
        <v>285</v>
      </c>
      <c r="C15" s="21" t="s">
        <v>442</v>
      </c>
      <c r="D15" s="21">
        <v>2620000</v>
      </c>
      <c r="E15" s="21" t="s">
        <v>327</v>
      </c>
      <c r="F15" s="21" t="str">
        <f t="shared" si="0"/>
        <v>rtdc.l.rtdc.4041:itc</v>
      </c>
      <c r="G15" s="8">
        <f t="shared" si="1"/>
        <v>42678.170092592591</v>
      </c>
    </row>
    <row r="16" spans="1:7" x14ac:dyDescent="0.25">
      <c r="A16" s="8">
        <v>42678.176689814813</v>
      </c>
      <c r="B16" s="21" t="s">
        <v>224</v>
      </c>
      <c r="C16" s="21" t="s">
        <v>443</v>
      </c>
      <c r="D16" s="21">
        <v>1310000</v>
      </c>
      <c r="E16" s="21" t="s">
        <v>444</v>
      </c>
      <c r="F16" s="21" t="str">
        <f t="shared" si="0"/>
        <v>rtdc.l.rtdc.4029:itc</v>
      </c>
      <c r="G16" s="8">
        <f t="shared" si="1"/>
        <v>42678.176689814813</v>
      </c>
    </row>
    <row r="17" spans="1:7" x14ac:dyDescent="0.25">
      <c r="A17" s="8">
        <v>42678.181921296295</v>
      </c>
      <c r="B17" s="21" t="s">
        <v>288</v>
      </c>
      <c r="C17" s="21" t="s">
        <v>445</v>
      </c>
      <c r="D17" s="21">
        <v>2620000</v>
      </c>
      <c r="E17" s="21" t="s">
        <v>327</v>
      </c>
      <c r="F17" s="21" t="str">
        <f t="shared" si="0"/>
        <v>rtdc.l.rtdc.4042:itc</v>
      </c>
      <c r="G17" s="8">
        <f t="shared" si="1"/>
        <v>42678.181921296295</v>
      </c>
    </row>
    <row r="18" spans="1:7" x14ac:dyDescent="0.25">
      <c r="A18" s="8">
        <v>42678.18712962963</v>
      </c>
      <c r="B18" s="21" t="s">
        <v>323</v>
      </c>
      <c r="C18" s="21" t="s">
        <v>446</v>
      </c>
      <c r="D18" s="21">
        <v>2600000</v>
      </c>
      <c r="E18" s="21" t="s">
        <v>329</v>
      </c>
      <c r="F18" s="21" t="str">
        <f t="shared" si="0"/>
        <v>rtdc.l.rtdc.4054:itc</v>
      </c>
      <c r="G18" s="8">
        <f t="shared" si="1"/>
        <v>42678.18712962963</v>
      </c>
    </row>
    <row r="19" spans="1:7" x14ac:dyDescent="0.25">
      <c r="A19" s="8">
        <v>42678.193124999998</v>
      </c>
      <c r="B19" s="21" t="s">
        <v>234</v>
      </c>
      <c r="C19" s="21" t="s">
        <v>403</v>
      </c>
      <c r="D19" s="21">
        <v>1990000</v>
      </c>
      <c r="E19" s="21" t="s">
        <v>439</v>
      </c>
      <c r="F19" s="21" t="str">
        <f t="shared" si="0"/>
        <v>rtdc.l.rtdc.4021:itc</v>
      </c>
      <c r="G19" s="8">
        <f t="shared" si="1"/>
        <v>42678.193124999998</v>
      </c>
    </row>
    <row r="20" spans="1:7" x14ac:dyDescent="0.25">
      <c r="A20" s="8">
        <v>42678.196273148147</v>
      </c>
      <c r="B20" s="21" t="s">
        <v>326</v>
      </c>
      <c r="C20" s="21" t="s">
        <v>447</v>
      </c>
      <c r="D20" s="21">
        <v>2600000</v>
      </c>
      <c r="E20" s="21" t="s">
        <v>329</v>
      </c>
      <c r="F20" s="21" t="str">
        <f t="shared" si="0"/>
        <v>rtdc.l.rtdc.4053:itc</v>
      </c>
      <c r="G20" s="8">
        <f t="shared" si="1"/>
        <v>42678.196273148147</v>
      </c>
    </row>
    <row r="21" spans="1:7" x14ac:dyDescent="0.25">
      <c r="A21" s="8">
        <v>42678.204467592594</v>
      </c>
      <c r="B21" s="21" t="s">
        <v>232</v>
      </c>
      <c r="C21" s="21" t="s">
        <v>448</v>
      </c>
      <c r="D21" s="21">
        <v>2140000</v>
      </c>
      <c r="E21" s="21" t="s">
        <v>449</v>
      </c>
      <c r="F21" s="21" t="str">
        <f t="shared" si="0"/>
        <v>rtdc.l.rtdc.4011:itc</v>
      </c>
      <c r="G21" s="8">
        <f t="shared" si="1"/>
        <v>42678.204467592594</v>
      </c>
    </row>
    <row r="22" spans="1:7" x14ac:dyDescent="0.25">
      <c r="A22" s="27">
        <v>42678.206504629627</v>
      </c>
      <c r="B22" s="21" t="s">
        <v>241</v>
      </c>
      <c r="C22" s="21" t="s">
        <v>450</v>
      </c>
      <c r="D22" s="21">
        <v>2380000</v>
      </c>
      <c r="E22" s="21" t="s">
        <v>289</v>
      </c>
      <c r="F22" s="21" t="str">
        <f t="shared" si="0"/>
        <v>rtdc.l.rtdc.4038:itc</v>
      </c>
      <c r="G22" s="8">
        <f t="shared" si="1"/>
        <v>42678.206504629627</v>
      </c>
    </row>
    <row r="23" spans="1:7" x14ac:dyDescent="0.25">
      <c r="A23" s="8">
        <v>42678.214039351849</v>
      </c>
      <c r="B23" s="21" t="s">
        <v>350</v>
      </c>
      <c r="C23" s="21" t="s">
        <v>451</v>
      </c>
      <c r="D23" s="21">
        <v>2140000</v>
      </c>
      <c r="E23" s="21" t="s">
        <v>449</v>
      </c>
      <c r="F23" s="21" t="str">
        <f t="shared" si="0"/>
        <v>rtdc.l.rtdc.4012:itc</v>
      </c>
      <c r="G23" s="8">
        <f t="shared" si="1"/>
        <v>42678.214039351849</v>
      </c>
    </row>
    <row r="24" spans="1:7" x14ac:dyDescent="0.25">
      <c r="A24" s="8">
        <v>42678.215312499997</v>
      </c>
      <c r="B24" s="21" t="s">
        <v>404</v>
      </c>
      <c r="C24" s="21" t="s">
        <v>405</v>
      </c>
      <c r="D24" s="21">
        <v>1310000</v>
      </c>
      <c r="E24" s="21" t="s">
        <v>444</v>
      </c>
      <c r="F24" s="21" t="str">
        <f t="shared" si="0"/>
        <v>rtdc.l.rtdc.4045:itc</v>
      </c>
      <c r="G24" s="8">
        <f t="shared" si="1"/>
        <v>42678.215312499997</v>
      </c>
    </row>
    <row r="25" spans="1:7" x14ac:dyDescent="0.25">
      <c r="A25" s="8">
        <v>42678.216006944444</v>
      </c>
      <c r="B25" s="21" t="s">
        <v>263</v>
      </c>
      <c r="C25" s="21" t="s">
        <v>452</v>
      </c>
      <c r="D25" s="21">
        <v>2010000</v>
      </c>
      <c r="E25" s="21" t="s">
        <v>325</v>
      </c>
      <c r="F25" s="21" t="str">
        <f t="shared" si="0"/>
        <v>rtdc.l.rtdc.4003:itc</v>
      </c>
      <c r="G25" s="8">
        <f t="shared" si="1"/>
        <v>42678.216006944444</v>
      </c>
    </row>
    <row r="26" spans="1:7" x14ac:dyDescent="0.25">
      <c r="A26" s="8">
        <v>42678.221377314818</v>
      </c>
      <c r="B26" s="21" t="s">
        <v>285</v>
      </c>
      <c r="C26" s="21" t="s">
        <v>453</v>
      </c>
      <c r="D26" s="21">
        <v>2620000</v>
      </c>
      <c r="E26" s="21" t="s">
        <v>327</v>
      </c>
      <c r="F26" s="21" t="str">
        <f t="shared" si="0"/>
        <v>rtdc.l.rtdc.4041:itc</v>
      </c>
      <c r="G26" s="8">
        <f t="shared" si="1"/>
        <v>42678.221377314818</v>
      </c>
    </row>
    <row r="27" spans="1:7" x14ac:dyDescent="0.25">
      <c r="A27" s="8">
        <v>42678.227349537039</v>
      </c>
      <c r="B27" s="21" t="s">
        <v>191</v>
      </c>
      <c r="C27" s="21" t="s">
        <v>406</v>
      </c>
      <c r="D27" s="21">
        <v>2450000</v>
      </c>
      <c r="E27" s="21" t="s">
        <v>353</v>
      </c>
      <c r="F27" s="21" t="str">
        <f t="shared" si="0"/>
        <v>rtdc.l.rtdc.4007:itc</v>
      </c>
      <c r="G27" s="8">
        <f t="shared" si="1"/>
        <v>42678.227349537039</v>
      </c>
    </row>
    <row r="28" spans="1:7" x14ac:dyDescent="0.25">
      <c r="A28" s="8">
        <v>42678.22761574074</v>
      </c>
      <c r="B28" s="21" t="s">
        <v>323</v>
      </c>
      <c r="C28" s="21" t="s">
        <v>454</v>
      </c>
      <c r="D28" s="21">
        <v>2600000</v>
      </c>
      <c r="E28" s="21" t="s">
        <v>329</v>
      </c>
      <c r="F28" s="21" t="str">
        <f t="shared" si="0"/>
        <v>rtdc.l.rtdc.4054:itc</v>
      </c>
      <c r="G28" s="8">
        <f t="shared" si="1"/>
        <v>42678.22761574074</v>
      </c>
    </row>
    <row r="29" spans="1:7" x14ac:dyDescent="0.25">
      <c r="A29" s="8">
        <v>42678.229050925926</v>
      </c>
      <c r="B29" s="21" t="s">
        <v>232</v>
      </c>
      <c r="C29" s="21" t="s">
        <v>455</v>
      </c>
      <c r="D29" s="21">
        <v>2140000</v>
      </c>
      <c r="E29" s="21" t="s">
        <v>449</v>
      </c>
      <c r="F29" s="21" t="str">
        <f t="shared" si="0"/>
        <v>rtdc.l.rtdc.4011:itc</v>
      </c>
      <c r="G29" s="8">
        <f t="shared" si="1"/>
        <v>42678.229050925926</v>
      </c>
    </row>
    <row r="30" spans="1:7" x14ac:dyDescent="0.25">
      <c r="A30" s="8">
        <v>42678.229872685188</v>
      </c>
      <c r="B30" s="21" t="s">
        <v>246</v>
      </c>
      <c r="C30" s="21" t="s">
        <v>456</v>
      </c>
      <c r="D30" s="21">
        <v>1990000</v>
      </c>
      <c r="E30" s="21" t="s">
        <v>439</v>
      </c>
      <c r="F30" s="21" t="str">
        <f t="shared" si="0"/>
        <v>rtdc.l.rtdc.4022:itc</v>
      </c>
      <c r="G30" s="8">
        <f t="shared" si="1"/>
        <v>42678.229872685188</v>
      </c>
    </row>
    <row r="31" spans="1:7" x14ac:dyDescent="0.25">
      <c r="A31" s="8">
        <v>42678.241539351853</v>
      </c>
      <c r="B31" s="21" t="s">
        <v>229</v>
      </c>
      <c r="C31" s="21" t="s">
        <v>408</v>
      </c>
      <c r="D31" s="21">
        <v>2380000</v>
      </c>
      <c r="E31" s="21" t="s">
        <v>289</v>
      </c>
      <c r="F31" s="21" t="str">
        <f t="shared" si="0"/>
        <v>rtdc.l.rtdc.4037:itc</v>
      </c>
      <c r="G31" s="8">
        <f t="shared" si="1"/>
        <v>42678.241539351853</v>
      </c>
    </row>
    <row r="32" spans="1:7" x14ac:dyDescent="0.25">
      <c r="A32" s="8">
        <v>42678.24491898148</v>
      </c>
      <c r="B32" s="21" t="s">
        <v>229</v>
      </c>
      <c r="C32" s="21" t="s">
        <v>408</v>
      </c>
      <c r="D32" s="21">
        <v>2380000</v>
      </c>
      <c r="E32" s="21" t="s">
        <v>289</v>
      </c>
      <c r="F32" s="21" t="str">
        <f t="shared" si="0"/>
        <v>rtdc.l.rtdc.4037:itc</v>
      </c>
      <c r="G32" s="8">
        <f t="shared" si="1"/>
        <v>42678.24491898148</v>
      </c>
    </row>
    <row r="33" spans="1:7" x14ac:dyDescent="0.25">
      <c r="A33" s="8">
        <v>42678.24863425926</v>
      </c>
      <c r="B33" s="21" t="s">
        <v>224</v>
      </c>
      <c r="C33" s="21" t="s">
        <v>457</v>
      </c>
      <c r="D33" s="21">
        <v>1310000</v>
      </c>
      <c r="E33" s="21" t="s">
        <v>444</v>
      </c>
      <c r="F33" s="21" t="str">
        <f t="shared" si="0"/>
        <v>rtdc.l.rtdc.4029:itc</v>
      </c>
      <c r="G33" s="8">
        <f t="shared" si="1"/>
        <v>42678.24863425926</v>
      </c>
    </row>
    <row r="34" spans="1:7" x14ac:dyDescent="0.25">
      <c r="A34" s="8">
        <v>42678.249155092592</v>
      </c>
      <c r="B34" s="21" t="s">
        <v>224</v>
      </c>
      <c r="C34" s="21" t="s">
        <v>457</v>
      </c>
      <c r="D34" s="21">
        <v>1310000</v>
      </c>
      <c r="E34" s="21" t="s">
        <v>444</v>
      </c>
      <c r="F34" s="21" t="str">
        <f t="shared" si="0"/>
        <v>rtdc.l.rtdc.4029:itc</v>
      </c>
      <c r="G34" s="8">
        <f t="shared" si="1"/>
        <v>42678.249155092592</v>
      </c>
    </row>
    <row r="35" spans="1:7" x14ac:dyDescent="0.25">
      <c r="A35" s="8">
        <v>42678.249525462961</v>
      </c>
      <c r="B35" s="21" t="s">
        <v>188</v>
      </c>
      <c r="C35" s="21" t="s">
        <v>458</v>
      </c>
      <c r="D35" s="21">
        <v>2530000</v>
      </c>
      <c r="E35" s="21" t="s">
        <v>273</v>
      </c>
      <c r="F35" s="21" t="str">
        <f t="shared" si="0"/>
        <v>rtdc.l.rtdc.4010:itc</v>
      </c>
      <c r="G35" s="8">
        <f t="shared" si="1"/>
        <v>42678.249525462961</v>
      </c>
    </row>
    <row r="36" spans="1:7" x14ac:dyDescent="0.25">
      <c r="A36" s="8">
        <v>42678.250717592593</v>
      </c>
      <c r="B36" s="21" t="s">
        <v>224</v>
      </c>
      <c r="C36" s="21" t="s">
        <v>457</v>
      </c>
      <c r="D36" s="21">
        <v>1310000</v>
      </c>
      <c r="E36" s="21" t="s">
        <v>444</v>
      </c>
      <c r="F36" s="21" t="str">
        <f t="shared" si="0"/>
        <v>rtdc.l.rtdc.4029:itc</v>
      </c>
      <c r="G36" s="8">
        <f t="shared" si="1"/>
        <v>42678.250717592593</v>
      </c>
    </row>
    <row r="37" spans="1:7" x14ac:dyDescent="0.25">
      <c r="A37" s="8">
        <v>42678.254108796296</v>
      </c>
      <c r="B37" s="21" t="s">
        <v>274</v>
      </c>
      <c r="C37" s="21" t="s">
        <v>459</v>
      </c>
      <c r="D37" s="21">
        <v>2010000</v>
      </c>
      <c r="E37" s="21" t="s">
        <v>325</v>
      </c>
      <c r="F37" s="21" t="str">
        <f t="shared" si="0"/>
        <v>rtdc.l.rtdc.4004:itc</v>
      </c>
      <c r="G37" s="8">
        <f t="shared" si="1"/>
        <v>42678.254108796296</v>
      </c>
    </row>
    <row r="38" spans="1:7" x14ac:dyDescent="0.25">
      <c r="A38" s="8">
        <v>42678.255057870374</v>
      </c>
      <c r="B38" s="21" t="s">
        <v>350</v>
      </c>
      <c r="C38" s="21" t="s">
        <v>407</v>
      </c>
      <c r="D38" s="21">
        <v>2140000</v>
      </c>
      <c r="E38" s="21" t="s">
        <v>449</v>
      </c>
      <c r="F38" s="21" t="str">
        <f t="shared" si="0"/>
        <v>rtdc.l.rtdc.4012:itc</v>
      </c>
      <c r="G38" s="8">
        <f t="shared" si="1"/>
        <v>42678.255057870374</v>
      </c>
    </row>
    <row r="39" spans="1:7" x14ac:dyDescent="0.25">
      <c r="A39" s="8">
        <v>42678.255729166667</v>
      </c>
      <c r="B39" s="21" t="s">
        <v>288</v>
      </c>
      <c r="C39" s="21" t="s">
        <v>460</v>
      </c>
      <c r="D39" s="21">
        <v>2620000</v>
      </c>
      <c r="E39" s="21" t="s">
        <v>327</v>
      </c>
      <c r="F39" s="21" t="str">
        <f t="shared" si="0"/>
        <v>rtdc.l.rtdc.4042:itc</v>
      </c>
      <c r="G39" s="8">
        <f t="shared" si="1"/>
        <v>42678.255729166667</v>
      </c>
    </row>
    <row r="40" spans="1:7" x14ac:dyDescent="0.25">
      <c r="A40" s="8">
        <v>42678.259583333333</v>
      </c>
      <c r="B40" s="26" t="s">
        <v>189</v>
      </c>
      <c r="C40" s="21" t="s">
        <v>461</v>
      </c>
      <c r="D40" s="21">
        <v>2530000</v>
      </c>
      <c r="E40" s="21" t="s">
        <v>273</v>
      </c>
      <c r="F40" s="21" t="str">
        <f t="shared" si="0"/>
        <v>rtdc.l.rtdc.4009:itc</v>
      </c>
      <c r="G40" s="8">
        <f t="shared" si="1"/>
        <v>42678.259583333333</v>
      </c>
    </row>
    <row r="41" spans="1:7" x14ac:dyDescent="0.25">
      <c r="A41" s="8">
        <v>42678.266956018517</v>
      </c>
      <c r="B41" s="21" t="s">
        <v>326</v>
      </c>
      <c r="C41" s="21" t="s">
        <v>462</v>
      </c>
      <c r="D41" s="21">
        <v>2600000</v>
      </c>
      <c r="E41" s="21" t="s">
        <v>329</v>
      </c>
      <c r="F41" s="21" t="str">
        <f t="shared" si="0"/>
        <v>rtdc.l.rtdc.4053:itc</v>
      </c>
      <c r="G41" s="8">
        <f t="shared" si="1"/>
        <v>42678.266956018517</v>
      </c>
    </row>
    <row r="42" spans="1:7" x14ac:dyDescent="0.25">
      <c r="A42" s="8">
        <v>42678.268692129626</v>
      </c>
      <c r="B42" s="21" t="s">
        <v>286</v>
      </c>
      <c r="C42" s="21" t="s">
        <v>463</v>
      </c>
      <c r="D42" s="21">
        <v>2450000</v>
      </c>
      <c r="E42" s="21" t="s">
        <v>353</v>
      </c>
      <c r="F42" s="21" t="str">
        <f t="shared" si="0"/>
        <v>rtdc.l.rtdc.4008:itc</v>
      </c>
      <c r="G42" s="8">
        <f t="shared" si="1"/>
        <v>42678.268692129626</v>
      </c>
    </row>
    <row r="43" spans="1:7" x14ac:dyDescent="0.25">
      <c r="A43" s="8">
        <v>42678.273090277777</v>
      </c>
      <c r="B43" s="21" t="s">
        <v>232</v>
      </c>
      <c r="C43" s="21" t="s">
        <v>409</v>
      </c>
      <c r="D43" s="21">
        <v>2140000</v>
      </c>
      <c r="E43" s="21" t="s">
        <v>449</v>
      </c>
      <c r="F43" s="21" t="str">
        <f t="shared" si="0"/>
        <v>rtdc.l.rtdc.4011:itc</v>
      </c>
      <c r="G43" s="8">
        <f t="shared" si="1"/>
        <v>42678.273090277777</v>
      </c>
    </row>
    <row r="44" spans="1:7" x14ac:dyDescent="0.25">
      <c r="A44" s="8">
        <v>42678.27553240741</v>
      </c>
      <c r="B44" s="21" t="s">
        <v>188</v>
      </c>
      <c r="C44" s="21" t="s">
        <v>464</v>
      </c>
      <c r="D44" s="21">
        <v>2530000</v>
      </c>
      <c r="E44" s="21" t="s">
        <v>273</v>
      </c>
      <c r="F44" s="21" t="str">
        <f t="shared" si="0"/>
        <v>rtdc.l.rtdc.4010:itc</v>
      </c>
      <c r="G44" s="8">
        <f t="shared" si="1"/>
        <v>42678.27553240741</v>
      </c>
    </row>
    <row r="45" spans="1:7" x14ac:dyDescent="0.25">
      <c r="A45" s="8">
        <v>42678.276562500003</v>
      </c>
      <c r="B45" s="21" t="s">
        <v>234</v>
      </c>
      <c r="C45" s="21" t="s">
        <v>465</v>
      </c>
      <c r="D45" s="21">
        <v>1990000</v>
      </c>
      <c r="E45" s="21" t="s">
        <v>439</v>
      </c>
      <c r="F45" s="21" t="str">
        <f t="shared" si="0"/>
        <v>rtdc.l.rtdc.4021:itc</v>
      </c>
      <c r="G45" s="8">
        <f t="shared" si="1"/>
        <v>42678.276562500003</v>
      </c>
    </row>
    <row r="46" spans="1:7" x14ac:dyDescent="0.25">
      <c r="A46" s="8">
        <v>42678.277997685182</v>
      </c>
      <c r="B46" s="21" t="s">
        <v>241</v>
      </c>
      <c r="C46" s="21" t="s">
        <v>466</v>
      </c>
      <c r="D46" s="21">
        <v>2380000</v>
      </c>
      <c r="E46" s="21" t="s">
        <v>289</v>
      </c>
      <c r="F46" s="21" t="str">
        <f t="shared" si="0"/>
        <v>rtdc.l.rtdc.4038:itc</v>
      </c>
      <c r="G46" s="8">
        <f t="shared" si="1"/>
        <v>42678.277997685182</v>
      </c>
    </row>
    <row r="47" spans="1:7" x14ac:dyDescent="0.25">
      <c r="A47" s="8">
        <v>42678.286956018521</v>
      </c>
      <c r="B47" s="21" t="s">
        <v>263</v>
      </c>
      <c r="C47" s="21" t="s">
        <v>411</v>
      </c>
      <c r="D47" s="21">
        <v>2010000</v>
      </c>
      <c r="E47" s="21" t="s">
        <v>325</v>
      </c>
      <c r="F47" s="21" t="str">
        <f t="shared" si="0"/>
        <v>rtdc.l.rtdc.4003:itc</v>
      </c>
      <c r="G47" s="8">
        <f t="shared" si="1"/>
        <v>42678.286956018521</v>
      </c>
    </row>
    <row r="48" spans="1:7" x14ac:dyDescent="0.25">
      <c r="A48" s="8">
        <v>42678.288483796299</v>
      </c>
      <c r="B48" s="21" t="s">
        <v>225</v>
      </c>
      <c r="C48" s="21" t="s">
        <v>410</v>
      </c>
      <c r="D48" s="21">
        <v>1310000</v>
      </c>
      <c r="E48" s="21" t="s">
        <v>444</v>
      </c>
      <c r="F48" s="21" t="str">
        <f t="shared" si="0"/>
        <v>rtdc.l.rtdc.4030:itc</v>
      </c>
      <c r="G48" s="8">
        <f t="shared" si="1"/>
        <v>42678.288483796299</v>
      </c>
    </row>
    <row r="49" spans="1:7" x14ac:dyDescent="0.25">
      <c r="A49" s="8">
        <v>42678.290706018517</v>
      </c>
      <c r="B49" s="21" t="s">
        <v>189</v>
      </c>
      <c r="C49" s="21" t="s">
        <v>467</v>
      </c>
      <c r="D49" s="21">
        <v>2530000</v>
      </c>
      <c r="E49" s="21" t="s">
        <v>273</v>
      </c>
      <c r="F49" s="21" t="str">
        <f t="shared" si="0"/>
        <v>rtdc.l.rtdc.4009:itc</v>
      </c>
      <c r="G49" s="8">
        <f t="shared" si="1"/>
        <v>42678.290706018517</v>
      </c>
    </row>
    <row r="50" spans="1:7" x14ac:dyDescent="0.25">
      <c r="A50" s="8">
        <v>42678.294687499998</v>
      </c>
      <c r="B50" s="21" t="s">
        <v>285</v>
      </c>
      <c r="C50" s="21" t="s">
        <v>468</v>
      </c>
      <c r="D50" s="21">
        <v>2620000</v>
      </c>
      <c r="E50" s="21" t="s">
        <v>327</v>
      </c>
      <c r="F50" s="21" t="str">
        <f t="shared" si="0"/>
        <v>rtdc.l.rtdc.4041:itc</v>
      </c>
      <c r="G50" s="8">
        <f t="shared" si="1"/>
        <v>42678.294687499998</v>
      </c>
    </row>
    <row r="51" spans="1:7" x14ac:dyDescent="0.25">
      <c r="A51" s="8">
        <v>42678.297013888892</v>
      </c>
      <c r="B51" s="21" t="s">
        <v>350</v>
      </c>
      <c r="C51" s="21" t="s">
        <v>469</v>
      </c>
      <c r="D51" s="21">
        <v>2140000</v>
      </c>
      <c r="E51" s="21" t="s">
        <v>449</v>
      </c>
      <c r="F51" s="21" t="str">
        <f t="shared" si="0"/>
        <v>rtdc.l.rtdc.4012:itc</v>
      </c>
      <c r="G51" s="8">
        <f t="shared" si="1"/>
        <v>42678.297013888892</v>
      </c>
    </row>
    <row r="52" spans="1:7" x14ac:dyDescent="0.25">
      <c r="A52" s="8">
        <v>42678.29828703704</v>
      </c>
      <c r="B52" s="21" t="s">
        <v>323</v>
      </c>
      <c r="C52" s="21" t="s">
        <v>470</v>
      </c>
      <c r="D52" s="21">
        <v>2600000</v>
      </c>
      <c r="E52" s="21" t="s">
        <v>329</v>
      </c>
      <c r="F52" s="21" t="str">
        <f t="shared" si="0"/>
        <v>rtdc.l.rtdc.4054:itc</v>
      </c>
      <c r="G52" s="8">
        <f t="shared" si="1"/>
        <v>42678.29828703704</v>
      </c>
    </row>
    <row r="53" spans="1:7" x14ac:dyDescent="0.25">
      <c r="A53" s="8">
        <v>42678.298807870371</v>
      </c>
      <c r="B53" s="21" t="s">
        <v>350</v>
      </c>
      <c r="C53" s="21" t="s">
        <v>469</v>
      </c>
      <c r="D53" s="21">
        <v>2140000</v>
      </c>
      <c r="E53" s="21" t="s">
        <v>449</v>
      </c>
      <c r="F53" s="21" t="str">
        <f t="shared" si="0"/>
        <v>rtdc.l.rtdc.4012:itc</v>
      </c>
      <c r="G53" s="8">
        <f t="shared" si="1"/>
        <v>42678.298807870371</v>
      </c>
    </row>
    <row r="54" spans="1:7" x14ac:dyDescent="0.25">
      <c r="A54" s="8">
        <v>42678.300092592595</v>
      </c>
      <c r="B54" s="21" t="s">
        <v>191</v>
      </c>
      <c r="C54" s="21" t="s">
        <v>471</v>
      </c>
      <c r="D54" s="21">
        <v>2450000</v>
      </c>
      <c r="E54" s="21" t="s">
        <v>353</v>
      </c>
      <c r="F54" s="21" t="str">
        <f t="shared" si="0"/>
        <v>rtdc.l.rtdc.4007:itc</v>
      </c>
      <c r="G54" s="8">
        <f t="shared" si="1"/>
        <v>42678.300092592595</v>
      </c>
    </row>
    <row r="55" spans="1:7" x14ac:dyDescent="0.25">
      <c r="A55" s="8">
        <v>42678.31077546296</v>
      </c>
      <c r="B55" s="21" t="s">
        <v>246</v>
      </c>
      <c r="C55" s="21" t="s">
        <v>472</v>
      </c>
      <c r="D55" s="21">
        <v>1990000</v>
      </c>
      <c r="E55" s="21" t="s">
        <v>439</v>
      </c>
      <c r="F55" s="21" t="str">
        <f t="shared" si="0"/>
        <v>rtdc.l.rtdc.4022:itc</v>
      </c>
      <c r="G55" s="8">
        <f t="shared" si="1"/>
        <v>42678.31077546296</v>
      </c>
    </row>
    <row r="56" spans="1:7" x14ac:dyDescent="0.25">
      <c r="A56" s="8">
        <v>42678.312638888892</v>
      </c>
      <c r="B56" s="21" t="s">
        <v>232</v>
      </c>
      <c r="C56" s="21" t="s">
        <v>473</v>
      </c>
      <c r="D56" s="21">
        <v>2140000</v>
      </c>
      <c r="E56" s="21" t="s">
        <v>449</v>
      </c>
      <c r="F56" s="21" t="str">
        <f t="shared" si="0"/>
        <v>rtdc.l.rtdc.4011:itc</v>
      </c>
      <c r="G56" s="8">
        <f t="shared" si="1"/>
        <v>42678.312638888892</v>
      </c>
    </row>
    <row r="57" spans="1:7" x14ac:dyDescent="0.25">
      <c r="A57" s="8">
        <v>42678.315821759257</v>
      </c>
      <c r="B57" s="21" t="s">
        <v>229</v>
      </c>
      <c r="C57" s="21" t="s">
        <v>412</v>
      </c>
      <c r="D57" s="21">
        <v>2380000</v>
      </c>
      <c r="E57" s="21" t="s">
        <v>289</v>
      </c>
      <c r="F57" s="21" t="str">
        <f t="shared" si="0"/>
        <v>rtdc.l.rtdc.4037:itc</v>
      </c>
      <c r="G57" s="8">
        <f t="shared" si="1"/>
        <v>42678.315821759257</v>
      </c>
    </row>
    <row r="58" spans="1:7" x14ac:dyDescent="0.25">
      <c r="A58" s="8">
        <v>42678.317407407405</v>
      </c>
      <c r="B58" s="21" t="s">
        <v>188</v>
      </c>
      <c r="C58" s="21" t="s">
        <v>474</v>
      </c>
      <c r="D58" s="21">
        <v>2530000</v>
      </c>
      <c r="E58" s="21" t="s">
        <v>273</v>
      </c>
      <c r="F58" s="21" t="str">
        <f t="shared" si="0"/>
        <v>rtdc.l.rtdc.4010:itc</v>
      </c>
      <c r="G58" s="8">
        <f t="shared" si="1"/>
        <v>42678.317407407405</v>
      </c>
    </row>
    <row r="59" spans="1:7" x14ac:dyDescent="0.25">
      <c r="A59" s="8">
        <v>42678.320856481485</v>
      </c>
      <c r="B59" s="21" t="s">
        <v>224</v>
      </c>
      <c r="C59" s="21" t="s">
        <v>475</v>
      </c>
      <c r="D59" s="21">
        <v>1310000</v>
      </c>
      <c r="E59" s="21" t="s">
        <v>444</v>
      </c>
      <c r="F59" s="21" t="str">
        <f t="shared" si="0"/>
        <v>rtdc.l.rtdc.4029:itc</v>
      </c>
      <c r="G59" s="8">
        <f t="shared" si="1"/>
        <v>42678.320856481485</v>
      </c>
    </row>
    <row r="60" spans="1:7" x14ac:dyDescent="0.25">
      <c r="A60" s="8">
        <v>42678.327476851853</v>
      </c>
      <c r="B60" s="21" t="s">
        <v>274</v>
      </c>
      <c r="C60" s="21" t="s">
        <v>476</v>
      </c>
      <c r="D60" s="21">
        <v>2010000</v>
      </c>
      <c r="E60" s="21" t="s">
        <v>325</v>
      </c>
      <c r="F60" s="21" t="str">
        <f t="shared" si="0"/>
        <v>rtdc.l.rtdc.4004:itc</v>
      </c>
      <c r="G60" s="8">
        <f t="shared" si="1"/>
        <v>42678.327476851853</v>
      </c>
    </row>
    <row r="61" spans="1:7" x14ac:dyDescent="0.25">
      <c r="A61" s="8">
        <v>42678.32880787037</v>
      </c>
      <c r="B61" s="21" t="s">
        <v>288</v>
      </c>
      <c r="C61" s="21" t="s">
        <v>413</v>
      </c>
      <c r="D61" s="21">
        <v>2620000</v>
      </c>
      <c r="E61" s="21" t="s">
        <v>327</v>
      </c>
      <c r="F61" s="21" t="str">
        <f t="shared" si="0"/>
        <v>rtdc.l.rtdc.4042:itc</v>
      </c>
      <c r="G61" s="8">
        <f t="shared" si="1"/>
        <v>42678.32880787037</v>
      </c>
    </row>
    <row r="62" spans="1:7" x14ac:dyDescent="0.25">
      <c r="A62" s="8">
        <v>42678.335590277777</v>
      </c>
      <c r="B62" s="21" t="s">
        <v>189</v>
      </c>
      <c r="C62" s="21" t="s">
        <v>477</v>
      </c>
      <c r="D62" s="21">
        <v>2530000</v>
      </c>
      <c r="E62" s="21" t="s">
        <v>273</v>
      </c>
      <c r="F62" s="21" t="str">
        <f t="shared" si="0"/>
        <v>rtdc.l.rtdc.4009:itc</v>
      </c>
      <c r="G62" s="8">
        <f t="shared" si="1"/>
        <v>42678.335590277777</v>
      </c>
    </row>
    <row r="63" spans="1:7" x14ac:dyDescent="0.25">
      <c r="A63" s="8">
        <v>42678.337951388887</v>
      </c>
      <c r="B63" s="21" t="s">
        <v>350</v>
      </c>
      <c r="C63" s="21" t="s">
        <v>478</v>
      </c>
      <c r="D63" s="21">
        <v>2140000</v>
      </c>
      <c r="E63" s="21" t="s">
        <v>449</v>
      </c>
      <c r="F63" s="21" t="str">
        <f t="shared" si="0"/>
        <v>rtdc.l.rtdc.4012:itc</v>
      </c>
      <c r="G63" s="8">
        <f t="shared" si="1"/>
        <v>42678.337951388887</v>
      </c>
    </row>
    <row r="64" spans="1:7" x14ac:dyDescent="0.25">
      <c r="A64" s="27">
        <v>42678.338796296295</v>
      </c>
      <c r="B64" s="21" t="s">
        <v>286</v>
      </c>
      <c r="C64" s="21" t="s">
        <v>479</v>
      </c>
      <c r="D64" s="21">
        <v>2450000</v>
      </c>
      <c r="E64" s="21" t="s">
        <v>353</v>
      </c>
      <c r="F64" s="21" t="str">
        <f t="shared" si="0"/>
        <v>rtdc.l.rtdc.4008:itc</v>
      </c>
      <c r="G64" s="8">
        <f t="shared" si="1"/>
        <v>42678.338796296295</v>
      </c>
    </row>
    <row r="65" spans="1:7" x14ac:dyDescent="0.25">
      <c r="A65" s="8">
        <v>42678.340231481481</v>
      </c>
      <c r="B65" s="21" t="s">
        <v>326</v>
      </c>
      <c r="C65" s="21" t="s">
        <v>480</v>
      </c>
      <c r="D65" s="21">
        <v>2600000</v>
      </c>
      <c r="E65" s="21" t="s">
        <v>329</v>
      </c>
      <c r="F65" s="21" t="str">
        <f t="shared" si="0"/>
        <v>rtdc.l.rtdc.4053:itc</v>
      </c>
      <c r="G65" s="8">
        <f t="shared" si="1"/>
        <v>42678.340231481481</v>
      </c>
    </row>
    <row r="66" spans="1:7" x14ac:dyDescent="0.25">
      <c r="A66" s="8">
        <v>42678.348564814813</v>
      </c>
      <c r="B66" s="21" t="s">
        <v>234</v>
      </c>
      <c r="C66" s="21" t="s">
        <v>481</v>
      </c>
      <c r="D66" s="21">
        <v>1990000</v>
      </c>
      <c r="E66" s="21" t="s">
        <v>439</v>
      </c>
      <c r="F66" s="21" t="str">
        <f t="shared" ref="F66:F129" si="2">B66</f>
        <v>rtdc.l.rtdc.4021:itc</v>
      </c>
      <c r="G66" s="8">
        <f t="shared" ref="G66:G129" si="3">A66</f>
        <v>42678.348564814813</v>
      </c>
    </row>
    <row r="67" spans="1:7" x14ac:dyDescent="0.25">
      <c r="A67" s="8">
        <v>42678.350590277776</v>
      </c>
      <c r="B67" s="21" t="s">
        <v>241</v>
      </c>
      <c r="C67" s="21" t="s">
        <v>414</v>
      </c>
      <c r="D67" s="21">
        <v>2380000</v>
      </c>
      <c r="E67" s="21" t="s">
        <v>289</v>
      </c>
      <c r="F67" s="21" t="str">
        <f t="shared" si="2"/>
        <v>rtdc.l.rtdc.4038:itc</v>
      </c>
      <c r="G67" s="8">
        <f t="shared" si="3"/>
        <v>42678.350590277776</v>
      </c>
    </row>
    <row r="68" spans="1:7" x14ac:dyDescent="0.25">
      <c r="A68" s="8">
        <v>42678.354074074072</v>
      </c>
      <c r="B68" s="21" t="s">
        <v>232</v>
      </c>
      <c r="C68" s="21" t="s">
        <v>482</v>
      </c>
      <c r="D68" s="21">
        <v>2140000</v>
      </c>
      <c r="E68" s="21" t="s">
        <v>449</v>
      </c>
      <c r="F68" s="21" t="str">
        <f t="shared" si="2"/>
        <v>rtdc.l.rtdc.4011:itc</v>
      </c>
      <c r="G68" s="8">
        <f t="shared" si="3"/>
        <v>42678.354074074072</v>
      </c>
    </row>
    <row r="69" spans="1:7" x14ac:dyDescent="0.25">
      <c r="A69" s="8">
        <v>42678.358831018515</v>
      </c>
      <c r="B69" s="21" t="s">
        <v>188</v>
      </c>
      <c r="C69" s="21" t="s">
        <v>483</v>
      </c>
      <c r="D69" s="21">
        <v>2530000</v>
      </c>
      <c r="E69" s="21" t="s">
        <v>273</v>
      </c>
      <c r="F69" s="21" t="str">
        <f t="shared" si="2"/>
        <v>rtdc.l.rtdc.4010:itc</v>
      </c>
      <c r="G69" s="8">
        <f t="shared" si="3"/>
        <v>42678.358831018515</v>
      </c>
    </row>
    <row r="70" spans="1:7" x14ac:dyDescent="0.25">
      <c r="A70" s="8">
        <v>42678.361041666663</v>
      </c>
      <c r="B70" s="21" t="s">
        <v>263</v>
      </c>
      <c r="C70" s="21" t="s">
        <v>484</v>
      </c>
      <c r="D70" s="21">
        <v>2010000</v>
      </c>
      <c r="E70" s="21" t="s">
        <v>325</v>
      </c>
      <c r="F70" s="21" t="str">
        <f t="shared" si="2"/>
        <v>rtdc.l.rtdc.4003:itc</v>
      </c>
      <c r="G70" s="8">
        <f t="shared" si="3"/>
        <v>42678.361041666663</v>
      </c>
    </row>
    <row r="71" spans="1:7" x14ac:dyDescent="0.25">
      <c r="A71" s="8">
        <v>42678.36178240741</v>
      </c>
      <c r="B71" s="21" t="s">
        <v>225</v>
      </c>
      <c r="C71" s="21" t="s">
        <v>485</v>
      </c>
      <c r="D71" s="21">
        <v>1310000</v>
      </c>
      <c r="E71" s="21" t="s">
        <v>444</v>
      </c>
      <c r="F71" s="21" t="str">
        <f t="shared" si="2"/>
        <v>rtdc.l.rtdc.4030:itc</v>
      </c>
      <c r="G71" s="8">
        <f t="shared" si="3"/>
        <v>42678.36178240741</v>
      </c>
    </row>
    <row r="72" spans="1:7" x14ac:dyDescent="0.25">
      <c r="A72" s="8">
        <v>42678.368391203701</v>
      </c>
      <c r="B72" s="21" t="s">
        <v>191</v>
      </c>
      <c r="C72" s="21" t="s">
        <v>486</v>
      </c>
      <c r="D72" s="21">
        <v>2450000</v>
      </c>
      <c r="E72" s="21" t="s">
        <v>353</v>
      </c>
      <c r="F72" s="21" t="str">
        <f t="shared" si="2"/>
        <v>rtdc.l.rtdc.4007:itc</v>
      </c>
      <c r="G72" s="8">
        <f t="shared" si="3"/>
        <v>42678.368391203701</v>
      </c>
    </row>
    <row r="73" spans="1:7" x14ac:dyDescent="0.25">
      <c r="A73" s="8">
        <v>42678.372604166667</v>
      </c>
      <c r="B73" s="21" t="s">
        <v>285</v>
      </c>
      <c r="C73" s="21" t="s">
        <v>487</v>
      </c>
      <c r="D73" s="21">
        <v>2620000</v>
      </c>
      <c r="E73" s="21" t="s">
        <v>327</v>
      </c>
      <c r="F73" s="21" t="str">
        <f t="shared" si="2"/>
        <v>rtdc.l.rtdc.4041:itc</v>
      </c>
      <c r="G73" s="8">
        <f t="shared" si="3"/>
        <v>42678.372604166667</v>
      </c>
    </row>
    <row r="74" spans="1:7" x14ac:dyDescent="0.25">
      <c r="A74" s="8">
        <v>42678.373449074075</v>
      </c>
      <c r="B74" s="21" t="s">
        <v>323</v>
      </c>
      <c r="C74" s="21" t="s">
        <v>488</v>
      </c>
      <c r="D74" s="21">
        <v>2600000</v>
      </c>
      <c r="E74" s="21" t="s">
        <v>329</v>
      </c>
      <c r="F74" s="21" t="str">
        <f t="shared" si="2"/>
        <v>rtdc.l.rtdc.4054:itc</v>
      </c>
      <c r="G74" s="8">
        <f t="shared" si="3"/>
        <v>42678.373449074075</v>
      </c>
    </row>
    <row r="75" spans="1:7" x14ac:dyDescent="0.25">
      <c r="A75" s="8">
        <v>42678.382175925923</v>
      </c>
      <c r="B75" s="21" t="s">
        <v>246</v>
      </c>
      <c r="C75" s="21" t="s">
        <v>416</v>
      </c>
      <c r="D75" s="21">
        <v>2420000</v>
      </c>
      <c r="E75" s="21" t="s">
        <v>275</v>
      </c>
      <c r="F75" s="21" t="str">
        <f t="shared" si="2"/>
        <v>rtdc.l.rtdc.4022:itc</v>
      </c>
      <c r="G75" s="8">
        <f t="shared" si="3"/>
        <v>42678.382175925923</v>
      </c>
    </row>
    <row r="76" spans="1:7" x14ac:dyDescent="0.25">
      <c r="A76" s="8">
        <v>42678.384513888886</v>
      </c>
      <c r="B76" s="21" t="s">
        <v>189</v>
      </c>
      <c r="C76" s="21" t="s">
        <v>489</v>
      </c>
      <c r="D76" s="21">
        <v>890000</v>
      </c>
      <c r="E76" s="21" t="s">
        <v>333</v>
      </c>
      <c r="F76" s="21" t="str">
        <f t="shared" si="2"/>
        <v>rtdc.l.rtdc.4009:itc</v>
      </c>
      <c r="G76" s="8">
        <f t="shared" si="3"/>
        <v>42678.384513888886</v>
      </c>
    </row>
    <row r="77" spans="1:7" x14ac:dyDescent="0.25">
      <c r="A77" s="8">
        <v>42678.388692129629</v>
      </c>
      <c r="B77" s="21" t="s">
        <v>229</v>
      </c>
      <c r="C77" s="21" t="s">
        <v>415</v>
      </c>
      <c r="D77" s="21">
        <v>2380000</v>
      </c>
      <c r="E77" s="21" t="s">
        <v>289</v>
      </c>
      <c r="F77" s="21" t="str">
        <f t="shared" si="2"/>
        <v>rtdc.l.rtdc.4037:itc</v>
      </c>
      <c r="G77" s="8">
        <f t="shared" si="3"/>
        <v>42678.388692129629</v>
      </c>
    </row>
    <row r="78" spans="1:7" x14ac:dyDescent="0.25">
      <c r="A78" s="8">
        <v>42678.394537037035</v>
      </c>
      <c r="B78" s="21" t="s">
        <v>224</v>
      </c>
      <c r="C78" s="21" t="s">
        <v>490</v>
      </c>
      <c r="D78" s="21">
        <v>2440000</v>
      </c>
      <c r="E78" s="21" t="s">
        <v>290</v>
      </c>
      <c r="F78" s="21" t="str">
        <f t="shared" si="2"/>
        <v>rtdc.l.rtdc.4029:itc</v>
      </c>
      <c r="G78" s="8">
        <f t="shared" si="3"/>
        <v>42678.394537037035</v>
      </c>
    </row>
    <row r="79" spans="1:7" x14ac:dyDescent="0.25">
      <c r="A79" s="8">
        <v>42678.400625000002</v>
      </c>
      <c r="B79" s="21" t="s">
        <v>274</v>
      </c>
      <c r="C79" s="21" t="s">
        <v>491</v>
      </c>
      <c r="D79" s="21">
        <v>2010000</v>
      </c>
      <c r="E79" s="21" t="s">
        <v>325</v>
      </c>
      <c r="F79" s="21" t="str">
        <f t="shared" si="2"/>
        <v>rtdc.l.rtdc.4004:itc</v>
      </c>
      <c r="G79" s="8">
        <f t="shared" si="3"/>
        <v>42678.400625000002</v>
      </c>
    </row>
    <row r="80" spans="1:7" x14ac:dyDescent="0.25">
      <c r="A80" s="8">
        <v>42678.401643518519</v>
      </c>
      <c r="B80" s="21" t="s">
        <v>288</v>
      </c>
      <c r="C80" s="21" t="s">
        <v>492</v>
      </c>
      <c r="D80" s="21">
        <v>2620000</v>
      </c>
      <c r="E80" s="21" t="s">
        <v>327</v>
      </c>
      <c r="F80" s="21" t="str">
        <f t="shared" si="2"/>
        <v>rtdc.l.rtdc.4042:itc</v>
      </c>
      <c r="G80" s="8">
        <f t="shared" si="3"/>
        <v>42678.401643518519</v>
      </c>
    </row>
    <row r="81" spans="1:7" x14ac:dyDescent="0.25">
      <c r="A81" s="8">
        <v>42678.402245370373</v>
      </c>
      <c r="B81" s="21" t="s">
        <v>188</v>
      </c>
      <c r="C81" s="21" t="s">
        <v>493</v>
      </c>
      <c r="D81" s="21">
        <v>890000</v>
      </c>
      <c r="E81" s="21" t="s">
        <v>333</v>
      </c>
      <c r="F81" s="21" t="str">
        <f t="shared" si="2"/>
        <v>rtdc.l.rtdc.4010:itc</v>
      </c>
      <c r="G81" s="8">
        <f t="shared" si="3"/>
        <v>42678.402245370373</v>
      </c>
    </row>
    <row r="82" spans="1:7" x14ac:dyDescent="0.25">
      <c r="A82" s="8">
        <v>42678.411817129629</v>
      </c>
      <c r="B82" s="21" t="s">
        <v>326</v>
      </c>
      <c r="C82" s="21" t="s">
        <v>494</v>
      </c>
      <c r="D82" s="21">
        <v>2600000</v>
      </c>
      <c r="E82" s="21" t="s">
        <v>329</v>
      </c>
      <c r="F82" s="21" t="str">
        <f t="shared" si="2"/>
        <v>rtdc.l.rtdc.4053:itc</v>
      </c>
      <c r="G82" s="8">
        <f t="shared" si="3"/>
        <v>42678.411817129629</v>
      </c>
    </row>
    <row r="83" spans="1:7" x14ac:dyDescent="0.25">
      <c r="A83" s="8">
        <v>42678.411979166667</v>
      </c>
      <c r="B83" s="21" t="s">
        <v>286</v>
      </c>
      <c r="C83" s="21" t="s">
        <v>495</v>
      </c>
      <c r="D83" s="21">
        <v>2450000</v>
      </c>
      <c r="E83" s="21" t="s">
        <v>353</v>
      </c>
      <c r="F83" s="21" t="str">
        <f t="shared" si="2"/>
        <v>rtdc.l.rtdc.4008:itc</v>
      </c>
      <c r="G83" s="8">
        <f t="shared" si="3"/>
        <v>42678.411979166667</v>
      </c>
    </row>
    <row r="84" spans="1:7" x14ac:dyDescent="0.25">
      <c r="A84" s="8">
        <v>42678.4141087963</v>
      </c>
      <c r="B84" s="21" t="s">
        <v>234</v>
      </c>
      <c r="C84" s="21" t="s">
        <v>496</v>
      </c>
      <c r="D84" s="21">
        <v>2420000</v>
      </c>
      <c r="E84" s="21" t="s">
        <v>275</v>
      </c>
      <c r="F84" s="21" t="str">
        <f t="shared" si="2"/>
        <v>rtdc.l.rtdc.4021:itc</v>
      </c>
      <c r="G84" s="8">
        <f t="shared" si="3"/>
        <v>42678.4141087963</v>
      </c>
    </row>
    <row r="85" spans="1:7" x14ac:dyDescent="0.25">
      <c r="A85" s="8">
        <v>42678.425428240742</v>
      </c>
      <c r="B85" s="21" t="s">
        <v>241</v>
      </c>
      <c r="C85" s="21" t="s">
        <v>417</v>
      </c>
      <c r="D85" s="21">
        <v>2380000</v>
      </c>
      <c r="E85" s="21" t="s">
        <v>289</v>
      </c>
      <c r="F85" s="21" t="str">
        <f t="shared" si="2"/>
        <v>rtdc.l.rtdc.4038:itc</v>
      </c>
      <c r="G85" s="8">
        <f t="shared" si="3"/>
        <v>42678.425428240742</v>
      </c>
    </row>
    <row r="86" spans="1:7" x14ac:dyDescent="0.25">
      <c r="A86" s="8">
        <v>42678.426238425927</v>
      </c>
      <c r="B86" s="21" t="s">
        <v>225</v>
      </c>
      <c r="C86" s="21" t="s">
        <v>497</v>
      </c>
      <c r="D86" s="21">
        <v>2440000</v>
      </c>
      <c r="E86" s="21" t="s">
        <v>290</v>
      </c>
      <c r="F86" s="21" t="str">
        <f t="shared" si="2"/>
        <v>rtdc.l.rtdc.4030:itc</v>
      </c>
      <c r="G86" s="8">
        <f t="shared" si="3"/>
        <v>42678.426238425927</v>
      </c>
    </row>
    <row r="87" spans="1:7" x14ac:dyDescent="0.25">
      <c r="A87" s="8">
        <v>42678.42895833333</v>
      </c>
      <c r="B87" s="21" t="s">
        <v>189</v>
      </c>
      <c r="C87" s="21" t="s">
        <v>498</v>
      </c>
      <c r="D87" s="21">
        <v>890000</v>
      </c>
      <c r="E87" s="21" t="s">
        <v>333</v>
      </c>
      <c r="F87" s="21" t="str">
        <f t="shared" si="2"/>
        <v>rtdc.l.rtdc.4009:itc</v>
      </c>
      <c r="G87" s="8">
        <f t="shared" si="3"/>
        <v>42678.42895833333</v>
      </c>
    </row>
    <row r="88" spans="1:7" x14ac:dyDescent="0.25">
      <c r="A88" s="8">
        <v>42678.430474537039</v>
      </c>
      <c r="B88" s="21" t="s">
        <v>269</v>
      </c>
      <c r="C88" s="21" t="s">
        <v>499</v>
      </c>
      <c r="D88" s="21">
        <v>2110000</v>
      </c>
      <c r="E88" s="21" t="s">
        <v>500</v>
      </c>
      <c r="F88" s="21" t="str">
        <f t="shared" si="2"/>
        <v>rtdc.l.rtdc.4039:itc</v>
      </c>
      <c r="G88" s="8">
        <f t="shared" si="3"/>
        <v>42678.430474537039</v>
      </c>
    </row>
    <row r="89" spans="1:7" x14ac:dyDescent="0.25">
      <c r="A89" s="8">
        <v>42678.433587962965</v>
      </c>
      <c r="B89" s="21" t="s">
        <v>263</v>
      </c>
      <c r="C89" s="21" t="s">
        <v>501</v>
      </c>
      <c r="D89" s="21">
        <v>2140000</v>
      </c>
      <c r="E89" s="21" t="s">
        <v>449</v>
      </c>
      <c r="F89" s="21" t="str">
        <f t="shared" si="2"/>
        <v>rtdc.l.rtdc.4003:itc</v>
      </c>
      <c r="G89" s="8">
        <f t="shared" si="3"/>
        <v>42678.433587962965</v>
      </c>
    </row>
    <row r="90" spans="1:7" x14ac:dyDescent="0.25">
      <c r="A90" s="8">
        <v>42678.438009259262</v>
      </c>
      <c r="B90" s="21" t="s">
        <v>285</v>
      </c>
      <c r="C90" s="21" t="s">
        <v>418</v>
      </c>
      <c r="D90" s="21">
        <v>2620000</v>
      </c>
      <c r="E90" s="21" t="s">
        <v>327</v>
      </c>
      <c r="F90" s="21" t="str">
        <f t="shared" si="2"/>
        <v>rtdc.l.rtdc.4041:itc</v>
      </c>
      <c r="G90" s="8">
        <f t="shared" si="3"/>
        <v>42678.438009259262</v>
      </c>
    </row>
    <row r="91" spans="1:7" x14ac:dyDescent="0.25">
      <c r="A91" s="8">
        <v>42678.442824074074</v>
      </c>
      <c r="B91" s="21" t="s">
        <v>188</v>
      </c>
      <c r="C91" s="21" t="s">
        <v>502</v>
      </c>
      <c r="D91" s="21">
        <v>890000</v>
      </c>
      <c r="E91" s="21" t="s">
        <v>333</v>
      </c>
      <c r="F91" s="21" t="str">
        <f t="shared" si="2"/>
        <v>rtdc.l.rtdc.4010:itc</v>
      </c>
      <c r="G91" s="8">
        <f t="shared" si="3"/>
        <v>42678.442824074074</v>
      </c>
    </row>
    <row r="92" spans="1:7" x14ac:dyDescent="0.25">
      <c r="A92" s="8">
        <v>42678.443773148145</v>
      </c>
      <c r="B92" s="21" t="s">
        <v>323</v>
      </c>
      <c r="C92" s="21" t="s">
        <v>503</v>
      </c>
      <c r="D92" s="21">
        <v>2600000</v>
      </c>
      <c r="E92" s="21" t="s">
        <v>329</v>
      </c>
      <c r="F92" s="21" t="str">
        <f t="shared" si="2"/>
        <v>rtdc.l.rtdc.4054:itc</v>
      </c>
      <c r="G92" s="8">
        <f t="shared" si="3"/>
        <v>42678.443773148145</v>
      </c>
    </row>
    <row r="93" spans="1:7" x14ac:dyDescent="0.25">
      <c r="A93" s="8">
        <v>42678.445706018516</v>
      </c>
      <c r="B93" s="21" t="s">
        <v>191</v>
      </c>
      <c r="C93" s="21" t="s">
        <v>504</v>
      </c>
      <c r="D93" s="21">
        <v>2450000</v>
      </c>
      <c r="E93" s="21" t="s">
        <v>353</v>
      </c>
      <c r="F93" s="21" t="str">
        <f t="shared" si="2"/>
        <v>rtdc.l.rtdc.4007:itc</v>
      </c>
      <c r="G93" s="8">
        <f t="shared" si="3"/>
        <v>42678.445706018516</v>
      </c>
    </row>
    <row r="94" spans="1:7" x14ac:dyDescent="0.25">
      <c r="A94" s="8">
        <v>42678.458379629628</v>
      </c>
      <c r="B94" s="21" t="s">
        <v>351</v>
      </c>
      <c r="C94" s="21" t="s">
        <v>419</v>
      </c>
      <c r="D94" s="21">
        <v>2150000</v>
      </c>
      <c r="E94" s="21" t="s">
        <v>505</v>
      </c>
      <c r="F94" s="21" t="str">
        <f t="shared" si="2"/>
        <v>rtdc.l.rtdc.4015:itc</v>
      </c>
      <c r="G94" s="8">
        <f t="shared" si="3"/>
        <v>42678.458379629628</v>
      </c>
    </row>
    <row r="95" spans="1:7" x14ac:dyDescent="0.25">
      <c r="A95" s="8">
        <v>42678.45853009259</v>
      </c>
      <c r="B95" s="21" t="s">
        <v>246</v>
      </c>
      <c r="C95" s="21" t="s">
        <v>506</v>
      </c>
      <c r="D95" s="21">
        <v>880000</v>
      </c>
      <c r="E95" s="21" t="s">
        <v>507</v>
      </c>
      <c r="F95" s="21" t="str">
        <f t="shared" si="2"/>
        <v>rtdc.l.rtdc.4022:itc</v>
      </c>
      <c r="G95" s="8">
        <f t="shared" si="3"/>
        <v>42678.45853009259</v>
      </c>
    </row>
    <row r="96" spans="1:7" x14ac:dyDescent="0.25">
      <c r="A96" s="8">
        <v>42678.461712962962</v>
      </c>
      <c r="B96" s="21" t="s">
        <v>229</v>
      </c>
      <c r="C96" s="21" t="s">
        <v>508</v>
      </c>
      <c r="D96" s="21">
        <v>2380000</v>
      </c>
      <c r="E96" s="21" t="s">
        <v>289</v>
      </c>
      <c r="F96" s="21" t="str">
        <f t="shared" si="2"/>
        <v>rtdc.l.rtdc.4037:itc</v>
      </c>
      <c r="G96" s="8">
        <f t="shared" si="3"/>
        <v>42678.461712962962</v>
      </c>
    </row>
    <row r="97" spans="1:7" x14ac:dyDescent="0.25">
      <c r="A97" s="8">
        <v>42678.465405092589</v>
      </c>
      <c r="B97" s="21" t="s">
        <v>224</v>
      </c>
      <c r="C97" s="21" t="s">
        <v>509</v>
      </c>
      <c r="D97" s="21">
        <v>930000</v>
      </c>
      <c r="E97" s="21" t="s">
        <v>510</v>
      </c>
      <c r="F97" s="21" t="str">
        <f t="shared" si="2"/>
        <v>rtdc.l.rtdc.4029:itc</v>
      </c>
      <c r="G97" s="8">
        <f t="shared" si="3"/>
        <v>42678.465405092589</v>
      </c>
    </row>
    <row r="98" spans="1:7" x14ac:dyDescent="0.25">
      <c r="A98" s="8">
        <v>42678.466458333336</v>
      </c>
      <c r="B98" s="21" t="s">
        <v>274</v>
      </c>
      <c r="C98" s="21" t="s">
        <v>511</v>
      </c>
      <c r="D98" s="21">
        <v>2140000</v>
      </c>
      <c r="E98" s="21" t="s">
        <v>449</v>
      </c>
      <c r="F98" s="21" t="str">
        <f t="shared" si="2"/>
        <v>rtdc.l.rtdc.4004:itc</v>
      </c>
      <c r="G98" s="8">
        <f t="shared" si="3"/>
        <v>42678.466458333336</v>
      </c>
    </row>
    <row r="99" spans="1:7" x14ac:dyDescent="0.25">
      <c r="A99" s="8">
        <v>42678.469629629632</v>
      </c>
      <c r="B99" s="21" t="s">
        <v>189</v>
      </c>
      <c r="C99" s="21" t="s">
        <v>512</v>
      </c>
      <c r="D99" s="21">
        <v>2440000</v>
      </c>
      <c r="E99" s="21" t="s">
        <v>290</v>
      </c>
      <c r="F99" s="21" t="str">
        <f t="shared" si="2"/>
        <v>rtdc.l.rtdc.4009:itc</v>
      </c>
      <c r="G99" s="8">
        <f t="shared" si="3"/>
        <v>42678.469629629632</v>
      </c>
    </row>
    <row r="100" spans="1:7" x14ac:dyDescent="0.25">
      <c r="A100" s="8">
        <v>42678.470578703702</v>
      </c>
      <c r="B100" s="21" t="s">
        <v>240</v>
      </c>
      <c r="C100" s="21" t="s">
        <v>513</v>
      </c>
      <c r="D100" s="21">
        <v>1240000</v>
      </c>
      <c r="E100" s="21" t="s">
        <v>330</v>
      </c>
      <c r="F100" s="21" t="str">
        <f t="shared" si="2"/>
        <v>rtdc.l.rtdc.4040:itc</v>
      </c>
      <c r="G100" s="8">
        <f t="shared" si="3"/>
        <v>42678.470578703702</v>
      </c>
    </row>
    <row r="101" spans="1:7" x14ac:dyDescent="0.25">
      <c r="A101" s="8">
        <v>42678.474803240744</v>
      </c>
      <c r="B101" s="21" t="s">
        <v>288</v>
      </c>
      <c r="C101" s="21" t="s">
        <v>420</v>
      </c>
      <c r="D101" s="21">
        <v>2630000</v>
      </c>
      <c r="E101" s="21" t="s">
        <v>331</v>
      </c>
      <c r="F101" s="21" t="str">
        <f t="shared" si="2"/>
        <v>rtdc.l.rtdc.4042:itc</v>
      </c>
      <c r="G101" s="8">
        <f t="shared" si="3"/>
        <v>42678.474803240744</v>
      </c>
    </row>
    <row r="102" spans="1:7" x14ac:dyDescent="0.25">
      <c r="A102" s="8">
        <v>42678.485069444447</v>
      </c>
      <c r="B102" s="21" t="s">
        <v>286</v>
      </c>
      <c r="C102" s="21" t="s">
        <v>514</v>
      </c>
      <c r="D102" s="21">
        <v>2450000</v>
      </c>
      <c r="E102" s="21" t="s">
        <v>353</v>
      </c>
      <c r="F102" s="21" t="str">
        <f t="shared" si="2"/>
        <v>rtdc.l.rtdc.4008:itc</v>
      </c>
      <c r="G102" s="8">
        <f t="shared" si="3"/>
        <v>42678.485069444447</v>
      </c>
    </row>
    <row r="103" spans="1:7" x14ac:dyDescent="0.25">
      <c r="A103" s="8">
        <v>42678.486284722225</v>
      </c>
      <c r="B103" s="21" t="s">
        <v>188</v>
      </c>
      <c r="C103" s="21" t="s">
        <v>515</v>
      </c>
      <c r="D103" s="21">
        <v>2440000</v>
      </c>
      <c r="E103" s="21" t="s">
        <v>290</v>
      </c>
      <c r="F103" s="21" t="str">
        <f t="shared" si="2"/>
        <v>rtdc.l.rtdc.4010:itc</v>
      </c>
      <c r="G103" s="8">
        <f t="shared" si="3"/>
        <v>42678.486284722225</v>
      </c>
    </row>
    <row r="104" spans="1:7" x14ac:dyDescent="0.25">
      <c r="A104" s="8">
        <v>42678.486307870371</v>
      </c>
      <c r="B104" s="21" t="s">
        <v>326</v>
      </c>
      <c r="C104" s="21" t="s">
        <v>516</v>
      </c>
      <c r="D104" s="21">
        <v>2150000</v>
      </c>
      <c r="E104" s="21" t="s">
        <v>505</v>
      </c>
      <c r="F104" s="21" t="str">
        <f t="shared" si="2"/>
        <v>rtdc.l.rtdc.4053:itc</v>
      </c>
      <c r="G104" s="8">
        <f t="shared" si="3"/>
        <v>42678.486307870371</v>
      </c>
    </row>
    <row r="105" spans="1:7" x14ac:dyDescent="0.25">
      <c r="A105" s="8">
        <v>42678.488194444442</v>
      </c>
      <c r="B105" s="21" t="s">
        <v>352</v>
      </c>
      <c r="C105" s="21" t="s">
        <v>517</v>
      </c>
      <c r="D105" s="21">
        <v>1340000</v>
      </c>
      <c r="E105" s="21" t="s">
        <v>332</v>
      </c>
      <c r="F105" s="21" t="str">
        <f t="shared" si="2"/>
        <v>rtdc.l.rtdc.4016:itc</v>
      </c>
      <c r="G105" s="8">
        <f t="shared" si="3"/>
        <v>42678.488194444442</v>
      </c>
    </row>
    <row r="106" spans="1:7" x14ac:dyDescent="0.25">
      <c r="A106" s="8">
        <v>42678.495104166665</v>
      </c>
      <c r="B106" s="21" t="s">
        <v>234</v>
      </c>
      <c r="C106" s="21" t="s">
        <v>518</v>
      </c>
      <c r="D106" s="21">
        <v>880000</v>
      </c>
      <c r="E106" s="21" t="s">
        <v>507</v>
      </c>
      <c r="F106" s="21" t="str">
        <f t="shared" si="2"/>
        <v>rtdc.l.rtdc.4021:itc</v>
      </c>
      <c r="G106" s="8">
        <f t="shared" si="3"/>
        <v>42678.495104166665</v>
      </c>
    </row>
    <row r="107" spans="1:7" x14ac:dyDescent="0.25">
      <c r="A107" s="8">
        <v>42678.497337962966</v>
      </c>
      <c r="B107" s="21" t="s">
        <v>241</v>
      </c>
      <c r="C107" s="21" t="s">
        <v>519</v>
      </c>
      <c r="D107" s="21">
        <v>1820000</v>
      </c>
      <c r="E107" s="21" t="s">
        <v>334</v>
      </c>
      <c r="F107" s="21" t="str">
        <f t="shared" si="2"/>
        <v>rtdc.l.rtdc.4038:itc</v>
      </c>
      <c r="G107" s="8">
        <f t="shared" si="3"/>
        <v>42678.497337962966</v>
      </c>
    </row>
    <row r="108" spans="1:7" x14ac:dyDescent="0.25">
      <c r="A108" s="8">
        <v>42678.501238425924</v>
      </c>
      <c r="B108" s="21" t="s">
        <v>241</v>
      </c>
      <c r="C108" s="21" t="s">
        <v>519</v>
      </c>
      <c r="D108" s="21">
        <v>1820000</v>
      </c>
      <c r="E108" s="21" t="s">
        <v>334</v>
      </c>
      <c r="F108" s="21" t="str">
        <f t="shared" si="2"/>
        <v>rtdc.l.rtdc.4038:itc</v>
      </c>
      <c r="G108" s="8">
        <f t="shared" si="3"/>
        <v>42678.501238425924</v>
      </c>
    </row>
    <row r="109" spans="1:7" x14ac:dyDescent="0.25">
      <c r="A109" s="8">
        <v>42678.50267361111</v>
      </c>
      <c r="B109" s="21" t="s">
        <v>225</v>
      </c>
      <c r="C109" s="21" t="s">
        <v>520</v>
      </c>
      <c r="D109" s="21">
        <v>930000</v>
      </c>
      <c r="E109" s="21" t="s">
        <v>510</v>
      </c>
      <c r="F109" s="21" t="str">
        <f t="shared" si="2"/>
        <v>rtdc.l.rtdc.4030:itc</v>
      </c>
      <c r="G109" s="8">
        <f t="shared" si="3"/>
        <v>42678.50267361111</v>
      </c>
    </row>
    <row r="110" spans="1:7" x14ac:dyDescent="0.25">
      <c r="A110" s="8">
        <v>42678.506701388891</v>
      </c>
      <c r="B110" s="21" t="s">
        <v>263</v>
      </c>
      <c r="C110" s="21" t="s">
        <v>521</v>
      </c>
      <c r="D110" s="21">
        <v>2020000</v>
      </c>
      <c r="E110" s="21" t="s">
        <v>354</v>
      </c>
      <c r="F110" s="21" t="str">
        <f t="shared" si="2"/>
        <v>rtdc.l.rtdc.4003:itc</v>
      </c>
      <c r="G110" s="8">
        <f t="shared" si="3"/>
        <v>42678.506701388891</v>
      </c>
    </row>
    <row r="111" spans="1:7" x14ac:dyDescent="0.25">
      <c r="A111" s="8">
        <v>42678.507164351853</v>
      </c>
      <c r="B111" s="21" t="s">
        <v>189</v>
      </c>
      <c r="C111" s="21" t="s">
        <v>522</v>
      </c>
      <c r="D111" s="21">
        <v>2420000</v>
      </c>
      <c r="E111" s="21" t="s">
        <v>275</v>
      </c>
      <c r="F111" s="21" t="str">
        <f t="shared" si="2"/>
        <v>rtdc.l.rtdc.4009:itc</v>
      </c>
      <c r="G111" s="8">
        <f t="shared" si="3"/>
        <v>42678.507164351853</v>
      </c>
    </row>
    <row r="112" spans="1:7" x14ac:dyDescent="0.25">
      <c r="A112" s="8">
        <v>42678.51290509259</v>
      </c>
      <c r="B112" s="21" t="s">
        <v>285</v>
      </c>
      <c r="C112" s="21" t="s">
        <v>523</v>
      </c>
      <c r="D112" s="21">
        <v>2630000</v>
      </c>
      <c r="E112" s="21" t="s">
        <v>331</v>
      </c>
      <c r="F112" s="21" t="str">
        <f t="shared" si="2"/>
        <v>rtdc.l.rtdc.4041:itc</v>
      </c>
      <c r="G112" s="8">
        <f t="shared" si="3"/>
        <v>42678.51290509259</v>
      </c>
    </row>
    <row r="113" spans="1:7" x14ac:dyDescent="0.25">
      <c r="A113" s="8">
        <v>42678.517766203702</v>
      </c>
      <c r="B113" s="21" t="s">
        <v>323</v>
      </c>
      <c r="C113" s="21" t="s">
        <v>524</v>
      </c>
      <c r="D113" s="21">
        <v>2150000</v>
      </c>
      <c r="E113" s="21" t="s">
        <v>505</v>
      </c>
      <c r="F113" s="21" t="str">
        <f t="shared" si="2"/>
        <v>rtdc.l.rtdc.4054:itc</v>
      </c>
      <c r="G113" s="8">
        <f t="shared" si="3"/>
        <v>42678.517766203702</v>
      </c>
    </row>
    <row r="114" spans="1:7" x14ac:dyDescent="0.25">
      <c r="A114" s="8">
        <v>42678.517812500002</v>
      </c>
      <c r="B114" s="21" t="s">
        <v>191</v>
      </c>
      <c r="C114" s="21" t="s">
        <v>525</v>
      </c>
      <c r="D114" s="21">
        <v>2560000</v>
      </c>
      <c r="E114" s="21" t="s">
        <v>272</v>
      </c>
      <c r="F114" s="21" t="str">
        <f t="shared" si="2"/>
        <v>rtdc.l.rtdc.4007:itc</v>
      </c>
      <c r="G114" s="8">
        <f t="shared" si="3"/>
        <v>42678.517812500002</v>
      </c>
    </row>
    <row r="115" spans="1:7" x14ac:dyDescent="0.25">
      <c r="A115" s="8">
        <v>42678.526701388888</v>
      </c>
      <c r="B115" s="21" t="s">
        <v>246</v>
      </c>
      <c r="C115" s="21" t="s">
        <v>526</v>
      </c>
      <c r="D115" s="21">
        <v>880000</v>
      </c>
      <c r="E115" s="21" t="s">
        <v>507</v>
      </c>
      <c r="F115" s="21" t="str">
        <f t="shared" si="2"/>
        <v>rtdc.l.rtdc.4022:itc</v>
      </c>
      <c r="G115" s="8">
        <f t="shared" si="3"/>
        <v>42678.526701388888</v>
      </c>
    </row>
    <row r="116" spans="1:7" x14ac:dyDescent="0.25">
      <c r="A116" s="8">
        <v>42678.528078703705</v>
      </c>
      <c r="B116" s="21" t="s">
        <v>188</v>
      </c>
      <c r="C116" s="21" t="s">
        <v>527</v>
      </c>
      <c r="D116" s="21">
        <v>2420000</v>
      </c>
      <c r="E116" s="21" t="s">
        <v>275</v>
      </c>
      <c r="F116" s="21" t="str">
        <f t="shared" si="2"/>
        <v>rtdc.l.rtdc.4010:itc</v>
      </c>
      <c r="G116" s="8">
        <f t="shared" si="3"/>
        <v>42678.528078703705</v>
      </c>
    </row>
    <row r="117" spans="1:7" x14ac:dyDescent="0.25">
      <c r="A117" s="8">
        <v>42678.537106481483</v>
      </c>
      <c r="B117" s="21" t="s">
        <v>229</v>
      </c>
      <c r="C117" s="21" t="s">
        <v>528</v>
      </c>
      <c r="D117" s="21">
        <v>1820000</v>
      </c>
      <c r="E117" s="21" t="s">
        <v>334</v>
      </c>
      <c r="F117" s="21" t="str">
        <f t="shared" si="2"/>
        <v>rtdc.l.rtdc.4037:itc</v>
      </c>
      <c r="G117" s="8">
        <f t="shared" si="3"/>
        <v>42678.537106481483</v>
      </c>
    </row>
    <row r="118" spans="1:7" x14ac:dyDescent="0.25">
      <c r="A118" s="8">
        <v>42678.5390625</v>
      </c>
      <c r="B118" s="21" t="s">
        <v>224</v>
      </c>
      <c r="C118" s="21" t="s">
        <v>529</v>
      </c>
      <c r="D118" s="21">
        <v>930000</v>
      </c>
      <c r="E118" s="21" t="s">
        <v>510</v>
      </c>
      <c r="F118" s="21" t="str">
        <f t="shared" si="2"/>
        <v>rtdc.l.rtdc.4029:itc</v>
      </c>
      <c r="G118" s="8">
        <f t="shared" si="3"/>
        <v>42678.5390625</v>
      </c>
    </row>
    <row r="119" spans="1:7" x14ac:dyDescent="0.25">
      <c r="A119" s="8">
        <v>42678.544351851851</v>
      </c>
      <c r="B119" s="21" t="s">
        <v>274</v>
      </c>
      <c r="C119" s="21" t="s">
        <v>530</v>
      </c>
      <c r="D119" s="21">
        <v>2020000</v>
      </c>
      <c r="E119" s="21" t="s">
        <v>354</v>
      </c>
      <c r="F119" s="21" t="str">
        <f t="shared" si="2"/>
        <v>rtdc.l.rtdc.4004:itc</v>
      </c>
      <c r="G119" s="8">
        <f t="shared" si="3"/>
        <v>42678.544351851851</v>
      </c>
    </row>
    <row r="120" spans="1:7" x14ac:dyDescent="0.25">
      <c r="A120" s="8">
        <v>42678.549155092594</v>
      </c>
      <c r="B120" s="21" t="s">
        <v>288</v>
      </c>
      <c r="C120" s="21" t="s">
        <v>531</v>
      </c>
      <c r="D120" s="21">
        <v>2630000</v>
      </c>
      <c r="E120" s="21" t="s">
        <v>331</v>
      </c>
      <c r="F120" s="21" t="str">
        <f t="shared" si="2"/>
        <v>rtdc.l.rtdc.4042:itc</v>
      </c>
      <c r="G120" s="8">
        <f t="shared" si="3"/>
        <v>42678.549155092594</v>
      </c>
    </row>
    <row r="121" spans="1:7" x14ac:dyDescent="0.25">
      <c r="A121" s="8">
        <v>42678.553518518522</v>
      </c>
      <c r="B121" s="21" t="s">
        <v>189</v>
      </c>
      <c r="C121" s="21" t="s">
        <v>532</v>
      </c>
      <c r="D121" s="21">
        <v>890000</v>
      </c>
      <c r="E121" s="21" t="s">
        <v>333</v>
      </c>
      <c r="F121" s="21" t="str">
        <f t="shared" si="2"/>
        <v>rtdc.l.rtdc.4009:itc</v>
      </c>
      <c r="G121" s="8">
        <f t="shared" si="3"/>
        <v>42678.553518518522</v>
      </c>
    </row>
    <row r="122" spans="1:7" x14ac:dyDescent="0.25">
      <c r="A122" s="8">
        <v>42678.556064814817</v>
      </c>
      <c r="B122" s="26" t="s">
        <v>286</v>
      </c>
      <c r="C122" s="21" t="s">
        <v>421</v>
      </c>
      <c r="D122" s="21">
        <v>2560000</v>
      </c>
      <c r="E122" s="21" t="s">
        <v>272</v>
      </c>
      <c r="F122" s="21" t="str">
        <f t="shared" si="2"/>
        <v>rtdc.l.rtdc.4008:itc</v>
      </c>
      <c r="G122" s="8">
        <f t="shared" si="3"/>
        <v>42678.556064814817</v>
      </c>
    </row>
    <row r="123" spans="1:7" x14ac:dyDescent="0.25">
      <c r="A123" s="8">
        <v>42678.557152777779</v>
      </c>
      <c r="B123" s="21" t="s">
        <v>326</v>
      </c>
      <c r="C123" s="21" t="s">
        <v>533</v>
      </c>
      <c r="D123" s="21">
        <v>2150000</v>
      </c>
      <c r="E123" s="21" t="s">
        <v>505</v>
      </c>
      <c r="F123" s="21" t="str">
        <f t="shared" si="2"/>
        <v>rtdc.l.rtdc.4053:itc</v>
      </c>
      <c r="G123" s="8">
        <f t="shared" si="3"/>
        <v>42678.557152777779</v>
      </c>
    </row>
    <row r="124" spans="1:7" x14ac:dyDescent="0.25">
      <c r="A124" s="8">
        <v>42678.565358796295</v>
      </c>
      <c r="B124" s="21" t="s">
        <v>234</v>
      </c>
      <c r="C124" s="21" t="s">
        <v>534</v>
      </c>
      <c r="D124" s="21">
        <v>880000</v>
      </c>
      <c r="E124" s="21" t="s">
        <v>507</v>
      </c>
      <c r="F124" s="21" t="str">
        <f t="shared" si="2"/>
        <v>rtdc.l.rtdc.4021:itc</v>
      </c>
      <c r="G124" s="8">
        <f t="shared" si="3"/>
        <v>42678.565358796295</v>
      </c>
    </row>
    <row r="125" spans="1:7" x14ac:dyDescent="0.25">
      <c r="A125" s="8">
        <v>42678.567847222221</v>
      </c>
      <c r="B125" s="21" t="s">
        <v>188</v>
      </c>
      <c r="C125" s="21" t="s">
        <v>535</v>
      </c>
      <c r="D125" s="21">
        <v>890000</v>
      </c>
      <c r="E125" s="21" t="s">
        <v>333</v>
      </c>
      <c r="F125" s="21" t="str">
        <f t="shared" si="2"/>
        <v>rtdc.l.rtdc.4010:itc</v>
      </c>
      <c r="G125" s="8">
        <f t="shared" si="3"/>
        <v>42678.567847222221</v>
      </c>
    </row>
    <row r="126" spans="1:7" x14ac:dyDescent="0.25">
      <c r="A126" s="8">
        <v>42678.570416666669</v>
      </c>
      <c r="B126" s="21" t="s">
        <v>241</v>
      </c>
      <c r="C126" s="21" t="s">
        <v>536</v>
      </c>
      <c r="D126" s="21">
        <v>1820000</v>
      </c>
      <c r="E126" s="21" t="s">
        <v>334</v>
      </c>
      <c r="F126" s="21" t="str">
        <f t="shared" si="2"/>
        <v>rtdc.l.rtdc.4038:itc</v>
      </c>
      <c r="G126" s="8">
        <f t="shared" si="3"/>
        <v>42678.570416666669</v>
      </c>
    </row>
    <row r="127" spans="1:7" x14ac:dyDescent="0.25">
      <c r="A127" s="8">
        <v>42678.577569444446</v>
      </c>
      <c r="B127" s="21" t="s">
        <v>225</v>
      </c>
      <c r="C127" s="21" t="s">
        <v>537</v>
      </c>
      <c r="D127" s="21">
        <v>930000</v>
      </c>
      <c r="E127" s="21" t="s">
        <v>510</v>
      </c>
      <c r="F127" s="21" t="str">
        <f t="shared" si="2"/>
        <v>rtdc.l.rtdc.4030:itc</v>
      </c>
      <c r="G127" s="8">
        <f t="shared" si="3"/>
        <v>42678.577569444446</v>
      </c>
    </row>
    <row r="128" spans="1:7" x14ac:dyDescent="0.25">
      <c r="A128" s="8">
        <v>42678.579398148147</v>
      </c>
      <c r="B128" s="21" t="s">
        <v>263</v>
      </c>
      <c r="C128" s="21" t="s">
        <v>538</v>
      </c>
      <c r="D128" s="21">
        <v>2020000</v>
      </c>
      <c r="E128" s="21" t="s">
        <v>354</v>
      </c>
      <c r="F128" s="21" t="str">
        <f t="shared" si="2"/>
        <v>rtdc.l.rtdc.4003:itc</v>
      </c>
      <c r="G128" s="8">
        <f t="shared" si="3"/>
        <v>42678.579398148147</v>
      </c>
    </row>
    <row r="129" spans="1:7" x14ac:dyDescent="0.25">
      <c r="A129" s="8">
        <v>42678.580555555556</v>
      </c>
      <c r="B129" s="21" t="s">
        <v>285</v>
      </c>
      <c r="C129" s="21" t="s">
        <v>422</v>
      </c>
      <c r="D129" s="21">
        <v>2630000</v>
      </c>
      <c r="E129" s="21" t="s">
        <v>331</v>
      </c>
      <c r="F129" s="21" t="str">
        <f t="shared" si="2"/>
        <v>rtdc.l.rtdc.4041:itc</v>
      </c>
      <c r="G129" s="8">
        <f t="shared" si="3"/>
        <v>42678.580555555556</v>
      </c>
    </row>
    <row r="130" spans="1:7" x14ac:dyDescent="0.25">
      <c r="A130" s="8">
        <v>42678.589722222219</v>
      </c>
      <c r="B130" s="21" t="s">
        <v>191</v>
      </c>
      <c r="C130" s="21" t="s">
        <v>421</v>
      </c>
      <c r="D130" s="21">
        <v>2560000</v>
      </c>
      <c r="E130" s="21" t="s">
        <v>272</v>
      </c>
      <c r="F130" s="21" t="str">
        <f t="shared" ref="F130:F193" si="4">B130</f>
        <v>rtdc.l.rtdc.4007:itc</v>
      </c>
      <c r="G130" s="8">
        <f t="shared" ref="G130:G193" si="5">A130</f>
        <v>42678.589722222219</v>
      </c>
    </row>
    <row r="131" spans="1:7" x14ac:dyDescent="0.25">
      <c r="A131" s="8">
        <v>42678.590844907405</v>
      </c>
      <c r="B131" s="21" t="s">
        <v>191</v>
      </c>
      <c r="C131" s="21" t="s">
        <v>539</v>
      </c>
      <c r="D131" s="21">
        <v>2560000</v>
      </c>
      <c r="E131" s="21" t="s">
        <v>272</v>
      </c>
      <c r="F131" s="21" t="str">
        <f t="shared" si="4"/>
        <v>rtdc.l.rtdc.4007:itc</v>
      </c>
      <c r="G131" s="8">
        <f t="shared" si="5"/>
        <v>42678.590844907405</v>
      </c>
    </row>
    <row r="132" spans="1:7" x14ac:dyDescent="0.25">
      <c r="A132" s="8">
        <v>42678.591956018521</v>
      </c>
      <c r="B132" s="21" t="s">
        <v>323</v>
      </c>
      <c r="C132" s="21" t="s">
        <v>540</v>
      </c>
      <c r="D132" s="21">
        <v>2150000</v>
      </c>
      <c r="E132" s="21" t="s">
        <v>505</v>
      </c>
      <c r="F132" s="21" t="str">
        <f t="shared" si="4"/>
        <v>rtdc.l.rtdc.4054:itc</v>
      </c>
      <c r="G132" s="8">
        <f t="shared" si="5"/>
        <v>42678.591956018521</v>
      </c>
    </row>
    <row r="133" spans="1:7" x14ac:dyDescent="0.25">
      <c r="A133" s="8">
        <v>42678.595567129632</v>
      </c>
      <c r="B133" s="21" t="s">
        <v>189</v>
      </c>
      <c r="C133" s="21" t="s">
        <v>541</v>
      </c>
      <c r="D133" s="21">
        <v>890000</v>
      </c>
      <c r="E133" s="21" t="s">
        <v>333</v>
      </c>
      <c r="F133" s="21" t="str">
        <f t="shared" si="4"/>
        <v>rtdc.l.rtdc.4009:itc</v>
      </c>
      <c r="G133" s="8">
        <f t="shared" si="5"/>
        <v>42678.595567129632</v>
      </c>
    </row>
    <row r="134" spans="1:7" x14ac:dyDescent="0.25">
      <c r="A134" s="8">
        <v>42678.599386574075</v>
      </c>
      <c r="B134" s="21" t="s">
        <v>246</v>
      </c>
      <c r="C134" s="21" t="s">
        <v>542</v>
      </c>
      <c r="D134" s="21">
        <v>880000</v>
      </c>
      <c r="E134" s="21" t="s">
        <v>507</v>
      </c>
      <c r="F134" s="21" t="str">
        <f t="shared" si="4"/>
        <v>rtdc.l.rtdc.4022:itc</v>
      </c>
      <c r="G134" s="8">
        <f t="shared" si="5"/>
        <v>42678.599386574075</v>
      </c>
    </row>
    <row r="135" spans="1:7" x14ac:dyDescent="0.25">
      <c r="A135" s="8">
        <v>42678.608888888892</v>
      </c>
      <c r="B135" s="21" t="s">
        <v>188</v>
      </c>
      <c r="C135" s="21" t="s">
        <v>543</v>
      </c>
      <c r="D135" s="21">
        <v>890000</v>
      </c>
      <c r="E135" s="21" t="s">
        <v>333</v>
      </c>
      <c r="F135" s="21" t="str">
        <f t="shared" si="4"/>
        <v>rtdc.l.rtdc.4010:itc</v>
      </c>
      <c r="G135" s="8">
        <f t="shared" si="5"/>
        <v>42678.608888888892</v>
      </c>
    </row>
    <row r="136" spans="1:7" x14ac:dyDescent="0.25">
      <c r="A136" s="8">
        <v>42678.610706018517</v>
      </c>
      <c r="B136" s="21" t="s">
        <v>229</v>
      </c>
      <c r="C136" s="21" t="s">
        <v>544</v>
      </c>
      <c r="D136" s="21">
        <v>1820000</v>
      </c>
      <c r="E136" s="21" t="s">
        <v>334</v>
      </c>
      <c r="F136" s="21" t="str">
        <f t="shared" si="4"/>
        <v>rtdc.l.rtdc.4037:itc</v>
      </c>
      <c r="G136" s="8">
        <f t="shared" si="5"/>
        <v>42678.610706018517</v>
      </c>
    </row>
    <row r="137" spans="1:7" x14ac:dyDescent="0.25">
      <c r="A137" s="8">
        <v>42678.610729166663</v>
      </c>
      <c r="B137" s="21" t="s">
        <v>224</v>
      </c>
      <c r="C137" s="21" t="s">
        <v>545</v>
      </c>
      <c r="D137" s="21">
        <v>930000</v>
      </c>
      <c r="E137" s="21" t="s">
        <v>510</v>
      </c>
      <c r="F137" s="21" t="str">
        <f t="shared" si="4"/>
        <v>rtdc.l.rtdc.4029:itc</v>
      </c>
      <c r="G137" s="8">
        <f t="shared" si="5"/>
        <v>42678.610729166663</v>
      </c>
    </row>
    <row r="138" spans="1:7" x14ac:dyDescent="0.25">
      <c r="A138" s="8">
        <v>42678.616655092592</v>
      </c>
      <c r="B138" s="21" t="s">
        <v>274</v>
      </c>
      <c r="C138" s="21" t="s">
        <v>546</v>
      </c>
      <c r="D138" s="21">
        <v>2020000</v>
      </c>
      <c r="E138" s="21" t="s">
        <v>354</v>
      </c>
      <c r="F138" s="21" t="str">
        <f t="shared" si="4"/>
        <v>rtdc.l.rtdc.4004:itc</v>
      </c>
      <c r="G138" s="8">
        <f t="shared" si="5"/>
        <v>42678.616655092592</v>
      </c>
    </row>
    <row r="139" spans="1:7" x14ac:dyDescent="0.25">
      <c r="A139" s="8">
        <v>42678.619386574072</v>
      </c>
      <c r="B139" s="21" t="s">
        <v>288</v>
      </c>
      <c r="C139" s="21" t="s">
        <v>547</v>
      </c>
      <c r="D139" s="21">
        <v>2630000</v>
      </c>
      <c r="E139" s="21" t="s">
        <v>331</v>
      </c>
      <c r="F139" s="21" t="str">
        <f t="shared" si="4"/>
        <v>rtdc.l.rtdc.4042:itc</v>
      </c>
      <c r="G139" s="8">
        <f t="shared" si="5"/>
        <v>42678.619386574072</v>
      </c>
    </row>
    <row r="140" spans="1:7" x14ac:dyDescent="0.25">
      <c r="A140" s="8">
        <v>42678.62327546296</v>
      </c>
      <c r="B140" s="21" t="s">
        <v>189</v>
      </c>
      <c r="C140" s="21" t="s">
        <v>548</v>
      </c>
      <c r="D140" s="21">
        <v>890000</v>
      </c>
      <c r="E140" s="21" t="s">
        <v>333</v>
      </c>
      <c r="F140" s="21" t="str">
        <f t="shared" si="4"/>
        <v>rtdc.l.rtdc.4009:itc</v>
      </c>
      <c r="G140" s="8">
        <f t="shared" si="5"/>
        <v>42678.62327546296</v>
      </c>
    </row>
    <row r="141" spans="1:7" x14ac:dyDescent="0.25">
      <c r="A141" s="8">
        <v>42678.630798611113</v>
      </c>
      <c r="B141" s="21" t="s">
        <v>286</v>
      </c>
      <c r="C141" s="21" t="s">
        <v>549</v>
      </c>
      <c r="D141" s="21">
        <v>2560000</v>
      </c>
      <c r="E141" s="21" t="s">
        <v>272</v>
      </c>
      <c r="F141" s="21" t="str">
        <f t="shared" si="4"/>
        <v>rtdc.l.rtdc.4008:itc</v>
      </c>
      <c r="G141" s="8">
        <f t="shared" si="5"/>
        <v>42678.630798611113</v>
      </c>
    </row>
    <row r="142" spans="1:7" x14ac:dyDescent="0.25">
      <c r="A142" s="8">
        <v>42678.631423611114</v>
      </c>
      <c r="B142" s="21" t="s">
        <v>326</v>
      </c>
      <c r="C142" s="21" t="s">
        <v>550</v>
      </c>
      <c r="D142" s="21">
        <v>2150000</v>
      </c>
      <c r="E142" s="21" t="s">
        <v>505</v>
      </c>
      <c r="F142" s="21" t="str">
        <f t="shared" si="4"/>
        <v>rtdc.l.rtdc.4053:itc</v>
      </c>
      <c r="G142" s="8">
        <f t="shared" si="5"/>
        <v>42678.631423611114</v>
      </c>
    </row>
    <row r="143" spans="1:7" x14ac:dyDescent="0.25">
      <c r="A143" s="8">
        <v>42678.641238425924</v>
      </c>
      <c r="B143" s="21" t="s">
        <v>234</v>
      </c>
      <c r="C143" s="21" t="s">
        <v>551</v>
      </c>
      <c r="D143" s="21">
        <v>880000</v>
      </c>
      <c r="E143" s="21" t="s">
        <v>507</v>
      </c>
      <c r="F143" s="21" t="str">
        <f t="shared" si="4"/>
        <v>rtdc.l.rtdc.4021:itc</v>
      </c>
      <c r="G143" s="8">
        <f t="shared" si="5"/>
        <v>42678.641238425924</v>
      </c>
    </row>
    <row r="144" spans="1:7" x14ac:dyDescent="0.25">
      <c r="A144" s="8">
        <v>42678.64267361111</v>
      </c>
      <c r="B144" s="21" t="s">
        <v>241</v>
      </c>
      <c r="C144" s="21" t="s">
        <v>552</v>
      </c>
      <c r="D144" s="21">
        <v>1820000</v>
      </c>
      <c r="E144" s="21" t="s">
        <v>334</v>
      </c>
      <c r="F144" s="21" t="str">
        <f t="shared" si="4"/>
        <v>rtdc.l.rtdc.4038:itc</v>
      </c>
      <c r="G144" s="8">
        <f t="shared" si="5"/>
        <v>42678.64267361111</v>
      </c>
    </row>
    <row r="145" spans="1:7" x14ac:dyDescent="0.25">
      <c r="A145" s="8">
        <v>42678.643946759257</v>
      </c>
      <c r="B145" s="21" t="s">
        <v>350</v>
      </c>
      <c r="C145" s="21" t="s">
        <v>553</v>
      </c>
      <c r="D145" s="21">
        <v>2430000</v>
      </c>
      <c r="E145" s="21" t="s">
        <v>277</v>
      </c>
      <c r="F145" s="21" t="str">
        <f t="shared" si="4"/>
        <v>rtdc.l.rtdc.4012:itc</v>
      </c>
      <c r="G145" s="8">
        <f t="shared" si="5"/>
        <v>42678.643946759257</v>
      </c>
    </row>
    <row r="146" spans="1:7" x14ac:dyDescent="0.25">
      <c r="A146" s="8">
        <v>42678.649687500001</v>
      </c>
      <c r="B146" s="21" t="s">
        <v>225</v>
      </c>
      <c r="C146" s="21" t="s">
        <v>554</v>
      </c>
      <c r="D146" s="21">
        <v>930000</v>
      </c>
      <c r="E146" s="21" t="s">
        <v>510</v>
      </c>
      <c r="F146" s="21" t="str">
        <f t="shared" si="4"/>
        <v>rtdc.l.rtdc.4030:itc</v>
      </c>
      <c r="G146" s="8">
        <f t="shared" si="5"/>
        <v>42678.649687500001</v>
      </c>
    </row>
    <row r="147" spans="1:7" x14ac:dyDescent="0.25">
      <c r="A147" s="8">
        <v>42678.652627314812</v>
      </c>
      <c r="B147" s="21" t="s">
        <v>263</v>
      </c>
      <c r="C147" s="21" t="s">
        <v>555</v>
      </c>
      <c r="D147" s="21">
        <v>2020000</v>
      </c>
      <c r="E147" s="21" t="s">
        <v>354</v>
      </c>
      <c r="F147" s="21" t="str">
        <f t="shared" si="4"/>
        <v>rtdc.l.rtdc.4003:itc</v>
      </c>
      <c r="G147" s="8">
        <f t="shared" si="5"/>
        <v>42678.652627314812</v>
      </c>
    </row>
    <row r="148" spans="1:7" x14ac:dyDescent="0.25">
      <c r="A148" s="8">
        <v>42678.653564814813</v>
      </c>
      <c r="B148" s="21" t="s">
        <v>188</v>
      </c>
      <c r="C148" s="21" t="s">
        <v>556</v>
      </c>
      <c r="D148" s="21">
        <v>890000</v>
      </c>
      <c r="E148" s="21" t="s">
        <v>333</v>
      </c>
      <c r="F148" s="21" t="str">
        <f t="shared" si="4"/>
        <v>rtdc.l.rtdc.4010:itc</v>
      </c>
      <c r="G148" s="8">
        <f t="shared" si="5"/>
        <v>42678.653564814813</v>
      </c>
    </row>
    <row r="149" spans="1:7" x14ac:dyDescent="0.25">
      <c r="A149" s="8">
        <v>42678.653796296298</v>
      </c>
      <c r="B149" s="21" t="s">
        <v>285</v>
      </c>
      <c r="C149" s="21" t="s">
        <v>557</v>
      </c>
      <c r="D149" s="21">
        <v>2630000</v>
      </c>
      <c r="E149" s="21" t="s">
        <v>331</v>
      </c>
      <c r="F149" s="21" t="str">
        <f t="shared" si="4"/>
        <v>rtdc.l.rtdc.4041:itc</v>
      </c>
      <c r="G149" s="8">
        <f t="shared" si="5"/>
        <v>42678.653796296298</v>
      </c>
    </row>
    <row r="150" spans="1:7" x14ac:dyDescent="0.25">
      <c r="A150" s="8">
        <v>42678.655046296299</v>
      </c>
      <c r="B150" s="21" t="s">
        <v>232</v>
      </c>
      <c r="C150" s="21" t="s">
        <v>558</v>
      </c>
      <c r="D150" s="21">
        <v>2430000</v>
      </c>
      <c r="E150" s="21" t="s">
        <v>277</v>
      </c>
      <c r="F150" s="21" t="str">
        <f t="shared" si="4"/>
        <v>rtdc.l.rtdc.4011:itc</v>
      </c>
      <c r="G150" s="8">
        <f t="shared" si="5"/>
        <v>42678.655046296299</v>
      </c>
    </row>
    <row r="151" spans="1:7" x14ac:dyDescent="0.25">
      <c r="A151" s="8">
        <v>42678.662939814814</v>
      </c>
      <c r="B151" s="21" t="s">
        <v>191</v>
      </c>
      <c r="C151" s="21" t="s">
        <v>559</v>
      </c>
      <c r="D151" s="21">
        <v>2560000</v>
      </c>
      <c r="E151" s="21" t="s">
        <v>272</v>
      </c>
      <c r="F151" s="21" t="str">
        <f t="shared" si="4"/>
        <v>rtdc.l.rtdc.4007:itc</v>
      </c>
      <c r="G151" s="8">
        <f t="shared" si="5"/>
        <v>42678.662939814814</v>
      </c>
    </row>
    <row r="152" spans="1:7" x14ac:dyDescent="0.25">
      <c r="A152" s="8">
        <v>42678.663923611108</v>
      </c>
      <c r="B152" s="21" t="s">
        <v>323</v>
      </c>
      <c r="C152" s="21" t="s">
        <v>560</v>
      </c>
      <c r="D152" s="21">
        <v>2150000</v>
      </c>
      <c r="E152" s="21" t="s">
        <v>505</v>
      </c>
      <c r="F152" s="21" t="str">
        <f t="shared" si="4"/>
        <v>rtdc.l.rtdc.4054:itc</v>
      </c>
      <c r="G152" s="8">
        <f t="shared" si="5"/>
        <v>42678.663923611108</v>
      </c>
    </row>
    <row r="153" spans="1:7" x14ac:dyDescent="0.25">
      <c r="A153" s="8">
        <v>42678.671030092592</v>
      </c>
      <c r="B153" s="21" t="s">
        <v>350</v>
      </c>
      <c r="C153" s="21" t="s">
        <v>561</v>
      </c>
      <c r="D153" s="21">
        <v>2430000</v>
      </c>
      <c r="E153" s="21" t="s">
        <v>277</v>
      </c>
      <c r="F153" s="21" t="str">
        <f t="shared" si="4"/>
        <v>rtdc.l.rtdc.4012:itc</v>
      </c>
      <c r="G153" s="8">
        <f t="shared" si="5"/>
        <v>42678.671030092592</v>
      </c>
    </row>
    <row r="154" spans="1:7" x14ac:dyDescent="0.25">
      <c r="A154" s="8">
        <v>42678.672407407408</v>
      </c>
      <c r="B154" s="21" t="s">
        <v>229</v>
      </c>
      <c r="C154" s="21" t="s">
        <v>562</v>
      </c>
      <c r="D154" s="21">
        <v>1820000</v>
      </c>
      <c r="E154" s="21" t="s">
        <v>334</v>
      </c>
      <c r="F154" s="21" t="str">
        <f t="shared" si="4"/>
        <v>rtdc.l.rtdc.4037:itc</v>
      </c>
      <c r="G154" s="8">
        <f t="shared" si="5"/>
        <v>42678.672407407408</v>
      </c>
    </row>
    <row r="155" spans="1:7" x14ac:dyDescent="0.25">
      <c r="A155" s="8">
        <v>42678.672465277778</v>
      </c>
      <c r="B155" s="21" t="s">
        <v>246</v>
      </c>
      <c r="C155" s="21" t="s">
        <v>563</v>
      </c>
      <c r="D155" s="21">
        <v>880000</v>
      </c>
      <c r="E155" s="21" t="s">
        <v>507</v>
      </c>
      <c r="F155" s="21" t="str">
        <f t="shared" si="4"/>
        <v>rtdc.l.rtdc.4022:itc</v>
      </c>
      <c r="G155" s="8">
        <f t="shared" si="5"/>
        <v>42678.672465277778</v>
      </c>
    </row>
    <row r="156" spans="1:7" x14ac:dyDescent="0.25">
      <c r="A156" s="8">
        <v>42678.679143518515</v>
      </c>
      <c r="B156" s="21" t="s">
        <v>189</v>
      </c>
      <c r="C156" s="21" t="s">
        <v>423</v>
      </c>
      <c r="D156" s="21">
        <v>890000</v>
      </c>
      <c r="E156" s="21" t="s">
        <v>333</v>
      </c>
      <c r="F156" s="21" t="str">
        <f t="shared" si="4"/>
        <v>rtdc.l.rtdc.4009:itc</v>
      </c>
      <c r="G156" s="8">
        <f t="shared" si="5"/>
        <v>42678.679143518515</v>
      </c>
    </row>
    <row r="157" spans="1:7" x14ac:dyDescent="0.25">
      <c r="A157" s="8">
        <v>42678.683622685188</v>
      </c>
      <c r="B157" s="21" t="s">
        <v>224</v>
      </c>
      <c r="C157" s="21" t="s">
        <v>564</v>
      </c>
      <c r="D157" s="21">
        <v>930000</v>
      </c>
      <c r="E157" s="21" t="s">
        <v>510</v>
      </c>
      <c r="F157" s="21" t="str">
        <f t="shared" si="4"/>
        <v>rtdc.l.rtdc.4029:itc</v>
      </c>
      <c r="G157" s="8">
        <f t="shared" si="5"/>
        <v>42678.683622685188</v>
      </c>
    </row>
    <row r="158" spans="1:7" x14ac:dyDescent="0.25">
      <c r="A158" s="8">
        <v>42678.687465277777</v>
      </c>
      <c r="B158" s="21" t="s">
        <v>232</v>
      </c>
      <c r="C158" s="21" t="s">
        <v>565</v>
      </c>
      <c r="D158" s="21">
        <v>2430000</v>
      </c>
      <c r="E158" s="21" t="s">
        <v>277</v>
      </c>
      <c r="F158" s="21" t="str">
        <f t="shared" si="4"/>
        <v>rtdc.l.rtdc.4011:itc</v>
      </c>
      <c r="G158" s="8">
        <f t="shared" si="5"/>
        <v>42678.687465277777</v>
      </c>
    </row>
    <row r="159" spans="1:7" x14ac:dyDescent="0.25">
      <c r="A159" s="8">
        <v>42678.689456018517</v>
      </c>
      <c r="B159" s="21" t="s">
        <v>274</v>
      </c>
      <c r="C159" s="21" t="s">
        <v>566</v>
      </c>
      <c r="D159" s="21">
        <v>2020000</v>
      </c>
      <c r="E159" s="21" t="s">
        <v>354</v>
      </c>
      <c r="F159" s="21" t="str">
        <f t="shared" si="4"/>
        <v>rtdc.l.rtdc.4004:itc</v>
      </c>
      <c r="G159" s="8">
        <f t="shared" si="5"/>
        <v>42678.689456018517</v>
      </c>
    </row>
    <row r="160" spans="1:7" x14ac:dyDescent="0.25">
      <c r="A160" s="8">
        <v>42678.69332175926</v>
      </c>
      <c r="B160" s="21" t="s">
        <v>288</v>
      </c>
      <c r="C160" s="21" t="s">
        <v>567</v>
      </c>
      <c r="D160" s="21">
        <v>2630000</v>
      </c>
      <c r="E160" s="21" t="s">
        <v>331</v>
      </c>
      <c r="F160" s="21" t="str">
        <f t="shared" si="4"/>
        <v>rtdc.l.rtdc.4042:itc</v>
      </c>
      <c r="G160" s="8">
        <f t="shared" si="5"/>
        <v>42678.69332175926</v>
      </c>
    </row>
    <row r="161" spans="1:7" x14ac:dyDescent="0.25">
      <c r="A161" s="8">
        <v>42678.693993055553</v>
      </c>
      <c r="B161" s="21" t="s">
        <v>188</v>
      </c>
      <c r="C161" s="21" t="s">
        <v>568</v>
      </c>
      <c r="D161" s="21">
        <v>890000</v>
      </c>
      <c r="E161" s="21" t="s">
        <v>333</v>
      </c>
      <c r="F161" s="21" t="str">
        <f t="shared" si="4"/>
        <v>rtdc.l.rtdc.4010:itc</v>
      </c>
      <c r="G161" s="8">
        <f t="shared" si="5"/>
        <v>42678.693993055553</v>
      </c>
    </row>
    <row r="162" spans="1:7" x14ac:dyDescent="0.25">
      <c r="A162" s="8">
        <v>42678.701597222222</v>
      </c>
      <c r="B162" s="21" t="s">
        <v>286</v>
      </c>
      <c r="C162" s="21" t="s">
        <v>425</v>
      </c>
      <c r="D162" s="21">
        <v>2560000</v>
      </c>
      <c r="E162" s="21" t="s">
        <v>272</v>
      </c>
      <c r="F162" s="21" t="str">
        <f t="shared" si="4"/>
        <v>rtdc.l.rtdc.4008:itc</v>
      </c>
      <c r="G162" s="8">
        <f t="shared" si="5"/>
        <v>42678.701597222222</v>
      </c>
    </row>
    <row r="163" spans="1:7" x14ac:dyDescent="0.25">
      <c r="A163" s="8">
        <v>42678.703067129631</v>
      </c>
      <c r="B163" s="21" t="s">
        <v>326</v>
      </c>
      <c r="C163" s="21" t="s">
        <v>569</v>
      </c>
      <c r="D163" s="21">
        <v>2150000</v>
      </c>
      <c r="E163" s="21" t="s">
        <v>505</v>
      </c>
      <c r="F163" s="21" t="str">
        <f t="shared" si="4"/>
        <v>rtdc.l.rtdc.4053:itc</v>
      </c>
      <c r="G163" s="8">
        <f t="shared" si="5"/>
        <v>42678.703067129631</v>
      </c>
    </row>
    <row r="164" spans="1:7" x14ac:dyDescent="0.25">
      <c r="A164" s="8">
        <v>42678.713043981479</v>
      </c>
      <c r="B164" s="21" t="s">
        <v>234</v>
      </c>
      <c r="C164" s="21" t="s">
        <v>570</v>
      </c>
      <c r="D164" s="21">
        <v>880000</v>
      </c>
      <c r="E164" s="21" t="s">
        <v>507</v>
      </c>
      <c r="F164" s="21" t="str">
        <f t="shared" si="4"/>
        <v>rtdc.l.rtdc.4021:itc</v>
      </c>
      <c r="G164" s="8">
        <f t="shared" si="5"/>
        <v>42678.713043981479</v>
      </c>
    </row>
    <row r="165" spans="1:7" x14ac:dyDescent="0.25">
      <c r="A165" s="8">
        <v>42678.713784722226</v>
      </c>
      <c r="B165" s="21" t="s">
        <v>350</v>
      </c>
      <c r="C165" s="21" t="s">
        <v>571</v>
      </c>
      <c r="D165" s="21">
        <v>2430000</v>
      </c>
      <c r="E165" s="21" t="s">
        <v>277</v>
      </c>
      <c r="F165" s="21" t="str">
        <f t="shared" si="4"/>
        <v>rtdc.l.rtdc.4012:itc</v>
      </c>
      <c r="G165" s="8">
        <f t="shared" si="5"/>
        <v>42678.713784722226</v>
      </c>
    </row>
    <row r="166" spans="1:7" x14ac:dyDescent="0.25">
      <c r="A166" s="8">
        <v>42678.715208333335</v>
      </c>
      <c r="B166" s="21" t="s">
        <v>572</v>
      </c>
      <c r="C166" s="21" t="s">
        <v>573</v>
      </c>
      <c r="D166" s="21">
        <v>2110000</v>
      </c>
      <c r="E166" s="21" t="s">
        <v>500</v>
      </c>
      <c r="F166" s="21" t="str">
        <f t="shared" si="4"/>
        <v>rtdc.l.rtdc.4046:itc</v>
      </c>
      <c r="G166" s="8">
        <f t="shared" si="5"/>
        <v>42678.715208333335</v>
      </c>
    </row>
    <row r="167" spans="1:7" x14ac:dyDescent="0.25">
      <c r="A167" s="8">
        <v>42678.717141203706</v>
      </c>
      <c r="B167" s="21" t="s">
        <v>241</v>
      </c>
      <c r="C167" s="21" t="s">
        <v>424</v>
      </c>
      <c r="D167" s="21">
        <v>1820000</v>
      </c>
      <c r="E167" s="21" t="s">
        <v>334</v>
      </c>
      <c r="F167" s="21" t="str">
        <f t="shared" si="4"/>
        <v>rtdc.l.rtdc.4038:itc</v>
      </c>
      <c r="G167" s="8">
        <f t="shared" si="5"/>
        <v>42678.717141203706</v>
      </c>
    </row>
    <row r="168" spans="1:7" x14ac:dyDescent="0.25">
      <c r="A168" s="8">
        <v>42678.721307870372</v>
      </c>
      <c r="B168" s="21" t="s">
        <v>189</v>
      </c>
      <c r="C168" s="21" t="s">
        <v>574</v>
      </c>
      <c r="D168" s="21">
        <v>1540000</v>
      </c>
      <c r="E168" s="21" t="s">
        <v>276</v>
      </c>
      <c r="F168" s="21" t="str">
        <f t="shared" si="4"/>
        <v>rtdc.l.rtdc.4009:itc</v>
      </c>
      <c r="G168" s="8">
        <f t="shared" si="5"/>
        <v>42678.721307870372</v>
      </c>
    </row>
    <row r="169" spans="1:7" x14ac:dyDescent="0.25">
      <c r="A169" s="8">
        <v>42678.722800925927</v>
      </c>
      <c r="B169" s="21" t="s">
        <v>225</v>
      </c>
      <c r="C169" s="21" t="s">
        <v>575</v>
      </c>
      <c r="D169" s="21">
        <v>930000</v>
      </c>
      <c r="E169" s="21" t="s">
        <v>510</v>
      </c>
      <c r="F169" s="21" t="str">
        <f t="shared" si="4"/>
        <v>rtdc.l.rtdc.4030:itc</v>
      </c>
      <c r="G169" s="8">
        <f t="shared" si="5"/>
        <v>42678.722800925927</v>
      </c>
    </row>
    <row r="170" spans="1:7" x14ac:dyDescent="0.25">
      <c r="A170" s="8">
        <v>42678.725393518522</v>
      </c>
      <c r="B170" s="21" t="s">
        <v>263</v>
      </c>
      <c r="C170" s="21" t="s">
        <v>576</v>
      </c>
      <c r="D170" s="21">
        <v>2020000</v>
      </c>
      <c r="E170" s="21" t="s">
        <v>354</v>
      </c>
      <c r="F170" s="21" t="str">
        <f t="shared" si="4"/>
        <v>rtdc.l.rtdc.4003:itc</v>
      </c>
      <c r="G170" s="8">
        <f t="shared" si="5"/>
        <v>42678.725393518522</v>
      </c>
    </row>
    <row r="171" spans="1:7" x14ac:dyDescent="0.25">
      <c r="A171" s="8">
        <v>42678.728009259263</v>
      </c>
      <c r="B171" s="21" t="s">
        <v>285</v>
      </c>
      <c r="C171" s="21" t="s">
        <v>577</v>
      </c>
      <c r="D171" s="21">
        <v>2630000</v>
      </c>
      <c r="E171" s="21" t="s">
        <v>331</v>
      </c>
      <c r="F171" s="21" t="str">
        <f t="shared" si="4"/>
        <v>rtdc.l.rtdc.4041:itc</v>
      </c>
      <c r="G171" s="8">
        <f t="shared" si="5"/>
        <v>42678.728009259263</v>
      </c>
    </row>
    <row r="172" spans="1:7" x14ac:dyDescent="0.25">
      <c r="A172" s="8">
        <v>42678.728449074071</v>
      </c>
      <c r="B172" s="21" t="s">
        <v>232</v>
      </c>
      <c r="C172" s="21" t="s">
        <v>578</v>
      </c>
      <c r="D172" s="21">
        <v>2430000</v>
      </c>
      <c r="E172" s="21" t="s">
        <v>277</v>
      </c>
      <c r="F172" s="21" t="str">
        <f t="shared" si="4"/>
        <v>rtdc.l.rtdc.4011:itc</v>
      </c>
      <c r="G172" s="8">
        <f t="shared" si="5"/>
        <v>42678.728449074071</v>
      </c>
    </row>
    <row r="173" spans="1:7" x14ac:dyDescent="0.25">
      <c r="A173" s="8">
        <v>42678.733831018515</v>
      </c>
      <c r="B173" s="21" t="s">
        <v>188</v>
      </c>
      <c r="C173" s="21" t="s">
        <v>426</v>
      </c>
      <c r="D173" s="21">
        <v>1540000</v>
      </c>
      <c r="E173" s="21" t="s">
        <v>276</v>
      </c>
      <c r="F173" s="21" t="str">
        <f t="shared" si="4"/>
        <v>rtdc.l.rtdc.4010:itc</v>
      </c>
      <c r="G173" s="8">
        <f t="shared" si="5"/>
        <v>42678.733831018515</v>
      </c>
    </row>
    <row r="174" spans="1:7" x14ac:dyDescent="0.25">
      <c r="A174" s="8">
        <v>42678.734675925924</v>
      </c>
      <c r="B174" s="21" t="s">
        <v>191</v>
      </c>
      <c r="C174" s="21" t="s">
        <v>579</v>
      </c>
      <c r="D174" s="21">
        <v>2610000</v>
      </c>
      <c r="E174" s="21" t="s">
        <v>335</v>
      </c>
      <c r="F174" s="21" t="str">
        <f t="shared" si="4"/>
        <v>rtdc.l.rtdc.4007:itc</v>
      </c>
      <c r="G174" s="8">
        <f t="shared" si="5"/>
        <v>42678.734675925924</v>
      </c>
    </row>
    <row r="175" spans="1:7" x14ac:dyDescent="0.25">
      <c r="A175" s="8">
        <v>42678.739965277775</v>
      </c>
      <c r="B175" s="21" t="s">
        <v>323</v>
      </c>
      <c r="C175" s="21" t="s">
        <v>580</v>
      </c>
      <c r="D175" s="21">
        <v>2150000</v>
      </c>
      <c r="E175" s="21" t="s">
        <v>505</v>
      </c>
      <c r="F175" s="21" t="str">
        <f t="shared" si="4"/>
        <v>rtdc.l.rtdc.4054:itc</v>
      </c>
      <c r="G175" s="8">
        <f t="shared" si="5"/>
        <v>42678.739965277775</v>
      </c>
    </row>
    <row r="176" spans="1:7" x14ac:dyDescent="0.25">
      <c r="A176" s="8">
        <v>42678.74560185185</v>
      </c>
      <c r="B176" s="21" t="s">
        <v>246</v>
      </c>
      <c r="C176" s="21" t="s">
        <v>427</v>
      </c>
      <c r="D176" s="21">
        <v>2560000</v>
      </c>
      <c r="E176" s="21" t="s">
        <v>272</v>
      </c>
      <c r="F176" s="21" t="str">
        <f t="shared" si="4"/>
        <v>rtdc.l.rtdc.4022:itc</v>
      </c>
      <c r="G176" s="8">
        <f t="shared" si="5"/>
        <v>42678.74560185185</v>
      </c>
    </row>
    <row r="177" spans="1:7" x14ac:dyDescent="0.25">
      <c r="A177" s="8">
        <v>42678.745925925927</v>
      </c>
      <c r="B177" s="21" t="s">
        <v>229</v>
      </c>
      <c r="C177" s="21" t="s">
        <v>581</v>
      </c>
      <c r="D177" s="21">
        <v>1820000</v>
      </c>
      <c r="E177" s="21" t="s">
        <v>334</v>
      </c>
      <c r="F177" s="21" t="str">
        <f t="shared" si="4"/>
        <v>rtdc.l.rtdc.4037:itc</v>
      </c>
      <c r="G177" s="8">
        <f t="shared" si="5"/>
        <v>42678.745925925927</v>
      </c>
    </row>
    <row r="178" spans="1:7" x14ac:dyDescent="0.25">
      <c r="A178" s="8">
        <v>42678.752013888887</v>
      </c>
      <c r="B178" s="21" t="s">
        <v>270</v>
      </c>
      <c r="C178" s="21" t="s">
        <v>582</v>
      </c>
      <c r="D178" s="21">
        <v>2260000</v>
      </c>
      <c r="E178" s="21" t="s">
        <v>583</v>
      </c>
      <c r="F178" s="21" t="str">
        <f t="shared" si="4"/>
        <v>rtdc.l.rtdc.4032:itc</v>
      </c>
      <c r="G178" s="8">
        <f t="shared" si="5"/>
        <v>42678.752013888887</v>
      </c>
    </row>
    <row r="179" spans="1:7" x14ac:dyDescent="0.25">
      <c r="A179" s="8">
        <v>42678.754351851851</v>
      </c>
      <c r="B179" s="21" t="s">
        <v>350</v>
      </c>
      <c r="C179" s="21" t="s">
        <v>584</v>
      </c>
      <c r="D179" s="21">
        <v>2430000</v>
      </c>
      <c r="E179" s="21" t="s">
        <v>277</v>
      </c>
      <c r="F179" s="21" t="str">
        <f t="shared" si="4"/>
        <v>rtdc.l.rtdc.4012:itc</v>
      </c>
      <c r="G179" s="8">
        <f t="shared" si="5"/>
        <v>42678.754351851851</v>
      </c>
    </row>
    <row r="180" spans="1:7" x14ac:dyDescent="0.25">
      <c r="A180" s="8">
        <v>42678.759027777778</v>
      </c>
      <c r="B180" s="21" t="s">
        <v>189</v>
      </c>
      <c r="C180" s="21" t="s">
        <v>585</v>
      </c>
      <c r="D180" s="21">
        <v>1540000</v>
      </c>
      <c r="E180" s="21" t="s">
        <v>276</v>
      </c>
      <c r="F180" s="21" t="str">
        <f t="shared" si="4"/>
        <v>rtdc.l.rtdc.4009:itc</v>
      </c>
      <c r="G180" s="8">
        <f t="shared" si="5"/>
        <v>42678.759027777778</v>
      </c>
    </row>
    <row r="181" spans="1:7" x14ac:dyDescent="0.25">
      <c r="A181" s="8">
        <v>42678.760208333333</v>
      </c>
      <c r="B181" s="21" t="s">
        <v>224</v>
      </c>
      <c r="C181" s="21" t="s">
        <v>586</v>
      </c>
      <c r="D181" s="21">
        <v>1800000</v>
      </c>
      <c r="E181" s="21" t="s">
        <v>258</v>
      </c>
      <c r="F181" s="21" t="str">
        <f t="shared" si="4"/>
        <v>rtdc.l.rtdc.4029:itc</v>
      </c>
      <c r="G181" s="8">
        <f t="shared" si="5"/>
        <v>42678.760208333333</v>
      </c>
    </row>
    <row r="182" spans="1:7" x14ac:dyDescent="0.25">
      <c r="A182" s="8">
        <v>42678.761724537035</v>
      </c>
      <c r="B182" s="21" t="s">
        <v>274</v>
      </c>
      <c r="C182" s="21" t="s">
        <v>587</v>
      </c>
      <c r="D182" s="21">
        <v>2020000</v>
      </c>
      <c r="E182" s="21" t="s">
        <v>354</v>
      </c>
      <c r="F182" s="21" t="str">
        <f t="shared" si="4"/>
        <v>rtdc.l.rtdc.4004:itc</v>
      </c>
      <c r="G182" s="8">
        <f t="shared" si="5"/>
        <v>42678.761724537035</v>
      </c>
    </row>
    <row r="183" spans="1:7" x14ac:dyDescent="0.25">
      <c r="A183" s="8">
        <v>42678.768148148149</v>
      </c>
      <c r="B183" s="21" t="s">
        <v>246</v>
      </c>
      <c r="C183" s="21" t="s">
        <v>427</v>
      </c>
      <c r="D183" s="21">
        <v>2560000</v>
      </c>
      <c r="E183" s="21" t="s">
        <v>272</v>
      </c>
      <c r="F183" s="21" t="str">
        <f t="shared" si="4"/>
        <v>rtdc.l.rtdc.4022:itc</v>
      </c>
      <c r="G183" s="8">
        <f t="shared" si="5"/>
        <v>42678.768148148149</v>
      </c>
    </row>
    <row r="184" spans="1:7" x14ac:dyDescent="0.25">
      <c r="A184" s="8">
        <v>42678.768460648149</v>
      </c>
      <c r="B184" s="21" t="s">
        <v>286</v>
      </c>
      <c r="C184" s="21" t="s">
        <v>428</v>
      </c>
      <c r="D184" s="21">
        <v>2610000</v>
      </c>
      <c r="E184" s="21" t="s">
        <v>335</v>
      </c>
      <c r="F184" s="21" t="str">
        <f t="shared" si="4"/>
        <v>rtdc.l.rtdc.4008:itc</v>
      </c>
      <c r="G184" s="8">
        <f t="shared" si="5"/>
        <v>42678.768460648149</v>
      </c>
    </row>
    <row r="185" spans="1:7" x14ac:dyDescent="0.25">
      <c r="A185" s="8">
        <v>42678.769143518519</v>
      </c>
      <c r="B185" s="21" t="s">
        <v>288</v>
      </c>
      <c r="C185" s="21" t="s">
        <v>588</v>
      </c>
      <c r="D185" s="21">
        <v>2000000</v>
      </c>
      <c r="E185" s="21" t="s">
        <v>291</v>
      </c>
      <c r="F185" s="21" t="str">
        <f t="shared" si="4"/>
        <v>rtdc.l.rtdc.4042:itc</v>
      </c>
      <c r="G185" s="8">
        <f t="shared" si="5"/>
        <v>42678.769143518519</v>
      </c>
    </row>
    <row r="186" spans="1:7" x14ac:dyDescent="0.25">
      <c r="A186" s="8">
        <v>42678.770196759258</v>
      </c>
      <c r="B186" s="21" t="s">
        <v>232</v>
      </c>
      <c r="C186" s="21" t="s">
        <v>589</v>
      </c>
      <c r="D186" s="21">
        <v>2430000</v>
      </c>
      <c r="E186" s="21" t="s">
        <v>277</v>
      </c>
      <c r="F186" s="21" t="str">
        <f t="shared" si="4"/>
        <v>rtdc.l.rtdc.4011:itc</v>
      </c>
      <c r="G186" s="8">
        <f t="shared" si="5"/>
        <v>42678.770196759258</v>
      </c>
    </row>
    <row r="187" spans="1:7" x14ac:dyDescent="0.25">
      <c r="A187" s="8">
        <v>42678.776192129626</v>
      </c>
      <c r="B187" s="21" t="s">
        <v>246</v>
      </c>
      <c r="C187" s="21" t="s">
        <v>427</v>
      </c>
      <c r="D187" s="21">
        <v>2560000</v>
      </c>
      <c r="E187" s="21" t="s">
        <v>272</v>
      </c>
      <c r="F187" s="21" t="str">
        <f t="shared" si="4"/>
        <v>rtdc.l.rtdc.4022:itc</v>
      </c>
      <c r="G187" s="8">
        <f t="shared" si="5"/>
        <v>42678.776192129626</v>
      </c>
    </row>
    <row r="188" spans="1:7" x14ac:dyDescent="0.25">
      <c r="A188" s="8">
        <v>42678.776817129627</v>
      </c>
      <c r="B188" s="21" t="s">
        <v>188</v>
      </c>
      <c r="C188" s="21" t="s">
        <v>590</v>
      </c>
      <c r="D188" s="21">
        <v>1540000</v>
      </c>
      <c r="E188" s="21" t="s">
        <v>276</v>
      </c>
      <c r="F188" s="21" t="str">
        <f t="shared" si="4"/>
        <v>rtdc.l.rtdc.4010:itc</v>
      </c>
      <c r="G188" s="8">
        <f t="shared" si="5"/>
        <v>42678.776817129627</v>
      </c>
    </row>
    <row r="189" spans="1:7" x14ac:dyDescent="0.25">
      <c r="A189" s="8">
        <v>42678.776944444442</v>
      </c>
      <c r="B189" s="21" t="s">
        <v>326</v>
      </c>
      <c r="C189" s="21" t="s">
        <v>591</v>
      </c>
      <c r="D189" s="21">
        <v>2150000</v>
      </c>
      <c r="E189" s="21" t="s">
        <v>505</v>
      </c>
      <c r="F189" s="21" t="str">
        <f t="shared" si="4"/>
        <v>rtdc.l.rtdc.4053:itc</v>
      </c>
      <c r="G189" s="8">
        <f t="shared" si="5"/>
        <v>42678.776944444442</v>
      </c>
    </row>
    <row r="190" spans="1:7" x14ac:dyDescent="0.25">
      <c r="A190" s="8">
        <v>42678.786631944444</v>
      </c>
      <c r="B190" s="21" t="s">
        <v>234</v>
      </c>
      <c r="C190" s="21" t="s">
        <v>429</v>
      </c>
      <c r="D190" s="21">
        <v>2560000</v>
      </c>
      <c r="E190" s="21" t="s">
        <v>272</v>
      </c>
      <c r="F190" s="21" t="str">
        <f t="shared" si="4"/>
        <v>rtdc.l.rtdc.4021:itc</v>
      </c>
      <c r="G190" s="8">
        <f t="shared" si="5"/>
        <v>42678.786631944444</v>
      </c>
    </row>
    <row r="191" spans="1:7" x14ac:dyDescent="0.25">
      <c r="A191" s="8">
        <v>42678.786736111113</v>
      </c>
      <c r="B191" s="21" t="s">
        <v>241</v>
      </c>
      <c r="C191" s="21" t="s">
        <v>592</v>
      </c>
      <c r="D191" s="21">
        <v>1300000</v>
      </c>
      <c r="E191" s="21" t="s">
        <v>113</v>
      </c>
      <c r="F191" s="21" t="str">
        <f t="shared" si="4"/>
        <v>rtdc.l.rtdc.4038:itc</v>
      </c>
      <c r="G191" s="8">
        <f t="shared" si="5"/>
        <v>42678.786736111113</v>
      </c>
    </row>
    <row r="192" spans="1:7" x14ac:dyDescent="0.25">
      <c r="A192" s="8">
        <v>42678.797476851854</v>
      </c>
      <c r="B192" s="21" t="s">
        <v>350</v>
      </c>
      <c r="C192" s="21" t="s">
        <v>593</v>
      </c>
      <c r="D192" s="21">
        <v>2430000</v>
      </c>
      <c r="E192" s="21" t="s">
        <v>277</v>
      </c>
      <c r="F192" s="21" t="str">
        <f t="shared" si="4"/>
        <v>rtdc.l.rtdc.4012:itc</v>
      </c>
      <c r="G192" s="8">
        <f t="shared" si="5"/>
        <v>42678.797476851854</v>
      </c>
    </row>
    <row r="193" spans="1:7" x14ac:dyDescent="0.25">
      <c r="A193" s="8">
        <v>42678.798067129632</v>
      </c>
      <c r="B193" s="21" t="s">
        <v>225</v>
      </c>
      <c r="C193" s="21" t="s">
        <v>430</v>
      </c>
      <c r="D193" s="21">
        <v>1800000</v>
      </c>
      <c r="E193" s="21" t="s">
        <v>258</v>
      </c>
      <c r="F193" s="21" t="str">
        <f t="shared" si="4"/>
        <v>rtdc.l.rtdc.4030:itc</v>
      </c>
      <c r="G193" s="8">
        <f t="shared" si="5"/>
        <v>42678.798067129632</v>
      </c>
    </row>
    <row r="194" spans="1:7" x14ac:dyDescent="0.25">
      <c r="A194" s="8">
        <v>42678.798310185186</v>
      </c>
      <c r="B194" s="21" t="s">
        <v>285</v>
      </c>
      <c r="C194" s="21" t="s">
        <v>594</v>
      </c>
      <c r="D194" s="21">
        <v>2000000</v>
      </c>
      <c r="E194" s="21" t="s">
        <v>291</v>
      </c>
      <c r="F194" s="21" t="str">
        <f t="shared" ref="F194:F235" si="6">B194</f>
        <v>rtdc.l.rtdc.4041:itc</v>
      </c>
      <c r="G194" s="8">
        <f t="shared" ref="G194:G235" si="7">A194</f>
        <v>42678.798310185186</v>
      </c>
    </row>
    <row r="195" spans="1:7" x14ac:dyDescent="0.25">
      <c r="A195" s="8">
        <v>42678.800451388888</v>
      </c>
      <c r="B195" s="21" t="s">
        <v>263</v>
      </c>
      <c r="C195" s="21" t="s">
        <v>595</v>
      </c>
      <c r="D195" s="21">
        <v>2020000</v>
      </c>
      <c r="E195" s="21" t="s">
        <v>354</v>
      </c>
      <c r="F195" s="21" t="str">
        <f t="shared" si="6"/>
        <v>rtdc.l.rtdc.4003:itc</v>
      </c>
      <c r="G195" s="8">
        <f t="shared" si="7"/>
        <v>42678.800451388888</v>
      </c>
    </row>
    <row r="196" spans="1:7" x14ac:dyDescent="0.25">
      <c r="A196" s="8">
        <v>42678.8046412037</v>
      </c>
      <c r="B196" s="21" t="s">
        <v>189</v>
      </c>
      <c r="C196" s="21" t="s">
        <v>596</v>
      </c>
      <c r="D196" s="21">
        <v>1540000</v>
      </c>
      <c r="E196" s="21" t="s">
        <v>276</v>
      </c>
      <c r="F196" s="21" t="str">
        <f t="shared" si="6"/>
        <v>rtdc.l.rtdc.4009:itc</v>
      </c>
      <c r="G196" s="8">
        <f t="shared" si="7"/>
        <v>42678.8046412037</v>
      </c>
    </row>
    <row r="197" spans="1:7" x14ac:dyDescent="0.25">
      <c r="A197" s="8">
        <v>42678.809386574074</v>
      </c>
      <c r="B197" s="21" t="s">
        <v>191</v>
      </c>
      <c r="C197" s="21" t="s">
        <v>597</v>
      </c>
      <c r="D197" s="21">
        <v>2610000</v>
      </c>
      <c r="E197" s="21" t="s">
        <v>335</v>
      </c>
      <c r="F197" s="21" t="str">
        <f t="shared" si="6"/>
        <v>rtdc.l.rtdc.4007:itc</v>
      </c>
      <c r="G197" s="8">
        <f t="shared" si="7"/>
        <v>42678.809386574074</v>
      </c>
    </row>
    <row r="198" spans="1:7" x14ac:dyDescent="0.25">
      <c r="A198" s="8">
        <v>42678.818483796298</v>
      </c>
      <c r="B198" s="21" t="s">
        <v>246</v>
      </c>
      <c r="C198" s="21" t="s">
        <v>598</v>
      </c>
      <c r="D198" s="21">
        <v>2560000</v>
      </c>
      <c r="E198" s="21" t="s">
        <v>272</v>
      </c>
      <c r="F198" s="21" t="str">
        <f t="shared" si="6"/>
        <v>rtdc.l.rtdc.4022:itc</v>
      </c>
      <c r="G198" s="8">
        <f t="shared" si="7"/>
        <v>42678.818483796298</v>
      </c>
    </row>
    <row r="199" spans="1:7" x14ac:dyDescent="0.25">
      <c r="A199" s="8">
        <v>42678.818495370368</v>
      </c>
      <c r="B199" s="21" t="s">
        <v>188</v>
      </c>
      <c r="C199" s="21" t="s">
        <v>599</v>
      </c>
      <c r="D199" s="21">
        <v>1540000</v>
      </c>
      <c r="E199" s="21" t="s">
        <v>276</v>
      </c>
      <c r="F199" s="21" t="str">
        <f t="shared" si="6"/>
        <v>rtdc.l.rtdc.4010:itc</v>
      </c>
      <c r="G199" s="8">
        <f t="shared" si="7"/>
        <v>42678.818495370368</v>
      </c>
    </row>
    <row r="200" spans="1:7" x14ac:dyDescent="0.25">
      <c r="A200" s="8">
        <v>42678.821909722225</v>
      </c>
      <c r="B200" s="21" t="s">
        <v>225</v>
      </c>
      <c r="C200" s="21" t="s">
        <v>430</v>
      </c>
      <c r="D200" s="21">
        <v>1800000</v>
      </c>
      <c r="E200" s="21" t="s">
        <v>258</v>
      </c>
      <c r="F200" s="21" t="str">
        <f t="shared" si="6"/>
        <v>rtdc.l.rtdc.4030:itc</v>
      </c>
      <c r="G200" s="8">
        <f t="shared" si="7"/>
        <v>42678.821909722225</v>
      </c>
    </row>
    <row r="201" spans="1:7" x14ac:dyDescent="0.25">
      <c r="A201" s="8">
        <v>42678.827210648145</v>
      </c>
      <c r="B201" s="21" t="s">
        <v>229</v>
      </c>
      <c r="C201" s="21" t="s">
        <v>600</v>
      </c>
      <c r="D201" s="21">
        <v>1300000</v>
      </c>
      <c r="E201" s="21" t="s">
        <v>113</v>
      </c>
      <c r="F201" s="21" t="str">
        <f t="shared" si="6"/>
        <v>rtdc.l.rtdc.4037:itc</v>
      </c>
      <c r="G201" s="8">
        <f t="shared" si="7"/>
        <v>42678.827210648145</v>
      </c>
    </row>
    <row r="202" spans="1:7" x14ac:dyDescent="0.25">
      <c r="A202" s="27">
        <v>42678.832974537036</v>
      </c>
      <c r="B202" s="21" t="s">
        <v>224</v>
      </c>
      <c r="C202" s="21" t="s">
        <v>601</v>
      </c>
      <c r="D202" s="21">
        <v>1800000</v>
      </c>
      <c r="E202" s="21" t="s">
        <v>258</v>
      </c>
      <c r="F202" s="21" t="str">
        <f t="shared" si="6"/>
        <v>rtdc.l.rtdc.4029:itc</v>
      </c>
      <c r="G202" s="8">
        <f t="shared" si="7"/>
        <v>42678.832974537036</v>
      </c>
    </row>
    <row r="203" spans="1:7" x14ac:dyDescent="0.25">
      <c r="A203" s="8">
        <v>42678.841851851852</v>
      </c>
      <c r="B203" s="21" t="s">
        <v>288</v>
      </c>
      <c r="C203" s="21" t="s">
        <v>431</v>
      </c>
      <c r="D203" s="21">
        <v>2000000</v>
      </c>
      <c r="E203" s="21" t="s">
        <v>291</v>
      </c>
      <c r="F203" s="21" t="str">
        <f t="shared" si="6"/>
        <v>rtdc.l.rtdc.4042:itc</v>
      </c>
      <c r="G203" s="8">
        <f t="shared" si="7"/>
        <v>42678.841851851852</v>
      </c>
    </row>
    <row r="204" spans="1:7" x14ac:dyDescent="0.25">
      <c r="A204" s="8">
        <v>42678.845358796294</v>
      </c>
      <c r="B204" s="21" t="s">
        <v>189</v>
      </c>
      <c r="C204" s="21" t="s">
        <v>602</v>
      </c>
      <c r="D204" s="21">
        <v>1540000</v>
      </c>
      <c r="E204" s="21" t="s">
        <v>276</v>
      </c>
      <c r="F204" s="21" t="str">
        <f t="shared" si="6"/>
        <v>rtdc.l.rtdc.4009:itc</v>
      </c>
      <c r="G204" s="8">
        <f t="shared" si="7"/>
        <v>42678.845358796294</v>
      </c>
    </row>
    <row r="205" spans="1:7" x14ac:dyDescent="0.25">
      <c r="A205" s="8">
        <v>42678.847557870373</v>
      </c>
      <c r="B205" s="21" t="s">
        <v>286</v>
      </c>
      <c r="C205" s="21" t="s">
        <v>603</v>
      </c>
      <c r="D205" s="21">
        <v>2610000</v>
      </c>
      <c r="E205" s="21" t="s">
        <v>335</v>
      </c>
      <c r="F205" s="21" t="str">
        <f t="shared" si="6"/>
        <v>rtdc.l.rtdc.4008:itc</v>
      </c>
      <c r="G205" s="8">
        <f t="shared" si="7"/>
        <v>42678.847557870373</v>
      </c>
    </row>
    <row r="206" spans="1:7" x14ac:dyDescent="0.25">
      <c r="A206" s="8">
        <v>42678.858055555553</v>
      </c>
      <c r="B206" s="21" t="s">
        <v>188</v>
      </c>
      <c r="C206" s="21" t="s">
        <v>604</v>
      </c>
      <c r="D206" s="21">
        <v>1540000</v>
      </c>
      <c r="E206" s="21" t="s">
        <v>276</v>
      </c>
      <c r="F206" s="21" t="str">
        <f t="shared" si="6"/>
        <v>rtdc.l.rtdc.4010:itc</v>
      </c>
      <c r="G206" s="8">
        <f t="shared" si="7"/>
        <v>42678.858055555553</v>
      </c>
    </row>
    <row r="207" spans="1:7" x14ac:dyDescent="0.25">
      <c r="A207" s="8">
        <v>42678.871064814812</v>
      </c>
      <c r="B207" s="21" t="s">
        <v>225</v>
      </c>
      <c r="C207" s="21" t="s">
        <v>605</v>
      </c>
      <c r="D207" s="21">
        <v>1800000</v>
      </c>
      <c r="E207" s="21" t="s">
        <v>258</v>
      </c>
      <c r="F207" s="21" t="str">
        <f t="shared" si="6"/>
        <v>rtdc.l.rtdc.4030:itc</v>
      </c>
      <c r="G207" s="8">
        <f t="shared" si="7"/>
        <v>42678.871064814812</v>
      </c>
    </row>
    <row r="208" spans="1:7" x14ac:dyDescent="0.25">
      <c r="A208" s="8">
        <v>42678.871388888889</v>
      </c>
      <c r="B208" s="21" t="s">
        <v>241</v>
      </c>
      <c r="C208" s="21" t="s">
        <v>606</v>
      </c>
      <c r="D208" s="21">
        <v>1300000</v>
      </c>
      <c r="E208" s="21" t="s">
        <v>113</v>
      </c>
      <c r="F208" s="21" t="str">
        <f t="shared" si="6"/>
        <v>rtdc.l.rtdc.4038:itc</v>
      </c>
      <c r="G208" s="8">
        <f t="shared" si="7"/>
        <v>42678.871388888889</v>
      </c>
    </row>
    <row r="209" spans="1:7" x14ac:dyDescent="0.25">
      <c r="A209" s="8">
        <v>42678.876331018517</v>
      </c>
      <c r="B209" s="21" t="s">
        <v>189</v>
      </c>
      <c r="C209" s="21" t="s">
        <v>593</v>
      </c>
      <c r="D209" s="21">
        <v>2430000</v>
      </c>
      <c r="E209" s="21" t="s">
        <v>277</v>
      </c>
      <c r="F209" s="21" t="str">
        <f t="shared" si="6"/>
        <v>rtdc.l.rtdc.4009:itc</v>
      </c>
      <c r="G209" s="8">
        <f t="shared" si="7"/>
        <v>42678.876331018517</v>
      </c>
    </row>
    <row r="210" spans="1:7" x14ac:dyDescent="0.25">
      <c r="A210" s="8">
        <v>42678.877650462964</v>
      </c>
      <c r="B210" s="21" t="s">
        <v>189</v>
      </c>
      <c r="C210" s="21" t="s">
        <v>607</v>
      </c>
      <c r="D210" s="21">
        <v>2430000</v>
      </c>
      <c r="E210" s="21" t="s">
        <v>277</v>
      </c>
      <c r="F210" s="21" t="str">
        <f t="shared" si="6"/>
        <v>rtdc.l.rtdc.4009:itc</v>
      </c>
      <c r="G210" s="8">
        <f t="shared" si="7"/>
        <v>42678.877650462964</v>
      </c>
    </row>
    <row r="211" spans="1:7" x14ac:dyDescent="0.25">
      <c r="A211" s="8">
        <v>42678.880891203706</v>
      </c>
      <c r="B211" s="21" t="s">
        <v>191</v>
      </c>
      <c r="C211" s="21" t="s">
        <v>608</v>
      </c>
      <c r="D211" s="21">
        <v>2610000</v>
      </c>
      <c r="E211" s="21" t="s">
        <v>335</v>
      </c>
      <c r="F211" s="21" t="str">
        <f t="shared" si="6"/>
        <v>rtdc.l.rtdc.4007:itc</v>
      </c>
      <c r="G211" s="8">
        <f t="shared" si="7"/>
        <v>42678.880891203706</v>
      </c>
    </row>
    <row r="212" spans="1:7" x14ac:dyDescent="0.25">
      <c r="A212" s="8">
        <v>42678.884872685187</v>
      </c>
      <c r="B212" s="21" t="s">
        <v>285</v>
      </c>
      <c r="C212" s="21" t="s">
        <v>609</v>
      </c>
      <c r="D212" s="21">
        <v>2000000</v>
      </c>
      <c r="E212" s="21" t="s">
        <v>291</v>
      </c>
      <c r="F212" s="21" t="str">
        <f t="shared" si="6"/>
        <v>rtdc.l.rtdc.4041:itc</v>
      </c>
      <c r="G212" s="8">
        <f t="shared" si="7"/>
        <v>42678.884872685187</v>
      </c>
    </row>
    <row r="213" spans="1:7" x14ac:dyDescent="0.25">
      <c r="A213" s="8">
        <v>42678.902094907404</v>
      </c>
      <c r="B213" s="21" t="s">
        <v>188</v>
      </c>
      <c r="C213" s="21" t="s">
        <v>432</v>
      </c>
      <c r="D213" s="21">
        <v>2430000</v>
      </c>
      <c r="E213" s="21" t="s">
        <v>277</v>
      </c>
      <c r="F213" s="21" t="str">
        <f t="shared" si="6"/>
        <v>rtdc.l.rtdc.4010:itc</v>
      </c>
      <c r="G213" s="8">
        <f t="shared" si="7"/>
        <v>42678.902094907404</v>
      </c>
    </row>
    <row r="214" spans="1:7" x14ac:dyDescent="0.25">
      <c r="A214" s="8">
        <v>42678.912199074075</v>
      </c>
      <c r="B214" s="21" t="s">
        <v>229</v>
      </c>
      <c r="C214" s="21" t="s">
        <v>610</v>
      </c>
      <c r="D214" s="21">
        <v>1300000</v>
      </c>
      <c r="E214" s="21" t="s">
        <v>113</v>
      </c>
      <c r="F214" s="21" t="str">
        <f t="shared" si="6"/>
        <v>rtdc.l.rtdc.4037:itc</v>
      </c>
      <c r="G214" s="8">
        <f t="shared" si="7"/>
        <v>42678.912199074075</v>
      </c>
    </row>
    <row r="215" spans="1:7" x14ac:dyDescent="0.25">
      <c r="A215" s="8">
        <v>42678.912986111114</v>
      </c>
      <c r="B215" s="21" t="s">
        <v>224</v>
      </c>
      <c r="C215" s="21" t="s">
        <v>611</v>
      </c>
      <c r="D215" s="21">
        <v>1800000</v>
      </c>
      <c r="E215" s="21" t="s">
        <v>258</v>
      </c>
      <c r="F215" s="21" t="str">
        <f t="shared" si="6"/>
        <v>rtdc.l.rtdc.4029:itc</v>
      </c>
      <c r="G215" s="8">
        <f t="shared" si="7"/>
        <v>42678.912986111114</v>
      </c>
    </row>
    <row r="216" spans="1:7" x14ac:dyDescent="0.25">
      <c r="A216" s="8">
        <v>42678.916134259256</v>
      </c>
      <c r="B216" s="21" t="s">
        <v>189</v>
      </c>
      <c r="C216" s="21" t="s">
        <v>612</v>
      </c>
      <c r="D216" s="21">
        <v>2430000</v>
      </c>
      <c r="E216" s="21" t="s">
        <v>277</v>
      </c>
      <c r="F216" s="21" t="str">
        <f t="shared" si="6"/>
        <v>rtdc.l.rtdc.4009:itc</v>
      </c>
      <c r="G216" s="8">
        <f t="shared" si="7"/>
        <v>42678.916134259256</v>
      </c>
    </row>
    <row r="217" spans="1:7" x14ac:dyDescent="0.25">
      <c r="A217" s="8">
        <v>42678.924027777779</v>
      </c>
      <c r="B217" s="21" t="s">
        <v>288</v>
      </c>
      <c r="C217" s="21" t="s">
        <v>613</v>
      </c>
      <c r="D217" s="21">
        <v>2000000</v>
      </c>
      <c r="E217" s="21" t="s">
        <v>291</v>
      </c>
      <c r="F217" s="21" t="str">
        <f t="shared" si="6"/>
        <v>rtdc.l.rtdc.4042:itc</v>
      </c>
      <c r="G217" s="8">
        <f t="shared" si="7"/>
        <v>42678.924027777779</v>
      </c>
    </row>
    <row r="218" spans="1:7" x14ac:dyDescent="0.25">
      <c r="A218" s="8">
        <v>42678.929143518515</v>
      </c>
      <c r="B218" s="21" t="s">
        <v>286</v>
      </c>
      <c r="C218" s="21" t="s">
        <v>614</v>
      </c>
      <c r="D218" s="21">
        <v>2610000</v>
      </c>
      <c r="E218" s="21" t="s">
        <v>335</v>
      </c>
      <c r="F218" s="21" t="str">
        <f t="shared" si="6"/>
        <v>rtdc.l.rtdc.4008:itc</v>
      </c>
      <c r="G218" s="8">
        <f t="shared" si="7"/>
        <v>42678.929143518515</v>
      </c>
    </row>
    <row r="219" spans="1:7" x14ac:dyDescent="0.25">
      <c r="A219" s="8">
        <v>42678.942777777775</v>
      </c>
      <c r="B219" s="21" t="s">
        <v>188</v>
      </c>
      <c r="C219" s="21" t="s">
        <v>615</v>
      </c>
      <c r="D219" s="21">
        <v>2430000</v>
      </c>
      <c r="E219" s="21" t="s">
        <v>277</v>
      </c>
      <c r="F219" s="21" t="str">
        <f t="shared" si="6"/>
        <v>rtdc.l.rtdc.4010:itc</v>
      </c>
      <c r="G219" s="8">
        <f t="shared" si="7"/>
        <v>42678.942777777775</v>
      </c>
    </row>
    <row r="220" spans="1:7" x14ac:dyDescent="0.25">
      <c r="A220" s="8">
        <v>42678.952766203707</v>
      </c>
      <c r="B220" s="21" t="s">
        <v>225</v>
      </c>
      <c r="C220" s="21" t="s">
        <v>616</v>
      </c>
      <c r="D220" s="21">
        <v>1800000</v>
      </c>
      <c r="E220" s="21" t="s">
        <v>258</v>
      </c>
      <c r="F220" s="21" t="str">
        <f t="shared" si="6"/>
        <v>rtdc.l.rtdc.4030:itc</v>
      </c>
      <c r="G220" s="8">
        <f t="shared" si="7"/>
        <v>42678.952766203707</v>
      </c>
    </row>
    <row r="221" spans="1:7" x14ac:dyDescent="0.25">
      <c r="A221" s="8">
        <v>42678.955358796295</v>
      </c>
      <c r="B221" s="21" t="s">
        <v>241</v>
      </c>
      <c r="C221" s="21" t="s">
        <v>433</v>
      </c>
      <c r="D221" s="21">
        <v>1300000</v>
      </c>
      <c r="E221" s="21" t="s">
        <v>113</v>
      </c>
      <c r="F221" s="21" t="str">
        <f t="shared" si="6"/>
        <v>rtdc.l.rtdc.4038:itc</v>
      </c>
      <c r="G221" s="8">
        <f t="shared" si="7"/>
        <v>42678.955358796295</v>
      </c>
    </row>
    <row r="222" spans="1:7" x14ac:dyDescent="0.25">
      <c r="A222" s="8">
        <v>42678.961793981478</v>
      </c>
      <c r="B222" s="21" t="s">
        <v>191</v>
      </c>
      <c r="C222" s="21" t="s">
        <v>434</v>
      </c>
      <c r="D222" s="21">
        <v>2610000</v>
      </c>
      <c r="E222" s="21" t="s">
        <v>335</v>
      </c>
      <c r="F222" s="21" t="str">
        <f t="shared" si="6"/>
        <v>rtdc.l.rtdc.4007:itc</v>
      </c>
      <c r="G222" s="8">
        <f t="shared" si="7"/>
        <v>42678.961793981478</v>
      </c>
    </row>
    <row r="223" spans="1:7" x14ac:dyDescent="0.25">
      <c r="A223" s="8">
        <v>42678.965462962966</v>
      </c>
      <c r="B223" s="21" t="s">
        <v>241</v>
      </c>
      <c r="C223" s="21" t="s">
        <v>433</v>
      </c>
      <c r="D223" s="21">
        <v>1300000</v>
      </c>
      <c r="E223" s="21" t="s">
        <v>113</v>
      </c>
      <c r="F223" s="21" t="str">
        <f t="shared" si="6"/>
        <v>rtdc.l.rtdc.4038:itc</v>
      </c>
      <c r="G223" s="8">
        <f t="shared" si="7"/>
        <v>42678.965462962966</v>
      </c>
    </row>
    <row r="224" spans="1:7" x14ac:dyDescent="0.25">
      <c r="A224" s="8">
        <v>42678.971550925926</v>
      </c>
      <c r="B224" t="s">
        <v>285</v>
      </c>
      <c r="C224" t="s">
        <v>435</v>
      </c>
      <c r="D224">
        <v>2000000</v>
      </c>
      <c r="E224" t="s">
        <v>291</v>
      </c>
      <c r="F224" s="21" t="str">
        <f t="shared" si="6"/>
        <v>rtdc.l.rtdc.4041:itc</v>
      </c>
      <c r="G224" s="8">
        <f t="shared" si="7"/>
        <v>42678.971550925926</v>
      </c>
    </row>
    <row r="225" spans="1:7" x14ac:dyDescent="0.25">
      <c r="A225" s="8">
        <v>42678.994571759256</v>
      </c>
      <c r="B225" t="s">
        <v>229</v>
      </c>
      <c r="C225" t="s">
        <v>617</v>
      </c>
      <c r="D225">
        <v>1300000</v>
      </c>
      <c r="E225" t="s">
        <v>113</v>
      </c>
      <c r="F225" s="21" t="str">
        <f t="shared" si="6"/>
        <v>rtdc.l.rtdc.4037:itc</v>
      </c>
      <c r="G225" s="8">
        <f t="shared" si="7"/>
        <v>42678.994571759256</v>
      </c>
    </row>
    <row r="226" spans="1:7" x14ac:dyDescent="0.25">
      <c r="A226" s="8">
        <v>42678.997534722221</v>
      </c>
      <c r="B226" t="s">
        <v>224</v>
      </c>
      <c r="C226" t="s">
        <v>618</v>
      </c>
      <c r="D226">
        <v>1800000</v>
      </c>
      <c r="E226" t="s">
        <v>258</v>
      </c>
      <c r="F226" s="21" t="str">
        <f t="shared" si="6"/>
        <v>rtdc.l.rtdc.4029:itc</v>
      </c>
      <c r="G226" s="8">
        <f t="shared" si="7"/>
        <v>42678.997534722221</v>
      </c>
    </row>
    <row r="227" spans="1:7" x14ac:dyDescent="0.25">
      <c r="A227" s="8">
        <v>42679.005613425928</v>
      </c>
      <c r="B227" t="s">
        <v>286</v>
      </c>
      <c r="C227" t="s">
        <v>619</v>
      </c>
      <c r="D227">
        <v>2610000</v>
      </c>
      <c r="E227" t="s">
        <v>335</v>
      </c>
      <c r="F227" s="21" t="str">
        <f t="shared" si="6"/>
        <v>rtdc.l.rtdc.4008:itc</v>
      </c>
      <c r="G227" s="8">
        <f t="shared" si="7"/>
        <v>42679.005613425928</v>
      </c>
    </row>
    <row r="228" spans="1:7" x14ac:dyDescent="0.25">
      <c r="A228" s="8">
        <v>42679.006041666667</v>
      </c>
      <c r="B228" t="s">
        <v>288</v>
      </c>
      <c r="C228" t="s">
        <v>620</v>
      </c>
      <c r="D228">
        <v>2000000</v>
      </c>
      <c r="E228" t="s">
        <v>291</v>
      </c>
      <c r="F228" s="21" t="str">
        <f t="shared" si="6"/>
        <v>rtdc.l.rtdc.4042:itc</v>
      </c>
      <c r="G228" s="8">
        <f t="shared" si="7"/>
        <v>42679.006041666667</v>
      </c>
    </row>
    <row r="229" spans="1:7" x14ac:dyDescent="0.25">
      <c r="A229" s="8">
        <v>42679.036226851851</v>
      </c>
      <c r="B229" t="s">
        <v>241</v>
      </c>
      <c r="C229" t="s">
        <v>621</v>
      </c>
      <c r="D229">
        <v>1300000</v>
      </c>
      <c r="E229" t="s">
        <v>113</v>
      </c>
      <c r="F229" s="21" t="str">
        <f t="shared" si="6"/>
        <v>rtdc.l.rtdc.4038:itc</v>
      </c>
      <c r="G229" s="8">
        <f t="shared" si="7"/>
        <v>42679.036226851851</v>
      </c>
    </row>
    <row r="230" spans="1:7" x14ac:dyDescent="0.25">
      <c r="A230" s="8">
        <v>42679.038483796299</v>
      </c>
      <c r="B230" t="s">
        <v>225</v>
      </c>
      <c r="C230" t="s">
        <v>622</v>
      </c>
      <c r="D230">
        <v>1800000</v>
      </c>
      <c r="E230" t="s">
        <v>258</v>
      </c>
      <c r="F230" s="21" t="str">
        <f t="shared" si="6"/>
        <v>rtdc.l.rtdc.4030:itc</v>
      </c>
      <c r="G230" s="8">
        <f t="shared" si="7"/>
        <v>42679.038483796299</v>
      </c>
    </row>
    <row r="231" spans="1:7" x14ac:dyDescent="0.25">
      <c r="A231" s="8">
        <v>42679.044918981483</v>
      </c>
      <c r="B231" t="s">
        <v>191</v>
      </c>
      <c r="C231" t="s">
        <v>623</v>
      </c>
      <c r="D231">
        <v>2610000</v>
      </c>
      <c r="E231" t="s">
        <v>335</v>
      </c>
      <c r="F231" s="21" t="str">
        <f t="shared" si="6"/>
        <v>rtdc.l.rtdc.4007:itc</v>
      </c>
      <c r="G231" s="8">
        <f t="shared" si="7"/>
        <v>42679.044918981483</v>
      </c>
    </row>
    <row r="232" spans="1:7" x14ac:dyDescent="0.25">
      <c r="A232" s="8">
        <v>42679.05672453704</v>
      </c>
      <c r="B232" t="s">
        <v>285</v>
      </c>
      <c r="C232" t="s">
        <v>624</v>
      </c>
      <c r="D232">
        <v>2000000</v>
      </c>
      <c r="E232" t="s">
        <v>291</v>
      </c>
      <c r="F232" s="21" t="str">
        <f t="shared" si="6"/>
        <v>rtdc.l.rtdc.4041:itc</v>
      </c>
      <c r="G232" s="8">
        <f t="shared" si="7"/>
        <v>42679.05672453704</v>
      </c>
    </row>
    <row r="233" spans="1:7" x14ac:dyDescent="0.25">
      <c r="A233" s="8">
        <v>42679.068749999999</v>
      </c>
      <c r="B233" t="s">
        <v>224</v>
      </c>
      <c r="C233" t="s">
        <v>625</v>
      </c>
      <c r="D233">
        <v>1800000</v>
      </c>
      <c r="E233" t="s">
        <v>258</v>
      </c>
      <c r="F233" s="21" t="str">
        <f t="shared" si="6"/>
        <v>rtdc.l.rtdc.4029:itc</v>
      </c>
      <c r="G233" s="8">
        <f t="shared" si="7"/>
        <v>42679.068749999999</v>
      </c>
    </row>
    <row r="234" spans="1:7" x14ac:dyDescent="0.25">
      <c r="A234" s="8">
        <v>42679.078159722223</v>
      </c>
      <c r="B234" t="s">
        <v>229</v>
      </c>
      <c r="C234" t="s">
        <v>626</v>
      </c>
      <c r="D234">
        <v>1300000</v>
      </c>
      <c r="E234" t="s">
        <v>113</v>
      </c>
      <c r="F234" s="21" t="str">
        <f t="shared" si="6"/>
        <v>rtdc.l.rtdc.4037:itc</v>
      </c>
      <c r="G234" s="8">
        <f t="shared" si="7"/>
        <v>42679.078159722223</v>
      </c>
    </row>
    <row r="235" spans="1:7" x14ac:dyDescent="0.25">
      <c r="A235" s="8">
        <v>42679.090590277781</v>
      </c>
      <c r="B235" t="s">
        <v>288</v>
      </c>
      <c r="C235" t="s">
        <v>627</v>
      </c>
      <c r="D235">
        <v>2000000</v>
      </c>
      <c r="E235" t="s">
        <v>291</v>
      </c>
      <c r="F235" s="21" t="str">
        <f t="shared" si="6"/>
        <v>rtdc.l.rtdc.4042:itc</v>
      </c>
      <c r="G235" s="8">
        <f t="shared" si="7"/>
        <v>42679.090590277781</v>
      </c>
    </row>
    <row r="236" spans="1:7" x14ac:dyDescent="0.25">
      <c r="A236" s="8">
        <v>42679.108761574076</v>
      </c>
      <c r="B236" t="s">
        <v>241</v>
      </c>
      <c r="C236" t="s">
        <v>628</v>
      </c>
      <c r="D236">
        <v>1300000</v>
      </c>
      <c r="E236" t="s">
        <v>113</v>
      </c>
      <c r="F236" s="21" t="str">
        <f t="shared" ref="F236:F265" si="8">B236</f>
        <v>rtdc.l.rtdc.4038:itc</v>
      </c>
      <c r="G236" s="8">
        <f t="shared" ref="G236:G265" si="9">A236</f>
        <v>42679.108761574076</v>
      </c>
    </row>
    <row r="237" spans="1:7" x14ac:dyDescent="0.25">
      <c r="A237" s="8">
        <v>42678.049733796295</v>
      </c>
      <c r="B237" t="s">
        <v>245</v>
      </c>
      <c r="C237" t="s">
        <v>356</v>
      </c>
      <c r="D237">
        <v>2250000</v>
      </c>
      <c r="E237" t="s">
        <v>262</v>
      </c>
      <c r="F237" s="21" t="str">
        <f t="shared" si="8"/>
        <v>rtdc.l.rtdc.4014:itc</v>
      </c>
      <c r="G237" s="8">
        <f t="shared" si="9"/>
        <v>42678.049733796295</v>
      </c>
    </row>
    <row r="238" spans="1:7" x14ac:dyDescent="0.25">
      <c r="A238" s="8">
        <v>42678.055555555555</v>
      </c>
      <c r="B238" t="s">
        <v>328</v>
      </c>
      <c r="C238" t="s">
        <v>357</v>
      </c>
      <c r="D238">
        <v>2000000</v>
      </c>
      <c r="E238" t="s">
        <v>291</v>
      </c>
      <c r="F238" s="21" t="str">
        <f t="shared" si="8"/>
        <v>rtdc.l.rtdc.4026:itc</v>
      </c>
      <c r="G238" s="8">
        <f t="shared" si="9"/>
        <v>42678.055555555555</v>
      </c>
    </row>
    <row r="239" spans="1:7" x14ac:dyDescent="0.25">
      <c r="A239" s="8">
        <v>42678.066863425927</v>
      </c>
      <c r="B239" t="s">
        <v>352</v>
      </c>
      <c r="C239" t="s">
        <v>358</v>
      </c>
      <c r="D239">
        <v>1300000</v>
      </c>
      <c r="E239" t="s">
        <v>113</v>
      </c>
      <c r="F239" s="21" t="str">
        <f t="shared" si="8"/>
        <v>rtdc.l.rtdc.4016:itc</v>
      </c>
      <c r="G239" s="8">
        <f t="shared" si="9"/>
        <v>42678.066863425927</v>
      </c>
    </row>
    <row r="240" spans="1:7" x14ac:dyDescent="0.25">
      <c r="A240" s="8">
        <v>42678.087708333333</v>
      </c>
      <c r="B240" t="s">
        <v>322</v>
      </c>
      <c r="C240" t="s">
        <v>359</v>
      </c>
      <c r="D240">
        <v>2000000</v>
      </c>
      <c r="E240" t="s">
        <v>291</v>
      </c>
      <c r="F240" s="21" t="str">
        <f t="shared" si="8"/>
        <v>rtdc.l.rtdc.4025:itc</v>
      </c>
      <c r="G240" s="8">
        <f t="shared" si="9"/>
        <v>42678.087708333333</v>
      </c>
    </row>
    <row r="241" spans="1:7" x14ac:dyDescent="0.25">
      <c r="A241" s="8">
        <v>42677.05505787037</v>
      </c>
      <c r="B241" t="s">
        <v>286</v>
      </c>
      <c r="C241" t="s">
        <v>324</v>
      </c>
      <c r="D241">
        <v>2250000</v>
      </c>
      <c r="E241" t="s">
        <v>262</v>
      </c>
      <c r="F241" s="21" t="str">
        <f t="shared" si="8"/>
        <v>rtdc.l.rtdc.4008:itc</v>
      </c>
      <c r="G241" s="8">
        <f t="shared" si="9"/>
        <v>42677.05505787037</v>
      </c>
    </row>
    <row r="242" spans="1:7" x14ac:dyDescent="0.25">
      <c r="A242" s="8">
        <v>42677.066481481481</v>
      </c>
      <c r="B242" t="s">
        <v>241</v>
      </c>
      <c r="C242" t="s">
        <v>336</v>
      </c>
      <c r="D242">
        <v>1300000</v>
      </c>
      <c r="E242" t="s">
        <v>113</v>
      </c>
      <c r="F242" s="21" t="str">
        <f t="shared" si="8"/>
        <v>rtdc.l.rtdc.4038:itc</v>
      </c>
      <c r="G242" s="8">
        <f t="shared" si="9"/>
        <v>42677.066481481481</v>
      </c>
    </row>
    <row r="243" spans="1:7" x14ac:dyDescent="0.25">
      <c r="A243" s="8">
        <v>42677.088136574072</v>
      </c>
      <c r="B243" t="s">
        <v>191</v>
      </c>
      <c r="C243" t="s">
        <v>337</v>
      </c>
      <c r="D243">
        <v>2250000</v>
      </c>
      <c r="E243" t="s">
        <v>262</v>
      </c>
      <c r="F243" s="21" t="str">
        <f t="shared" si="8"/>
        <v>rtdc.l.rtdc.4007:itc</v>
      </c>
      <c r="G243" s="8">
        <f t="shared" si="9"/>
        <v>42677.088136574072</v>
      </c>
    </row>
    <row r="244" spans="1:7" x14ac:dyDescent="0.25">
      <c r="A244" s="8">
        <v>42675.910613425927</v>
      </c>
      <c r="B244" t="s">
        <v>234</v>
      </c>
      <c r="C244" t="s">
        <v>293</v>
      </c>
      <c r="D244">
        <v>2430000</v>
      </c>
      <c r="E244" t="s">
        <v>277</v>
      </c>
      <c r="F244" s="21" t="str">
        <f t="shared" si="8"/>
        <v>rtdc.l.rtdc.4021:itc</v>
      </c>
      <c r="G244" s="8">
        <f t="shared" si="9"/>
        <v>42675.910613425927</v>
      </c>
    </row>
    <row r="245" spans="1:7" x14ac:dyDescent="0.25">
      <c r="A245" s="8">
        <v>42675.915821759256</v>
      </c>
      <c r="B245" t="s">
        <v>263</v>
      </c>
      <c r="C245" t="s">
        <v>292</v>
      </c>
      <c r="D245">
        <v>2000000</v>
      </c>
      <c r="E245" t="s">
        <v>291</v>
      </c>
      <c r="F245" s="21" t="str">
        <f t="shared" si="8"/>
        <v>rtdc.l.rtdc.4003:itc</v>
      </c>
      <c r="G245" s="8">
        <f t="shared" si="9"/>
        <v>42675.915821759256</v>
      </c>
    </row>
    <row r="246" spans="1:7" x14ac:dyDescent="0.25">
      <c r="A246" s="8">
        <v>42675.927916666667</v>
      </c>
      <c r="B246" t="s">
        <v>225</v>
      </c>
      <c r="C246" t="s">
        <v>294</v>
      </c>
      <c r="D246">
        <v>2250000</v>
      </c>
      <c r="E246" t="s">
        <v>262</v>
      </c>
      <c r="F246" s="21" t="str">
        <f t="shared" si="8"/>
        <v>rtdc.l.rtdc.4030:itc</v>
      </c>
      <c r="G246" s="8">
        <f t="shared" si="9"/>
        <v>42675.927916666667</v>
      </c>
    </row>
    <row r="247" spans="1:7" x14ac:dyDescent="0.25">
      <c r="A247" s="8">
        <v>42675.936550925922</v>
      </c>
      <c r="B247" t="s">
        <v>240</v>
      </c>
      <c r="C247" t="s">
        <v>295</v>
      </c>
      <c r="D247">
        <v>1800000</v>
      </c>
      <c r="E247" t="s">
        <v>258</v>
      </c>
      <c r="F247" s="21" t="str">
        <f t="shared" si="8"/>
        <v>rtdc.l.rtdc.4040:itc</v>
      </c>
      <c r="G247" s="8">
        <f t="shared" si="9"/>
        <v>42675.936550925922</v>
      </c>
    </row>
    <row r="248" spans="1:7" x14ac:dyDescent="0.25">
      <c r="A248" s="8">
        <v>42675.942418981482</v>
      </c>
      <c r="B248" t="s">
        <v>274</v>
      </c>
      <c r="C248" t="s">
        <v>296</v>
      </c>
      <c r="D248">
        <v>2000000</v>
      </c>
      <c r="E248" t="s">
        <v>291</v>
      </c>
      <c r="F248" s="21" t="str">
        <f t="shared" si="8"/>
        <v>rtdc.l.rtdc.4004:itc</v>
      </c>
      <c r="G248" s="8">
        <f t="shared" si="9"/>
        <v>42675.942418981482</v>
      </c>
    </row>
    <row r="249" spans="1:7" x14ac:dyDescent="0.25">
      <c r="A249" s="8">
        <v>42675.952037037037</v>
      </c>
      <c r="B249" t="s">
        <v>285</v>
      </c>
      <c r="C249" t="s">
        <v>297</v>
      </c>
      <c r="D249">
        <v>2480000</v>
      </c>
      <c r="E249" t="s">
        <v>278</v>
      </c>
      <c r="F249" s="21" t="str">
        <f t="shared" si="8"/>
        <v>rtdc.l.rtdc.4041:itc</v>
      </c>
      <c r="G249" s="8">
        <f t="shared" si="9"/>
        <v>42675.952037037037</v>
      </c>
    </row>
    <row r="250" spans="1:7" x14ac:dyDescent="0.25">
      <c r="A250" s="8">
        <v>42675.953252314815</v>
      </c>
      <c r="B250" t="s">
        <v>246</v>
      </c>
      <c r="C250" t="s">
        <v>298</v>
      </c>
      <c r="D250">
        <v>2430000</v>
      </c>
      <c r="E250" t="s">
        <v>277</v>
      </c>
      <c r="F250" s="21" t="str">
        <f t="shared" si="8"/>
        <v>rtdc.l.rtdc.4022:itc</v>
      </c>
      <c r="G250" s="8">
        <f t="shared" si="9"/>
        <v>42675.953252314815</v>
      </c>
    </row>
    <row r="251" spans="1:7" x14ac:dyDescent="0.25">
      <c r="A251" s="8">
        <v>42675.971018518518</v>
      </c>
      <c r="B251" t="s">
        <v>224</v>
      </c>
      <c r="C251" t="s">
        <v>299</v>
      </c>
      <c r="D251">
        <v>2250000</v>
      </c>
      <c r="E251" t="s">
        <v>262</v>
      </c>
      <c r="F251" s="21" t="str">
        <f t="shared" si="8"/>
        <v>rtdc.l.rtdc.4029:itc</v>
      </c>
      <c r="G251" s="8">
        <f t="shared" si="9"/>
        <v>42675.971018518518</v>
      </c>
    </row>
    <row r="252" spans="1:7" x14ac:dyDescent="0.25">
      <c r="A252" s="8">
        <v>42675.975601851853</v>
      </c>
      <c r="B252" t="s">
        <v>269</v>
      </c>
      <c r="C252" t="s">
        <v>300</v>
      </c>
      <c r="D252">
        <v>1800000</v>
      </c>
      <c r="E252" t="s">
        <v>258</v>
      </c>
      <c r="F252" s="21" t="str">
        <f t="shared" si="8"/>
        <v>rtdc.l.rtdc.4039:itc</v>
      </c>
      <c r="G252" s="8">
        <f t="shared" si="9"/>
        <v>42675.975601851853</v>
      </c>
    </row>
    <row r="253" spans="1:7" x14ac:dyDescent="0.25">
      <c r="A253" s="8">
        <v>42675.987546296295</v>
      </c>
      <c r="B253" t="s">
        <v>288</v>
      </c>
      <c r="C253" t="s">
        <v>301</v>
      </c>
      <c r="D253">
        <v>2480000</v>
      </c>
      <c r="E253" t="s">
        <v>278</v>
      </c>
      <c r="F253" s="21" t="str">
        <f t="shared" si="8"/>
        <v>rtdc.l.rtdc.4042:itc</v>
      </c>
      <c r="G253" s="8">
        <f t="shared" si="9"/>
        <v>42675.987546296295</v>
      </c>
    </row>
    <row r="254" spans="1:7" x14ac:dyDescent="0.25">
      <c r="A254" s="8">
        <v>42675.99359953704</v>
      </c>
      <c r="B254" t="s">
        <v>234</v>
      </c>
      <c r="C254" t="s">
        <v>302</v>
      </c>
      <c r="D254">
        <v>2430000</v>
      </c>
      <c r="E254" t="s">
        <v>277</v>
      </c>
      <c r="F254" s="21" t="str">
        <f t="shared" si="8"/>
        <v>rtdc.l.rtdc.4021:itc</v>
      </c>
      <c r="G254" s="8">
        <f t="shared" si="9"/>
        <v>42675.99359953704</v>
      </c>
    </row>
    <row r="255" spans="1:7" x14ac:dyDescent="0.25">
      <c r="A255" s="8">
        <v>42676.009699074071</v>
      </c>
      <c r="B255" t="s">
        <v>225</v>
      </c>
      <c r="C255" t="s">
        <v>303</v>
      </c>
      <c r="D255">
        <v>2250000</v>
      </c>
      <c r="E255" t="s">
        <v>262</v>
      </c>
      <c r="F255" s="21" t="str">
        <f t="shared" si="8"/>
        <v>rtdc.l.rtdc.4030:itc</v>
      </c>
      <c r="G255" s="8">
        <f t="shared" si="9"/>
        <v>42676.009699074071</v>
      </c>
    </row>
    <row r="256" spans="1:7" x14ac:dyDescent="0.25">
      <c r="A256" s="8">
        <v>42676.018993055557</v>
      </c>
      <c r="B256" t="s">
        <v>240</v>
      </c>
      <c r="C256" t="s">
        <v>304</v>
      </c>
      <c r="D256">
        <v>1800000</v>
      </c>
      <c r="E256" t="s">
        <v>258</v>
      </c>
      <c r="F256" s="21" t="str">
        <f t="shared" si="8"/>
        <v>rtdc.l.rtdc.4040:itc</v>
      </c>
      <c r="G256" s="8">
        <f t="shared" si="9"/>
        <v>42676.018993055557</v>
      </c>
    </row>
    <row r="257" spans="1:7" x14ac:dyDescent="0.25">
      <c r="A257" s="8">
        <v>42676.029178240744</v>
      </c>
      <c r="B257" t="s">
        <v>246</v>
      </c>
      <c r="C257" t="s">
        <v>305</v>
      </c>
      <c r="D257">
        <v>2430000</v>
      </c>
      <c r="E257" t="s">
        <v>277</v>
      </c>
      <c r="F257" s="21" t="str">
        <f t="shared" si="8"/>
        <v>rtdc.l.rtdc.4022:itc</v>
      </c>
      <c r="G257" s="8">
        <f t="shared" si="9"/>
        <v>42676.029178240744</v>
      </c>
    </row>
    <row r="258" spans="1:7" x14ac:dyDescent="0.25">
      <c r="A258" s="8">
        <v>42676.035960648151</v>
      </c>
      <c r="B258" t="s">
        <v>285</v>
      </c>
      <c r="C258" t="s">
        <v>306</v>
      </c>
      <c r="D258">
        <v>2480000</v>
      </c>
      <c r="E258" t="s">
        <v>278</v>
      </c>
      <c r="F258" s="21" t="str">
        <f t="shared" si="8"/>
        <v>rtdc.l.rtdc.4041:itc</v>
      </c>
      <c r="G258" s="8">
        <f t="shared" si="9"/>
        <v>42676.035960648151</v>
      </c>
    </row>
    <row r="259" spans="1:7" x14ac:dyDescent="0.25">
      <c r="A259" s="8">
        <v>42676.053287037037</v>
      </c>
      <c r="B259" t="s">
        <v>224</v>
      </c>
      <c r="C259" t="s">
        <v>287</v>
      </c>
      <c r="D259">
        <v>2250000</v>
      </c>
      <c r="E259" t="s">
        <v>262</v>
      </c>
      <c r="F259" s="21" t="str">
        <f t="shared" si="8"/>
        <v>rtdc.l.rtdc.4029:itc</v>
      </c>
      <c r="G259" s="8">
        <f t="shared" si="9"/>
        <v>42676.053287037037</v>
      </c>
    </row>
    <row r="260" spans="1:7" x14ac:dyDescent="0.25">
      <c r="A260" s="8">
        <v>42676.058553240742</v>
      </c>
      <c r="B260" t="s">
        <v>269</v>
      </c>
      <c r="C260" t="s">
        <v>307</v>
      </c>
      <c r="D260">
        <v>1800000</v>
      </c>
      <c r="E260" t="s">
        <v>258</v>
      </c>
      <c r="F260" s="21" t="str">
        <f t="shared" si="8"/>
        <v>rtdc.l.rtdc.4039:itc</v>
      </c>
      <c r="G260" s="8">
        <f t="shared" si="9"/>
        <v>42676.058553240742</v>
      </c>
    </row>
    <row r="261" spans="1:7" x14ac:dyDescent="0.25">
      <c r="A261" s="8">
        <v>42676.065972222219</v>
      </c>
      <c r="B261" t="s">
        <v>288</v>
      </c>
      <c r="C261" t="s">
        <v>308</v>
      </c>
      <c r="D261">
        <v>2480000</v>
      </c>
      <c r="E261" t="s">
        <v>278</v>
      </c>
      <c r="F261" s="21" t="str">
        <f t="shared" si="8"/>
        <v>rtdc.l.rtdc.4042:itc</v>
      </c>
      <c r="G261" s="8">
        <f t="shared" si="9"/>
        <v>42676.065972222219</v>
      </c>
    </row>
    <row r="262" spans="1:7" x14ac:dyDescent="0.25">
      <c r="A262" s="8">
        <v>42676.092233796298</v>
      </c>
      <c r="B262" t="s">
        <v>240</v>
      </c>
      <c r="C262" t="s">
        <v>309</v>
      </c>
      <c r="D262">
        <v>1800000</v>
      </c>
      <c r="E262" t="s">
        <v>258</v>
      </c>
      <c r="F262" s="21" t="str">
        <f t="shared" si="8"/>
        <v>rtdc.l.rtdc.4040:itc</v>
      </c>
      <c r="G262" s="8">
        <f t="shared" si="9"/>
        <v>42676.092233796298</v>
      </c>
    </row>
    <row r="263" spans="1:7" x14ac:dyDescent="0.25">
      <c r="A263" s="8">
        <v>42650.052835648145</v>
      </c>
      <c r="B263" t="s">
        <v>188</v>
      </c>
      <c r="C263" t="s">
        <v>193</v>
      </c>
      <c r="D263">
        <v>1480000</v>
      </c>
      <c r="E263" t="s">
        <v>186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190</v>
      </c>
      <c r="C264" t="s">
        <v>194</v>
      </c>
      <c r="D264">
        <v>1300000</v>
      </c>
      <c r="E264" t="s">
        <v>113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157</v>
      </c>
      <c r="C265" t="s">
        <v>192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156</v>
      </c>
      <c r="C266" t="s">
        <v>192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156</v>
      </c>
      <c r="C267" t="s">
        <v>192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156</v>
      </c>
      <c r="C268" t="s">
        <v>192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156</v>
      </c>
      <c r="C269" t="s">
        <v>192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189</v>
      </c>
      <c r="C270" t="s">
        <v>195</v>
      </c>
      <c r="D270">
        <v>1480000</v>
      </c>
      <c r="E270" t="s">
        <v>186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192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192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192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8" t="s">
        <v>167</v>
      </c>
      <c r="B1" s="178" t="s">
        <v>170</v>
      </c>
      <c r="C1" s="178" t="s">
        <v>163</v>
      </c>
      <c r="D1" s="163" t="s">
        <v>177</v>
      </c>
      <c r="E1" s="178" t="s">
        <v>164</v>
      </c>
      <c r="F1" s="178" t="s">
        <v>162</v>
      </c>
      <c r="G1" s="178" t="s">
        <v>160</v>
      </c>
      <c r="H1" s="178" t="s">
        <v>173</v>
      </c>
      <c r="I1" s="178" t="s">
        <v>174</v>
      </c>
      <c r="J1" s="178" t="s">
        <v>168</v>
      </c>
      <c r="K1" s="178" t="s">
        <v>166</v>
      </c>
      <c r="L1" s="178" t="s">
        <v>161</v>
      </c>
      <c r="M1" s="178" t="s">
        <v>171</v>
      </c>
      <c r="N1" s="178" t="s">
        <v>165</v>
      </c>
      <c r="O1" s="178" t="s">
        <v>172</v>
      </c>
      <c r="P1" s="178" t="s">
        <v>169</v>
      </c>
      <c r="Q1"/>
    </row>
    <row r="2" spans="1:17" x14ac:dyDescent="0.25">
      <c r="A2" s="169">
        <v>45.32</v>
      </c>
      <c r="B2" s="169">
        <v>0.17</v>
      </c>
      <c r="C2" s="169">
        <v>23.19</v>
      </c>
      <c r="D2" s="8">
        <v>42678</v>
      </c>
      <c r="E2" s="169">
        <v>0.41</v>
      </c>
      <c r="F2" s="169" t="s">
        <v>629</v>
      </c>
      <c r="G2" s="169">
        <v>257.31</v>
      </c>
      <c r="H2" s="169">
        <v>0</v>
      </c>
      <c r="I2" s="169">
        <v>0</v>
      </c>
      <c r="J2" s="169">
        <v>1029.6500000000001</v>
      </c>
      <c r="K2" s="169" t="s">
        <v>630</v>
      </c>
      <c r="L2" s="169">
        <v>45.32</v>
      </c>
      <c r="M2" s="169">
        <v>1478239200</v>
      </c>
      <c r="N2" s="169">
        <v>1.24</v>
      </c>
      <c r="O2" s="169">
        <v>240</v>
      </c>
      <c r="P2" s="169">
        <v>2.2999999999999998</v>
      </c>
      <c r="Q2"/>
    </row>
    <row r="3" spans="1:17" x14ac:dyDescent="0.25">
      <c r="A3" s="169">
        <v>42.89</v>
      </c>
      <c r="B3" s="169">
        <v>0.2</v>
      </c>
      <c r="C3" s="169">
        <v>22.88</v>
      </c>
      <c r="D3" s="8">
        <v>42678.041666666664</v>
      </c>
      <c r="E3" s="169">
        <v>0.45</v>
      </c>
      <c r="F3" s="169" t="s">
        <v>629</v>
      </c>
      <c r="G3" s="169">
        <v>256.91000000000003</v>
      </c>
      <c r="H3" s="169">
        <v>0</v>
      </c>
      <c r="I3" s="169">
        <v>0</v>
      </c>
      <c r="J3" s="169">
        <v>1029.79</v>
      </c>
      <c r="K3" s="169" t="s">
        <v>630</v>
      </c>
      <c r="L3" s="169">
        <v>42.89</v>
      </c>
      <c r="M3" s="169">
        <v>1478242800</v>
      </c>
      <c r="N3" s="169">
        <v>1.24</v>
      </c>
      <c r="O3" s="169">
        <v>218</v>
      </c>
      <c r="P3" s="169">
        <v>2.48</v>
      </c>
      <c r="Q3"/>
    </row>
    <row r="4" spans="1:17" x14ac:dyDescent="0.25">
      <c r="A4" s="169">
        <v>40.71</v>
      </c>
      <c r="B4" s="169">
        <v>0.28999999999999998</v>
      </c>
      <c r="C4" s="169">
        <v>24.46</v>
      </c>
      <c r="D4" s="8">
        <v>42678.083333333336</v>
      </c>
      <c r="E4" s="169">
        <v>0.49</v>
      </c>
      <c r="F4" s="169" t="s">
        <v>629</v>
      </c>
      <c r="G4" s="169">
        <v>256.5</v>
      </c>
      <c r="H4" s="169">
        <v>0</v>
      </c>
      <c r="I4" s="169">
        <v>0</v>
      </c>
      <c r="J4" s="169">
        <v>1029.92</v>
      </c>
      <c r="K4" s="169" t="s">
        <v>630</v>
      </c>
      <c r="L4" s="169">
        <v>42.18</v>
      </c>
      <c r="M4" s="169">
        <v>1478246400</v>
      </c>
      <c r="N4" s="169">
        <v>1.24</v>
      </c>
      <c r="O4" s="169">
        <v>225</v>
      </c>
      <c r="P4" s="169">
        <v>3.1</v>
      </c>
      <c r="Q4"/>
    </row>
    <row r="5" spans="1:17" x14ac:dyDescent="0.25">
      <c r="A5" s="169">
        <v>40.44</v>
      </c>
      <c r="B5" s="169">
        <v>0.28999999999999998</v>
      </c>
      <c r="C5" s="169">
        <v>23.42</v>
      </c>
      <c r="D5" s="8">
        <v>42678.125</v>
      </c>
      <c r="E5" s="169">
        <v>0.5</v>
      </c>
      <c r="F5" s="169" t="s">
        <v>629</v>
      </c>
      <c r="G5" s="169">
        <v>256.08999999999997</v>
      </c>
      <c r="H5" s="169">
        <v>0</v>
      </c>
      <c r="I5" s="169">
        <v>0</v>
      </c>
      <c r="J5" s="169">
        <v>1030.02</v>
      </c>
      <c r="K5" s="169" t="s">
        <v>630</v>
      </c>
      <c r="L5" s="169">
        <v>40.44</v>
      </c>
      <c r="M5" s="169">
        <v>1478250000</v>
      </c>
      <c r="N5" s="169">
        <v>1.24</v>
      </c>
      <c r="O5" s="169">
        <v>220</v>
      </c>
      <c r="P5" s="169">
        <v>2.58</v>
      </c>
      <c r="Q5"/>
    </row>
    <row r="6" spans="1:17" x14ac:dyDescent="0.25">
      <c r="A6" s="169">
        <v>39.35</v>
      </c>
      <c r="B6" s="169">
        <v>0.19</v>
      </c>
      <c r="C6" s="169">
        <v>22.29</v>
      </c>
      <c r="D6" s="8">
        <v>42678.166666666664</v>
      </c>
      <c r="E6" s="169">
        <v>0.5</v>
      </c>
      <c r="F6" s="169" t="s">
        <v>629</v>
      </c>
      <c r="G6" s="169">
        <v>255.47</v>
      </c>
      <c r="H6" s="169">
        <v>0</v>
      </c>
      <c r="I6" s="169">
        <v>0</v>
      </c>
      <c r="J6" s="169">
        <v>1029.95</v>
      </c>
      <c r="K6" s="169" t="s">
        <v>630</v>
      </c>
      <c r="L6" s="169">
        <v>39.35</v>
      </c>
      <c r="M6" s="169">
        <v>1478253600</v>
      </c>
      <c r="N6" s="169">
        <v>1.24</v>
      </c>
      <c r="O6" s="169">
        <v>196</v>
      </c>
      <c r="P6" s="169">
        <v>1.61</v>
      </c>
      <c r="Q6"/>
    </row>
    <row r="7" spans="1:17" x14ac:dyDescent="0.25">
      <c r="A7" s="169">
        <v>39.229999999999997</v>
      </c>
      <c r="B7" s="169">
        <v>0.17</v>
      </c>
      <c r="C7" s="169">
        <v>24</v>
      </c>
      <c r="D7" s="8">
        <v>42678.208333333336</v>
      </c>
      <c r="E7" s="169">
        <v>0.54</v>
      </c>
      <c r="F7" s="169" t="s">
        <v>629</v>
      </c>
      <c r="G7" s="169">
        <v>254.77</v>
      </c>
      <c r="H7" s="169">
        <v>0</v>
      </c>
      <c r="I7" s="169">
        <v>0</v>
      </c>
      <c r="J7" s="169">
        <v>1029.81</v>
      </c>
      <c r="K7" s="169" t="s">
        <v>630</v>
      </c>
      <c r="L7" s="169">
        <v>39.229999999999997</v>
      </c>
      <c r="M7" s="169">
        <v>1478257200</v>
      </c>
      <c r="N7" s="169">
        <v>1.24</v>
      </c>
      <c r="O7" s="169">
        <v>222</v>
      </c>
      <c r="P7" s="169">
        <v>2.88</v>
      </c>
      <c r="Q7"/>
    </row>
    <row r="8" spans="1:17" x14ac:dyDescent="0.25">
      <c r="A8" s="169">
        <v>36.450000000000003</v>
      </c>
      <c r="B8" s="169">
        <v>0.18</v>
      </c>
      <c r="C8" s="169">
        <v>25.51</v>
      </c>
      <c r="D8" s="8">
        <v>42678.25</v>
      </c>
      <c r="E8" s="169">
        <v>0.59</v>
      </c>
      <c r="F8" s="169" t="s">
        <v>629</v>
      </c>
      <c r="G8" s="169">
        <v>254.09</v>
      </c>
      <c r="H8" s="169">
        <v>0</v>
      </c>
      <c r="I8" s="169">
        <v>0</v>
      </c>
      <c r="J8" s="169">
        <v>1029.68</v>
      </c>
      <c r="K8" s="169" t="s">
        <v>630</v>
      </c>
      <c r="L8" s="169">
        <v>38.64</v>
      </c>
      <c r="M8" s="169">
        <v>1478260800</v>
      </c>
      <c r="N8" s="169">
        <v>1.24</v>
      </c>
      <c r="O8" s="169">
        <v>228</v>
      </c>
      <c r="P8" s="169">
        <v>3.32</v>
      </c>
      <c r="Q8"/>
    </row>
    <row r="9" spans="1:17" x14ac:dyDescent="0.25">
      <c r="A9" s="169">
        <v>36.08</v>
      </c>
      <c r="B9" s="169">
        <v>0.17</v>
      </c>
      <c r="C9" s="169">
        <v>25.21</v>
      </c>
      <c r="D9" s="8">
        <v>42678.291666666664</v>
      </c>
      <c r="E9" s="169">
        <v>0.59</v>
      </c>
      <c r="F9" s="169" t="s">
        <v>629</v>
      </c>
      <c r="G9" s="169">
        <v>253.48</v>
      </c>
      <c r="H9" s="169">
        <v>0</v>
      </c>
      <c r="I9" s="169">
        <v>0</v>
      </c>
      <c r="J9" s="169">
        <v>1029.71</v>
      </c>
      <c r="K9" s="169" t="s">
        <v>630</v>
      </c>
      <c r="L9" s="169">
        <v>38.42</v>
      </c>
      <c r="M9" s="169">
        <v>1478264400</v>
      </c>
      <c r="N9" s="169">
        <v>1.24</v>
      </c>
      <c r="O9" s="169">
        <v>272</v>
      </c>
      <c r="P9" s="169">
        <v>3.43</v>
      </c>
      <c r="Q9"/>
    </row>
    <row r="10" spans="1:17" x14ac:dyDescent="0.25">
      <c r="A10" s="169">
        <v>40.08</v>
      </c>
      <c r="B10" s="169">
        <v>0.16</v>
      </c>
      <c r="C10" s="169">
        <v>26.33</v>
      </c>
      <c r="D10" s="8">
        <v>42678.333333333336</v>
      </c>
      <c r="E10" s="169">
        <v>0.57999999999999996</v>
      </c>
      <c r="F10" s="169" t="s">
        <v>629</v>
      </c>
      <c r="G10" s="169">
        <v>252.89</v>
      </c>
      <c r="H10" s="169">
        <v>0</v>
      </c>
      <c r="I10" s="169">
        <v>0</v>
      </c>
      <c r="J10" s="169">
        <v>1029.77</v>
      </c>
      <c r="K10" s="169" t="s">
        <v>630</v>
      </c>
      <c r="L10" s="169">
        <v>40.08</v>
      </c>
      <c r="M10" s="169">
        <v>1478268000</v>
      </c>
      <c r="N10" s="169">
        <v>1.24</v>
      </c>
      <c r="O10" s="169">
        <v>268</v>
      </c>
      <c r="P10" s="169">
        <v>2.1800000000000002</v>
      </c>
      <c r="Q10"/>
    </row>
    <row r="11" spans="1:17" x14ac:dyDescent="0.25">
      <c r="A11" s="169">
        <v>42.08</v>
      </c>
      <c r="B11" s="169">
        <v>0.17</v>
      </c>
      <c r="C11" s="169">
        <v>26.79</v>
      </c>
      <c r="D11" s="8">
        <v>42678.375</v>
      </c>
      <c r="E11" s="169">
        <v>0.54</v>
      </c>
      <c r="F11" s="169" t="s">
        <v>629</v>
      </c>
      <c r="G11" s="169">
        <v>252.34</v>
      </c>
      <c r="H11" s="169">
        <v>0</v>
      </c>
      <c r="I11" s="169">
        <v>0</v>
      </c>
      <c r="J11" s="169">
        <v>1029.46</v>
      </c>
      <c r="K11" s="169" t="s">
        <v>630</v>
      </c>
      <c r="L11" s="169">
        <v>42.08</v>
      </c>
      <c r="M11" s="169">
        <v>1478271600</v>
      </c>
      <c r="N11" s="169">
        <v>1.24</v>
      </c>
      <c r="O11" s="169">
        <v>235</v>
      </c>
      <c r="P11" s="169">
        <v>2.4300000000000002</v>
      </c>
      <c r="Q11"/>
    </row>
    <row r="12" spans="1:17" x14ac:dyDescent="0.25">
      <c r="A12" s="169">
        <v>47.46</v>
      </c>
      <c r="B12" s="169">
        <v>0.31</v>
      </c>
      <c r="C12" s="169">
        <v>29.75</v>
      </c>
      <c r="D12" s="8">
        <v>42678.416666666664</v>
      </c>
      <c r="E12" s="169">
        <v>0.5</v>
      </c>
      <c r="F12" s="169" t="s">
        <v>629</v>
      </c>
      <c r="G12" s="169">
        <v>251.85</v>
      </c>
      <c r="H12" s="169">
        <v>0</v>
      </c>
      <c r="I12" s="169">
        <v>0</v>
      </c>
      <c r="J12" s="169">
        <v>1028.42</v>
      </c>
      <c r="K12" s="169" t="s">
        <v>630</v>
      </c>
      <c r="L12" s="169">
        <v>47.46</v>
      </c>
      <c r="M12" s="169">
        <v>1478275200</v>
      </c>
      <c r="N12" s="169">
        <v>1.24</v>
      </c>
      <c r="O12" s="169">
        <v>229</v>
      </c>
      <c r="P12" s="169">
        <v>2.27</v>
      </c>
      <c r="Q12"/>
    </row>
    <row r="13" spans="1:17" x14ac:dyDescent="0.25">
      <c r="A13" s="169">
        <v>54.66</v>
      </c>
      <c r="B13" s="169">
        <v>0.57999999999999996</v>
      </c>
      <c r="C13" s="169">
        <v>27.62</v>
      </c>
      <c r="D13" s="8">
        <v>42678.458333333336</v>
      </c>
      <c r="E13" s="169">
        <v>0.35</v>
      </c>
      <c r="F13" s="169" t="s">
        <v>629</v>
      </c>
      <c r="G13" s="169">
        <v>251.4</v>
      </c>
      <c r="H13" s="169">
        <v>0</v>
      </c>
      <c r="I13" s="169">
        <v>0</v>
      </c>
      <c r="J13" s="169">
        <v>1026.81</v>
      </c>
      <c r="K13" s="169" t="s">
        <v>630</v>
      </c>
      <c r="L13" s="169">
        <v>54.66</v>
      </c>
      <c r="M13" s="169">
        <v>1478278800</v>
      </c>
      <c r="N13" s="169">
        <v>1.24</v>
      </c>
      <c r="O13" s="169">
        <v>285</v>
      </c>
      <c r="P13" s="169">
        <v>0.98</v>
      </c>
      <c r="Q13"/>
    </row>
    <row r="14" spans="1:17" x14ac:dyDescent="0.25">
      <c r="A14" s="169">
        <v>59.69</v>
      </c>
      <c r="B14" s="169">
        <v>0.64</v>
      </c>
      <c r="C14" s="169">
        <v>26.4</v>
      </c>
      <c r="D14" s="8">
        <v>42678.5</v>
      </c>
      <c r="E14" s="169">
        <v>0.28000000000000003</v>
      </c>
      <c r="F14" s="169" t="s">
        <v>629</v>
      </c>
      <c r="G14" s="169">
        <v>250.94</v>
      </c>
      <c r="H14" s="169">
        <v>0</v>
      </c>
      <c r="I14" s="169">
        <v>0</v>
      </c>
      <c r="J14" s="169">
        <v>1025.08</v>
      </c>
      <c r="K14" s="169" t="s">
        <v>630</v>
      </c>
      <c r="L14" s="169">
        <v>59.69</v>
      </c>
      <c r="M14" s="169">
        <v>1478282400</v>
      </c>
      <c r="N14" s="169">
        <v>1.24</v>
      </c>
      <c r="O14" s="169">
        <v>314</v>
      </c>
      <c r="P14" s="169">
        <v>0.64</v>
      </c>
      <c r="Q14"/>
    </row>
    <row r="15" spans="1:17" x14ac:dyDescent="0.25">
      <c r="A15" s="169">
        <v>64.83</v>
      </c>
      <c r="B15" s="169">
        <v>0.57999999999999996</v>
      </c>
      <c r="C15" s="169">
        <v>28.1</v>
      </c>
      <c r="D15" s="8">
        <v>42678.541666666664</v>
      </c>
      <c r="E15" s="169">
        <v>0.25</v>
      </c>
      <c r="F15" s="169" t="s">
        <v>249</v>
      </c>
      <c r="G15" s="169">
        <v>250.41</v>
      </c>
      <c r="H15" s="169">
        <v>0</v>
      </c>
      <c r="I15" s="169">
        <v>0</v>
      </c>
      <c r="J15" s="169">
        <v>1023.68</v>
      </c>
      <c r="K15" s="169" t="s">
        <v>248</v>
      </c>
      <c r="L15" s="169">
        <v>64.83</v>
      </c>
      <c r="M15" s="169">
        <v>1478286000</v>
      </c>
      <c r="N15" s="169"/>
      <c r="O15" s="169">
        <v>20</v>
      </c>
      <c r="P15" s="169">
        <v>2.0099999999999998</v>
      </c>
      <c r="Q15"/>
    </row>
    <row r="16" spans="1:17" x14ac:dyDescent="0.25">
      <c r="A16" s="169">
        <v>66.59</v>
      </c>
      <c r="B16" s="169">
        <v>0.46</v>
      </c>
      <c r="C16" s="169">
        <v>29.33</v>
      </c>
      <c r="D16" s="8">
        <v>42678.583333333336</v>
      </c>
      <c r="E16" s="169">
        <v>0.25</v>
      </c>
      <c r="F16" s="169" t="s">
        <v>629</v>
      </c>
      <c r="G16" s="169">
        <v>249.86</v>
      </c>
      <c r="H16" s="169">
        <v>0</v>
      </c>
      <c r="I16" s="169">
        <v>0</v>
      </c>
      <c r="J16" s="169">
        <v>1022.49</v>
      </c>
      <c r="K16" s="169" t="s">
        <v>630</v>
      </c>
      <c r="L16" s="169">
        <v>66.59</v>
      </c>
      <c r="M16" s="169">
        <v>1478289600</v>
      </c>
      <c r="N16" s="169">
        <v>1.24</v>
      </c>
      <c r="O16" s="169">
        <v>35</v>
      </c>
      <c r="P16" s="169">
        <v>2.17</v>
      </c>
      <c r="Q16"/>
    </row>
    <row r="17" spans="1:17" x14ac:dyDescent="0.25">
      <c r="A17" s="169">
        <v>69.27</v>
      </c>
      <c r="B17" s="169">
        <v>0.28999999999999998</v>
      </c>
      <c r="C17" s="169">
        <v>31.08</v>
      </c>
      <c r="D17" s="8">
        <v>42678.625</v>
      </c>
      <c r="E17" s="169">
        <v>0.24</v>
      </c>
      <c r="F17" s="169" t="s">
        <v>249</v>
      </c>
      <c r="G17" s="169">
        <v>249.35</v>
      </c>
      <c r="H17" s="169">
        <v>0</v>
      </c>
      <c r="I17" s="169">
        <v>0</v>
      </c>
      <c r="J17" s="169">
        <v>1021.55</v>
      </c>
      <c r="K17" s="169" t="s">
        <v>248</v>
      </c>
      <c r="L17" s="169">
        <v>69.27</v>
      </c>
      <c r="M17" s="169">
        <v>1478293200</v>
      </c>
      <c r="N17" s="169">
        <v>2.83</v>
      </c>
      <c r="O17" s="169">
        <v>29</v>
      </c>
      <c r="P17" s="169">
        <v>2.2999999999999998</v>
      </c>
      <c r="Q17"/>
    </row>
    <row r="18" spans="1:17" x14ac:dyDescent="0.25">
      <c r="A18" s="169">
        <v>68.67</v>
      </c>
      <c r="B18" s="169">
        <v>0.36</v>
      </c>
      <c r="C18" s="169">
        <v>30.99</v>
      </c>
      <c r="D18" s="8">
        <v>42678.666666666664</v>
      </c>
      <c r="E18" s="169">
        <v>0.25</v>
      </c>
      <c r="F18" s="169" t="s">
        <v>249</v>
      </c>
      <c r="G18" s="169">
        <v>248.81</v>
      </c>
      <c r="H18" s="169">
        <v>0</v>
      </c>
      <c r="I18" s="169">
        <v>0</v>
      </c>
      <c r="J18" s="169">
        <v>1020.97</v>
      </c>
      <c r="K18" s="169" t="s">
        <v>248</v>
      </c>
      <c r="L18" s="169">
        <v>68.67</v>
      </c>
      <c r="M18" s="169">
        <v>1478296800</v>
      </c>
      <c r="N18" s="169">
        <v>2.86</v>
      </c>
      <c r="O18" s="169">
        <v>25</v>
      </c>
      <c r="P18" s="169">
        <v>2.2999999999999998</v>
      </c>
      <c r="Q18"/>
    </row>
    <row r="19" spans="1:17" x14ac:dyDescent="0.25">
      <c r="A19" s="169">
        <v>65.63</v>
      </c>
      <c r="B19" s="169">
        <v>0.46</v>
      </c>
      <c r="C19" s="169">
        <v>28.84</v>
      </c>
      <c r="D19" s="8">
        <v>42678.708333333336</v>
      </c>
      <c r="E19" s="169">
        <v>0.25</v>
      </c>
      <c r="F19" s="169" t="s">
        <v>249</v>
      </c>
      <c r="G19" s="169">
        <v>248.31</v>
      </c>
      <c r="H19" s="169">
        <v>0</v>
      </c>
      <c r="I19" s="169">
        <v>0</v>
      </c>
      <c r="J19" s="169">
        <v>1020.7</v>
      </c>
      <c r="K19" s="169" t="s">
        <v>248</v>
      </c>
      <c r="L19" s="169">
        <v>65.63</v>
      </c>
      <c r="M19" s="169">
        <v>1478300400</v>
      </c>
      <c r="N19" s="169">
        <v>5.03</v>
      </c>
      <c r="O19" s="169">
        <v>64</v>
      </c>
      <c r="P19" s="169">
        <v>1.1200000000000001</v>
      </c>
      <c r="Q19"/>
    </row>
    <row r="20" spans="1:17" x14ac:dyDescent="0.25">
      <c r="A20" s="169">
        <v>62.37</v>
      </c>
      <c r="B20" s="169">
        <v>0.49</v>
      </c>
      <c r="C20" s="169">
        <v>27.41</v>
      </c>
      <c r="D20" s="8">
        <v>42678.75</v>
      </c>
      <c r="E20" s="169">
        <v>0.26</v>
      </c>
      <c r="F20" s="169" t="s">
        <v>247</v>
      </c>
      <c r="G20" s="169">
        <v>248.06</v>
      </c>
      <c r="H20" s="169">
        <v>0</v>
      </c>
      <c r="I20" s="169">
        <v>0</v>
      </c>
      <c r="J20" s="169">
        <v>1020.66</v>
      </c>
      <c r="K20" s="169" t="s">
        <v>248</v>
      </c>
      <c r="L20" s="169">
        <v>62.37</v>
      </c>
      <c r="M20" s="169">
        <v>1478304000</v>
      </c>
      <c r="N20" s="169">
        <v>5.34</v>
      </c>
      <c r="O20" s="169">
        <v>55</v>
      </c>
      <c r="P20" s="169">
        <v>0.71</v>
      </c>
      <c r="Q20"/>
    </row>
    <row r="21" spans="1:17" x14ac:dyDescent="0.25">
      <c r="A21" s="169">
        <v>59.73</v>
      </c>
      <c r="B21" s="169">
        <v>0.35</v>
      </c>
      <c r="C21" s="169">
        <v>26.99</v>
      </c>
      <c r="D21" s="8">
        <v>42678.791666666664</v>
      </c>
      <c r="E21" s="169">
        <v>0.28000000000000003</v>
      </c>
      <c r="F21" s="169" t="s">
        <v>247</v>
      </c>
      <c r="G21" s="169">
        <v>248.26</v>
      </c>
      <c r="H21" s="169">
        <v>0</v>
      </c>
      <c r="I21" s="169">
        <v>0</v>
      </c>
      <c r="J21" s="169">
        <v>1020.94</v>
      </c>
      <c r="K21" s="169" t="s">
        <v>248</v>
      </c>
      <c r="L21" s="169">
        <v>59.73</v>
      </c>
      <c r="M21" s="169">
        <v>1478307600</v>
      </c>
      <c r="N21" s="169">
        <v>10</v>
      </c>
      <c r="O21" s="169">
        <v>138</v>
      </c>
      <c r="P21" s="169">
        <v>2.4900000000000002</v>
      </c>
      <c r="Q21"/>
    </row>
    <row r="22" spans="1:17" x14ac:dyDescent="0.25">
      <c r="A22" s="169">
        <v>57.07</v>
      </c>
      <c r="B22" s="169">
        <v>0.16</v>
      </c>
      <c r="C22" s="169">
        <v>26.61</v>
      </c>
      <c r="D22" s="8">
        <v>42678.833333333336</v>
      </c>
      <c r="E22" s="169">
        <v>0.31</v>
      </c>
      <c r="F22" s="169" t="s">
        <v>264</v>
      </c>
      <c r="G22" s="169">
        <v>248.71</v>
      </c>
      <c r="H22" s="169">
        <v>0</v>
      </c>
      <c r="I22" s="169">
        <v>0</v>
      </c>
      <c r="J22" s="169">
        <v>1021.69</v>
      </c>
      <c r="K22" s="169" t="s">
        <v>265</v>
      </c>
      <c r="L22" s="169">
        <v>57.07</v>
      </c>
      <c r="M22" s="169">
        <v>1478311200</v>
      </c>
      <c r="N22" s="169">
        <v>6.81</v>
      </c>
      <c r="O22" s="169">
        <v>255</v>
      </c>
      <c r="P22" s="169">
        <v>1</v>
      </c>
      <c r="Q22"/>
    </row>
    <row r="23" spans="1:17" x14ac:dyDescent="0.25">
      <c r="A23" s="169">
        <v>52.18</v>
      </c>
      <c r="B23" s="169">
        <v>0.08</v>
      </c>
      <c r="C23" s="169">
        <v>26.43</v>
      </c>
      <c r="D23" s="8">
        <v>42678.875</v>
      </c>
      <c r="E23" s="169">
        <v>0.37</v>
      </c>
      <c r="F23" s="169" t="s">
        <v>264</v>
      </c>
      <c r="G23" s="169">
        <v>249.01</v>
      </c>
      <c r="H23" s="169">
        <v>0</v>
      </c>
      <c r="I23" s="169">
        <v>0</v>
      </c>
      <c r="J23" s="169">
        <v>1022.21</v>
      </c>
      <c r="K23" s="169" t="s">
        <v>265</v>
      </c>
      <c r="L23" s="169">
        <v>52.18</v>
      </c>
      <c r="M23" s="169">
        <v>1478314800</v>
      </c>
      <c r="N23" s="169">
        <v>8.5399999999999991</v>
      </c>
      <c r="O23" s="169">
        <v>210</v>
      </c>
      <c r="P23" s="169">
        <v>2.11</v>
      </c>
      <c r="Q23"/>
    </row>
    <row r="24" spans="1:17" x14ac:dyDescent="0.25">
      <c r="A24" s="169">
        <v>51.27</v>
      </c>
      <c r="B24" s="169">
        <v>0.18</v>
      </c>
      <c r="C24" s="169">
        <v>28.05</v>
      </c>
      <c r="D24" s="8">
        <v>42678.916666666664</v>
      </c>
      <c r="E24" s="169">
        <v>0.4</v>
      </c>
      <c r="F24" s="169" t="s">
        <v>264</v>
      </c>
      <c r="G24" s="169">
        <v>248.97</v>
      </c>
      <c r="H24" s="169">
        <v>0</v>
      </c>
      <c r="I24" s="169">
        <v>0</v>
      </c>
      <c r="J24" s="169">
        <v>1022.22</v>
      </c>
      <c r="K24" s="169" t="s">
        <v>265</v>
      </c>
      <c r="L24" s="169">
        <v>51.27</v>
      </c>
      <c r="M24" s="169">
        <v>1478318400</v>
      </c>
      <c r="N24" s="169">
        <v>6.4</v>
      </c>
      <c r="O24" s="169">
        <v>212</v>
      </c>
      <c r="P24" s="169">
        <v>1.91</v>
      </c>
      <c r="Q24"/>
    </row>
    <row r="25" spans="1:17" x14ac:dyDescent="0.25">
      <c r="A25" s="169">
        <v>50.35</v>
      </c>
      <c r="B25" s="169">
        <v>0.35</v>
      </c>
      <c r="C25" s="169">
        <v>28.82</v>
      </c>
      <c r="D25" s="8">
        <v>42678.958333333336</v>
      </c>
      <c r="E25" s="169">
        <v>0.43</v>
      </c>
      <c r="F25" s="169" t="s">
        <v>247</v>
      </c>
      <c r="G25" s="169">
        <v>248.79</v>
      </c>
      <c r="H25" s="169">
        <v>0</v>
      </c>
      <c r="I25" s="169">
        <v>0</v>
      </c>
      <c r="J25" s="169">
        <v>1021.98</v>
      </c>
      <c r="K25" s="169" t="s">
        <v>248</v>
      </c>
      <c r="L25" s="169">
        <v>50.35</v>
      </c>
      <c r="M25" s="169">
        <v>1478322000</v>
      </c>
      <c r="N25" s="169">
        <v>6.66</v>
      </c>
      <c r="O25" s="169">
        <v>217</v>
      </c>
      <c r="P25" s="169">
        <v>1.63</v>
      </c>
      <c r="Q25"/>
    </row>
    <row r="26" spans="1:17" x14ac:dyDescent="0.25">
      <c r="A26" s="169">
        <v>48.88</v>
      </c>
      <c r="B26" s="169">
        <v>0.59</v>
      </c>
      <c r="C26" s="169">
        <v>29.3</v>
      </c>
      <c r="D26" s="8">
        <v>42679</v>
      </c>
      <c r="E26" s="169">
        <v>0.47</v>
      </c>
      <c r="F26" s="169" t="s">
        <v>247</v>
      </c>
      <c r="G26" s="169">
        <v>248.71</v>
      </c>
      <c r="H26" s="169">
        <v>0</v>
      </c>
      <c r="I26" s="169">
        <v>0</v>
      </c>
      <c r="J26" s="169">
        <v>1021.77</v>
      </c>
      <c r="K26" s="169" t="s">
        <v>248</v>
      </c>
      <c r="L26" s="169">
        <v>48.88</v>
      </c>
      <c r="M26" s="169">
        <v>1478325600</v>
      </c>
      <c r="N26" s="169">
        <v>6.82</v>
      </c>
      <c r="O26" s="169">
        <v>229</v>
      </c>
      <c r="P26" s="169">
        <v>2.94</v>
      </c>
      <c r="Q26"/>
    </row>
    <row r="27" spans="1:17" x14ac:dyDescent="0.25">
      <c r="A27" s="169">
        <v>46.61</v>
      </c>
      <c r="B27" s="169">
        <v>0.42</v>
      </c>
      <c r="C27" s="169">
        <v>28.53</v>
      </c>
      <c r="D27" s="8">
        <v>42679.041666666664</v>
      </c>
      <c r="E27" s="169">
        <v>0.49</v>
      </c>
      <c r="F27" s="169" t="s">
        <v>247</v>
      </c>
      <c r="G27" s="169">
        <v>248.89</v>
      </c>
      <c r="H27" s="169">
        <v>0</v>
      </c>
      <c r="I27" s="169">
        <v>0</v>
      </c>
      <c r="J27" s="169">
        <v>1021.8</v>
      </c>
      <c r="K27" s="169" t="s">
        <v>248</v>
      </c>
      <c r="L27" s="169">
        <v>46.61</v>
      </c>
      <c r="M27" s="169">
        <v>1478329200</v>
      </c>
      <c r="N27" s="169">
        <v>7.35</v>
      </c>
      <c r="O27" s="169">
        <v>226</v>
      </c>
      <c r="P27" s="169">
        <v>2.81</v>
      </c>
      <c r="Q27"/>
    </row>
    <row r="28" spans="1:17" x14ac:dyDescent="0.25">
      <c r="A28" s="169">
        <v>45.29</v>
      </c>
      <c r="B28" s="169">
        <v>0.48</v>
      </c>
      <c r="C28" s="169">
        <v>29.15</v>
      </c>
      <c r="D28" s="8">
        <v>42679.083333333336</v>
      </c>
      <c r="E28" s="169">
        <v>0.53</v>
      </c>
      <c r="F28" s="169" t="s">
        <v>247</v>
      </c>
      <c r="G28" s="169">
        <v>249.07</v>
      </c>
      <c r="H28" s="169">
        <v>0</v>
      </c>
      <c r="I28" s="169">
        <v>0</v>
      </c>
      <c r="J28" s="169">
        <v>1021.8</v>
      </c>
      <c r="K28" s="169" t="s">
        <v>248</v>
      </c>
      <c r="L28" s="169">
        <v>45.29</v>
      </c>
      <c r="M28" s="169">
        <v>1478332800</v>
      </c>
      <c r="N28" s="169">
        <v>6.88</v>
      </c>
      <c r="O28" s="169">
        <v>255</v>
      </c>
      <c r="P28" s="169">
        <v>2.84</v>
      </c>
      <c r="Q28"/>
    </row>
    <row r="29" spans="1:17" x14ac:dyDescent="0.25">
      <c r="A29" s="169">
        <v>42.97</v>
      </c>
      <c r="B29" s="169">
        <v>0.38</v>
      </c>
      <c r="C29" s="169">
        <v>29.85</v>
      </c>
      <c r="D29" s="8">
        <v>42679.125</v>
      </c>
      <c r="E29" s="169">
        <v>0.56999999999999995</v>
      </c>
      <c r="F29" s="169" t="s">
        <v>247</v>
      </c>
      <c r="G29" s="169">
        <v>249.25</v>
      </c>
      <c r="H29" s="169">
        <v>0</v>
      </c>
      <c r="I29" s="169">
        <v>0</v>
      </c>
      <c r="J29" s="169">
        <v>1021.77</v>
      </c>
      <c r="K29" s="169" t="s">
        <v>248</v>
      </c>
      <c r="L29" s="169">
        <v>44.27</v>
      </c>
      <c r="M29" s="169">
        <v>1478336400</v>
      </c>
      <c r="N29" s="169">
        <v>4.8099999999999996</v>
      </c>
      <c r="O29" s="169">
        <v>244</v>
      </c>
      <c r="P29" s="169">
        <v>3.22</v>
      </c>
      <c r="Q29"/>
    </row>
    <row r="31" spans="1:17" x14ac:dyDescent="0.25">
      <c r="A31" s="136" t="s">
        <v>220</v>
      </c>
    </row>
    <row r="33" spans="1:1" x14ac:dyDescent="0.25">
      <c r="A33" s="136" t="s">
        <v>196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99</v>
      </c>
      <c r="D1" s="146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42678</v>
      </c>
      <c r="B2" s="4"/>
      <c r="C2" s="147">
        <v>50</v>
      </c>
      <c r="D2" s="148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5" t="s">
        <v>99</v>
      </c>
      <c r="D4" s="146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222</v>
      </c>
      <c r="J17" s="33"/>
      <c r="K17" s="34"/>
      <c r="L17" s="34"/>
    </row>
    <row r="18" spans="3:13" x14ac:dyDescent="0.25">
      <c r="C18" t="s">
        <v>777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778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779</v>
      </c>
      <c r="J20" t="s">
        <v>87</v>
      </c>
      <c r="M20" s="68" t="s">
        <v>800</v>
      </c>
    </row>
    <row r="21" spans="3:13" x14ac:dyDescent="0.25">
      <c r="C21" t="s">
        <v>780</v>
      </c>
      <c r="J21" s="21" t="s">
        <v>90</v>
      </c>
      <c r="K21" s="21" t="s">
        <v>91</v>
      </c>
      <c r="M21" s="68" t="s">
        <v>187</v>
      </c>
    </row>
    <row r="22" spans="3:13" x14ac:dyDescent="0.25">
      <c r="C22" t="s">
        <v>781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782</v>
      </c>
      <c r="J23" s="29" t="s">
        <v>95</v>
      </c>
      <c r="K23" s="21"/>
      <c r="M23" s="69">
        <v>-6</v>
      </c>
    </row>
    <row r="24" spans="3:13" x14ac:dyDescent="0.25">
      <c r="C24" t="s">
        <v>783</v>
      </c>
      <c r="J24" s="21" t="s">
        <v>108</v>
      </c>
      <c r="K24" s="21"/>
      <c r="M24" s="68" t="s">
        <v>110</v>
      </c>
    </row>
    <row r="25" spans="3:13" x14ac:dyDescent="0.25">
      <c r="C25" t="s">
        <v>784</v>
      </c>
      <c r="J25" t="s">
        <v>151</v>
      </c>
      <c r="M25" s="68" t="b">
        <v>1</v>
      </c>
    </row>
    <row r="26" spans="3:13" x14ac:dyDescent="0.25">
      <c r="C26" t="s">
        <v>785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C:\Users\stu\Documents\GitHub\eaglep3-reporting\EC\2016-11-04-refined-times.txt</v>
      </c>
    </row>
    <row r="27" spans="3:13" x14ac:dyDescent="0.25">
      <c r="C27" t="s">
        <v>786</v>
      </c>
      <c r="J27" t="s">
        <v>197</v>
      </c>
      <c r="M27" s="68" t="str">
        <f>"C:\Users\stu\Documents\GitHub\eaglep3-reporting\EC\"&amp;TEXT(A2,"YYYY-MM-DD")&amp;"-Enforcements.txt"</f>
        <v>C:\Users\stu\Documents\GitHub\eaglep3-reporting\EC\2016-11-04-Enforcements.txt</v>
      </c>
    </row>
    <row r="28" spans="3:13" x14ac:dyDescent="0.25">
      <c r="J28" t="s">
        <v>198</v>
      </c>
      <c r="M28" s="106" t="str">
        <f>"C:\Users\stu\Documents\GitHub\eaglep3-reporting\EC\"&amp;TEXT(A2,"YYYY-MM-DD")&amp;"-Runs-Refined.txt"</f>
        <v>C:\Users\stu\Documents\GitHub\eaglep3-reporting\EC\2016-11-04-Runs-Refined.txt</v>
      </c>
    </row>
    <row r="29" spans="3:13" x14ac:dyDescent="0.25">
      <c r="J29" t="s">
        <v>199</v>
      </c>
      <c r="M29" s="106" t="str">
        <f>"C:\Users\stu\Documents\GitHub\eaglep3-reporting\EC\"&amp;TEXT(A2,"YYYY-MM-DD")&amp;"-Trips.txt"</f>
        <v>C:\Users\stu\Documents\GitHub\eaglep3-reporting\EC\2016-11-04-Trips.txt</v>
      </c>
    </row>
    <row r="30" spans="3:13" x14ac:dyDescent="0.25">
      <c r="J30" t="s">
        <v>200</v>
      </c>
      <c r="M30" s="106" t="str">
        <f>"C:\Users\stu\Documents\GitHub\eaglep3-reporting\EC\"&amp;TEXT(A2,"YYYY-MM-DD")&amp;"-Weather.txt"</f>
        <v>C:\Users\stu\Documents\GitHub\eaglep3-reporting\EC\2016-11-04-Weather.txt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C16" sqref="C16"/>
    </sheetView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122</v>
      </c>
      <c r="B1" s="115" t="s">
        <v>123</v>
      </c>
      <c r="C1" s="116" t="s">
        <v>124</v>
      </c>
      <c r="H1" t="s">
        <v>118</v>
      </c>
      <c r="I1" s="117" t="s">
        <v>120</v>
      </c>
      <c r="J1"/>
    </row>
    <row r="2" spans="1:11" x14ac:dyDescent="0.25">
      <c r="A2" s="116" t="s">
        <v>125</v>
      </c>
      <c r="B2" s="116" t="s">
        <v>126</v>
      </c>
      <c r="C2" s="116" t="s">
        <v>127</v>
      </c>
      <c r="H2" t="s">
        <v>119</v>
      </c>
      <c r="I2" s="106" t="s">
        <v>121</v>
      </c>
      <c r="J2"/>
    </row>
    <row r="3" spans="1:11" x14ac:dyDescent="0.25">
      <c r="A3" s="116" t="s">
        <v>128</v>
      </c>
      <c r="B3" s="116" t="s">
        <v>129</v>
      </c>
      <c r="C3" s="116" t="s">
        <v>130</v>
      </c>
      <c r="H3" t="s">
        <v>144</v>
      </c>
      <c r="I3" s="106">
        <v>1</v>
      </c>
      <c r="J3"/>
      <c r="K3" s="68"/>
    </row>
    <row r="4" spans="1:11" x14ac:dyDescent="0.25">
      <c r="A4" s="116" t="s">
        <v>131</v>
      </c>
      <c r="C4" s="116" t="s">
        <v>132</v>
      </c>
      <c r="H4" t="s">
        <v>145</v>
      </c>
      <c r="I4" s="106">
        <v>2</v>
      </c>
      <c r="J4"/>
      <c r="K4" s="68"/>
    </row>
    <row r="5" spans="1:11" x14ac:dyDescent="0.25">
      <c r="A5" s="116" t="s">
        <v>133</v>
      </c>
      <c r="C5" s="116" t="s">
        <v>134</v>
      </c>
      <c r="H5" t="s">
        <v>146</v>
      </c>
      <c r="I5" s="106">
        <v>23</v>
      </c>
      <c r="J5"/>
      <c r="K5" s="68"/>
    </row>
    <row r="6" spans="1:11" x14ac:dyDescent="0.25">
      <c r="A6" s="116" t="s">
        <v>135</v>
      </c>
      <c r="C6" s="116" t="s">
        <v>136</v>
      </c>
      <c r="H6" s="119" t="s">
        <v>147</v>
      </c>
      <c r="I6" s="120" t="s">
        <v>126</v>
      </c>
    </row>
    <row r="7" spans="1:11" x14ac:dyDescent="0.25">
      <c r="A7" s="116" t="s">
        <v>137</v>
      </c>
      <c r="C7" s="116" t="s">
        <v>138</v>
      </c>
    </row>
    <row r="8" spans="1:11" x14ac:dyDescent="0.25">
      <c r="C8" s="116" t="s">
        <v>139</v>
      </c>
    </row>
    <row r="9" spans="1:11" x14ac:dyDescent="0.25">
      <c r="C9" s="119" t="s">
        <v>178</v>
      </c>
    </row>
    <row r="10" spans="1:11" x14ac:dyDescent="0.25">
      <c r="C10" s="116" t="s">
        <v>140</v>
      </c>
    </row>
    <row r="11" spans="1:11" x14ac:dyDescent="0.25">
      <c r="C11" s="116" t="s">
        <v>141</v>
      </c>
    </row>
    <row r="12" spans="1:11" x14ac:dyDescent="0.25">
      <c r="C12" s="116" t="s">
        <v>142</v>
      </c>
    </row>
    <row r="13" spans="1:11" x14ac:dyDescent="0.25">
      <c r="C13" s="116" t="s">
        <v>143</v>
      </c>
    </row>
    <row r="14" spans="1:11" x14ac:dyDescent="0.25">
      <c r="C14" s="119" t="s">
        <v>179</v>
      </c>
    </row>
    <row r="15" spans="1:11" x14ac:dyDescent="0.25">
      <c r="C15" s="119" t="s">
        <v>284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2016-11-07T18:31:59Z</dcterms:modified>
</cp:coreProperties>
</file>