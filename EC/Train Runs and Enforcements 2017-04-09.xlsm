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Enforcements!$A$6:$AC$61</definedName>
    <definedName name="_xlnm._FilterDatabase" localSheetId="2" hidden="1">'Missing Trips'!$A$2:$J$85</definedName>
    <definedName name="_xlnm._FilterDatabase" localSheetId="0" hidden="1">'Train Runs'!$A$12:$AG$261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Runs'!$A$12:$J$61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39" i="1" l="1"/>
  <c r="L139" i="1"/>
  <c r="M139" i="1"/>
  <c r="P139" i="1" s="1"/>
  <c r="V139" i="1"/>
  <c r="AA139" i="1"/>
  <c r="AB139" i="1"/>
  <c r="AC139" i="1"/>
  <c r="AD139" i="1"/>
  <c r="T139" i="1" s="1"/>
  <c r="AE139" i="1"/>
  <c r="AF139" i="1"/>
  <c r="AH139" i="1"/>
  <c r="AM139" i="1"/>
  <c r="AN139" i="1"/>
  <c r="AG139" i="1" l="1"/>
  <c r="B3" i="6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A15" i="1" s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X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A41" i="1" s="1"/>
  <c r="W41" i="1" s="1"/>
  <c r="AB41" i="1"/>
  <c r="AC41" i="1"/>
  <c r="AD41" i="1"/>
  <c r="AG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P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A45" i="1" s="1"/>
  <c r="W45" i="1" s="1"/>
  <c r="AB45" i="1"/>
  <c r="AC45" i="1"/>
  <c r="AD45" i="1"/>
  <c r="AG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G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R9" i="3" s="1"/>
  <c r="AF53" i="1"/>
  <c r="AH53" i="1"/>
  <c r="AM53" i="1"/>
  <c r="AN53" i="1"/>
  <c r="K54" i="1"/>
  <c r="L54" i="1"/>
  <c r="M54" i="1"/>
  <c r="N54" i="1" s="1"/>
  <c r="V54" i="1"/>
  <c r="S22" i="3" s="1"/>
  <c r="Y54" i="1"/>
  <c r="Z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P63" i="1" s="1"/>
  <c r="V63" i="1"/>
  <c r="Y63" i="1"/>
  <c r="Z63" i="1"/>
  <c r="AB63" i="1"/>
  <c r="AC63" i="1"/>
  <c r="AD63" i="1"/>
  <c r="AG63" i="1" s="1"/>
  <c r="AE63" i="1"/>
  <c r="AF63" i="1"/>
  <c r="AH63" i="1"/>
  <c r="AM63" i="1"/>
  <c r="AN63" i="1"/>
  <c r="K64" i="1"/>
  <c r="L64" i="1"/>
  <c r="M64" i="1"/>
  <c r="V64" i="1"/>
  <c r="Y64" i="1"/>
  <c r="Z64" i="1"/>
  <c r="AB64" i="1"/>
  <c r="AC64" i="1"/>
  <c r="AD64" i="1"/>
  <c r="T64" i="1" s="1"/>
  <c r="AE64" i="1"/>
  <c r="R13" i="3" s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T68" i="1"/>
  <c r="V68" i="1"/>
  <c r="Y68" i="1"/>
  <c r="Z68" i="1"/>
  <c r="AA68" i="1" s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R12" i="3" s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A82" i="1" s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G90" i="1"/>
  <c r="AI90" i="1" s="1"/>
  <c r="AH90" i="1"/>
  <c r="AM90" i="1"/>
  <c r="AN90" i="1"/>
  <c r="K91" i="1"/>
  <c r="L91" i="1"/>
  <c r="M91" i="1"/>
  <c r="N91" i="1"/>
  <c r="V91" i="1"/>
  <c r="Y91" i="1"/>
  <c r="Z91" i="1"/>
  <c r="AB91" i="1"/>
  <c r="AC91" i="1"/>
  <c r="AD91" i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94" i="1"/>
  <c r="AM94" i="1"/>
  <c r="AN94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95" i="1"/>
  <c r="AM95" i="1"/>
  <c r="AN95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96" i="1"/>
  <c r="AM96" i="1"/>
  <c r="AN96" i="1"/>
  <c r="K165" i="1"/>
  <c r="L165" i="1"/>
  <c r="M165" i="1"/>
  <c r="N165" i="1" s="1"/>
  <c r="V165" i="1"/>
  <c r="Y165" i="1"/>
  <c r="Z165" i="1"/>
  <c r="AI165" i="1" s="1"/>
  <c r="AB165" i="1"/>
  <c r="AC165" i="1"/>
  <c r="AD165" i="1"/>
  <c r="AG165" i="1" s="1"/>
  <c r="AE165" i="1"/>
  <c r="AF165" i="1"/>
  <c r="AH97" i="1"/>
  <c r="AM97" i="1"/>
  <c r="AN97" i="1"/>
  <c r="K166" i="1"/>
  <c r="L166" i="1"/>
  <c r="M166" i="1"/>
  <c r="N166" i="1" s="1"/>
  <c r="V166" i="1"/>
  <c r="Y166" i="1"/>
  <c r="Z166" i="1"/>
  <c r="AB166" i="1"/>
  <c r="AC166" i="1"/>
  <c r="AD166" i="1"/>
  <c r="X166" i="1" s="1"/>
  <c r="AE166" i="1"/>
  <c r="AF166" i="1"/>
  <c r="AH98" i="1"/>
  <c r="AM98" i="1"/>
  <c r="AN98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99" i="1"/>
  <c r="AM99" i="1"/>
  <c r="AN99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0" i="1"/>
  <c r="AM100" i="1"/>
  <c r="AN100" i="1"/>
  <c r="K169" i="1"/>
  <c r="L169" i="1"/>
  <c r="M169" i="1"/>
  <c r="N169" i="1" s="1"/>
  <c r="V169" i="1"/>
  <c r="Y169" i="1"/>
  <c r="Z169" i="1"/>
  <c r="AA169" i="1" s="1"/>
  <c r="AB169" i="1"/>
  <c r="AC169" i="1"/>
  <c r="AD169" i="1"/>
  <c r="AG169" i="1" s="1"/>
  <c r="AE169" i="1"/>
  <c r="AF169" i="1"/>
  <c r="AH101" i="1"/>
  <c r="AM101" i="1"/>
  <c r="AN101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2" i="1"/>
  <c r="AM102" i="1"/>
  <c r="AN102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03" i="1"/>
  <c r="AM103" i="1"/>
  <c r="AN10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104" i="1"/>
  <c r="AM104" i="1"/>
  <c r="AN104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105" i="1"/>
  <c r="AM105" i="1"/>
  <c r="AN105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06" i="1"/>
  <c r="AM106" i="1"/>
  <c r="AN106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07" i="1"/>
  <c r="AM107" i="1"/>
  <c r="AN107" i="1"/>
  <c r="K175" i="1"/>
  <c r="L175" i="1"/>
  <c r="M175" i="1"/>
  <c r="N175" i="1" s="1"/>
  <c r="V175" i="1"/>
  <c r="Y175" i="1"/>
  <c r="Z175" i="1"/>
  <c r="AA175" i="1" s="1"/>
  <c r="AB175" i="1"/>
  <c r="AC175" i="1"/>
  <c r="AD175" i="1"/>
  <c r="AG175" i="1" s="1"/>
  <c r="AE175" i="1"/>
  <c r="AF175" i="1"/>
  <c r="AH108" i="1"/>
  <c r="AM108" i="1"/>
  <c r="AN108" i="1"/>
  <c r="K176" i="1"/>
  <c r="L176" i="1"/>
  <c r="M176" i="1"/>
  <c r="P176" i="1" s="1"/>
  <c r="V176" i="1"/>
  <c r="Y176" i="1"/>
  <c r="Z176" i="1"/>
  <c r="AB176" i="1"/>
  <c r="AC176" i="1"/>
  <c r="AD176" i="1"/>
  <c r="AG176" i="1" s="1"/>
  <c r="AE176" i="1"/>
  <c r="AF176" i="1"/>
  <c r="AH109" i="1"/>
  <c r="AM109" i="1"/>
  <c r="AN109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10" i="1"/>
  <c r="AM110" i="1"/>
  <c r="AN110" i="1"/>
  <c r="K178" i="1"/>
  <c r="L178" i="1"/>
  <c r="M178" i="1"/>
  <c r="P178" i="1" s="1"/>
  <c r="V178" i="1"/>
  <c r="Y178" i="1"/>
  <c r="AB178" i="1"/>
  <c r="AC178" i="1"/>
  <c r="AD178" i="1"/>
  <c r="AG178" i="1" s="1"/>
  <c r="AE178" i="1"/>
  <c r="AF178" i="1"/>
  <c r="AH111" i="1"/>
  <c r="AM111" i="1"/>
  <c r="AN111" i="1"/>
  <c r="K179" i="1"/>
  <c r="L179" i="1"/>
  <c r="M179" i="1"/>
  <c r="P179" i="1" s="1"/>
  <c r="V179" i="1"/>
  <c r="Y179" i="1"/>
  <c r="AB179" i="1"/>
  <c r="AC179" i="1"/>
  <c r="AD179" i="1"/>
  <c r="AE179" i="1"/>
  <c r="AF179" i="1"/>
  <c r="AH112" i="1"/>
  <c r="AM112" i="1"/>
  <c r="AN112" i="1"/>
  <c r="K180" i="1"/>
  <c r="L180" i="1"/>
  <c r="M180" i="1"/>
  <c r="P180" i="1" s="1"/>
  <c r="V180" i="1"/>
  <c r="Y180" i="1"/>
  <c r="AB180" i="1"/>
  <c r="AC180" i="1"/>
  <c r="AD180" i="1"/>
  <c r="T180" i="1" s="1"/>
  <c r="AE180" i="1"/>
  <c r="AF180" i="1"/>
  <c r="AH113" i="1"/>
  <c r="AM113" i="1"/>
  <c r="AN113" i="1"/>
  <c r="K181" i="1"/>
  <c r="L181" i="1"/>
  <c r="M181" i="1"/>
  <c r="P181" i="1" s="1"/>
  <c r="V181" i="1"/>
  <c r="Y181" i="1"/>
  <c r="AB181" i="1"/>
  <c r="AC181" i="1"/>
  <c r="AD181" i="1"/>
  <c r="AE181" i="1"/>
  <c r="AF181" i="1"/>
  <c r="AH114" i="1"/>
  <c r="AM114" i="1"/>
  <c r="AN11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115" i="1"/>
  <c r="AM115" i="1"/>
  <c r="AN115" i="1"/>
  <c r="K182" i="1"/>
  <c r="L182" i="1"/>
  <c r="M182" i="1"/>
  <c r="P182" i="1" s="1"/>
  <c r="V182" i="1"/>
  <c r="Y182" i="1"/>
  <c r="AB182" i="1"/>
  <c r="AC182" i="1"/>
  <c r="AD182" i="1"/>
  <c r="T182" i="1" s="1"/>
  <c r="AE182" i="1"/>
  <c r="AF182" i="1"/>
  <c r="AH116" i="1"/>
  <c r="AM116" i="1"/>
  <c r="AN116" i="1"/>
  <c r="K183" i="1"/>
  <c r="L183" i="1"/>
  <c r="M183" i="1"/>
  <c r="P183" i="1" s="1"/>
  <c r="V183" i="1"/>
  <c r="Y183" i="1"/>
  <c r="AB183" i="1"/>
  <c r="AC183" i="1"/>
  <c r="AD183" i="1"/>
  <c r="T183" i="1" s="1"/>
  <c r="AE183" i="1"/>
  <c r="AF183" i="1"/>
  <c r="AH117" i="1"/>
  <c r="AM117" i="1"/>
  <c r="AN117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18" i="1"/>
  <c r="AM118" i="1"/>
  <c r="AN118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119" i="1"/>
  <c r="AM119" i="1"/>
  <c r="AN119" i="1"/>
  <c r="K186" i="1"/>
  <c r="L186" i="1"/>
  <c r="M186" i="1"/>
  <c r="N186" i="1" s="1"/>
  <c r="T186" i="1"/>
  <c r="V186" i="1"/>
  <c r="X186" i="1"/>
  <c r="Y186" i="1"/>
  <c r="Z186" i="1"/>
  <c r="AB186" i="1"/>
  <c r="AC186" i="1"/>
  <c r="AD186" i="1"/>
  <c r="AE186" i="1"/>
  <c r="AF186" i="1"/>
  <c r="AG186" i="1"/>
  <c r="AI186" i="1" s="1"/>
  <c r="AH120" i="1"/>
  <c r="AM120" i="1"/>
  <c r="AN120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21" i="1"/>
  <c r="AM121" i="1"/>
  <c r="AN121" i="1"/>
  <c r="K188" i="1"/>
  <c r="L188" i="1"/>
  <c r="M188" i="1"/>
  <c r="N188" i="1" s="1"/>
  <c r="V188" i="1"/>
  <c r="Y188" i="1"/>
  <c r="Z188" i="1"/>
  <c r="AA188" i="1" s="1"/>
  <c r="AB188" i="1"/>
  <c r="AC188" i="1"/>
  <c r="AD188" i="1"/>
  <c r="T188" i="1" s="1"/>
  <c r="AE188" i="1"/>
  <c r="AF188" i="1"/>
  <c r="AH122" i="1"/>
  <c r="AM122" i="1"/>
  <c r="AN122" i="1"/>
  <c r="K189" i="1"/>
  <c r="L189" i="1"/>
  <c r="M189" i="1"/>
  <c r="N189" i="1"/>
  <c r="V189" i="1"/>
  <c r="Y189" i="1"/>
  <c r="Z189" i="1"/>
  <c r="AB189" i="1"/>
  <c r="AC189" i="1"/>
  <c r="AD189" i="1"/>
  <c r="AG189" i="1" s="1"/>
  <c r="AE189" i="1"/>
  <c r="AF189" i="1"/>
  <c r="AH123" i="1"/>
  <c r="AM123" i="1"/>
  <c r="AN123" i="1"/>
  <c r="K190" i="1"/>
  <c r="L190" i="1"/>
  <c r="M190" i="1"/>
  <c r="N190" i="1" s="1"/>
  <c r="V190" i="1"/>
  <c r="Y190" i="1"/>
  <c r="Z190" i="1"/>
  <c r="AB190" i="1"/>
  <c r="AC190" i="1"/>
  <c r="AD190" i="1"/>
  <c r="X190" i="1" s="1"/>
  <c r="AE190" i="1"/>
  <c r="AF190" i="1"/>
  <c r="AH124" i="1"/>
  <c r="AM124" i="1"/>
  <c r="AN124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25" i="1"/>
  <c r="AM125" i="1"/>
  <c r="AN12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126" i="1"/>
  <c r="AM126" i="1"/>
  <c r="AN126" i="1"/>
  <c r="K192" i="1"/>
  <c r="L192" i="1"/>
  <c r="M192" i="1"/>
  <c r="N192" i="1" s="1"/>
  <c r="V192" i="1"/>
  <c r="Y192" i="1"/>
  <c r="Z192" i="1"/>
  <c r="AI192" i="1" s="1"/>
  <c r="AB192" i="1"/>
  <c r="AC192" i="1"/>
  <c r="AD192" i="1"/>
  <c r="AG192" i="1" s="1"/>
  <c r="AE192" i="1"/>
  <c r="AF192" i="1"/>
  <c r="AH127" i="1"/>
  <c r="AM127" i="1"/>
  <c r="AN127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28" i="1"/>
  <c r="AM128" i="1"/>
  <c r="AN128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29" i="1"/>
  <c r="AM129" i="1"/>
  <c r="AN129" i="1"/>
  <c r="K195" i="1"/>
  <c r="L195" i="1"/>
  <c r="M195" i="1"/>
  <c r="N195" i="1" s="1"/>
  <c r="V195" i="1"/>
  <c r="Y195" i="1"/>
  <c r="AA195" i="1" s="1"/>
  <c r="Z195" i="1"/>
  <c r="AB195" i="1"/>
  <c r="AC195" i="1"/>
  <c r="AD195" i="1"/>
  <c r="T195" i="1" s="1"/>
  <c r="AE195" i="1"/>
  <c r="AF195" i="1"/>
  <c r="AH130" i="1"/>
  <c r="AM130" i="1"/>
  <c r="AN130" i="1"/>
  <c r="K97" i="1"/>
  <c r="L97" i="1"/>
  <c r="M97" i="1"/>
  <c r="N97" i="1" s="1"/>
  <c r="V97" i="1"/>
  <c r="S7" i="3" s="1"/>
  <c r="Y97" i="1"/>
  <c r="Z97" i="1"/>
  <c r="AB97" i="1"/>
  <c r="AC97" i="1"/>
  <c r="AD97" i="1"/>
  <c r="AG97" i="1" s="1"/>
  <c r="AE97" i="1"/>
  <c r="AF97" i="1"/>
  <c r="AH131" i="1"/>
  <c r="AM131" i="1"/>
  <c r="AN131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2" i="1"/>
  <c r="AM132" i="1"/>
  <c r="AN132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33" i="1"/>
  <c r="AM133" i="1"/>
  <c r="AN133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34" i="1"/>
  <c r="AM134" i="1"/>
  <c r="AN134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35" i="1"/>
  <c r="AM135" i="1"/>
  <c r="AN135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36" i="1"/>
  <c r="AM136" i="1"/>
  <c r="AN136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37" i="1"/>
  <c r="AM137" i="1"/>
  <c r="AN137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38" i="1"/>
  <c r="AM138" i="1"/>
  <c r="AN138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140" i="1"/>
  <c r="AM140" i="1"/>
  <c r="AN140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41" i="1"/>
  <c r="AM141" i="1"/>
  <c r="AN141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2" i="1"/>
  <c r="AM142" i="1"/>
  <c r="AN142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3" i="1"/>
  <c r="AM143" i="1"/>
  <c r="AN143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44" i="1"/>
  <c r="AM144" i="1"/>
  <c r="AN144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45" i="1"/>
  <c r="AM145" i="1"/>
  <c r="AN145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6" i="1"/>
  <c r="AM146" i="1"/>
  <c r="AN146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47" i="1"/>
  <c r="AM147" i="1"/>
  <c r="AN147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48" i="1"/>
  <c r="AM148" i="1"/>
  <c r="AN148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49" i="1"/>
  <c r="AM149" i="1"/>
  <c r="AN149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K114" i="1"/>
  <c r="L114" i="1"/>
  <c r="M114" i="1"/>
  <c r="N114" i="1" s="1"/>
  <c r="V114" i="1"/>
  <c r="S28" i="3" s="1"/>
  <c r="Y114" i="1"/>
  <c r="Z114" i="1"/>
  <c r="AB114" i="1"/>
  <c r="AC114" i="1"/>
  <c r="AD114" i="1"/>
  <c r="T114" i="1" s="1"/>
  <c r="AE114" i="1"/>
  <c r="AF114" i="1"/>
  <c r="AH150" i="1"/>
  <c r="AM150" i="1"/>
  <c r="AN150" i="1"/>
  <c r="K115" i="1"/>
  <c r="L115" i="1"/>
  <c r="M115" i="1"/>
  <c r="P115" i="1" s="1"/>
  <c r="V115" i="1"/>
  <c r="Y115" i="1"/>
  <c r="Z115" i="1"/>
  <c r="AB115" i="1"/>
  <c r="AC115" i="1"/>
  <c r="AD115" i="1"/>
  <c r="AG115" i="1" s="1"/>
  <c r="AE115" i="1"/>
  <c r="AF115" i="1"/>
  <c r="AH151" i="1"/>
  <c r="AM151" i="1"/>
  <c r="AN151" i="1"/>
  <c r="K116" i="1"/>
  <c r="L116" i="1"/>
  <c r="M116" i="1"/>
  <c r="V116" i="1"/>
  <c r="Y116" i="1"/>
  <c r="Z116" i="1"/>
  <c r="AB116" i="1"/>
  <c r="AC116" i="1"/>
  <c r="AD116" i="1"/>
  <c r="AE116" i="1"/>
  <c r="AF116" i="1"/>
  <c r="AH152" i="1"/>
  <c r="AM152" i="1"/>
  <c r="AN152" i="1"/>
  <c r="K117" i="1"/>
  <c r="L117" i="1"/>
  <c r="M117" i="1"/>
  <c r="V117" i="1"/>
  <c r="Y117" i="1"/>
  <c r="Z117" i="1"/>
  <c r="AB117" i="1"/>
  <c r="AC117" i="1"/>
  <c r="AD117" i="1"/>
  <c r="AE117" i="1"/>
  <c r="AF117" i="1"/>
  <c r="AH153" i="1"/>
  <c r="AM153" i="1"/>
  <c r="AN153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54" i="1"/>
  <c r="AM154" i="1"/>
  <c r="AN154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55" i="1"/>
  <c r="AM155" i="1"/>
  <c r="AN155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6" i="1"/>
  <c r="AM156" i="1"/>
  <c r="AN156" i="1"/>
  <c r="K121" i="1"/>
  <c r="L121" i="1"/>
  <c r="M121" i="1"/>
  <c r="N121" i="1" s="1"/>
  <c r="V121" i="1"/>
  <c r="S17" i="3" s="1"/>
  <c r="Y121" i="1"/>
  <c r="Z121" i="1"/>
  <c r="AB121" i="1"/>
  <c r="AC121" i="1"/>
  <c r="AD121" i="1"/>
  <c r="T121" i="1" s="1"/>
  <c r="AE121" i="1"/>
  <c r="AF121" i="1"/>
  <c r="AH157" i="1"/>
  <c r="AM157" i="1"/>
  <c r="AN157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58" i="1"/>
  <c r="AM158" i="1"/>
  <c r="AN158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59" i="1"/>
  <c r="AM159" i="1"/>
  <c r="AN159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60" i="1"/>
  <c r="AM160" i="1"/>
  <c r="AN160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61" i="1"/>
  <c r="AM161" i="1"/>
  <c r="AN161" i="1"/>
  <c r="K126" i="1"/>
  <c r="L126" i="1"/>
  <c r="M126" i="1"/>
  <c r="P126" i="1" s="1"/>
  <c r="V126" i="1"/>
  <c r="S10" i="3" s="1"/>
  <c r="Y126" i="1"/>
  <c r="Z126" i="1"/>
  <c r="AB126" i="1"/>
  <c r="AC126" i="1"/>
  <c r="AD126" i="1"/>
  <c r="T126" i="1" s="1"/>
  <c r="AE126" i="1"/>
  <c r="AF126" i="1"/>
  <c r="K127" i="1"/>
  <c r="L127" i="1"/>
  <c r="M127" i="1"/>
  <c r="V127" i="1"/>
  <c r="Y127" i="1"/>
  <c r="Z127" i="1"/>
  <c r="AB127" i="1"/>
  <c r="AC127" i="1"/>
  <c r="AD127" i="1"/>
  <c r="AG127" i="1" s="1"/>
  <c r="AE127" i="1"/>
  <c r="AF127" i="1"/>
  <c r="AH162" i="1"/>
  <c r="AM162" i="1"/>
  <c r="AN162" i="1"/>
  <c r="K128" i="1"/>
  <c r="L128" i="1"/>
  <c r="M128" i="1"/>
  <c r="V128" i="1"/>
  <c r="Y128" i="1"/>
  <c r="Z128" i="1"/>
  <c r="AB128" i="1"/>
  <c r="AC128" i="1"/>
  <c r="AD128" i="1"/>
  <c r="T128" i="1" s="1"/>
  <c r="AE128" i="1"/>
  <c r="AF128" i="1"/>
  <c r="AH163" i="1"/>
  <c r="AI163" i="1"/>
  <c r="AM163" i="1"/>
  <c r="AN163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4" i="1"/>
  <c r="AM164" i="1"/>
  <c r="AN164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5" i="1"/>
  <c r="AM165" i="1"/>
  <c r="AN165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66" i="1"/>
  <c r="AM166" i="1"/>
  <c r="AN166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67" i="1"/>
  <c r="AM167" i="1"/>
  <c r="AN167" i="1"/>
  <c r="K133" i="1"/>
  <c r="L133" i="1"/>
  <c r="M133" i="1"/>
  <c r="N133" i="1" s="1"/>
  <c r="V133" i="1"/>
  <c r="S18" i="3" s="1"/>
  <c r="Y133" i="1"/>
  <c r="Z133" i="1"/>
  <c r="AB133" i="1"/>
  <c r="AC133" i="1"/>
  <c r="AD133" i="1"/>
  <c r="T133" i="1" s="1"/>
  <c r="AE133" i="1"/>
  <c r="AF133" i="1"/>
  <c r="AH168" i="1"/>
  <c r="AM168" i="1"/>
  <c r="AN168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69" i="1"/>
  <c r="AM169" i="1"/>
  <c r="AN169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70" i="1"/>
  <c r="AM170" i="1"/>
  <c r="AN170" i="1"/>
  <c r="K136" i="1"/>
  <c r="L136" i="1"/>
  <c r="M136" i="1"/>
  <c r="N136" i="1" s="1"/>
  <c r="V136" i="1"/>
  <c r="S29" i="3" s="1"/>
  <c r="Y136" i="1"/>
  <c r="Z136" i="1"/>
  <c r="AB136" i="1"/>
  <c r="AC136" i="1"/>
  <c r="AD136" i="1"/>
  <c r="T136" i="1" s="1"/>
  <c r="AE136" i="1"/>
  <c r="AF136" i="1"/>
  <c r="AH171" i="1"/>
  <c r="AM171" i="1"/>
  <c r="AN171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2" i="1"/>
  <c r="AM172" i="1"/>
  <c r="AN172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3" i="1"/>
  <c r="AM173" i="1"/>
  <c r="AN173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74" i="1"/>
  <c r="AM174" i="1"/>
  <c r="AN174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75" i="1"/>
  <c r="AI175" i="1"/>
  <c r="AM175" i="1"/>
  <c r="AN175" i="1"/>
  <c r="K142" i="1"/>
  <c r="L142" i="1"/>
  <c r="M142" i="1"/>
  <c r="N142" i="1" s="1"/>
  <c r="V142" i="1"/>
  <c r="Y142" i="1"/>
  <c r="Z142" i="1"/>
  <c r="AA142" i="1" s="1"/>
  <c r="AB142" i="1"/>
  <c r="AC142" i="1"/>
  <c r="AD142" i="1"/>
  <c r="AE142" i="1"/>
  <c r="AF142" i="1"/>
  <c r="AH176" i="1"/>
  <c r="AM176" i="1"/>
  <c r="AN176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77" i="1"/>
  <c r="AM177" i="1"/>
  <c r="AN177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78" i="1"/>
  <c r="AM178" i="1"/>
  <c r="AN178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79" i="1"/>
  <c r="AM179" i="1"/>
  <c r="AN179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80" i="1"/>
  <c r="AM180" i="1"/>
  <c r="AN180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81" i="1"/>
  <c r="AM181" i="1"/>
  <c r="AN181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82" i="1"/>
  <c r="AM182" i="1"/>
  <c r="AN182" i="1"/>
  <c r="K149" i="1"/>
  <c r="L149" i="1"/>
  <c r="M149" i="1"/>
  <c r="N149" i="1" s="1"/>
  <c r="T149" i="1"/>
  <c r="V149" i="1"/>
  <c r="S11" i="3" s="1"/>
  <c r="Y149" i="1"/>
  <c r="Z149" i="1"/>
  <c r="AB149" i="1"/>
  <c r="AC149" i="1"/>
  <c r="AD149" i="1"/>
  <c r="AE149" i="1"/>
  <c r="AF149" i="1"/>
  <c r="AH183" i="1"/>
  <c r="AM183" i="1"/>
  <c r="AN183" i="1"/>
  <c r="AH184" i="1"/>
  <c r="AM184" i="1"/>
  <c r="AN184" i="1"/>
  <c r="K150" i="1"/>
  <c r="L150" i="1"/>
  <c r="M150" i="1"/>
  <c r="N150" i="1" s="1"/>
  <c r="V150" i="1"/>
  <c r="Y150" i="1"/>
  <c r="Z150" i="1"/>
  <c r="AA150" i="1" s="1"/>
  <c r="AB150" i="1"/>
  <c r="AC150" i="1"/>
  <c r="AD150" i="1"/>
  <c r="AE150" i="1"/>
  <c r="AF150" i="1"/>
  <c r="AH185" i="1"/>
  <c r="AI185" i="1"/>
  <c r="AM185" i="1"/>
  <c r="AN185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86" i="1"/>
  <c r="AM186" i="1"/>
  <c r="AN186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87" i="1"/>
  <c r="AM187" i="1"/>
  <c r="AN187" i="1"/>
  <c r="K153" i="1"/>
  <c r="L153" i="1"/>
  <c r="M153" i="1"/>
  <c r="N153" i="1" s="1"/>
  <c r="V153" i="1"/>
  <c r="Y153" i="1"/>
  <c r="Z153" i="1"/>
  <c r="AA153" i="1" s="1"/>
  <c r="AB153" i="1"/>
  <c r="AC153" i="1"/>
  <c r="AD153" i="1"/>
  <c r="AE153" i="1"/>
  <c r="AF153" i="1"/>
  <c r="AH188" i="1"/>
  <c r="AM188" i="1"/>
  <c r="AN188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89" i="1"/>
  <c r="AM189" i="1"/>
  <c r="AN189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90" i="1"/>
  <c r="AM190" i="1"/>
  <c r="AN190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91" i="1"/>
  <c r="AM191" i="1"/>
  <c r="AN191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2" i="1"/>
  <c r="AM192" i="1"/>
  <c r="AN192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93" i="1"/>
  <c r="AM193" i="1"/>
  <c r="AN193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94" i="1"/>
  <c r="AM194" i="1"/>
  <c r="AN194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95" i="1"/>
  <c r="AM195" i="1"/>
  <c r="AN195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96" i="1"/>
  <c r="AM196" i="1"/>
  <c r="AN196" i="1"/>
  <c r="AH197" i="1"/>
  <c r="AM197" i="1"/>
  <c r="AN197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8" i="1"/>
  <c r="AM198" i="1"/>
  <c r="AN19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9" i="1"/>
  <c r="AM199" i="1"/>
  <c r="AN19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0" i="1"/>
  <c r="AM200" i="1"/>
  <c r="AN20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1" i="1"/>
  <c r="AM201" i="1"/>
  <c r="AN201" i="1"/>
  <c r="K200" i="1"/>
  <c r="L200" i="1"/>
  <c r="M200" i="1"/>
  <c r="N200" i="1" s="1"/>
  <c r="V200" i="1"/>
  <c r="S31" i="3" s="1"/>
  <c r="Y200" i="1"/>
  <c r="Z200" i="1"/>
  <c r="AB200" i="1"/>
  <c r="AC200" i="1"/>
  <c r="AD200" i="1"/>
  <c r="T200" i="1" s="1"/>
  <c r="AE200" i="1"/>
  <c r="R32" i="3" s="1"/>
  <c r="AF200" i="1"/>
  <c r="AH202" i="1"/>
  <c r="AM202" i="1"/>
  <c r="AN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AM203" i="1"/>
  <c r="AN203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4" i="1"/>
  <c r="AM204" i="1"/>
  <c r="AN20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5" i="1"/>
  <c r="AM205" i="1"/>
  <c r="AN20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6" i="1"/>
  <c r="AM206" i="1"/>
  <c r="AN206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07" i="1"/>
  <c r="AM207" i="1"/>
  <c r="AN207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8" i="1"/>
  <c r="AM208" i="1"/>
  <c r="AN20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9" i="1"/>
  <c r="AM209" i="1"/>
  <c r="AN209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10" i="1"/>
  <c r="AM210" i="1"/>
  <c r="AN210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AM212" i="1"/>
  <c r="AN212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213" i="1"/>
  <c r="AM213" i="1"/>
  <c r="AN213" i="1"/>
  <c r="K214" i="1"/>
  <c r="L214" i="1"/>
  <c r="M214" i="1"/>
  <c r="N214" i="1" s="1"/>
  <c r="V214" i="1"/>
  <c r="S30" i="3" s="1"/>
  <c r="Y214" i="1"/>
  <c r="Z214" i="1"/>
  <c r="AB214" i="1"/>
  <c r="AC214" i="1"/>
  <c r="AD214" i="1"/>
  <c r="T214" i="1" s="1"/>
  <c r="AE214" i="1"/>
  <c r="R30" i="3" s="1"/>
  <c r="AF214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15" i="1"/>
  <c r="AM215" i="1"/>
  <c r="AN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16" i="1"/>
  <c r="AM216" i="1"/>
  <c r="AN216" i="1"/>
  <c r="M25" i="3"/>
  <c r="R25" i="3"/>
  <c r="S25" i="3"/>
  <c r="U25" i="3"/>
  <c r="T25" i="3" s="1"/>
  <c r="V25" i="3"/>
  <c r="W25" i="3"/>
  <c r="Y25" i="3" s="1"/>
  <c r="X25" i="3"/>
  <c r="M9" i="3"/>
  <c r="S9" i="3"/>
  <c r="U9" i="3"/>
  <c r="T9" i="3" s="1"/>
  <c r="V9" i="3"/>
  <c r="W9" i="3"/>
  <c r="X9" i="3"/>
  <c r="M21" i="3"/>
  <c r="R21" i="3"/>
  <c r="S21" i="3"/>
  <c r="U21" i="3"/>
  <c r="T21" i="3" s="1"/>
  <c r="V21" i="3"/>
  <c r="W21" i="3"/>
  <c r="X21" i="3"/>
  <c r="M26" i="3"/>
  <c r="R26" i="3"/>
  <c r="S26" i="3"/>
  <c r="U26" i="3"/>
  <c r="AC26" i="3" s="1"/>
  <c r="V26" i="3"/>
  <c r="W26" i="3"/>
  <c r="X26" i="3"/>
  <c r="M13" i="3"/>
  <c r="S13" i="3"/>
  <c r="U13" i="3"/>
  <c r="T13" i="3" s="1"/>
  <c r="V13" i="3"/>
  <c r="W13" i="3"/>
  <c r="X13" i="3"/>
  <c r="M22" i="3"/>
  <c r="R22" i="3"/>
  <c r="U22" i="3"/>
  <c r="T22" i="3" s="1"/>
  <c r="V22" i="3"/>
  <c r="W22" i="3"/>
  <c r="X22" i="3"/>
  <c r="AC22" i="3"/>
  <c r="M30" i="3"/>
  <c r="U30" i="3"/>
  <c r="T30" i="3" s="1"/>
  <c r="V30" i="3"/>
  <c r="W30" i="3"/>
  <c r="X30" i="3"/>
  <c r="M12" i="3"/>
  <c r="S12" i="3"/>
  <c r="U12" i="3"/>
  <c r="V12" i="3"/>
  <c r="W12" i="3"/>
  <c r="X12" i="3"/>
  <c r="M15" i="3"/>
  <c r="R15" i="3"/>
  <c r="S15" i="3"/>
  <c r="U15" i="3"/>
  <c r="T15" i="3" s="1"/>
  <c r="V15" i="3"/>
  <c r="W15" i="3"/>
  <c r="X15" i="3"/>
  <c r="M27" i="3"/>
  <c r="R27" i="3"/>
  <c r="S27" i="3"/>
  <c r="U27" i="3"/>
  <c r="V27" i="3"/>
  <c r="W27" i="3"/>
  <c r="X27" i="3"/>
  <c r="AC27" i="3"/>
  <c r="M8" i="3"/>
  <c r="R8" i="3"/>
  <c r="S8" i="3"/>
  <c r="U8" i="3"/>
  <c r="T8" i="3" s="1"/>
  <c r="V8" i="3"/>
  <c r="W8" i="3"/>
  <c r="X8" i="3"/>
  <c r="AC8" i="3"/>
  <c r="M23" i="3"/>
  <c r="R23" i="3"/>
  <c r="S23" i="3"/>
  <c r="U23" i="3"/>
  <c r="V23" i="3"/>
  <c r="W23" i="3"/>
  <c r="X23" i="3"/>
  <c r="AC23" i="3"/>
  <c r="M24" i="3"/>
  <c r="R24" i="3"/>
  <c r="S24" i="3"/>
  <c r="U24" i="3"/>
  <c r="V24" i="3"/>
  <c r="W24" i="3"/>
  <c r="X24" i="3"/>
  <c r="M20" i="3"/>
  <c r="R20" i="3"/>
  <c r="S20" i="3"/>
  <c r="U20" i="3"/>
  <c r="T20" i="3" s="1"/>
  <c r="V20" i="3"/>
  <c r="W20" i="3"/>
  <c r="X20" i="3"/>
  <c r="M19" i="3"/>
  <c r="R19" i="3"/>
  <c r="S19" i="3"/>
  <c r="U19" i="3"/>
  <c r="V19" i="3"/>
  <c r="W19" i="3"/>
  <c r="X19" i="3"/>
  <c r="M7" i="3"/>
  <c r="R7" i="3"/>
  <c r="U7" i="3"/>
  <c r="AC7" i="3" s="1"/>
  <c r="V7" i="3"/>
  <c r="W7" i="3"/>
  <c r="X7" i="3"/>
  <c r="M28" i="3"/>
  <c r="R28" i="3"/>
  <c r="U28" i="3"/>
  <c r="T28" i="3" s="1"/>
  <c r="V28" i="3"/>
  <c r="W28" i="3"/>
  <c r="X28" i="3"/>
  <c r="AC28" i="3"/>
  <c r="M10" i="3"/>
  <c r="R10" i="3"/>
  <c r="U10" i="3"/>
  <c r="T10" i="3" s="1"/>
  <c r="V10" i="3"/>
  <c r="W10" i="3"/>
  <c r="X10" i="3"/>
  <c r="AC10" i="3"/>
  <c r="M17" i="3"/>
  <c r="R17" i="3"/>
  <c r="U17" i="3"/>
  <c r="V17" i="3"/>
  <c r="W17" i="3"/>
  <c r="X17" i="3"/>
  <c r="AC17" i="3"/>
  <c r="M29" i="3"/>
  <c r="R29" i="3"/>
  <c r="U29" i="3"/>
  <c r="AC29" i="3" s="1"/>
  <c r="V29" i="3"/>
  <c r="W29" i="3"/>
  <c r="X29" i="3"/>
  <c r="M18" i="3"/>
  <c r="R18" i="3"/>
  <c r="U18" i="3"/>
  <c r="AD18" i="3" s="1"/>
  <c r="V18" i="3"/>
  <c r="W18" i="3"/>
  <c r="X18" i="3"/>
  <c r="AC18" i="3"/>
  <c r="AD28" i="3"/>
  <c r="M14" i="3"/>
  <c r="R14" i="3"/>
  <c r="U14" i="3"/>
  <c r="T14" i="3" s="1"/>
  <c r="V14" i="3"/>
  <c r="W14" i="3"/>
  <c r="X14" i="3"/>
  <c r="AC14" i="3"/>
  <c r="M31" i="3"/>
  <c r="U31" i="3"/>
  <c r="V31" i="3"/>
  <c r="W31" i="3"/>
  <c r="X31" i="3"/>
  <c r="M32" i="3"/>
  <c r="U32" i="3"/>
  <c r="T32" i="3" s="1"/>
  <c r="V32" i="3"/>
  <c r="W32" i="3"/>
  <c r="X32" i="3"/>
  <c r="M11" i="3"/>
  <c r="R11" i="3"/>
  <c r="U11" i="3"/>
  <c r="V11" i="3"/>
  <c r="W11" i="3"/>
  <c r="X11" i="3"/>
  <c r="AC11" i="3"/>
  <c r="T152" i="1" l="1"/>
  <c r="X152" i="1"/>
  <c r="AG198" i="1"/>
  <c r="T150" i="1"/>
  <c r="X150" i="1"/>
  <c r="T142" i="1"/>
  <c r="X142" i="1"/>
  <c r="T141" i="1"/>
  <c r="X141" i="1"/>
  <c r="T153" i="1"/>
  <c r="X153" i="1"/>
  <c r="AG151" i="1"/>
  <c r="X151" i="1"/>
  <c r="AG149" i="1"/>
  <c r="X149" i="1"/>
  <c r="AG140" i="1"/>
  <c r="X140" i="1"/>
  <c r="AI118" i="1"/>
  <c r="X72" i="1"/>
  <c r="AA70" i="1"/>
  <c r="AA66" i="1"/>
  <c r="AA62" i="1"/>
  <c r="AA58" i="1"/>
  <c r="AA100" i="1"/>
  <c r="AA75" i="1"/>
  <c r="AA73" i="1"/>
  <c r="AA71" i="1"/>
  <c r="AA32" i="1"/>
  <c r="AA26" i="1"/>
  <c r="X139" i="1"/>
  <c r="AC21" i="3"/>
  <c r="AC9" i="3"/>
  <c r="Y12" i="3"/>
  <c r="AC30" i="3"/>
  <c r="Y24" i="3"/>
  <c r="Y31" i="3"/>
  <c r="Y28" i="3"/>
  <c r="Y20" i="3"/>
  <c r="AE24" i="3"/>
  <c r="AC20" i="3"/>
  <c r="AI139" i="1"/>
  <c r="U139" i="1"/>
  <c r="S139" i="1" s="1"/>
  <c r="W139" i="1"/>
  <c r="AG154" i="1"/>
  <c r="AA124" i="1"/>
  <c r="AA120" i="1"/>
  <c r="X108" i="1"/>
  <c r="T101" i="1"/>
  <c r="AI169" i="1"/>
  <c r="T166" i="1"/>
  <c r="X77" i="1"/>
  <c r="AI68" i="1"/>
  <c r="X53" i="1"/>
  <c r="X26" i="1"/>
  <c r="AG25" i="1"/>
  <c r="AI25" i="1" s="1"/>
  <c r="X25" i="1"/>
  <c r="X165" i="1"/>
  <c r="X161" i="1"/>
  <c r="X162" i="1"/>
  <c r="AA157" i="1"/>
  <c r="AA132" i="1"/>
  <c r="X123" i="1"/>
  <c r="AG122" i="1"/>
  <c r="AI122" i="1" s="1"/>
  <c r="X119" i="1"/>
  <c r="S14" i="3"/>
  <c r="AD22" i="3"/>
  <c r="AG200" i="1"/>
  <c r="U200" i="1" s="1"/>
  <c r="S200" i="1" s="1"/>
  <c r="X158" i="1"/>
  <c r="AG134" i="1"/>
  <c r="AA128" i="1"/>
  <c r="AA126" i="1"/>
  <c r="AG124" i="1"/>
  <c r="AI124" i="1" s="1"/>
  <c r="X124" i="1"/>
  <c r="AG120" i="1"/>
  <c r="AI120" i="1" s="1"/>
  <c r="X120" i="1"/>
  <c r="AA109" i="1"/>
  <c r="T107" i="1"/>
  <c r="AA106" i="1"/>
  <c r="AA101" i="1"/>
  <c r="W101" i="1" s="1"/>
  <c r="AA94" i="1"/>
  <c r="AA69" i="1"/>
  <c r="AA52" i="1"/>
  <c r="AA50" i="1"/>
  <c r="W50" i="1" s="1"/>
  <c r="X164" i="1"/>
  <c r="R31" i="3"/>
  <c r="AA216" i="1"/>
  <c r="AA202" i="1"/>
  <c r="AA122" i="1"/>
  <c r="AA107" i="1"/>
  <c r="AA46" i="1"/>
  <c r="X37" i="1"/>
  <c r="AA24" i="1"/>
  <c r="W24" i="1" s="1"/>
  <c r="X163" i="1"/>
  <c r="AD30" i="3"/>
  <c r="AD26" i="3"/>
  <c r="AD25" i="3"/>
  <c r="Y32" i="3"/>
  <c r="Y7" i="3"/>
  <c r="Y26" i="3"/>
  <c r="Y21" i="3"/>
  <c r="Y9" i="3"/>
  <c r="AA136" i="1"/>
  <c r="AG132" i="1"/>
  <c r="W132" i="1" s="1"/>
  <c r="AI111" i="1"/>
  <c r="AA104" i="1"/>
  <c r="X172" i="1"/>
  <c r="AG94" i="1"/>
  <c r="W94" i="1" s="1"/>
  <c r="AA164" i="1"/>
  <c r="AG162" i="1"/>
  <c r="AG86" i="1"/>
  <c r="AI86" i="1" s="1"/>
  <c r="AG51" i="1"/>
  <c r="AG43" i="1"/>
  <c r="X43" i="1"/>
  <c r="X38" i="1"/>
  <c r="AA38" i="1"/>
  <c r="X33" i="1"/>
  <c r="T26" i="1"/>
  <c r="X17" i="1"/>
  <c r="AG16" i="1"/>
  <c r="AD15" i="3"/>
  <c r="T18" i="3"/>
  <c r="AD19" i="3"/>
  <c r="AG203" i="1"/>
  <c r="X203" i="1"/>
  <c r="AG202" i="1"/>
  <c r="AA161" i="1"/>
  <c r="X144" i="1"/>
  <c r="T131" i="1"/>
  <c r="AD32" i="3"/>
  <c r="Y17" i="3"/>
  <c r="Y19" i="3"/>
  <c r="Y15" i="3"/>
  <c r="Y30" i="3"/>
  <c r="AA198" i="1"/>
  <c r="AG161" i="1"/>
  <c r="AA145" i="1"/>
  <c r="AA134" i="1"/>
  <c r="W134" i="1" s="1"/>
  <c r="AA131" i="1"/>
  <c r="AA130" i="1"/>
  <c r="AA118" i="1"/>
  <c r="W118" i="1" s="1"/>
  <c r="X116" i="1"/>
  <c r="AA116" i="1"/>
  <c r="T115" i="1"/>
  <c r="AG108" i="1"/>
  <c r="AA98" i="1"/>
  <c r="AG182" i="1"/>
  <c r="AA95" i="1"/>
  <c r="W95" i="1" s="1"/>
  <c r="T176" i="1"/>
  <c r="T175" i="1"/>
  <c r="U175" i="1" s="1"/>
  <c r="S175" i="1" s="1"/>
  <c r="AA174" i="1"/>
  <c r="AA171" i="1"/>
  <c r="X170" i="1"/>
  <c r="AG166" i="1"/>
  <c r="AG164" i="1"/>
  <c r="AA83" i="1"/>
  <c r="W83" i="1" s="1"/>
  <c r="AA79" i="1"/>
  <c r="W79" i="1" s="1"/>
  <c r="AA74" i="1"/>
  <c r="W74" i="1" s="1"/>
  <c r="X60" i="1"/>
  <c r="AA60" i="1"/>
  <c r="X56" i="1"/>
  <c r="AG55" i="1"/>
  <c r="U55" i="1" s="1"/>
  <c r="S55" i="1" s="1"/>
  <c r="X55" i="1"/>
  <c r="AA53" i="1"/>
  <c r="W53" i="1" s="1"/>
  <c r="X47" i="1"/>
  <c r="AA20" i="1"/>
  <c r="W20" i="1" s="1"/>
  <c r="AD13" i="3"/>
  <c r="AA148" i="1"/>
  <c r="W148" i="1" s="1"/>
  <c r="AA146" i="1"/>
  <c r="AA144" i="1"/>
  <c r="W144" i="1" s="1"/>
  <c r="T144" i="1"/>
  <c r="AA115" i="1"/>
  <c r="W115" i="1" s="1"/>
  <c r="AA178" i="1"/>
  <c r="W178" i="1" s="1"/>
  <c r="AA168" i="1"/>
  <c r="AA92" i="1"/>
  <c r="AA89" i="1"/>
  <c r="W89" i="1" s="1"/>
  <c r="AA86" i="1"/>
  <c r="W70" i="1"/>
  <c r="AA67" i="1"/>
  <c r="AA54" i="1"/>
  <c r="W54" i="1" s="1"/>
  <c r="AA51" i="1"/>
  <c r="AA49" i="1"/>
  <c r="W49" i="1" s="1"/>
  <c r="X42" i="1"/>
  <c r="AA14" i="1"/>
  <c r="X65" i="1"/>
  <c r="AG64" i="1"/>
  <c r="AI64" i="1" s="1"/>
  <c r="X64" i="1"/>
  <c r="AI177" i="1"/>
  <c r="AG207" i="1"/>
  <c r="AA206" i="1"/>
  <c r="AG199" i="1"/>
  <c r="X199" i="1"/>
  <c r="AA158" i="1"/>
  <c r="T158" i="1"/>
  <c r="AG157" i="1"/>
  <c r="W157" i="1" s="1"/>
  <c r="U154" i="1"/>
  <c r="S154" i="1" s="1"/>
  <c r="X154" i="1"/>
  <c r="AG193" i="1"/>
  <c r="U193" i="1" s="1"/>
  <c r="S193" i="1" s="1"/>
  <c r="X193" i="1"/>
  <c r="X192" i="1"/>
  <c r="AA191" i="1"/>
  <c r="AA185" i="1"/>
  <c r="W185" i="1" s="1"/>
  <c r="AA183" i="1"/>
  <c r="AA179" i="1"/>
  <c r="T177" i="1"/>
  <c r="U177" i="1" s="1"/>
  <c r="S177" i="1" s="1"/>
  <c r="AA176" i="1"/>
  <c r="W176" i="1" s="1"/>
  <c r="AA173" i="1"/>
  <c r="AG212" i="1"/>
  <c r="U212" i="1" s="1"/>
  <c r="S212" i="1" s="1"/>
  <c r="T213" i="1"/>
  <c r="AG208" i="1"/>
  <c r="AI208" i="1" s="1"/>
  <c r="AA141" i="1"/>
  <c r="AA112" i="1"/>
  <c r="X111" i="1"/>
  <c r="AG110" i="1"/>
  <c r="AA210" i="1"/>
  <c r="X95" i="1"/>
  <c r="AG92" i="1"/>
  <c r="U92" i="1" s="1"/>
  <c r="S92" i="1" s="1"/>
  <c r="AG88" i="1"/>
  <c r="AG80" i="1"/>
  <c r="AI80" i="1" s="1"/>
  <c r="X80" i="1"/>
  <c r="X76" i="1"/>
  <c r="W68" i="1"/>
  <c r="X67" i="1"/>
  <c r="T63" i="1"/>
  <c r="U63" i="1" s="1"/>
  <c r="S63" i="1" s="1"/>
  <c r="X57" i="1"/>
  <c r="T56" i="1"/>
  <c r="X49" i="1"/>
  <c r="AA37" i="1"/>
  <c r="AA36" i="1"/>
  <c r="W36" i="1" s="1"/>
  <c r="X34" i="1"/>
  <c r="X29" i="1"/>
  <c r="AG22" i="1"/>
  <c r="AI22" i="1" s="1"/>
  <c r="AG21" i="1"/>
  <c r="AI21" i="1" s="1"/>
  <c r="X21" i="1"/>
  <c r="AA18" i="1"/>
  <c r="AA17" i="1"/>
  <c r="T17" i="1"/>
  <c r="AG216" i="1"/>
  <c r="AI216" i="1" s="1"/>
  <c r="AG214" i="1"/>
  <c r="S32" i="3"/>
  <c r="X216" i="1"/>
  <c r="AA213" i="1"/>
  <c r="W213" i="1" s="1"/>
  <c r="AA212" i="1"/>
  <c r="W212" i="1" s="1"/>
  <c r="X202" i="1"/>
  <c r="AA199" i="1"/>
  <c r="W199" i="1" s="1"/>
  <c r="AG158" i="1"/>
  <c r="AI158" i="1" s="1"/>
  <c r="AA154" i="1"/>
  <c r="W154" i="1" s="1"/>
  <c r="AG153" i="1"/>
  <c r="W153" i="1" s="1"/>
  <c r="AG150" i="1"/>
  <c r="AI150" i="1" s="1"/>
  <c r="AA149" i="1"/>
  <c r="AA143" i="1"/>
  <c r="AG141" i="1"/>
  <c r="U141" i="1" s="1"/>
  <c r="S141" i="1" s="1"/>
  <c r="T140" i="1"/>
  <c r="AA138" i="1"/>
  <c r="X135" i="1"/>
  <c r="AG126" i="1"/>
  <c r="AI126" i="1" s="1"/>
  <c r="AG112" i="1"/>
  <c r="U112" i="1" s="1"/>
  <c r="S112" i="1" s="1"/>
  <c r="X112" i="1"/>
  <c r="AG210" i="1"/>
  <c r="U210" i="1" s="1"/>
  <c r="S210" i="1" s="1"/>
  <c r="AA103" i="1"/>
  <c r="X102" i="1"/>
  <c r="AG195" i="1"/>
  <c r="U195" i="1" s="1"/>
  <c r="S195" i="1" s="1"/>
  <c r="AA192" i="1"/>
  <c r="W192" i="1" s="1"/>
  <c r="T192" i="1"/>
  <c r="U192" i="1" s="1"/>
  <c r="S192" i="1" s="1"/>
  <c r="AA96" i="1"/>
  <c r="AG188" i="1"/>
  <c r="AA184" i="1"/>
  <c r="AA181" i="1"/>
  <c r="T169" i="1"/>
  <c r="AA90" i="1"/>
  <c r="T89" i="1"/>
  <c r="U89" i="1" s="1"/>
  <c r="S89" i="1" s="1"/>
  <c r="T85" i="1"/>
  <c r="U85" i="1" s="1"/>
  <c r="S85" i="1" s="1"/>
  <c r="AA84" i="1"/>
  <c r="X79" i="1"/>
  <c r="T72" i="1"/>
  <c r="AA65" i="1"/>
  <c r="AA63" i="1"/>
  <c r="X62" i="1"/>
  <c r="T61" i="1"/>
  <c r="U61" i="1" s="1"/>
  <c r="S61" i="1" s="1"/>
  <c r="X58" i="1"/>
  <c r="AA56" i="1"/>
  <c r="AA55" i="1"/>
  <c r="X51" i="1"/>
  <c r="X45" i="1"/>
  <c r="AA33" i="1"/>
  <c r="X30" i="1"/>
  <c r="AA28" i="1"/>
  <c r="W28" i="1" s="1"/>
  <c r="AG26" i="1"/>
  <c r="AI26" i="1" s="1"/>
  <c r="X20" i="1"/>
  <c r="W216" i="1"/>
  <c r="W198" i="1"/>
  <c r="T148" i="1"/>
  <c r="U148" i="1" s="1"/>
  <c r="S148" i="1" s="1"/>
  <c r="AA147" i="1"/>
  <c r="AA140" i="1"/>
  <c r="U134" i="1"/>
  <c r="S134" i="1" s="1"/>
  <c r="AA133" i="1"/>
  <c r="AA121" i="1"/>
  <c r="AA114" i="1"/>
  <c r="AA110" i="1"/>
  <c r="W110" i="1" s="1"/>
  <c r="AA85" i="1"/>
  <c r="W85" i="1" s="1"/>
  <c r="AA78" i="1"/>
  <c r="W78" i="1" s="1"/>
  <c r="AA61" i="1"/>
  <c r="W61" i="1" s="1"/>
  <c r="AA40" i="1"/>
  <c r="W40" i="1" s="1"/>
  <c r="AA29" i="1"/>
  <c r="AA22" i="1"/>
  <c r="W22" i="1" s="1"/>
  <c r="AA19" i="1"/>
  <c r="AG17" i="1"/>
  <c r="AI17" i="1" s="1"/>
  <c r="AA16" i="1"/>
  <c r="W16" i="1" s="1"/>
  <c r="U203" i="1"/>
  <c r="S203" i="1" s="1"/>
  <c r="U198" i="1"/>
  <c r="S198" i="1" s="1"/>
  <c r="U157" i="1"/>
  <c r="S157" i="1" s="1"/>
  <c r="AI154" i="1"/>
  <c r="T116" i="1"/>
  <c r="AG104" i="1"/>
  <c r="X104" i="1"/>
  <c r="X211" i="1"/>
  <c r="AG98" i="1"/>
  <c r="X98" i="1"/>
  <c r="X97" i="1"/>
  <c r="AA194" i="1"/>
  <c r="T190" i="1"/>
  <c r="AA189" i="1"/>
  <c r="W189" i="1" s="1"/>
  <c r="T189" i="1"/>
  <c r="U189" i="1" s="1"/>
  <c r="S189" i="1" s="1"/>
  <c r="AA186" i="1"/>
  <c r="W186" i="1" s="1"/>
  <c r="T185" i="1"/>
  <c r="AG168" i="1"/>
  <c r="T168" i="1"/>
  <c r="AG93" i="1"/>
  <c r="X93" i="1"/>
  <c r="T93" i="1"/>
  <c r="AI50" i="1"/>
  <c r="X206" i="1"/>
  <c r="AA215" i="1"/>
  <c r="AA214" i="1"/>
  <c r="W214" i="1" s="1"/>
  <c r="AA207" i="1"/>
  <c r="W207" i="1" s="1"/>
  <c r="AG206" i="1"/>
  <c r="U206" i="1" s="1"/>
  <c r="S206" i="1" s="1"/>
  <c r="AG204" i="1"/>
  <c r="AI204" i="1" s="1"/>
  <c r="AA201" i="1"/>
  <c r="AA200" i="1"/>
  <c r="W200" i="1" s="1"/>
  <c r="X198" i="1"/>
  <c r="AG196" i="1"/>
  <c r="AI196" i="1" s="1"/>
  <c r="AA160" i="1"/>
  <c r="AA159" i="1"/>
  <c r="X157" i="1"/>
  <c r="AG155" i="1"/>
  <c r="AA152" i="1"/>
  <c r="AA151" i="1"/>
  <c r="W151" i="1" s="1"/>
  <c r="T151" i="1"/>
  <c r="AG147" i="1"/>
  <c r="W147" i="1" s="1"/>
  <c r="AG145" i="1"/>
  <c r="AI145" i="1" s="1"/>
  <c r="AG138" i="1"/>
  <c r="AG136" i="1"/>
  <c r="AG130" i="1"/>
  <c r="AG128" i="1"/>
  <c r="AI128" i="1" s="1"/>
  <c r="X128" i="1"/>
  <c r="X127" i="1"/>
  <c r="AA125" i="1"/>
  <c r="AA119" i="1"/>
  <c r="T119" i="1"/>
  <c r="U119" i="1" s="1"/>
  <c r="S119" i="1" s="1"/>
  <c r="AG116" i="1"/>
  <c r="AG114" i="1"/>
  <c r="U114" i="1" s="1"/>
  <c r="S114" i="1" s="1"/>
  <c r="AA108" i="1"/>
  <c r="AG106" i="1"/>
  <c r="W106" i="1" s="1"/>
  <c r="AA102" i="1"/>
  <c r="AG100" i="1"/>
  <c r="W100" i="1" s="1"/>
  <c r="AA190" i="1"/>
  <c r="U186" i="1"/>
  <c r="T181" i="1"/>
  <c r="X182" i="1"/>
  <c r="U88" i="1"/>
  <c r="S88" i="1" s="1"/>
  <c r="AI88" i="1"/>
  <c r="AI46" i="1"/>
  <c r="U216" i="1"/>
  <c r="S216" i="1" s="1"/>
  <c r="U213" i="1"/>
  <c r="S213" i="1" s="1"/>
  <c r="X213" i="1"/>
  <c r="AA209" i="1"/>
  <c r="AA208" i="1"/>
  <c r="AA203" i="1"/>
  <c r="W203" i="1" s="1"/>
  <c r="U199" i="1"/>
  <c r="U161" i="1"/>
  <c r="S161" i="1" s="1"/>
  <c r="U153" i="1"/>
  <c r="S153" i="1" s="1"/>
  <c r="W149" i="1"/>
  <c r="X148" i="1"/>
  <c r="AA137" i="1"/>
  <c r="AA135" i="1"/>
  <c r="T135" i="1"/>
  <c r="X131" i="1"/>
  <c r="AA129" i="1"/>
  <c r="AA123" i="1"/>
  <c r="W123" i="1" s="1"/>
  <c r="T123" i="1"/>
  <c r="U123" i="1" s="1"/>
  <c r="S123" i="1" s="1"/>
  <c r="W120" i="1"/>
  <c r="X115" i="1"/>
  <c r="AA113" i="1"/>
  <c r="AA111" i="1"/>
  <c r="T111" i="1"/>
  <c r="U108" i="1"/>
  <c r="S108" i="1" s="1"/>
  <c r="X107" i="1"/>
  <c r="AA105" i="1"/>
  <c r="AA211" i="1"/>
  <c r="W211" i="1" s="1"/>
  <c r="T211" i="1"/>
  <c r="U211" i="1" s="1"/>
  <c r="S211" i="1" s="1"/>
  <c r="AG102" i="1"/>
  <c r="X101" i="1"/>
  <c r="AA99" i="1"/>
  <c r="AA97" i="1"/>
  <c r="W97" i="1" s="1"/>
  <c r="T97" i="1"/>
  <c r="AA193" i="1"/>
  <c r="AG96" i="1"/>
  <c r="AI96" i="1" s="1"/>
  <c r="AG190" i="1"/>
  <c r="U190" i="1" s="1"/>
  <c r="X189" i="1"/>
  <c r="AA187" i="1"/>
  <c r="X185" i="1"/>
  <c r="X179" i="1"/>
  <c r="AG179" i="1"/>
  <c r="T179" i="1"/>
  <c r="W175" i="1"/>
  <c r="X168" i="1"/>
  <c r="X167" i="1"/>
  <c r="T167" i="1"/>
  <c r="AG91" i="1"/>
  <c r="AI91" i="1" s="1"/>
  <c r="X91" i="1"/>
  <c r="X92" i="1"/>
  <c r="T91" i="1"/>
  <c r="AG87" i="1"/>
  <c r="AI87" i="1" s="1"/>
  <c r="X87" i="1"/>
  <c r="X88" i="1"/>
  <c r="T87" i="1"/>
  <c r="X212" i="1"/>
  <c r="U207" i="1"/>
  <c r="S207" i="1" s="1"/>
  <c r="X207" i="1"/>
  <c r="AA205" i="1"/>
  <c r="AA204" i="1"/>
  <c r="W204" i="1" s="1"/>
  <c r="AA197" i="1"/>
  <c r="AA196" i="1"/>
  <c r="AG159" i="1"/>
  <c r="AA156" i="1"/>
  <c r="AA155" i="1"/>
  <c r="AG143" i="1"/>
  <c r="W143" i="1" s="1"/>
  <c r="AA127" i="1"/>
  <c r="W127" i="1" s="1"/>
  <c r="T127" i="1"/>
  <c r="W124" i="1"/>
  <c r="AA117" i="1"/>
  <c r="U110" i="1"/>
  <c r="S110" i="1" s="1"/>
  <c r="AI110" i="1"/>
  <c r="AI134" i="1"/>
  <c r="T184" i="1"/>
  <c r="AG184" i="1"/>
  <c r="AI108" i="1"/>
  <c r="T173" i="1"/>
  <c r="AG173" i="1"/>
  <c r="AA88" i="1"/>
  <c r="W88" i="1" s="1"/>
  <c r="X84" i="1"/>
  <c r="AG84" i="1"/>
  <c r="W84" i="1" s="1"/>
  <c r="X85" i="1"/>
  <c r="AI54" i="1"/>
  <c r="U182" i="1"/>
  <c r="X176" i="1"/>
  <c r="X171" i="1"/>
  <c r="AA167" i="1"/>
  <c r="AA166" i="1"/>
  <c r="U164" i="1"/>
  <c r="S164" i="1" s="1"/>
  <c r="U162" i="1"/>
  <c r="S162" i="1" s="1"/>
  <c r="AA93" i="1"/>
  <c r="W93" i="1" s="1"/>
  <c r="AA91" i="1"/>
  <c r="W90" i="1"/>
  <c r="AA87" i="1"/>
  <c r="X83" i="1"/>
  <c r="AA81" i="1"/>
  <c r="W81" i="1" s="1"/>
  <c r="T81" i="1"/>
  <c r="X75" i="1"/>
  <c r="X71" i="1"/>
  <c r="X68" i="1"/>
  <c r="X63" i="1"/>
  <c r="T60" i="1"/>
  <c r="AA59" i="1"/>
  <c r="T59" i="1"/>
  <c r="AG58" i="1"/>
  <c r="W58" i="1" s="1"/>
  <c r="X54" i="1"/>
  <c r="X50" i="1"/>
  <c r="X46" i="1"/>
  <c r="X41" i="1"/>
  <c r="AA39" i="1"/>
  <c r="T38" i="1"/>
  <c r="AG37" i="1"/>
  <c r="T36" i="1"/>
  <c r="U36" i="1" s="1"/>
  <c r="S36" i="1" s="1"/>
  <c r="AA35" i="1"/>
  <c r="AA34" i="1"/>
  <c r="T34" i="1"/>
  <c r="AG33" i="1"/>
  <c r="W33" i="1" s="1"/>
  <c r="T32" i="1"/>
  <c r="AA31" i="1"/>
  <c r="AA30" i="1"/>
  <c r="T30" i="1"/>
  <c r="AG29" i="1"/>
  <c r="AI29" i="1" s="1"/>
  <c r="T28" i="1"/>
  <c r="U28" i="1" s="1"/>
  <c r="S28" i="1" s="1"/>
  <c r="AA27" i="1"/>
  <c r="AA25" i="1"/>
  <c r="T24" i="1"/>
  <c r="U24" i="1" s="1"/>
  <c r="S24" i="1" s="1"/>
  <c r="AA23" i="1"/>
  <c r="T16" i="1"/>
  <c r="U16" i="1" s="1"/>
  <c r="S16" i="1" s="1"/>
  <c r="T67" i="1"/>
  <c r="T62" i="1"/>
  <c r="U51" i="1"/>
  <c r="U47" i="1"/>
  <c r="W46" i="1"/>
  <c r="U43" i="1"/>
  <c r="S43" i="1" s="1"/>
  <c r="T15" i="1"/>
  <c r="X175" i="1"/>
  <c r="AA170" i="1"/>
  <c r="AI94" i="1"/>
  <c r="T83" i="1"/>
  <c r="X81" i="1"/>
  <c r="AA76" i="1"/>
  <c r="T75" i="1"/>
  <c r="AA72" i="1"/>
  <c r="T71" i="1"/>
  <c r="U71" i="1" s="1"/>
  <c r="S71" i="1" s="1"/>
  <c r="AG67" i="1"/>
  <c r="W67" i="1" s="1"/>
  <c r="AG62" i="1"/>
  <c r="W62" i="1" s="1"/>
  <c r="AG60" i="1"/>
  <c r="X59" i="1"/>
  <c r="T54" i="1"/>
  <c r="U54" i="1" s="1"/>
  <c r="S54" i="1" s="1"/>
  <c r="T50" i="1"/>
  <c r="U50" i="1" s="1"/>
  <c r="S50" i="1" s="1"/>
  <c r="T46" i="1"/>
  <c r="U46" i="1" s="1"/>
  <c r="S46" i="1" s="1"/>
  <c r="AA42" i="1"/>
  <c r="T41" i="1"/>
  <c r="U41" i="1" s="1"/>
  <c r="S41" i="1" s="1"/>
  <c r="AG38" i="1"/>
  <c r="AI38" i="1" s="1"/>
  <c r="X36" i="1"/>
  <c r="AG34" i="1"/>
  <c r="AI34" i="1" s="1"/>
  <c r="X32" i="1"/>
  <c r="AG30" i="1"/>
  <c r="AI30" i="1" s="1"/>
  <c r="X28" i="1"/>
  <c r="X24" i="1"/>
  <c r="AA21" i="1"/>
  <c r="T20" i="1"/>
  <c r="AA182" i="1"/>
  <c r="W182" i="1" s="1"/>
  <c r="T95" i="1"/>
  <c r="AA180" i="1"/>
  <c r="AA177" i="1"/>
  <c r="W177" i="1" s="1"/>
  <c r="X174" i="1"/>
  <c r="AA172" i="1"/>
  <c r="T172" i="1"/>
  <c r="U172" i="1" s="1"/>
  <c r="S172" i="1" s="1"/>
  <c r="X94" i="1"/>
  <c r="AG170" i="1"/>
  <c r="U170" i="1" s="1"/>
  <c r="X169" i="1"/>
  <c r="AA165" i="1"/>
  <c r="W165" i="1" s="1"/>
  <c r="T165" i="1"/>
  <c r="AA163" i="1"/>
  <c r="T163" i="1"/>
  <c r="AA162" i="1"/>
  <c r="W162" i="1" s="1"/>
  <c r="X89" i="1"/>
  <c r="AG82" i="1"/>
  <c r="AI82" i="1" s="1"/>
  <c r="AA80" i="1"/>
  <c r="W80" i="1" s="1"/>
  <c r="T79" i="1"/>
  <c r="U79" i="1" s="1"/>
  <c r="S79" i="1" s="1"/>
  <c r="AA77" i="1"/>
  <c r="T77" i="1"/>
  <c r="AG76" i="1"/>
  <c r="AI76" i="1" s="1"/>
  <c r="AG72" i="1"/>
  <c r="AI72" i="1" s="1"/>
  <c r="AA64" i="1"/>
  <c r="X61" i="1"/>
  <c r="AA57" i="1"/>
  <c r="W57" i="1" s="1"/>
  <c r="T57" i="1"/>
  <c r="U57" i="1" s="1"/>
  <c r="S57" i="1" s="1"/>
  <c r="AG56" i="1"/>
  <c r="W55" i="1"/>
  <c r="T53" i="1"/>
  <c r="AI51" i="1"/>
  <c r="W51" i="1"/>
  <c r="T49" i="1"/>
  <c r="U49" i="1" s="1"/>
  <c r="S49" i="1" s="1"/>
  <c r="AA48" i="1"/>
  <c r="AI47" i="1"/>
  <c r="AA47" i="1"/>
  <c r="W47" i="1" s="1"/>
  <c r="T45" i="1"/>
  <c r="AA44" i="1"/>
  <c r="W44" i="1" s="1"/>
  <c r="AI43" i="1"/>
  <c r="AA43" i="1"/>
  <c r="W43" i="1" s="1"/>
  <c r="AG42" i="1"/>
  <c r="AI42" i="1" s="1"/>
  <c r="AI16" i="1"/>
  <c r="X15" i="1"/>
  <c r="U204" i="1"/>
  <c r="S204" i="1" s="1"/>
  <c r="U196" i="1"/>
  <c r="S196" i="1" s="1"/>
  <c r="U159" i="1"/>
  <c r="S159" i="1" s="1"/>
  <c r="U155" i="1"/>
  <c r="S155" i="1" s="1"/>
  <c r="AI182" i="1"/>
  <c r="U140" i="1"/>
  <c r="S140" i="1" s="1"/>
  <c r="U131" i="1"/>
  <c r="S131" i="1" s="1"/>
  <c r="W119" i="1"/>
  <c r="U214" i="1"/>
  <c r="S214" i="1" s="1"/>
  <c r="AG215" i="1"/>
  <c r="X214" i="1"/>
  <c r="AI213" i="1"/>
  <c r="AG209" i="1"/>
  <c r="W209" i="1" s="1"/>
  <c r="X208" i="1"/>
  <c r="AG205" i="1"/>
  <c r="AI205" i="1" s="1"/>
  <c r="X204" i="1"/>
  <c r="AG201" i="1"/>
  <c r="AI201" i="1" s="1"/>
  <c r="X200" i="1"/>
  <c r="S199" i="1"/>
  <c r="AG197" i="1"/>
  <c r="AI197" i="1" s="1"/>
  <c r="X196" i="1"/>
  <c r="AG160" i="1"/>
  <c r="AI160" i="1" s="1"/>
  <c r="X159" i="1"/>
  <c r="AG156" i="1"/>
  <c r="AI156" i="1" s="1"/>
  <c r="X155" i="1"/>
  <c r="AI189" i="1"/>
  <c r="AG152" i="1"/>
  <c r="AI152" i="1" s="1"/>
  <c r="U149" i="1"/>
  <c r="S149" i="1" s="1"/>
  <c r="W135" i="1"/>
  <c r="AI155" i="1"/>
  <c r="X215" i="1"/>
  <c r="AI214" i="1"/>
  <c r="X209" i="1"/>
  <c r="T209" i="1"/>
  <c r="X205" i="1"/>
  <c r="T205" i="1"/>
  <c r="AI206" i="1"/>
  <c r="X201" i="1"/>
  <c r="X197" i="1"/>
  <c r="AI198" i="1"/>
  <c r="X160" i="1"/>
  <c r="X156" i="1"/>
  <c r="U151" i="1"/>
  <c r="S151" i="1" s="1"/>
  <c r="AI184" i="1"/>
  <c r="U144" i="1"/>
  <c r="S144" i="1" s="1"/>
  <c r="AI178" i="1"/>
  <c r="U135" i="1"/>
  <c r="S135" i="1" s="1"/>
  <c r="AI170" i="1"/>
  <c r="AI159" i="1"/>
  <c r="W140" i="1"/>
  <c r="W131" i="1"/>
  <c r="U127" i="1"/>
  <c r="AI162" i="1"/>
  <c r="U145" i="1"/>
  <c r="S145" i="1" s="1"/>
  <c r="U136" i="1"/>
  <c r="S136" i="1" s="1"/>
  <c r="U124" i="1"/>
  <c r="S124" i="1" s="1"/>
  <c r="U120" i="1"/>
  <c r="S120" i="1" s="1"/>
  <c r="U115" i="1"/>
  <c r="S115" i="1" s="1"/>
  <c r="AI151" i="1"/>
  <c r="U107" i="1"/>
  <c r="S107" i="1" s="1"/>
  <c r="AI144" i="1"/>
  <c r="U101" i="1"/>
  <c r="S101" i="1" s="1"/>
  <c r="AI135" i="1"/>
  <c r="AI123" i="1"/>
  <c r="AG146" i="1"/>
  <c r="W146" i="1" s="1"/>
  <c r="X145" i="1"/>
  <c r="AG142" i="1"/>
  <c r="W142" i="1" s="1"/>
  <c r="AG137" i="1"/>
  <c r="X136" i="1"/>
  <c r="AG133" i="1"/>
  <c r="X132" i="1"/>
  <c r="AG129" i="1"/>
  <c r="AG125" i="1"/>
  <c r="AG121" i="1"/>
  <c r="T118" i="1"/>
  <c r="U118" i="1" s="1"/>
  <c r="S118" i="1" s="1"/>
  <c r="X118" i="1"/>
  <c r="W111" i="1"/>
  <c r="AI127" i="1"/>
  <c r="U96" i="1"/>
  <c r="S96" i="1" s="1"/>
  <c r="X146" i="1"/>
  <c r="X137" i="1"/>
  <c r="X133" i="1"/>
  <c r="X129" i="1"/>
  <c r="X125" i="1"/>
  <c r="X121" i="1"/>
  <c r="U111" i="1"/>
  <c r="S111" i="1" s="1"/>
  <c r="AI148" i="1"/>
  <c r="AI140" i="1"/>
  <c r="U97" i="1"/>
  <c r="S97" i="1" s="1"/>
  <c r="AI131" i="1"/>
  <c r="X147" i="1"/>
  <c r="X143" i="1"/>
  <c r="X138" i="1"/>
  <c r="X134" i="1"/>
  <c r="X130" i="1"/>
  <c r="X126" i="1"/>
  <c r="X122" i="1"/>
  <c r="T117" i="1"/>
  <c r="X117" i="1"/>
  <c r="AG117" i="1"/>
  <c r="W107" i="1"/>
  <c r="U185" i="1"/>
  <c r="S185" i="1" s="1"/>
  <c r="AI119" i="1"/>
  <c r="U95" i="1"/>
  <c r="S95" i="1" s="1"/>
  <c r="AI115" i="1"/>
  <c r="AG113" i="1"/>
  <c r="AG109" i="1"/>
  <c r="W109" i="1" s="1"/>
  <c r="AG105" i="1"/>
  <c r="AI105" i="1" s="1"/>
  <c r="AG103" i="1"/>
  <c r="AG99" i="1"/>
  <c r="AG194" i="1"/>
  <c r="AI194" i="1" s="1"/>
  <c r="AG191" i="1"/>
  <c r="W191" i="1" s="1"/>
  <c r="AG187" i="1"/>
  <c r="AG183" i="1"/>
  <c r="AI183" i="1" s="1"/>
  <c r="AG180" i="1"/>
  <c r="T178" i="1"/>
  <c r="U178" i="1" s="1"/>
  <c r="S178" i="1" s="1"/>
  <c r="U165" i="1"/>
  <c r="S165" i="1" s="1"/>
  <c r="AI97" i="1"/>
  <c r="AI95" i="1"/>
  <c r="U163" i="1"/>
  <c r="S163" i="1" s="1"/>
  <c r="U77" i="1"/>
  <c r="S77" i="1" s="1"/>
  <c r="AI77" i="1"/>
  <c r="X113" i="1"/>
  <c r="AI149" i="1"/>
  <c r="X109" i="1"/>
  <c r="X105" i="1"/>
  <c r="AI141" i="1"/>
  <c r="X103" i="1"/>
  <c r="AI136" i="1"/>
  <c r="X99" i="1"/>
  <c r="AI132" i="1"/>
  <c r="X194" i="1"/>
  <c r="X191" i="1"/>
  <c r="S190" i="1"/>
  <c r="X187" i="1"/>
  <c r="S186" i="1"/>
  <c r="X183" i="1"/>
  <c r="S182" i="1"/>
  <c r="AG181" i="1"/>
  <c r="X180" i="1"/>
  <c r="W169" i="1"/>
  <c r="U93" i="1"/>
  <c r="S93" i="1" s="1"/>
  <c r="AI93" i="1"/>
  <c r="U90" i="1"/>
  <c r="U81" i="1"/>
  <c r="S81" i="1" s="1"/>
  <c r="AI81" i="1"/>
  <c r="AI78" i="1"/>
  <c r="W75" i="1"/>
  <c r="W71" i="1"/>
  <c r="W66" i="1"/>
  <c r="X114" i="1"/>
  <c r="X110" i="1"/>
  <c r="X106" i="1"/>
  <c r="X210" i="1"/>
  <c r="X100" i="1"/>
  <c r="X195" i="1"/>
  <c r="X96" i="1"/>
  <c r="X188" i="1"/>
  <c r="X184" i="1"/>
  <c r="X181" i="1"/>
  <c r="X178" i="1"/>
  <c r="U169" i="1"/>
  <c r="S169" i="1" s="1"/>
  <c r="AI101" i="1"/>
  <c r="AI89" i="1"/>
  <c r="AI83" i="1"/>
  <c r="U83" i="1"/>
  <c r="S83" i="1" s="1"/>
  <c r="AI75" i="1"/>
  <c r="U75" i="1"/>
  <c r="S75" i="1" s="1"/>
  <c r="AI71" i="1"/>
  <c r="AI66" i="1"/>
  <c r="U176" i="1"/>
  <c r="S176" i="1" s="1"/>
  <c r="W172" i="1"/>
  <c r="W163" i="1"/>
  <c r="AI85" i="1"/>
  <c r="U82" i="1"/>
  <c r="S82" i="1" s="1"/>
  <c r="AI79" i="1"/>
  <c r="W77" i="1"/>
  <c r="AI74" i="1"/>
  <c r="AI70" i="1"/>
  <c r="X177" i="1"/>
  <c r="AG174" i="1"/>
  <c r="AI174" i="1" s="1"/>
  <c r="X173" i="1"/>
  <c r="AG171" i="1"/>
  <c r="AI171" i="1" s="1"/>
  <c r="AG167" i="1"/>
  <c r="AI167" i="1" s="1"/>
  <c r="X90" i="1"/>
  <c r="X86" i="1"/>
  <c r="X82" i="1"/>
  <c r="X78" i="1"/>
  <c r="T78" i="1"/>
  <c r="U78" i="1" s="1"/>
  <c r="S78" i="1" s="1"/>
  <c r="X74" i="1"/>
  <c r="T74" i="1"/>
  <c r="U74" i="1" s="1"/>
  <c r="S74" i="1" s="1"/>
  <c r="X70" i="1"/>
  <c r="T70" i="1"/>
  <c r="U70" i="1" s="1"/>
  <c r="S70" i="1" s="1"/>
  <c r="X66" i="1"/>
  <c r="T66" i="1"/>
  <c r="U66" i="1" s="1"/>
  <c r="S66" i="1" s="1"/>
  <c r="W59" i="1"/>
  <c r="AI57" i="1"/>
  <c r="AI52" i="1"/>
  <c r="AI48" i="1"/>
  <c r="AI44" i="1"/>
  <c r="AI36" i="1"/>
  <c r="U32" i="1"/>
  <c r="S32" i="1" s="1"/>
  <c r="AI32" i="1"/>
  <c r="AI28" i="1"/>
  <c r="AI24" i="1"/>
  <c r="W15" i="1"/>
  <c r="S170" i="1"/>
  <c r="S90" i="1"/>
  <c r="U80" i="1"/>
  <c r="S80" i="1" s="1"/>
  <c r="U68" i="1"/>
  <c r="S68" i="1" s="1"/>
  <c r="U59" i="1"/>
  <c r="S59" i="1" s="1"/>
  <c r="AI59" i="1"/>
  <c r="U15" i="1"/>
  <c r="S15" i="1" s="1"/>
  <c r="AI15" i="1"/>
  <c r="AG73" i="1"/>
  <c r="AG69" i="1"/>
  <c r="AG65" i="1"/>
  <c r="T65" i="1"/>
  <c r="W63" i="1"/>
  <c r="AI61" i="1"/>
  <c r="AI41" i="1"/>
  <c r="U20" i="1"/>
  <c r="S20" i="1" s="1"/>
  <c r="AI20" i="1"/>
  <c r="X73" i="1"/>
  <c r="X69" i="1"/>
  <c r="AI63" i="1"/>
  <c r="AI53" i="1"/>
  <c r="U53" i="1"/>
  <c r="S53" i="1" s="1"/>
  <c r="W52" i="1"/>
  <c r="AI49" i="1"/>
  <c r="W48" i="1"/>
  <c r="AI45" i="1"/>
  <c r="U45" i="1"/>
  <c r="S45" i="1" s="1"/>
  <c r="AI40" i="1"/>
  <c r="W32" i="1"/>
  <c r="X52" i="1"/>
  <c r="T52" i="1"/>
  <c r="U52" i="1" s="1"/>
  <c r="S52" i="1" s="1"/>
  <c r="S51" i="1"/>
  <c r="X48" i="1"/>
  <c r="T48" i="1"/>
  <c r="U48" i="1" s="1"/>
  <c r="S48" i="1" s="1"/>
  <c r="S47" i="1"/>
  <c r="X44" i="1"/>
  <c r="T44" i="1"/>
  <c r="U44" i="1" s="1"/>
  <c r="S44" i="1" s="1"/>
  <c r="X40" i="1"/>
  <c r="T40" i="1"/>
  <c r="U40" i="1" s="1"/>
  <c r="S40" i="1" s="1"/>
  <c r="U21" i="1"/>
  <c r="S21" i="1" s="1"/>
  <c r="U38" i="1"/>
  <c r="S38" i="1" s="1"/>
  <c r="U34" i="1"/>
  <c r="S34" i="1" s="1"/>
  <c r="AG18" i="1"/>
  <c r="W18" i="1" s="1"/>
  <c r="AG14" i="1"/>
  <c r="AG39" i="1"/>
  <c r="AG35" i="1"/>
  <c r="AG31" i="1"/>
  <c r="W31" i="1" s="1"/>
  <c r="AG27" i="1"/>
  <c r="AG23" i="1"/>
  <c r="W23" i="1" s="1"/>
  <c r="X22" i="1"/>
  <c r="AG19" i="1"/>
  <c r="W19" i="1" s="1"/>
  <c r="X18" i="1"/>
  <c r="X39" i="1"/>
  <c r="X35" i="1"/>
  <c r="X31" i="1"/>
  <c r="X27" i="1"/>
  <c r="X23" i="1"/>
  <c r="X19" i="1"/>
  <c r="Y29" i="3"/>
  <c r="Y10" i="3"/>
  <c r="AD14" i="3"/>
  <c r="Y14" i="3"/>
  <c r="AE28" i="3"/>
  <c r="Y23" i="3"/>
  <c r="Y22" i="3"/>
  <c r="AE9" i="3"/>
  <c r="AD17" i="3"/>
  <c r="AE13" i="3"/>
  <c r="Y13" i="3"/>
  <c r="AD11" i="3"/>
  <c r="AD10" i="3"/>
  <c r="T11" i="3"/>
  <c r="AD29" i="3"/>
  <c r="AD24" i="3"/>
  <c r="AC19" i="3"/>
  <c r="AE20" i="3"/>
  <c r="T27" i="3"/>
  <c r="AD9" i="3"/>
  <c r="AE32" i="3"/>
  <c r="AE17" i="3"/>
  <c r="Y27" i="3"/>
  <c r="Y11" i="3"/>
  <c r="AC31" i="3"/>
  <c r="Y18" i="3"/>
  <c r="AD21" i="3"/>
  <c r="Y8" i="3"/>
  <c r="AC12" i="3"/>
  <c r="AE23" i="3"/>
  <c r="T7" i="3"/>
  <c r="AD31" i="3"/>
  <c r="AD27" i="3"/>
  <c r="AD23" i="3"/>
  <c r="AD20" i="3"/>
  <c r="AE19" i="3"/>
  <c r="T23" i="3"/>
  <c r="AE15" i="3"/>
  <c r="T12" i="3"/>
  <c r="AD12" i="3"/>
  <c r="AE11" i="3"/>
  <c r="T26" i="3"/>
  <c r="AD8" i="3"/>
  <c r="AE27" i="3"/>
  <c r="T29" i="3"/>
  <c r="T24" i="3"/>
  <c r="AE30" i="3"/>
  <c r="T31" i="3"/>
  <c r="AE26" i="3"/>
  <c r="T17" i="3"/>
  <c r="AE22" i="3"/>
  <c r="T19" i="3"/>
  <c r="AC32" i="3"/>
  <c r="AE29" i="3"/>
  <c r="AE25" i="3"/>
  <c r="AE21" i="3"/>
  <c r="AC24" i="3"/>
  <c r="AE18" i="3"/>
  <c r="AC15" i="3"/>
  <c r="AE14" i="3"/>
  <c r="AC13" i="3"/>
  <c r="AE10" i="3"/>
  <c r="AC25" i="3"/>
  <c r="AE31" i="3"/>
  <c r="AE12" i="3"/>
  <c r="AE8" i="3"/>
  <c r="U17" i="1" l="1"/>
  <c r="S17" i="1" s="1"/>
  <c r="W116" i="1"/>
  <c r="U150" i="1"/>
  <c r="S150" i="1" s="1"/>
  <c r="AI112" i="1"/>
  <c r="U158" i="1"/>
  <c r="S158" i="1" s="1"/>
  <c r="W168" i="1"/>
  <c r="U166" i="1"/>
  <c r="S166" i="1" s="1"/>
  <c r="W98" i="1"/>
  <c r="W202" i="1"/>
  <c r="U25" i="1"/>
  <c r="S25" i="1" s="1"/>
  <c r="U91" i="1"/>
  <c r="S91" i="1" s="1"/>
  <c r="U128" i="1"/>
  <c r="U126" i="1"/>
  <c r="S126" i="1" s="1"/>
  <c r="AI55" i="1"/>
  <c r="W25" i="1"/>
  <c r="U30" i="1"/>
  <c r="S30" i="1" s="1"/>
  <c r="W87" i="1"/>
  <c r="W193" i="1"/>
  <c r="W141" i="1"/>
  <c r="AI200" i="1"/>
  <c r="W112" i="1"/>
  <c r="W104" i="1"/>
  <c r="U42" i="1"/>
  <c r="S42" i="1" s="1"/>
  <c r="U29" i="1"/>
  <c r="S29" i="1" s="1"/>
  <c r="U76" i="1"/>
  <c r="S76" i="1" s="1"/>
  <c r="U87" i="1"/>
  <c r="S87" i="1" s="1"/>
  <c r="U122" i="1"/>
  <c r="S122" i="1" s="1"/>
  <c r="W38" i="1"/>
  <c r="U64" i="1"/>
  <c r="W136" i="1"/>
  <c r="W122" i="1"/>
  <c r="U26" i="1"/>
  <c r="S26" i="1" s="1"/>
  <c r="W103" i="1"/>
  <c r="AI202" i="1"/>
  <c r="W21" i="1"/>
  <c r="W170" i="1"/>
  <c r="W91" i="1"/>
  <c r="W121" i="1"/>
  <c r="W180" i="1"/>
  <c r="U132" i="1"/>
  <c r="S132" i="1" s="1"/>
  <c r="AI210" i="1"/>
  <c r="U208" i="1"/>
  <c r="S208" i="1" s="1"/>
  <c r="W37" i="1"/>
  <c r="U94" i="1"/>
  <c r="S94" i="1" s="1"/>
  <c r="W92" i="1"/>
  <c r="W208" i="1"/>
  <c r="U168" i="1"/>
  <c r="S168" i="1" s="1"/>
  <c r="W125" i="1"/>
  <c r="W166" i="1"/>
  <c r="AI92" i="1"/>
  <c r="W86" i="1"/>
  <c r="U22" i="1"/>
  <c r="S22" i="1" s="1"/>
  <c r="U72" i="1"/>
  <c r="S72" i="1" s="1"/>
  <c r="AI109" i="1"/>
  <c r="U86" i="1"/>
  <c r="S86" i="1" s="1"/>
  <c r="W187" i="1"/>
  <c r="W129" i="1"/>
  <c r="AI190" i="1"/>
  <c r="AI193" i="1"/>
  <c r="AI166" i="1"/>
  <c r="W64" i="1"/>
  <c r="W60" i="1"/>
  <c r="W173" i="1"/>
  <c r="W196" i="1"/>
  <c r="W179" i="1"/>
  <c r="U202" i="1"/>
  <c r="S202" i="1" s="1"/>
  <c r="AI212" i="1"/>
  <c r="W108" i="1"/>
  <c r="W145" i="1"/>
  <c r="W161" i="1"/>
  <c r="W164" i="1"/>
  <c r="W195" i="1"/>
  <c r="W158" i="1"/>
  <c r="AI209" i="1"/>
  <c r="W29" i="1"/>
  <c r="W155" i="1"/>
  <c r="W210" i="1"/>
  <c r="W150" i="1"/>
  <c r="W194" i="1"/>
  <c r="W102" i="1"/>
  <c r="U188" i="1"/>
  <c r="S188" i="1" s="1"/>
  <c r="AI188" i="1"/>
  <c r="W17" i="1"/>
  <c r="W26" i="1"/>
  <c r="W126" i="1"/>
  <c r="W188" i="1"/>
  <c r="W34" i="1"/>
  <c r="U184" i="1"/>
  <c r="S184" i="1" s="1"/>
  <c r="U179" i="1"/>
  <c r="S179" i="1" s="1"/>
  <c r="AI179" i="1"/>
  <c r="U102" i="1"/>
  <c r="S102" i="1" s="1"/>
  <c r="AI102" i="1"/>
  <c r="U106" i="1"/>
  <c r="S106" i="1" s="1"/>
  <c r="AI106" i="1"/>
  <c r="U138" i="1"/>
  <c r="S138" i="1" s="1"/>
  <c r="AI138" i="1"/>
  <c r="W114" i="1"/>
  <c r="W138" i="1"/>
  <c r="W181" i="1"/>
  <c r="AI181" i="1"/>
  <c r="U56" i="1"/>
  <c r="S56" i="1" s="1"/>
  <c r="AI56" i="1"/>
  <c r="U60" i="1"/>
  <c r="S60" i="1" s="1"/>
  <c r="AI60" i="1"/>
  <c r="W72" i="1"/>
  <c r="U173" i="1"/>
  <c r="S173" i="1" s="1"/>
  <c r="AI173" i="1"/>
  <c r="W190" i="1"/>
  <c r="W159" i="1"/>
  <c r="U104" i="1"/>
  <c r="S104" i="1" s="1"/>
  <c r="AI104" i="1"/>
  <c r="U62" i="1"/>
  <c r="S62" i="1" s="1"/>
  <c r="AI62" i="1"/>
  <c r="W56" i="1"/>
  <c r="W82" i="1"/>
  <c r="U33" i="1"/>
  <c r="S33" i="1" s="1"/>
  <c r="AI33" i="1"/>
  <c r="U58" i="1"/>
  <c r="S58" i="1" s="1"/>
  <c r="AI58" i="1"/>
  <c r="U143" i="1"/>
  <c r="S143" i="1" s="1"/>
  <c r="AI143" i="1"/>
  <c r="U100" i="1"/>
  <c r="S100" i="1" s="1"/>
  <c r="AI100" i="1"/>
  <c r="U130" i="1"/>
  <c r="S130" i="1" s="1"/>
  <c r="AI130" i="1"/>
  <c r="U147" i="1"/>
  <c r="S147" i="1" s="1"/>
  <c r="AI147" i="1"/>
  <c r="U98" i="1"/>
  <c r="S98" i="1" s="1"/>
  <c r="AI98" i="1"/>
  <c r="W128" i="1"/>
  <c r="W184" i="1"/>
  <c r="W130" i="1"/>
  <c r="W42" i="1"/>
  <c r="U67" i="1"/>
  <c r="S67" i="1" s="1"/>
  <c r="AI67" i="1"/>
  <c r="W76" i="1"/>
  <c r="W30" i="1"/>
  <c r="U37" i="1"/>
  <c r="S37" i="1" s="1"/>
  <c r="AI37" i="1"/>
  <c r="U84" i="1"/>
  <c r="S84" i="1" s="1"/>
  <c r="AI84" i="1"/>
  <c r="U116" i="1"/>
  <c r="AI116" i="1"/>
  <c r="W96" i="1"/>
  <c r="W206" i="1"/>
  <c r="U65" i="1"/>
  <c r="S65" i="1" s="1"/>
  <c r="AI65" i="1"/>
  <c r="U19" i="1"/>
  <c r="S19" i="1" s="1"/>
  <c r="AI19" i="1"/>
  <c r="U31" i="1"/>
  <c r="S31" i="1" s="1"/>
  <c r="AI31" i="1"/>
  <c r="AI18" i="1"/>
  <c r="U18" i="1"/>
  <c r="S18" i="1" s="1"/>
  <c r="U69" i="1"/>
  <c r="S69" i="1" s="1"/>
  <c r="AI69" i="1"/>
  <c r="AI99" i="1"/>
  <c r="U167" i="1"/>
  <c r="S167" i="1" s="1"/>
  <c r="AI113" i="1"/>
  <c r="U180" i="1"/>
  <c r="S180" i="1" s="1"/>
  <c r="AI129" i="1"/>
  <c r="U194" i="1"/>
  <c r="S194" i="1" s="1"/>
  <c r="AI146" i="1"/>
  <c r="U109" i="1"/>
  <c r="S109" i="1" s="1"/>
  <c r="U27" i="1"/>
  <c r="S27" i="1" s="1"/>
  <c r="AI27" i="1"/>
  <c r="AI14" i="1"/>
  <c r="U14" i="1"/>
  <c r="S14" i="1" s="1"/>
  <c r="U35" i="1"/>
  <c r="S35" i="1" s="1"/>
  <c r="AI35" i="1"/>
  <c r="U73" i="1"/>
  <c r="S73" i="1" s="1"/>
  <c r="AI73" i="1"/>
  <c r="W27" i="1"/>
  <c r="AI103" i="1"/>
  <c r="U171" i="1"/>
  <c r="S171" i="1" s="1"/>
  <c r="W73" i="1"/>
  <c r="W167" i="1"/>
  <c r="AI117" i="1"/>
  <c r="U183" i="1"/>
  <c r="S183" i="1" s="1"/>
  <c r="AI133" i="1"/>
  <c r="U99" i="1"/>
  <c r="S99" i="1" s="1"/>
  <c r="U113" i="1"/>
  <c r="S113" i="1" s="1"/>
  <c r="AI153" i="1"/>
  <c r="U117" i="1"/>
  <c r="W99" i="1"/>
  <c r="W113" i="1"/>
  <c r="AI157" i="1"/>
  <c r="U121" i="1"/>
  <c r="S121" i="1" s="1"/>
  <c r="AI168" i="1"/>
  <c r="U133" i="1"/>
  <c r="S133" i="1" s="1"/>
  <c r="AI176" i="1"/>
  <c r="U142" i="1"/>
  <c r="S142" i="1" s="1"/>
  <c r="AI187" i="1"/>
  <c r="U152" i="1"/>
  <c r="S152" i="1" s="1"/>
  <c r="AI191" i="1"/>
  <c r="U156" i="1"/>
  <c r="S156" i="1" s="1"/>
  <c r="AI195" i="1"/>
  <c r="U160" i="1"/>
  <c r="S160" i="1" s="1"/>
  <c r="AI199" i="1"/>
  <c r="U197" i="1"/>
  <c r="S197" i="1" s="1"/>
  <c r="AI203" i="1"/>
  <c r="U201" i="1"/>
  <c r="S201" i="1" s="1"/>
  <c r="AI207" i="1"/>
  <c r="U205" i="1"/>
  <c r="S205" i="1" s="1"/>
  <c r="AI211" i="1"/>
  <c r="U209" i="1"/>
  <c r="S209" i="1" s="1"/>
  <c r="AI215" i="1"/>
  <c r="U215" i="1"/>
  <c r="S215" i="1" s="1"/>
  <c r="W156" i="1"/>
  <c r="W205" i="1"/>
  <c r="W152" i="1"/>
  <c r="W201" i="1"/>
  <c r="U23" i="1"/>
  <c r="S23" i="1" s="1"/>
  <c r="AI23" i="1"/>
  <c r="U39" i="1"/>
  <c r="S39" i="1" s="1"/>
  <c r="AI39" i="1"/>
  <c r="W14" i="1"/>
  <c r="W35" i="1"/>
  <c r="W39" i="1"/>
  <c r="W69" i="1"/>
  <c r="W171" i="1"/>
  <c r="W65" i="1"/>
  <c r="AI114" i="1"/>
  <c r="U181" i="1"/>
  <c r="S181" i="1" s="1"/>
  <c r="AI121" i="1"/>
  <c r="U187" i="1"/>
  <c r="S187" i="1" s="1"/>
  <c r="AI137" i="1"/>
  <c r="U103" i="1"/>
  <c r="S103" i="1" s="1"/>
  <c r="W117" i="1"/>
  <c r="W183" i="1"/>
  <c r="AI161" i="1"/>
  <c r="U125" i="1"/>
  <c r="S125" i="1" s="1"/>
  <c r="W133" i="1"/>
  <c r="AI107" i="1"/>
  <c r="U174" i="1"/>
  <c r="S174" i="1" s="1"/>
  <c r="W174" i="1"/>
  <c r="AI125" i="1"/>
  <c r="U191" i="1"/>
  <c r="S191" i="1" s="1"/>
  <c r="AI142" i="1"/>
  <c r="U105" i="1"/>
  <c r="S105" i="1" s="1"/>
  <c r="W105" i="1"/>
  <c r="AI164" i="1"/>
  <c r="U129" i="1"/>
  <c r="S129" i="1" s="1"/>
  <c r="AI172" i="1"/>
  <c r="U137" i="1"/>
  <c r="S137" i="1" s="1"/>
  <c r="AI180" i="1"/>
  <c r="U146" i="1"/>
  <c r="S146" i="1" s="1"/>
  <c r="W137" i="1"/>
  <c r="W197" i="1"/>
  <c r="W160" i="1"/>
  <c r="W215" i="1"/>
  <c r="M16" i="3"/>
  <c r="R16" i="3"/>
  <c r="S16" i="3"/>
  <c r="U16" i="3"/>
  <c r="V16" i="3"/>
  <c r="W16" i="3"/>
  <c r="X16" i="3"/>
  <c r="AC16" i="3" l="1"/>
  <c r="AD16" i="3"/>
  <c r="AE16" i="3"/>
  <c r="Y16" i="3"/>
  <c r="T16" i="3"/>
  <c r="AD7" i="3" l="1"/>
  <c r="AE7" i="3"/>
  <c r="M28" i="5" l="1"/>
  <c r="M23" i="5" l="1"/>
  <c r="AN13" i="1" l="1"/>
  <c r="D22" i="10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2" i="10" l="1"/>
  <c r="L22" i="10" s="1"/>
  <c r="K23" i="10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Q31" i="10"/>
  <c r="Q29" i="10"/>
  <c r="Q26" i="10"/>
  <c r="Q23" i="10"/>
  <c r="H23" i="10" s="1"/>
  <c r="Q22" i="10"/>
  <c r="Q18" i="10"/>
  <c r="H18" i="10" s="1"/>
  <c r="Q15" i="10"/>
  <c r="H15" i="10" s="1"/>
  <c r="Q13" i="10"/>
  <c r="H13" i="10" s="1"/>
  <c r="Q11" i="10"/>
  <c r="Q9" i="10"/>
  <c r="Q7" i="10"/>
  <c r="Q5" i="10"/>
  <c r="Q35" i="10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H22" i="10" l="1"/>
  <c r="I5" i="10"/>
  <c r="H5" i="10"/>
  <c r="I23" i="10"/>
  <c r="D25" i="10"/>
  <c r="K24" i="10"/>
  <c r="L24" i="10" s="1"/>
  <c r="I34" i="10"/>
  <c r="I22" i="10"/>
  <c r="I18" i="10"/>
  <c r="I16" i="10"/>
  <c r="I14" i="10"/>
  <c r="H34" i="10"/>
  <c r="H35" i="10"/>
  <c r="K7" i="10"/>
  <c r="L7" i="10" s="1"/>
  <c r="H7" i="10" s="1"/>
  <c r="D8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H25" i="10"/>
  <c r="L9" i="10"/>
  <c r="H9" i="10" s="1"/>
  <c r="I9" i="10"/>
  <c r="L26" i="10"/>
  <c r="I26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L10" i="10"/>
  <c r="H10" i="10" s="1"/>
  <c r="I10" i="10"/>
  <c r="L27" i="10"/>
  <c r="I27" i="10"/>
  <c r="H26" i="10"/>
  <c r="B87" i="9"/>
  <c r="B88" i="9"/>
  <c r="B89" i="9"/>
  <c r="B90" i="9"/>
  <c r="B91" i="9"/>
  <c r="B92" i="9"/>
  <c r="H27" i="10" l="1"/>
  <c r="D30" i="10"/>
  <c r="K29" i="10"/>
  <c r="L28" i="10"/>
  <c r="I28" i="10"/>
  <c r="C88" i="9"/>
  <c r="C92" i="9"/>
  <c r="C93" i="9"/>
  <c r="C90" i="9"/>
  <c r="C89" i="9"/>
  <c r="C91" i="9"/>
  <c r="H28" i="10" l="1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H31" i="10"/>
  <c r="L32" i="10"/>
  <c r="I32" i="10"/>
  <c r="C61" i="9"/>
  <c r="C57" i="9"/>
  <c r="C59" i="9"/>
  <c r="C62" i="9"/>
  <c r="C60" i="9"/>
  <c r="C58" i="9"/>
  <c r="C56" i="9"/>
  <c r="H32" i="10" l="1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B31" i="9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N25" i="3" s="1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N21" i="3" s="1"/>
  <c r="G63" i="4"/>
  <c r="G64" i="4"/>
  <c r="G65" i="4"/>
  <c r="G66" i="4"/>
  <c r="G67" i="4"/>
  <c r="G68" i="4"/>
  <c r="G69" i="4"/>
  <c r="G70" i="4"/>
  <c r="G71" i="4"/>
  <c r="G72" i="4"/>
  <c r="N22" i="3" s="1"/>
  <c r="G73" i="4"/>
  <c r="G74" i="4"/>
  <c r="G75" i="4"/>
  <c r="N16" i="3" s="1"/>
  <c r="G76" i="4"/>
  <c r="N13" i="3" s="1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N30" i="3" s="1"/>
  <c r="G95" i="4"/>
  <c r="G96" i="4"/>
  <c r="G97" i="4"/>
  <c r="G98" i="4"/>
  <c r="G99" i="4"/>
  <c r="G100" i="4"/>
  <c r="G101" i="4"/>
  <c r="N12" i="3" s="1"/>
  <c r="G102" i="4"/>
  <c r="G103" i="4"/>
  <c r="G104" i="4"/>
  <c r="G105" i="4"/>
  <c r="G106" i="4"/>
  <c r="G107" i="4"/>
  <c r="N15" i="3" s="1"/>
  <c r="G108" i="4"/>
  <c r="G109" i="4"/>
  <c r="G110" i="4"/>
  <c r="G111" i="4"/>
  <c r="G112" i="4"/>
  <c r="N27" i="3" s="1"/>
  <c r="G113" i="4"/>
  <c r="G114" i="4"/>
  <c r="N24" i="3" s="1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N19" i="3" s="1"/>
  <c r="G129" i="4"/>
  <c r="N7" i="3" s="1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N28" i="3" s="1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N10" i="3" s="1"/>
  <c r="G157" i="4"/>
  <c r="G158" i="4"/>
  <c r="N17" i="3" s="1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N29" i="3" s="1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N11" i="3" s="1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1" i="3" l="1"/>
  <c r="N32" i="3"/>
  <c r="N14" i="3"/>
  <c r="N18" i="3"/>
  <c r="N20" i="3"/>
  <c r="N26" i="3"/>
  <c r="N9" i="3"/>
  <c r="N23" i="3"/>
  <c r="N8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35" i="10"/>
  <c r="G4" i="10"/>
  <c r="G2" i="10"/>
  <c r="G22" i="10"/>
  <c r="G13" i="10"/>
  <c r="G21" i="10"/>
  <c r="G34" i="10"/>
  <c r="G19" i="10"/>
  <c r="G6" i="10"/>
  <c r="G15" i="10"/>
  <c r="G23" i="10"/>
  <c r="G20" i="10"/>
  <c r="G3" i="10"/>
  <c r="G12" i="10"/>
  <c r="G14" i="10"/>
  <c r="G18" i="10"/>
  <c r="G16" i="10"/>
  <c r="G17" i="10"/>
  <c r="G5" i="10"/>
  <c r="G24" i="10"/>
  <c r="G7" i="10"/>
  <c r="G25" i="10"/>
  <c r="G8" i="10"/>
  <c r="G9" i="10"/>
  <c r="G26" i="10"/>
  <c r="G11" i="10"/>
  <c r="G10" i="10"/>
  <c r="G27" i="10"/>
  <c r="G28" i="10"/>
  <c r="G29" i="10"/>
  <c r="G30" i="10"/>
  <c r="G31" i="10"/>
  <c r="G32" i="10"/>
  <c r="G33" i="10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I3" i="6" l="1"/>
  <c r="F3" i="6"/>
  <c r="H3" i="6"/>
  <c r="J3" i="6"/>
  <c r="G3" i="6"/>
  <c r="B4" i="6" l="1"/>
  <c r="I4" i="6" l="1"/>
  <c r="F4" i="6"/>
  <c r="B5" i="6"/>
  <c r="J4" i="6"/>
  <c r="G4" i="6"/>
  <c r="H4" i="6"/>
  <c r="I5" i="6" l="1"/>
  <c r="F5" i="6"/>
  <c r="B6" i="6"/>
  <c r="J5" i="6"/>
  <c r="G5" i="6"/>
  <c r="H5" i="6"/>
  <c r="I6" i="6" l="1"/>
  <c r="F6" i="6"/>
  <c r="H6" i="6"/>
  <c r="J6" i="6"/>
  <c r="G6" i="6"/>
  <c r="B7" i="6"/>
  <c r="I7" i="6" l="1"/>
  <c r="F7" i="6"/>
  <c r="B8" i="6"/>
  <c r="G7" i="6"/>
  <c r="J7" i="6"/>
  <c r="H7" i="6"/>
  <c r="I8" i="6" l="1"/>
  <c r="F8" i="6"/>
  <c r="G8" i="6"/>
  <c r="H8" i="6"/>
  <c r="J8" i="6"/>
  <c r="B9" i="6"/>
  <c r="I9" i="6" l="1"/>
  <c r="F9" i="6"/>
  <c r="J9" i="6"/>
  <c r="G9" i="6"/>
  <c r="H9" i="6"/>
  <c r="B10" i="6"/>
  <c r="I10" i="6" l="1"/>
  <c r="F10" i="6"/>
  <c r="G10" i="6"/>
  <c r="H10" i="6"/>
  <c r="J10" i="6"/>
  <c r="B11" i="6"/>
  <c r="I11" i="6" l="1"/>
  <c r="F11" i="6"/>
  <c r="B12" i="6"/>
  <c r="J11" i="6"/>
  <c r="H11" i="6"/>
  <c r="G11" i="6"/>
  <c r="I12" i="6" l="1"/>
  <c r="F12" i="6"/>
  <c r="J12" i="6"/>
  <c r="G12" i="6"/>
  <c r="H12" i="6"/>
  <c r="B13" i="6"/>
  <c r="I13" i="6" l="1"/>
  <c r="F13" i="6"/>
  <c r="B14" i="6"/>
  <c r="G13" i="6"/>
  <c r="J13" i="6"/>
  <c r="H13" i="6"/>
  <c r="I14" i="6" l="1"/>
  <c r="F14" i="6"/>
  <c r="G14" i="6"/>
  <c r="J14" i="6"/>
  <c r="H14" i="6"/>
  <c r="B15" i="6"/>
  <c r="I15" i="6" l="1"/>
  <c r="F15" i="6"/>
  <c r="B16" i="6"/>
  <c r="G15" i="6"/>
  <c r="J15" i="6"/>
  <c r="H15" i="6"/>
  <c r="I16" i="6" l="1"/>
  <c r="F16" i="6"/>
  <c r="G16" i="6"/>
  <c r="H16" i="6"/>
  <c r="J16" i="6"/>
  <c r="B17" i="6" l="1"/>
  <c r="I17" i="6" l="1"/>
  <c r="F17" i="6"/>
  <c r="G17" i="6"/>
  <c r="H17" i="6"/>
  <c r="J17" i="6"/>
  <c r="B18" i="6"/>
  <c r="I18" i="6" l="1"/>
  <c r="F18" i="6"/>
  <c r="G18" i="6"/>
  <c r="H18" i="6"/>
  <c r="J18" i="6"/>
  <c r="B19" i="6"/>
  <c r="I19" i="6" l="1"/>
  <c r="F19" i="6"/>
  <c r="B20" i="6"/>
  <c r="J19" i="6"/>
  <c r="G19" i="6"/>
  <c r="H19" i="6"/>
  <c r="I20" i="6" l="1"/>
  <c r="F20" i="6"/>
  <c r="B21" i="6"/>
  <c r="J20" i="6"/>
  <c r="G20" i="6"/>
  <c r="H20" i="6"/>
  <c r="I21" i="6" l="1"/>
  <c r="F21" i="6"/>
  <c r="H21" i="6"/>
  <c r="G21" i="6"/>
  <c r="J21" i="6"/>
  <c r="B22" i="6"/>
  <c r="I22" i="6" l="1"/>
  <c r="F22" i="6"/>
  <c r="B23" i="6"/>
  <c r="G22" i="6"/>
  <c r="J22" i="6"/>
  <c r="H22" i="6"/>
  <c r="I23" i="6" l="1"/>
  <c r="F23" i="6"/>
  <c r="B24" i="6"/>
  <c r="J23" i="6"/>
  <c r="G23" i="6"/>
  <c r="H23" i="6"/>
  <c r="I24" i="6" l="1"/>
  <c r="F24" i="6"/>
  <c r="J24" i="6"/>
  <c r="G24" i="6"/>
  <c r="H24" i="6"/>
  <c r="B25" i="6"/>
  <c r="I25" i="6" l="1"/>
  <c r="F25" i="6"/>
  <c r="H25" i="6"/>
  <c r="J25" i="6"/>
  <c r="G25" i="6"/>
  <c r="B26" i="6"/>
  <c r="I26" i="6" l="1"/>
  <c r="F26" i="6"/>
  <c r="B27" i="6"/>
  <c r="J26" i="6"/>
  <c r="H26" i="6"/>
  <c r="G26" i="6"/>
  <c r="I27" i="6" l="1"/>
  <c r="F27" i="6"/>
  <c r="J27" i="6"/>
  <c r="G27" i="6"/>
  <c r="H27" i="6"/>
  <c r="B28" i="6"/>
  <c r="I28" i="6" l="1"/>
  <c r="F28" i="6"/>
  <c r="G28" i="6"/>
  <c r="H28" i="6"/>
  <c r="J28" i="6"/>
  <c r="B29" i="6"/>
  <c r="I29" i="6" l="1"/>
  <c r="F29" i="6"/>
  <c r="G29" i="6"/>
  <c r="H29" i="6"/>
  <c r="J29" i="6"/>
  <c r="B30" i="6"/>
  <c r="I30" i="6" l="1"/>
  <c r="F30" i="6"/>
  <c r="B31" i="6"/>
  <c r="J30" i="6"/>
  <c r="H30" i="6"/>
  <c r="G30" i="6"/>
  <c r="I31" i="6" l="1"/>
  <c r="F31" i="6"/>
  <c r="B32" i="6"/>
  <c r="J31" i="6"/>
  <c r="G31" i="6"/>
  <c r="H31" i="6"/>
  <c r="I32" i="6" l="1"/>
  <c r="F32" i="6"/>
  <c r="H32" i="6"/>
  <c r="G32" i="6"/>
  <c r="J32" i="6"/>
  <c r="B33" i="6"/>
  <c r="I33" i="6" l="1"/>
  <c r="F33" i="6"/>
  <c r="G33" i="6"/>
  <c r="H33" i="6"/>
  <c r="J33" i="6"/>
  <c r="B34" i="6"/>
  <c r="I34" i="6" l="1"/>
  <c r="F34" i="6"/>
  <c r="B35" i="6"/>
  <c r="J34" i="6"/>
  <c r="H34" i="6"/>
  <c r="G34" i="6"/>
  <c r="I35" i="6" l="1"/>
  <c r="F35" i="6"/>
  <c r="B36" i="6"/>
  <c r="J35" i="6"/>
  <c r="G35" i="6"/>
  <c r="H35" i="6"/>
  <c r="I36" i="6" l="1"/>
  <c r="F36" i="6"/>
  <c r="B37" i="6"/>
  <c r="J36" i="6"/>
  <c r="G36" i="6"/>
  <c r="H36" i="6"/>
  <c r="I37" i="6" l="1"/>
  <c r="F37" i="6"/>
  <c r="J37" i="6"/>
  <c r="H37" i="6"/>
  <c r="G37" i="6"/>
  <c r="B38" i="6"/>
  <c r="I38" i="6" l="1"/>
  <c r="F38" i="6"/>
  <c r="J38" i="6"/>
  <c r="H38" i="6"/>
  <c r="G38" i="6"/>
  <c r="B39" i="6"/>
  <c r="I39" i="6" l="1"/>
  <c r="F39" i="6"/>
  <c r="J39" i="6"/>
  <c r="G39" i="6"/>
  <c r="H39" i="6"/>
  <c r="B40" i="6"/>
  <c r="I40" i="6" l="1"/>
  <c r="F40" i="6"/>
  <c r="B41" i="6"/>
  <c r="G40" i="6"/>
  <c r="H40" i="6"/>
  <c r="J40" i="6"/>
  <c r="I41" i="6" l="1"/>
  <c r="F41" i="6"/>
  <c r="G41" i="6"/>
  <c r="H41" i="6"/>
  <c r="J41" i="6"/>
  <c r="B42" i="6"/>
  <c r="I42" i="6" l="1"/>
  <c r="F42" i="6"/>
  <c r="B43" i="6"/>
  <c r="J42" i="6"/>
  <c r="G42" i="6"/>
  <c r="H42" i="6"/>
  <c r="I43" i="6" l="1"/>
  <c r="F43" i="6"/>
  <c r="H43" i="6"/>
  <c r="G43" i="6"/>
  <c r="J43" i="6"/>
  <c r="B44" i="6"/>
  <c r="I44" i="6" l="1"/>
  <c r="F44" i="6"/>
  <c r="B45" i="6"/>
  <c r="H44" i="6"/>
  <c r="G44" i="6"/>
  <c r="J44" i="6"/>
  <c r="I45" i="6" l="1"/>
  <c r="F45" i="6"/>
  <c r="B46" i="6"/>
  <c r="J45" i="6"/>
  <c r="H45" i="6"/>
  <c r="G45" i="6"/>
  <c r="I46" i="6" l="1"/>
  <c r="F46" i="6"/>
  <c r="J46" i="6"/>
  <c r="H46" i="6"/>
  <c r="G46" i="6"/>
  <c r="B47" i="6"/>
  <c r="I47" i="6" l="1"/>
  <c r="F47" i="6"/>
  <c r="J47" i="6"/>
  <c r="H47" i="6"/>
  <c r="G47" i="6"/>
  <c r="B48" i="6"/>
  <c r="I48" i="6" l="1"/>
  <c r="F48" i="6"/>
  <c r="B49" i="6"/>
  <c r="J48" i="6"/>
  <c r="G48" i="6"/>
  <c r="H48" i="6"/>
  <c r="I49" i="6" l="1"/>
  <c r="F49" i="6"/>
  <c r="B50" i="6"/>
  <c r="G49" i="6"/>
  <c r="H49" i="6"/>
  <c r="J49" i="6"/>
  <c r="I50" i="6" l="1"/>
  <c r="F50" i="6"/>
  <c r="B51" i="6"/>
  <c r="J50" i="6"/>
  <c r="H50" i="6"/>
  <c r="G50" i="6"/>
  <c r="I51" i="6" l="1"/>
  <c r="F51" i="6"/>
  <c r="B52" i="6"/>
  <c r="H51" i="6"/>
  <c r="J51" i="6"/>
  <c r="G51" i="6"/>
  <c r="I52" i="6" l="1"/>
  <c r="F52" i="6"/>
  <c r="G52" i="6"/>
  <c r="H52" i="6"/>
  <c r="J52" i="6"/>
  <c r="B53" i="6"/>
  <c r="I53" i="6" l="1"/>
  <c r="F53" i="6"/>
  <c r="B54" i="6"/>
  <c r="G53" i="6"/>
  <c r="J53" i="6"/>
  <c r="H53" i="6"/>
  <c r="I54" i="6" l="1"/>
  <c r="F54" i="6"/>
  <c r="H54" i="6"/>
  <c r="J54" i="6"/>
  <c r="G54" i="6"/>
  <c r="B55" i="6"/>
  <c r="I55" i="6" l="1"/>
  <c r="F55" i="6"/>
  <c r="H55" i="6"/>
  <c r="G55" i="6"/>
  <c r="J55" i="6"/>
  <c r="B56" i="6"/>
  <c r="I56" i="6" l="1"/>
  <c r="F56" i="6"/>
  <c r="H56" i="6"/>
  <c r="G56" i="6"/>
  <c r="J56" i="6"/>
  <c r="B57" i="6"/>
  <c r="I57" i="6" l="1"/>
  <c r="F57" i="6"/>
  <c r="H57" i="6"/>
  <c r="J57" i="6"/>
  <c r="G57" i="6"/>
  <c r="B58" i="6"/>
  <c r="I58" i="6" l="1"/>
  <c r="F58" i="6"/>
  <c r="J58" i="6"/>
  <c r="G58" i="6"/>
  <c r="H58" i="6"/>
  <c r="B59" i="6"/>
  <c r="I59" i="6" l="1"/>
  <c r="F59" i="6"/>
  <c r="J59" i="6"/>
  <c r="H59" i="6"/>
  <c r="G59" i="6"/>
  <c r="B60" i="6"/>
  <c r="I60" i="6" l="1"/>
  <c r="F60" i="6"/>
  <c r="G60" i="6"/>
  <c r="H60" i="6"/>
  <c r="J60" i="6"/>
  <c r="B61" i="6"/>
  <c r="I61" i="6" l="1"/>
  <c r="F61" i="6"/>
  <c r="B62" i="6"/>
  <c r="J61" i="6"/>
  <c r="G61" i="6"/>
  <c r="H61" i="6"/>
  <c r="I62" i="6" l="1"/>
  <c r="F62" i="6"/>
  <c r="J62" i="6"/>
  <c r="H62" i="6"/>
  <c r="G62" i="6"/>
  <c r="B63" i="6"/>
  <c r="I63" i="6" l="1"/>
  <c r="F63" i="6"/>
  <c r="B64" i="6"/>
  <c r="J63" i="6"/>
  <c r="G63" i="6"/>
  <c r="H63" i="6"/>
  <c r="I64" i="6" l="1"/>
  <c r="F64" i="6"/>
  <c r="B65" i="6"/>
  <c r="H64" i="6"/>
  <c r="G64" i="6"/>
  <c r="J64" i="6"/>
  <c r="I65" i="6" l="1"/>
  <c r="F65" i="6"/>
  <c r="B66" i="6"/>
  <c r="J65" i="6"/>
  <c r="G65" i="6"/>
  <c r="H65" i="6"/>
  <c r="I66" i="6" l="1"/>
  <c r="F66" i="6"/>
  <c r="B67" i="6"/>
  <c r="J66" i="6"/>
  <c r="H66" i="6"/>
  <c r="G66" i="6"/>
  <c r="I67" i="6" l="1"/>
  <c r="F67" i="6"/>
  <c r="G67" i="6"/>
  <c r="H67" i="6"/>
  <c r="J67" i="6"/>
  <c r="B68" i="6"/>
  <c r="I68" i="6" l="1"/>
  <c r="F68" i="6"/>
  <c r="B69" i="6"/>
  <c r="J68" i="6"/>
  <c r="G68" i="6"/>
  <c r="H68" i="6"/>
  <c r="I69" i="6" l="1"/>
  <c r="F69" i="6"/>
  <c r="G69" i="6"/>
  <c r="H69" i="6"/>
  <c r="J69" i="6"/>
  <c r="B70" i="6"/>
  <c r="I70" i="6" l="1"/>
  <c r="F70" i="6"/>
  <c r="H70" i="6"/>
  <c r="G70" i="6"/>
  <c r="J70" i="6"/>
  <c r="B71" i="6"/>
  <c r="I71" i="6" l="1"/>
  <c r="F71" i="6"/>
  <c r="J71" i="6"/>
  <c r="H71" i="6"/>
  <c r="G71" i="6"/>
  <c r="B72" i="6"/>
  <c r="I72" i="6" l="1"/>
  <c r="F72" i="6"/>
  <c r="H72" i="6"/>
  <c r="G72" i="6"/>
  <c r="J72" i="6"/>
  <c r="B73" i="6"/>
  <c r="I73" i="6" l="1"/>
  <c r="F73" i="6"/>
  <c r="H73" i="6"/>
  <c r="G73" i="6"/>
  <c r="J73" i="6"/>
  <c r="B74" i="6"/>
  <c r="I74" i="6" l="1"/>
  <c r="F74" i="6"/>
  <c r="J74" i="6"/>
  <c r="G74" i="6"/>
  <c r="H74" i="6"/>
  <c r="B75" i="6"/>
  <c r="I75" i="6" l="1"/>
  <c r="F75" i="6"/>
  <c r="G75" i="6"/>
  <c r="H75" i="6"/>
  <c r="J75" i="6"/>
  <c r="B76" i="6"/>
  <c r="I76" i="6" l="1"/>
  <c r="F76" i="6"/>
  <c r="B77" i="6"/>
  <c r="H76" i="6"/>
  <c r="G76" i="6"/>
  <c r="J76" i="6"/>
  <c r="I77" i="6" l="1"/>
  <c r="F77" i="6"/>
  <c r="B78" i="6"/>
  <c r="J77" i="6"/>
  <c r="G77" i="6"/>
  <c r="H77" i="6"/>
  <c r="I78" i="6" l="1"/>
  <c r="F78" i="6"/>
  <c r="H78" i="6"/>
  <c r="G78" i="6"/>
  <c r="J78" i="6"/>
  <c r="B79" i="6"/>
  <c r="I79" i="6" l="1"/>
  <c r="F79" i="6"/>
  <c r="H79" i="6"/>
  <c r="J79" i="6"/>
  <c r="G79" i="6"/>
  <c r="B80" i="6"/>
  <c r="I80" i="6" l="1"/>
  <c r="F80" i="6"/>
  <c r="G80" i="6"/>
  <c r="J80" i="6"/>
  <c r="H80" i="6"/>
  <c r="B81" i="6"/>
  <c r="I81" i="6" l="1"/>
  <c r="F81" i="6"/>
  <c r="B82" i="6"/>
  <c r="H81" i="6"/>
  <c r="J81" i="6"/>
  <c r="G81" i="6"/>
  <c r="I82" i="6" l="1"/>
  <c r="F82" i="6"/>
  <c r="B83" i="6"/>
  <c r="J82" i="6"/>
  <c r="H82" i="6"/>
  <c r="G82" i="6"/>
  <c r="I83" i="6" l="1"/>
  <c r="F83" i="6"/>
  <c r="B85" i="6"/>
  <c r="B84" i="6"/>
  <c r="G83" i="6"/>
  <c r="H83" i="6"/>
  <c r="J83" i="6"/>
  <c r="I84" i="6" l="1"/>
  <c r="F84" i="6"/>
  <c r="I85" i="6"/>
  <c r="F85" i="6"/>
  <c r="G84" i="6"/>
  <c r="H84" i="6"/>
  <c r="J84" i="6"/>
  <c r="J85" i="6"/>
  <c r="G85" i="6"/>
  <c r="H8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<sst xmlns="http://schemas.openxmlformats.org/spreadsheetml/2006/main" count="2763" uniqueCount="989">
  <si>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</si>
  <si>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</si>
  <si>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</si>
  <si>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</si>
  <si>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</si>
  <si>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</si>
  <si>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</si>
  <si>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</si>
  <si>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</si>
  <si>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</si>
  <si>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</si>
  <si>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</si>
  <si>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</si>
  <si>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</si>
  <si>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</si>
  <si>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</si>
  <si>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</si>
  <si>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</si>
  <si>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</si>
  <si>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</si>
  <si>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</si>
  <si>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</si>
  <si>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</si>
  <si>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</si>
  <si>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</si>
  <si>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</si>
  <si>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</si>
  <si>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</si>
  <si>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</si>
  <si>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</si>
  <si>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</si>
  <si>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</si>
  <si>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</si>
  <si>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</si>
  <si>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</si>
  <si>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</si>
  <si>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</si>
  <si>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</si>
  <si>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</si>
  <si>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</si>
  <si>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</si>
  <si>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</si>
  <si>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</si>
  <si>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</si>
  <si>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</si>
  <si>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</si>
  <si>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</si>
  <si>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</si>
  <si>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</si>
  <si>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</si>
  <si>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</si>
  <si>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</si>
  <si>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</si>
  <si>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</si>
  <si>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</si>
  <si>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</si>
  <si>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</si>
  <si>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</si>
  <si>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</si>
  <si>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</si>
  <si>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</si>
  <si>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</si>
  <si>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</si>
  <si>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</si>
  <si>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</si>
  <si>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</si>
  <si>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</si>
  <si>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</si>
  <si>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</si>
  <si>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</si>
  <si>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</si>
  <si>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</si>
  <si>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</si>
  <si>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</si>
  <si>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</si>
  <si>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</si>
  <si>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</si>
  <si>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</si>
  <si>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</si>
  <si>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</si>
  <si>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</si>
  <si>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</si>
  <si>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</si>
  <si>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</si>
  <si>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</si>
  <si>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</si>
  <si>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</si>
  <si>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</si>
  <si>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</si>
  <si>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</si>
  <si>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</si>
  <si>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</si>
  <si>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</si>
  <si>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</si>
  <si>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</si>
  <si>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</si>
  <si>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</si>
  <si>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</si>
  <si>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</si>
  <si>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</si>
  <si>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</si>
  <si>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</si>
  <si>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</si>
  <si>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</si>
  <si>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</si>
  <si>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</si>
  <si>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</si>
  <si>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</si>
  <si>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</si>
  <si>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</si>
  <si>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</si>
  <si>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</si>
  <si>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</si>
  <si>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</si>
  <si>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</si>
  <si>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</si>
  <si>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</si>
  <si>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</si>
  <si>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</si>
  <si>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</si>
  <si>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</si>
  <si>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</si>
  <si>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</si>
  <si>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</si>
  <si>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</si>
  <si>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</si>
  <si>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</si>
  <si>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</si>
  <si>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</si>
  <si>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</si>
  <si>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</si>
  <si>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</si>
  <si>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</si>
  <si>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</si>
  <si>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</si>
  <si>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</si>
  <si>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</si>
  <si>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</si>
  <si>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</si>
  <si>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</si>
  <si>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</si>
  <si>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</si>
  <si>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</si>
  <si>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</si>
  <si>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</si>
  <si>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</si>
  <si>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</si>
  <si>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</si>
  <si>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</si>
  <si>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</si>
  <si>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</si>
  <si>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</si>
  <si>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</si>
  <si>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</si>
  <si>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</si>
  <si>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</si>
  <si>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</si>
  <si>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</si>
  <si>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</si>
  <si>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</si>
  <si>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</si>
  <si>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</si>
  <si>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</si>
  <si>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</si>
  <si>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</si>
  <si>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</si>
  <si>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</si>
  <si>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</si>
  <si>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</si>
  <si>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</si>
  <si>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</si>
  <si>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</si>
  <si>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</si>
  <si>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</si>
  <si>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</si>
  <si>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</si>
  <si>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</si>
  <si>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</si>
  <si>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</si>
  <si>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</si>
  <si>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</si>
  <si>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</si>
  <si>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</si>
  <si>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</si>
  <si>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</si>
  <si>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</si>
  <si>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</si>
  <si>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</si>
  <si>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</si>
  <si>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</si>
  <si>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</si>
  <si>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</si>
  <si>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</si>
  <si>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</si>
  <si>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</si>
  <si>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</si>
  <si>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</si>
  <si>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</si>
  <si>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</si>
  <si>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</si>
  <si>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</si>
  <si>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</si>
  <si>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</si>
  <si>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</si>
  <si>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204:451</t>
  </si>
  <si>
    <t>204:457</t>
  </si>
  <si>
    <t>204:460</t>
  </si>
  <si>
    <t>BROWN</t>
  </si>
  <si>
    <t>JACOB</t>
  </si>
  <si>
    <t>204:453</t>
  </si>
  <si>
    <t>204:455</t>
  </si>
  <si>
    <t>204:156</t>
  </si>
  <si>
    <t>204:147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</si>
  <si>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</si>
  <si>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</si>
  <si>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</si>
  <si>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</si>
  <si>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</si>
  <si>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</si>
  <si>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</si>
  <si>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</si>
  <si>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</si>
  <si>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</si>
  <si>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</si>
  <si>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</si>
  <si>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</si>
  <si>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</si>
  <si>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</si>
  <si>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</si>
  <si>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</si>
  <si>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</si>
  <si>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</si>
  <si>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</si>
  <si>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</si>
  <si>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</si>
  <si>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</si>
  <si>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</si>
  <si>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</si>
  <si>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</si>
  <si>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</si>
  <si>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</si>
  <si>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</si>
  <si>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</si>
  <si>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</si>
  <si>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</si>
  <si>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</si>
  <si>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</si>
  <si>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</si>
  <si>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</si>
  <si>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</si>
  <si>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</si>
  <si>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</si>
  <si>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</si>
  <si>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</si>
  <si>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</si>
  <si>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</si>
  <si>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</si>
  <si>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</si>
  <si>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</si>
  <si>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</si>
  <si>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</si>
  <si>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</si>
  <si>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</si>
  <si>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</si>
  <si>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</si>
  <si>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</si>
  <si>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</si>
  <si>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</si>
  <si>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</si>
  <si>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</si>
  <si>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</si>
  <si>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</si>
  <si>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</si>
  <si>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</si>
  <si>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</si>
  <si>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</si>
  <si>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</si>
  <si>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</si>
  <si>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</si>
  <si>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</si>
  <si>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</si>
  <si>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</si>
  <si>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</si>
  <si>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</si>
  <si>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</si>
  <si>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</si>
  <si>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</si>
  <si>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</si>
  <si>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</si>
  <si>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</si>
  <si>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</si>
  <si>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</si>
  <si>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</si>
  <si>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</si>
  <si>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</si>
  <si>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</si>
  <si>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</si>
  <si>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</si>
  <si>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</si>
  <si>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</si>
  <si>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</si>
  <si>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</si>
  <si>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</si>
  <si>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</si>
  <si>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</si>
  <si>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</si>
  <si>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</si>
  <si>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</si>
  <si>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</si>
  <si>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</si>
  <si>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</si>
  <si>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</si>
  <si>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</si>
  <si>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</si>
  <si>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</si>
  <si>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</si>
  <si>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</si>
  <si>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</si>
  <si>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</si>
  <si>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</si>
  <si>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</si>
  <si>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</si>
  <si>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</si>
  <si>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</si>
  <si>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</si>
  <si>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</si>
  <si>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</si>
  <si>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</si>
  <si>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</si>
  <si>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</si>
  <si>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</si>
  <si>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</si>
  <si>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</si>
  <si>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</si>
  <si>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</si>
  <si>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</si>
  <si>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</si>
  <si>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</si>
  <si>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</si>
  <si>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</si>
  <si>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</si>
  <si>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</si>
  <si>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</si>
  <si>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</si>
  <si>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</si>
  <si>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</si>
  <si>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 Cloudy</t>
  </si>
  <si>
    <t>partly-cloudy-day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</si>
  <si>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</si>
  <si>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</si>
  <si>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</si>
  <si>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</si>
  <si>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</si>
  <si>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</si>
  <si>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</si>
  <si>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</si>
  <si>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</si>
  <si>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</si>
  <si>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</si>
  <si>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</si>
  <si>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</si>
  <si>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</si>
  <si>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</si>
  <si>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</si>
  <si>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</si>
  <si>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</si>
  <si>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</si>
  <si>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</si>
  <si>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</si>
  <si>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</si>
  <si>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</si>
  <si>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</si>
  <si>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</si>
  <si>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</si>
  <si>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rtdc.l.rtdc.4028:itc</t>
  </si>
  <si>
    <t>rtdc.l.rtdc.4027:itc</t>
  </si>
  <si>
    <t>STAMBAUGH</t>
  </si>
  <si>
    <t>rtdc.l.rtdc.4032:itc</t>
  </si>
  <si>
    <t>rtdc.l.rtdc.4031:itc</t>
  </si>
  <si>
    <t>rtdc.l.rtdc.4046:itc</t>
  </si>
  <si>
    <t>rtdc.l.rtdc.4021:itc</t>
  </si>
  <si>
    <t>rtdc.l.rtdc.4022:itc</t>
  </si>
  <si>
    <t>SMITH</t>
  </si>
  <si>
    <t>rtdc.l.rtdc.4044:itc</t>
  </si>
  <si>
    <t>rtdc.l.rtdc.4043:itc</t>
  </si>
  <si>
    <t>rtdc.l.rtdc.4012:itc</t>
  </si>
  <si>
    <t>rtdc.l.rtdc.4029:itc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</si>
  <si>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</si>
  <si>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</si>
  <si>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</si>
  <si>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</si>
  <si>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</si>
  <si>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</si>
  <si>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</si>
  <si>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</si>
  <si>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CHANDLER</t>
  </si>
  <si>
    <t>KELVIN</t>
  </si>
  <si>
    <t>NEWELL</t>
  </si>
  <si>
    <t>204:161</t>
  </si>
  <si>
    <t>STORY</t>
  </si>
  <si>
    <t>SAMANTHA</t>
  </si>
  <si>
    <t>204:232977</t>
  </si>
  <si>
    <t>204:232994</t>
  </si>
  <si>
    <t>rtdc.l.rtdc.4014:itc</t>
  </si>
  <si>
    <t>rtdc.l.rtdc.4013:itc</t>
  </si>
  <si>
    <t>204:233295</t>
  </si>
  <si>
    <t>204:138</t>
  </si>
  <si>
    <t>204:139</t>
  </si>
  <si>
    <t>204:141</t>
  </si>
  <si>
    <t>204:163</t>
  </si>
  <si>
    <t>204:134</t>
  </si>
  <si>
    <t>WCR Redmine cURL</t>
  </si>
  <si>
    <t>27f4683f8c668ceb395ce0223286e38dfe180cf8</t>
  </si>
  <si>
    <t>https://ptcsupport.wabtec.com/issues.json</t>
  </si>
  <si>
    <t>rtdc.l.rtdc.4010:itc</t>
  </si>
  <si>
    <t>204:233304</t>
  </si>
  <si>
    <t>204:462</t>
  </si>
  <si>
    <t>204:232993</t>
  </si>
  <si>
    <t>204:440</t>
  </si>
  <si>
    <t>204:232989</t>
  </si>
  <si>
    <t>204:233308</t>
  </si>
  <si>
    <t>300:23346</t>
  </si>
  <si>
    <t>YORK</t>
  </si>
  <si>
    <t>EDGAR</t>
  </si>
  <si>
    <t>204:233315</t>
  </si>
  <si>
    <t>204:446</t>
  </si>
  <si>
    <t>rtdc.l.rtdc.4009:itc</t>
  </si>
  <si>
    <t>rtdc.l.rtdc.4045:itc</t>
  </si>
  <si>
    <t>204:471</t>
  </si>
  <si>
    <t>204:233297</t>
  </si>
  <si>
    <t>204:145</t>
  </si>
  <si>
    <t>204:466</t>
  </si>
  <si>
    <t>204:160</t>
  </si>
  <si>
    <t>DUNCAN</t>
  </si>
  <si>
    <t>SHEILA</t>
  </si>
  <si>
    <t>204:458</t>
  </si>
  <si>
    <t>204:232985</t>
  </si>
  <si>
    <t>300:58617</t>
  </si>
  <si>
    <t>rtdc.l.rtdc.4041:itc</t>
  </si>
  <si>
    <t>rtdc.l.rtdc.4004:itc</t>
  </si>
  <si>
    <t>rtdc.l.rtdc.4003:itc</t>
  </si>
  <si>
    <t>SIGNAL</t>
  </si>
  <si>
    <t>Signal based authority (5)</t>
  </si>
  <si>
    <t>Y</t>
  </si>
  <si>
    <t>rtdc.l.rtdc.4042:itc</t>
  </si>
  <si>
    <t>GUZMAN</t>
  </si>
  <si>
    <t>DANNY</t>
  </si>
  <si>
    <t>204:232971</t>
  </si>
  <si>
    <t>204:165</t>
  </si>
  <si>
    <t>204:232966</t>
  </si>
  <si>
    <t>204:232963</t>
  </si>
  <si>
    <t>204:232975</t>
  </si>
  <si>
    <t>300:58931</t>
  </si>
  <si>
    <t>Early arrival</t>
  </si>
  <si>
    <t>rtdc.l.rtdc.4053:itc</t>
  </si>
  <si>
    <t>rtdc.l.rtdc.4019:itc</t>
  </si>
  <si>
    <t>239-04</t>
  </si>
  <si>
    <t>81-04</t>
  </si>
  <si>
    <t>rtdc.l.rtdc.4020:itc</t>
  </si>
  <si>
    <t>82-04</t>
  </si>
  <si>
    <t>233-04</t>
  </si>
  <si>
    <t>847-04</t>
  </si>
  <si>
    <t>235-04</t>
  </si>
  <si>
    <t>232-04</t>
  </si>
  <si>
    <t>908-04</t>
  </si>
  <si>
    <t>234-04</t>
  </si>
  <si>
    <t>237-04</t>
  </si>
  <si>
    <t>236-04</t>
  </si>
  <si>
    <t>241-04</t>
  </si>
  <si>
    <t>238-04</t>
  </si>
  <si>
    <t>243-04</t>
  </si>
  <si>
    <t>240-04</t>
  </si>
  <si>
    <t>315-04</t>
  </si>
  <si>
    <t>242-04</t>
  </si>
  <si>
    <t>244-04</t>
  </si>
  <si>
    <t>309-04</t>
  </si>
  <si>
    <t>311-04</t>
  </si>
  <si>
    <t>313-04</t>
  </si>
  <si>
    <t>204:132</t>
  </si>
  <si>
    <t>204:233321</t>
  </si>
  <si>
    <t>204:233312</t>
  </si>
  <si>
    <t>204:484</t>
  </si>
  <si>
    <t>204:233300</t>
  </si>
  <si>
    <t>300:23304</t>
  </si>
  <si>
    <t>300:58621</t>
  </si>
  <si>
    <t>Onboard in-route failure</t>
  </si>
  <si>
    <t>Wi-MAX data drop</t>
  </si>
  <si>
    <t>rtdc.l.rtdc.4001:itc</t>
  </si>
  <si>
    <t>BADERTSCHER</t>
  </si>
  <si>
    <t>DIANE</t>
  </si>
  <si>
    <t>rtdc.l.rtdc.4002:itc</t>
  </si>
  <si>
    <t>GEBRETEKLE</t>
  </si>
  <si>
    <t>DAGNEW</t>
  </si>
  <si>
    <t>YANAI</t>
  </si>
  <si>
    <t>IAN</t>
  </si>
  <si>
    <t>JOHN</t>
  </si>
  <si>
    <t>SULLIVAN</t>
  </si>
  <si>
    <t>BRANDON</t>
  </si>
  <si>
    <t>MOSES</t>
  </si>
  <si>
    <t>BRADLEY</t>
  </si>
  <si>
    <t>WHITED</t>
  </si>
  <si>
    <t>DUSTIN</t>
  </si>
  <si>
    <t>MCREYNOLDS</t>
  </si>
  <si>
    <t>KYLE</t>
  </si>
  <si>
    <t>LOPES</t>
  </si>
  <si>
    <t>KIMBERLY</t>
  </si>
  <si>
    <t>clear-day</t>
  </si>
  <si>
    <t>Clear</t>
  </si>
  <si>
    <t>clear-night</t>
  </si>
  <si>
    <t>204:469</t>
  </si>
  <si>
    <t>204:232978</t>
  </si>
  <si>
    <t>204:233289</t>
  </si>
  <si>
    <t>204:233306</t>
  </si>
  <si>
    <t>204:233317</t>
  </si>
  <si>
    <t>204:232980</t>
  </si>
  <si>
    <t>204:232983</t>
  </si>
  <si>
    <t>204:467</t>
  </si>
  <si>
    <t>204:233305</t>
  </si>
  <si>
    <t>204:136</t>
  </si>
  <si>
    <t>204:233291</t>
  </si>
  <si>
    <t>204:233002</t>
  </si>
  <si>
    <t>204:232969</t>
  </si>
  <si>
    <t>204:233274</t>
  </si>
  <si>
    <t>204:233270</t>
  </si>
  <si>
    <t>204:233278</t>
  </si>
  <si>
    <t>204:127</t>
  </si>
  <si>
    <t>204:233302</t>
  </si>
  <si>
    <t>204:130</t>
  </si>
  <si>
    <t>204:464</t>
  </si>
  <si>
    <t>300:58941</t>
  </si>
  <si>
    <t>300:58948</t>
  </si>
  <si>
    <t>rtdc.l.rtdc.4054:itc</t>
  </si>
  <si>
    <t>842-06</t>
  </si>
  <si>
    <t>ROBINSON</t>
  </si>
  <si>
    <t>KADDIBA</t>
  </si>
  <si>
    <t>SHOOK</t>
  </si>
  <si>
    <t>BRANDNER</t>
  </si>
  <si>
    <t>MELINDA</t>
  </si>
  <si>
    <t>rtdc.l.rtdc.4023:itc</t>
  </si>
  <si>
    <t>82-06</t>
  </si>
  <si>
    <t>MACDONALD</t>
  </si>
  <si>
    <t>THOMAS</t>
  </si>
  <si>
    <t>rtdc.l.rtdc.4024:itc</t>
  </si>
  <si>
    <t>81-06</t>
  </si>
  <si>
    <t>227-06</t>
  </si>
  <si>
    <t>226-06</t>
  </si>
  <si>
    <t>229-06</t>
  </si>
  <si>
    <t>845-06</t>
  </si>
  <si>
    <t>228-06</t>
  </si>
  <si>
    <t>231-06</t>
  </si>
  <si>
    <t>844-06</t>
  </si>
  <si>
    <t>233-06</t>
  </si>
  <si>
    <t>230-06</t>
  </si>
  <si>
    <t>847-06</t>
  </si>
  <si>
    <t>235-06</t>
  </si>
  <si>
    <t>232-06</t>
  </si>
  <si>
    <t>908-06</t>
  </si>
  <si>
    <t>234-06</t>
  </si>
  <si>
    <t>237-06</t>
  </si>
  <si>
    <t>236-06</t>
  </si>
  <si>
    <t>239-06</t>
  </si>
  <si>
    <t>241-06</t>
  </si>
  <si>
    <t>238-06</t>
  </si>
  <si>
    <t>243-06</t>
  </si>
  <si>
    <t>240-06</t>
  </si>
  <si>
    <t>315-06</t>
  </si>
  <si>
    <t>242-06</t>
  </si>
  <si>
    <t>309-06</t>
  </si>
  <si>
    <t>244-06</t>
  </si>
  <si>
    <t>311-06</t>
  </si>
  <si>
    <t>313-06</t>
  </si>
  <si>
    <t>204:232656</t>
  </si>
  <si>
    <t>204:746</t>
  </si>
  <si>
    <t>204:233272</t>
  </si>
  <si>
    <t>204:442</t>
  </si>
  <si>
    <t>204:232986</t>
  </si>
  <si>
    <t>204:233293</t>
  </si>
  <si>
    <t>204:233288</t>
  </si>
  <si>
    <t>204:232981</t>
  </si>
  <si>
    <t>204:232973</t>
  </si>
  <si>
    <t>204:232938</t>
  </si>
  <si>
    <t>204:232965</t>
  </si>
  <si>
    <t>204:233276</t>
  </si>
  <si>
    <t>204:435</t>
  </si>
  <si>
    <t>204:233341</t>
  </si>
  <si>
    <t>204:233311</t>
  </si>
  <si>
    <t>204:233345</t>
  </si>
  <si>
    <t>204:233017</t>
  </si>
  <si>
    <t>204:233343</t>
  </si>
  <si>
    <t>204:233328</t>
  </si>
  <si>
    <t>204:233327</t>
  </si>
  <si>
    <t>300:23302</t>
  </si>
  <si>
    <t>204:478</t>
  </si>
  <si>
    <t>204:1035</t>
  </si>
  <si>
    <t>204:724</t>
  </si>
  <si>
    <t>300:58630</t>
  </si>
  <si>
    <t>204:706</t>
  </si>
  <si>
    <t>300:58946</t>
  </si>
  <si>
    <t>204:1009</t>
  </si>
  <si>
    <t>300:58933</t>
  </si>
  <si>
    <t>204:1025</t>
  </si>
  <si>
    <t>114-09</t>
  </si>
  <si>
    <t>125-09</t>
  </si>
  <si>
    <t>141-09</t>
  </si>
  <si>
    <t>134-09</t>
  </si>
  <si>
    <t>151-09</t>
  </si>
  <si>
    <t>142-09</t>
  </si>
  <si>
    <t>52-09</t>
  </si>
  <si>
    <t>162-09</t>
  </si>
  <si>
    <t>173-09</t>
  </si>
  <si>
    <t>175-09</t>
  </si>
  <si>
    <t>170-09</t>
  </si>
  <si>
    <t>rtdc.l.rtdc.4011:itc</t>
  </si>
  <si>
    <t>172-09</t>
  </si>
  <si>
    <t>180-09</t>
  </si>
  <si>
    <t>189-09</t>
  </si>
  <si>
    <t>184-09</t>
  </si>
  <si>
    <t>201-09</t>
  </si>
  <si>
    <t>211-09</t>
  </si>
  <si>
    <t>206-09</t>
  </si>
  <si>
    <t>219-09</t>
  </si>
  <si>
    <t>216-09</t>
  </si>
  <si>
    <t>307-09</t>
  </si>
  <si>
    <t>232-09</t>
  </si>
  <si>
    <t>242-08</t>
  </si>
  <si>
    <t>245-08</t>
  </si>
  <si>
    <t>309-08</t>
  </si>
  <si>
    <t>244-08</t>
  </si>
  <si>
    <t>311-08</t>
  </si>
  <si>
    <t>246-08</t>
  </si>
  <si>
    <t>313-08</t>
  </si>
  <si>
    <t>315-08</t>
  </si>
  <si>
    <t>302-09</t>
  </si>
  <si>
    <t>SANTIZO</t>
  </si>
  <si>
    <t>D. EDY</t>
  </si>
  <si>
    <t>101-09</t>
  </si>
  <si>
    <t>304-09</t>
  </si>
  <si>
    <t>MAELZER</t>
  </si>
  <si>
    <t>KURT</t>
  </si>
  <si>
    <t>103-09</t>
  </si>
  <si>
    <t>306-09</t>
  </si>
  <si>
    <t>102-09</t>
  </si>
  <si>
    <t>105-09</t>
  </si>
  <si>
    <t>308-09</t>
  </si>
  <si>
    <t>DAVIS</t>
  </si>
  <si>
    <t>WENDY</t>
  </si>
  <si>
    <t>310-09</t>
  </si>
  <si>
    <t>107-09</t>
  </si>
  <si>
    <t>104-09</t>
  </si>
  <si>
    <t>109-09</t>
  </si>
  <si>
    <t>113-09</t>
  </si>
  <si>
    <t>111-09</t>
  </si>
  <si>
    <t>106-09</t>
  </si>
  <si>
    <t>rtdc.l.rtdc.4008:itc</t>
  </si>
  <si>
    <t>1901-09</t>
  </si>
  <si>
    <t>108-09</t>
  </si>
  <si>
    <t>115-09</t>
  </si>
  <si>
    <t>rtdc.l.rtdc.4007:itc</t>
  </si>
  <si>
    <t>1800-09</t>
  </si>
  <si>
    <t>117-09</t>
  </si>
  <si>
    <t>110-09</t>
  </si>
  <si>
    <t>112-09</t>
  </si>
  <si>
    <t>1801-09</t>
  </si>
  <si>
    <t>119-09</t>
  </si>
  <si>
    <t>116-09</t>
  </si>
  <si>
    <t>121-09</t>
  </si>
  <si>
    <t>123-09</t>
  </si>
  <si>
    <t>118-09</t>
  </si>
  <si>
    <t>1802-09</t>
  </si>
  <si>
    <t>120-09</t>
  </si>
  <si>
    <t>127-09</t>
  </si>
  <si>
    <t>1803-09</t>
  </si>
  <si>
    <t>122-09</t>
  </si>
  <si>
    <t>129-09</t>
  </si>
  <si>
    <t>124-09</t>
  </si>
  <si>
    <t>131-09</t>
  </si>
  <si>
    <t>1804-09</t>
  </si>
  <si>
    <t>126-09</t>
  </si>
  <si>
    <t>128-09</t>
  </si>
  <si>
    <t>133-09</t>
  </si>
  <si>
    <t>135-09</t>
  </si>
  <si>
    <t>130-09</t>
  </si>
  <si>
    <t>1805-09</t>
  </si>
  <si>
    <t>137-09</t>
  </si>
  <si>
    <t>139-09</t>
  </si>
  <si>
    <t>132-09</t>
  </si>
  <si>
    <t>1806-09</t>
  </si>
  <si>
    <t>PERKINS</t>
  </si>
  <si>
    <t>DARREN</t>
  </si>
  <si>
    <t>136-09</t>
  </si>
  <si>
    <t>143-09</t>
  </si>
  <si>
    <t>1807-09</t>
  </si>
  <si>
    <t>138-09</t>
  </si>
  <si>
    <t>145-09</t>
  </si>
  <si>
    <t>140-09</t>
  </si>
  <si>
    <t>147-09</t>
  </si>
  <si>
    <t>1808-09</t>
  </si>
  <si>
    <t>149-09</t>
  </si>
  <si>
    <t>144-09</t>
  </si>
  <si>
    <t>1809-09</t>
  </si>
  <si>
    <t>146-09</t>
  </si>
  <si>
    <t>153-09</t>
  </si>
  <si>
    <t>148-09</t>
  </si>
  <si>
    <t>155-09</t>
  </si>
  <si>
    <t>1810-09</t>
  </si>
  <si>
    <t>150-09</t>
  </si>
  <si>
    <t>157-09</t>
  </si>
  <si>
    <t>152-09</t>
  </si>
  <si>
    <t>159-09</t>
  </si>
  <si>
    <t>STEWART</t>
  </si>
  <si>
    <t>1811-09</t>
  </si>
  <si>
    <t>154-09</t>
  </si>
  <si>
    <t>161-09</t>
  </si>
  <si>
    <t>156-09</t>
  </si>
  <si>
    <t>158-09</t>
  </si>
  <si>
    <t>163-09</t>
  </si>
  <si>
    <t>LEVIN</t>
  </si>
  <si>
    <t>SCOTT</t>
  </si>
  <si>
    <t>LALONDE</t>
  </si>
  <si>
    <t>GREGORY</t>
  </si>
  <si>
    <t>1812-09</t>
  </si>
  <si>
    <t>165-09</t>
  </si>
  <si>
    <t>BRUDER</t>
  </si>
  <si>
    <t>RICHARD</t>
  </si>
  <si>
    <t>160-09</t>
  </si>
  <si>
    <t>167-09</t>
  </si>
  <si>
    <t>1813-09</t>
  </si>
  <si>
    <t>53-09</t>
  </si>
  <si>
    <t>169-09</t>
  </si>
  <si>
    <t>164-09</t>
  </si>
  <si>
    <t>171-09</t>
  </si>
  <si>
    <t>166-09</t>
  </si>
  <si>
    <t>1814-09</t>
  </si>
  <si>
    <t>168-09</t>
  </si>
  <si>
    <t>1815-09</t>
  </si>
  <si>
    <t>177-09</t>
  </si>
  <si>
    <t>179-09</t>
  </si>
  <si>
    <t>1816-09</t>
  </si>
  <si>
    <t>174-09</t>
  </si>
  <si>
    <t>181-09</t>
  </si>
  <si>
    <t>176-09</t>
  </si>
  <si>
    <t>183-09</t>
  </si>
  <si>
    <t>178-09</t>
  </si>
  <si>
    <t>185-09</t>
  </si>
  <si>
    <t>1817-09</t>
  </si>
  <si>
    <t>HELVIE</t>
  </si>
  <si>
    <t>ADAM</t>
  </si>
  <si>
    <t>182-09</t>
  </si>
  <si>
    <t>187-09</t>
  </si>
  <si>
    <t>1818-09</t>
  </si>
  <si>
    <t>191-09</t>
  </si>
  <si>
    <t>186-09</t>
  </si>
  <si>
    <t>193-09</t>
  </si>
  <si>
    <t>1819-09</t>
  </si>
  <si>
    <t>188-09</t>
  </si>
  <si>
    <t>195-09</t>
  </si>
  <si>
    <t>190-09</t>
  </si>
  <si>
    <t>1820-09</t>
  </si>
  <si>
    <t>197-09</t>
  </si>
  <si>
    <t>192-09</t>
  </si>
  <si>
    <t>199-09</t>
  </si>
  <si>
    <t>194-09</t>
  </si>
  <si>
    <t>1821-09</t>
  </si>
  <si>
    <t>196-09</t>
  </si>
  <si>
    <t>203-09</t>
  </si>
  <si>
    <t>198-09</t>
  </si>
  <si>
    <t>1822-09</t>
  </si>
  <si>
    <t>205-09</t>
  </si>
  <si>
    <t>200-09</t>
  </si>
  <si>
    <t>207-09</t>
  </si>
  <si>
    <t>202-09</t>
  </si>
  <si>
    <t>1823-09</t>
  </si>
  <si>
    <t>209-09</t>
  </si>
  <si>
    <t>204-09</t>
  </si>
  <si>
    <t>1824-09</t>
  </si>
  <si>
    <t>65-09</t>
  </si>
  <si>
    <t>213-09</t>
  </si>
  <si>
    <t>DAVIDSON</t>
  </si>
  <si>
    <t>DAVID</t>
  </si>
  <si>
    <t>208-09</t>
  </si>
  <si>
    <t>rtdc.l.rtdc.4039:itc</t>
  </si>
  <si>
    <t>50-09</t>
  </si>
  <si>
    <t>MAGEE</t>
  </si>
  <si>
    <t>KENYA</t>
  </si>
  <si>
    <t>215-09</t>
  </si>
  <si>
    <t>210-09</t>
  </si>
  <si>
    <t>1825-09</t>
  </si>
  <si>
    <t>217-09</t>
  </si>
  <si>
    <t>212-09</t>
  </si>
  <si>
    <t>SAFIEF</t>
  </si>
  <si>
    <t>AEIMEN</t>
  </si>
  <si>
    <t>1826-09</t>
  </si>
  <si>
    <t>214-09</t>
  </si>
  <si>
    <t>303-09</t>
  </si>
  <si>
    <t>221-09</t>
  </si>
  <si>
    <t>218-09</t>
  </si>
  <si>
    <t>305-09</t>
  </si>
  <si>
    <t>1827-09</t>
  </si>
  <si>
    <t>220-09</t>
  </si>
  <si>
    <t>223-09</t>
  </si>
  <si>
    <t>1828-09</t>
  </si>
  <si>
    <t>222-09</t>
  </si>
  <si>
    <t>225-09</t>
  </si>
  <si>
    <t>227-09</t>
  </si>
  <si>
    <t>1829-09</t>
  </si>
  <si>
    <t>224-09</t>
  </si>
  <si>
    <t>1830-09</t>
  </si>
  <si>
    <t>226-09</t>
  </si>
  <si>
    <t>229-09</t>
  </si>
  <si>
    <t>1831-09</t>
  </si>
  <si>
    <t>228-09</t>
  </si>
  <si>
    <t>231-09</t>
  </si>
  <si>
    <t>1832-09</t>
  </si>
  <si>
    <t>233-09</t>
  </si>
  <si>
    <t>230-09</t>
  </si>
  <si>
    <t>235-09</t>
  </si>
  <si>
    <t>1833-09</t>
  </si>
  <si>
    <t>1902-09</t>
  </si>
  <si>
    <t>234-09</t>
  </si>
  <si>
    <t>237-09</t>
  </si>
  <si>
    <t>239-09</t>
  </si>
  <si>
    <t>236-09</t>
  </si>
  <si>
    <t>241-09</t>
  </si>
  <si>
    <t>238-09</t>
  </si>
  <si>
    <t>243-09</t>
  </si>
  <si>
    <t>240-09</t>
  </si>
  <si>
    <t>315-09</t>
  </si>
  <si>
    <t>242-09</t>
  </si>
  <si>
    <t>309-09</t>
  </si>
  <si>
    <t>244-09</t>
  </si>
  <si>
    <t>311-09</t>
  </si>
  <si>
    <t>313-09</t>
  </si>
  <si>
    <t>rtdc.l.rtdc.4040:itc</t>
  </si>
  <si>
    <t>51-10</t>
  </si>
  <si>
    <t>fog</t>
  </si>
  <si>
    <t>Foggy</t>
  </si>
  <si>
    <t>204:232687</t>
  </si>
  <si>
    <t>204:763</t>
  </si>
  <si>
    <t>204:232696</t>
  </si>
  <si>
    <t>204:726</t>
  </si>
  <si>
    <t>204:438</t>
  </si>
  <si>
    <t>204:233309</t>
  </si>
  <si>
    <t>204:232982</t>
  </si>
  <si>
    <t>204:150</t>
  </si>
  <si>
    <t>204:233259</t>
  </si>
  <si>
    <t>204:232945</t>
  </si>
  <si>
    <t>204:748</t>
  </si>
  <si>
    <t>204:233040</t>
  </si>
  <si>
    <t>204:233361</t>
  </si>
  <si>
    <t>204:233047</t>
  </si>
  <si>
    <t>204:233334</t>
  </si>
  <si>
    <t>204:233001</t>
  </si>
  <si>
    <t>204:233004</t>
  </si>
  <si>
    <t>204:713</t>
  </si>
  <si>
    <t>204:233280</t>
  </si>
  <si>
    <t>204:233036</t>
  </si>
  <si>
    <t>204:232942</t>
  </si>
  <si>
    <t>204:233006</t>
  </si>
  <si>
    <t>204:256</t>
  </si>
  <si>
    <t>204:429</t>
  </si>
  <si>
    <t>204:232964</t>
  </si>
  <si>
    <t>204:233355</t>
  </si>
  <si>
    <t>204:233028</t>
  </si>
  <si>
    <t>204:232957</t>
  </si>
  <si>
    <t>204:189</t>
  </si>
  <si>
    <t>204:232946</t>
  </si>
  <si>
    <t>204:232972</t>
  </si>
  <si>
    <t>204:562</t>
  </si>
  <si>
    <t>204:19130</t>
  </si>
  <si>
    <t>204:477</t>
  </si>
  <si>
    <t>204:1147</t>
  </si>
  <si>
    <t>204:233298</t>
  </si>
  <si>
    <t>204:506</t>
  </si>
  <si>
    <t>204:233351</t>
  </si>
  <si>
    <t>204:233005</t>
  </si>
  <si>
    <t>204:118</t>
  </si>
  <si>
    <t>204:233362</t>
  </si>
  <si>
    <t>204:233038</t>
  </si>
  <si>
    <t>204:233325</t>
  </si>
  <si>
    <t>204:233218</t>
  </si>
  <si>
    <t>204:232904</t>
  </si>
  <si>
    <t>204:402</t>
  </si>
  <si>
    <t>204:233344</t>
  </si>
  <si>
    <t>204:233023</t>
  </si>
  <si>
    <t>204:1158</t>
  </si>
  <si>
    <t>204:233301</t>
  </si>
  <si>
    <t>300:58623</t>
  </si>
  <si>
    <t>204:734</t>
  </si>
  <si>
    <t>300:58619</t>
  </si>
  <si>
    <t>204:745</t>
  </si>
  <si>
    <t>204:1032</t>
  </si>
  <si>
    <t>300:58935</t>
  </si>
  <si>
    <t>204:741</t>
  </si>
  <si>
    <t>204:1027</t>
  </si>
  <si>
    <t>204:747</t>
  </si>
  <si>
    <t>204:1037</t>
  </si>
  <si>
    <t>300:58926</t>
  </si>
  <si>
    <t>300:58615</t>
  </si>
  <si>
    <t>204:736</t>
  </si>
  <si>
    <t>204:1021</t>
  </si>
  <si>
    <t>204:738</t>
  </si>
  <si>
    <t>204:1030</t>
  </si>
  <si>
    <t>300:58937</t>
  </si>
  <si>
    <t>204:740</t>
  </si>
  <si>
    <t>204:1020</t>
  </si>
  <si>
    <t>300:58943</t>
  </si>
  <si>
    <t>300:22208</t>
  </si>
  <si>
    <t>300:58624</t>
  </si>
  <si>
    <t>300:31345</t>
  </si>
  <si>
    <t>300:58928</t>
  </si>
  <si>
    <t>300:58626</t>
  </si>
  <si>
    <t>204:789</t>
  </si>
  <si>
    <t>204:1044</t>
  </si>
  <si>
    <t>204:233000</t>
  </si>
  <si>
    <t>204:999</t>
  </si>
  <si>
    <t>300:58929</t>
  </si>
  <si>
    <t>204:836</t>
  </si>
  <si>
    <t>204:1119</t>
  </si>
  <si>
    <t>204:769</t>
  </si>
  <si>
    <t>204:1070</t>
  </si>
  <si>
    <t>204:827</t>
  </si>
  <si>
    <t>204:1107</t>
  </si>
  <si>
    <t>204:838</t>
  </si>
  <si>
    <t>204:1144</t>
  </si>
  <si>
    <t>300:29851</t>
  </si>
  <si>
    <t>300:21700</t>
  </si>
  <si>
    <t>204:233336</t>
  </si>
  <si>
    <t>204:431</t>
  </si>
  <si>
    <t>204:233195</t>
  </si>
  <si>
    <t>204:127861</t>
  </si>
  <si>
    <t>204:232858</t>
  </si>
  <si>
    <t>204:233320</t>
  </si>
  <si>
    <t>204:233364</t>
  </si>
  <si>
    <t>204:233060</t>
  </si>
  <si>
    <t>204:447</t>
  </si>
  <si>
    <t>204:232979</t>
  </si>
  <si>
    <t>204:170</t>
  </si>
  <si>
    <t>204:19129</t>
  </si>
  <si>
    <t>204:473</t>
  </si>
  <si>
    <t>204:437</t>
  </si>
  <si>
    <t>204:1049</t>
  </si>
  <si>
    <t>204:232974</t>
  </si>
  <si>
    <t>204:233368</t>
  </si>
  <si>
    <t>204:233072</t>
  </si>
  <si>
    <t>204:105</t>
  </si>
  <si>
    <t>204:415</t>
  </si>
  <si>
    <t>204:233376</t>
  </si>
  <si>
    <t>204:233068</t>
  </si>
  <si>
    <t>204:233285</t>
  </si>
  <si>
    <t>204:110</t>
  </si>
  <si>
    <t>204:233436</t>
  </si>
  <si>
    <t>204:233128</t>
  </si>
  <si>
    <t>204:112</t>
  </si>
  <si>
    <t>204:233314</t>
  </si>
  <si>
    <t>204:233465</t>
  </si>
  <si>
    <t>204:233132</t>
  </si>
  <si>
    <t>300:19571</t>
  </si>
  <si>
    <t>300:23550</t>
  </si>
  <si>
    <t>300:22768</t>
  </si>
  <si>
    <t>300:22603</t>
  </si>
  <si>
    <t>300:23701</t>
  </si>
  <si>
    <t>300:23427</t>
  </si>
  <si>
    <t>300:23310</t>
  </si>
  <si>
    <t>300:23481</t>
  </si>
  <si>
    <t>204:996</t>
  </si>
  <si>
    <t>204:1165</t>
  </si>
  <si>
    <t>204:107322</t>
  </si>
  <si>
    <t>300:23535</t>
  </si>
  <si>
    <t>204:146</t>
  </si>
  <si>
    <t>300:24248</t>
  </si>
  <si>
    <t>204:1473</t>
  </si>
  <si>
    <t>start /low /b %USERPROFILE%\Documents\GitHub\eaglep3\Utilities\DownloadLogsFromS3.py --loco 4044 --day 2017-04-09</t>
  </si>
  <si>
    <t>start /low /b %USERPROFILE%\Documents\GitHub\eaglep3\Utilities\DownloadLogsFromS3.py --loco 4029 --day 2017-04-09</t>
  </si>
  <si>
    <t>start /low /b %USERPROFILE%\Documents\GitHub\eaglep3\Utilities\DownloadLogsFromS3.py --loco 4032 --day 2017-04-09</t>
  </si>
  <si>
    <t>start /low /b %USERPROFILE%\Documents\GitHub\eaglep3\Utilities\DownloadLogsFromS3.py --loco 4004 --day 2017-04-09</t>
  </si>
  <si>
    <t>start /low /b %USERPROFILE%\Documents\GitHub\eaglep3\Utilities\DownloadLogsFromS3.py --loco 4007 --day 2017-04-09</t>
  </si>
  <si>
    <t>start /low /b %USERPROFILE%\Documents\GitHub\eaglep3\Utilities\DownloadLogsFromS3.py --loco 4031 --day 2017-04-09</t>
  </si>
  <si>
    <t>start /low /b %USERPROFILE%\Documents\GitHub\eaglep3\Utilities\DownloadLogsFromS3.py --loco 4011 --day 2017-04-10</t>
  </si>
  <si>
    <t>start /low /b %USERPROFILE%\Documents\GitHub\eaglep3\Utilities\DownloadLogsFromS3.py --loco 4003 --day 2017-04-09</t>
  </si>
  <si>
    <t>start /low /b %USERPROFILE%\Documents\GitHub\eaglep3\Utilities\DownloadLogsFromS3.py --loco 4029 --day 2017-04-10</t>
  </si>
  <si>
    <t>start /low /b %USERPROFILE%\Documents\GitHub\eaglep3\Utilities\DownloadLogsFromS3.py --loco 4030 --day 2017-04-09</t>
  </si>
  <si>
    <t>start /low /b %USERPROFILE%\Documents\GitHub\eaglep3\Utilities\DownloadLogsFromS3.py --loco 4045 --day 2017-04-10</t>
  </si>
  <si>
    <t>start /low /b %USERPROFILE%\Documents\GitHub\eaglep3\Utilities\DownloadLogsFromS3.py --loco 4043 --day 2017-04-09</t>
  </si>
  <si>
    <t>start /low /b %USERPROFILE%\Documents\GitHub\eaglep3\Utilities\DownloadLogsFromS3.py --loco 4011 --day 2017-04-09</t>
  </si>
  <si>
    <t>start /low /b %USERPROFILE%\Documents\GitHub\eaglep3\Utilities\DownloadLogsFromS3.py --loco 4024 --day 2017-04-09</t>
  </si>
  <si>
    <t>start /low /b %USERPROFILE%\Documents\GitHub\eaglep3\Utilities\DownloadLogsFromS3.py --loco 4046 --day 2017-04-10</t>
  </si>
  <si>
    <t>Blown fuse caused false occupancy</t>
  </si>
  <si>
    <t>Form C</t>
  </si>
  <si>
    <t>Unhealthy crossing prompt due to Form C suppressing wireless activation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</si>
</sst>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7"/>
  <sheetViews>
    <sheetView tabSelected="1" zoomScaleNormal="100" workbookViewId="0"/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4" customWidth="1"/>
    <col min="22" max="22" width="5.7109375" style="184" customWidth="1"/>
    <col min="23" max="23" width="3.85546875" style="177" customWidth="1"/>
    <col min="24" max="24" width="6.5703125" style="177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99" customWidth="1"/>
    <col min="36" max="36" width="9.85546875" customWidth="1"/>
    <col min="37" max="37" width="5" customWidth="1"/>
    <col min="38" max="38" width="4.140625" customWidth="1"/>
    <col min="39" max="39" width="9.140625" style="150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2"/>
      <c r="V1" s="163"/>
      <c r="W1" s="162"/>
      <c r="X1" s="164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0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42834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42834</v>
      </c>
      <c r="S2" s="66"/>
      <c r="T2" s="67"/>
      <c r="U2" s="165"/>
      <c r="V2" s="166" t="s">
        <v>8</v>
      </c>
      <c r="W2" s="167"/>
      <c r="X2" s="168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0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69"/>
      <c r="V3" s="170" t="s">
        <v>11</v>
      </c>
      <c r="W3" s="171" t="s">
        <v>12</v>
      </c>
      <c r="X3" s="172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0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34</v>
      </c>
      <c r="T4" s="40"/>
      <c r="U4" s="173"/>
      <c r="V4" s="170" t="s">
        <v>15</v>
      </c>
      <c r="W4" s="171" t="s">
        <v>15</v>
      </c>
      <c r="X4" s="172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0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COUNTIFS($N$13:$N$9326,"&gt;0",$AG$13:$AG$9326,I1)</f>
        <v>139</v>
      </c>
      <c r="K5" s="40"/>
      <c r="L5" s="40"/>
      <c r="M5" s="41">
        <f>AVERAGEIFS($N$13:$N$9326,$AG$13:$AG$9326,I1)</f>
        <v>39.370023981725005</v>
      </c>
      <c r="N5" s="39">
        <f t="array" ref="N5">MIN(IF($AG$13:$AG$9326=I1,IF(ISNUMBER($N$13:$N$9326),IF($N$13:$N$9326&gt;0,$N$13:$N$9326))))</f>
        <v>34.950000008102506</v>
      </c>
      <c r="O5" s="3">
        <f t="array" ref="O5">MAX(IF($AG$13:$AG$9326=I1,IF(ISNUMBER($N$13:$N$9326),IF($N$13:$N$9326&gt;0,$N$13:$N$9326))))</f>
        <v>48.483333340846002</v>
      </c>
      <c r="P5" s="2"/>
      <c r="R5" s="74" t="s">
        <v>17</v>
      </c>
      <c r="S5" s="50">
        <f>COUNTIFS($N$13:$N$9326,"&gt;0",$AG$13:$AG$9326,R1)</f>
        <v>27</v>
      </c>
      <c r="T5" s="40"/>
      <c r="U5" s="173"/>
      <c r="V5" s="170">
        <f>AVERAGEIFS($N$13:$N$9326,$AG$13:$AG$9326,R1)</f>
        <v>13.592592591885477</v>
      </c>
      <c r="W5" s="171">
        <f t="array" ref="W5">MIN(IF($AG$13:$AG$9326=R1,IF(ISNUMBER($N$13:$N$9326),IF($N$13:$N$9326&gt;0,$N$13:$N$9326))))</f>
        <v>11.983333337120712</v>
      </c>
      <c r="X5" s="172">
        <f t="array" ref="X5">MAX(IF($AG$13:$AG$9326=R1,IF(ISNUMBER($N$13:$N$9326),IF($N$13:$N$9326&gt;0,$N$13:$N$9326))))</f>
        <v>17.916666663950309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0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COUNT($O$13:$O$112)</f>
        <v>0</v>
      </c>
      <c r="K6" s="40"/>
      <c r="L6" s="40"/>
      <c r="M6" s="41">
        <f>IFERROR(AVERAGE($O$13:$O$112),0)</f>
        <v>0</v>
      </c>
      <c r="N6" s="39">
        <f>MIN($O$13:$O$112)</f>
        <v>0</v>
      </c>
      <c r="O6" s="3">
        <f>MAX($O$13:$O$112)</f>
        <v>0</v>
      </c>
      <c r="P6" s="2"/>
      <c r="R6" s="75" t="s">
        <v>43</v>
      </c>
      <c r="S6" s="50">
        <f>COUNT($O$13:$O$112)</f>
        <v>0</v>
      </c>
      <c r="T6" s="40"/>
      <c r="U6" s="173"/>
      <c r="V6" s="170">
        <f>IFERROR(AVERAGE($O$13:$O$112),0)</f>
        <v>0</v>
      </c>
      <c r="W6" s="171">
        <f>MIN($O$13:$O$112)</f>
        <v>0</v>
      </c>
      <c r="X6" s="172">
        <f>MAX($O$13:$O$112)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0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COUNTIFS($P$13:$P$9326,"&gt;0",$AG$13:$AG$9326,I1)</f>
        <v>5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COUNTIFS($P$13:$P$9326,"&gt;0",$AG$13:$AG$9326,R1)</f>
        <v>7</v>
      </c>
      <c r="T7" s="40"/>
      <c r="U7" s="173"/>
      <c r="V7" s="170" t="s">
        <v>15</v>
      </c>
      <c r="W7" s="171" t="s">
        <v>15</v>
      </c>
      <c r="X7" s="172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0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139</v>
      </c>
      <c r="K8" s="40"/>
      <c r="L8" s="40"/>
      <c r="M8" s="41">
        <f>M5</f>
        <v>39.370023981725005</v>
      </c>
      <c r="N8" s="39">
        <f>N5</f>
        <v>34.950000008102506</v>
      </c>
      <c r="O8" s="3">
        <f>O5</f>
        <v>48.483333340846002</v>
      </c>
      <c r="P8" s="2"/>
      <c r="R8" s="74" t="s">
        <v>16</v>
      </c>
      <c r="S8" s="50">
        <f>S5</f>
        <v>27</v>
      </c>
      <c r="T8" s="40"/>
      <c r="U8" s="173"/>
      <c r="V8" s="170">
        <f>V5</f>
        <v>13.592592591885477</v>
      </c>
      <c r="W8" s="171">
        <f>W5</f>
        <v>11.983333337120712</v>
      </c>
      <c r="X8" s="172">
        <f>X5</f>
        <v>17.916666663950309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0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1">
        <f>J8/J4</f>
        <v>0.96527777777777779</v>
      </c>
      <c r="K9" s="42"/>
      <c r="L9" s="42"/>
      <c r="M9" s="77"/>
      <c r="N9" s="37"/>
      <c r="O9" s="78"/>
      <c r="P9" s="2"/>
      <c r="R9" s="74" t="s">
        <v>19</v>
      </c>
      <c r="S9" s="131">
        <f>S8/S4</f>
        <v>0.79411764705882348</v>
      </c>
      <c r="T9" s="42"/>
      <c r="U9" s="162"/>
      <c r="V9" s="174"/>
      <c r="W9" s="162"/>
      <c r="X9" s="175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0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4"/>
      <c r="V10" s="176"/>
      <c r="W10" s="177"/>
      <c r="X10" s="177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0"/>
    </row>
    <row r="11" spans="1:91" ht="16.5" thickBot="1" x14ac:dyDescent="0.3">
      <c r="A11" s="222" t="str">
        <f>"Eagle P3 System Performance - "&amp;TEXT(Variables!A2,"yyyy-mm-dd")</f>
        <v>Eagle P3 System Performance - 2017-04-09</v>
      </c>
      <c r="B11" s="222"/>
      <c r="C11" s="222"/>
      <c r="D11" s="222"/>
      <c r="E11" s="222"/>
      <c r="F11" s="222"/>
      <c r="G11" s="222"/>
      <c r="H11" s="222"/>
      <c r="I11" s="222"/>
      <c r="J11" s="222"/>
      <c r="K11" s="222"/>
      <c r="L11" s="222"/>
      <c r="M11" s="222"/>
      <c r="N11" s="222"/>
      <c r="O11" s="222"/>
      <c r="P11" s="222"/>
      <c r="S11" s="64">
        <f>AVERAGE(S13:S84)</f>
        <v>1</v>
      </c>
      <c r="V11" s="176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78" t="s">
        <v>65</v>
      </c>
      <c r="V12" s="179" t="s">
        <v>45</v>
      </c>
      <c r="W12" s="180" t="s">
        <v>23</v>
      </c>
      <c r="X12" s="180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3" t="s">
        <v>147</v>
      </c>
      <c r="AJ12" s="47" t="s">
        <v>148</v>
      </c>
      <c r="AK12" s="47" t="s">
        <v>121</v>
      </c>
      <c r="AL12" s="47" t="s">
        <v>149</v>
      </c>
      <c r="AM12" s="151" t="s">
        <v>200</v>
      </c>
      <c r="AN12" s="47" t="s">
        <v>411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635</v>
      </c>
      <c r="B13" s="7">
        <v>4024</v>
      </c>
      <c r="C13" s="21" t="s">
        <v>215</v>
      </c>
      <c r="D13" s="21" t="s">
        <v>572</v>
      </c>
      <c r="E13" s="13">
        <v>42834.127326388887</v>
      </c>
      <c r="F13" s="13">
        <v>42834.135729166665</v>
      </c>
      <c r="G13" s="7">
        <v>1</v>
      </c>
      <c r="H13" s="21" t="s">
        <v>424</v>
      </c>
      <c r="I13" s="13">
        <v>42834.160370370373</v>
      </c>
      <c r="J13" s="7">
        <v>0</v>
      </c>
      <c r="K13" s="97" t="str">
        <f>IF(ISEVEN(B13),(B13-1)&amp;"/"&amp;B13,B13&amp;"/"&amp;(B13+1))</f>
        <v>4023/4024</v>
      </c>
      <c r="L13" s="21" t="str">
        <f>VLOOKUP(A13,'Trips&amp;Operators'!$C$1:$G$99999,5,FALSE)</f>
        <v>SANTIZO D. EDY</v>
      </c>
      <c r="M13" s="6">
        <f>I13-F13</f>
        <v>2.4641203708597459E-2</v>
      </c>
      <c r="N13" s="7">
        <f>24*60*SUM($M13:$M13)</f>
        <v>35.483333340380341</v>
      </c>
      <c r="O13" s="7"/>
      <c r="P13" s="7"/>
      <c r="Q13" s="22"/>
      <c r="R13" s="22"/>
      <c r="S13" s="31">
        <f>SUM(U13:U13)/IF(AG13="EC",12,1)</f>
        <v>1</v>
      </c>
      <c r="T13" s="46" t="str">
        <f>IF(ISEVEN(LEFT(AD13,4)),"Southbound","NorthBound")</f>
        <v>NorthBound</v>
      </c>
      <c r="U13" s="18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2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-04-09T02:03:21-0600',mode:absolute,to:'2017-04-09T04:50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" s="183" t="str">
        <f>IF(AA13&lt;IF(AG13="EC",23,5.65),"Y","N")</f>
        <v>N</v>
      </c>
      <c r="X13" s="183" t="e">
        <f>VALUE(LEFT(AD13,4))-VALUE(LEFT(AD12,4))</f>
        <v>#VALUE!</v>
      </c>
      <c r="Y13" s="62">
        <f>RIGHT(D13,LEN(D13)-4)/10000</f>
        <v>7.46E-2</v>
      </c>
      <c r="Z13" s="62">
        <f>RIGHT(H13,LEN(H13)-4)/10000</f>
        <v>23.331499999999998</v>
      </c>
      <c r="AA13" s="62">
        <f>ABS(Z13-Y13)</f>
        <v>23.256899999999998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>IF(LEN(A13)=6,"0"&amp;A13,A13)</f>
        <v>0101-09</v>
      </c>
      <c r="AE13" s="85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s3://rtdc.mdm.uploadarchive.raw/RTDC4024/ "%USERPROFILE%\AppData\Local\Temp\OnboardLogs"\RTDC4024\2017-04-09 --exclude "*" --recursive --include "*20170409*" &amp; "%USERPROFILE%\Documents\GitHub\mrs-test-scripts\Headless Mode &amp; Sideloading\WalkAndUnGZ.bat" "%USERPROFILE%\AppData\Local\Temp\OnboardLogs"\RTDC4024\2017-04-09 &amp; aws s3 cp s3://rtdc.mdm.uploadarchive.raw/RTDC4024/ "%USERPROFILE%\AppData\Local\Temp\OnboardLogs"\RTDC4024\2017-04-10 --exclude "*" --recursive --include "*20170410*" &amp; "%USERPROFILE%\Documents\GitHub\mrs-test-scripts\Headless Mode &amp; Sideloading\WalkAndUnGZ.bat" "%USERPROFILE%\AppData\Local\Temp\OnboardLogs"\RTDC4024\2017-04-10</v>
      </c>
      <c r="AF13" s="82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/stypes="app*4024*20170409*" /stext=" 09:.+((SYSTEM_STATE.+slice.+state.+changed )|(ment ac)|(multiple cpu faults)|(system.+state.+changed )|(\[timeout)|(PRM\|1\|D)|(kpr)|(kdp)|(\|lc)|(penalty))"</v>
      </c>
      <c r="AG13" s="1" t="str">
        <f>IFERROR(IF(VALUE(LEFT(AD13,2))&lt;=2,"EC",IF(OR(VALUE(LEFT(AD13,2))=8,VALUE(LEFT(AD13,2))=18),"NW","Other")),"Other")</f>
        <v>EC</v>
      </c>
      <c r="AH13" s="86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101-09 --locoid 4024 --swversion DE.1.0.9.0 --startMP 204:746 --initTime 2017-04-09T03:03:21 --startdatetime 2017-04-09T03:15:27 --delay 1 --endMP 204:233315 --enddatetime 2017-04-09T03:50:56 --enforcementcount 0 &gt;&gt;C:\Users\stu\Documents\GitHub\eaglep3-reporting\EC\2017-04-09-refined-times.txt</v>
      </c>
      <c r="AI13" s="104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{"issue":{"subject":"","project_id":79,"tracker_id":40,"status_id":1,"priority_id":2,"assigned_to_id":23,"start_date":"2017-04-09","description":"","custom_fields":[{"id":1,"name":"Subdivision","value":"EC"},{"id":4,"name":"Milepost","value":"23.3315"},{"id":17,"name":"Train ID","value":"101-09"},{"id":16,"name":"Locomotive ID","value":"4024"},{"id":130,"name":"Impact","value":""},{"id":150,"name":"Time of Event (Mountain Time)","value":"03:50:56"},{"id":151,"name":"Denver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8"/>
      <c r="AL13" s="48"/>
      <c r="AM13" s="150" t="str">
        <f t="shared" ref="AM13" si="2">"start /low /b "&amp;dls3logs&amp;" --loco "&amp;B13&amp;" --day "&amp;TEXT(F13,"YYYY-MM-DD")</f>
        <v>start /low /b %USERPROFILE%\Documents\GitHub\eaglep3\Utilities\DownloadLogsFromS3.py --loco 4024 --day 2017-04-09</v>
      </c>
      <c r="AN13" s="159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09:50:56"},{"id":29,"name":"Sharepoint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641</v>
      </c>
      <c r="B14" s="7">
        <v>4031</v>
      </c>
      <c r="C14" s="21" t="s">
        <v>215</v>
      </c>
      <c r="D14" s="21" t="s">
        <v>836</v>
      </c>
      <c r="E14" s="13">
        <v>42834.162407407406</v>
      </c>
      <c r="F14" s="13">
        <v>42834.174513888887</v>
      </c>
      <c r="G14" s="7">
        <v>1</v>
      </c>
      <c r="H14" s="21" t="s">
        <v>408</v>
      </c>
      <c r="I14" s="13">
        <v>42834.200185185182</v>
      </c>
      <c r="J14" s="7">
        <v>0</v>
      </c>
      <c r="K14" s="97" t="str">
        <f>IF(ISEVEN(B14),(B14-1)&amp;"/"&amp;B14,B14&amp;"/"&amp;(B14+1))</f>
        <v>4031/4032</v>
      </c>
      <c r="L14" s="21" t="str">
        <f>VLOOKUP(A14,'Trips&amp;Operators'!$C$1:$G$99999,5,FALSE)</f>
        <v>SANTIZO D. EDY</v>
      </c>
      <c r="M14" s="6">
        <f>I14-F14</f>
        <v>2.5671296294603962E-2</v>
      </c>
      <c r="N14" s="7">
        <f>24*60*SUM($M14:$M14)</f>
        <v>36.966666664229706</v>
      </c>
      <c r="O14" s="7"/>
      <c r="P14" s="7"/>
      <c r="Q14" s="22"/>
      <c r="R14" s="22"/>
      <c r="S14" s="31">
        <f>SUM(U14:U14)/IF(AG14="EC",12,1)</f>
        <v>1</v>
      </c>
      <c r="T14" s="46" t="str">
        <f>IF(ISEVEN(LEFT(AD14,4)),"Southbound","NorthBound")</f>
        <v>Southbound</v>
      </c>
      <c r="U14" s="18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2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-04-09T02:53:52-0600',mode:absolute,to:'2017-04-09T05:48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" s="183" t="str">
        <f>IF(AA14&lt;IF(AG14="EC",23,5.65),"Y","N")</f>
        <v>N</v>
      </c>
      <c r="X14" s="183">
        <f>VALUE(LEFT(AD14,4))-VALUE(LEFT(AD13,4))</f>
        <v>1</v>
      </c>
      <c r="Y14" s="62">
        <f>RIGHT(D14,LEN(D14)-4)/10000</f>
        <v>23.268699999999999</v>
      </c>
      <c r="Z14" s="62">
        <f>RIGHT(H14,LEN(H14)-4)/10000</f>
        <v>1.41E-2</v>
      </c>
      <c r="AA14" s="62">
        <f>ABS(Z14-Y14)</f>
        <v>23.2546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>IF(LEN(A14)=6,"0"&amp;A14,A14)</f>
        <v>0102-09</v>
      </c>
      <c r="AE14" s="85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s3://rtdc.mdm.uploadarchive.raw/RTDC4031/ "%USERPROFILE%\AppData\Local\Temp\OnboardLogs"\RTDC4031\2017-04-09 --exclude "*" --recursive --include "*20170409*" &amp; "%USERPROFILE%\Documents\GitHub\mrs-test-scripts\Headless Mode &amp; Sideloading\WalkAndUnGZ.bat" "%USERPROFILE%\AppData\Local\Temp\OnboardLogs"\RTDC4031\2017-04-09 &amp; aws s3 cp s3://rtdc.mdm.uploadarchive.raw/RTDC4031/ "%USERPROFILE%\AppData\Local\Temp\OnboardLogs"\RTDC4031\2017-04-10 --exclude "*" --recursive --include "*20170410*" &amp; "%USERPROFILE%\Documents\GitHub\mrs-test-scripts\Headless Mode &amp; Sideloading\WalkAndUnGZ.bat" "%USERPROFILE%\AppData\Local\Temp\OnboardLogs"\RTDC4031\2017-04-10</v>
      </c>
      <c r="AF14" s="82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/stypes="app*4031*20170409*" /stext=" 10:.+((SYSTEM_STATE.+slice.+state.+changed )|(ment ac)|(multiple cpu faults)|(system.+state.+changed )|(\[timeout)|(PRM\|1\|D)|(kpr)|(kdp)|(\|lc)|(penalty))"</v>
      </c>
      <c r="AG14" s="1" t="str">
        <f>IFERROR(IF(VALUE(LEFT(AD14,2))&lt;=2,"EC",IF(OR(VALUE(LEFT(AD14,2))=8,VALUE(LEFT(AD14,2))=18),"NW","Other")),"Other")</f>
        <v>EC</v>
      </c>
      <c r="AH14" s="86" t="str">
        <f t="shared" ref="AH14:AH77" si="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102-09 --locoid 4031 --swversion DE.1.0.9.0 --startMP 204:232687 --initTime 2017-04-09T03:53:52 --startdatetime 2017-04-09T04:11:18 --delay 1 --endMP 204:141 --enddatetime 2017-04-09T04:48:16 --enforcementcount 0 &gt;&gt;C:\Users\stu\Documents\GitHub\eaglep3-reporting\EC\2017-04-09-refined-times.txt</v>
      </c>
      <c r="AI14" s="104" t="str">
        <f t="shared" ref="AI14:AI77" si="5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{"issue":{"subject":"","project_id":79,"tracker_id":40,"status_id":1,"priority_id":2,"assigned_to_id":23,"start_date":"2017-04-09","description":"","custom_fields":[{"id":1,"name":"Subdivision","value":"EC"},{"id":4,"name":"Milepost","value":"0.0141"},{"id":17,"name":"Train ID","value":"102-09"},{"id":16,"name":"Locomotive ID","value":"4031"},{"id":130,"name":"Impact","value":""},{"id":150,"name":"Time of Event (Mountain Time)","value":"04:48:16"},{"id":151,"name":"Denver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8"/>
      <c r="AL14" s="48"/>
      <c r="AM14" s="150" t="str">
        <f t="shared" ref="AM14:AM77" si="6">"start /low /b "&amp;dls3logs&amp;" --loco "&amp;B14&amp;" --day "&amp;TEXT(F14,"YYYY-MM-DD")</f>
        <v>start /low /b %USERPROFILE%\Documents\GitHub\eaglep3\Utilities\DownloadLogsFromS3.py --loco 4031 --day 2017-04-09</v>
      </c>
      <c r="AN14" s="159" t="str">
        <f t="shared" ref="AN14:AN77" si="7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10:48:16"},{"id":29,"name":"Sharepoint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639</v>
      </c>
      <c r="B15" s="7">
        <v>4012</v>
      </c>
      <c r="C15" s="21" t="s">
        <v>215</v>
      </c>
      <c r="D15" s="21" t="s">
        <v>837</v>
      </c>
      <c r="E15" s="13">
        <v>42834.149525462963</v>
      </c>
      <c r="F15" s="13">
        <v>42834.156493055554</v>
      </c>
      <c r="G15" s="7">
        <v>1</v>
      </c>
      <c r="H15" s="21" t="s">
        <v>590</v>
      </c>
      <c r="I15" s="13">
        <v>42834.181631944448</v>
      </c>
      <c r="J15" s="7">
        <v>0</v>
      </c>
      <c r="K15" s="97" t="str">
        <f>IF(ISEVEN(B15),(B15-1)&amp;"/"&amp;B15,B15&amp;"/"&amp;(B15+1))</f>
        <v>4011/4012</v>
      </c>
      <c r="L15" s="21" t="str">
        <f>VLOOKUP(A15,'Trips&amp;Operators'!$C$1:$G$99999,5,FALSE)</f>
        <v>MAELZER KURT</v>
      </c>
      <c r="M15" s="6">
        <f>I15-F15</f>
        <v>2.513888889370719E-2</v>
      </c>
      <c r="N15" s="7">
        <f>24*60*SUM($M15:$M15)</f>
        <v>36.200000006938353</v>
      </c>
      <c r="O15" s="7"/>
      <c r="P15" s="7"/>
      <c r="Q15" s="22"/>
      <c r="R15" s="22"/>
      <c r="S15" s="31">
        <f>SUM(U15:U15)/IF(AG15="EC",12,1)</f>
        <v>1</v>
      </c>
      <c r="T15" s="46" t="str">
        <f>IF(ISEVEN(LEFT(AD15,4)),"Southbound","NorthBound")</f>
        <v>NorthBound</v>
      </c>
      <c r="U15" s="18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2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-04-09T02:35:19-0600',mode:absolute,to:'2017-04-09T05:21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" s="183" t="str">
        <f>IF(AA15&lt;IF(AG15="EC",23,5.65),"Y","N")</f>
        <v>N</v>
      </c>
      <c r="X15" s="183">
        <f>VALUE(LEFT(AD15,4))-VALUE(LEFT(AD14,4))</f>
        <v>1</v>
      </c>
      <c r="Y15" s="62">
        <f>RIGHT(D15,LEN(D15)-4)/10000</f>
        <v>7.6300000000000007E-2</v>
      </c>
      <c r="Z15" s="62">
        <f>RIGHT(H15,LEN(H15)-4)/10000</f>
        <v>23.332699999999999</v>
      </c>
      <c r="AA15" s="62">
        <f>ABS(Z15-Y15)</f>
        <v>23.256399999999999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>IF(LEN(A15)=6,"0"&amp;A15,A15)</f>
        <v>0103-09</v>
      </c>
      <c r="AE15" s="85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s3://rtdc.mdm.uploadarchive.raw/RTDC4012/ "%USERPROFILE%\AppData\Local\Temp\OnboardLogs"\RTDC4012\2017-04-09 --exclude "*" --recursive --include "*20170409*" &amp; "%USERPROFILE%\Documents\GitHub\mrs-test-scripts\Headless Mode &amp; Sideloading\WalkAndUnGZ.bat" "%USERPROFILE%\AppData\Local\Temp\OnboardLogs"\RTDC4012\2017-04-09 &amp; aws s3 cp s3://rtdc.mdm.uploadarchive.raw/RTDC4012/ "%USERPROFILE%\AppData\Local\Temp\OnboardLogs"\RTDC4012\2017-04-10 --exclude "*" --recursive --include "*20170410*" &amp; "%USERPROFILE%\Documents\GitHub\mrs-test-scripts\Headless Mode &amp; Sideloading\WalkAndUnGZ.bat" "%USERPROFILE%\AppData\Local\Temp\OnboardLogs"\RTDC4012\2017-04-10</v>
      </c>
      <c r="AF15" s="82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/stypes="app*4012*20170409*" /stext=" 10:.+((SYSTEM_STATE.+slice.+state.+changed )|(ment ac)|(multiple cpu faults)|(system.+state.+changed )|(\[timeout)|(PRM\|1\|D)|(kpr)|(kdp)|(\|lc)|(penalty))"</v>
      </c>
      <c r="AG15" s="1" t="str">
        <f>IFERROR(IF(VALUE(LEFT(AD15,2))&lt;=2,"EC",IF(OR(VALUE(LEFT(AD15,2))=8,VALUE(LEFT(AD15,2))=18),"NW","Other")),"Other")</f>
        <v>EC</v>
      </c>
      <c r="AH15" s="86" t="str">
        <f t="shared" si="4"/>
        <v>"%USERPROFILE%\Documents\GitHub\eaglep3\Utilities\RefineRTDCRunTimes.py" --tripid 103-09 --locoid 4012 --swversion DE.1.0.9.0 --startMP 204:763 --initTime 2017-04-09T03:35:19 --startdatetime 2017-04-09T03:45:21 --delay 1 --endMP 204:233327 --enddatetime 2017-04-09T04:21:33 --enforcementcount 0 &gt;&gt;C:\Users\stu\Documents\GitHub\eaglep3-reporting\EC\2017-04-09-refined-times.txt</v>
      </c>
      <c r="AI15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{"issue":{"subject":"","project_id":79,"tracker_id":40,"status_id":1,"priority_id":2,"assigned_to_id":23,"start_date":"2017-04-09","description":"","custom_fields":[{"id":1,"name":"Subdivision","value":"EC"},{"id":4,"name":"Milepost","value":"23.3327"},{"id":17,"name":"Train ID","value":"103-09"},{"id":16,"name":"Locomotive ID","value":"4012"},{"id":130,"name":"Impact","value":""},{"id":150,"name":"Time of Event (Mountain Time)","value":"04:21:33"},{"id":151,"name":"Denver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8"/>
      <c r="AL15" s="48"/>
      <c r="AM15" s="150" t="str">
        <f t="shared" si="6"/>
        <v>start /low /b %USERPROFILE%\Documents\GitHub\eaglep3\Utilities\DownloadLogsFromS3.py --loco 4012 --day 2017-04-09</v>
      </c>
      <c r="AN15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10:21:33"},{"id":29,"name":"Sharepoint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648</v>
      </c>
      <c r="B16" s="7">
        <v>4029</v>
      </c>
      <c r="C16" s="21" t="s">
        <v>215</v>
      </c>
      <c r="D16" s="21" t="s">
        <v>838</v>
      </c>
      <c r="E16" s="13">
        <v>42834.187754629631</v>
      </c>
      <c r="F16" s="13">
        <v>42834.195428240739</v>
      </c>
      <c r="G16" s="7">
        <v>1</v>
      </c>
      <c r="H16" s="21" t="s">
        <v>407</v>
      </c>
      <c r="I16" s="13">
        <v>42834.223668981482</v>
      </c>
      <c r="J16" s="7">
        <v>0</v>
      </c>
      <c r="K16" s="97" t="str">
        <f>IF(ISEVEN(B16),(B16-1)&amp;"/"&amp;B16,B16&amp;"/"&amp;(B16+1))</f>
        <v>4029/4030</v>
      </c>
      <c r="L16" s="21" t="str">
        <f>VLOOKUP(A16,'Trips&amp;Operators'!$C$1:$G$99999,5,FALSE)</f>
        <v>MAELZER KURT</v>
      </c>
      <c r="M16" s="6">
        <f>I16-F16</f>
        <v>2.8240740743058268E-2</v>
      </c>
      <c r="N16" s="7">
        <f>24*60*SUM($M16:$M16)</f>
        <v>40.666666670003906</v>
      </c>
      <c r="O16" s="7"/>
      <c r="P16" s="7"/>
      <c r="Q16" s="22"/>
      <c r="R16" s="22"/>
      <c r="S16" s="31">
        <f>SUM(U16:U16)/IF(AG16="EC",12,1)</f>
        <v>1</v>
      </c>
      <c r="T16" s="46" t="str">
        <f>IF(ISEVEN(LEFT(AD16,4)),"Southbound","NorthBound")</f>
        <v>Southbound</v>
      </c>
      <c r="U16" s="18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2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-04-09T03:30:22-0600',mode:absolute,to:'2017-04-09T06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" s="183" t="str">
        <f>IF(AA16&lt;IF(AG16="EC",23,5.65),"Y","N")</f>
        <v>N</v>
      </c>
      <c r="X16" s="183">
        <f>VALUE(LEFT(AD16,4))-VALUE(LEFT(AD15,4))</f>
        <v>1</v>
      </c>
      <c r="Y16" s="62">
        <f>RIGHT(D16,LEN(D16)-4)/10000</f>
        <v>23.269600000000001</v>
      </c>
      <c r="Z16" s="62">
        <f>RIGHT(H16,LEN(H16)-4)/10000</f>
        <v>1.3899999999999999E-2</v>
      </c>
      <c r="AA16" s="62">
        <f>ABS(Z16-Y16)</f>
        <v>23.255700000000001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>IF(LEN(A16)=6,"0"&amp;A16,A16)</f>
        <v>0104-09</v>
      </c>
      <c r="AE16" s="85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s3://rtdc.mdm.uploadarchive.raw/RTDC4029/ "%USERPROFILE%\AppData\Local\Temp\OnboardLogs"\RTDC4029\2017-04-09 --exclude "*" --recursive --include "*20170409*" &amp; "%USERPROFILE%\Documents\GitHub\mrs-test-scripts\Headless Mode &amp; Sideloading\WalkAndUnGZ.bat" "%USERPROFILE%\AppData\Local\Temp\OnboardLogs"\RTDC4029\2017-04-09 &amp; aws s3 cp s3://rtdc.mdm.uploadarchive.raw/RTDC4029/ "%USERPROFILE%\AppData\Local\Temp\OnboardLogs"\RTDC4029\2017-04-10 --exclude "*" --recursive --include "*20170410*" &amp; "%USERPROFILE%\Documents\GitHub\mrs-test-scripts\Headless Mode &amp; Sideloading\WalkAndUnGZ.bat" "%USERPROFILE%\AppData\Local\Temp\OnboardLogs"\RTDC4029\2017-04-10</v>
      </c>
      <c r="AF16" s="82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/stypes="app*4029*20170409*" /stext=" 11:.+((SYSTEM_STATE.+slice.+state.+changed )|(ment ac)|(multiple cpu faults)|(system.+state.+changed )|(\[timeout)|(PRM\|1\|D)|(kpr)|(kdp)|(\|lc)|(penalty))"</v>
      </c>
      <c r="AG16" s="1" t="str">
        <f>IFERROR(IF(VALUE(LEFT(AD16,2))&lt;=2,"EC",IF(OR(VALUE(LEFT(AD16,2))=8,VALUE(LEFT(AD16,2))=18),"NW","Other")),"Other")</f>
        <v>EC</v>
      </c>
      <c r="AH16" s="86" t="str">
        <f t="shared" si="4"/>
        <v>"%USERPROFILE%\Documents\GitHub\eaglep3\Utilities\RefineRTDCRunTimes.py" --tripid 104-09 --locoid 4029 --swversion DE.1.0.9.0 --startMP 204:232696 --initTime 2017-04-09T04:30:22 --startdatetime 2017-04-09T04:41:25 --delay 1 --endMP 204:139 --enddatetime 2017-04-09T05:22:05 --enforcementcount 0 &gt;&gt;C:\Users\stu\Documents\GitHub\eaglep3-reporting\EC\2017-04-09-refined-times.txt</v>
      </c>
      <c r="AI16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{"issue":{"subject":"","project_id":79,"tracker_id":40,"status_id":1,"priority_id":2,"assigned_to_id":23,"start_date":"2017-04-09","description":"","custom_fields":[{"id":1,"name":"Subdivision","value":"EC"},{"id":4,"name":"Milepost","value":"0.0139"},{"id":17,"name":"Train ID","value":"104-09"},{"id":16,"name":"Locomotive ID","value":"4029"},{"id":130,"name":"Impact","value":""},{"id":150,"name":"Time of Event (Mountain Time)","value":"05:22:05"},{"id":151,"name":"Denver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8"/>
      <c r="AL16" s="48"/>
      <c r="AM16" s="150" t="str">
        <f t="shared" si="6"/>
        <v>start /low /b %USERPROFILE%\Documents\GitHub\eaglep3\Utilities\DownloadLogsFromS3.py --loco 4029 --day 2017-04-09</v>
      </c>
      <c r="AN16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11:22:05"},{"id":29,"name":"Sharepoint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642</v>
      </c>
      <c r="B17" s="7">
        <v>4004</v>
      </c>
      <c r="C17" s="21" t="s">
        <v>215</v>
      </c>
      <c r="D17" s="21" t="s">
        <v>839</v>
      </c>
      <c r="E17" s="13">
        <v>42834.172754629632</v>
      </c>
      <c r="F17" s="13">
        <v>42834.17728009259</v>
      </c>
      <c r="G17" s="7">
        <v>1</v>
      </c>
      <c r="H17" s="21" t="s">
        <v>482</v>
      </c>
      <c r="I17" s="13">
        <v>42834.203923611109</v>
      </c>
      <c r="J17" s="7">
        <v>0</v>
      </c>
      <c r="K17" s="97" t="str">
        <f>IF(ISEVEN(B17),(B17-1)&amp;"/"&amp;B17,B17&amp;"/"&amp;(B17+1))</f>
        <v>4003/4004</v>
      </c>
      <c r="L17" s="21" t="str">
        <f>VLOOKUP(A17,'Trips&amp;Operators'!$C$1:$G$99999,5,FALSE)</f>
        <v>BADERTSCHER DIANE</v>
      </c>
      <c r="M17" s="6">
        <f>I17-F17</f>
        <v>2.6643518518540077E-2</v>
      </c>
      <c r="N17" s="7">
        <f>24*60*SUM($M17:$M17)</f>
        <v>38.366666666697711</v>
      </c>
      <c r="O17" s="7"/>
      <c r="P17" s="7"/>
      <c r="Q17" s="22"/>
      <c r="R17" s="22"/>
      <c r="S17" s="31">
        <f>SUM(U17:U17)/IF(AG17="EC",12,1)</f>
        <v>1</v>
      </c>
      <c r="T17" s="46" t="str">
        <f>IF(ISEVEN(LEFT(AD17,4)),"Southbound","NorthBound")</f>
        <v>NorthBound</v>
      </c>
      <c r="U17" s="18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2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-04-09T03:08:46-0600',mode:absolute,to:'2017-04-09T05:53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" s="183" t="str">
        <f>IF(AA17&lt;IF(AG17="EC",23,5.65),"Y","N")</f>
        <v>N</v>
      </c>
      <c r="X17" s="183">
        <f>VALUE(LEFT(AD17,4))-VALUE(LEFT(AD16,4))</f>
        <v>1</v>
      </c>
      <c r="Y17" s="62">
        <f>RIGHT(D17,LEN(D17)-4)/10000</f>
        <v>7.2599999999999998E-2</v>
      </c>
      <c r="Z17" s="62">
        <f>RIGHT(H17,LEN(H17)-4)/10000</f>
        <v>23.33</v>
      </c>
      <c r="AA17" s="62">
        <f>ABS(Z17-Y17)</f>
        <v>23.257399999999997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>IF(LEN(A17)=6,"0"&amp;A17,A17)</f>
        <v>0105-09</v>
      </c>
      <c r="AE17" s="85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s3://rtdc.mdm.uploadarchive.raw/RTDC4004/ "%USERPROFILE%\AppData\Local\Temp\OnboardLogs"\RTDC4004\2017-04-09 --exclude "*" --recursive --include "*20170409*" &amp; "%USERPROFILE%\Documents\GitHub\mrs-test-scripts\Headless Mode &amp; Sideloading\WalkAndUnGZ.bat" "%USERPROFILE%\AppData\Local\Temp\OnboardLogs"\RTDC4004\2017-04-09 &amp; aws s3 cp s3://rtdc.mdm.uploadarchive.raw/RTDC4004/ "%USERPROFILE%\AppData\Local\Temp\OnboardLogs"\RTDC4004\2017-04-10 --exclude "*" --recursive --include "*20170410*" &amp; "%USERPROFILE%\Documents\GitHub\mrs-test-scripts\Headless Mode &amp; Sideloading\WalkAndUnGZ.bat" "%USERPROFILE%\AppData\Local\Temp\OnboardLogs"\RTDC4004\2017-04-10</v>
      </c>
      <c r="AF17" s="82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/stypes="app*4004*20170409*" /stext=" 10:.+((SYSTEM_STATE.+slice.+state.+changed )|(ment ac)|(multiple cpu faults)|(system.+state.+changed )|(\[timeout)|(PRM\|1\|D)|(kpr)|(kdp)|(\|lc)|(penalty))"</v>
      </c>
      <c r="AG17" s="1" t="str">
        <f>IFERROR(IF(VALUE(LEFT(AD17,2))&lt;=2,"EC",IF(OR(VALUE(LEFT(AD17,2))=8,VALUE(LEFT(AD17,2))=18),"NW","Other")),"Other")</f>
        <v>EC</v>
      </c>
      <c r="AH17" s="86" t="str">
        <f t="shared" si="4"/>
        <v>"%USERPROFILE%\Documents\GitHub\eaglep3\Utilities\RefineRTDCRunTimes.py" --tripid 105-09 --locoid 4004 --swversion DE.1.0.9.0 --startMP 204:726 --initTime 2017-04-09T04:08:46 --startdatetime 2017-04-09T04:15:17 --delay 1 --endMP 204:233300 --enddatetime 2017-04-09T04:53:39 --enforcementcount 0 &gt;&gt;C:\Users\stu\Documents\GitHub\eaglep3-reporting\EC\2017-04-09-refined-times.txt</v>
      </c>
      <c r="AI17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{"issue":{"subject":"","project_id":79,"tracker_id":40,"status_id":1,"priority_id":2,"assigned_to_id":23,"start_date":"2017-04-09","description":"","custom_fields":[{"id":1,"name":"Subdivision","value":"EC"},{"id":4,"name":"Milepost","value":"23.33"},{"id":17,"name":"Train ID","value":"105-09"},{"id":16,"name":"Locomotive ID","value":"4004"},{"id":130,"name":"Impact","value":""},{"id":150,"name":"Time of Event (Mountain Time)","value":"04:53:39"},{"id":151,"name":"Denver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8"/>
      <c r="AL17" s="48"/>
      <c r="AM17" s="150" t="str">
        <f t="shared" si="6"/>
        <v>start /low /b %USERPROFILE%\Documents\GitHub\eaglep3\Utilities\DownloadLogsFromS3.py --loco 4004 --day 2017-04-09</v>
      </c>
      <c r="AN17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10:53:39"},{"id":29,"name":"Sharepoint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652</v>
      </c>
      <c r="B18" s="7">
        <v>4045</v>
      </c>
      <c r="C18" s="21" t="s">
        <v>215</v>
      </c>
      <c r="D18" s="21" t="s">
        <v>571</v>
      </c>
      <c r="E18" s="13">
        <v>42834.210486111115</v>
      </c>
      <c r="F18" s="13">
        <v>42834.216157407405</v>
      </c>
      <c r="G18" s="7">
        <v>1</v>
      </c>
      <c r="H18" s="21" t="s">
        <v>410</v>
      </c>
      <c r="I18" s="13">
        <v>42834.244247685187</v>
      </c>
      <c r="J18" s="7">
        <v>0</v>
      </c>
      <c r="K18" s="97" t="str">
        <f>IF(ISEVEN(B18),(B18-1)&amp;"/"&amp;B18,B18&amp;"/"&amp;(B18+1))</f>
        <v>4045/4046</v>
      </c>
      <c r="L18" s="21" t="str">
        <f>VLOOKUP(A18,'Trips&amp;Operators'!$C$1:$G$99999,5,FALSE)</f>
        <v>BADERTSCHER DIANE</v>
      </c>
      <c r="M18" s="6">
        <f>I18-F18</f>
        <v>2.8090277781302575E-2</v>
      </c>
      <c r="N18" s="7">
        <f>24*60*SUM($M18:$M18)</f>
        <v>40.450000005075708</v>
      </c>
      <c r="O18" s="7"/>
      <c r="P18" s="7"/>
      <c r="Q18" s="22"/>
      <c r="R18" s="22"/>
      <c r="S18" s="31">
        <f>SUM(U18:U18)/IF(AG18="EC",12,1)</f>
        <v>1</v>
      </c>
      <c r="T18" s="46" t="str">
        <f>IF(ISEVEN(LEFT(AD18,4)),"Southbound","NorthBound")</f>
        <v>Southbound</v>
      </c>
      <c r="U18" s="18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2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-04-09T04:03:06-0600',mode:absolute,to:'2017-04-09T06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" s="183" t="str">
        <f>IF(AA18&lt;IF(AG18="EC",23,5.65),"Y","N")</f>
        <v>N</v>
      </c>
      <c r="X18" s="183">
        <f>VALUE(LEFT(AD18,4))-VALUE(LEFT(AD17,4))</f>
        <v>1</v>
      </c>
      <c r="Y18" s="62">
        <f>RIGHT(D18,LEN(D18)-4)/10000</f>
        <v>23.265599999999999</v>
      </c>
      <c r="Z18" s="62">
        <f>RIGHT(H18,LEN(H18)-4)/10000</f>
        <v>1.34E-2</v>
      </c>
      <c r="AA18" s="62">
        <f>ABS(Z18-Y18)</f>
        <v>23.252199999999998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>IF(LEN(A18)=6,"0"&amp;A18,A18)</f>
        <v>0106-09</v>
      </c>
      <c r="AE18" s="85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s3://rtdc.mdm.uploadarchive.raw/RTDC4045/ "%USERPROFILE%\AppData\Local\Temp\OnboardLogs"\RTDC4045\2017-04-09 --exclude "*" --recursive --include "*20170409*" &amp; "%USERPROFILE%\Documents\GitHub\mrs-test-scripts\Headless Mode &amp; Sideloading\WalkAndUnGZ.bat" "%USERPROFILE%\AppData\Local\Temp\OnboardLogs"\RTDC4045\2017-04-09 &amp; aws s3 cp s3://rtdc.mdm.uploadarchive.raw/RTDC4045/ "%USERPROFILE%\AppData\Local\Temp\OnboardLogs"\RTDC4045\2017-04-10 --exclude "*" --recursive --include "*20170410*" &amp; "%USERPROFILE%\Documents\GitHub\mrs-test-scripts\Headless Mode &amp; Sideloading\WalkAndUnGZ.bat" "%USERPROFILE%\AppData\Local\Temp\OnboardLogs"\RTDC4045\2017-04-10</v>
      </c>
      <c r="AF18" s="82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/stypes="app*4045*20170409*" /stext=" 11:.+((SYSTEM_STATE.+slice.+state.+changed )|(ment ac)|(multiple cpu faults)|(system.+state.+changed )|(\[timeout)|(PRM\|1\|D)|(kpr)|(kdp)|(\|lc)|(penalty))"</v>
      </c>
      <c r="AG18" s="1" t="str">
        <f>IFERROR(IF(VALUE(LEFT(AD18,2))&lt;=2,"EC",IF(OR(VALUE(LEFT(AD18,2))=8,VALUE(LEFT(AD18,2))=18),"NW","Other")),"Other")</f>
        <v>EC</v>
      </c>
      <c r="AH18" s="86" t="str">
        <f t="shared" si="4"/>
        <v>"%USERPROFILE%\Documents\GitHub\eaglep3\Utilities\RefineRTDCRunTimes.py" --tripid 106-09 --locoid 4045 --swversion DE.1.0.9.0 --startMP 204:232656 --initTime 2017-04-09T05:03:06 --startdatetime 2017-04-09T05:11:16 --delay 1 --endMP 204:134 --enddatetime 2017-04-09T05:51:43 --enforcementcount 0 &gt;&gt;C:\Users\stu\Documents\GitHub\eaglep3-reporting\EC\2017-04-09-refined-times.txt</v>
      </c>
      <c r="AI18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{"issue":{"subject":"","project_id":79,"tracker_id":40,"status_id":1,"priority_id":2,"assigned_to_id":23,"start_date":"2017-04-09","description":"","custom_fields":[{"id":1,"name":"Subdivision","value":"EC"},{"id":4,"name":"Milepost","value":"0.0134"},{"id":17,"name":"Train ID","value":"106-09"},{"id":16,"name":"Locomotive ID","value":"4045"},{"id":130,"name":"Impact","value":""},{"id":150,"name":"Time of Event (Mountain Time)","value":"05:51:43"},{"id":151,"name":"Denver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8"/>
      <c r="AL18" s="48"/>
      <c r="AM18" s="150" t="str">
        <f t="shared" si="6"/>
        <v>start /low /b %USERPROFILE%\Documents\GitHub\eaglep3\Utilities\DownloadLogsFromS3.py --loco 4045 --day 2017-04-09</v>
      </c>
      <c r="AN18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11:51:43"},{"id":29,"name":"Sharepoint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647</v>
      </c>
      <c r="B19" s="7">
        <v>4020</v>
      </c>
      <c r="C19" s="21" t="s">
        <v>215</v>
      </c>
      <c r="D19" s="21" t="s">
        <v>840</v>
      </c>
      <c r="E19" s="13">
        <v>42834.182962962965</v>
      </c>
      <c r="F19" s="13">
        <v>42834.187673611108</v>
      </c>
      <c r="G19" s="7">
        <v>1</v>
      </c>
      <c r="H19" s="21" t="s">
        <v>841</v>
      </c>
      <c r="I19" s="13">
        <v>42834.213449074072</v>
      </c>
      <c r="J19" s="7">
        <v>0</v>
      </c>
      <c r="K19" s="97" t="str">
        <f>IF(ISEVEN(B19),(B19-1)&amp;"/"&amp;B19,B19&amp;"/"&amp;(B19+1))</f>
        <v>4019/4020</v>
      </c>
      <c r="L19" s="21" t="str">
        <f>VLOOKUP(A19,'Trips&amp;Operators'!$C$1:$G$99999,5,FALSE)</f>
        <v>DAVIS WENDY</v>
      </c>
      <c r="M19" s="6">
        <f>I19-F19</f>
        <v>2.5775462963792961E-2</v>
      </c>
      <c r="N19" s="7">
        <f>24*60*SUM($M19:$M19)</f>
        <v>37.116666667861864</v>
      </c>
      <c r="O19" s="7"/>
      <c r="P19" s="7"/>
      <c r="Q19" s="22"/>
      <c r="R19" s="22"/>
      <c r="S19" s="31">
        <f>SUM(U19:U19)/IF(AG19="EC",12,1)</f>
        <v>1</v>
      </c>
      <c r="T19" s="46" t="str">
        <f>IF(ISEVEN(LEFT(AD19,4)),"Southbound","NorthBound")</f>
        <v>NorthBound</v>
      </c>
      <c r="U19" s="18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2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-04-09T03:23:28-0600',mode:absolute,to:'2017-04-09T06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" s="183" t="str">
        <f>IF(AA19&lt;IF(AG19="EC",23,5.65),"Y","N")</f>
        <v>N</v>
      </c>
      <c r="X19" s="183">
        <f>VALUE(LEFT(AD19,4))-VALUE(LEFT(AD18,4))</f>
        <v>1</v>
      </c>
      <c r="Y19" s="62">
        <f>RIGHT(D19,LEN(D19)-4)/10000</f>
        <v>4.3799999999999999E-2</v>
      </c>
      <c r="Z19" s="62">
        <f>RIGHT(H19,LEN(H19)-4)/10000</f>
        <v>23.3309</v>
      </c>
      <c r="AA19" s="62">
        <f>ABS(Z19-Y19)</f>
        <v>23.287099999999999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>IF(LEN(A19)=6,"0"&amp;A19,A19)</f>
        <v>0107-09</v>
      </c>
      <c r="AE19" s="85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s3://rtdc.mdm.uploadarchive.raw/RTDC4020/ "%USERPROFILE%\AppData\Local\Temp\OnboardLogs"\RTDC4020\2017-04-09 --exclude "*" --recursive --include "*20170409*" &amp; "%USERPROFILE%\Documents\GitHub\mrs-test-scripts\Headless Mode &amp; Sideloading\WalkAndUnGZ.bat" "%USERPROFILE%\AppData\Local\Temp\OnboardLogs"\RTDC4020\2017-04-09 &amp; aws s3 cp s3://rtdc.mdm.uploadarchive.raw/RTDC4020/ "%USERPROFILE%\AppData\Local\Temp\OnboardLogs"\RTDC4020\2017-04-10 --exclude "*" --recursive --include "*20170410*" &amp; "%USERPROFILE%\Documents\GitHub\mrs-test-scripts\Headless Mode &amp; Sideloading\WalkAndUnGZ.bat" "%USERPROFILE%\AppData\Local\Temp\OnboardLogs"\RTDC4020\2017-04-10</v>
      </c>
      <c r="AF19" s="82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/stypes="app*4020*20170409*" /stext=" 11:.+((SYSTEM_STATE.+slice.+state.+changed )|(ment ac)|(multiple cpu faults)|(system.+state.+changed )|(\[timeout)|(PRM\|1\|D)|(kpr)|(kdp)|(\|lc)|(penalty))"</v>
      </c>
      <c r="AG19" s="1" t="str">
        <f>IFERROR(IF(VALUE(LEFT(AD19,2))&lt;=2,"EC",IF(OR(VALUE(LEFT(AD19,2))=8,VALUE(LEFT(AD19,2))=18),"NW","Other")),"Other")</f>
        <v>EC</v>
      </c>
      <c r="AH19" s="86" t="str">
        <f t="shared" si="4"/>
        <v>"%USERPROFILE%\Documents\GitHub\eaglep3\Utilities\RefineRTDCRunTimes.py" --tripid 107-09 --locoid 4020 --swversion DE.1.0.9.0 --startMP 204:438 --initTime 2017-04-09T04:23:28 --startdatetime 2017-04-09T04:30:15 --delay 1 --endMP 204:233309 --enddatetime 2017-04-09T05:07:22 --enforcementcount 0 &gt;&gt;C:\Users\stu\Documents\GitHub\eaglep3-reporting\EC\2017-04-09-refined-times.txt</v>
      </c>
      <c r="AI19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{"issue":{"subject":"","project_id":79,"tracker_id":40,"status_id":1,"priority_id":2,"assigned_to_id":23,"start_date":"2017-04-09","description":"","custom_fields":[{"id":1,"name":"Subdivision","value":"EC"},{"id":4,"name":"Milepost","value":"23.3309"},{"id":17,"name":"Train ID","value":"107-09"},{"id":16,"name":"Locomotive ID","value":"4020"},{"id":130,"name":"Impact","value":""},{"id":150,"name":"Time of Event (Mountain Time)","value":"05:07:22"},{"id":151,"name":"Denver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8"/>
      <c r="AL19" s="48"/>
      <c r="AM19" s="150" t="str">
        <f t="shared" si="6"/>
        <v>start /low /b %USERPROFILE%\Documents\GitHub\eaglep3\Utilities\DownloadLogsFromS3.py --loco 4020 --day 2017-04-09</v>
      </c>
      <c r="AN19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11:07:22"},{"id":29,"name":"Sharepoint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655</v>
      </c>
      <c r="B20" s="7">
        <v>4019</v>
      </c>
      <c r="C20" s="21" t="s">
        <v>215</v>
      </c>
      <c r="D20" s="21" t="s">
        <v>842</v>
      </c>
      <c r="E20" s="13">
        <v>42834.224270833336</v>
      </c>
      <c r="F20" s="13">
        <v>42834.226550925923</v>
      </c>
      <c r="G20" s="7">
        <v>1</v>
      </c>
      <c r="H20" s="21" t="s">
        <v>843</v>
      </c>
      <c r="I20" s="13">
        <v>42834.255497685182</v>
      </c>
      <c r="J20" s="7">
        <v>0</v>
      </c>
      <c r="K20" s="97" t="str">
        <f>IF(ISEVEN(B20),(B20-1)&amp;"/"&amp;B20,B20&amp;"/"&amp;(B20+1))</f>
        <v>4019/4020</v>
      </c>
      <c r="L20" s="21" t="str">
        <f>VLOOKUP(A20,'Trips&amp;Operators'!$C$1:$G$99999,5,FALSE)</f>
        <v>DAVIS WENDY</v>
      </c>
      <c r="M20" s="6">
        <f>I20-F20</f>
        <v>2.8946759259270038E-2</v>
      </c>
      <c r="N20" s="7">
        <f>24*60*SUM($M20:$M20)</f>
        <v>41.683333333348855</v>
      </c>
      <c r="O20" s="7"/>
      <c r="P20" s="7"/>
      <c r="Q20" s="22"/>
      <c r="R20" s="22"/>
      <c r="S20" s="31">
        <f>SUM(U20:U20)/IF(AG20="EC",12,1)</f>
        <v>1</v>
      </c>
      <c r="T20" s="46" t="str">
        <f>IF(ISEVEN(LEFT(AD20,4)),"Southbound","NorthBound")</f>
        <v>Southbound</v>
      </c>
      <c r="U20" s="18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2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-04-09T04:22:57-0600',mode:absolute,to:'2017-04-09T07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" s="183" t="str">
        <f>IF(AA20&lt;IF(AG20="EC",23,5.65),"Y","N")</f>
        <v>N</v>
      </c>
      <c r="X20" s="183">
        <f>VALUE(LEFT(AD20,4))-VALUE(LEFT(AD19,4))</f>
        <v>1</v>
      </c>
      <c r="Y20" s="62">
        <f>RIGHT(D20,LEN(D20)-4)/10000</f>
        <v>23.298200000000001</v>
      </c>
      <c r="Z20" s="62">
        <f>RIGHT(H20,LEN(H20)-4)/10000</f>
        <v>1.4999999999999999E-2</v>
      </c>
      <c r="AA20" s="62">
        <f>ABS(Z20-Y20)</f>
        <v>23.283200000000001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>IF(LEN(A20)=6,"0"&amp;A20,A20)</f>
        <v>0108-09</v>
      </c>
      <c r="AE20" s="85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s3://rtdc.mdm.uploadarchive.raw/RTDC4019/ "%USERPROFILE%\AppData\Local\Temp\OnboardLogs"\RTDC4019\2017-04-09 --exclude "*" --recursive --include "*20170409*" &amp; "%USERPROFILE%\Documents\GitHub\mrs-test-scripts\Headless Mode &amp; Sideloading\WalkAndUnGZ.bat" "%USERPROFILE%\AppData\Local\Temp\OnboardLogs"\RTDC4019\2017-04-09 &amp; aws s3 cp s3://rtdc.mdm.uploadarchive.raw/RTDC4019/ "%USERPROFILE%\AppData\Local\Temp\OnboardLogs"\RTDC4019\2017-04-10 --exclude "*" --recursive --include "*20170410*" &amp; "%USERPROFILE%\Documents\GitHub\mrs-test-scripts\Headless Mode &amp; Sideloading\WalkAndUnGZ.bat" "%USERPROFILE%\AppData\Local\Temp\OnboardLogs"\RTDC4019\2017-04-10</v>
      </c>
      <c r="AF20" s="82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/stypes="app*4019*20170409*" /stext=" 12:.+((SYSTEM_STATE.+slice.+state.+changed )|(ment ac)|(multiple cpu faults)|(system.+state.+changed )|(\[timeout)|(PRM\|1\|D)|(kpr)|(kdp)|(\|lc)|(penalty))"</v>
      </c>
      <c r="AG20" s="1" t="str">
        <f>IFERROR(IF(VALUE(LEFT(AD20,2))&lt;=2,"EC",IF(OR(VALUE(LEFT(AD20,2))=8,VALUE(LEFT(AD20,2))=18),"NW","Other")),"Other")</f>
        <v>EC</v>
      </c>
      <c r="AH20" s="86" t="str">
        <f t="shared" si="4"/>
        <v>"%USERPROFILE%\Documents\GitHub\eaglep3\Utilities\RefineRTDCRunTimes.py" --tripid 108-09 --locoid 4019 --swversion DE.1.0.9.0 --startMP 204:232982 --initTime 2017-04-09T05:22:57 --startdatetime 2017-04-09T05:26:14 --delay 1 --endMP 204:150 --enddatetime 2017-04-09T06:07:55 --enforcementcount 0 &gt;&gt;C:\Users\stu\Documents\GitHub\eaglep3-reporting\EC\2017-04-09-refined-times.txt</v>
      </c>
      <c r="AI20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{"issue":{"subject":"","project_id":79,"tracker_id":40,"status_id":1,"priority_id":2,"assigned_to_id":23,"start_date":"2017-04-09","description":"","custom_fields":[{"id":1,"name":"Subdivision","value":"EC"},{"id":4,"name":"Milepost","value":"0.015"},{"id":17,"name":"Train ID","value":"108-09"},{"id":16,"name":"Locomotive ID","value":"4019"},{"id":130,"name":"Impact","value":""},{"id":150,"name":"Time of Event (Mountain Time)","value":"06:07:55"},{"id":151,"name":"Denver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8"/>
      <c r="AL20" s="48"/>
      <c r="AM20" s="150" t="str">
        <f t="shared" si="6"/>
        <v>start /low /b %USERPROFILE%\Documents\GitHub\eaglep3\Utilities\DownloadLogsFromS3.py --loco 4019 --day 2017-04-09</v>
      </c>
      <c r="AN20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12:07:55"},{"id":29,"name":"Sharepoint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649</v>
      </c>
      <c r="B21" s="7">
        <v>4044</v>
      </c>
      <c r="C21" s="21" t="s">
        <v>215</v>
      </c>
      <c r="D21" s="21" t="s">
        <v>528</v>
      </c>
      <c r="E21" s="13">
        <v>42834.194675925923</v>
      </c>
      <c r="F21" s="13">
        <v>42834.198055555556</v>
      </c>
      <c r="G21" s="7">
        <v>1</v>
      </c>
      <c r="H21" s="21" t="s">
        <v>844</v>
      </c>
      <c r="I21" s="13">
        <v>42834.225011574075</v>
      </c>
      <c r="J21" s="7">
        <v>0</v>
      </c>
      <c r="K21" s="97" t="str">
        <f>IF(ISEVEN(B21),(B21-1)&amp;"/"&amp;B21,B21&amp;"/"&amp;(B21+1))</f>
        <v>4043/4044</v>
      </c>
      <c r="L21" s="21" t="str">
        <f>VLOOKUP(A21,'Trips&amp;Operators'!$C$1:$G$99999,5,FALSE)</f>
        <v>ROBINSON KADDIBA</v>
      </c>
      <c r="M21" s="6">
        <f>I21-F21</f>
        <v>2.6956018518831115E-2</v>
      </c>
      <c r="N21" s="7">
        <f>24*60*SUM($M21:$M21)</f>
        <v>38.816666667116806</v>
      </c>
      <c r="O21" s="7"/>
      <c r="P21" s="7"/>
      <c r="Q21" s="22"/>
      <c r="R21" s="22"/>
      <c r="S21" s="31">
        <f>SUM(U21:U21)/IF(AG21="EC",12,1)</f>
        <v>1</v>
      </c>
      <c r="T21" s="46" t="str">
        <f>IF(ISEVEN(LEFT(AD21,4)),"Southbound","NorthBound")</f>
        <v>NorthBound</v>
      </c>
      <c r="U21" s="18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2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-04-09T03:40:20-0600',mode:absolute,to:'2017-04-09T06:24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" s="183" t="str">
        <f>IF(AA21&lt;IF(AG21="EC",23,5.65),"Y","N")</f>
        <v>N</v>
      </c>
      <c r="X21" s="183">
        <f>VALUE(LEFT(AD21,4))-VALUE(LEFT(AD20,4))</f>
        <v>1</v>
      </c>
      <c r="Y21" s="62">
        <f>RIGHT(D21,LEN(D21)-4)/10000</f>
        <v>4.6399999999999997E-2</v>
      </c>
      <c r="Z21" s="62">
        <f>RIGHT(H21,LEN(H21)-4)/10000</f>
        <v>23.325900000000001</v>
      </c>
      <c r="AA21" s="62">
        <f>ABS(Z21-Y21)</f>
        <v>23.279500000000002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>IF(LEN(A21)=6,"0"&amp;A21,A21)</f>
        <v>0109-09</v>
      </c>
      <c r="AE21" s="85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s3://rtdc.mdm.uploadarchive.raw/RTDC4044/ "%USERPROFILE%\AppData\Local\Temp\OnboardLogs"\RTDC4044\2017-04-09 --exclude "*" --recursive --include "*20170409*" &amp; "%USERPROFILE%\Documents\GitHub\mrs-test-scripts\Headless Mode &amp; Sideloading\WalkAndUnGZ.bat" "%USERPROFILE%\AppData\Local\Temp\OnboardLogs"\RTDC4044\2017-04-09 &amp; aws s3 cp s3://rtdc.mdm.uploadarchive.raw/RTDC4044/ "%USERPROFILE%\AppData\Local\Temp\OnboardLogs"\RTDC4044\2017-04-10 --exclude "*" --recursive --include "*20170410*" &amp; "%USERPROFILE%\Documents\GitHub\mrs-test-scripts\Headless Mode &amp; Sideloading\WalkAndUnGZ.bat" "%USERPROFILE%\AppData\Local\Temp\OnboardLogs"\RTDC4044\2017-04-10</v>
      </c>
      <c r="AF21" s="82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/stypes="app*4044*20170409*" /stext=" 11:.+((SYSTEM_STATE.+slice.+state.+changed )|(ment ac)|(multiple cpu faults)|(system.+state.+changed )|(\[timeout)|(PRM\|1\|D)|(kpr)|(kdp)|(\|lc)|(penalty))"</v>
      </c>
      <c r="AG21" s="1" t="str">
        <f>IFERROR(IF(VALUE(LEFT(AD21,2))&lt;=2,"EC",IF(OR(VALUE(LEFT(AD21,2))=8,VALUE(LEFT(AD21,2))=18),"NW","Other")),"Other")</f>
        <v>EC</v>
      </c>
      <c r="AH21" s="86" t="str">
        <f t="shared" si="4"/>
        <v>"%USERPROFILE%\Documents\GitHub\eaglep3\Utilities\RefineRTDCRunTimes.py" --tripid 109-09 --locoid 4044 --swversion DE.1.0.9.0 --startMP 204:464 --initTime 2017-04-09T04:40:20 --startdatetime 2017-04-09T04:45:12 --delay 1 --endMP 204:233259 --enddatetime 2017-04-09T05:24:01 --enforcementcount 0 &gt;&gt;C:\Users\stu\Documents\GitHub\eaglep3-reporting\EC\2017-04-09-refined-times.txt</v>
      </c>
      <c r="AI21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{"issue":{"subject":"","project_id":79,"tracker_id":40,"status_id":1,"priority_id":2,"assigned_to_id":23,"start_date":"2017-04-09","description":"","custom_fields":[{"id":1,"name":"Subdivision","value":"EC"},{"id":4,"name":"Milepost","value":"23.3259"},{"id":17,"name":"Train ID","value":"109-09"},{"id":16,"name":"Locomotive ID","value":"4044"},{"id":130,"name":"Impact","value":""},{"id":150,"name":"Time of Event (Mountain Time)","value":"05:24:01"},{"id":151,"name":"Denver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8"/>
      <c r="AL21" s="48"/>
      <c r="AM21" s="150" t="str">
        <f t="shared" si="6"/>
        <v>start /low /b %USERPROFILE%\Documents\GitHub\eaglep3\Utilities\DownloadLogsFromS3.py --loco 4044 --day 2017-04-09</v>
      </c>
      <c r="AN21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11:24:01"},{"id":29,"name":"Sharepoint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660</v>
      </c>
      <c r="B22" s="7">
        <v>4043</v>
      </c>
      <c r="C22" s="21" t="s">
        <v>215</v>
      </c>
      <c r="D22" s="21" t="s">
        <v>845</v>
      </c>
      <c r="E22" s="13">
        <v>42834.234513888892</v>
      </c>
      <c r="F22" s="13">
        <v>42834.236956018518</v>
      </c>
      <c r="G22" s="7">
        <v>1</v>
      </c>
      <c r="H22" s="21" t="s">
        <v>203</v>
      </c>
      <c r="I22" s="13">
        <v>42834.264178240737</v>
      </c>
      <c r="J22" s="7">
        <v>0</v>
      </c>
      <c r="K22" s="97" t="str">
        <f>IF(ISEVEN(B22),(B22-1)&amp;"/"&amp;B22,B22&amp;"/"&amp;(B22+1))</f>
        <v>4043/4044</v>
      </c>
      <c r="L22" s="21" t="str">
        <f>VLOOKUP(A22,'Trips&amp;Operators'!$C$1:$G$99999,5,FALSE)</f>
        <v>ROBINSON KADDIBA</v>
      </c>
      <c r="M22" s="6">
        <f>I22-F22</f>
        <v>2.7222222219279502E-2</v>
      </c>
      <c r="N22" s="7">
        <f>24*60*SUM($M22:$M22)</f>
        <v>39.199999995762482</v>
      </c>
      <c r="O22" s="7"/>
      <c r="P22" s="7"/>
      <c r="Q22" s="22"/>
      <c r="R22" s="22"/>
      <c r="S22" s="31">
        <f>SUM(U22:U22)/IF(AG22="EC",12,1)</f>
        <v>1</v>
      </c>
      <c r="T22" s="46" t="str">
        <f>IF(ISEVEN(LEFT(AD22,4)),"Southbound","NorthBound")</f>
        <v>Southbound</v>
      </c>
      <c r="U22" s="18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2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-04-09T04:37:42-0600',mode:absolute,to:'2017-04-09T07:20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" s="183" t="str">
        <f>IF(AA22&lt;IF(AG22="EC",23,5.65),"Y","N")</f>
        <v>N</v>
      </c>
      <c r="X22" s="183">
        <f>VALUE(LEFT(AD22,4))-VALUE(LEFT(AD21,4))</f>
        <v>1</v>
      </c>
      <c r="Y22" s="62">
        <f>RIGHT(D22,LEN(D22)-4)/10000</f>
        <v>23.294499999999999</v>
      </c>
      <c r="Z22" s="62">
        <f>RIGHT(H22,LEN(H22)-4)/10000</f>
        <v>1.54E-2</v>
      </c>
      <c r="AA22" s="62">
        <f>ABS(Z22-Y22)</f>
        <v>23.2791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>IF(LEN(A22)=6,"0"&amp;A22,A22)</f>
        <v>0110-09</v>
      </c>
      <c r="AE22" s="85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s3://rtdc.mdm.uploadarchive.raw/RTDC4043/ "%USERPROFILE%\AppData\Local\Temp\OnboardLogs"\RTDC4043\2017-04-09 --exclude "*" --recursive --include "*20170409*" &amp; "%USERPROFILE%\Documents\GitHub\mrs-test-scripts\Headless Mode &amp; Sideloading\WalkAndUnGZ.bat" "%USERPROFILE%\AppData\Local\Temp\OnboardLogs"\RTDC4043\2017-04-09 &amp; aws s3 cp s3://rtdc.mdm.uploadarchive.raw/RTDC4043/ "%USERPROFILE%\AppData\Local\Temp\OnboardLogs"\RTDC4043\2017-04-10 --exclude "*" --recursive --include "*20170410*" &amp; "%USERPROFILE%\Documents\GitHub\mrs-test-scripts\Headless Mode &amp; Sideloading\WalkAndUnGZ.bat" "%USERPROFILE%\AppData\Local\Temp\OnboardLogs"\RTDC4043\2017-04-10</v>
      </c>
      <c r="AF22" s="82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/stypes="app*4043*20170409*" /stext=" 12:.+((SYSTEM_STATE.+slice.+state.+changed )|(ment ac)|(multiple cpu faults)|(system.+state.+changed )|(\[timeout)|(PRM\|1\|D)|(kpr)|(kdp)|(\|lc)|(penalty))"</v>
      </c>
      <c r="AG22" s="1" t="str">
        <f>IFERROR(IF(VALUE(LEFT(AD22,2))&lt;=2,"EC",IF(OR(VALUE(LEFT(AD22,2))=8,VALUE(LEFT(AD22,2))=18),"NW","Other")),"Other")</f>
        <v>EC</v>
      </c>
      <c r="AH22" s="86" t="str">
        <f t="shared" si="4"/>
        <v>"%USERPROFILE%\Documents\GitHub\eaglep3\Utilities\RefineRTDCRunTimes.py" --tripid 110-09 --locoid 4043 --swversion DE.1.0.9.0 --startMP 204:232945 --initTime 2017-04-09T05:37:42 --startdatetime 2017-04-09T05:41:13 --delay 1 --endMP 204:154 --enddatetime 2017-04-09T06:20:25 --enforcementcount 0 &gt;&gt;C:\Users\stu\Documents\GitHub\eaglep3-reporting\EC\2017-04-09-refined-times.txt</v>
      </c>
      <c r="AI22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{"issue":{"subject":"","project_id":79,"tracker_id":40,"status_id":1,"priority_id":2,"assigned_to_id":23,"start_date":"2017-04-09","description":"","custom_fields":[{"id":1,"name":"Subdivision","value":"EC"},{"id":4,"name":"Milepost","value":"0.0154"},{"id":17,"name":"Train ID","value":"110-09"},{"id":16,"name":"Locomotive ID","value":"4043"},{"id":130,"name":"Impact","value":""},{"id":150,"name":"Time of Event (Mountain Time)","value":"06:20:25"},{"id":151,"name":"Denver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8"/>
      <c r="AL22" s="48"/>
      <c r="AM22" s="150" t="str">
        <f t="shared" si="6"/>
        <v>start /low /b %USERPROFILE%\Documents\GitHub\eaglep3\Utilities\DownloadLogsFromS3.py --loco 4043 --day 2017-04-09</v>
      </c>
      <c r="AN22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12:20:25"},{"id":29,"name":"Sharepoint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651</v>
      </c>
      <c r="B23" s="7">
        <v>4024</v>
      </c>
      <c r="C23" s="21" t="s">
        <v>215</v>
      </c>
      <c r="D23" s="21" t="s">
        <v>846</v>
      </c>
      <c r="E23" s="13">
        <v>42834.201701388891</v>
      </c>
      <c r="F23" s="13">
        <v>42834.208518518521</v>
      </c>
      <c r="G23" s="7">
        <v>4</v>
      </c>
      <c r="H23" s="21" t="s">
        <v>588</v>
      </c>
      <c r="I23" s="13">
        <v>42834.233113425929</v>
      </c>
      <c r="J23" s="7">
        <v>0</v>
      </c>
      <c r="K23" s="97" t="str">
        <f>IF(ISEVEN(B23),(B23-1)&amp;"/"&amp;B23,B23&amp;"/"&amp;(B23+1))</f>
        <v>4023/4024</v>
      </c>
      <c r="L23" s="21" t="str">
        <f>VLOOKUP(A23,'Trips&amp;Operators'!$C$1:$G$99999,5,FALSE)</f>
        <v>GEBRETEKLE DAGNEW</v>
      </c>
      <c r="M23" s="6">
        <f>I23-F23</f>
        <v>2.4594907408754807E-2</v>
      </c>
      <c r="N23" s="7">
        <f>24*60*SUM($M23:$M23)</f>
        <v>35.416666668606922</v>
      </c>
      <c r="O23" s="7"/>
      <c r="P23" s="7"/>
      <c r="Q23" s="22"/>
      <c r="R23" s="22"/>
      <c r="S23" s="31">
        <f>SUM(U23:U23)/IF(AG23="EC",12,1)</f>
        <v>1</v>
      </c>
      <c r="T23" s="46" t="str">
        <f>IF(ISEVEN(LEFT(AD23,4)),"Southbound","NorthBound")</f>
        <v>NorthBound</v>
      </c>
      <c r="U23" s="18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2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-04-09T03:50:27-0600',mode:absolute,to:'2017-04-09T06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" s="183" t="str">
        <f>IF(AA23&lt;IF(AG23="EC",23,5.65),"Y","N")</f>
        <v>N</v>
      </c>
      <c r="X23" s="183">
        <f>VALUE(LEFT(AD23,4))-VALUE(LEFT(AD22,4))</f>
        <v>1</v>
      </c>
      <c r="Y23" s="62">
        <f>RIGHT(D23,LEN(D23)-4)/10000</f>
        <v>7.4800000000000005E-2</v>
      </c>
      <c r="Z23" s="62">
        <f>RIGHT(H23,LEN(H23)-4)/10000</f>
        <v>23.334299999999999</v>
      </c>
      <c r="AA23" s="62">
        <f>ABS(Z23-Y23)</f>
        <v>23.259499999999999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>IF(LEN(A23)=6,"0"&amp;A23,A23)</f>
        <v>0111-09</v>
      </c>
      <c r="AE23" s="85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s3://rtdc.mdm.uploadarchive.raw/RTDC4024/ "%USERPROFILE%\AppData\Local\Temp\OnboardLogs"\RTDC4024\2017-04-09 --exclude "*" --recursive --include "*20170409*" &amp; "%USERPROFILE%\Documents\GitHub\mrs-test-scripts\Headless Mode &amp; Sideloading\WalkAndUnGZ.bat" "%USERPROFILE%\AppData\Local\Temp\OnboardLogs"\RTDC4024\2017-04-09 &amp; aws s3 cp s3://rtdc.mdm.uploadarchive.raw/RTDC4024/ "%USERPROFILE%\AppData\Local\Temp\OnboardLogs"\RTDC4024\2017-04-10 --exclude "*" --recursive --include "*20170410*" &amp; "%USERPROFILE%\Documents\GitHub\mrs-test-scripts\Headless Mode &amp; Sideloading\WalkAndUnGZ.bat" "%USERPROFILE%\AppData\Local\Temp\OnboardLogs"\RTDC4024\2017-04-10</v>
      </c>
      <c r="AF23" s="82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/stypes="app*4024*20170409*" /stext=" 11:.+((SYSTEM_STATE.+slice.+state.+changed )|(ment ac)|(multiple cpu faults)|(system.+state.+changed )|(\[timeout)|(PRM\|1\|D)|(kpr)|(kdp)|(\|lc)|(penalty))"</v>
      </c>
      <c r="AG23" s="1" t="str">
        <f>IFERROR(IF(VALUE(LEFT(AD23,2))&lt;=2,"EC",IF(OR(VALUE(LEFT(AD23,2))=8,VALUE(LEFT(AD23,2))=18),"NW","Other")),"Other")</f>
        <v>EC</v>
      </c>
      <c r="AH23" s="86" t="str">
        <f t="shared" si="4"/>
        <v>"%USERPROFILE%\Documents\GitHub\eaglep3\Utilities\RefineRTDCRunTimes.py" --tripid 111-09 --locoid 4024 --swversion DE.1.0.9.0 --startMP 204:748 --initTime 2017-04-09T04:50:27 --startdatetime 2017-04-09T05:00:16 --delay 4 --endMP 204:233343 --enddatetime 2017-04-09T05:35:41 --enforcementcount 0 &gt;&gt;C:\Users\stu\Documents\GitHub\eaglep3-reporting\EC\2017-04-09-refined-times.txt</v>
      </c>
      <c r="AI23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{"issue":{"subject":"","project_id":79,"tracker_id":40,"status_id":1,"priority_id":2,"assigned_to_id":23,"start_date":"2017-04-09","description":"","custom_fields":[{"id":1,"name":"Subdivision","value":"EC"},{"id":4,"name":"Milepost","value":"23.3343"},{"id":17,"name":"Train ID","value":"111-09"},{"id":16,"name":"Locomotive ID","value":"4024"},{"id":130,"name":"Impact","value":""},{"id":150,"name":"Time of Event (Mountain Time)","value":"05:35:41"},{"id":151,"name":"Denver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8"/>
      <c r="AL23" s="48"/>
      <c r="AM23" s="150" t="str">
        <f t="shared" si="6"/>
        <v>start /low /b %USERPROFILE%\Documents\GitHub\eaglep3\Utilities\DownloadLogsFromS3.py --loco 4024 --day 2017-04-09</v>
      </c>
      <c r="AN23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11:35:41"},{"id":29,"name":"Sharepoint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661</v>
      </c>
      <c r="B24" s="7">
        <v>4023</v>
      </c>
      <c r="C24" s="21" t="s">
        <v>215</v>
      </c>
      <c r="D24" s="21" t="s">
        <v>847</v>
      </c>
      <c r="E24" s="13">
        <v>42834.243125000001</v>
      </c>
      <c r="F24" s="13">
        <v>42834.247407407405</v>
      </c>
      <c r="G24" s="7">
        <v>1</v>
      </c>
      <c r="H24" s="21" t="s">
        <v>527</v>
      </c>
      <c r="I24" s="13">
        <v>42834.273599537039</v>
      </c>
      <c r="J24" s="7">
        <v>0</v>
      </c>
      <c r="K24" s="97" t="str">
        <f>IF(ISEVEN(B24),(B24-1)&amp;"/"&amp;B24,B24&amp;"/"&amp;(B24+1))</f>
        <v>4023/4024</v>
      </c>
      <c r="L24" s="21" t="str">
        <f>VLOOKUP(A24,'Trips&amp;Operators'!$C$1:$G$99999,5,FALSE)</f>
        <v>GEBRETEKLE DAGNEW</v>
      </c>
      <c r="M24" s="6">
        <f>I24-F24</f>
        <v>2.6192129633272998E-2</v>
      </c>
      <c r="N24" s="7">
        <f>24*60*SUM($M24:$M24)</f>
        <v>37.716666671913117</v>
      </c>
      <c r="O24" s="7"/>
      <c r="P24" s="7"/>
      <c r="Q24" s="22"/>
      <c r="R24" s="22"/>
      <c r="S24" s="31">
        <f>SUM(U24:U24)/IF(AG24="EC",12,1)</f>
        <v>1</v>
      </c>
      <c r="T24" s="46" t="str">
        <f>IF(ISEVEN(LEFT(AD24,4)),"Southbound","NorthBound")</f>
        <v>Southbound</v>
      </c>
      <c r="U24" s="18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2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-04-09T04:50:06-0600',mode:absolute,to:'2017-04-09T07:33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4" s="183" t="str">
        <f>IF(AA24&lt;IF(AG24="EC",23,5.65),"Y","N")</f>
        <v>N</v>
      </c>
      <c r="X24" s="183">
        <f>VALUE(LEFT(AD24,4))-VALUE(LEFT(AD23,4))</f>
        <v>1</v>
      </c>
      <c r="Y24" s="62">
        <f>RIGHT(D24,LEN(D24)-4)/10000</f>
        <v>23.303999999999998</v>
      </c>
      <c r="Z24" s="62">
        <f>RIGHT(H24,LEN(H24)-4)/10000</f>
        <v>1.2999999999999999E-2</v>
      </c>
      <c r="AA24" s="62">
        <f>ABS(Z24-Y24)</f>
        <v>23.290999999999997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>IF(LEN(A24)=6,"0"&amp;A24,A24)</f>
        <v>0112-09</v>
      </c>
      <c r="AE24" s="85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s3://rtdc.mdm.uploadarchive.raw/RTDC4023/ "%USERPROFILE%\AppData\Local\Temp\OnboardLogs"\RTDC4023\2017-04-09 --exclude "*" --recursive --include "*20170409*" &amp; "%USERPROFILE%\Documents\GitHub\mrs-test-scripts\Headless Mode &amp; Sideloading\WalkAndUnGZ.bat" "%USERPROFILE%\AppData\Local\Temp\OnboardLogs"\RTDC4023\2017-04-09 &amp; aws s3 cp s3://rtdc.mdm.uploadarchive.raw/RTDC4023/ "%USERPROFILE%\AppData\Local\Temp\OnboardLogs"\RTDC4023\2017-04-10 --exclude "*" --recursive --include "*20170410*" &amp; "%USERPROFILE%\Documents\GitHub\mrs-test-scripts\Headless Mode &amp; Sideloading\WalkAndUnGZ.bat" "%USERPROFILE%\AppData\Local\Temp\OnboardLogs"\RTDC4023\2017-04-10</v>
      </c>
      <c r="AF24" s="82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/stypes="app*4023*20170409*" /stext=" 12:.+((SYSTEM_STATE.+slice.+state.+changed )|(ment ac)|(multiple cpu faults)|(system.+state.+changed )|(\[timeout)|(PRM\|1\|D)|(kpr)|(kdp)|(\|lc)|(penalty))"</v>
      </c>
      <c r="AG24" s="1" t="str">
        <f>IFERROR(IF(VALUE(LEFT(AD24,2))&lt;=2,"EC",IF(OR(VALUE(LEFT(AD24,2))=8,VALUE(LEFT(AD24,2))=18),"NW","Other")),"Other")</f>
        <v>EC</v>
      </c>
      <c r="AH24" s="86" t="str">
        <f t="shared" si="4"/>
        <v>"%USERPROFILE%\Documents\GitHub\eaglep3\Utilities\RefineRTDCRunTimes.py" --tripid 112-09 --locoid 4023 --swversion DE.1.0.9.0 --startMP 204:233040 --initTime 2017-04-09T05:50:06 --startdatetime 2017-04-09T05:56:16 --delay 1 --endMP 204:130 --enddatetime 2017-04-09T06:33:59 --enforcementcount 0 &gt;&gt;C:\Users\stu\Documents\GitHub\eaglep3-reporting\EC\2017-04-09-refined-times.txt</v>
      </c>
      <c r="AI24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{"issue":{"subject":"","project_id":79,"tracker_id":40,"status_id":1,"priority_id":2,"assigned_to_id":23,"start_date":"2017-04-09","description":"","custom_fields":[{"id":1,"name":"Subdivision","value":"EC"},{"id":4,"name":"Milepost","value":"0.013"},{"id":17,"name":"Train ID","value":"112-09"},{"id":16,"name":"Locomotive ID","value":"4023"},{"id":130,"name":"Impact","value":""},{"id":150,"name":"Time of Event (Mountain Time)","value":"06:33:59"},{"id":151,"name":"Denver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8"/>
      <c r="AL24" s="48"/>
      <c r="AM24" s="150" t="str">
        <f t="shared" si="6"/>
        <v>start /low /b %USERPROFILE%\Documents\GitHub\eaglep3\Utilities\DownloadLogsFromS3.py --loco 4023 --day 2017-04-09</v>
      </c>
      <c r="AN24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12:33:59"},{"id":29,"name":"Sharepoint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650</v>
      </c>
      <c r="B25" s="7">
        <v>4032</v>
      </c>
      <c r="C25" s="21" t="s">
        <v>215</v>
      </c>
      <c r="D25" s="21" t="s">
        <v>205</v>
      </c>
      <c r="E25" s="13">
        <v>42834.20275462963</v>
      </c>
      <c r="F25" s="13">
        <v>42834.218981481485</v>
      </c>
      <c r="G25" s="7">
        <v>1</v>
      </c>
      <c r="H25" s="21" t="s">
        <v>848</v>
      </c>
      <c r="I25" s="13">
        <v>42834.244675925926</v>
      </c>
      <c r="J25" s="7">
        <v>0</v>
      </c>
      <c r="K25" s="97" t="str">
        <f>IF(ISEVEN(B25),(B25-1)&amp;"/"&amp;B25,B25&amp;"/"&amp;(B25+1))</f>
        <v>4031/4032</v>
      </c>
      <c r="L25" s="21" t="str">
        <f>VLOOKUP(A25,'Trips&amp;Operators'!$C$1:$G$99999,5,FALSE)</f>
        <v>SANTIZO D. EDY</v>
      </c>
      <c r="M25" s="6">
        <f>I25-F25</f>
        <v>2.569444444088731E-2</v>
      </c>
      <c r="N25" s="7">
        <f>24*60*SUM($M25:$M25)</f>
        <v>36.999999994877726</v>
      </c>
      <c r="O25" s="7"/>
      <c r="P25" s="7"/>
      <c r="Q25" s="22"/>
      <c r="R25" s="22"/>
      <c r="S25" s="31">
        <f>SUM(U25:U25)/IF(AG25="EC",12,1)</f>
        <v>1</v>
      </c>
      <c r="T25" s="46" t="str">
        <f>IF(ISEVEN(LEFT(AD25,4)),"Southbound","NorthBound")</f>
        <v>NorthBound</v>
      </c>
      <c r="U25" s="18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2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-04-09T03:51:58-0600',mode:absolute,to:'2017-04-09T06:52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5" s="183" t="str">
        <f>IF(AA25&lt;IF(AG25="EC",23,5.65),"Y","N")</f>
        <v>N</v>
      </c>
      <c r="X25" s="183">
        <f>VALUE(LEFT(AD25,4))-VALUE(LEFT(AD24,4))</f>
        <v>1</v>
      </c>
      <c r="Y25" s="62">
        <f>RIGHT(D25,LEN(D25)-4)/10000</f>
        <v>4.5699999999999998E-2</v>
      </c>
      <c r="Z25" s="62">
        <f>RIGHT(H25,LEN(H25)-4)/10000</f>
        <v>23.336099999999998</v>
      </c>
      <c r="AA25" s="62">
        <f>ABS(Z25-Y25)</f>
        <v>23.290399999999998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>IF(LEN(A25)=6,"0"&amp;A25,A25)</f>
        <v>0113-09</v>
      </c>
      <c r="AE25" s="85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s3://rtdc.mdm.uploadarchive.raw/RTDC4032/ "%USERPROFILE%\AppData\Local\Temp\OnboardLogs"\RTDC4032\2017-04-09 --exclude "*" --recursive --include "*20170409*" &amp; "%USERPROFILE%\Documents\GitHub\mrs-test-scripts\Headless Mode &amp; Sideloading\WalkAndUnGZ.bat" "%USERPROFILE%\AppData\Local\Temp\OnboardLogs"\RTDC4032\2017-04-09 &amp; aws s3 cp s3://rtdc.mdm.uploadarchive.raw/RTDC4032/ "%USERPROFILE%\AppData\Local\Temp\OnboardLogs"\RTDC4032\2017-04-10 --exclude "*" --recursive --include "*20170410*" &amp; "%USERPROFILE%\Documents\GitHub\mrs-test-scripts\Headless Mode &amp; Sideloading\WalkAndUnGZ.bat" "%USERPROFILE%\AppData\Local\Temp\OnboardLogs"\RTDC4032\2017-04-10</v>
      </c>
      <c r="AF25" s="82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/stypes="app*4032*20170409*" /stext=" 11:.+((SYSTEM_STATE.+slice.+state.+changed )|(ment ac)|(multiple cpu faults)|(system.+state.+changed )|(\[timeout)|(PRM\|1\|D)|(kpr)|(kdp)|(\|lc)|(penalty))"</v>
      </c>
      <c r="AG25" s="1" t="str">
        <f>IFERROR(IF(VALUE(LEFT(AD25,2))&lt;=2,"EC",IF(OR(VALUE(LEFT(AD25,2))=8,VALUE(LEFT(AD25,2))=18),"NW","Other")),"Other")</f>
        <v>EC</v>
      </c>
      <c r="AH25" s="86" t="str">
        <f t="shared" si="4"/>
        <v>"%USERPROFILE%\Documents\GitHub\eaglep3\Utilities\RefineRTDCRunTimes.py" --tripid 113-09 --locoid 4032 --swversion DE.1.0.9.0 --startMP 204:457 --initTime 2017-04-09T04:51:58 --startdatetime 2017-04-09T05:15:20 --delay 1 --endMP 204:233361 --enddatetime 2017-04-09T05:52:20 --enforcementcount 0 &gt;&gt;C:\Users\stu\Documents\GitHub\eaglep3-reporting\EC\2017-04-09-refined-times.txt</v>
      </c>
      <c r="AI25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{"issue":{"subject":"","project_id":79,"tracker_id":40,"status_id":1,"priority_id":2,"assigned_to_id":23,"start_date":"2017-04-09","description":"","custom_fields":[{"id":1,"name":"Subdivision","value":"EC"},{"id":4,"name":"Milepost","value":"23.3361"},{"id":17,"name":"Train ID","value":"113-09"},{"id":16,"name":"Locomotive ID","value":"4032"},{"id":130,"name":"Impact","value":""},{"id":150,"name":"Time of Event (Mountain Time)","value":"05:52:20"},{"id":151,"name":"Denver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8"/>
      <c r="AL25" s="48"/>
      <c r="AM25" s="150" t="str">
        <f t="shared" si="6"/>
        <v>start /low /b %USERPROFILE%\Documents\GitHub\eaglep3\Utilities\DownloadLogsFromS3.py --loco 4032 --day 2017-04-09</v>
      </c>
      <c r="AN25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11:52:20"},{"id":29,"name":"Sharepoint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601</v>
      </c>
      <c r="B26" s="7">
        <v>4031</v>
      </c>
      <c r="C26" s="21" t="s">
        <v>215</v>
      </c>
      <c r="D26" s="21" t="s">
        <v>849</v>
      </c>
      <c r="E26" s="13">
        <v>42834.246018518519</v>
      </c>
      <c r="F26" s="13">
        <v>42834.2578125</v>
      </c>
      <c r="G26" s="7">
        <v>1</v>
      </c>
      <c r="H26" s="21" t="s">
        <v>212</v>
      </c>
      <c r="I26" s="13">
        <v>42834.284155092595</v>
      </c>
      <c r="J26" s="7">
        <v>0</v>
      </c>
      <c r="K26" s="97" t="str">
        <f>IF(ISEVEN(B26),(B26-1)&amp;"/"&amp;B26,B26&amp;"/"&amp;(B26+1))</f>
        <v>4031/4032</v>
      </c>
      <c r="L26" s="21" t="str">
        <f>VLOOKUP(A26,'Trips&amp;Operators'!$C$1:$G$99999,5,FALSE)</f>
        <v>SANTIZO D. EDY</v>
      </c>
      <c r="M26" s="6">
        <f>I26-F26</f>
        <v>2.6342592595028691E-2</v>
      </c>
      <c r="N26" s="7">
        <f>24*60*SUM($M26:$M26)</f>
        <v>37.933333336841315</v>
      </c>
      <c r="O26" s="7"/>
      <c r="P26" s="7"/>
      <c r="Q26" s="22"/>
      <c r="R26" s="22"/>
      <c r="S26" s="31">
        <f>SUM(U26:U26)/IF(AG26="EC",12,1)</f>
        <v>1</v>
      </c>
      <c r="T26" s="46" t="str">
        <f>IF(ISEVEN(LEFT(AD26,4)),"Southbound","NorthBound")</f>
        <v>Southbound</v>
      </c>
      <c r="U26" s="18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2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-04-09T04:54:16-0600',mode:absolute,to:'2017-04-09T07:49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6" s="183" t="str">
        <f>IF(AA26&lt;IF(AG26="EC",23,5.65),"Y","N")</f>
        <v>N</v>
      </c>
      <c r="X26" s="183">
        <f>VALUE(LEFT(AD26,4))-VALUE(LEFT(AD25,4))</f>
        <v>1</v>
      </c>
      <c r="Y26" s="62">
        <f>RIGHT(D26,LEN(D26)-4)/10000</f>
        <v>23.3047</v>
      </c>
      <c r="Z26" s="62">
        <f>RIGHT(H26,LEN(H26)-4)/10000</f>
        <v>1.47E-2</v>
      </c>
      <c r="AA26" s="62">
        <f>ABS(Z26-Y26)</f>
        <v>23.29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>IF(LEN(A26)=6,"0"&amp;A26,A26)</f>
        <v>0114-09</v>
      </c>
      <c r="AE26" s="85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s3://rtdc.mdm.uploadarchive.raw/RTDC4031/ "%USERPROFILE%\AppData\Local\Temp\OnboardLogs"\RTDC4031\2017-04-09 --exclude "*" --recursive --include "*20170409*" &amp; "%USERPROFILE%\Documents\GitHub\mrs-test-scripts\Headless Mode &amp; Sideloading\WalkAndUnGZ.bat" "%USERPROFILE%\AppData\Local\Temp\OnboardLogs"\RTDC4031\2017-04-09 &amp; aws s3 cp s3://rtdc.mdm.uploadarchive.raw/RTDC4031/ "%USERPROFILE%\AppData\Local\Temp\OnboardLogs"\RTDC4031\2017-04-10 --exclude "*" --recursive --include "*20170410*" &amp; "%USERPROFILE%\Documents\GitHub\mrs-test-scripts\Headless Mode &amp; Sideloading\WalkAndUnGZ.bat" "%USERPROFILE%\AppData\Local\Temp\OnboardLogs"\RTDC4031\2017-04-10</v>
      </c>
      <c r="AF26" s="82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/stypes="app*4031*20170409*" /stext=" 12:.+((SYSTEM_STATE.+slice.+state.+changed )|(ment ac)|(multiple cpu faults)|(system.+state.+changed )|(\[timeout)|(PRM\|1\|D)|(kpr)|(kdp)|(\|lc)|(penalty))"</v>
      </c>
      <c r="AG26" s="1" t="str">
        <f>IFERROR(IF(VALUE(LEFT(AD26,2))&lt;=2,"EC",IF(OR(VALUE(LEFT(AD26,2))=8,VALUE(LEFT(AD26,2))=18),"NW","Other")),"Other")</f>
        <v>EC</v>
      </c>
      <c r="AH26" s="86" t="str">
        <f t="shared" si="4"/>
        <v>"%USERPROFILE%\Documents\GitHub\eaglep3\Utilities\RefineRTDCRunTimes.py" --tripid 114-09 --locoid 4031 --swversion DE.1.0.9.0 --startMP 204:233047 --initTime 2017-04-09T05:54:16 --startdatetime 2017-04-09T06:11:15 --delay 1 --endMP 204:147 --enddatetime 2017-04-09T06:49:11 --enforcementcount 0 &gt;&gt;C:\Users\stu\Documents\GitHub\eaglep3-reporting\EC\2017-04-09-refined-times.txt</v>
      </c>
      <c r="AI26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{"issue":{"subject":"","project_id":79,"tracker_id":40,"status_id":1,"priority_id":2,"assigned_to_id":23,"start_date":"2017-04-09","description":"","custom_fields":[{"id":1,"name":"Subdivision","value":"EC"},{"id":4,"name":"Milepost","value":"0.0147"},{"id":17,"name":"Train ID","value":"114-09"},{"id":16,"name":"Locomotive ID","value":"4031"},{"id":130,"name":"Impact","value":""},{"id":150,"name":"Time of Event (Mountain Time)","value":"06:49:11"},{"id":151,"name":"Denver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8"/>
      <c r="AL26" s="48"/>
      <c r="AM26" s="150" t="str">
        <f t="shared" si="6"/>
        <v>start /low /b %USERPROFILE%\Documents\GitHub\eaglep3\Utilities\DownloadLogsFromS3.py --loco 4031 --day 2017-04-09</v>
      </c>
      <c r="AN26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12:49:11"},{"id":29,"name":"Sharepoint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656</v>
      </c>
      <c r="B27" s="7">
        <v>4012</v>
      </c>
      <c r="C27" s="21" t="s">
        <v>215</v>
      </c>
      <c r="D27" s="21" t="s">
        <v>572</v>
      </c>
      <c r="E27" s="13">
        <v>42834.22760416667</v>
      </c>
      <c r="F27" s="13">
        <v>42834.229328703703</v>
      </c>
      <c r="G27" s="7">
        <v>1</v>
      </c>
      <c r="H27" s="21" t="s">
        <v>850</v>
      </c>
      <c r="I27" s="13">
        <v>42834.254594907405</v>
      </c>
      <c r="J27" s="7">
        <v>0</v>
      </c>
      <c r="K27" s="97" t="str">
        <f>IF(ISEVEN(B27),(B27-1)&amp;"/"&amp;B27,B27&amp;"/"&amp;(B27+1))</f>
        <v>4011/4012</v>
      </c>
      <c r="L27" s="21" t="str">
        <f>VLOOKUP(A27,'Trips&amp;Operators'!$C$1:$G$99999,5,FALSE)</f>
        <v>SHOOK JOHN</v>
      </c>
      <c r="M27" s="6">
        <f>I27-F27</f>
        <v>2.5266203701903578E-2</v>
      </c>
      <c r="N27" s="7">
        <f>24*60*SUM($M27:$M27)</f>
        <v>36.383333330741152</v>
      </c>
      <c r="O27" s="7"/>
      <c r="P27" s="7"/>
      <c r="Q27" s="22"/>
      <c r="R27" s="22"/>
      <c r="S27" s="31">
        <f>SUM(U27:U27)/IF(AG27="EC",12,1)</f>
        <v>1</v>
      </c>
      <c r="T27" s="46" t="str">
        <f>IF(ISEVEN(LEFT(AD27,4)),"Southbound","NorthBound")</f>
        <v>NorthBound</v>
      </c>
      <c r="U27" s="18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2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-04-09T04:27:45-0600',mode:absolute,to:'2017-04-09T07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7" s="183" t="str">
        <f>IF(AA27&lt;IF(AG27="EC",23,5.65),"Y","N")</f>
        <v>N</v>
      </c>
      <c r="X27" s="183">
        <f>VALUE(LEFT(AD27,4))-VALUE(LEFT(AD26,4))</f>
        <v>1</v>
      </c>
      <c r="Y27" s="62">
        <f>RIGHT(D27,LEN(D27)-4)/10000</f>
        <v>7.46E-2</v>
      </c>
      <c r="Z27" s="62">
        <f>RIGHT(H27,LEN(H27)-4)/10000</f>
        <v>23.333400000000001</v>
      </c>
      <c r="AA27" s="62">
        <f>ABS(Z27-Y27)</f>
        <v>23.258800000000001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>IF(LEN(A27)=6,"0"&amp;A27,A27)</f>
        <v>0115-09</v>
      </c>
      <c r="AE27" s="85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s3://rtdc.mdm.uploadarchive.raw/RTDC4012/ "%USERPROFILE%\AppData\Local\Temp\OnboardLogs"\RTDC4012\2017-04-09 --exclude "*" --recursive --include "*20170409*" &amp; "%USERPROFILE%\Documents\GitHub\mrs-test-scripts\Headless Mode &amp; Sideloading\WalkAndUnGZ.bat" "%USERPROFILE%\AppData\Local\Temp\OnboardLogs"\RTDC4012\2017-04-09 &amp; aws s3 cp s3://rtdc.mdm.uploadarchive.raw/RTDC4012/ "%USERPROFILE%\AppData\Local\Temp\OnboardLogs"\RTDC4012\2017-04-10 --exclude "*" --recursive --include "*20170410*" &amp; "%USERPROFILE%\Documents\GitHub\mrs-test-scripts\Headless Mode &amp; Sideloading\WalkAndUnGZ.bat" "%USERPROFILE%\AppData\Local\Temp\OnboardLogs"\RTDC4012\2017-04-10</v>
      </c>
      <c r="AF27" s="82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/stypes="app*4012*20170409*" /stext=" 12:.+((SYSTEM_STATE.+slice.+state.+changed )|(ment ac)|(multiple cpu faults)|(system.+state.+changed )|(\[timeout)|(PRM\|1\|D)|(kpr)|(kdp)|(\|lc)|(penalty))"</v>
      </c>
      <c r="AG27" s="1" t="str">
        <f>IFERROR(IF(VALUE(LEFT(AD27,2))&lt;=2,"EC",IF(OR(VALUE(LEFT(AD27,2))=8,VALUE(LEFT(AD27,2))=18),"NW","Other")),"Other")</f>
        <v>EC</v>
      </c>
      <c r="AH27" s="86" t="str">
        <f t="shared" si="4"/>
        <v>"%USERPROFILE%\Documents\GitHub\eaglep3\Utilities\RefineRTDCRunTimes.py" --tripid 115-09 --locoid 4012 --swversion DE.1.0.9.0 --startMP 204:746 --initTime 2017-04-09T05:27:45 --startdatetime 2017-04-09T05:30:14 --delay 1 --endMP 204:233334 --enddatetime 2017-04-09T06:06:37 --enforcementcount 0 &gt;&gt;C:\Users\stu\Documents\GitHub\eaglep3-reporting\EC\2017-04-09-refined-times.txt</v>
      </c>
      <c r="AI27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{"issue":{"subject":"","project_id":79,"tracker_id":40,"status_id":1,"priority_id":2,"assigned_to_id":23,"start_date":"2017-04-09","description":"","custom_fields":[{"id":1,"name":"Subdivision","value":"EC"},{"id":4,"name":"Milepost","value":"23.3334"},{"id":17,"name":"Train ID","value":"115-09"},{"id":16,"name":"Locomotive ID","value":"4012"},{"id":130,"name":"Impact","value":""},{"id":150,"name":"Time of Event (Mountain Time)","value":"06:06:37"},{"id":151,"name":"Denver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8"/>
      <c r="AL27" s="48"/>
      <c r="AM27" s="150" t="str">
        <f t="shared" si="6"/>
        <v>start /low /b %USERPROFILE%\Documents\GitHub\eaglep3\Utilities\DownloadLogsFromS3.py --loco 4012 --day 2017-04-09</v>
      </c>
      <c r="AN27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12:06:37"},{"id":29,"name":"Sharepoint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664</v>
      </c>
      <c r="B28" s="7">
        <v>4011</v>
      </c>
      <c r="C28" s="21" t="s">
        <v>215</v>
      </c>
      <c r="D28" s="21" t="s">
        <v>851</v>
      </c>
      <c r="E28" s="13">
        <v>42834.256261574075</v>
      </c>
      <c r="F28" s="13">
        <v>42834.268229166664</v>
      </c>
      <c r="G28" s="7">
        <v>1</v>
      </c>
      <c r="H28" s="21" t="s">
        <v>432</v>
      </c>
      <c r="I28" s="13">
        <v>42834.296134259261</v>
      </c>
      <c r="J28" s="7">
        <v>0</v>
      </c>
      <c r="K28" s="97" t="str">
        <f>IF(ISEVEN(B28),(B28-1)&amp;"/"&amp;B28,B28&amp;"/"&amp;(B28+1))</f>
        <v>4011/4012</v>
      </c>
      <c r="L28" s="21" t="str">
        <f>VLOOKUP(A28,'Trips&amp;Operators'!$C$1:$G$99999,5,FALSE)</f>
        <v>SHOOK JOHN</v>
      </c>
      <c r="M28" s="6">
        <f>I28-F28</f>
        <v>2.7905092596483883E-2</v>
      </c>
      <c r="N28" s="7">
        <f>24*60*SUM($M28:$M28)</f>
        <v>40.183333338936791</v>
      </c>
      <c r="O28" s="7"/>
      <c r="P28" s="7"/>
      <c r="Q28" s="22"/>
      <c r="R28" s="22"/>
      <c r="S28" s="31">
        <f>SUM(U28:U28)/IF(AG28="EC",12,1)</f>
        <v>1</v>
      </c>
      <c r="T28" s="46" t="str">
        <f>IF(ISEVEN(LEFT(AD28,4)),"Southbound","NorthBound")</f>
        <v>Southbound</v>
      </c>
      <c r="U28" s="18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2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-04-09T05:09:01-0600',mode:absolute,to:'2017-04-09T08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8" s="183" t="str">
        <f>IF(AA28&lt;IF(AG28="EC",23,5.65),"Y","N")</f>
        <v>N</v>
      </c>
      <c r="X28" s="183">
        <f>VALUE(LEFT(AD28,4))-VALUE(LEFT(AD27,4))</f>
        <v>1</v>
      </c>
      <c r="Y28" s="62">
        <f>RIGHT(D28,LEN(D28)-4)/10000</f>
        <v>23.3001</v>
      </c>
      <c r="Z28" s="62">
        <f>RIGHT(H28,LEN(H28)-4)/10000</f>
        <v>1.6E-2</v>
      </c>
      <c r="AA28" s="62">
        <f>ABS(Z28-Y28)</f>
        <v>23.284100000000002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>IF(LEN(A28)=6,"0"&amp;A28,A28)</f>
        <v>0116-09</v>
      </c>
      <c r="AE28" s="85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s3://rtdc.mdm.uploadarchive.raw/RTDC4011/ "%USERPROFILE%\AppData\Local\Temp\OnboardLogs"\RTDC4011\2017-04-09 --exclude "*" --recursive --include "*20170409*" &amp; "%USERPROFILE%\Documents\GitHub\mrs-test-scripts\Headless Mode &amp; Sideloading\WalkAndUnGZ.bat" "%USERPROFILE%\AppData\Local\Temp\OnboardLogs"\RTDC4011\2017-04-09 &amp; aws s3 cp s3://rtdc.mdm.uploadarchive.raw/RTDC4011/ "%USERPROFILE%\AppData\Local\Temp\OnboardLogs"\RTDC4011\2017-04-10 --exclude "*" --recursive --include "*20170410*" &amp; "%USERPROFILE%\Documents\GitHub\mrs-test-scripts\Headless Mode &amp; Sideloading\WalkAndUnGZ.bat" "%USERPROFILE%\AppData\Local\Temp\OnboardLogs"\RTDC4011\2017-04-10</v>
      </c>
      <c r="AF28" s="82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/stypes="app*4011*20170409*" /stext=" 13:.+((SYSTEM_STATE.+slice.+state.+changed )|(ment ac)|(multiple cpu faults)|(system.+state.+changed )|(\[timeout)|(PRM\|1\|D)|(kpr)|(kdp)|(\|lc)|(penalty))"</v>
      </c>
      <c r="AG28" s="1" t="str">
        <f>IFERROR(IF(VALUE(LEFT(AD28,2))&lt;=2,"EC",IF(OR(VALUE(LEFT(AD28,2))=8,VALUE(LEFT(AD28,2))=18),"NW","Other")),"Other")</f>
        <v>EC</v>
      </c>
      <c r="AH28" s="86" t="str">
        <f t="shared" si="4"/>
        <v>"%USERPROFILE%\Documents\GitHub\eaglep3\Utilities\RefineRTDCRunTimes.py" --tripid 116-09 --locoid 4011 --swversion DE.1.0.9.0 --startMP 204:233001 --initTime 2017-04-09T06:09:01 --startdatetime 2017-04-09T06:26:15 --delay 1 --endMP 204:160 --enddatetime 2017-04-09T07:06:26 --enforcementcount 0 &gt;&gt;C:\Users\stu\Documents\GitHub\eaglep3-reporting\EC\2017-04-09-refined-times.txt</v>
      </c>
      <c r="AI28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{"issue":{"subject":"","project_id":79,"tracker_id":40,"status_id":1,"priority_id":2,"assigned_to_id":23,"start_date":"2017-04-09","description":"","custom_fields":[{"id":1,"name":"Subdivision","value":"EC"},{"id":4,"name":"Milepost","value":"0.016"},{"id":17,"name":"Train ID","value":"116-09"},{"id":16,"name":"Locomotive ID","value":"4011"},{"id":130,"name":"Impact","value":""},{"id":150,"name":"Time of Event (Mountain Time)","value":"07:06:26"},{"id":151,"name":"Denver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8"/>
      <c r="AL28" s="48"/>
      <c r="AM28" s="150" t="str">
        <f t="shared" si="6"/>
        <v>start /low /b %USERPROFILE%\Documents\GitHub\eaglep3\Utilities\DownloadLogsFromS3.py --loco 4011 --day 2017-04-09</v>
      </c>
      <c r="AN28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13:06:26"},{"id":29,"name":"Sharepoint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659</v>
      </c>
      <c r="B29" s="7">
        <v>4030</v>
      </c>
      <c r="C29" s="21" t="s">
        <v>215</v>
      </c>
      <c r="D29" s="21" t="s">
        <v>574</v>
      </c>
      <c r="E29" s="13">
        <v>42834.232430555552</v>
      </c>
      <c r="F29" s="13">
        <v>42834.239849537036</v>
      </c>
      <c r="G29" s="7">
        <v>1</v>
      </c>
      <c r="H29" s="21" t="s">
        <v>479</v>
      </c>
      <c r="I29" s="13">
        <v>42834.2653587963</v>
      </c>
      <c r="J29" s="7">
        <v>0</v>
      </c>
      <c r="K29" s="97" t="str">
        <f>IF(ISEVEN(B29),(B29-1)&amp;"/"&amp;B29,B29&amp;"/"&amp;(B29+1))</f>
        <v>4029/4030</v>
      </c>
      <c r="L29" s="21" t="str">
        <f>VLOOKUP(A29,'Trips&amp;Operators'!$C$1:$G$99999,5,FALSE)</f>
        <v>MOSES BRADLEY</v>
      </c>
      <c r="M29" s="6">
        <f>I29-F29</f>
        <v>2.5509259263344575E-2</v>
      </c>
      <c r="N29" s="7">
        <f>24*60*SUM($M29:$M29)</f>
        <v>36.733333339216188</v>
      </c>
      <c r="O29" s="7"/>
      <c r="P29" s="7"/>
      <c r="Q29" s="22"/>
      <c r="R29" s="22"/>
      <c r="S29" s="31">
        <f>SUM(U29:U29)/IF(AG29="EC",12,1)</f>
        <v>1</v>
      </c>
      <c r="T29" s="46" t="str">
        <f>IF(ISEVEN(LEFT(AD29,4)),"Southbound","NorthBound")</f>
        <v>NorthBound</v>
      </c>
      <c r="U29" s="18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2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-04-09T04:34:42-0600',mode:absolute,to:'2017-04-09T07:22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9" s="183" t="str">
        <f>IF(AA29&lt;IF(AG29="EC",23,5.65),"Y","N")</f>
        <v>N</v>
      </c>
      <c r="X29" s="183">
        <f>VALUE(LEFT(AD29,4))-VALUE(LEFT(AD28,4))</f>
        <v>1</v>
      </c>
      <c r="Y29" s="62">
        <f>RIGHT(D29,LEN(D29)-4)/10000</f>
        <v>4.4200000000000003E-2</v>
      </c>
      <c r="Z29" s="62">
        <f>RIGHT(H29,LEN(H29)-4)/10000</f>
        <v>23.332100000000001</v>
      </c>
      <c r="AA29" s="62">
        <f>ABS(Z29-Y29)</f>
        <v>23.2879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>IF(LEN(A29)=6,"0"&amp;A29,A29)</f>
        <v>0117-09</v>
      </c>
      <c r="AE29" s="85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s3://rtdc.mdm.uploadarchive.raw/RTDC4030/ "%USERPROFILE%\AppData\Local\Temp\OnboardLogs"\RTDC4030\2017-04-09 --exclude "*" --recursive --include "*20170409*" &amp; "%USERPROFILE%\Documents\GitHub\mrs-test-scripts\Headless Mode &amp; Sideloading\WalkAndUnGZ.bat" "%USERPROFILE%\AppData\Local\Temp\OnboardLogs"\RTDC4030\2017-04-09 &amp; aws s3 cp s3://rtdc.mdm.uploadarchive.raw/RTDC4030/ "%USERPROFILE%\AppData\Local\Temp\OnboardLogs"\RTDC4030\2017-04-10 --exclude "*" --recursive --include "*20170410*" &amp; "%USERPROFILE%\Documents\GitHub\mrs-test-scripts\Headless Mode &amp; Sideloading\WalkAndUnGZ.bat" "%USERPROFILE%\AppData\Local\Temp\OnboardLogs"\RTDC4030\2017-04-10</v>
      </c>
      <c r="AF29" s="82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/stypes="app*4030*20170409*" /stext=" 12:.+((SYSTEM_STATE.+slice.+state.+changed )|(ment ac)|(multiple cpu faults)|(system.+state.+changed )|(\[timeout)|(PRM\|1\|D)|(kpr)|(kdp)|(\|lc)|(penalty))"</v>
      </c>
      <c r="AG29" s="1" t="str">
        <f>IFERROR(IF(VALUE(LEFT(AD29,2))&lt;=2,"EC",IF(OR(VALUE(LEFT(AD29,2))=8,VALUE(LEFT(AD29,2))=18),"NW","Other")),"Other")</f>
        <v>EC</v>
      </c>
      <c r="AH29" s="86" t="str">
        <f t="shared" si="4"/>
        <v>"%USERPROFILE%\Documents\GitHub\eaglep3\Utilities\RefineRTDCRunTimes.py" --tripid 117-09 --locoid 4030 --swversion DE.1.0.9.0 --startMP 204:442 --initTime 2017-04-09T05:34:42 --startdatetime 2017-04-09T05:45:23 --delay 1 --endMP 204:233321 --enddatetime 2017-04-09T06:22:07 --enforcementcount 0 &gt;&gt;C:\Users\stu\Documents\GitHub\eaglep3-reporting\EC\2017-04-09-refined-times.txt</v>
      </c>
      <c r="AI29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{"issue":{"subject":"","project_id":79,"tracker_id":40,"status_id":1,"priority_id":2,"assigned_to_id":23,"start_date":"2017-04-09","description":"","custom_fields":[{"id":1,"name":"Subdivision","value":"EC"},{"id":4,"name":"Milepost","value":"23.3321"},{"id":17,"name":"Train ID","value":"117-09"},{"id":16,"name":"Locomotive ID","value":"4030"},{"id":130,"name":"Impact","value":""},{"id":150,"name":"Time of Event (Mountain Time)","value":"06:22:07"},{"id":151,"name":"Denver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8"/>
      <c r="AL29" s="48"/>
      <c r="AM29" s="150" t="str">
        <f t="shared" si="6"/>
        <v>start /low /b %USERPROFILE%\Documents\GitHub\eaglep3\Utilities\DownloadLogsFromS3.py --loco 4030 --day 2017-04-09</v>
      </c>
      <c r="AN29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12:22:07"},{"id":29,"name":"Sharepoint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667</v>
      </c>
      <c r="B30" s="7">
        <v>4029</v>
      </c>
      <c r="C30" s="21" t="s">
        <v>215</v>
      </c>
      <c r="D30" s="21" t="s">
        <v>852</v>
      </c>
      <c r="E30" s="13">
        <v>42834.274375000001</v>
      </c>
      <c r="F30" s="13">
        <v>42834.278657407405</v>
      </c>
      <c r="G30" s="7">
        <v>1</v>
      </c>
      <c r="H30" s="21" t="s">
        <v>203</v>
      </c>
      <c r="I30" s="13">
        <v>42834.30541666667</v>
      </c>
      <c r="J30" s="7">
        <v>0</v>
      </c>
      <c r="K30" s="97" t="str">
        <f>IF(ISEVEN(B30),(B30-1)&amp;"/"&amp;B30,B30&amp;"/"&amp;(B30+1))</f>
        <v>4029/4030</v>
      </c>
      <c r="L30" s="21" t="str">
        <f>VLOOKUP(A30,'Trips&amp;Operators'!$C$1:$G$99999,5,FALSE)</f>
        <v>MOSES BRADLEY</v>
      </c>
      <c r="M30" s="6">
        <f>I30-F30</f>
        <v>2.6759259264508728E-2</v>
      </c>
      <c r="N30" s="7">
        <f>24*60*SUM($M30:$M30)</f>
        <v>38.533333340892568</v>
      </c>
      <c r="O30" s="7"/>
      <c r="P30" s="7"/>
      <c r="Q30" s="22"/>
      <c r="R30" s="22"/>
      <c r="S30" s="31">
        <f>SUM(U30:U30)/IF(AG30="EC",12,1)</f>
        <v>1</v>
      </c>
      <c r="T30" s="46" t="str">
        <f>IF(ISEVEN(LEFT(AD30,4)),"Southbound","NorthBound")</f>
        <v>Southbound</v>
      </c>
      <c r="U30" s="18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2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-04-09T05:35:06-0600',mode:absolute,to:'2017-04-09T08:19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0" s="183" t="str">
        <f>IF(AA30&lt;IF(AG30="EC",23,5.65),"Y","N")</f>
        <v>N</v>
      </c>
      <c r="X30" s="183">
        <f>VALUE(LEFT(AD30,4))-VALUE(LEFT(AD29,4))</f>
        <v>1</v>
      </c>
      <c r="Y30" s="62">
        <f>RIGHT(D30,LEN(D30)-4)/10000</f>
        <v>23.3004</v>
      </c>
      <c r="Z30" s="62">
        <f>RIGHT(H30,LEN(H30)-4)/10000</f>
        <v>1.54E-2</v>
      </c>
      <c r="AA30" s="62">
        <f>ABS(Z30-Y30)</f>
        <v>23.285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>IF(LEN(A30)=6,"0"&amp;A30,A30)</f>
        <v>0118-09</v>
      </c>
      <c r="AE30" s="85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s3://rtdc.mdm.uploadarchive.raw/RTDC4029/ "%USERPROFILE%\AppData\Local\Temp\OnboardLogs"\RTDC4029\2017-04-09 --exclude "*" --recursive --include "*20170409*" &amp; "%USERPROFILE%\Documents\GitHub\mrs-test-scripts\Headless Mode &amp; Sideloading\WalkAndUnGZ.bat" "%USERPROFILE%\AppData\Local\Temp\OnboardLogs"\RTDC4029\2017-04-09 &amp; aws s3 cp s3://rtdc.mdm.uploadarchive.raw/RTDC4029/ "%USERPROFILE%\AppData\Local\Temp\OnboardLogs"\RTDC4029\2017-04-10 --exclude "*" --recursive --include "*20170410*" &amp; "%USERPROFILE%\Documents\GitHub\mrs-test-scripts\Headless Mode &amp; Sideloading\WalkAndUnGZ.bat" "%USERPROFILE%\AppData\Local\Temp\OnboardLogs"\RTDC4029\2017-04-10</v>
      </c>
      <c r="AF30" s="82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/stypes="app*4029*20170409*" /stext=" 13:.+((SYSTEM_STATE.+slice.+state.+changed )|(ment ac)|(multiple cpu faults)|(system.+state.+changed )|(\[timeout)|(PRM\|1\|D)|(kpr)|(kdp)|(\|lc)|(penalty))"</v>
      </c>
      <c r="AG30" s="1" t="str">
        <f>IFERROR(IF(VALUE(LEFT(AD30,2))&lt;=2,"EC",IF(OR(VALUE(LEFT(AD30,2))=8,VALUE(LEFT(AD30,2))=18),"NW","Other")),"Other")</f>
        <v>EC</v>
      </c>
      <c r="AH30" s="86" t="str">
        <f t="shared" si="4"/>
        <v>"%USERPROFILE%\Documents\GitHub\eaglep3\Utilities\RefineRTDCRunTimes.py" --tripid 118-09 --locoid 4029 --swversion DE.1.0.9.0 --startMP 204:233004 --initTime 2017-04-09T06:35:06 --startdatetime 2017-04-09T06:41:16 --delay 1 --endMP 204:154 --enddatetime 2017-04-09T07:19:48 --enforcementcount 0 &gt;&gt;C:\Users\stu\Documents\GitHub\eaglep3-reporting\EC\2017-04-09-refined-times.txt</v>
      </c>
      <c r="AI30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{"issue":{"subject":"","project_id":79,"tracker_id":40,"status_id":1,"priority_id":2,"assigned_to_id":23,"start_date":"2017-04-09","description":"","custom_fields":[{"id":1,"name":"Subdivision","value":"EC"},{"id":4,"name":"Milepost","value":"0.0154"},{"id":17,"name":"Train ID","value":"118-09"},{"id":16,"name":"Locomotive ID","value":"4029"},{"id":130,"name":"Impact","value":""},{"id":150,"name":"Time of Event (Mountain Time)","value":"07:19:48"},{"id":151,"name":"Denver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8"/>
      <c r="AL30" s="48"/>
      <c r="AM30" s="150" t="str">
        <f t="shared" si="6"/>
        <v>start /low /b %USERPROFILE%\Documents\GitHub\eaglep3\Utilities\DownloadLogsFromS3.py --loco 4029 --day 2017-04-09</v>
      </c>
      <c r="AN30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13:19:48"},{"id":29,"name":"Sharepoint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663</v>
      </c>
      <c r="B31" s="7">
        <v>4004</v>
      </c>
      <c r="C31" s="21" t="s">
        <v>215</v>
      </c>
      <c r="D31" s="21" t="s">
        <v>853</v>
      </c>
      <c r="E31" s="13">
        <v>42834.247291666667</v>
      </c>
      <c r="F31" s="13">
        <v>42834.250173611108</v>
      </c>
      <c r="G31" s="7">
        <v>2</v>
      </c>
      <c r="H31" s="21" t="s">
        <v>854</v>
      </c>
      <c r="I31" s="13">
        <v>42834.275659722225</v>
      </c>
      <c r="J31" s="7">
        <v>0</v>
      </c>
      <c r="K31" s="97" t="str">
        <f>IF(ISEVEN(B31),(B31-1)&amp;"/"&amp;B31,B31&amp;"/"&amp;(B31+1))</f>
        <v>4003/4004</v>
      </c>
      <c r="L31" s="21" t="str">
        <f>VLOOKUP(A31,'Trips&amp;Operators'!$C$1:$G$99999,5,FALSE)</f>
        <v>BADERTSCHER DIANE</v>
      </c>
      <c r="M31" s="6">
        <f>I31-F31</f>
        <v>2.5486111117061228E-2</v>
      </c>
      <c r="N31" s="7">
        <f>24*60*SUM($M31:$M31)</f>
        <v>36.700000008568168</v>
      </c>
      <c r="O31" s="7"/>
      <c r="P31" s="7"/>
      <c r="Q31" s="22"/>
      <c r="R31" s="22"/>
      <c r="S31" s="31">
        <f>SUM(U31:U31)/IF(AG31="EC",12,1)</f>
        <v>1</v>
      </c>
      <c r="T31" s="46" t="str">
        <f>IF(ISEVEN(LEFT(AD31,4)),"Southbound","NorthBound")</f>
        <v>NorthBound</v>
      </c>
      <c r="U31" s="18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2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-04-09T04:56:06-0600',mode:absolute,to:'2017-04-09T07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1" s="183" t="str">
        <f>IF(AA31&lt;IF(AG31="EC",23,5.65),"Y","N")</f>
        <v>N</v>
      </c>
      <c r="X31" s="183">
        <f>VALUE(LEFT(AD31,4))-VALUE(LEFT(AD30,4))</f>
        <v>1</v>
      </c>
      <c r="Y31" s="62">
        <f>RIGHT(D31,LEN(D31)-4)/10000</f>
        <v>7.1300000000000002E-2</v>
      </c>
      <c r="Z31" s="62">
        <f>RIGHT(H31,LEN(H31)-4)/10000</f>
        <v>23.327999999999999</v>
      </c>
      <c r="AA31" s="62">
        <f>ABS(Z31-Y31)</f>
        <v>23.256699999999999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>IF(LEN(A31)=6,"0"&amp;A31,A31)</f>
        <v>0119-09</v>
      </c>
      <c r="AE31" s="85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s3://rtdc.mdm.uploadarchive.raw/RTDC4004/ "%USERPROFILE%\AppData\Local\Temp\OnboardLogs"\RTDC4004\2017-04-09 --exclude "*" --recursive --include "*20170409*" &amp; "%USERPROFILE%\Documents\GitHub\mrs-test-scripts\Headless Mode &amp; Sideloading\WalkAndUnGZ.bat" "%USERPROFILE%\AppData\Local\Temp\OnboardLogs"\RTDC4004\2017-04-09 &amp; aws s3 cp s3://rtdc.mdm.uploadarchive.raw/RTDC4004/ "%USERPROFILE%\AppData\Local\Temp\OnboardLogs"\RTDC4004\2017-04-10 --exclude "*" --recursive --include "*20170410*" &amp; "%USERPROFILE%\Documents\GitHub\mrs-test-scripts\Headless Mode &amp; Sideloading\WalkAndUnGZ.bat" "%USERPROFILE%\AppData\Local\Temp\OnboardLogs"\RTDC4004\2017-04-10</v>
      </c>
      <c r="AF31" s="82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/stypes="app*4004*20170409*" /stext=" 12:.+((SYSTEM_STATE.+slice.+state.+changed )|(ment ac)|(multiple cpu faults)|(system.+state.+changed )|(\[timeout)|(PRM\|1\|D)|(kpr)|(kdp)|(\|lc)|(penalty))"</v>
      </c>
      <c r="AG31" s="1" t="str">
        <f>IFERROR(IF(VALUE(LEFT(AD31,2))&lt;=2,"EC",IF(OR(VALUE(LEFT(AD31,2))=8,VALUE(LEFT(AD31,2))=18),"NW","Other")),"Other")</f>
        <v>EC</v>
      </c>
      <c r="AH31" s="86" t="str">
        <f t="shared" si="4"/>
        <v>"%USERPROFILE%\Documents\GitHub\eaglep3\Utilities\RefineRTDCRunTimes.py" --tripid 119-09 --locoid 4004 --swversion DE.1.0.9.0 --startMP 204:713 --initTime 2017-04-09T05:56:06 --startdatetime 2017-04-09T06:00:15 --delay 2 --endMP 204:233280 --enddatetime 2017-04-09T06:36:57 --enforcementcount 0 &gt;&gt;C:\Users\stu\Documents\GitHub\eaglep3-reporting\EC\2017-04-09-refined-times.txt</v>
      </c>
      <c r="AI31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{"issue":{"subject":"","project_id":79,"tracker_id":40,"status_id":1,"priority_id":2,"assigned_to_id":23,"start_date":"2017-04-09","description":"","custom_fields":[{"id":1,"name":"Subdivision","value":"EC"},{"id":4,"name":"Milepost","value":"23.328"},{"id":17,"name":"Train ID","value":"119-09"},{"id":16,"name":"Locomotive ID","value":"4004"},{"id":130,"name":"Impact","value":""},{"id":150,"name":"Time of Event (Mountain Time)","value":"06:36:57"},{"id":151,"name":"Denver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8"/>
      <c r="AL31" s="48"/>
      <c r="AM31" s="150" t="str">
        <f t="shared" si="6"/>
        <v>start /low /b %USERPROFILE%\Documents\GitHub\eaglep3\Utilities\DownloadLogsFromS3.py --loco 4004 --day 2017-04-09</v>
      </c>
      <c r="AN31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12:36:57"},{"id":29,"name":"Sharepoint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669</v>
      </c>
      <c r="B32" s="7">
        <v>4003</v>
      </c>
      <c r="C32" s="21" t="s">
        <v>215</v>
      </c>
      <c r="D32" s="21" t="s">
        <v>581</v>
      </c>
      <c r="E32" s="13">
        <v>42834.282337962963</v>
      </c>
      <c r="F32" s="13">
        <v>42834.289155092592</v>
      </c>
      <c r="G32" s="7">
        <v>1</v>
      </c>
      <c r="H32" s="21" t="s">
        <v>406</v>
      </c>
      <c r="I32" s="13">
        <v>42834.316608796296</v>
      </c>
      <c r="J32" s="7">
        <v>0</v>
      </c>
      <c r="K32" s="97" t="str">
        <f>IF(ISEVEN(B32),(B32-1)&amp;"/"&amp;B32,B32&amp;"/"&amp;(B32+1))</f>
        <v>4003/4004</v>
      </c>
      <c r="L32" s="21" t="str">
        <f>VLOOKUP(A32,'Trips&amp;Operators'!$C$1:$G$99999,5,FALSE)</f>
        <v>BADERTSCHER DIANE</v>
      </c>
      <c r="M32" s="6">
        <f>I32-F32</f>
        <v>2.7453703703940846E-2</v>
      </c>
      <c r="N32" s="7">
        <f>24*60*SUM($M32:$M32)</f>
        <v>39.533333333674818</v>
      </c>
      <c r="O32" s="7"/>
      <c r="P32" s="7"/>
      <c r="Q32" s="22"/>
      <c r="R32" s="22"/>
      <c r="S32" s="31">
        <f>SUM(U32:U32)/IF(AG32="EC",12,1)</f>
        <v>1</v>
      </c>
      <c r="T32" s="46" t="str">
        <f>IF(ISEVEN(LEFT(AD32,4)),"Southbound","NorthBound")</f>
        <v>Southbound</v>
      </c>
      <c r="U32" s="18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2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-04-09T05:46:34-0600',mode:absolute,to:'2017-04-09T08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2" s="183" t="str">
        <f>IF(AA32&lt;IF(AG32="EC",23,5.65),"Y","N")</f>
        <v>N</v>
      </c>
      <c r="X32" s="183">
        <f>VALUE(LEFT(AD32,4))-VALUE(LEFT(AD31,4))</f>
        <v>1</v>
      </c>
      <c r="Y32" s="62">
        <f>RIGHT(D32,LEN(D32)-4)/10000</f>
        <v>23.296500000000002</v>
      </c>
      <c r="Z32" s="62">
        <f>RIGHT(H32,LEN(H32)-4)/10000</f>
        <v>1.38E-2</v>
      </c>
      <c r="AA32" s="62">
        <f>ABS(Z32-Y32)</f>
        <v>23.282700000000002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>IF(LEN(A32)=6,"0"&amp;A32,A32)</f>
        <v>0120-09</v>
      </c>
      <c r="AE32" s="85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s3://rtdc.mdm.uploadarchive.raw/RTDC4003/ "%USERPROFILE%\AppData\Local\Temp\OnboardLogs"\RTDC4003\2017-04-09 --exclude "*" --recursive --include "*20170409*" &amp; "%USERPROFILE%\Documents\GitHub\mrs-test-scripts\Headless Mode &amp; Sideloading\WalkAndUnGZ.bat" "%USERPROFILE%\AppData\Local\Temp\OnboardLogs"\RTDC4003\2017-04-09 &amp; aws s3 cp s3://rtdc.mdm.uploadarchive.raw/RTDC4003/ "%USERPROFILE%\AppData\Local\Temp\OnboardLogs"\RTDC4003\2017-04-10 --exclude "*" --recursive --include "*20170410*" &amp; "%USERPROFILE%\Documents\GitHub\mrs-test-scripts\Headless Mode &amp; Sideloading\WalkAndUnGZ.bat" "%USERPROFILE%\AppData\Local\Temp\OnboardLogs"\RTDC4003\2017-04-10</v>
      </c>
      <c r="AF32" s="82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/stypes="app*4003*20170409*" /stext=" 13:.+((SYSTEM_STATE.+slice.+state.+changed )|(ment ac)|(multiple cpu faults)|(system.+state.+changed )|(\[timeout)|(PRM\|1\|D)|(kpr)|(kdp)|(\|lc)|(penalty))"</v>
      </c>
      <c r="AG32" s="1" t="str">
        <f>IFERROR(IF(VALUE(LEFT(AD32,2))&lt;=2,"EC",IF(OR(VALUE(LEFT(AD32,2))=8,VALUE(LEFT(AD32,2))=18),"NW","Other")),"Other")</f>
        <v>EC</v>
      </c>
      <c r="AH32" s="86" t="str">
        <f t="shared" si="4"/>
        <v>"%USERPROFILE%\Documents\GitHub\eaglep3\Utilities\RefineRTDCRunTimes.py" --tripid 120-09 --locoid 4003 --swversion DE.1.0.9.0 --startMP 204:232965 --initTime 2017-04-09T06:46:34 --startdatetime 2017-04-09T06:56:23 --delay 1 --endMP 204:138 --enddatetime 2017-04-09T07:35:55 --enforcementcount 0 &gt;&gt;C:\Users\stu\Documents\GitHub\eaglep3-reporting\EC\2017-04-09-refined-times.txt</v>
      </c>
      <c r="AI32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{"issue":{"subject":"","project_id":79,"tracker_id":40,"status_id":1,"priority_id":2,"assigned_to_id":23,"start_date":"2017-04-09","description":"","custom_fields":[{"id":1,"name":"Subdivision","value":"EC"},{"id":4,"name":"Milepost","value":"0.0138"},{"id":17,"name":"Train ID","value":"120-09"},{"id":16,"name":"Locomotive ID","value":"4003"},{"id":130,"name":"Impact","value":""},{"id":150,"name":"Time of Event (Mountain Time)","value":"07:35:55"},{"id":151,"name":"Denver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8"/>
      <c r="AL32" s="48"/>
      <c r="AM32" s="150" t="str">
        <f t="shared" si="6"/>
        <v>start /low /b %USERPROFILE%\Documents\GitHub\eaglep3\Utilities\DownloadLogsFromS3.py --loco 4003 --day 2017-04-09</v>
      </c>
      <c r="AN32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13:35:55"},{"id":29,"name":"Sharepoint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665</v>
      </c>
      <c r="B33" s="7">
        <v>4020</v>
      </c>
      <c r="C33" s="21" t="s">
        <v>215</v>
      </c>
      <c r="D33" s="21" t="s">
        <v>509</v>
      </c>
      <c r="E33" s="13">
        <v>42834.257604166669</v>
      </c>
      <c r="F33" s="13">
        <v>42834.260567129626</v>
      </c>
      <c r="G33" s="7">
        <v>1</v>
      </c>
      <c r="H33" s="21" t="s">
        <v>480</v>
      </c>
      <c r="I33" s="13">
        <v>42834.286296296297</v>
      </c>
      <c r="J33" s="7">
        <v>0</v>
      </c>
      <c r="K33" s="97" t="str">
        <f>IF(ISEVEN(B33),(B33-1)&amp;"/"&amp;B33,B33&amp;"/"&amp;(B33+1))</f>
        <v>4019/4020</v>
      </c>
      <c r="L33" s="21" t="str">
        <f>VLOOKUP(A33,'Trips&amp;Operators'!$C$1:$G$99999,5,FALSE)</f>
        <v>DAVIS WENDY</v>
      </c>
      <c r="M33" s="6">
        <f>I33-F33</f>
        <v>2.5729166671226267E-2</v>
      </c>
      <c r="N33" s="7">
        <f>24*60*SUM($M33:$M33)</f>
        <v>37.050000006565824</v>
      </c>
      <c r="O33" s="7"/>
      <c r="P33" s="7"/>
      <c r="Q33" s="22"/>
      <c r="R33" s="22"/>
      <c r="S33" s="31">
        <f>SUM(U33:U33)/IF(AG33="EC",12,1)</f>
        <v>1</v>
      </c>
      <c r="T33" s="46" t="str">
        <f>IF(ISEVEN(LEFT(AD33,4)),"Southbound","NorthBound")</f>
        <v>NorthBound</v>
      </c>
      <c r="U33" s="18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2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-04-09T05:10:57-0600',mode:absolute,to:'2017-04-09T07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3" s="183" t="str">
        <f>IF(AA33&lt;IF(AG33="EC",23,5.65),"Y","N")</f>
        <v>N</v>
      </c>
      <c r="X33" s="183">
        <f>VALUE(LEFT(AD33,4))-VALUE(LEFT(AD32,4))</f>
        <v>1</v>
      </c>
      <c r="Y33" s="62">
        <f>RIGHT(D33,LEN(D33)-4)/10000</f>
        <v>4.6899999999999997E-2</v>
      </c>
      <c r="Z33" s="62">
        <f>RIGHT(H33,LEN(H33)-4)/10000</f>
        <v>23.331199999999999</v>
      </c>
      <c r="AA33" s="62">
        <f>ABS(Z33-Y33)</f>
        <v>23.284299999999998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>IF(LEN(A33)=6,"0"&amp;A33,A33)</f>
        <v>0121-09</v>
      </c>
      <c r="AE33" s="85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s3://rtdc.mdm.uploadarchive.raw/RTDC4020/ "%USERPROFILE%\AppData\Local\Temp\OnboardLogs"\RTDC4020\2017-04-09 --exclude "*" --recursive --include "*20170409*" &amp; "%USERPROFILE%\Documents\GitHub\mrs-test-scripts\Headless Mode &amp; Sideloading\WalkAndUnGZ.bat" "%USERPROFILE%\AppData\Local\Temp\OnboardLogs"\RTDC4020\2017-04-09 &amp; aws s3 cp s3://rtdc.mdm.uploadarchive.raw/RTDC4020/ "%USERPROFILE%\AppData\Local\Temp\OnboardLogs"\RTDC4020\2017-04-10 --exclude "*" --recursive --include "*20170410*" &amp; "%USERPROFILE%\Documents\GitHub\mrs-test-scripts\Headless Mode &amp; Sideloading\WalkAndUnGZ.bat" "%USERPROFILE%\AppData\Local\Temp\OnboardLogs"\RTDC4020\2017-04-10</v>
      </c>
      <c r="AF33" s="82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/stypes="app*4020*20170409*" /stext=" 12:.+((SYSTEM_STATE.+slice.+state.+changed )|(ment ac)|(multiple cpu faults)|(system.+state.+changed )|(\[timeout)|(PRM\|1\|D)|(kpr)|(kdp)|(\|lc)|(penalty))"</v>
      </c>
      <c r="AG33" s="1" t="str">
        <f>IFERROR(IF(VALUE(LEFT(AD33,2))&lt;=2,"EC",IF(OR(VALUE(LEFT(AD33,2))=8,VALUE(LEFT(AD33,2))=18),"NW","Other")),"Other")</f>
        <v>EC</v>
      </c>
      <c r="AH33" s="86" t="str">
        <f t="shared" si="4"/>
        <v>"%USERPROFILE%\Documents\GitHub\eaglep3\Utilities\RefineRTDCRunTimes.py" --tripid 121-09 --locoid 4020 --swversion DE.1.0.9.0 --startMP 204:469 --initTime 2017-04-09T06:10:57 --startdatetime 2017-04-09T06:15:13 --delay 1 --endMP 204:233312 --enddatetime 2017-04-09T06:52:16 --enforcementcount 0 &gt;&gt;C:\Users\stu\Documents\GitHub\eaglep3-reporting\EC\2017-04-09-refined-times.txt</v>
      </c>
      <c r="AI33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{"issue":{"subject":"","project_id":79,"tracker_id":40,"status_id":1,"priority_id":2,"assigned_to_id":23,"start_date":"2017-04-09","description":"","custom_fields":[{"id":1,"name":"Subdivision","value":"EC"},{"id":4,"name":"Milepost","value":"23.3312"},{"id":17,"name":"Train ID","value":"121-09"},{"id":16,"name":"Locomotive ID","value":"4020"},{"id":130,"name":"Impact","value":""},{"id":150,"name":"Time of Event (Mountain Time)","value":"06:52:16"},{"id":151,"name":"Denver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8"/>
      <c r="AL33" s="48"/>
      <c r="AM33" s="150" t="str">
        <f t="shared" si="6"/>
        <v>start /low /b %USERPROFILE%\Documents\GitHub\eaglep3\Utilities\DownloadLogsFromS3.py --loco 4020 --day 2017-04-09</v>
      </c>
      <c r="AN33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12:52:16"},{"id":29,"name":"Sharepoint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672</v>
      </c>
      <c r="B34" s="7">
        <v>4019</v>
      </c>
      <c r="C34" s="21" t="s">
        <v>215</v>
      </c>
      <c r="D34" s="21" t="s">
        <v>520</v>
      </c>
      <c r="E34" s="13">
        <v>42834.297731481478</v>
      </c>
      <c r="F34" s="13">
        <v>42834.299444444441</v>
      </c>
      <c r="G34" s="7">
        <v>1</v>
      </c>
      <c r="H34" s="21" t="s">
        <v>430</v>
      </c>
      <c r="I34" s="13">
        <v>42834.326527777775</v>
      </c>
      <c r="J34" s="7">
        <v>0</v>
      </c>
      <c r="K34" s="97" t="str">
        <f>IF(ISEVEN(B34),(B34-1)&amp;"/"&amp;B34,B34&amp;"/"&amp;(B34+1))</f>
        <v>4019/4020</v>
      </c>
      <c r="L34" s="21" t="str">
        <f>VLOOKUP(A34,'Trips&amp;Operators'!$C$1:$G$99999,5,FALSE)</f>
        <v>DAVIS WENDY</v>
      </c>
      <c r="M34" s="6">
        <f>I34-F34</f>
        <v>2.7083333334303461E-2</v>
      </c>
      <c r="N34" s="7">
        <f>24*60*SUM($M34:$M34)</f>
        <v>39.000000001396984</v>
      </c>
      <c r="O34" s="7"/>
      <c r="P34" s="7"/>
      <c r="Q34" s="22"/>
      <c r="R34" s="22"/>
      <c r="S34" s="31">
        <f>SUM(U34:U34)/IF(AG34="EC",12,1)</f>
        <v>1</v>
      </c>
      <c r="T34" s="46" t="str">
        <f>IF(ISEVEN(LEFT(AD34,4)),"Southbound","NorthBound")</f>
        <v>Southbound</v>
      </c>
      <c r="U34" s="18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2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-04-09T06:08:44-0600',mode:absolute,to:'2017-04-09T08:50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4" s="183" t="str">
        <f>IF(AA34&lt;IF(AG34="EC",23,5.65),"Y","N")</f>
        <v>N</v>
      </c>
      <c r="X34" s="183">
        <f>VALUE(LEFT(AD34,4))-VALUE(LEFT(AD33,4))</f>
        <v>1</v>
      </c>
      <c r="Y34" s="62">
        <f>RIGHT(D34,LEN(D34)-4)/10000</f>
        <v>23.3002</v>
      </c>
      <c r="Z34" s="62">
        <f>RIGHT(H34,LEN(H34)-4)/10000</f>
        <v>1.4500000000000001E-2</v>
      </c>
      <c r="AA34" s="62">
        <f>ABS(Z34-Y34)</f>
        <v>23.285699999999999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>IF(LEN(A34)=6,"0"&amp;A34,A34)</f>
        <v>0122-09</v>
      </c>
      <c r="AE34" s="85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s3://rtdc.mdm.uploadarchive.raw/RTDC4019/ "%USERPROFILE%\AppData\Local\Temp\OnboardLogs"\RTDC4019\2017-04-09 --exclude "*" --recursive --include "*20170409*" &amp; "%USERPROFILE%\Documents\GitHub\mrs-test-scripts\Headless Mode &amp; Sideloading\WalkAndUnGZ.bat" "%USERPROFILE%\AppData\Local\Temp\OnboardLogs"\RTDC4019\2017-04-09 &amp; aws s3 cp s3://rtdc.mdm.uploadarchive.raw/RTDC4019/ "%USERPROFILE%\AppData\Local\Temp\OnboardLogs"\RTDC4019\2017-04-10 --exclude "*" --recursive --include "*20170410*" &amp; "%USERPROFILE%\Documents\GitHub\mrs-test-scripts\Headless Mode &amp; Sideloading\WalkAndUnGZ.bat" "%USERPROFILE%\AppData\Local\Temp\OnboardLogs"\RTDC4019\2017-04-10</v>
      </c>
      <c r="AF34" s="82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/stypes="app*4019*20170409*" /stext=" 13:.+((SYSTEM_STATE.+slice.+state.+changed )|(ment ac)|(multiple cpu faults)|(system.+state.+changed )|(\[timeout)|(PRM\|1\|D)|(kpr)|(kdp)|(\|lc)|(penalty))"</v>
      </c>
      <c r="AG34" s="1" t="str">
        <f>IFERROR(IF(VALUE(LEFT(AD34,2))&lt;=2,"EC",IF(OR(VALUE(LEFT(AD34,2))=8,VALUE(LEFT(AD34,2))=18),"NW","Other")),"Other")</f>
        <v>EC</v>
      </c>
      <c r="AH34" s="86" t="str">
        <f t="shared" si="4"/>
        <v>"%USERPROFILE%\Documents\GitHub\eaglep3\Utilities\RefineRTDCRunTimes.py" --tripid 122-09 --locoid 4019 --swversion DE.1.0.9.0 --startMP 204:233002 --initTime 2017-04-09T07:08:44 --startdatetime 2017-04-09T07:11:12 --delay 1 --endMP 204:145 --enddatetime 2017-04-09T07:50:12 --enforcementcount 0 &gt;&gt;C:\Users\stu\Documents\GitHub\eaglep3-reporting\EC\2017-04-09-refined-times.txt</v>
      </c>
      <c r="AI34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{"issue":{"subject":"","project_id":79,"tracker_id":40,"status_id":1,"priority_id":2,"assigned_to_id":23,"start_date":"2017-04-09","description":"","custom_fields":[{"id":1,"name":"Subdivision","value":"EC"},{"id":4,"name":"Milepost","value":"0.0145"},{"id":17,"name":"Train ID","value":"122-09"},{"id":16,"name":"Locomotive ID","value":"4019"},{"id":130,"name":"Impact","value":""},{"id":150,"name":"Time of Event (Mountain Time)","value":"07:50:12"},{"id":151,"name":"Denver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8"/>
      <c r="AL34" s="48"/>
      <c r="AM34" s="150" t="str">
        <f t="shared" si="6"/>
        <v>start /low /b %USERPROFILE%\Documents\GitHub\eaglep3\Utilities\DownloadLogsFromS3.py --loco 4019 --day 2017-04-09</v>
      </c>
      <c r="AN34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13:50:12"},{"id":29,"name":"Sharepoint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666</v>
      </c>
      <c r="B35" s="7">
        <v>4044</v>
      </c>
      <c r="C35" s="21" t="s">
        <v>215</v>
      </c>
      <c r="D35" s="21" t="s">
        <v>204</v>
      </c>
      <c r="E35" s="13">
        <v>42834.265972222223</v>
      </c>
      <c r="F35" s="13">
        <v>42834.270983796298</v>
      </c>
      <c r="G35" s="7">
        <v>1</v>
      </c>
      <c r="H35" s="21" t="s">
        <v>584</v>
      </c>
      <c r="I35" s="13">
        <v>42834.296111111114</v>
      </c>
      <c r="J35" s="7">
        <v>0</v>
      </c>
      <c r="K35" s="97" t="str">
        <f>IF(ISEVEN(B35),(B35-1)&amp;"/"&amp;B35,B35&amp;"/"&amp;(B35+1))</f>
        <v>4043/4044</v>
      </c>
      <c r="L35" s="21" t="str">
        <f>VLOOKUP(A35,'Trips&amp;Operators'!$C$1:$G$99999,5,FALSE)</f>
        <v>ROBINSON KADDIBA</v>
      </c>
      <c r="M35" s="6">
        <f>I35-F35</f>
        <v>2.5127314816927537E-2</v>
      </c>
      <c r="N35" s="7">
        <f>24*60*SUM($M35:$M35)</f>
        <v>36.183333336375654</v>
      </c>
      <c r="O35" s="7"/>
      <c r="P35" s="7"/>
      <c r="Q35" s="22"/>
      <c r="R35" s="22"/>
      <c r="S35" s="31">
        <f>SUM(U35:U35)/IF(AG35="EC",12,1)</f>
        <v>1</v>
      </c>
      <c r="T35" s="46" t="str">
        <f>IF(ISEVEN(LEFT(AD35,4)),"Southbound","NorthBound")</f>
        <v>NorthBound</v>
      </c>
      <c r="U35" s="18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2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-04-09T05:23:00-0600',mode:absolute,to:'2017-04-09T08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5" s="183" t="str">
        <f>IF(AA35&lt;IF(AG35="EC",23,5.65),"Y","N")</f>
        <v>N</v>
      </c>
      <c r="X35" s="183">
        <f>VALUE(LEFT(AD35,4))-VALUE(LEFT(AD34,4))</f>
        <v>1</v>
      </c>
      <c r="Y35" s="62">
        <f>RIGHT(D35,LEN(D35)-4)/10000</f>
        <v>4.5100000000000001E-2</v>
      </c>
      <c r="Z35" s="62">
        <f>RIGHT(H35,LEN(H35)-4)/10000</f>
        <v>23.334099999999999</v>
      </c>
      <c r="AA35" s="62">
        <f>ABS(Z35-Y35)</f>
        <v>23.288999999999998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>IF(LEN(A35)=6,"0"&amp;A35,A35)</f>
        <v>0123-09</v>
      </c>
      <c r="AE35" s="85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s3://rtdc.mdm.uploadarchive.raw/RTDC4044/ "%USERPROFILE%\AppData\Local\Temp\OnboardLogs"\RTDC4044\2017-04-09 --exclude "*" --recursive --include "*20170409*" &amp; "%USERPROFILE%\Documents\GitHub\mrs-test-scripts\Headless Mode &amp; Sideloading\WalkAndUnGZ.bat" "%USERPROFILE%\AppData\Local\Temp\OnboardLogs"\RTDC4044\2017-04-09 &amp; aws s3 cp s3://rtdc.mdm.uploadarchive.raw/RTDC4044/ "%USERPROFILE%\AppData\Local\Temp\OnboardLogs"\RTDC4044\2017-04-10 --exclude "*" --recursive --include "*20170410*" &amp; "%USERPROFILE%\Documents\GitHub\mrs-test-scripts\Headless Mode &amp; Sideloading\WalkAndUnGZ.bat" "%USERPROFILE%\AppData\Local\Temp\OnboardLogs"\RTDC4044\2017-04-10</v>
      </c>
      <c r="AF35" s="82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/stypes="app*4044*20170409*" /stext=" 13:.+((SYSTEM_STATE.+slice.+state.+changed )|(ment ac)|(multiple cpu faults)|(system.+state.+changed )|(\[timeout)|(PRM\|1\|D)|(kpr)|(kdp)|(\|lc)|(penalty))"</v>
      </c>
      <c r="AG35" s="1" t="str">
        <f>IFERROR(IF(VALUE(LEFT(AD35,2))&lt;=2,"EC",IF(OR(VALUE(LEFT(AD35,2))=8,VALUE(LEFT(AD35,2))=18),"NW","Other")),"Other")</f>
        <v>EC</v>
      </c>
      <c r="AH35" s="86" t="str">
        <f t="shared" si="4"/>
        <v>"%USERPROFILE%\Documents\GitHub\eaglep3\Utilities\RefineRTDCRunTimes.py" --tripid 123-09 --locoid 4044 --swversion DE.1.0.9.0 --startMP 204:451 --initTime 2017-04-09T06:23:00 --startdatetime 2017-04-09T06:30:13 --delay 1 --endMP 204:233341 --enddatetime 2017-04-09T07:06:24 --enforcementcount 0 &gt;&gt;C:\Users\stu\Documents\GitHub\eaglep3-reporting\EC\2017-04-09-refined-times.txt</v>
      </c>
      <c r="AI35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{"issue":{"subject":"","project_id":79,"tracker_id":40,"status_id":1,"priority_id":2,"assigned_to_id":23,"start_date":"2017-04-09","description":"","custom_fields":[{"id":1,"name":"Subdivision","value":"EC"},{"id":4,"name":"Milepost","value":"23.3341"},{"id":17,"name":"Train ID","value":"123-09"},{"id":16,"name":"Locomotive ID","value":"4044"},{"id":130,"name":"Impact","value":""},{"id":150,"name":"Time of Event (Mountain Time)","value":"07:06:24"},{"id":151,"name":"Denver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8"/>
      <c r="AL35" s="48"/>
      <c r="AM35" s="150" t="str">
        <f t="shared" si="6"/>
        <v>start /low /b %USERPROFILE%\Documents\GitHub\eaglep3\Utilities\DownloadLogsFromS3.py --loco 4044 --day 2017-04-09</v>
      </c>
      <c r="AN35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13:06:24"},{"id":29,"name":"Sharepoint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674</v>
      </c>
      <c r="B36" s="7">
        <v>4043</v>
      </c>
      <c r="C36" s="21" t="s">
        <v>215</v>
      </c>
      <c r="D36" s="21" t="s">
        <v>855</v>
      </c>
      <c r="E36" s="13">
        <v>42834.303402777776</v>
      </c>
      <c r="F36" s="13">
        <v>42834.309872685182</v>
      </c>
      <c r="G36" s="7">
        <v>1</v>
      </c>
      <c r="H36" s="21" t="s">
        <v>197</v>
      </c>
      <c r="I36" s="13">
        <v>42834.336944444447</v>
      </c>
      <c r="J36" s="7">
        <v>0</v>
      </c>
      <c r="K36" s="97" t="str">
        <f>IF(ISEVEN(B36),(B36-1)&amp;"/"&amp;B36,B36&amp;"/"&amp;(B36+1))</f>
        <v>4043/4044</v>
      </c>
      <c r="L36" s="21" t="str">
        <f>VLOOKUP(A36,'Trips&amp;Operators'!$C$1:$G$99999,5,FALSE)</f>
        <v>ROBINSON KADDIBA</v>
      </c>
      <c r="M36" s="6">
        <f>I36-F36</f>
        <v>2.7071759264799766E-2</v>
      </c>
      <c r="N36" s="7">
        <f>24*60*SUM($M36:$M36)</f>
        <v>38.983333341311663</v>
      </c>
      <c r="O36" s="7"/>
      <c r="P36" s="7"/>
      <c r="Q36" s="22"/>
      <c r="R36" s="22"/>
      <c r="S36" s="31">
        <f>SUM(U36:U36)/IF(AG36="EC",12,1)</f>
        <v>1</v>
      </c>
      <c r="T36" s="46" t="str">
        <f>IF(ISEVEN(LEFT(AD36,4)),"Southbound","NorthBound")</f>
        <v>Southbound</v>
      </c>
      <c r="U36" s="18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2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-04-09T06:16:54-0600',mode:absolute,to:'2017-04-09T09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6" s="183" t="str">
        <f>IF(AA36&lt;IF(AG36="EC",23,5.65),"Y","N")</f>
        <v>N</v>
      </c>
      <c r="X36" s="183">
        <f>VALUE(LEFT(AD36,4))-VALUE(LEFT(AD35,4))</f>
        <v>1</v>
      </c>
      <c r="Y36" s="62">
        <f>RIGHT(D36,LEN(D36)-4)/10000</f>
        <v>23.303599999999999</v>
      </c>
      <c r="Z36" s="62">
        <f>RIGHT(H36,LEN(H36)-4)/10000</f>
        <v>1.52E-2</v>
      </c>
      <c r="AA36" s="62">
        <f>ABS(Z36-Y36)</f>
        <v>23.288399999999999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>IF(LEN(A36)=6,"0"&amp;A36,A36)</f>
        <v>0124-09</v>
      </c>
      <c r="AE36" s="85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s3://rtdc.mdm.uploadarchive.raw/RTDC4043/ "%USERPROFILE%\AppData\Local\Temp\OnboardLogs"\RTDC4043\2017-04-09 --exclude "*" --recursive --include "*20170409*" &amp; "%USERPROFILE%\Documents\GitHub\mrs-test-scripts\Headless Mode &amp; Sideloading\WalkAndUnGZ.bat" "%USERPROFILE%\AppData\Local\Temp\OnboardLogs"\RTDC4043\2017-04-09 &amp; aws s3 cp s3://rtdc.mdm.uploadarchive.raw/RTDC4043/ "%USERPROFILE%\AppData\Local\Temp\OnboardLogs"\RTDC4043\2017-04-10 --exclude "*" --recursive --include "*20170410*" &amp; "%USERPROFILE%\Documents\GitHub\mrs-test-scripts\Headless Mode &amp; Sideloading\WalkAndUnGZ.bat" "%USERPROFILE%\AppData\Local\Temp\OnboardLogs"\RTDC4043\2017-04-10</v>
      </c>
      <c r="AF36" s="82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/stypes="app*4043*20170409*" /stext=" 14:.+((SYSTEM_STATE.+slice.+state.+changed )|(ment ac)|(multiple cpu faults)|(system.+state.+changed )|(\[timeout)|(PRM\|1\|D)|(kpr)|(kdp)|(\|lc)|(penalty))"</v>
      </c>
      <c r="AG36" s="1" t="str">
        <f>IFERROR(IF(VALUE(LEFT(AD36,2))&lt;=2,"EC",IF(OR(VALUE(LEFT(AD36,2))=8,VALUE(LEFT(AD36,2))=18),"NW","Other")),"Other")</f>
        <v>EC</v>
      </c>
      <c r="AH36" s="86" t="str">
        <f t="shared" si="4"/>
        <v>"%USERPROFILE%\Documents\GitHub\eaglep3\Utilities\RefineRTDCRunTimes.py" --tripid 124-09 --locoid 4043 --swversion DE.1.0.9.0 --startMP 204:233036 --initTime 2017-04-09T07:16:54 --startdatetime 2017-04-09T07:26:13 --delay 1 --endMP 204:152 --enddatetime 2017-04-09T08:05:12 --enforcementcount 0 &gt;&gt;C:\Users\stu\Documents\GitHub\eaglep3-reporting\EC\2017-04-09-refined-times.txt</v>
      </c>
      <c r="AI36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{"issue":{"subject":"","project_id":79,"tracker_id":40,"status_id":1,"priority_id":2,"assigned_to_id":23,"start_date":"2017-04-09","description":"","custom_fields":[{"id":1,"name":"Subdivision","value":"EC"},{"id":4,"name":"Milepost","value":"0.0152"},{"id":17,"name":"Train ID","value":"124-09"},{"id":16,"name":"Locomotive ID","value":"4043"},{"id":130,"name":"Impact","value":""},{"id":150,"name":"Time of Event (Mountain Time)","value":"08:05:12"},{"id":151,"name":"Denver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8"/>
      <c r="AL36" s="48"/>
      <c r="AM36" s="150" t="str">
        <f t="shared" si="6"/>
        <v>start /low /b %USERPROFILE%\Documents\GitHub\eaglep3\Utilities\DownloadLogsFromS3.py --loco 4043 --day 2017-04-09</v>
      </c>
      <c r="AN36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14:05:12"},{"id":29,"name":"Sharepoint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602</v>
      </c>
      <c r="B37" s="7">
        <v>4024</v>
      </c>
      <c r="C37" s="21" t="s">
        <v>215</v>
      </c>
      <c r="D37" s="21" t="s">
        <v>840</v>
      </c>
      <c r="E37" s="13">
        <v>42834.275960648149</v>
      </c>
      <c r="F37" s="13">
        <v>42834.281423611108</v>
      </c>
      <c r="G37" s="7">
        <v>1</v>
      </c>
      <c r="H37" s="21" t="s">
        <v>523</v>
      </c>
      <c r="I37" s="13">
        <v>42834.306076388886</v>
      </c>
      <c r="J37" s="7">
        <v>0</v>
      </c>
      <c r="K37" s="97" t="str">
        <f>IF(ISEVEN(B37),(B37-1)&amp;"/"&amp;B37,B37&amp;"/"&amp;(B37+1))</f>
        <v>4023/4024</v>
      </c>
      <c r="L37" s="21" t="str">
        <f>VLOOKUP(A37,'Trips&amp;Operators'!$C$1:$G$99999,5,FALSE)</f>
        <v>GEBRETEKLE DAGNEW</v>
      </c>
      <c r="M37" s="6">
        <f>I37-F37</f>
        <v>2.4652777778101154E-2</v>
      </c>
      <c r="N37" s="7">
        <f>24*60*SUM($M37:$M37)</f>
        <v>35.500000000465661</v>
      </c>
      <c r="O37" s="7"/>
      <c r="P37" s="7"/>
      <c r="Q37" s="22"/>
      <c r="R37" s="22"/>
      <c r="S37" s="31">
        <f>SUM(U37:U37)/IF(AG37="EC",12,1)</f>
        <v>1</v>
      </c>
      <c r="T37" s="46" t="str">
        <f>IF(ISEVEN(LEFT(AD37,4)),"Southbound","NorthBound")</f>
        <v>NorthBound</v>
      </c>
      <c r="U37" s="18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2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-04-09T05:37:23-0600',mode:absolute,to:'2017-04-09T08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7" s="183" t="str">
        <f>IF(AA37&lt;IF(AG37="EC",23,5.65),"Y","N")</f>
        <v>N</v>
      </c>
      <c r="X37" s="183">
        <f>VALUE(LEFT(AD37,4))-VALUE(LEFT(AD36,4))</f>
        <v>1</v>
      </c>
      <c r="Y37" s="62">
        <f>RIGHT(D37,LEN(D37)-4)/10000</f>
        <v>4.3799999999999999E-2</v>
      </c>
      <c r="Z37" s="62">
        <f>RIGHT(H37,LEN(H37)-4)/10000</f>
        <v>23.327000000000002</v>
      </c>
      <c r="AA37" s="62">
        <f>ABS(Z37-Y37)</f>
        <v>23.283200000000001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>IF(LEN(A37)=6,"0"&amp;A37,A37)</f>
        <v>0125-09</v>
      </c>
      <c r="AE37" s="85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s3://rtdc.mdm.uploadarchive.raw/RTDC4024/ "%USERPROFILE%\AppData\Local\Temp\OnboardLogs"\RTDC4024\2017-04-09 --exclude "*" --recursive --include "*20170409*" &amp; "%USERPROFILE%\Documents\GitHub\mrs-test-scripts\Headless Mode &amp; Sideloading\WalkAndUnGZ.bat" "%USERPROFILE%\AppData\Local\Temp\OnboardLogs"\RTDC4024\2017-04-09 &amp; aws s3 cp s3://rtdc.mdm.uploadarchive.raw/RTDC4024/ "%USERPROFILE%\AppData\Local\Temp\OnboardLogs"\RTDC4024\2017-04-10 --exclude "*" --recursive --include "*20170410*" &amp; "%USERPROFILE%\Documents\GitHub\mrs-test-scripts\Headless Mode &amp; Sideloading\WalkAndUnGZ.bat" "%USERPROFILE%\AppData\Local\Temp\OnboardLogs"\RTDC4024\2017-04-10</v>
      </c>
      <c r="AF37" s="82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/stypes="app*4024*20170409*" /stext=" 13:.+((SYSTEM_STATE.+slice.+state.+changed )|(ment ac)|(multiple cpu faults)|(system.+state.+changed )|(\[timeout)|(PRM\|1\|D)|(kpr)|(kdp)|(\|lc)|(penalty))"</v>
      </c>
      <c r="AG37" s="1" t="str">
        <f>IFERROR(IF(VALUE(LEFT(AD37,2))&lt;=2,"EC",IF(OR(VALUE(LEFT(AD37,2))=8,VALUE(LEFT(AD37,2))=18),"NW","Other")),"Other")</f>
        <v>EC</v>
      </c>
      <c r="AH37" s="86" t="str">
        <f t="shared" si="4"/>
        <v>"%USERPROFILE%\Documents\GitHub\eaglep3\Utilities\RefineRTDCRunTimes.py" --tripid 125-09 --locoid 4024 --swversion DE.1.0.9.0 --startMP 204:438 --initTime 2017-04-09T06:37:23 --startdatetime 2017-04-09T06:45:15 --delay 1 --endMP 204:233270 --enddatetime 2017-04-09T07:20:45 --enforcementcount 0 &gt;&gt;C:\Users\stu\Documents\GitHub\eaglep3-reporting\EC\2017-04-09-refined-times.txt</v>
      </c>
      <c r="AI37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{"issue":{"subject":"","project_id":79,"tracker_id":40,"status_id":1,"priority_id":2,"assigned_to_id":23,"start_date":"2017-04-09","description":"","custom_fields":[{"id":1,"name":"Subdivision","value":"EC"},{"id":4,"name":"Milepost","value":"23.327"},{"id":17,"name":"Train ID","value":"125-09"},{"id":16,"name":"Locomotive ID","value":"4024"},{"id":130,"name":"Impact","value":""},{"id":150,"name":"Time of Event (Mountain Time)","value":"07:20:45"},{"id":151,"name":"Denver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8"/>
      <c r="AL37" s="48"/>
      <c r="AM37" s="150" t="str">
        <f t="shared" si="6"/>
        <v>start /low /b %USERPROFILE%\Documents\GitHub\eaglep3\Utilities\DownloadLogsFromS3.py --loco 4024 --day 2017-04-09</v>
      </c>
      <c r="AN37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13:20:45"},{"id":29,"name":"Sharepoint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677</v>
      </c>
      <c r="B38" s="7">
        <v>4023</v>
      </c>
      <c r="C38" s="21" t="s">
        <v>215</v>
      </c>
      <c r="D38" s="21" t="s">
        <v>580</v>
      </c>
      <c r="E38" s="13">
        <v>42834.317233796297</v>
      </c>
      <c r="F38" s="13">
        <v>42834.320324074077</v>
      </c>
      <c r="G38" s="7">
        <v>1</v>
      </c>
      <c r="H38" s="21" t="s">
        <v>432</v>
      </c>
      <c r="I38" s="13">
        <v>42834.346087962964</v>
      </c>
      <c r="J38" s="7">
        <v>0</v>
      </c>
      <c r="K38" s="97" t="str">
        <f>IF(ISEVEN(B38),(B38-1)&amp;"/"&amp;B38,B38&amp;"/"&amp;(B38+1))</f>
        <v>4023/4024</v>
      </c>
      <c r="L38" s="21" t="str">
        <f>VLOOKUP(A38,'Trips&amp;Operators'!$C$1:$G$99999,5,FALSE)</f>
        <v>GEBRETEKLE DAGNEW</v>
      </c>
      <c r="M38" s="6">
        <f>I38-F38</f>
        <v>2.5763888887013309E-2</v>
      </c>
      <c r="N38" s="7">
        <f>24*60*SUM($M38:$M38)</f>
        <v>37.099999997299165</v>
      </c>
      <c r="O38" s="7"/>
      <c r="P38" s="7"/>
      <c r="Q38" s="22"/>
      <c r="R38" s="22"/>
      <c r="S38" s="31">
        <f>SUM(U38:U38)/IF(AG38="EC",12,1)</f>
        <v>1</v>
      </c>
      <c r="T38" s="46" t="str">
        <f>IF(ISEVEN(LEFT(AD38,4)),"Southbound","NorthBound")</f>
        <v>Southbound</v>
      </c>
      <c r="U38" s="18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2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-04-09T06:36:49-0600',mode:absolute,to:'2017-04-09T09:18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8" s="183" t="str">
        <f>IF(AA38&lt;IF(AG38="EC",23,5.65),"Y","N")</f>
        <v>N</v>
      </c>
      <c r="X38" s="183">
        <f>VALUE(LEFT(AD38,4))-VALUE(LEFT(AD37,4))</f>
        <v>1</v>
      </c>
      <c r="Y38" s="62">
        <f>RIGHT(D38,LEN(D38)-4)/10000</f>
        <v>23.293800000000001</v>
      </c>
      <c r="Z38" s="62">
        <f>RIGHT(H38,LEN(H38)-4)/10000</f>
        <v>1.6E-2</v>
      </c>
      <c r="AA38" s="62">
        <f>ABS(Z38-Y38)</f>
        <v>23.277800000000003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>IF(LEN(A38)=6,"0"&amp;A38,A38)</f>
        <v>0126-09</v>
      </c>
      <c r="AE38" s="85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s3://rtdc.mdm.uploadarchive.raw/RTDC4023/ "%USERPROFILE%\AppData\Local\Temp\OnboardLogs"\RTDC4023\2017-04-09 --exclude "*" --recursive --include "*20170409*" &amp; "%USERPROFILE%\Documents\GitHub\mrs-test-scripts\Headless Mode &amp; Sideloading\WalkAndUnGZ.bat" "%USERPROFILE%\AppData\Local\Temp\OnboardLogs"\RTDC4023\2017-04-09 &amp; aws s3 cp s3://rtdc.mdm.uploadarchive.raw/RTDC4023/ "%USERPROFILE%\AppData\Local\Temp\OnboardLogs"\RTDC4023\2017-04-10 --exclude "*" --recursive --include "*20170410*" &amp; "%USERPROFILE%\Documents\GitHub\mrs-test-scripts\Headless Mode &amp; Sideloading\WalkAndUnGZ.bat" "%USERPROFILE%\AppData\Local\Temp\OnboardLogs"\RTDC4023\2017-04-10</v>
      </c>
      <c r="AF38" s="82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/stypes="app*4023*20170409*" /stext=" 14:.+((SYSTEM_STATE.+slice.+state.+changed )|(ment ac)|(multiple cpu faults)|(system.+state.+changed )|(\[timeout)|(PRM\|1\|D)|(kpr)|(kdp)|(\|lc)|(penalty))"</v>
      </c>
      <c r="AG38" s="1" t="str">
        <f>IFERROR(IF(VALUE(LEFT(AD38,2))&lt;=2,"EC",IF(OR(VALUE(LEFT(AD38,2))=8,VALUE(LEFT(AD38,2))=18),"NW","Other")),"Other")</f>
        <v>EC</v>
      </c>
      <c r="AH38" s="86" t="str">
        <f t="shared" si="4"/>
        <v>"%USERPROFILE%\Documents\GitHub\eaglep3\Utilities\RefineRTDCRunTimes.py" --tripid 126-09 --locoid 4023 --swversion DE.1.0.9.0 --startMP 204:232938 --initTime 2017-04-09T07:36:49 --startdatetime 2017-04-09T07:41:16 --delay 1 --endMP 204:160 --enddatetime 2017-04-09T08:18:22 --enforcementcount 0 &gt;&gt;C:\Users\stu\Documents\GitHub\eaglep3-reporting\EC\2017-04-09-refined-times.txt</v>
      </c>
      <c r="AI38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{"issue":{"subject":"","project_id":79,"tracker_id":40,"status_id":1,"priority_id":2,"assigned_to_id":23,"start_date":"2017-04-09","description":"","custom_fields":[{"id":1,"name":"Subdivision","value":"EC"},{"id":4,"name":"Milepost","value":"0.016"},{"id":17,"name":"Train ID","value":"126-09"},{"id":16,"name":"Locomotive ID","value":"4023"},{"id":130,"name":"Impact","value":""},{"id":150,"name":"Time of Event (Mountain Time)","value":"08:18:22"},{"id":151,"name":"Denver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8"/>
      <c r="AL38" s="48"/>
      <c r="AM38" s="150" t="str">
        <f t="shared" si="6"/>
        <v>start /low /b %USERPROFILE%\Documents\GitHub\eaglep3\Utilities\DownloadLogsFromS3.py --loco 4023 --day 2017-04-09</v>
      </c>
      <c r="AN38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14:18:22"},{"id":29,"name":"Sharepoint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670</v>
      </c>
      <c r="B39" s="7">
        <v>4032</v>
      </c>
      <c r="C39" s="21" t="s">
        <v>215</v>
      </c>
      <c r="D39" s="21" t="s">
        <v>435</v>
      </c>
      <c r="E39" s="13">
        <v>42834.285069444442</v>
      </c>
      <c r="F39" s="13">
        <v>42834.291863425926</v>
      </c>
      <c r="G39" s="7">
        <v>1</v>
      </c>
      <c r="H39" s="21" t="s">
        <v>582</v>
      </c>
      <c r="I39" s="13">
        <v>42834.316481481481</v>
      </c>
      <c r="J39" s="7">
        <v>0</v>
      </c>
      <c r="K39" s="97" t="str">
        <f>IF(ISEVEN(B39),(B39-1)&amp;"/"&amp;B39,B39&amp;"/"&amp;(B39+1))</f>
        <v>4031/4032</v>
      </c>
      <c r="L39" s="21" t="str">
        <f>VLOOKUP(A39,'Trips&amp;Operators'!$C$1:$G$99999,5,FALSE)</f>
        <v>SANTIZO D. EDY</v>
      </c>
      <c r="M39" s="6">
        <f>I39-F39</f>
        <v>2.4618055555038154E-2</v>
      </c>
      <c r="N39" s="7">
        <f>24*60*SUM($M39:$M39)</f>
        <v>35.449999999254942</v>
      </c>
      <c r="O39" s="7"/>
      <c r="P39" s="7"/>
      <c r="Q39" s="22"/>
      <c r="R39" s="22"/>
      <c r="S39" s="31">
        <f>SUM(U39:U39)/IF(AG39="EC",12,1)</f>
        <v>1</v>
      </c>
      <c r="T39" s="46" t="str">
        <f>IF(ISEVEN(LEFT(AD39,4)),"Southbound","NorthBound")</f>
        <v>NorthBound</v>
      </c>
      <c r="U39" s="18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2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-04-09T05:50:30-0600',mode:absolute,to:'2017-04-09T08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9" s="183" t="str">
        <f>IF(AA39&lt;IF(AG39="EC",23,5.65),"Y","N")</f>
        <v>N</v>
      </c>
      <c r="X39" s="183">
        <f>VALUE(LEFT(AD39,4))-VALUE(LEFT(AD38,4))</f>
        <v>1</v>
      </c>
      <c r="Y39" s="62">
        <f>RIGHT(D39,LEN(D39)-4)/10000</f>
        <v>4.58E-2</v>
      </c>
      <c r="Z39" s="62">
        <f>RIGHT(H39,LEN(H39)-4)/10000</f>
        <v>23.3276</v>
      </c>
      <c r="AA39" s="62">
        <f>ABS(Z39-Y39)</f>
        <v>23.2818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>IF(LEN(A39)=6,"0"&amp;A39,A39)</f>
        <v>0127-09</v>
      </c>
      <c r="AE39" s="85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s3://rtdc.mdm.uploadarchive.raw/RTDC4032/ "%USERPROFILE%\AppData\Local\Temp\OnboardLogs"\RTDC4032\2017-04-09 --exclude "*" --recursive --include "*20170409*" &amp; "%USERPROFILE%\Documents\GitHub\mrs-test-scripts\Headless Mode &amp; Sideloading\WalkAndUnGZ.bat" "%USERPROFILE%\AppData\Local\Temp\OnboardLogs"\RTDC4032\2017-04-09 &amp; aws s3 cp s3://rtdc.mdm.uploadarchive.raw/RTDC4032/ "%USERPROFILE%\AppData\Local\Temp\OnboardLogs"\RTDC4032\2017-04-10 --exclude "*" --recursive --include "*20170410*" &amp; "%USERPROFILE%\Documents\GitHub\mrs-test-scripts\Headless Mode &amp; Sideloading\WalkAndUnGZ.bat" "%USERPROFILE%\AppData\Local\Temp\OnboardLogs"\RTDC4032\2017-04-10</v>
      </c>
      <c r="AF39" s="82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/stypes="app*4032*20170409*" /stext=" 13:.+((SYSTEM_STATE.+slice.+state.+changed )|(ment ac)|(multiple cpu faults)|(system.+state.+changed )|(\[timeout)|(PRM\|1\|D)|(kpr)|(kdp)|(\|lc)|(penalty))"</v>
      </c>
      <c r="AG39" s="1" t="str">
        <f>IFERROR(IF(VALUE(LEFT(AD39,2))&lt;=2,"EC",IF(OR(VALUE(LEFT(AD39,2))=8,VALUE(LEFT(AD39,2))=18),"NW","Other")),"Other")</f>
        <v>EC</v>
      </c>
      <c r="AH39" s="86" t="str">
        <f t="shared" si="4"/>
        <v>"%USERPROFILE%\Documents\GitHub\eaglep3\Utilities\RefineRTDCRunTimes.py" --tripid 127-09 --locoid 4032 --swversion DE.1.0.9.0 --startMP 204:458 --initTime 2017-04-09T06:50:30 --startdatetime 2017-04-09T07:00:17 --delay 1 --endMP 204:233276 --enddatetime 2017-04-09T07:35:44 --enforcementcount 0 &gt;&gt;C:\Users\stu\Documents\GitHub\eaglep3-reporting\EC\2017-04-09-refined-times.txt</v>
      </c>
      <c r="AI39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{"issue":{"subject":"","project_id":79,"tracker_id":40,"status_id":1,"priority_id":2,"assigned_to_id":23,"start_date":"2017-04-09","description":"","custom_fields":[{"id":1,"name":"Subdivision","value":"EC"},{"id":4,"name":"Milepost","value":"23.3276"},{"id":17,"name":"Train ID","value":"127-09"},{"id":16,"name":"Locomotive ID","value":"4032"},{"id":130,"name":"Impact","value":""},{"id":150,"name":"Time of Event (Mountain Time)","value":"07:35:44"},{"id":151,"name":"Denver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8"/>
      <c r="AL39" s="48"/>
      <c r="AM39" s="150" t="str">
        <f t="shared" si="6"/>
        <v>start /low /b %USERPROFILE%\Documents\GitHub\eaglep3\Utilities\DownloadLogsFromS3.py --loco 4032 --day 2017-04-09</v>
      </c>
      <c r="AN39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13:35:44"},{"id":29,"name":"Sharepoint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678</v>
      </c>
      <c r="B40" s="7">
        <v>4031</v>
      </c>
      <c r="C40" s="21" t="s">
        <v>215</v>
      </c>
      <c r="D40" s="21" t="s">
        <v>856</v>
      </c>
      <c r="E40" s="13">
        <v>42834.318113425928</v>
      </c>
      <c r="F40" s="13">
        <v>42834.330729166664</v>
      </c>
      <c r="G40" s="7">
        <v>1</v>
      </c>
      <c r="H40" s="21" t="s">
        <v>406</v>
      </c>
      <c r="I40" s="13">
        <v>42834.35869212963</v>
      </c>
      <c r="J40" s="7">
        <v>0</v>
      </c>
      <c r="K40" s="97" t="str">
        <f>IF(ISEVEN(B40),(B40-1)&amp;"/"&amp;B40,B40&amp;"/"&amp;(B40+1))</f>
        <v>4031/4032</v>
      </c>
      <c r="L40" s="21" t="str">
        <f>VLOOKUP(A40,'Trips&amp;Operators'!$C$1:$G$99999,5,FALSE)</f>
        <v>SANTIZO D. EDY</v>
      </c>
      <c r="M40" s="6">
        <f>I40-F40</f>
        <v>2.7962962965830229E-2</v>
      </c>
      <c r="N40" s="7">
        <f>24*60*SUM($M40:$M40)</f>
        <v>40.26666667079553</v>
      </c>
      <c r="O40" s="7"/>
      <c r="P40" s="7"/>
      <c r="Q40" s="22"/>
      <c r="R40" s="22"/>
      <c r="S40" s="31">
        <f>SUM(U40:U40)/IF(AG40="EC",12,1)</f>
        <v>1</v>
      </c>
      <c r="T40" s="46" t="str">
        <f>IF(ISEVEN(LEFT(AD40,4)),"Southbound","NorthBound")</f>
        <v>Southbound</v>
      </c>
      <c r="U40" s="18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2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-04-09T06:38:05-0600',mode:absolute,to:'2017-04-09T09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0" s="183" t="str">
        <f>IF(AA40&lt;IF(AG40="EC",23,5.65),"Y","N")</f>
        <v>N</v>
      </c>
      <c r="X40" s="183">
        <f>VALUE(LEFT(AD40,4))-VALUE(LEFT(AD39,4))</f>
        <v>1</v>
      </c>
      <c r="Y40" s="62">
        <f>RIGHT(D40,LEN(D40)-4)/10000</f>
        <v>23.2942</v>
      </c>
      <c r="Z40" s="62">
        <f>RIGHT(H40,LEN(H40)-4)/10000</f>
        <v>1.38E-2</v>
      </c>
      <c r="AA40" s="62">
        <f>ABS(Z40-Y40)</f>
        <v>23.2804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>IF(LEN(A40)=6,"0"&amp;A40,A40)</f>
        <v>0128-09</v>
      </c>
      <c r="AE40" s="85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s3://rtdc.mdm.uploadarchive.raw/RTDC4031/ "%USERPROFILE%\AppData\Local\Temp\OnboardLogs"\RTDC4031\2017-04-09 --exclude "*" --recursive --include "*20170409*" &amp; "%USERPROFILE%\Documents\GitHub\mrs-test-scripts\Headless Mode &amp; Sideloading\WalkAndUnGZ.bat" "%USERPROFILE%\AppData\Local\Temp\OnboardLogs"\RTDC4031\2017-04-09 &amp; aws s3 cp s3://rtdc.mdm.uploadarchive.raw/RTDC4031/ "%USERPROFILE%\AppData\Local\Temp\OnboardLogs"\RTDC4031\2017-04-10 --exclude "*" --recursive --include "*20170410*" &amp; "%USERPROFILE%\Documents\GitHub\mrs-test-scripts\Headless Mode &amp; Sideloading\WalkAndUnGZ.bat" "%USERPROFILE%\AppData\Local\Temp\OnboardLogs"\RTDC4031\2017-04-10</v>
      </c>
      <c r="AF40" s="82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/stypes="app*4031*20170409*" /stext=" 14:.+((SYSTEM_STATE.+slice.+state.+changed )|(ment ac)|(multiple cpu faults)|(system.+state.+changed )|(\[timeout)|(PRM\|1\|D)|(kpr)|(kdp)|(\|lc)|(penalty))"</v>
      </c>
      <c r="AG40" s="1" t="str">
        <f>IFERROR(IF(VALUE(LEFT(AD40,2))&lt;=2,"EC",IF(OR(VALUE(LEFT(AD40,2))=8,VALUE(LEFT(AD40,2))=18),"NW","Other")),"Other")</f>
        <v>EC</v>
      </c>
      <c r="AH40" s="86" t="str">
        <f t="shared" si="4"/>
        <v>"%USERPROFILE%\Documents\GitHub\eaglep3\Utilities\RefineRTDCRunTimes.py" --tripid 128-09 --locoid 4031 --swversion DE.1.0.9.0 --startMP 204:232942 --initTime 2017-04-09T07:38:05 --startdatetime 2017-04-09T07:56:15 --delay 1 --endMP 204:138 --enddatetime 2017-04-09T08:36:31 --enforcementcount 0 &gt;&gt;C:\Users\stu\Documents\GitHub\eaglep3-reporting\EC\2017-04-09-refined-times.txt</v>
      </c>
      <c r="AI40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{"issue":{"subject":"","project_id":79,"tracker_id":40,"status_id":1,"priority_id":2,"assigned_to_id":23,"start_date":"2017-04-09","description":"","custom_fields":[{"id":1,"name":"Subdivision","value":"EC"},{"id":4,"name":"Milepost","value":"0.0138"},{"id":17,"name":"Train ID","value":"128-09"},{"id":16,"name":"Locomotive ID","value":"4031"},{"id":130,"name":"Impact","value":""},{"id":150,"name":"Time of Event (Mountain Time)","value":"08:36:31"},{"id":151,"name":"Denver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8"/>
      <c r="AL40" s="48"/>
      <c r="AM40" s="150" t="str">
        <f t="shared" si="6"/>
        <v>start /low /b %USERPROFILE%\Documents\GitHub\eaglep3\Utilities\DownloadLogsFromS3.py --loco 4031 --day 2017-04-09</v>
      </c>
      <c r="AN40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14:36:31"},{"id":29,"name":"Sharepoint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673</v>
      </c>
      <c r="B41" s="7">
        <v>4012</v>
      </c>
      <c r="C41" s="21" t="s">
        <v>215</v>
      </c>
      <c r="D41" s="21" t="s">
        <v>206</v>
      </c>
      <c r="E41" s="13">
        <v>42834.298136574071</v>
      </c>
      <c r="F41" s="13">
        <v>42834.302268518521</v>
      </c>
      <c r="G41" s="7">
        <v>1</v>
      </c>
      <c r="H41" s="21" t="s">
        <v>512</v>
      </c>
      <c r="I41" s="13">
        <v>42834.328055555554</v>
      </c>
      <c r="J41" s="7">
        <v>0</v>
      </c>
      <c r="K41" s="97" t="str">
        <f>IF(ISEVEN(B41),(B41-1)&amp;"/"&amp;B41,B41&amp;"/"&amp;(B41+1))</f>
        <v>4011/4012</v>
      </c>
      <c r="L41" s="21" t="str">
        <f>VLOOKUP(A41,'Trips&amp;Operators'!$C$1:$G$99999,5,FALSE)</f>
        <v>SHOOK JOHN</v>
      </c>
      <c r="M41" s="6">
        <f>I41-F41</f>
        <v>2.5787037033296656E-2</v>
      </c>
      <c r="N41" s="7">
        <f>24*60*SUM($M41:$M41)</f>
        <v>37.133333327947184</v>
      </c>
      <c r="O41" s="7"/>
      <c r="P41" s="7"/>
      <c r="Q41" s="22"/>
      <c r="R41" s="22"/>
      <c r="S41" s="31">
        <f>SUM(U41:U41)/IF(AG41="EC",12,1)</f>
        <v>1</v>
      </c>
      <c r="T41" s="46" t="str">
        <f>IF(ISEVEN(LEFT(AD41,4)),"Southbound","NorthBound")</f>
        <v>NorthBound</v>
      </c>
      <c r="U41" s="18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2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-04-09T06:09:19-0600',mode:absolute,to:'2017-04-09T08:52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1" s="183" t="str">
        <f>IF(AA41&lt;IF(AG41="EC",23,5.65),"Y","N")</f>
        <v>N</v>
      </c>
      <c r="X41" s="183">
        <f>VALUE(LEFT(AD41,4))-VALUE(LEFT(AD40,4))</f>
        <v>1</v>
      </c>
      <c r="Y41" s="62">
        <f>RIGHT(D41,LEN(D41)-4)/10000</f>
        <v>4.5999999999999999E-2</v>
      </c>
      <c r="Z41" s="62">
        <f>RIGHT(H41,LEN(H41)-4)/10000</f>
        <v>23.3306</v>
      </c>
      <c r="AA41" s="62">
        <f>ABS(Z41-Y41)</f>
        <v>23.284600000000001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>IF(LEN(A41)=6,"0"&amp;A41,A41)</f>
        <v>0129-09</v>
      </c>
      <c r="AE41" s="85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s3://rtdc.mdm.uploadarchive.raw/RTDC4012/ "%USERPROFILE%\AppData\Local\Temp\OnboardLogs"\RTDC4012\2017-04-09 --exclude "*" --recursive --include "*20170409*" &amp; "%USERPROFILE%\Documents\GitHub\mrs-test-scripts\Headless Mode &amp; Sideloading\WalkAndUnGZ.bat" "%USERPROFILE%\AppData\Local\Temp\OnboardLogs"\RTDC4012\2017-04-09 &amp; aws s3 cp s3://rtdc.mdm.uploadarchive.raw/RTDC4012/ "%USERPROFILE%\AppData\Local\Temp\OnboardLogs"\RTDC4012\2017-04-10 --exclude "*" --recursive --include "*20170410*" &amp; "%USERPROFILE%\Documents\GitHub\mrs-test-scripts\Headless Mode &amp; Sideloading\WalkAndUnGZ.bat" "%USERPROFILE%\AppData\Local\Temp\OnboardLogs"\RTDC4012\2017-04-10</v>
      </c>
      <c r="AF41" s="82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/stypes="app*4012*20170409*" /stext=" 13:.+((SYSTEM_STATE.+slice.+state.+changed )|(ment ac)|(multiple cpu faults)|(system.+state.+changed )|(\[timeout)|(PRM\|1\|D)|(kpr)|(kdp)|(\|lc)|(penalty))"</v>
      </c>
      <c r="AG41" s="1" t="str">
        <f>IFERROR(IF(VALUE(LEFT(AD41,2))&lt;=2,"EC",IF(OR(VALUE(LEFT(AD41,2))=8,VALUE(LEFT(AD41,2))=18),"NW","Other")),"Other")</f>
        <v>EC</v>
      </c>
      <c r="AH41" s="86" t="str">
        <f t="shared" si="4"/>
        <v>"%USERPROFILE%\Documents\GitHub\eaglep3\Utilities\RefineRTDCRunTimes.py" --tripid 129-09 --locoid 4012 --swversion DE.1.0.9.0 --startMP 204:460 --initTime 2017-04-09T07:09:19 --startdatetime 2017-04-09T07:15:16 --delay 1 --endMP 204:233306 --enddatetime 2017-04-09T07:52:24 --enforcementcount 0 &gt;&gt;C:\Users\stu\Documents\GitHub\eaglep3-reporting\EC\2017-04-09-refined-times.txt</v>
      </c>
      <c r="AI41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{"issue":{"subject":"","project_id":79,"tracker_id":40,"status_id":1,"priority_id":2,"assigned_to_id":23,"start_date":"2017-04-09","description":"","custom_fields":[{"id":1,"name":"Subdivision","value":"EC"},{"id":4,"name":"Milepost","value":"23.3306"},{"id":17,"name":"Train ID","value":"129-09"},{"id":16,"name":"Locomotive ID","value":"4012"},{"id":130,"name":"Impact","value":""},{"id":150,"name":"Time of Event (Mountain Time)","value":"07:52:24"},{"id":151,"name":"Denver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8"/>
      <c r="AL41" s="48"/>
      <c r="AM41" s="150" t="str">
        <f t="shared" si="6"/>
        <v>start /low /b %USERPROFILE%\Documents\GitHub\eaglep3\Utilities\DownloadLogsFromS3.py --loco 4012 --day 2017-04-09</v>
      </c>
      <c r="AN41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13:52:24"},{"id":29,"name":"Sharepoint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681</v>
      </c>
      <c r="B42" s="7">
        <v>4011</v>
      </c>
      <c r="C42" s="21" t="s">
        <v>215</v>
      </c>
      <c r="D42" s="21" t="s">
        <v>402</v>
      </c>
      <c r="E42" s="13">
        <v>42834.329710648148</v>
      </c>
      <c r="F42" s="13">
        <v>42834.341226851851</v>
      </c>
      <c r="G42" s="7">
        <v>1</v>
      </c>
      <c r="H42" s="21" t="s">
        <v>211</v>
      </c>
      <c r="I42" s="13">
        <v>42834.368483796294</v>
      </c>
      <c r="J42" s="7">
        <v>0</v>
      </c>
      <c r="K42" s="97" t="str">
        <f>IF(ISEVEN(B42),(B42-1)&amp;"/"&amp;B42,B42&amp;"/"&amp;(B42+1))</f>
        <v>4011/4012</v>
      </c>
      <c r="L42" s="21" t="str">
        <f>VLOOKUP(A42,'Trips&amp;Operators'!$C$1:$G$99999,5,FALSE)</f>
        <v>SHOOK JOHN</v>
      </c>
      <c r="M42" s="6">
        <f>I42-F42</f>
        <v>2.7256944442342501E-2</v>
      </c>
      <c r="N42" s="7">
        <f>24*60*SUM($M42:$M42)</f>
        <v>39.249999996973202</v>
      </c>
      <c r="O42" s="7"/>
      <c r="P42" s="7"/>
      <c r="Q42" s="22"/>
      <c r="R42" s="22"/>
      <c r="S42" s="31">
        <f>SUM(U42:U42)/IF(AG42="EC",12,1)</f>
        <v>1</v>
      </c>
      <c r="T42" s="46" t="str">
        <f>IF(ISEVEN(LEFT(AD42,4)),"Southbound","NorthBound")</f>
        <v>Southbound</v>
      </c>
      <c r="U42" s="18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2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-04-09T06:54:47-0600',mode:absolute,to:'2017-04-09T09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2" s="183" t="str">
        <f>IF(AA42&lt;IF(AG42="EC",23,5.65),"Y","N")</f>
        <v>N</v>
      </c>
      <c r="X42" s="183">
        <f>VALUE(LEFT(AD42,4))-VALUE(LEFT(AD41,4))</f>
        <v>1</v>
      </c>
      <c r="Y42" s="62">
        <f>RIGHT(D42,LEN(D42)-4)/10000</f>
        <v>23.299399999999999</v>
      </c>
      <c r="Z42" s="62">
        <f>RIGHT(H42,LEN(H42)-4)/10000</f>
        <v>1.5599999999999999E-2</v>
      </c>
      <c r="AA42" s="62">
        <f>ABS(Z42-Y42)</f>
        <v>23.283799999999999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>IF(LEN(A42)=6,"0"&amp;A42,A42)</f>
        <v>0130-09</v>
      </c>
      <c r="AE42" s="85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s3://rtdc.mdm.uploadarchive.raw/RTDC4011/ "%USERPROFILE%\AppData\Local\Temp\OnboardLogs"\RTDC4011\2017-04-09 --exclude "*" --recursive --include "*20170409*" &amp; "%USERPROFILE%\Documents\GitHub\mrs-test-scripts\Headless Mode &amp; Sideloading\WalkAndUnGZ.bat" "%USERPROFILE%\AppData\Local\Temp\OnboardLogs"\RTDC4011\2017-04-09 &amp; aws s3 cp s3://rtdc.mdm.uploadarchive.raw/RTDC4011/ "%USERPROFILE%\AppData\Local\Temp\OnboardLogs"\RTDC4011\2017-04-10 --exclude "*" --recursive --include "*20170410*" &amp; "%USERPROFILE%\Documents\GitHub\mrs-test-scripts\Headless Mode &amp; Sideloading\WalkAndUnGZ.bat" "%USERPROFILE%\AppData\Local\Temp\OnboardLogs"\RTDC4011\2017-04-10</v>
      </c>
      <c r="AF42" s="82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/stypes="app*4011*20170409*" /stext=" 14:.+((SYSTEM_STATE.+slice.+state.+changed )|(ment ac)|(multiple cpu faults)|(system.+state.+changed )|(\[timeout)|(PRM\|1\|D)|(kpr)|(kdp)|(\|lc)|(penalty))"</v>
      </c>
      <c r="AG42" s="1" t="str">
        <f>IFERROR(IF(VALUE(LEFT(AD42,2))&lt;=2,"EC",IF(OR(VALUE(LEFT(AD42,2))=8,VALUE(LEFT(AD42,2))=18),"NW","Other")),"Other")</f>
        <v>EC</v>
      </c>
      <c r="AH42" s="86" t="str">
        <f t="shared" si="4"/>
        <v>"%USERPROFILE%\Documents\GitHub\eaglep3\Utilities\RefineRTDCRunTimes.py" --tripid 130-09 --locoid 4011 --swversion DE.1.0.9.0 --startMP 204:232994 --initTime 2017-04-09T07:54:47 --startdatetime 2017-04-09T08:11:22 --delay 1 --endMP 204:156 --enddatetime 2017-04-09T08:50:37 --enforcementcount 0 &gt;&gt;C:\Users\stu\Documents\GitHub\eaglep3-reporting\EC\2017-04-09-refined-times.txt</v>
      </c>
      <c r="AI42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{"issue":{"subject":"","project_id":79,"tracker_id":40,"status_id":1,"priority_id":2,"assigned_to_id":23,"start_date":"2017-04-09","description":"","custom_fields":[{"id":1,"name":"Subdivision","value":"EC"},{"id":4,"name":"Milepost","value":"0.0156"},{"id":17,"name":"Train ID","value":"130-09"},{"id":16,"name":"Locomotive ID","value":"4011"},{"id":130,"name":"Impact","value":""},{"id":150,"name":"Time of Event (Mountain Time)","value":"08:50:37"},{"id":151,"name":"Denver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8"/>
      <c r="AL42" s="48"/>
      <c r="AM42" s="150" t="str">
        <f t="shared" si="6"/>
        <v>start /low /b %USERPROFILE%\Documents\GitHub\eaglep3\Utilities\DownloadLogsFromS3.py --loco 4011 --day 2017-04-09</v>
      </c>
      <c r="AN42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14:50:37"},{"id":29,"name":"Sharepoint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675</v>
      </c>
      <c r="B43" s="7">
        <v>4030</v>
      </c>
      <c r="C43" s="21" t="s">
        <v>215</v>
      </c>
      <c r="D43" s="21" t="s">
        <v>204</v>
      </c>
      <c r="E43" s="13">
        <v>42834.308159722219</v>
      </c>
      <c r="F43" s="13">
        <v>42834.3127662037</v>
      </c>
      <c r="G43" s="7">
        <v>1</v>
      </c>
      <c r="H43" s="21" t="s">
        <v>519</v>
      </c>
      <c r="I43" s="13">
        <v>42834.33085648148</v>
      </c>
      <c r="J43" s="7">
        <v>0</v>
      </c>
      <c r="K43" s="97" t="str">
        <f>IF(ISEVEN(B43),(B43-1)&amp;"/"&amp;B43,B43&amp;"/"&amp;(B43+1))</f>
        <v>4029/4030</v>
      </c>
      <c r="L43" s="21" t="str">
        <f>VLOOKUP(A43,'Trips&amp;Operators'!$C$1:$G$99999,5,FALSE)</f>
        <v>MAELZER KURT</v>
      </c>
      <c r="M43" s="6">
        <f>I43-F43</f>
        <v>1.8090277779265307E-2</v>
      </c>
      <c r="N43" s="7"/>
      <c r="O43" s="7"/>
      <c r="P43" s="7">
        <f>24*60*SUM($M43:$M43)</f>
        <v>26.050000002142042</v>
      </c>
      <c r="Q43" s="22"/>
      <c r="R43" s="22" t="s">
        <v>485</v>
      </c>
      <c r="S43" s="31">
        <f>SUM(U43:U43)/IF(AG43="EC",12,1)</f>
        <v>1</v>
      </c>
      <c r="T43" s="46" t="str">
        <f>IF(ISEVEN(LEFT(AD43,4)),"Southbound","NorthBound")</f>
        <v>NorthBound</v>
      </c>
      <c r="U43" s="18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2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-04-09T06:23:45-0600',mode:absolute,to:'2017-04-09T08:56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3" s="183" t="str">
        <f>IF(AA43&lt;IF(AG43="EC",23,5.65),"Y","N")</f>
        <v>N</v>
      </c>
      <c r="X43" s="183">
        <f>VALUE(LEFT(AD43,4))-VALUE(LEFT(AD42,4))</f>
        <v>1</v>
      </c>
      <c r="Y43" s="62">
        <f>RIGHT(D43,LEN(D43)-4)/10000</f>
        <v>4.5100000000000001E-2</v>
      </c>
      <c r="Z43" s="62">
        <f>RIGHT(H43,LEN(H43)-4)/10000</f>
        <v>23.3291</v>
      </c>
      <c r="AA43" s="62">
        <f>ABS(Z43-Y43)</f>
        <v>23.283999999999999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>IF(LEN(A43)=6,"0"&amp;A43,A43)</f>
        <v>0131-09</v>
      </c>
      <c r="AE43" s="85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s3://rtdc.mdm.uploadarchive.raw/RTDC4030/ "%USERPROFILE%\AppData\Local\Temp\OnboardLogs"\RTDC4030\2017-04-09 --exclude "*" --recursive --include "*20170409*" &amp; "%USERPROFILE%\Documents\GitHub\mrs-test-scripts\Headless Mode &amp; Sideloading\WalkAndUnGZ.bat" "%USERPROFILE%\AppData\Local\Temp\OnboardLogs"\RTDC4030\2017-04-09 &amp; aws s3 cp s3://rtdc.mdm.uploadarchive.raw/RTDC4030/ "%USERPROFILE%\AppData\Local\Temp\OnboardLogs"\RTDC4030\2017-04-10 --exclude "*" --recursive --include "*20170410*" &amp; "%USERPROFILE%\Documents\GitHub\mrs-test-scripts\Headless Mode &amp; Sideloading\WalkAndUnGZ.bat" "%USERPROFILE%\AppData\Local\Temp\OnboardLogs"\RTDC4030\2017-04-10</v>
      </c>
      <c r="AF43" s="82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/stypes="app*4030*20170409*" /stext=" 13:.+((SYSTEM_STATE.+slice.+state.+changed )|(ment ac)|(multiple cpu faults)|(system.+state.+changed )|(\[timeout)|(PRM\|1\|D)|(kpr)|(kdp)|(\|lc)|(penalty))"</v>
      </c>
      <c r="AG43" s="1" t="str">
        <f>IFERROR(IF(VALUE(LEFT(AD43,2))&lt;=2,"EC",IF(OR(VALUE(LEFT(AD43,2))=8,VALUE(LEFT(AD43,2))=18),"NW","Other")),"Other")</f>
        <v>EC</v>
      </c>
      <c r="AH43" s="86" t="str">
        <f t="shared" si="4"/>
        <v>"%USERPROFILE%\Documents\GitHub\eaglep3\Utilities\RefineRTDCRunTimes.py" --tripid 131-09 --locoid 4030 --swversion DE.1.0.9.0 --startMP 204:451 --initTime 2017-04-09T07:23:45 --startdatetime 2017-04-09T07:30:23 --delay 1 --endMP 204:233291 --enddatetime 2017-04-09T07:56:26 --enforcementcount 0 &gt;&gt;C:\Users\stu\Documents\GitHub\eaglep3-reporting\EC\2017-04-09-refined-times.txt</v>
      </c>
      <c r="AI43" s="104" t="str">
        <f t="shared" si="5"/>
        <v>echo {"issue":{"subject":"Onboard in-route failure","project_id":79,"tracker_id":40,"status_id":1,"priority_id":2,"assigned_to_id":23,"start_date":"2017-04-09","description":"","custom_fields":[{"id":1,"name":"Subdivision","value":"EC"},{"id":4,"name":"Milepost","value":"23.3291"},{"id":17,"name":"Train ID","value":"131-09"},{"id":16,"name":"Locomotive ID","value":"4030"},{"id":130,"name":"Impact","value":""},{"id":150,"name":"Time of Event (Mountain Time)","value":"07:56:26"},{"id":151,"name":"Denver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8"/>
      <c r="AL43" s="48"/>
      <c r="AM43" s="150" t="str">
        <f t="shared" si="6"/>
        <v>start /low /b %USERPROFILE%\Documents\GitHub\eaglep3\Utilities\DownloadLogsFromS3.py --loco 4030 --day 2017-04-09</v>
      </c>
      <c r="AN43" s="159" t="str">
        <f t="shared" si="7"/>
        <v>echo {"issue":{"subject":"Onboard in-route failure","project_id":30,"tracker_id":4,"status_id":1,"priority_id":1,"assigned_to_id":10,"start_date":"2017-04-09","description":"","custom_fields":[{"id":30,"name":"Category","value":"Issue"},{"id":3,"name":"Functional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13:56:26"},{"id":29,"name":"Sharepoint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685</v>
      </c>
      <c r="B44" s="7">
        <v>4029</v>
      </c>
      <c r="C44" s="21" t="s">
        <v>215</v>
      </c>
      <c r="D44" s="21" t="s">
        <v>402</v>
      </c>
      <c r="E44" s="13">
        <v>42834.349594907406</v>
      </c>
      <c r="F44" s="13">
        <v>42834.351770833331</v>
      </c>
      <c r="G44" s="7">
        <v>1</v>
      </c>
      <c r="H44" s="21" t="s">
        <v>843</v>
      </c>
      <c r="I44" s="13">
        <v>42834.378622685188</v>
      </c>
      <c r="J44" s="7">
        <v>0</v>
      </c>
      <c r="K44" s="97" t="str">
        <f>IF(ISEVEN(B44),(B44-1)&amp;"/"&amp;B44,B44&amp;"/"&amp;(B44+1))</f>
        <v>4029/4030</v>
      </c>
      <c r="L44" s="21" t="str">
        <f>VLOOKUP(A44,'Trips&amp;Operators'!$C$1:$G$99999,5,FALSE)</f>
        <v>MAELZER KURT</v>
      </c>
      <c r="M44" s="6">
        <f>I44-F44</f>
        <v>2.6851851856918074E-2</v>
      </c>
      <c r="N44" s="7">
        <f>24*60*SUM($M44:$M44)</f>
        <v>38.666666673962027</v>
      </c>
      <c r="O44" s="7"/>
      <c r="P44" s="7"/>
      <c r="Q44" s="22"/>
      <c r="R44" s="22"/>
      <c r="S44" s="31">
        <f>SUM(U44:U44)/IF(AG44="EC",12,1)</f>
        <v>1</v>
      </c>
      <c r="T44" s="46" t="str">
        <f>IF(ISEVEN(LEFT(AD44,4)),"Southbound","NorthBound")</f>
        <v>Southbound</v>
      </c>
      <c r="U44" s="18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2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-04-09T07:23:25-0600',mode:absolute,to:'2017-04-09T10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4" s="183" t="str">
        <f>IF(AA44&lt;IF(AG44="EC",23,5.65),"Y","N")</f>
        <v>N</v>
      </c>
      <c r="X44" s="183">
        <f>VALUE(LEFT(AD44,4))-VALUE(LEFT(AD43,4))</f>
        <v>1</v>
      </c>
      <c r="Y44" s="62">
        <f>RIGHT(D44,LEN(D44)-4)/10000</f>
        <v>23.299399999999999</v>
      </c>
      <c r="Z44" s="62">
        <f>RIGHT(H44,LEN(H44)-4)/10000</f>
        <v>1.4999999999999999E-2</v>
      </c>
      <c r="AA44" s="62">
        <f>ABS(Z44-Y44)</f>
        <v>23.284399999999998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>IF(LEN(A44)=6,"0"&amp;A44,A44)</f>
        <v>0132-09</v>
      </c>
      <c r="AE44" s="85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s3://rtdc.mdm.uploadarchive.raw/RTDC4029/ "%USERPROFILE%\AppData\Local\Temp\OnboardLogs"\RTDC4029\2017-04-09 --exclude "*" --recursive --include "*20170409*" &amp; "%USERPROFILE%\Documents\GitHub\mrs-test-scripts\Headless Mode &amp; Sideloading\WalkAndUnGZ.bat" "%USERPROFILE%\AppData\Local\Temp\OnboardLogs"\RTDC4029\2017-04-09 &amp; aws s3 cp s3://rtdc.mdm.uploadarchive.raw/RTDC4029/ "%USERPROFILE%\AppData\Local\Temp\OnboardLogs"\RTDC4029\2017-04-10 --exclude "*" --recursive --include "*20170410*" &amp; "%USERPROFILE%\Documents\GitHub\mrs-test-scripts\Headless Mode &amp; Sideloading\WalkAndUnGZ.bat" "%USERPROFILE%\AppData\Local\Temp\OnboardLogs"\RTDC4029\2017-04-10</v>
      </c>
      <c r="AF44" s="82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/stypes="app*4029*20170409*" /stext=" 15:.+((SYSTEM_STATE.+slice.+state.+changed )|(ment ac)|(multiple cpu faults)|(system.+state.+changed )|(\[timeout)|(PRM\|1\|D)|(kpr)|(kdp)|(\|lc)|(penalty))"</v>
      </c>
      <c r="AG44" s="1" t="str">
        <f>IFERROR(IF(VALUE(LEFT(AD44,2))&lt;=2,"EC",IF(OR(VALUE(LEFT(AD44,2))=8,VALUE(LEFT(AD44,2))=18),"NW","Other")),"Other")</f>
        <v>EC</v>
      </c>
      <c r="AH44" s="86" t="str">
        <f t="shared" si="4"/>
        <v>"%USERPROFILE%\Documents\GitHub\eaglep3\Utilities\RefineRTDCRunTimes.py" --tripid 132-09 --locoid 4029 --swversion DE.1.0.9.0 --startMP 204:232994 --initTime 2017-04-09T08:23:25 --startdatetime 2017-04-09T08:26:33 --delay 1 --endMP 204:150 --enddatetime 2017-04-09T09:05:13 --enforcementcount 0 &gt;&gt;C:\Users\stu\Documents\GitHub\eaglep3-reporting\EC\2017-04-09-refined-times.txt</v>
      </c>
      <c r="AI44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{"issue":{"subject":"","project_id":79,"tracker_id":40,"status_id":1,"priority_id":2,"assigned_to_id":23,"start_date":"2017-04-09","description":"","custom_fields":[{"id":1,"name":"Subdivision","value":"EC"},{"id":4,"name":"Milepost","value":"0.015"},{"id":17,"name":"Train ID","value":"132-09"},{"id":16,"name":"Locomotive ID","value":"4029"},{"id":130,"name":"Impact","value":""},{"id":150,"name":"Time of Event (Mountain Time)","value":"09:05:13"},{"id":151,"name":"Denver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8"/>
      <c r="AL44" s="48"/>
      <c r="AM44" s="150" t="str">
        <f t="shared" si="6"/>
        <v>start /low /b %USERPROFILE%\Documents\GitHub\eaglep3\Utilities\DownloadLogsFromS3.py --loco 4029 --day 2017-04-09</v>
      </c>
      <c r="AN44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15:05:13"},{"id":29,"name":"Sharepoint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679</v>
      </c>
      <c r="B45" s="7">
        <v>4004</v>
      </c>
      <c r="C45" s="21" t="s">
        <v>215</v>
      </c>
      <c r="D45" s="21" t="s">
        <v>425</v>
      </c>
      <c r="E45" s="13">
        <v>42834.31931712963</v>
      </c>
      <c r="F45" s="13">
        <v>42834.323148148149</v>
      </c>
      <c r="G45" s="7">
        <v>1</v>
      </c>
      <c r="H45" s="21" t="s">
        <v>512</v>
      </c>
      <c r="I45" s="13">
        <v>42834.348564814813</v>
      </c>
      <c r="J45" s="7">
        <v>0</v>
      </c>
      <c r="K45" s="97" t="str">
        <f>IF(ISEVEN(B45),(B45-1)&amp;"/"&amp;B45,B45&amp;"/"&amp;(B45+1))</f>
        <v>4003/4004</v>
      </c>
      <c r="L45" s="21" t="str">
        <f>VLOOKUP(A45,'Trips&amp;Operators'!$C$1:$G$99999,5,FALSE)</f>
        <v>BADERTSCHER DIANE</v>
      </c>
      <c r="M45" s="6">
        <f>I45-F45</f>
        <v>2.5416666663659271E-2</v>
      </c>
      <c r="N45" s="7">
        <f>24*60*SUM($M45:$M45)</f>
        <v>36.59999999566935</v>
      </c>
      <c r="O45" s="7"/>
      <c r="P45" s="7"/>
      <c r="Q45" s="22"/>
      <c r="R45" s="22"/>
      <c r="S45" s="31">
        <f>SUM(U45:U45)/IF(AG45="EC",12,1)</f>
        <v>1</v>
      </c>
      <c r="T45" s="46" t="str">
        <f>IF(ISEVEN(LEFT(AD45,4)),"Southbound","NorthBound")</f>
        <v>NorthBound</v>
      </c>
      <c r="U45" s="18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2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-04-09T06:39:49-0600',mode:absolute,to:'2017-04-09T09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5" s="183" t="str">
        <f>IF(AA45&lt;IF(AG45="EC",23,5.65),"Y","N")</f>
        <v>N</v>
      </c>
      <c r="X45" s="183">
        <f>VALUE(LEFT(AD45,4))-VALUE(LEFT(AD44,4))</f>
        <v>1</v>
      </c>
      <c r="Y45" s="62">
        <f>RIGHT(D45,LEN(D45)-4)/10000</f>
        <v>4.4600000000000001E-2</v>
      </c>
      <c r="Z45" s="62">
        <f>RIGHT(H45,LEN(H45)-4)/10000</f>
        <v>23.3306</v>
      </c>
      <c r="AA45" s="62">
        <f>ABS(Z45-Y45)</f>
        <v>23.286000000000001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>IF(LEN(A45)=6,"0"&amp;A45,A45)</f>
        <v>0133-09</v>
      </c>
      <c r="AE45" s="85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s3://rtdc.mdm.uploadarchive.raw/RTDC4004/ "%USERPROFILE%\AppData\Local\Temp\OnboardLogs"\RTDC4004\2017-04-09 --exclude "*" --recursive --include "*20170409*" &amp; "%USERPROFILE%\Documents\GitHub\mrs-test-scripts\Headless Mode &amp; Sideloading\WalkAndUnGZ.bat" "%USERPROFILE%\AppData\Local\Temp\OnboardLogs"\RTDC4004\2017-04-09 &amp; aws s3 cp s3://rtdc.mdm.uploadarchive.raw/RTDC4004/ "%USERPROFILE%\AppData\Local\Temp\OnboardLogs"\RTDC4004\2017-04-10 --exclude "*" --recursive --include "*20170410*" &amp; "%USERPROFILE%\Documents\GitHub\mrs-test-scripts\Headless Mode &amp; Sideloading\WalkAndUnGZ.bat" "%USERPROFILE%\AppData\Local\Temp\OnboardLogs"\RTDC4004\2017-04-10</v>
      </c>
      <c r="AF45" s="82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/stypes="app*4004*20170409*" /stext=" 14:.+((SYSTEM_STATE.+slice.+state.+changed )|(ment ac)|(multiple cpu faults)|(system.+state.+changed )|(\[timeout)|(PRM\|1\|D)|(kpr)|(kdp)|(\|lc)|(penalty))"</v>
      </c>
      <c r="AG45" s="1" t="str">
        <f>IFERROR(IF(VALUE(LEFT(AD45,2))&lt;=2,"EC",IF(OR(VALUE(LEFT(AD45,2))=8,VALUE(LEFT(AD45,2))=18),"NW","Other")),"Other")</f>
        <v>EC</v>
      </c>
      <c r="AH45" s="86" t="str">
        <f t="shared" si="4"/>
        <v>"%USERPROFILE%\Documents\GitHub\eaglep3\Utilities\RefineRTDCRunTimes.py" --tripid 133-09 --locoid 4004 --swversion DE.1.0.9.0 --startMP 204:446 --initTime 2017-04-09T07:39:49 --startdatetime 2017-04-09T07:45:20 --delay 1 --endMP 204:233306 --enddatetime 2017-04-09T08:21:56 --enforcementcount 0 &gt;&gt;C:\Users\stu\Documents\GitHub\eaglep3-reporting\EC\2017-04-09-refined-times.txt</v>
      </c>
      <c r="AI45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{"issue":{"subject":"","project_id":79,"tracker_id":40,"status_id":1,"priority_id":2,"assigned_to_id":23,"start_date":"2017-04-09","description":"","custom_fields":[{"id":1,"name":"Subdivision","value":"EC"},{"id":4,"name":"Milepost","value":"23.3306"},{"id":17,"name":"Train ID","value":"133-09"},{"id":16,"name":"Locomotive ID","value":"4004"},{"id":130,"name":"Impact","value":""},{"id":150,"name":"Time of Event (Mountain Time)","value":"08:21:56"},{"id":151,"name":"Denver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8"/>
      <c r="AL45" s="48"/>
      <c r="AM45" s="150" t="str">
        <f t="shared" si="6"/>
        <v>start /low /b %USERPROFILE%\Documents\GitHub\eaglep3\Utilities\DownloadLogsFromS3.py --loco 4004 --day 2017-04-09</v>
      </c>
      <c r="AN45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14:21:56"},{"id":29,"name":"Sharepoint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604</v>
      </c>
      <c r="B46" s="7">
        <v>4003</v>
      </c>
      <c r="C46" s="21" t="s">
        <v>215</v>
      </c>
      <c r="D46" s="21" t="s">
        <v>857</v>
      </c>
      <c r="E46" s="13">
        <v>42834.356886574074</v>
      </c>
      <c r="F46" s="13">
        <v>42834.361967592595</v>
      </c>
      <c r="G46" s="7">
        <v>1</v>
      </c>
      <c r="H46" s="21" t="s">
        <v>858</v>
      </c>
      <c r="I46" s="13">
        <v>42834.388923611114</v>
      </c>
      <c r="J46" s="7">
        <v>0</v>
      </c>
      <c r="K46" s="97" t="str">
        <f>IF(ISEVEN(B46),(B46-1)&amp;"/"&amp;B46,B46&amp;"/"&amp;(B46+1))</f>
        <v>4003/4004</v>
      </c>
      <c r="L46" s="21" t="str">
        <f>VLOOKUP(A46,'Trips&amp;Operators'!$C$1:$G$99999,5,FALSE)</f>
        <v>BADERTSCHER DIANE</v>
      </c>
      <c r="M46" s="6">
        <f>I46-F46</f>
        <v>2.6956018518831115E-2</v>
      </c>
      <c r="N46" s="7">
        <f>24*60*SUM($M46:$M46)</f>
        <v>38.816666667116806</v>
      </c>
      <c r="O46" s="7"/>
      <c r="P46" s="7"/>
      <c r="Q46" s="22"/>
      <c r="R46" s="22"/>
      <c r="S46" s="31">
        <f>SUM(U46:U46)/IF(AG46="EC",12,1)</f>
        <v>1</v>
      </c>
      <c r="T46" s="46" t="str">
        <f>IF(ISEVEN(LEFT(AD46,4)),"Southbound","NorthBound")</f>
        <v>Southbound</v>
      </c>
      <c r="U46" s="18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2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-04-09T07:33:55-0600',mode:absolute,to:'2017-04-09T10:20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6" s="183" t="str">
        <f>IF(AA46&lt;IF(AG46="EC",23,5.65),"Y","N")</f>
        <v>N</v>
      </c>
      <c r="X46" s="183">
        <f>VALUE(LEFT(AD46,4))-VALUE(LEFT(AD45,4))</f>
        <v>1</v>
      </c>
      <c r="Y46" s="62">
        <f>RIGHT(D46,LEN(D46)-4)/10000</f>
        <v>23.300599999999999</v>
      </c>
      <c r="Z46" s="62">
        <f>RIGHT(H46,LEN(H46)-4)/10000</f>
        <v>2.5600000000000001E-2</v>
      </c>
      <c r="AA46" s="62">
        <f>ABS(Z46-Y46)</f>
        <v>23.274999999999999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>IF(LEN(A46)=6,"0"&amp;A46,A46)</f>
        <v>0134-09</v>
      </c>
      <c r="AE46" s="85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s3://rtdc.mdm.uploadarchive.raw/RTDC4003/ "%USERPROFILE%\AppData\Local\Temp\OnboardLogs"\RTDC4003\2017-04-09 --exclude "*" --recursive --include "*20170409*" &amp; "%USERPROFILE%\Documents\GitHub\mrs-test-scripts\Headless Mode &amp; Sideloading\WalkAndUnGZ.bat" "%USERPROFILE%\AppData\Local\Temp\OnboardLogs"\RTDC4003\2017-04-09 &amp; aws s3 cp s3://rtdc.mdm.uploadarchive.raw/RTDC4003/ "%USERPROFILE%\AppData\Local\Temp\OnboardLogs"\RTDC4003\2017-04-10 --exclude "*" --recursive --include "*20170410*" &amp; "%USERPROFILE%\Documents\GitHub\mrs-test-scripts\Headless Mode &amp; Sideloading\WalkAndUnGZ.bat" "%USERPROFILE%\AppData\Local\Temp\OnboardLogs"\RTDC4003\2017-04-10</v>
      </c>
      <c r="AF46" s="82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/stypes="app*4003*20170409*" /stext=" 15:.+((SYSTEM_STATE.+slice.+state.+changed )|(ment ac)|(multiple cpu faults)|(system.+state.+changed )|(\[timeout)|(PRM\|1\|D)|(kpr)|(kdp)|(\|lc)|(penalty))"</v>
      </c>
      <c r="AG46" s="1" t="str">
        <f>IFERROR(IF(VALUE(LEFT(AD46,2))&lt;=2,"EC",IF(OR(VALUE(LEFT(AD46,2))=8,VALUE(LEFT(AD46,2))=18),"NW","Other")),"Other")</f>
        <v>EC</v>
      </c>
      <c r="AH46" s="86" t="str">
        <f t="shared" si="4"/>
        <v>"%USERPROFILE%\Documents\GitHub\eaglep3\Utilities\RefineRTDCRunTimes.py" --tripid 134-09 --locoid 4003 --swversion DE.1.0.9.0 --startMP 204:233006 --initTime 2017-04-09T08:33:55 --startdatetime 2017-04-09T08:41:14 --delay 1 --endMP 204:256 --enddatetime 2017-04-09T09:20:03 --enforcementcount 0 &gt;&gt;C:\Users\stu\Documents\GitHub\eaglep3-reporting\EC\2017-04-09-refined-times.txt</v>
      </c>
      <c r="AI46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{"issue":{"subject":"","project_id":79,"tracker_id":40,"status_id":1,"priority_id":2,"assigned_to_id":23,"start_date":"2017-04-09","description":"","custom_fields":[{"id":1,"name":"Subdivision","value":"EC"},{"id":4,"name":"Milepost","value":"0.0256"},{"id":17,"name":"Train ID","value":"134-09"},{"id":16,"name":"Locomotive ID","value":"4003"},{"id":130,"name":"Impact","value":""},{"id":150,"name":"Time of Event (Mountain Time)","value":"09:20:03"},{"id":151,"name":"Denver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8"/>
      <c r="AL46" s="48"/>
      <c r="AM46" s="150" t="str">
        <f t="shared" si="6"/>
        <v>start /low /b %USERPROFILE%\Documents\GitHub\eaglep3\Utilities\DownloadLogsFromS3.py --loco 4003 --day 2017-04-09</v>
      </c>
      <c r="AN46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15:20:03"},{"id":29,"name":"Sharepoint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680</v>
      </c>
      <c r="B47" s="7">
        <v>4020</v>
      </c>
      <c r="C47" s="21" t="s">
        <v>215</v>
      </c>
      <c r="D47" s="21" t="s">
        <v>209</v>
      </c>
      <c r="E47" s="13">
        <v>42834.328402777777</v>
      </c>
      <c r="F47" s="13">
        <v>42834.33353009259</v>
      </c>
      <c r="G47" s="7">
        <v>1</v>
      </c>
      <c r="H47" s="21" t="s">
        <v>585</v>
      </c>
      <c r="I47" s="13">
        <v>42834.359548611108</v>
      </c>
      <c r="J47" s="7">
        <v>0</v>
      </c>
      <c r="K47" s="97" t="str">
        <f>IF(ISEVEN(B47),(B47-1)&amp;"/"&amp;B47,B47&amp;"/"&amp;(B47+1))</f>
        <v>4019/4020</v>
      </c>
      <c r="L47" s="21" t="str">
        <f>VLOOKUP(A47,'Trips&amp;Operators'!$C$1:$G$99999,5,FALSE)</f>
        <v>DAVIS WENDY</v>
      </c>
      <c r="M47" s="6">
        <f>I47-F47</f>
        <v>2.6018518517958E-2</v>
      </c>
      <c r="N47" s="7">
        <f>24*60*SUM($M47:$M47)</f>
        <v>37.46666666585952</v>
      </c>
      <c r="O47" s="7"/>
      <c r="P47" s="7"/>
      <c r="Q47" s="22"/>
      <c r="R47" s="22"/>
      <c r="S47" s="31">
        <f>SUM(U47:U47)/IF(AG47="EC",12,1)</f>
        <v>1</v>
      </c>
      <c r="T47" s="46" t="str">
        <f>IF(ISEVEN(LEFT(AD47,4)),"Southbound","NorthBound")</f>
        <v>NorthBound</v>
      </c>
      <c r="U47" s="18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2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-04-09T06:52:54-0600',mode:absolute,to:'2017-04-09T09:37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7" s="183" t="str">
        <f>IF(AA47&lt;IF(AG47="EC",23,5.65),"Y","N")</f>
        <v>N</v>
      </c>
      <c r="X47" s="183">
        <f>VALUE(LEFT(AD47,4))-VALUE(LEFT(AD46,4))</f>
        <v>1</v>
      </c>
      <c r="Y47" s="62">
        <f>RIGHT(D47,LEN(D47)-4)/10000</f>
        <v>4.53E-2</v>
      </c>
      <c r="Z47" s="62">
        <f>RIGHT(H47,LEN(H47)-4)/10000</f>
        <v>23.331099999999999</v>
      </c>
      <c r="AA47" s="62">
        <f>ABS(Z47-Y47)</f>
        <v>23.285799999999998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>IF(LEN(A47)=6,"0"&amp;A47,A47)</f>
        <v>0135-09</v>
      </c>
      <c r="AE47" s="85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s3://rtdc.mdm.uploadarchive.raw/RTDC4020/ "%USERPROFILE%\AppData\Local\Temp\OnboardLogs"\RTDC4020\2017-04-09 --exclude "*" --recursive --include "*20170409*" &amp; "%USERPROFILE%\Documents\GitHub\mrs-test-scripts\Headless Mode &amp; Sideloading\WalkAndUnGZ.bat" "%USERPROFILE%\AppData\Local\Temp\OnboardLogs"\RTDC4020\2017-04-09 &amp; aws s3 cp s3://rtdc.mdm.uploadarchive.raw/RTDC4020/ "%USERPROFILE%\AppData\Local\Temp\OnboardLogs"\RTDC4020\2017-04-10 --exclude "*" --recursive --include "*20170410*" &amp; "%USERPROFILE%\Documents\GitHub\mrs-test-scripts\Headless Mode &amp; Sideloading\WalkAndUnGZ.bat" "%USERPROFILE%\AppData\Local\Temp\OnboardLogs"\RTDC4020\2017-04-10</v>
      </c>
      <c r="AF47" s="82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/stypes="app*4020*20170409*" /stext=" 14:.+((SYSTEM_STATE.+slice.+state.+changed )|(ment ac)|(multiple cpu faults)|(system.+state.+changed )|(\[timeout)|(PRM\|1\|D)|(kpr)|(kdp)|(\|lc)|(penalty))"</v>
      </c>
      <c r="AG47" s="1" t="str">
        <f>IFERROR(IF(VALUE(LEFT(AD47,2))&lt;=2,"EC",IF(OR(VALUE(LEFT(AD47,2))=8,VALUE(LEFT(AD47,2))=18),"NW","Other")),"Other")</f>
        <v>EC</v>
      </c>
      <c r="AH47" s="86" t="str">
        <f t="shared" si="4"/>
        <v>"%USERPROFILE%\Documents\GitHub\eaglep3\Utilities\RefineRTDCRunTimes.py" --tripid 135-09 --locoid 4020 --swversion DE.1.0.9.0 --startMP 204:453 --initTime 2017-04-09T07:52:54 --startdatetime 2017-04-09T08:00:17 --delay 1 --endMP 204:233311 --enddatetime 2017-04-09T08:37:45 --enforcementcount 0 &gt;&gt;C:\Users\stu\Documents\GitHub\eaglep3-reporting\EC\2017-04-09-refined-times.txt</v>
      </c>
      <c r="AI47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{"issue":{"subject":"","project_id":79,"tracker_id":40,"status_id":1,"priority_id":2,"assigned_to_id":23,"start_date":"2017-04-09","description":"","custom_fields":[{"id":1,"name":"Subdivision","value":"EC"},{"id":4,"name":"Milepost","value":"23.3311"},{"id":17,"name":"Train ID","value":"135-09"},{"id":16,"name":"Locomotive ID","value":"4020"},{"id":130,"name":"Impact","value":""},{"id":150,"name":"Time of Event (Mountain Time)","value":"08:37:45"},{"id":151,"name":"Denver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8"/>
      <c r="AL47" s="48"/>
      <c r="AM47" s="150" t="str">
        <f t="shared" si="6"/>
        <v>start /low /b %USERPROFILE%\Documents\GitHub\eaglep3\Utilities\DownloadLogsFromS3.py --loco 4020 --day 2017-04-09</v>
      </c>
      <c r="AN47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14:37:45"},{"id":29,"name":"Sharepoint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689</v>
      </c>
      <c r="B48" s="7">
        <v>4019</v>
      </c>
      <c r="C48" s="21" t="s">
        <v>215</v>
      </c>
      <c r="D48" s="21" t="s">
        <v>401</v>
      </c>
      <c r="E48" s="13">
        <v>42834.36928240741</v>
      </c>
      <c r="F48" s="13">
        <v>42834.372372685182</v>
      </c>
      <c r="G48" s="7">
        <v>1</v>
      </c>
      <c r="H48" s="21" t="s">
        <v>212</v>
      </c>
      <c r="I48" s="13">
        <v>42834.399907407409</v>
      </c>
      <c r="J48" s="7">
        <v>0</v>
      </c>
      <c r="K48" s="97" t="str">
        <f>IF(ISEVEN(B48),(B48-1)&amp;"/"&amp;B48,B48&amp;"/"&amp;(B48+1))</f>
        <v>4019/4020</v>
      </c>
      <c r="L48" s="21" t="str">
        <f>VLOOKUP(A48,'Trips&amp;Operators'!$C$1:$G$99999,5,FALSE)</f>
        <v>DAVIS WENDY</v>
      </c>
      <c r="M48" s="6">
        <f>I48-F48</f>
        <v>2.7534722226846498E-2</v>
      </c>
      <c r="N48" s="7">
        <f>24*60*SUM($M48:$M48)</f>
        <v>39.650000006658956</v>
      </c>
      <c r="O48" s="7"/>
      <c r="P48" s="7"/>
      <c r="Q48" s="22"/>
      <c r="R48" s="22"/>
      <c r="S48" s="31">
        <f>SUM(U48:U48)/IF(AG48="EC",12,1)</f>
        <v>1</v>
      </c>
      <c r="T48" s="46" t="str">
        <f>IF(ISEVEN(LEFT(AD48,4)),"Southbound","NorthBound")</f>
        <v>Southbound</v>
      </c>
      <c r="U48" s="18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2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-04-09T07:51:46-0600',mode:absolute,to:'2017-04-09T10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8" s="183" t="str">
        <f>IF(AA48&lt;IF(AG48="EC",23,5.65),"Y","N")</f>
        <v>N</v>
      </c>
      <c r="X48" s="183">
        <f>VALUE(LEFT(AD48,4))-VALUE(LEFT(AD47,4))</f>
        <v>1</v>
      </c>
      <c r="Y48" s="62">
        <f>RIGHT(D48,LEN(D48)-4)/10000</f>
        <v>23.297699999999999</v>
      </c>
      <c r="Z48" s="62">
        <f>RIGHT(H48,LEN(H48)-4)/10000</f>
        <v>1.47E-2</v>
      </c>
      <c r="AA48" s="62">
        <f>ABS(Z48-Y48)</f>
        <v>23.282999999999998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>IF(LEN(A48)=6,"0"&amp;A48,A48)</f>
        <v>0136-09</v>
      </c>
      <c r="AE48" s="85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s3://rtdc.mdm.uploadarchive.raw/RTDC4019/ "%USERPROFILE%\AppData\Local\Temp\OnboardLogs"\RTDC4019\2017-04-09 --exclude "*" --recursive --include "*20170409*" &amp; "%USERPROFILE%\Documents\GitHub\mrs-test-scripts\Headless Mode &amp; Sideloading\WalkAndUnGZ.bat" "%USERPROFILE%\AppData\Local\Temp\OnboardLogs"\RTDC4019\2017-04-09 &amp; aws s3 cp s3://rtdc.mdm.uploadarchive.raw/RTDC4019/ "%USERPROFILE%\AppData\Local\Temp\OnboardLogs"\RTDC4019\2017-04-10 --exclude "*" --recursive --include "*20170410*" &amp; "%USERPROFILE%\Documents\GitHub\mrs-test-scripts\Headless Mode &amp; Sideloading\WalkAndUnGZ.bat" "%USERPROFILE%\AppData\Local\Temp\OnboardLogs"\RTDC4019\2017-04-10</v>
      </c>
      <c r="AF48" s="82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/stypes="app*4019*20170409*" /stext=" 15:.+((SYSTEM_STATE.+slice.+state.+changed )|(ment ac)|(multiple cpu faults)|(system.+state.+changed )|(\[timeout)|(PRM\|1\|D)|(kpr)|(kdp)|(\|lc)|(penalty))"</v>
      </c>
      <c r="AG48" s="1" t="str">
        <f>IFERROR(IF(VALUE(LEFT(AD48,2))&lt;=2,"EC",IF(OR(VALUE(LEFT(AD48,2))=8,VALUE(LEFT(AD48,2))=18),"NW","Other")),"Other")</f>
        <v>EC</v>
      </c>
      <c r="AH48" s="86" t="str">
        <f t="shared" si="4"/>
        <v>"%USERPROFILE%\Documents\GitHub\eaglep3\Utilities\RefineRTDCRunTimes.py" --tripid 136-09 --locoid 4019 --swversion DE.1.0.9.0 --startMP 204:232977 --initTime 2017-04-09T08:51:46 --startdatetime 2017-04-09T08:56:13 --delay 1 --endMP 204:147 --enddatetime 2017-04-09T09:35:52 --enforcementcount 0 &gt;&gt;C:\Users\stu\Documents\GitHub\eaglep3-reporting\EC\2017-04-09-refined-times.txt</v>
      </c>
      <c r="AI48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{"issue":{"subject":"","project_id":79,"tracker_id":40,"status_id":1,"priority_id":2,"assigned_to_id":23,"start_date":"2017-04-09","description":"","custom_fields":[{"id":1,"name":"Subdivision","value":"EC"},{"id":4,"name":"Milepost","value":"0.0147"},{"id":17,"name":"Train ID","value":"136-09"},{"id":16,"name":"Locomotive ID","value":"4019"},{"id":130,"name":"Impact","value":""},{"id":150,"name":"Time of Event (Mountain Time)","value":"09:35:52"},{"id":151,"name":"Denver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8"/>
      <c r="AL48" s="48"/>
      <c r="AM48" s="150" t="str">
        <f t="shared" si="6"/>
        <v>start /low /b %USERPROFILE%\Documents\GitHub\eaglep3\Utilities\DownloadLogsFromS3.py --loco 4019 --day 2017-04-09</v>
      </c>
      <c r="AN48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15:35:52"},{"id":29,"name":"Sharepoint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683</v>
      </c>
      <c r="B49" s="7">
        <v>4044</v>
      </c>
      <c r="C49" s="21" t="s">
        <v>215</v>
      </c>
      <c r="D49" s="21" t="s">
        <v>859</v>
      </c>
      <c r="E49" s="13">
        <v>42834.338425925926</v>
      </c>
      <c r="F49" s="13">
        <v>42834.343912037039</v>
      </c>
      <c r="G49" s="7">
        <v>1</v>
      </c>
      <c r="H49" s="21" t="s">
        <v>523</v>
      </c>
      <c r="I49" s="13">
        <v>42834.368969907409</v>
      </c>
      <c r="J49" s="7">
        <v>0</v>
      </c>
      <c r="K49" s="97" t="str">
        <f>IF(ISEVEN(B49),(B49-1)&amp;"/"&amp;B49,B49&amp;"/"&amp;(B49+1))</f>
        <v>4043/4044</v>
      </c>
      <c r="L49" s="21" t="str">
        <f>VLOOKUP(A49,'Trips&amp;Operators'!$C$1:$G$99999,5,FALSE)</f>
        <v>ROBINSON KADDIBA</v>
      </c>
      <c r="M49" s="6">
        <f>I49-F49</f>
        <v>2.5057870370801538E-2</v>
      </c>
      <c r="N49" s="7">
        <f>24*60*SUM($M49:$M49)</f>
        <v>36.083333333954215</v>
      </c>
      <c r="O49" s="7"/>
      <c r="P49" s="7"/>
      <c r="Q49" s="22"/>
      <c r="R49" s="22"/>
      <c r="S49" s="31">
        <f>SUM(U49:U49)/IF(AG49="EC",12,1)</f>
        <v>1</v>
      </c>
      <c r="T49" s="46" t="str">
        <f>IF(ISEVEN(LEFT(AD49,4)),"Southbound","NorthBound")</f>
        <v>NorthBound</v>
      </c>
      <c r="U49" s="18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2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-04-09T07:07:20-0600',mode:absolute,to:'2017-04-09T09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9" s="183" t="str">
        <f>IF(AA49&lt;IF(AG49="EC",23,5.65),"Y","N")</f>
        <v>N</v>
      </c>
      <c r="X49" s="183">
        <f>VALUE(LEFT(AD49,4))-VALUE(LEFT(AD48,4))</f>
        <v>1</v>
      </c>
      <c r="Y49" s="62">
        <f>RIGHT(D49,LEN(D49)-4)/10000</f>
        <v>4.2900000000000001E-2</v>
      </c>
      <c r="Z49" s="62">
        <f>RIGHT(H49,LEN(H49)-4)/10000</f>
        <v>23.327000000000002</v>
      </c>
      <c r="AA49" s="62">
        <f>ABS(Z49-Y49)</f>
        <v>23.284100000000002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>IF(LEN(A49)=6,"0"&amp;A49,A49)</f>
        <v>0137-09</v>
      </c>
      <c r="AE49" s="85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s3://rtdc.mdm.uploadarchive.raw/RTDC4044/ "%USERPROFILE%\AppData\Local\Temp\OnboardLogs"\RTDC4044\2017-04-09 --exclude "*" --recursive --include "*20170409*" &amp; "%USERPROFILE%\Documents\GitHub\mrs-test-scripts\Headless Mode &amp; Sideloading\WalkAndUnGZ.bat" "%USERPROFILE%\AppData\Local\Temp\OnboardLogs"\RTDC4044\2017-04-09 &amp; aws s3 cp s3://rtdc.mdm.uploadarchive.raw/RTDC4044/ "%USERPROFILE%\AppData\Local\Temp\OnboardLogs"\RTDC4044\2017-04-10 --exclude "*" --recursive --include "*20170410*" &amp; "%USERPROFILE%\Documents\GitHub\mrs-test-scripts\Headless Mode &amp; Sideloading\WalkAndUnGZ.bat" "%USERPROFILE%\AppData\Local\Temp\OnboardLogs"\RTDC4044\2017-04-10</v>
      </c>
      <c r="AF49" s="82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/stypes="app*4044*20170409*" /stext=" 14:.+((SYSTEM_STATE.+slice.+state.+changed )|(ment ac)|(multiple cpu faults)|(system.+state.+changed )|(\[timeout)|(PRM\|1\|D)|(kpr)|(kdp)|(\|lc)|(penalty))"</v>
      </c>
      <c r="AG49" s="1" t="str">
        <f>IFERROR(IF(VALUE(LEFT(AD49,2))&lt;=2,"EC",IF(OR(VALUE(LEFT(AD49,2))=8,VALUE(LEFT(AD49,2))=18),"NW","Other")),"Other")</f>
        <v>EC</v>
      </c>
      <c r="AH49" s="86" t="str">
        <f t="shared" si="4"/>
        <v>"%USERPROFILE%\Documents\GitHub\eaglep3\Utilities\RefineRTDCRunTimes.py" --tripid 137-09 --locoid 4044 --swversion DE.1.0.9.0 --startMP 204:429 --initTime 2017-04-09T08:07:20 --startdatetime 2017-04-09T08:15:14 --delay 1 --endMP 204:233270 --enddatetime 2017-04-09T08:51:19 --enforcementcount 0 &gt;&gt;C:\Users\stu\Documents\GitHub\eaglep3-reporting\EC\2017-04-09-refined-times.txt</v>
      </c>
      <c r="AI49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{"issue":{"subject":"","project_id":79,"tracker_id":40,"status_id":1,"priority_id":2,"assigned_to_id":23,"start_date":"2017-04-09","description":"","custom_fields":[{"id":1,"name":"Subdivision","value":"EC"},{"id":4,"name":"Milepost","value":"23.327"},{"id":17,"name":"Train ID","value":"137-09"},{"id":16,"name":"Locomotive ID","value":"4044"},{"id":130,"name":"Impact","value":""},{"id":150,"name":"Time of Event (Mountain Time)","value":"08:51:19"},{"id":151,"name":"Denver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8"/>
      <c r="AL49" s="48"/>
      <c r="AM49" s="150" t="str">
        <f t="shared" si="6"/>
        <v>start /low /b %USERPROFILE%\Documents\GitHub\eaglep3\Utilities\DownloadLogsFromS3.py --loco 4044 --day 2017-04-09</v>
      </c>
      <c r="AN49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14:51:19"},{"id":29,"name":"Sharepoint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692</v>
      </c>
      <c r="B50" s="7">
        <v>4043</v>
      </c>
      <c r="C50" s="21" t="s">
        <v>215</v>
      </c>
      <c r="D50" s="21" t="s">
        <v>860</v>
      </c>
      <c r="E50" s="13">
        <v>42834.377199074072</v>
      </c>
      <c r="F50" s="13">
        <v>42834.382800925923</v>
      </c>
      <c r="G50" s="7">
        <v>1</v>
      </c>
      <c r="H50" s="21" t="s">
        <v>843</v>
      </c>
      <c r="I50" s="13">
        <v>42834.409467592595</v>
      </c>
      <c r="J50" s="7">
        <v>0</v>
      </c>
      <c r="K50" s="97" t="str">
        <f>IF(ISEVEN(B50),(B50-1)&amp;"/"&amp;B50,B50&amp;"/"&amp;(B50+1))</f>
        <v>4043/4044</v>
      </c>
      <c r="L50" s="21" t="str">
        <f>VLOOKUP(A50,'Trips&amp;Operators'!$C$1:$G$99999,5,FALSE)</f>
        <v>ROBINSON KADDIBA</v>
      </c>
      <c r="M50" s="6">
        <f>I50-F50</f>
        <v>2.6666666672099382E-2</v>
      </c>
      <c r="N50" s="7">
        <f>24*60*SUM($M50:$M50)</f>
        <v>38.40000000782311</v>
      </c>
      <c r="O50" s="7"/>
      <c r="P50" s="7"/>
      <c r="Q50" s="22"/>
      <c r="R50" s="22"/>
      <c r="S50" s="31">
        <f>SUM(U50:U50)/IF(AG50="EC",12,1)</f>
        <v>1</v>
      </c>
      <c r="T50" s="46" t="str">
        <f>IF(ISEVEN(LEFT(AD50,4)),"Southbound","NorthBound")</f>
        <v>Southbound</v>
      </c>
      <c r="U50" s="18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2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-04-09T08:03:10-0600',mode:absolute,to:'2017-04-09T10:49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0" s="183" t="str">
        <f>IF(AA50&lt;IF(AG50="EC",23,5.65),"Y","N")</f>
        <v>N</v>
      </c>
      <c r="X50" s="183">
        <f>VALUE(LEFT(AD50,4))-VALUE(LEFT(AD49,4))</f>
        <v>1</v>
      </c>
      <c r="Y50" s="62">
        <f>RIGHT(D50,LEN(D50)-4)/10000</f>
        <v>23.296399999999998</v>
      </c>
      <c r="Z50" s="62">
        <f>RIGHT(H50,LEN(H50)-4)/10000</f>
        <v>1.4999999999999999E-2</v>
      </c>
      <c r="AA50" s="62">
        <f>ABS(Z50-Y50)</f>
        <v>23.281399999999998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>IF(LEN(A50)=6,"0"&amp;A50,A50)</f>
        <v>0138-09</v>
      </c>
      <c r="AE50" s="85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s3://rtdc.mdm.uploadarchive.raw/RTDC4043/ "%USERPROFILE%\AppData\Local\Temp\OnboardLogs"\RTDC4043\2017-04-09 --exclude "*" --recursive --include "*20170409*" &amp; "%USERPROFILE%\Documents\GitHub\mrs-test-scripts\Headless Mode &amp; Sideloading\WalkAndUnGZ.bat" "%USERPROFILE%\AppData\Local\Temp\OnboardLogs"\RTDC4043\2017-04-09 &amp; aws s3 cp s3://rtdc.mdm.uploadarchive.raw/RTDC4043/ "%USERPROFILE%\AppData\Local\Temp\OnboardLogs"\RTDC4043\2017-04-10 --exclude "*" --recursive --include "*20170410*" &amp; "%USERPROFILE%\Documents\GitHub\mrs-test-scripts\Headless Mode &amp; Sideloading\WalkAndUnGZ.bat" "%USERPROFILE%\AppData\Local\Temp\OnboardLogs"\RTDC4043\2017-04-10</v>
      </c>
      <c r="AF50" s="82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/stypes="app*4043*20170409*" /stext=" 15:.+((SYSTEM_STATE.+slice.+state.+changed )|(ment ac)|(multiple cpu faults)|(system.+state.+changed )|(\[timeout)|(PRM\|1\|D)|(kpr)|(kdp)|(\|lc)|(penalty))"</v>
      </c>
      <c r="AG50" s="1" t="str">
        <f>IFERROR(IF(VALUE(LEFT(AD50,2))&lt;=2,"EC",IF(OR(VALUE(LEFT(AD50,2))=8,VALUE(LEFT(AD50,2))=18),"NW","Other")),"Other")</f>
        <v>EC</v>
      </c>
      <c r="AH50" s="86" t="str">
        <f t="shared" si="4"/>
        <v>"%USERPROFILE%\Documents\GitHub\eaglep3\Utilities\RefineRTDCRunTimes.py" --tripid 138-09 --locoid 4043 --swversion DE.1.0.9.0 --startMP 204:232964 --initTime 2017-04-09T09:03:10 --startdatetime 2017-04-09T09:11:14 --delay 1 --endMP 204:150 --enddatetime 2017-04-09T09:49:38 --enforcementcount 0 &gt;&gt;C:\Users\stu\Documents\GitHub\eaglep3-reporting\EC\2017-04-09-refined-times.txt</v>
      </c>
      <c r="AI50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{"issue":{"subject":"","project_id":79,"tracker_id":40,"status_id":1,"priority_id":2,"assigned_to_id":23,"start_date":"2017-04-09","description":"","custom_fields":[{"id":1,"name":"Subdivision","value":"EC"},{"id":4,"name":"Milepost","value":"0.015"},{"id":17,"name":"Train ID","value":"138-09"},{"id":16,"name":"Locomotive ID","value":"4043"},{"id":130,"name":"Impact","value":""},{"id":150,"name":"Time of Event (Mountain Time)","value":"09:49:38"},{"id":151,"name":"Denver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8"/>
      <c r="AL50" s="48"/>
      <c r="AM50" s="150" t="str">
        <f t="shared" si="6"/>
        <v>start /low /b %USERPROFILE%\Documents\GitHub\eaglep3\Utilities\DownloadLogsFromS3.py --loco 4043 --day 2017-04-09</v>
      </c>
      <c r="AN50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15:49:38"},{"id":29,"name":"Sharepoint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684</v>
      </c>
      <c r="B51" s="7">
        <v>4024</v>
      </c>
      <c r="C51" s="21" t="s">
        <v>215</v>
      </c>
      <c r="D51" s="21" t="s">
        <v>428</v>
      </c>
      <c r="E51" s="13">
        <v>42834.348194444443</v>
      </c>
      <c r="F51" s="13">
        <v>42834.354328703703</v>
      </c>
      <c r="G51" s="7">
        <v>1</v>
      </c>
      <c r="H51" s="21" t="s">
        <v>861</v>
      </c>
      <c r="I51" s="13">
        <v>42834.378738425927</v>
      </c>
      <c r="J51" s="7">
        <v>0</v>
      </c>
      <c r="K51" s="97" t="str">
        <f>IF(ISEVEN(B51),(B51-1)&amp;"/"&amp;B51,B51&amp;"/"&amp;(B51+1))</f>
        <v>4023/4024</v>
      </c>
      <c r="L51" s="21" t="str">
        <f>VLOOKUP(A51,'Trips&amp;Operators'!$C$1:$G$99999,5,FALSE)</f>
        <v>GEBRETEKLE DAGNEW</v>
      </c>
      <c r="M51" s="6">
        <f>I51-F51</f>
        <v>2.4409722223936114E-2</v>
      </c>
      <c r="N51" s="7">
        <f>24*60*SUM($M51:$M51)</f>
        <v>35.150000002468005</v>
      </c>
      <c r="O51" s="7"/>
      <c r="P51" s="7"/>
      <c r="Q51" s="22"/>
      <c r="R51" s="22"/>
      <c r="S51" s="31">
        <f>SUM(U51:U51)/IF(AG51="EC",12,1)</f>
        <v>1</v>
      </c>
      <c r="T51" s="46" t="str">
        <f>IF(ISEVEN(LEFT(AD51,4)),"Southbound","NorthBound")</f>
        <v>NorthBound</v>
      </c>
      <c r="U51" s="18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2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-04-09T07:21:24-0600',mode:absolute,to:'2017-04-09T10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1" s="183" t="str">
        <f>IF(AA51&lt;IF(AG51="EC",23,5.65),"Y","N")</f>
        <v>N</v>
      </c>
      <c r="X51" s="183">
        <f>VALUE(LEFT(AD51,4))-VALUE(LEFT(AD50,4))</f>
        <v>1</v>
      </c>
      <c r="Y51" s="62">
        <f>RIGHT(D51,LEN(D51)-4)/10000</f>
        <v>4.7100000000000003E-2</v>
      </c>
      <c r="Z51" s="62">
        <f>RIGHT(H51,LEN(H51)-4)/10000</f>
        <v>23.3355</v>
      </c>
      <c r="AA51" s="62">
        <f>ABS(Z51-Y51)</f>
        <v>23.288399999999999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>IF(LEN(A51)=6,"0"&amp;A51,A51)</f>
        <v>0139-09</v>
      </c>
      <c r="AE51" s="85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s3://rtdc.mdm.uploadarchive.raw/RTDC4024/ "%USERPROFILE%\AppData\Local\Temp\OnboardLogs"\RTDC4024\2017-04-09 --exclude "*" --recursive --include "*20170409*" &amp; "%USERPROFILE%\Documents\GitHub\mrs-test-scripts\Headless Mode &amp; Sideloading\WalkAndUnGZ.bat" "%USERPROFILE%\AppData\Local\Temp\OnboardLogs"\RTDC4024\2017-04-09 &amp; aws s3 cp s3://rtdc.mdm.uploadarchive.raw/RTDC4024/ "%USERPROFILE%\AppData\Local\Temp\OnboardLogs"\RTDC4024\2017-04-10 --exclude "*" --recursive --include "*20170410*" &amp; "%USERPROFILE%\Documents\GitHub\mrs-test-scripts\Headless Mode &amp; Sideloading\WalkAndUnGZ.bat" "%USERPROFILE%\AppData\Local\Temp\OnboardLogs"\RTDC4024\2017-04-10</v>
      </c>
      <c r="AF51" s="82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/stypes="app*4024*20170409*" /stext=" 15:.+((SYSTEM_STATE.+slice.+state.+changed )|(ment ac)|(multiple cpu faults)|(system.+state.+changed )|(\[timeout)|(PRM\|1\|D)|(kpr)|(kdp)|(\|lc)|(penalty))"</v>
      </c>
      <c r="AG51" s="1" t="str">
        <f>IFERROR(IF(VALUE(LEFT(AD51,2))&lt;=2,"EC",IF(OR(VALUE(LEFT(AD51,2))=8,VALUE(LEFT(AD51,2))=18),"NW","Other")),"Other")</f>
        <v>EC</v>
      </c>
      <c r="AH51" s="86" t="str">
        <f t="shared" si="4"/>
        <v>"%USERPROFILE%\Documents\GitHub\eaglep3\Utilities\RefineRTDCRunTimes.py" --tripid 139-09 --locoid 4024 --swversion DE.1.0.9.0 --startMP 204:471 --initTime 2017-04-09T08:21:24 --startdatetime 2017-04-09T08:30:14 --delay 1 --endMP 204:233355 --enddatetime 2017-04-09T09:05:23 --enforcementcount 0 &gt;&gt;C:\Users\stu\Documents\GitHub\eaglep3-reporting\EC\2017-04-09-refined-times.txt</v>
      </c>
      <c r="AI51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{"issue":{"subject":"","project_id":79,"tracker_id":40,"status_id":1,"priority_id":2,"assigned_to_id":23,"start_date":"2017-04-09","description":"","custom_fields":[{"id":1,"name":"Subdivision","value":"EC"},{"id":4,"name":"Milepost","value":"23.3355"},{"id":17,"name":"Train ID","value":"139-09"},{"id":16,"name":"Locomotive ID","value":"4024"},{"id":130,"name":"Impact","value":""},{"id":150,"name":"Time of Event (Mountain Time)","value":"09:05:23"},{"id":151,"name":"Denver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8"/>
      <c r="AL51" s="48"/>
      <c r="AM51" s="150" t="str">
        <f t="shared" si="6"/>
        <v>start /low /b %USERPROFILE%\Documents\GitHub\eaglep3\Utilities\DownloadLogsFromS3.py --loco 4024 --day 2017-04-09</v>
      </c>
      <c r="AN51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15:05:23"},{"id":29,"name":"Sharepoint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694</v>
      </c>
      <c r="B52" s="7">
        <v>4023</v>
      </c>
      <c r="C52" s="21" t="s">
        <v>215</v>
      </c>
      <c r="D52" s="21" t="s">
        <v>862</v>
      </c>
      <c r="E52" s="13">
        <v>42834.387175925927</v>
      </c>
      <c r="F52" s="13">
        <v>42834.393240740741</v>
      </c>
      <c r="G52" s="7">
        <v>1</v>
      </c>
      <c r="H52" s="21" t="s">
        <v>410</v>
      </c>
      <c r="I52" s="13">
        <v>42834.421423611115</v>
      </c>
      <c r="J52" s="7">
        <v>0</v>
      </c>
      <c r="K52" s="97" t="str">
        <f>IF(ISEVEN(B52),(B52-1)&amp;"/"&amp;B52,B52&amp;"/"&amp;(B52+1))</f>
        <v>4023/4024</v>
      </c>
      <c r="L52" s="21" t="str">
        <f>VLOOKUP(A52,'Trips&amp;Operators'!$C$1:$G$99999,5,FALSE)</f>
        <v>GEBRETEKLE DAGNEW</v>
      </c>
      <c r="M52" s="6">
        <f>I52-F52</f>
        <v>2.8182870373711921E-2</v>
      </c>
      <c r="N52" s="7">
        <f>24*60*SUM($M52:$M52)</f>
        <v>40.583333338145167</v>
      </c>
      <c r="O52" s="7"/>
      <c r="P52" s="7"/>
      <c r="Q52" s="22"/>
      <c r="R52" s="22"/>
      <c r="S52" s="31">
        <f>SUM(U52:U52)/IF(AG52="EC",12,1)</f>
        <v>1</v>
      </c>
      <c r="T52" s="46" t="str">
        <f>IF(ISEVEN(LEFT(AD52,4)),"Southbound","NorthBound")</f>
        <v>Southbound</v>
      </c>
      <c r="U52" s="18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2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-04-09T08:17:32-0600',mode:absolute,to:'2017-04-09T11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2" s="183" t="str">
        <f>IF(AA52&lt;IF(AG52="EC",23,5.65),"Y","N")</f>
        <v>N</v>
      </c>
      <c r="X52" s="183">
        <f>VALUE(LEFT(AD52,4))-VALUE(LEFT(AD51,4))</f>
        <v>1</v>
      </c>
      <c r="Y52" s="62">
        <f>RIGHT(D52,LEN(D52)-4)/10000</f>
        <v>23.302800000000001</v>
      </c>
      <c r="Z52" s="62">
        <f>RIGHT(H52,LEN(H52)-4)/10000</f>
        <v>1.34E-2</v>
      </c>
      <c r="AA52" s="62">
        <f>ABS(Z52-Y52)</f>
        <v>23.289400000000001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>IF(LEN(A52)=6,"0"&amp;A52,A52)</f>
        <v>0140-09</v>
      </c>
      <c r="AE52" s="85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s3://rtdc.mdm.uploadarchive.raw/RTDC4023/ "%USERPROFILE%\AppData\Local\Temp\OnboardLogs"\RTDC4023\2017-04-09 --exclude "*" --recursive --include "*20170409*" &amp; "%USERPROFILE%\Documents\GitHub\mrs-test-scripts\Headless Mode &amp; Sideloading\WalkAndUnGZ.bat" "%USERPROFILE%\AppData\Local\Temp\OnboardLogs"\RTDC4023\2017-04-09 &amp; aws s3 cp s3://rtdc.mdm.uploadarchive.raw/RTDC4023/ "%USERPROFILE%\AppData\Local\Temp\OnboardLogs"\RTDC4023\2017-04-10 --exclude "*" --recursive --include "*20170410*" &amp; "%USERPROFILE%\Documents\GitHub\mrs-test-scripts\Headless Mode &amp; Sideloading\WalkAndUnGZ.bat" "%USERPROFILE%\AppData\Local\Temp\OnboardLogs"\RTDC4023\2017-04-10</v>
      </c>
      <c r="AF52" s="82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/stypes="app*4023*20170409*" /stext=" 16:.+((SYSTEM_STATE.+slice.+state.+changed )|(ment ac)|(multiple cpu faults)|(system.+state.+changed )|(\[timeout)|(PRM\|1\|D)|(kpr)|(kdp)|(\|lc)|(penalty))"</v>
      </c>
      <c r="AG52" s="1" t="str">
        <f>IFERROR(IF(VALUE(LEFT(AD52,2))&lt;=2,"EC",IF(OR(VALUE(LEFT(AD52,2))=8,VALUE(LEFT(AD52,2))=18),"NW","Other")),"Other")</f>
        <v>EC</v>
      </c>
      <c r="AH52" s="86" t="str">
        <f t="shared" si="4"/>
        <v>"%USERPROFILE%\Documents\GitHub\eaglep3\Utilities\RefineRTDCRunTimes.py" --tripid 140-09 --locoid 4023 --swversion DE.1.0.9.0 --startMP 204:233028 --initTime 2017-04-09T09:17:32 --startdatetime 2017-04-09T09:26:16 --delay 1 --endMP 204:134 --enddatetime 2017-04-09T10:06:51 --enforcementcount 0 &gt;&gt;C:\Users\stu\Documents\GitHub\eaglep3-reporting\EC\2017-04-09-refined-times.txt</v>
      </c>
      <c r="AI52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{"issue":{"subject":"","project_id":79,"tracker_id":40,"status_id":1,"priority_id":2,"assigned_to_id":23,"start_date":"2017-04-09","description":"","custom_fields":[{"id":1,"name":"Subdivision","value":"EC"},{"id":4,"name":"Milepost","value":"0.0134"},{"id":17,"name":"Train ID","value":"140-09"},{"id":16,"name":"Locomotive ID","value":"4023"},{"id":130,"name":"Impact","value":""},{"id":150,"name":"Time of Event (Mountain Time)","value":"10:06:51"},{"id":151,"name":"Denver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8"/>
      <c r="AL52" s="48"/>
      <c r="AM52" s="150" t="str">
        <f t="shared" si="6"/>
        <v>start /low /b %USERPROFILE%\Documents\GitHub\eaglep3\Utilities\DownloadLogsFromS3.py --loco 4023 --day 2017-04-09</v>
      </c>
      <c r="AN52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16:06:51"},{"id":29,"name":"Sharepoint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603</v>
      </c>
      <c r="B53" s="7">
        <v>4032</v>
      </c>
      <c r="C53" s="21" t="s">
        <v>215</v>
      </c>
      <c r="D53" s="21" t="s">
        <v>425</v>
      </c>
      <c r="E53" s="13">
        <v>42834.360543981478</v>
      </c>
      <c r="F53" s="13">
        <v>42834.364803240744</v>
      </c>
      <c r="G53" s="7">
        <v>2</v>
      </c>
      <c r="H53" s="21" t="s">
        <v>524</v>
      </c>
      <c r="I53" s="13">
        <v>42834.390138888892</v>
      </c>
      <c r="J53" s="7">
        <v>0</v>
      </c>
      <c r="K53" s="97" t="str">
        <f>IF(ISEVEN(B53),(B53-1)&amp;"/"&amp;B53,B53&amp;"/"&amp;(B53+1))</f>
        <v>4031/4032</v>
      </c>
      <c r="L53" s="21" t="str">
        <f>VLOOKUP(A53,'Trips&amp;Operators'!$C$1:$G$99999,5,FALSE)</f>
        <v>PERKINS DARREN</v>
      </c>
      <c r="M53" s="6">
        <f>I53-F53</f>
        <v>2.5335648148029577E-2</v>
      </c>
      <c r="N53" s="7">
        <f>24*60*SUM($M53:$M53)</f>
        <v>36.483333333162591</v>
      </c>
      <c r="O53" s="7"/>
      <c r="P53" s="7"/>
      <c r="Q53" s="22"/>
      <c r="R53" s="22"/>
      <c r="S53" s="31">
        <f>SUM(U53:U53)/IF(AG53="EC",12,1)</f>
        <v>1</v>
      </c>
      <c r="T53" s="46" t="str">
        <f>IF(ISEVEN(LEFT(AD53,4)),"Southbound","NorthBound")</f>
        <v>NorthBound</v>
      </c>
      <c r="U53" s="18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2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-04-09T07:39:11-0600',mode:absolute,to:'2017-04-09T10:21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3" s="183" t="str">
        <f>IF(AA53&lt;IF(AG53="EC",23,5.65),"Y","N")</f>
        <v>N</v>
      </c>
      <c r="X53" s="183">
        <f>VALUE(LEFT(AD53,4))-VALUE(LEFT(AD52,4))</f>
        <v>1</v>
      </c>
      <c r="Y53" s="62">
        <f>RIGHT(D53,LEN(D53)-4)/10000</f>
        <v>4.4600000000000001E-2</v>
      </c>
      <c r="Z53" s="62">
        <f>RIGHT(H53,LEN(H53)-4)/10000</f>
        <v>23.3278</v>
      </c>
      <c r="AA53" s="62">
        <f>ABS(Z53-Y53)</f>
        <v>23.283200000000001</v>
      </c>
      <c r="AB53" s="59" t="str">
        <f>VLOOKUP(A53,Enforcements!$C$7:$K$13,8,0)</f>
        <v>Bulletin (2)</v>
      </c>
      <c r="AC53" s="55" t="str">
        <f>VLOOKUP(A53,Enforcements!$C$7:$E$13,3,0)</f>
        <v>GRADE CROSSING</v>
      </c>
      <c r="AD53" s="56" t="str">
        <f>IF(LEN(A53)=6,"0"&amp;A53,A53)</f>
        <v>0141-09</v>
      </c>
      <c r="AE53" s="85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s3://rtdc.mdm.uploadarchive.raw/RTDC4032/ "%USERPROFILE%\AppData\Local\Temp\OnboardLogs"\RTDC4032\2017-04-09 --exclude "*" --recursive --include "*20170409*" &amp; "%USERPROFILE%\Documents\GitHub\mrs-test-scripts\Headless Mode &amp; Sideloading\WalkAndUnGZ.bat" "%USERPROFILE%\AppData\Local\Temp\OnboardLogs"\RTDC4032\2017-04-09 &amp; aws s3 cp s3://rtdc.mdm.uploadarchive.raw/RTDC4032/ "%USERPROFILE%\AppData\Local\Temp\OnboardLogs"\RTDC4032\2017-04-10 --exclude "*" --recursive --include "*20170410*" &amp; "%USERPROFILE%\Documents\GitHub\mrs-test-scripts\Headless Mode &amp; Sideloading\WalkAndUnGZ.bat" "%USERPROFILE%\AppData\Local\Temp\OnboardLogs"\RTDC4032\2017-04-10</v>
      </c>
      <c r="AF53" s="82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/stypes="app*4032*20170409*" /stext=" 15:.+((SYSTEM_STATE.+slice.+state.+changed )|(ment ac)|(multiple cpu faults)|(system.+state.+changed )|(\[timeout)|(PRM\|1\|D)|(kpr)|(kdp)|(\|lc)|(penalty))"</v>
      </c>
      <c r="AG53" s="1" t="str">
        <f>IFERROR(IF(VALUE(LEFT(AD53,2))&lt;=2,"EC",IF(OR(VALUE(LEFT(AD53,2))=8,VALUE(LEFT(AD53,2))=18),"NW","Other")),"Other")</f>
        <v>EC</v>
      </c>
      <c r="AH53" s="86" t="str">
        <f t="shared" si="4"/>
        <v>"%USERPROFILE%\Documents\GitHub\eaglep3\Utilities\RefineRTDCRunTimes.py" --tripid 141-09 --locoid 4032 --swversion DE.1.0.9.0 --startMP 204:446 --initTime 2017-04-09T08:39:11 --startdatetime 2017-04-09T08:45:19 --delay 2 --endMP 204:233278 --enddatetime 2017-04-09T09:21:48 --enforcementcount 0 &gt;&gt;C:\Users\stu\Documents\GitHub\eaglep3-reporting\EC\2017-04-09-refined-times.txt</v>
      </c>
      <c r="AI53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{"issue":{"subject":"","project_id":79,"tracker_id":40,"status_id":1,"priority_id":2,"assigned_to_id":23,"start_date":"2017-04-09","description":"","custom_fields":[{"id":1,"name":"Subdivision","value":"EC"},{"id":4,"name":"Milepost","value":"23.3278"},{"id":17,"name":"Train ID","value":"141-09"},{"id":16,"name":"Locomotive ID","value":"4032"},{"id":130,"name":"Impact","value":""},{"id":150,"name":"Time of Event (Mountain Time)","value":"09:21:48"},{"id":151,"name":"Denver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8"/>
      <c r="AL53" s="48"/>
      <c r="AM53" s="150" t="str">
        <f t="shared" si="6"/>
        <v>start /low /b %USERPROFILE%\Documents\GitHub\eaglep3\Utilities\DownloadLogsFromS3.py --loco 4032 --day 2017-04-09</v>
      </c>
      <c r="AN53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15:21:48"},{"id":29,"name":"Sharepoint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606</v>
      </c>
      <c r="B54" s="7">
        <v>4031</v>
      </c>
      <c r="C54" s="21" t="s">
        <v>215</v>
      </c>
      <c r="D54" s="21" t="s">
        <v>863</v>
      </c>
      <c r="E54" s="13">
        <v>42834.393043981479</v>
      </c>
      <c r="F54" s="13">
        <v>42834.403912037036</v>
      </c>
      <c r="G54" s="7">
        <v>1</v>
      </c>
      <c r="H54" s="21" t="s">
        <v>864</v>
      </c>
      <c r="I54" s="13">
        <v>42834.430914351855</v>
      </c>
      <c r="J54" s="7">
        <v>0</v>
      </c>
      <c r="K54" s="97" t="str">
        <f>IF(ISEVEN(B54),(B54-1)&amp;"/"&amp;B54,B54&amp;"/"&amp;(B54+1))</f>
        <v>4031/4032</v>
      </c>
      <c r="L54" s="21" t="str">
        <f>VLOOKUP(A54,'Trips&amp;Operators'!$C$1:$G$99999,5,FALSE)</f>
        <v>PERKINS DARREN</v>
      </c>
      <c r="M54" s="6">
        <f>I54-F54</f>
        <v>2.7002314818673767E-2</v>
      </c>
      <c r="N54" s="7">
        <f>24*60*SUM($M54:$M54)</f>
        <v>38.883333338890225</v>
      </c>
      <c r="O54" s="7"/>
      <c r="P54" s="7"/>
      <c r="Q54" s="22"/>
      <c r="R54" s="22"/>
      <c r="S54" s="31">
        <f>SUM(U54:U54)/IF(AG54="EC",12,1)</f>
        <v>1</v>
      </c>
      <c r="T54" s="46" t="str">
        <f>IF(ISEVEN(LEFT(AD54,4)),"Southbound","NorthBound")</f>
        <v>Southbound</v>
      </c>
      <c r="U54" s="18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2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-04-09T08:25:59-0600',mode:absolute,to:'2017-04-09T11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4" s="183" t="str">
        <f>IF(AA54&lt;IF(AG54="EC",23,5.65),"Y","N")</f>
        <v>N</v>
      </c>
      <c r="X54" s="183">
        <f>VALUE(LEFT(AD54,4))-VALUE(LEFT(AD53,4))</f>
        <v>1</v>
      </c>
      <c r="Y54" s="62">
        <f>RIGHT(D54,LEN(D54)-4)/10000</f>
        <v>23.2957</v>
      </c>
      <c r="Z54" s="62">
        <f>RIGHT(H54,LEN(H54)-4)/10000</f>
        <v>1.89E-2</v>
      </c>
      <c r="AA54" s="62">
        <f>ABS(Z54-Y54)</f>
        <v>23.276800000000001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>IF(LEN(A54)=6,"0"&amp;A54,A54)</f>
        <v>0142-09</v>
      </c>
      <c r="AE54" s="85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s3://rtdc.mdm.uploadarchive.raw/RTDC4031/ "%USERPROFILE%\AppData\Local\Temp\OnboardLogs"\RTDC4031\2017-04-09 --exclude "*" --recursive --include "*20170409*" &amp; "%USERPROFILE%\Documents\GitHub\mrs-test-scripts\Headless Mode &amp; Sideloading\WalkAndUnGZ.bat" "%USERPROFILE%\AppData\Local\Temp\OnboardLogs"\RTDC4031\2017-04-09 &amp; aws s3 cp s3://rtdc.mdm.uploadarchive.raw/RTDC4031/ "%USERPROFILE%\AppData\Local\Temp\OnboardLogs"\RTDC4031\2017-04-10 --exclude "*" --recursive --include "*20170410*" &amp; "%USERPROFILE%\Documents\GitHub\mrs-test-scripts\Headless Mode &amp; Sideloading\WalkAndUnGZ.bat" "%USERPROFILE%\AppData\Local\Temp\OnboardLogs"\RTDC4031\2017-04-10</v>
      </c>
      <c r="AF54" s="82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/stypes="app*4031*20170409*" /stext=" 16:.+((SYSTEM_STATE.+slice.+state.+changed )|(ment ac)|(multiple cpu faults)|(system.+state.+changed )|(\[timeout)|(PRM\|1\|D)|(kpr)|(kdp)|(\|lc)|(penalty))"</v>
      </c>
      <c r="AG54" s="1" t="str">
        <f>IFERROR(IF(VALUE(LEFT(AD54,2))&lt;=2,"EC",IF(OR(VALUE(LEFT(AD54,2))=8,VALUE(LEFT(AD54,2))=18),"NW","Other")),"Other")</f>
        <v>EC</v>
      </c>
      <c r="AH54" s="86" t="str">
        <f t="shared" si="4"/>
        <v>"%USERPROFILE%\Documents\GitHub\eaglep3\Utilities\RefineRTDCRunTimes.py" --tripid 142-09 --locoid 4031 --swversion DE.1.0.9.0 --startMP 204:232957 --initTime 2017-04-09T09:25:59 --startdatetime 2017-04-09T09:41:38 --delay 1 --endMP 204:189 --enddatetime 2017-04-09T10:20:31 --enforcementcount 0 &gt;&gt;C:\Users\stu\Documents\GitHub\eaglep3-reporting\EC\2017-04-09-refined-times.txt</v>
      </c>
      <c r="AI54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{"issue":{"subject":"","project_id":79,"tracker_id":40,"status_id":1,"priority_id":2,"assigned_to_id":23,"start_date":"2017-04-09","description":"","custom_fields":[{"id":1,"name":"Subdivision","value":"EC"},{"id":4,"name":"Milepost","value":"0.0189"},{"id":17,"name":"Train ID","value":"142-09"},{"id":16,"name":"Locomotive ID","value":"4031"},{"id":130,"name":"Impact","value":""},{"id":150,"name":"Time of Event (Mountain Time)","value":"10:20:31"},{"id":151,"name":"Denver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8"/>
      <c r="AL54" s="48"/>
      <c r="AM54" s="150" t="str">
        <f t="shared" si="6"/>
        <v>start /low /b %USERPROFILE%\Documents\GitHub\eaglep3\Utilities\DownloadLogsFromS3.py --loco 4031 --day 2017-04-09</v>
      </c>
      <c r="AN54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16:20:31"},{"id":29,"name":"Sharepoint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690</v>
      </c>
      <c r="B55" s="7">
        <v>4012</v>
      </c>
      <c r="C55" s="21" t="s">
        <v>215</v>
      </c>
      <c r="D55" s="21" t="s">
        <v>425</v>
      </c>
      <c r="E55" s="13">
        <v>42834.370578703703</v>
      </c>
      <c r="F55" s="13">
        <v>42834.375219907408</v>
      </c>
      <c r="G55" s="7">
        <v>2</v>
      </c>
      <c r="H55" s="21" t="s">
        <v>844</v>
      </c>
      <c r="I55" s="13">
        <v>42834.400138888886</v>
      </c>
      <c r="J55" s="7">
        <v>0</v>
      </c>
      <c r="K55" s="97" t="str">
        <f>IF(ISEVEN(B55),(B55-1)&amp;"/"&amp;B55,B55&amp;"/"&amp;(B55+1))</f>
        <v>4011/4012</v>
      </c>
      <c r="L55" s="21" t="str">
        <f>VLOOKUP(A55,'Trips&amp;Operators'!$C$1:$G$99999,5,FALSE)</f>
        <v>SHOOK JOHN</v>
      </c>
      <c r="M55" s="6">
        <f>I55-F55</f>
        <v>2.491898147854954E-2</v>
      </c>
      <c r="N55" s="7">
        <f>24*60*SUM($M55:$M55)</f>
        <v>35.883333329111338</v>
      </c>
      <c r="O55" s="7"/>
      <c r="P55" s="7"/>
      <c r="Q55" s="22"/>
      <c r="R55" s="22"/>
      <c r="S55" s="31">
        <f>SUM(U55:U55)/IF(AG55="EC",12,1)</f>
        <v>1</v>
      </c>
      <c r="T55" s="46" t="str">
        <f>IF(ISEVEN(LEFT(AD55,4)),"Southbound","NorthBound")</f>
        <v>NorthBound</v>
      </c>
      <c r="U55" s="18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2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-04-09T07:53:38-0600',mode:absolute,to:'2017-04-09T10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5" s="183" t="str">
        <f>IF(AA55&lt;IF(AG55="EC",23,5.65),"Y","N")</f>
        <v>N</v>
      </c>
      <c r="X55" s="183">
        <f>VALUE(LEFT(AD55,4))-VALUE(LEFT(AD54,4))</f>
        <v>1</v>
      </c>
      <c r="Y55" s="62">
        <f>RIGHT(D55,LEN(D55)-4)/10000</f>
        <v>4.4600000000000001E-2</v>
      </c>
      <c r="Z55" s="62">
        <f>RIGHT(H55,LEN(H55)-4)/10000</f>
        <v>23.325900000000001</v>
      </c>
      <c r="AA55" s="62">
        <f>ABS(Z55-Y55)</f>
        <v>23.281300000000002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>IF(LEN(A55)=6,"0"&amp;A55,A55)</f>
        <v>0143-09</v>
      </c>
      <c r="AE55" s="85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s3://rtdc.mdm.uploadarchive.raw/RTDC4012/ "%USERPROFILE%\AppData\Local\Temp\OnboardLogs"\RTDC4012\2017-04-09 --exclude "*" --recursive --include "*20170409*" &amp; "%USERPROFILE%\Documents\GitHub\mrs-test-scripts\Headless Mode &amp; Sideloading\WalkAndUnGZ.bat" "%USERPROFILE%\AppData\Local\Temp\OnboardLogs"\RTDC4012\2017-04-09 &amp; aws s3 cp s3://rtdc.mdm.uploadarchive.raw/RTDC4012/ "%USERPROFILE%\AppData\Local\Temp\OnboardLogs"\RTDC4012\2017-04-10 --exclude "*" --recursive --include "*20170410*" &amp; "%USERPROFILE%\Documents\GitHub\mrs-test-scripts\Headless Mode &amp; Sideloading\WalkAndUnGZ.bat" "%USERPROFILE%\AppData\Local\Temp\OnboardLogs"\RTDC4012\2017-04-10</v>
      </c>
      <c r="AF55" s="82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/stypes="app*4012*20170409*" /stext=" 15:.+((SYSTEM_STATE.+slice.+state.+changed )|(ment ac)|(multiple cpu faults)|(system.+state.+changed )|(\[timeout)|(PRM\|1\|D)|(kpr)|(kdp)|(\|lc)|(penalty))"</v>
      </c>
      <c r="AG55" s="1" t="str">
        <f>IFERROR(IF(VALUE(LEFT(AD55,2))&lt;=2,"EC",IF(OR(VALUE(LEFT(AD55,2))=8,VALUE(LEFT(AD55,2))=18),"NW","Other")),"Other")</f>
        <v>EC</v>
      </c>
      <c r="AH55" s="86" t="str">
        <f t="shared" si="4"/>
        <v>"%USERPROFILE%\Documents\GitHub\eaglep3\Utilities\RefineRTDCRunTimes.py" --tripid 143-09 --locoid 4012 --swversion DE.1.0.9.0 --startMP 204:446 --initTime 2017-04-09T08:53:38 --startdatetime 2017-04-09T09:00:19 --delay 2 --endMP 204:233259 --enddatetime 2017-04-09T09:36:12 --enforcementcount 0 &gt;&gt;C:\Users\stu\Documents\GitHub\eaglep3-reporting\EC\2017-04-09-refined-times.txt</v>
      </c>
      <c r="AI55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{"issue":{"subject":"","project_id":79,"tracker_id":40,"status_id":1,"priority_id":2,"assigned_to_id":23,"start_date":"2017-04-09","description":"","custom_fields":[{"id":1,"name":"Subdivision","value":"EC"},{"id":4,"name":"Milepost","value":"23.3259"},{"id":17,"name":"Train ID","value":"143-09"},{"id":16,"name":"Locomotive ID","value":"4012"},{"id":130,"name":"Impact","value":""},{"id":150,"name":"Time of Event (Mountain Time)","value":"09:36:12"},{"id":151,"name":"Denver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8"/>
      <c r="AL55" s="48"/>
      <c r="AM55" s="150" t="str">
        <f t="shared" si="6"/>
        <v>start /low /b %USERPROFILE%\Documents\GitHub\eaglep3\Utilities\DownloadLogsFromS3.py --loco 4012 --day 2017-04-09</v>
      </c>
      <c r="AN55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15:36:12"},{"id":29,"name":"Sharepoint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698</v>
      </c>
      <c r="B56" s="7">
        <v>4011</v>
      </c>
      <c r="C56" s="21" t="s">
        <v>215</v>
      </c>
      <c r="D56" s="21" t="s">
        <v>865</v>
      </c>
      <c r="E56" s="13">
        <v>42834.402118055557</v>
      </c>
      <c r="F56" s="13">
        <v>42834.414085648146</v>
      </c>
      <c r="G56" s="7">
        <v>1</v>
      </c>
      <c r="H56" s="21" t="s">
        <v>407</v>
      </c>
      <c r="I56" s="13">
        <v>42834.441666666666</v>
      </c>
      <c r="J56" s="7">
        <v>0</v>
      </c>
      <c r="K56" s="97" t="str">
        <f>IF(ISEVEN(B56),(B56-1)&amp;"/"&amp;B56,B56&amp;"/"&amp;(B56+1))</f>
        <v>4011/4012</v>
      </c>
      <c r="L56" s="21" t="str">
        <f>VLOOKUP(A56,'Trips&amp;Operators'!$C$1:$G$99999,5,FALSE)</f>
        <v>SHOOK JOHN</v>
      </c>
      <c r="M56" s="6">
        <f>I56-F56</f>
        <v>2.7581018519413192E-2</v>
      </c>
      <c r="N56" s="7">
        <f>24*60*SUM($M56:$M56)</f>
        <v>39.716666667954996</v>
      </c>
      <c r="O56" s="7"/>
      <c r="P56" s="7"/>
      <c r="Q56" s="22"/>
      <c r="R56" s="22"/>
      <c r="S56" s="31">
        <f>SUM(U56:U56)/IF(AG56="EC",12,1)</f>
        <v>1</v>
      </c>
      <c r="T56" s="46" t="str">
        <f>IF(ISEVEN(LEFT(AD56,4)),"Southbound","NorthBound")</f>
        <v>Southbound</v>
      </c>
      <c r="U56" s="18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2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-04-09T08:39:03-0600',mode:absolute,to:'2017-04-09T11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6" s="183" t="str">
        <f>IF(AA56&lt;IF(AG56="EC",23,5.65),"Y","N")</f>
        <v>N</v>
      </c>
      <c r="X56" s="183">
        <f>VALUE(LEFT(AD56,4))-VALUE(LEFT(AD55,4))</f>
        <v>1</v>
      </c>
      <c r="Y56" s="62">
        <f>RIGHT(D56,LEN(D56)-4)/10000</f>
        <v>23.294599999999999</v>
      </c>
      <c r="Z56" s="62">
        <f>RIGHT(H56,LEN(H56)-4)/10000</f>
        <v>1.3899999999999999E-2</v>
      </c>
      <c r="AA56" s="62">
        <f>ABS(Z56-Y56)</f>
        <v>23.2807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>IF(LEN(A56)=6,"0"&amp;A56,A56)</f>
        <v>0144-09</v>
      </c>
      <c r="AE56" s="85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s3://rtdc.mdm.uploadarchive.raw/RTDC4011/ "%USERPROFILE%\AppData\Local\Temp\OnboardLogs"\RTDC4011\2017-04-09 --exclude "*" --recursive --include "*20170409*" &amp; "%USERPROFILE%\Documents\GitHub\mrs-test-scripts\Headless Mode &amp; Sideloading\WalkAndUnGZ.bat" "%USERPROFILE%\AppData\Local\Temp\OnboardLogs"\RTDC4011\2017-04-09 &amp; aws s3 cp s3://rtdc.mdm.uploadarchive.raw/RTDC4011/ "%USERPROFILE%\AppData\Local\Temp\OnboardLogs"\RTDC4011\2017-04-10 --exclude "*" --recursive --include "*20170410*" &amp; "%USERPROFILE%\Documents\GitHub\mrs-test-scripts\Headless Mode &amp; Sideloading\WalkAndUnGZ.bat" "%USERPROFILE%\AppData\Local\Temp\OnboardLogs"\RTDC4011\2017-04-10</v>
      </c>
      <c r="AF56" s="82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/stypes="app*4011*20170409*" /stext=" 16:.+((SYSTEM_STATE.+slice.+state.+changed )|(ment ac)|(multiple cpu faults)|(system.+state.+changed )|(\[timeout)|(PRM\|1\|D)|(kpr)|(kdp)|(\|lc)|(penalty))"</v>
      </c>
      <c r="AG56" s="1" t="str">
        <f>IFERROR(IF(VALUE(LEFT(AD56,2))&lt;=2,"EC",IF(OR(VALUE(LEFT(AD56,2))=8,VALUE(LEFT(AD56,2))=18),"NW","Other")),"Other")</f>
        <v>EC</v>
      </c>
      <c r="AH56" s="86" t="str">
        <f t="shared" si="4"/>
        <v>"%USERPROFILE%\Documents\GitHub\eaglep3\Utilities\RefineRTDCRunTimes.py" --tripid 144-09 --locoid 4011 --swversion DE.1.0.9.0 --startMP 204:232946 --initTime 2017-04-09T09:39:03 --startdatetime 2017-04-09T09:56:17 --delay 1 --endMP 204:139 --enddatetime 2017-04-09T10:36:00 --enforcementcount 0 &gt;&gt;C:\Users\stu\Documents\GitHub\eaglep3-reporting\EC\2017-04-09-refined-times.txt</v>
      </c>
      <c r="AI56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{"issue":{"subject":"","project_id":79,"tracker_id":40,"status_id":1,"priority_id":2,"assigned_to_id":23,"start_date":"2017-04-09","description":"","custom_fields":[{"id":1,"name":"Subdivision","value":"EC"},{"id":4,"name":"Milepost","value":"0.0139"},{"id":17,"name":"Train ID","value":"144-09"},{"id":16,"name":"Locomotive ID","value":"4011"},{"id":130,"name":"Impact","value":""},{"id":150,"name":"Time of Event (Mountain Time)","value":"10:36:00"},{"id":151,"name":"Denver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8"/>
      <c r="AL56" s="48"/>
      <c r="AM56" s="150" t="str">
        <f t="shared" si="6"/>
        <v>start /low /b %USERPROFILE%\Documents\GitHub\eaglep3\Utilities\DownloadLogsFromS3.py --loco 4011 --day 2017-04-09</v>
      </c>
      <c r="AN56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16:36:00"},{"id":29,"name":"Sharepoint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693</v>
      </c>
      <c r="B57" s="7">
        <v>4030</v>
      </c>
      <c r="C57" s="21" t="s">
        <v>215</v>
      </c>
      <c r="D57" s="21" t="s">
        <v>425</v>
      </c>
      <c r="E57" s="13">
        <v>42834.382175925923</v>
      </c>
      <c r="F57" s="13">
        <v>42834.385625000003</v>
      </c>
      <c r="G57" s="7">
        <v>1</v>
      </c>
      <c r="H57" s="21" t="s">
        <v>519</v>
      </c>
      <c r="I57" s="13">
        <v>42834.410497685189</v>
      </c>
      <c r="J57" s="7">
        <v>0</v>
      </c>
      <c r="K57" s="97" t="str">
        <f>IF(ISEVEN(B57),(B57-1)&amp;"/"&amp;B57,B57&amp;"/"&amp;(B57+1))</f>
        <v>4029/4030</v>
      </c>
      <c r="L57" s="21" t="str">
        <f>VLOOKUP(A57,'Trips&amp;Operators'!$C$1:$G$99999,5,FALSE)</f>
        <v>MAELZER KURT</v>
      </c>
      <c r="M57" s="6">
        <f>I57-F57</f>
        <v>2.4872685185982846E-2</v>
      </c>
      <c r="N57" s="7">
        <f>24*60*SUM($M57:$M57)</f>
        <v>35.816666667815298</v>
      </c>
      <c r="O57" s="7"/>
      <c r="P57" s="7"/>
      <c r="Q57" s="22"/>
      <c r="R57" s="22"/>
      <c r="S57" s="31">
        <f>SUM(U57:U57)/IF(AG57="EC",12,1)</f>
        <v>1</v>
      </c>
      <c r="T57" s="46" t="str">
        <f>IF(ISEVEN(LEFT(AD57,4)),"Southbound","NorthBound")</f>
        <v>NorthBound</v>
      </c>
      <c r="U57" s="18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2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-04-09T08:10:20-0600',mode:absolute,to:'2017-04-09T10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7" s="183" t="str">
        <f>IF(AA57&lt;IF(AG57="EC",23,5.65),"Y","N")</f>
        <v>N</v>
      </c>
      <c r="X57" s="183">
        <f>VALUE(LEFT(AD57,4))-VALUE(LEFT(AD56,4))</f>
        <v>1</v>
      </c>
      <c r="Y57" s="62">
        <f>RIGHT(D57,LEN(D57)-4)/10000</f>
        <v>4.4600000000000001E-2</v>
      </c>
      <c r="Z57" s="62">
        <f>RIGHT(H57,LEN(H57)-4)/10000</f>
        <v>23.3291</v>
      </c>
      <c r="AA57" s="62">
        <f>ABS(Z57-Y57)</f>
        <v>23.284500000000001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>IF(LEN(A57)=6,"0"&amp;A57,A57)</f>
        <v>0145-09</v>
      </c>
      <c r="AE57" s="85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s3://rtdc.mdm.uploadarchive.raw/RTDC4030/ "%USERPROFILE%\AppData\Local\Temp\OnboardLogs"\RTDC4030\2017-04-09 --exclude "*" --recursive --include "*20170409*" &amp; "%USERPROFILE%\Documents\GitHub\mrs-test-scripts\Headless Mode &amp; Sideloading\WalkAndUnGZ.bat" "%USERPROFILE%\AppData\Local\Temp\OnboardLogs"\RTDC4030\2017-04-09 &amp; aws s3 cp s3://rtdc.mdm.uploadarchive.raw/RTDC4030/ "%USERPROFILE%\AppData\Local\Temp\OnboardLogs"\RTDC4030\2017-04-10 --exclude "*" --recursive --include "*20170410*" &amp; "%USERPROFILE%\Documents\GitHub\mrs-test-scripts\Headless Mode &amp; Sideloading\WalkAndUnGZ.bat" "%USERPROFILE%\AppData\Local\Temp\OnboardLogs"\RTDC4030\2017-04-10</v>
      </c>
      <c r="AF57" s="82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/stypes="app*4030*20170409*" /stext=" 15:.+((SYSTEM_STATE.+slice.+state.+changed )|(ment ac)|(multiple cpu faults)|(system.+state.+changed )|(\[timeout)|(PRM\|1\|D)|(kpr)|(kdp)|(\|lc)|(penalty))"</v>
      </c>
      <c r="AG57" s="1" t="str">
        <f>IFERROR(IF(VALUE(LEFT(AD57,2))&lt;=2,"EC",IF(OR(VALUE(LEFT(AD57,2))=8,VALUE(LEFT(AD57,2))=18),"NW","Other")),"Other")</f>
        <v>EC</v>
      </c>
      <c r="AH57" s="86" t="str">
        <f t="shared" si="4"/>
        <v>"%USERPROFILE%\Documents\GitHub\eaglep3\Utilities\RefineRTDCRunTimes.py" --tripid 145-09 --locoid 4030 --swversion DE.1.0.9.0 --startMP 204:446 --initTime 2017-04-09T09:10:20 --startdatetime 2017-04-09T09:15:18 --delay 1 --endMP 204:233291 --enddatetime 2017-04-09T09:51:07 --enforcementcount 0 &gt;&gt;C:\Users\stu\Documents\GitHub\eaglep3-reporting\EC\2017-04-09-refined-times.txt</v>
      </c>
      <c r="AI57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{"issue":{"subject":"","project_id":79,"tracker_id":40,"status_id":1,"priority_id":2,"assigned_to_id":23,"start_date":"2017-04-09","description":"","custom_fields":[{"id":1,"name":"Subdivision","value":"EC"},{"id":4,"name":"Milepost","value":"23.3291"},{"id":17,"name":"Train ID","value":"145-09"},{"id":16,"name":"Locomotive ID","value":"4030"},{"id":130,"name":"Impact","value":""},{"id":150,"name":"Time of Event (Mountain Time)","value":"09:51:07"},{"id":151,"name":"Denver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8"/>
      <c r="AL57" s="48"/>
      <c r="AM57" s="150" t="str">
        <f t="shared" si="6"/>
        <v>start /low /b %USERPROFILE%\Documents\GitHub\eaglep3\Utilities\DownloadLogsFromS3.py --loco 4030 --day 2017-04-09</v>
      </c>
      <c r="AN57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15:51:07"},{"id":29,"name":"Sharepoint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700</v>
      </c>
      <c r="B58" s="7">
        <v>4029</v>
      </c>
      <c r="C58" s="21" t="s">
        <v>215</v>
      </c>
      <c r="D58" s="21" t="s">
        <v>866</v>
      </c>
      <c r="E58" s="13">
        <v>42834.418958333335</v>
      </c>
      <c r="F58" s="13">
        <v>42834.424560185187</v>
      </c>
      <c r="G58" s="7">
        <v>0</v>
      </c>
      <c r="H58" s="21" t="s">
        <v>407</v>
      </c>
      <c r="I58" s="13">
        <v>42834.452025462961</v>
      </c>
      <c r="J58" s="7">
        <v>0</v>
      </c>
      <c r="K58" s="97" t="str">
        <f>IF(ISEVEN(B58),(B58-1)&amp;"/"&amp;B58,B58&amp;"/"&amp;(B58+1))</f>
        <v>4029/4030</v>
      </c>
      <c r="L58" s="21" t="str">
        <f>VLOOKUP(A58,'Trips&amp;Operators'!$C$1:$G$99999,5,FALSE)</f>
        <v>MAELZER KURT</v>
      </c>
      <c r="M58" s="6">
        <f>I58-F58</f>
        <v>2.7465277773444541E-2</v>
      </c>
      <c r="N58" s="7">
        <f>24*60*SUM($M58:$M58)</f>
        <v>39.549999993760139</v>
      </c>
      <c r="O58" s="7"/>
      <c r="P58" s="7"/>
      <c r="Q58" s="22"/>
      <c r="R58" s="22"/>
      <c r="S58" s="31">
        <f>SUM(U58:U58)/IF(AG58="EC",12,1)</f>
        <v>1</v>
      </c>
      <c r="T58" s="46" t="str">
        <f>IF(ISEVEN(LEFT(AD58,4)),"Southbound","NorthBound")</f>
        <v>Southbound</v>
      </c>
      <c r="U58" s="18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2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-04-09T09:03:18-0600',mode:absolute,to:'2017-04-09T11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8" s="183" t="str">
        <f>IF(AA58&lt;IF(AG58="EC",23,5.65),"Y","N")</f>
        <v>N</v>
      </c>
      <c r="X58" s="183">
        <f>VALUE(LEFT(AD58,4))-VALUE(LEFT(AD57,4))</f>
        <v>1</v>
      </c>
      <c r="Y58" s="62">
        <f>RIGHT(D58,LEN(D58)-4)/10000</f>
        <v>23.2972</v>
      </c>
      <c r="Z58" s="62">
        <f>RIGHT(H58,LEN(H58)-4)/10000</f>
        <v>1.3899999999999999E-2</v>
      </c>
      <c r="AA58" s="62">
        <f>ABS(Z58-Y58)</f>
        <v>23.283300000000001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>IF(LEN(A58)=6,"0"&amp;A58,A58)</f>
        <v>0146-09</v>
      </c>
      <c r="AE58" s="85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s3://rtdc.mdm.uploadarchive.raw/RTDC4029/ "%USERPROFILE%\AppData\Local\Temp\OnboardLogs"\RTDC4029\2017-04-09 --exclude "*" --recursive --include "*20170409*" &amp; "%USERPROFILE%\Documents\GitHub\mrs-test-scripts\Headless Mode &amp; Sideloading\WalkAndUnGZ.bat" "%USERPROFILE%\AppData\Local\Temp\OnboardLogs"\RTDC4029\2017-04-09 &amp; aws s3 cp s3://rtdc.mdm.uploadarchive.raw/RTDC4029/ "%USERPROFILE%\AppData\Local\Temp\OnboardLogs"\RTDC4029\2017-04-10 --exclude "*" --recursive --include "*20170410*" &amp; "%USERPROFILE%\Documents\GitHub\mrs-test-scripts\Headless Mode &amp; Sideloading\WalkAndUnGZ.bat" "%USERPROFILE%\AppData\Local\Temp\OnboardLogs"\RTDC4029\2017-04-10</v>
      </c>
      <c r="AF58" s="82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/stypes="app*4029*20170409*" /stext=" 16:.+((SYSTEM_STATE.+slice.+state.+changed )|(ment ac)|(multiple cpu faults)|(system.+state.+changed )|(\[timeout)|(PRM\|1\|D)|(kpr)|(kdp)|(\|lc)|(penalty))"</v>
      </c>
      <c r="AG58" s="1" t="str">
        <f>IFERROR(IF(VALUE(LEFT(AD58,2))&lt;=2,"EC",IF(OR(VALUE(LEFT(AD58,2))=8,VALUE(LEFT(AD58,2))=18),"NW","Other")),"Other")</f>
        <v>EC</v>
      </c>
      <c r="AH58" s="86" t="str">
        <f t="shared" si="4"/>
        <v>"%USERPROFILE%\Documents\GitHub\eaglep3\Utilities\RefineRTDCRunTimes.py" --tripid 146-09 --locoid 4029 --swversion DE.1.0.9.0 --startMP 204:232972 --initTime 2017-04-09T10:03:18 --startdatetime 2017-04-09T10:11:22 --delay 0 --endMP 204:139 --enddatetime 2017-04-09T10:50:55 --enforcementcount 0 &gt;&gt;C:\Users\stu\Documents\GitHub\eaglep3-reporting\EC\2017-04-09-refined-times.txt</v>
      </c>
      <c r="AI58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{"issue":{"subject":"","project_id":79,"tracker_id":40,"status_id":1,"priority_id":2,"assigned_to_id":23,"start_date":"2017-04-09","description":"","custom_fields":[{"id":1,"name":"Subdivision","value":"EC"},{"id":4,"name":"Milepost","value":"0.0139"},{"id":17,"name":"Train ID","value":"146-09"},{"id":16,"name":"Locomotive ID","value":"4029"},{"id":130,"name":"Impact","value":""},{"id":150,"name":"Time of Event (Mountain Time)","value":"10:50:55"},{"id":151,"name":"Denver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8"/>
      <c r="AL58" s="48"/>
      <c r="AM58" s="150" t="str">
        <f t="shared" si="6"/>
        <v>start /low /b %USERPROFILE%\Documents\GitHub\eaglep3\Utilities\DownloadLogsFromS3.py --loco 4029 --day 2017-04-09</v>
      </c>
      <c r="AN58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16:50:55"},{"id":29,"name":"Sharepoint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695</v>
      </c>
      <c r="B59" s="7">
        <v>4004</v>
      </c>
      <c r="C59" s="21" t="s">
        <v>215</v>
      </c>
      <c r="D59" s="21" t="s">
        <v>867</v>
      </c>
      <c r="E59" s="13">
        <v>42834.391192129631</v>
      </c>
      <c r="F59" s="13">
        <v>42834.396041666667</v>
      </c>
      <c r="G59" s="7">
        <v>1</v>
      </c>
      <c r="H59" s="21" t="s">
        <v>511</v>
      </c>
      <c r="I59" s="13">
        <v>42834.421585648146</v>
      </c>
      <c r="J59" s="7">
        <v>0</v>
      </c>
      <c r="K59" s="97" t="str">
        <f>IF(ISEVEN(B59),(B59-1)&amp;"/"&amp;B59,B59&amp;"/"&amp;(B59+1))</f>
        <v>4003/4004</v>
      </c>
      <c r="L59" s="21" t="str">
        <f>VLOOKUP(A59,'Trips&amp;Operators'!$C$1:$G$99999,5,FALSE)</f>
        <v>BADERTSCHER DIANE</v>
      </c>
      <c r="M59" s="6">
        <f>I59-F59</f>
        <v>2.5543981479131617E-2</v>
      </c>
      <c r="N59" s="7">
        <f>24*60*SUM($M59:$M59)</f>
        <v>36.783333329949528</v>
      </c>
      <c r="O59" s="7"/>
      <c r="P59" s="7"/>
      <c r="Q59" s="22"/>
      <c r="R59" s="22"/>
      <c r="S59" s="31">
        <f>SUM(U59:U59)/IF(AG59="EC",12,1)</f>
        <v>1</v>
      </c>
      <c r="T59" s="46" t="str">
        <f>IF(ISEVEN(LEFT(AD59,4)),"Southbound","NorthBound")</f>
        <v>NorthBound</v>
      </c>
      <c r="U59" s="18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2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-04-09T08:23:19-0600',mode:absolute,to:'2017-04-09T11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9" s="183" t="str">
        <f>IF(AA59&lt;IF(AG59="EC",23,5.65),"Y","N")</f>
        <v>N</v>
      </c>
      <c r="X59" s="183">
        <f>VALUE(LEFT(AD59,4))-VALUE(LEFT(AD58,4))</f>
        <v>1</v>
      </c>
      <c r="Y59" s="62">
        <f>RIGHT(D59,LEN(D59)-4)/10000</f>
        <v>5.62E-2</v>
      </c>
      <c r="Z59" s="62">
        <f>RIGHT(H59,LEN(H59)-4)/10000</f>
        <v>23.328900000000001</v>
      </c>
      <c r="AA59" s="62">
        <f>ABS(Z59-Y59)</f>
        <v>23.2727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>IF(LEN(A59)=6,"0"&amp;A59,A59)</f>
        <v>0147-09</v>
      </c>
      <c r="AE59" s="85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s3://rtdc.mdm.uploadarchive.raw/RTDC4004/ "%USERPROFILE%\AppData\Local\Temp\OnboardLogs"\RTDC4004\2017-04-09 --exclude "*" --recursive --include "*20170409*" &amp; "%USERPROFILE%\Documents\GitHub\mrs-test-scripts\Headless Mode &amp; Sideloading\WalkAndUnGZ.bat" "%USERPROFILE%\AppData\Local\Temp\OnboardLogs"\RTDC4004\2017-04-09 &amp; aws s3 cp s3://rtdc.mdm.uploadarchive.raw/RTDC4004/ "%USERPROFILE%\AppData\Local\Temp\OnboardLogs"\RTDC4004\2017-04-10 --exclude "*" --recursive --include "*20170410*" &amp; "%USERPROFILE%\Documents\GitHub\mrs-test-scripts\Headless Mode &amp; Sideloading\WalkAndUnGZ.bat" "%USERPROFILE%\AppData\Local\Temp\OnboardLogs"\RTDC4004\2017-04-10</v>
      </c>
      <c r="AF59" s="82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/stypes="app*4004*20170409*" /stext=" 16:.+((SYSTEM_STATE.+slice.+state.+changed )|(ment ac)|(multiple cpu faults)|(system.+state.+changed )|(\[timeout)|(PRM\|1\|D)|(kpr)|(kdp)|(\|lc)|(penalty))"</v>
      </c>
      <c r="AG59" s="1" t="str">
        <f>IFERROR(IF(VALUE(LEFT(AD59,2))&lt;=2,"EC",IF(OR(VALUE(LEFT(AD59,2))=8,VALUE(LEFT(AD59,2))=18),"NW","Other")),"Other")</f>
        <v>EC</v>
      </c>
      <c r="AH59" s="86" t="str">
        <f t="shared" si="4"/>
        <v>"%USERPROFILE%\Documents\GitHub\eaglep3\Utilities\RefineRTDCRunTimes.py" --tripid 147-09 --locoid 4004 --swversion DE.1.0.9.0 --startMP 204:562 --initTime 2017-04-09T09:23:19 --startdatetime 2017-04-09T09:30:18 --delay 1 --endMP 204:233289 --enddatetime 2017-04-09T10:07:05 --enforcementcount 0 &gt;&gt;C:\Users\stu\Documents\GitHub\eaglep3-reporting\EC\2017-04-09-refined-times.txt</v>
      </c>
      <c r="AI59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{"issue":{"subject":"","project_id":79,"tracker_id":40,"status_id":1,"priority_id":2,"assigned_to_id":23,"start_date":"2017-04-09","description":"","custom_fields":[{"id":1,"name":"Subdivision","value":"EC"},{"id":4,"name":"Milepost","value":"23.3289"},{"id":17,"name":"Train ID","value":"147-09"},{"id":16,"name":"Locomotive ID","value":"4004"},{"id":130,"name":"Impact","value":""},{"id":150,"name":"Time of Event (Mountain Time)","value":"10:07:05"},{"id":151,"name":"Denver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8"/>
      <c r="AL59" s="48"/>
      <c r="AM59" s="150" t="str">
        <f t="shared" si="6"/>
        <v>start /low /b %USERPROFILE%\Documents\GitHub\eaglep3\Utilities\DownloadLogsFromS3.py --loco 4004 --day 2017-04-09</v>
      </c>
      <c r="AN59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16:07:05"},{"id":29,"name":"Sharepoint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702</v>
      </c>
      <c r="B60" s="7">
        <v>4003</v>
      </c>
      <c r="C60" s="21" t="s">
        <v>215</v>
      </c>
      <c r="D60" s="21" t="s">
        <v>579</v>
      </c>
      <c r="E60" s="13">
        <v>42834.431076388886</v>
      </c>
      <c r="F60" s="13">
        <v>42834.434884259259</v>
      </c>
      <c r="G60" s="7">
        <v>1</v>
      </c>
      <c r="H60" s="21" t="s">
        <v>478</v>
      </c>
      <c r="I60" s="13">
        <v>42834.46365740741</v>
      </c>
      <c r="J60" s="7">
        <v>0</v>
      </c>
      <c r="K60" s="97" t="str">
        <f>IF(ISEVEN(B60),(B60-1)&amp;"/"&amp;B60,B60&amp;"/"&amp;(B60+1))</f>
        <v>4003/4004</v>
      </c>
      <c r="L60" s="21" t="str">
        <f>VLOOKUP(A60,'Trips&amp;Operators'!$C$1:$G$99999,5,FALSE)</f>
        <v>BADERTSCHER DIANE</v>
      </c>
      <c r="M60" s="6">
        <f>I60-F60</f>
        <v>2.8773148151230998E-2</v>
      </c>
      <c r="N60" s="7">
        <f>24*60*SUM($M60:$M60)</f>
        <v>41.433333337772638</v>
      </c>
      <c r="O60" s="7"/>
      <c r="P60" s="7"/>
      <c r="Q60" s="22"/>
      <c r="R60" s="22"/>
      <c r="S60" s="31">
        <f>SUM(U60:U60)/IF(AG60="EC",12,1)</f>
        <v>1</v>
      </c>
      <c r="T60" s="46" t="str">
        <f>IF(ISEVEN(LEFT(AD60,4)),"Southbound","NorthBound")</f>
        <v>Southbound</v>
      </c>
      <c r="U60" s="18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2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-04-09T09:20:45-0600',mode:absolute,to:'2017-04-09T12:07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0" s="183" t="str">
        <f>IF(AA60&lt;IF(AG60="EC",23,5.65),"Y","N")</f>
        <v>N</v>
      </c>
      <c r="X60" s="183">
        <f>VALUE(LEFT(AD60,4))-VALUE(LEFT(AD59,4))</f>
        <v>1</v>
      </c>
      <c r="Y60" s="62">
        <f>RIGHT(D60,LEN(D60)-4)/10000</f>
        <v>23.2973</v>
      </c>
      <c r="Z60" s="62">
        <f>RIGHT(H60,LEN(H60)-4)/10000</f>
        <v>1.32E-2</v>
      </c>
      <c r="AA60" s="62">
        <f>ABS(Z60-Y60)</f>
        <v>23.284099999999999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>IF(LEN(A60)=6,"0"&amp;A60,A60)</f>
        <v>0148-09</v>
      </c>
      <c r="AE60" s="85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s3://rtdc.mdm.uploadarchive.raw/RTDC4003/ "%USERPROFILE%\AppData\Local\Temp\OnboardLogs"\RTDC4003\2017-04-09 --exclude "*" --recursive --include "*20170409*" &amp; "%USERPROFILE%\Documents\GitHub\mrs-test-scripts\Headless Mode &amp; Sideloading\WalkAndUnGZ.bat" "%USERPROFILE%\AppData\Local\Temp\OnboardLogs"\RTDC4003\2017-04-09 &amp; aws s3 cp s3://rtdc.mdm.uploadarchive.raw/RTDC4003/ "%USERPROFILE%\AppData\Local\Temp\OnboardLogs"\RTDC4003\2017-04-10 --exclude "*" --recursive --include "*20170410*" &amp; "%USERPROFILE%\Documents\GitHub\mrs-test-scripts\Headless Mode &amp; Sideloading\WalkAndUnGZ.bat" "%USERPROFILE%\AppData\Local\Temp\OnboardLogs"\RTDC4003\2017-04-10</v>
      </c>
      <c r="AF60" s="82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/stypes="app*4003*20170409*" /stext=" 17:.+((SYSTEM_STATE.+slice.+state.+changed )|(ment ac)|(multiple cpu faults)|(system.+state.+changed )|(\[timeout)|(PRM\|1\|D)|(kpr)|(kdp)|(\|lc)|(penalty))"</v>
      </c>
      <c r="AG60" s="1" t="str">
        <f>IFERROR(IF(VALUE(LEFT(AD60,2))&lt;=2,"EC",IF(OR(VALUE(LEFT(AD60,2))=8,VALUE(LEFT(AD60,2))=18),"NW","Other")),"Other")</f>
        <v>EC</v>
      </c>
      <c r="AH60" s="86" t="str">
        <f t="shared" si="4"/>
        <v>"%USERPROFILE%\Documents\GitHub\eaglep3\Utilities\RefineRTDCRunTimes.py" --tripid 148-09 --locoid 4003 --swversion DE.1.0.9.0 --startMP 204:232973 --initTime 2017-04-09T10:20:45 --startdatetime 2017-04-09T10:26:14 --delay 1 --endMP 204:132 --enddatetime 2017-04-09T11:07:40 --enforcementcount 0 &gt;&gt;C:\Users\stu\Documents\GitHub\eaglep3-reporting\EC\2017-04-09-refined-times.txt</v>
      </c>
      <c r="AI60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{"issue":{"subject":"","project_id":79,"tracker_id":40,"status_id":1,"priority_id":2,"assigned_to_id":23,"start_date":"2017-04-09","description":"","custom_fields":[{"id":1,"name":"Subdivision","value":"EC"},{"id":4,"name":"Milepost","value":"0.0132"},{"id":17,"name":"Train ID","value":"148-09"},{"id":16,"name":"Locomotive ID","value":"4003"},{"id":130,"name":"Impact","value":""},{"id":150,"name":"Time of Event (Mountain Time)","value":"11:07:40"},{"id":151,"name":"Denver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8"/>
      <c r="AL60" s="48"/>
      <c r="AM60" s="150" t="str">
        <f t="shared" si="6"/>
        <v>start /low /b %USERPROFILE%\Documents\GitHub\eaglep3\Utilities\DownloadLogsFromS3.py --loco 4003 --day 2017-04-09</v>
      </c>
      <c r="AN60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17:07:40"},{"id":29,"name":"Sharepoint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697</v>
      </c>
      <c r="B61" s="7">
        <v>4020</v>
      </c>
      <c r="C61" s="21" t="s">
        <v>215</v>
      </c>
      <c r="D61" s="21" t="s">
        <v>431</v>
      </c>
      <c r="E61" s="13">
        <v>42834.401759259257</v>
      </c>
      <c r="F61" s="13">
        <v>42834.406423611108</v>
      </c>
      <c r="G61" s="7">
        <v>1</v>
      </c>
      <c r="H61" s="21" t="s">
        <v>415</v>
      </c>
      <c r="I61" s="13">
        <v>42834.43240740741</v>
      </c>
      <c r="J61" s="7">
        <v>0</v>
      </c>
      <c r="K61" s="97" t="str">
        <f>IF(ISEVEN(B61),(B61-1)&amp;"/"&amp;B61,B61&amp;"/"&amp;(B61+1))</f>
        <v>4019/4020</v>
      </c>
      <c r="L61" s="21" t="str">
        <f>VLOOKUP(A61,'Trips&amp;Operators'!$C$1:$G$99999,5,FALSE)</f>
        <v>DAVIS WENDY</v>
      </c>
      <c r="M61" s="6">
        <f>I61-F61</f>
        <v>2.5983796302170958E-2</v>
      </c>
      <c r="N61" s="7">
        <f>24*60*SUM($M61:$M61)</f>
        <v>37.41666667512618</v>
      </c>
      <c r="O61" s="7"/>
      <c r="P61" s="7"/>
      <c r="Q61" s="22"/>
      <c r="R61" s="22"/>
      <c r="S61" s="31">
        <f>SUM(U61:U61)/IF(AG61="EC",12,1)</f>
        <v>1</v>
      </c>
      <c r="T61" s="46" t="str">
        <f>IF(ISEVEN(LEFT(AD61,4)),"Southbound","NorthBound")</f>
        <v>NorthBound</v>
      </c>
      <c r="U61" s="18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2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-04-09T08:38:32-0600',mode:absolute,to:'2017-04-09T11:22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1" s="183" t="str">
        <f>IF(AA61&lt;IF(AG61="EC",23,5.65),"Y","N")</f>
        <v>N</v>
      </c>
      <c r="X61" s="183">
        <f>VALUE(LEFT(AD61,4))-VALUE(LEFT(AD60,4))</f>
        <v>1</v>
      </c>
      <c r="Y61" s="62">
        <f>RIGHT(D61,LEN(D61)-4)/10000</f>
        <v>4.6600000000000003E-2</v>
      </c>
      <c r="Z61" s="62">
        <f>RIGHT(H61,LEN(H61)-4)/10000</f>
        <v>23.330400000000001</v>
      </c>
      <c r="AA61" s="62">
        <f>ABS(Z61-Y61)</f>
        <v>23.283799999999999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>IF(LEN(A61)=6,"0"&amp;A61,A61)</f>
        <v>0149-09</v>
      </c>
      <c r="AE61" s="85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s3://rtdc.mdm.uploadarchive.raw/RTDC4020/ "%USERPROFILE%\AppData\Local\Temp\OnboardLogs"\RTDC4020\2017-04-09 --exclude "*" --recursive --include "*20170409*" &amp; "%USERPROFILE%\Documents\GitHub\mrs-test-scripts\Headless Mode &amp; Sideloading\WalkAndUnGZ.bat" "%USERPROFILE%\AppData\Local\Temp\OnboardLogs"\RTDC4020\2017-04-09 &amp; aws s3 cp s3://rtdc.mdm.uploadarchive.raw/RTDC4020/ "%USERPROFILE%\AppData\Local\Temp\OnboardLogs"\RTDC4020\2017-04-10 --exclude "*" --recursive --include "*20170410*" &amp; "%USERPROFILE%\Documents\GitHub\mrs-test-scripts\Headless Mode &amp; Sideloading\WalkAndUnGZ.bat" "%USERPROFILE%\AppData\Local\Temp\OnboardLogs"\RTDC4020\2017-04-10</v>
      </c>
      <c r="AF61" s="82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/stypes="app*4020*20170409*" /stext=" 16:.+((SYSTEM_STATE.+slice.+state.+changed )|(ment ac)|(multiple cpu faults)|(system.+state.+changed )|(\[timeout)|(PRM\|1\|D)|(kpr)|(kdp)|(\|lc)|(penalty))"</v>
      </c>
      <c r="AG61" s="1" t="str">
        <f>IFERROR(IF(VALUE(LEFT(AD61,2))&lt;=2,"EC",IF(OR(VALUE(LEFT(AD61,2))=8,VALUE(LEFT(AD61,2))=18),"NW","Other")),"Other")</f>
        <v>EC</v>
      </c>
      <c r="AH61" s="86" t="str">
        <f t="shared" si="4"/>
        <v>"%USERPROFILE%\Documents\GitHub\eaglep3\Utilities\RefineRTDCRunTimes.py" --tripid 149-09 --locoid 4020 --swversion DE.1.0.9.0 --startMP 204:466 --initTime 2017-04-09T09:38:32 --startdatetime 2017-04-09T09:45:15 --delay 1 --endMP 204:233304 --enddatetime 2017-04-09T10:22:40 --enforcementcount 0 &gt;&gt;C:\Users\stu\Documents\GitHub\eaglep3-reporting\EC\2017-04-09-refined-times.txt</v>
      </c>
      <c r="AI61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{"issue":{"subject":"","project_id":79,"tracker_id":40,"status_id":1,"priority_id":2,"assigned_to_id":23,"start_date":"2017-04-09","description":"","custom_fields":[{"id":1,"name":"Subdivision","value":"EC"},{"id":4,"name":"Milepost","value":"23.3304"},{"id":17,"name":"Train ID","value":"149-09"},{"id":16,"name":"Locomotive ID","value":"4020"},{"id":130,"name":"Impact","value":""},{"id":150,"name":"Time of Event (Mountain Time)","value":"10:22:40"},{"id":151,"name":"Denver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8"/>
      <c r="AL61" s="48"/>
      <c r="AM61" s="150" t="str">
        <f t="shared" si="6"/>
        <v>start /low /b %USERPROFILE%\Documents\GitHub\eaglep3\Utilities\DownloadLogsFromS3.py --loco 4020 --day 2017-04-09</v>
      </c>
      <c r="AN61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16:22:40"},{"id":29,"name":"Sharepoint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705</v>
      </c>
      <c r="B62" s="7">
        <v>4019</v>
      </c>
      <c r="C62" s="21" t="s">
        <v>215</v>
      </c>
      <c r="D62" s="21" t="s">
        <v>866</v>
      </c>
      <c r="E62" s="13">
        <v>42834.441238425927</v>
      </c>
      <c r="F62" s="13">
        <v>42834.445277777777</v>
      </c>
      <c r="G62" s="7">
        <v>1</v>
      </c>
      <c r="H62" s="21" t="s">
        <v>203</v>
      </c>
      <c r="I62" s="13">
        <v>42834.472824074073</v>
      </c>
      <c r="J62" s="7">
        <v>0</v>
      </c>
      <c r="K62" s="97" t="str">
        <f>IF(ISEVEN(B62),(B62-1)&amp;"/"&amp;B62,B62&amp;"/"&amp;(B62+1))</f>
        <v>4019/4020</v>
      </c>
      <c r="L62" s="21" t="str">
        <f>VLOOKUP(A62,'Trips&amp;Operators'!$C$1:$G$99999,5,FALSE)</f>
        <v>DAVIS WENDY</v>
      </c>
      <c r="M62" s="6">
        <f>I62-F62</f>
        <v>2.7546296296350192E-2</v>
      </c>
      <c r="N62" s="7">
        <f>24*60*SUM($M62:$M62)</f>
        <v>39.666666666744277</v>
      </c>
      <c r="O62" s="7"/>
      <c r="P62" s="7"/>
      <c r="Q62" s="22"/>
      <c r="R62" s="22"/>
      <c r="S62" s="31">
        <f>SUM(U62:U62)/IF(AG62="EC",12,1)</f>
        <v>1</v>
      </c>
      <c r="T62" s="46" t="str">
        <f>IF(ISEVEN(LEFT(AD62,4)),"Southbound","NorthBound")</f>
        <v>Southbound</v>
      </c>
      <c r="U62" s="18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2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-04-09T09:35:23-0600',mode:absolute,to:'2017-04-09T12:20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2" s="183" t="str">
        <f>IF(AA62&lt;IF(AG62="EC",23,5.65),"Y","N")</f>
        <v>N</v>
      </c>
      <c r="X62" s="183">
        <f>VALUE(LEFT(AD62,4))-VALUE(LEFT(AD61,4))</f>
        <v>1</v>
      </c>
      <c r="Y62" s="62">
        <f>RIGHT(D62,LEN(D62)-4)/10000</f>
        <v>23.2972</v>
      </c>
      <c r="Z62" s="62">
        <f>RIGHT(H62,LEN(H62)-4)/10000</f>
        <v>1.54E-2</v>
      </c>
      <c r="AA62" s="62">
        <f>ABS(Z62-Y62)</f>
        <v>23.2818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>IF(LEN(A62)=6,"0"&amp;A62,A62)</f>
        <v>0150-09</v>
      </c>
      <c r="AE62" s="85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s3://rtdc.mdm.uploadarchive.raw/RTDC4019/ "%USERPROFILE%\AppData\Local\Temp\OnboardLogs"\RTDC4019\2017-04-09 --exclude "*" --recursive --include "*20170409*" &amp; "%USERPROFILE%\Documents\GitHub\mrs-test-scripts\Headless Mode &amp; Sideloading\WalkAndUnGZ.bat" "%USERPROFILE%\AppData\Local\Temp\OnboardLogs"\RTDC4019\2017-04-09 &amp; aws s3 cp s3://rtdc.mdm.uploadarchive.raw/RTDC4019/ "%USERPROFILE%\AppData\Local\Temp\OnboardLogs"\RTDC4019\2017-04-10 --exclude "*" --recursive --include "*20170410*" &amp; "%USERPROFILE%\Documents\GitHub\mrs-test-scripts\Headless Mode &amp; Sideloading\WalkAndUnGZ.bat" "%USERPROFILE%\AppData\Local\Temp\OnboardLogs"\RTDC4019\2017-04-10</v>
      </c>
      <c r="AF62" s="82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/stypes="app*4019*20170409*" /stext=" 17:.+((SYSTEM_STATE.+slice.+state.+changed )|(ment ac)|(multiple cpu faults)|(system.+state.+changed )|(\[timeout)|(PRM\|1\|D)|(kpr)|(kdp)|(\|lc)|(penalty))"</v>
      </c>
      <c r="AG62" s="1" t="str">
        <f>IFERROR(IF(VALUE(LEFT(AD62,2))&lt;=2,"EC",IF(OR(VALUE(LEFT(AD62,2))=8,VALUE(LEFT(AD62,2))=18),"NW","Other")),"Other")</f>
        <v>EC</v>
      </c>
      <c r="AH62" s="86" t="str">
        <f t="shared" si="4"/>
        <v>"%USERPROFILE%\Documents\GitHub\eaglep3\Utilities\RefineRTDCRunTimes.py" --tripid 150-09 --locoid 4019 --swversion DE.1.0.9.0 --startMP 204:232972 --initTime 2017-04-09T10:35:23 --startdatetime 2017-04-09T10:41:12 --delay 1 --endMP 204:154 --enddatetime 2017-04-09T11:20:52 --enforcementcount 0 &gt;&gt;C:\Users\stu\Documents\GitHub\eaglep3-reporting\EC\2017-04-09-refined-times.txt</v>
      </c>
      <c r="AI62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{"issue":{"subject":"","project_id":79,"tracker_id":40,"status_id":1,"priority_id":2,"assigned_to_id":23,"start_date":"2017-04-09","description":"","custom_fields":[{"id":1,"name":"Subdivision","value":"EC"},{"id":4,"name":"Milepost","value":"0.0154"},{"id":17,"name":"Train ID","value":"150-09"},{"id":16,"name":"Locomotive ID","value":"4019"},{"id":130,"name":"Impact","value":""},{"id":150,"name":"Time of Event (Mountain Time)","value":"11:20:52"},{"id":151,"name":"Denver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8"/>
      <c r="AL62" s="48"/>
      <c r="AM62" s="150" t="str">
        <f t="shared" si="6"/>
        <v>start /low /b %USERPROFILE%\Documents\GitHub\eaglep3\Utilities\DownloadLogsFromS3.py --loco 4019 --day 2017-04-09</v>
      </c>
      <c r="AN62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17:20:52"},{"id":29,"name":"Sharepoint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605</v>
      </c>
      <c r="B63" s="7">
        <v>4044</v>
      </c>
      <c r="C63" s="21" t="s">
        <v>215</v>
      </c>
      <c r="D63" s="21" t="s">
        <v>868</v>
      </c>
      <c r="E63" s="13">
        <v>42834.420208333337</v>
      </c>
      <c r="F63" s="13">
        <v>42834.420925925922</v>
      </c>
      <c r="G63" s="7">
        <v>0</v>
      </c>
      <c r="H63" s="21" t="s">
        <v>405</v>
      </c>
      <c r="I63" s="13">
        <v>42834.44326388889</v>
      </c>
      <c r="J63" s="7">
        <v>0</v>
      </c>
      <c r="K63" s="97" t="str">
        <f>IF(ISEVEN(B63),(B63-1)&amp;"/"&amp;B63,B63&amp;"/"&amp;(B63+1))</f>
        <v>4043/4044</v>
      </c>
      <c r="L63" s="21" t="str">
        <f>VLOOKUP(A63,'Trips&amp;Operators'!$C$1:$G$99999,5,FALSE)</f>
        <v>ROBINSON KADDIBA</v>
      </c>
      <c r="M63" s="6">
        <f>I63-F63</f>
        <v>2.2337962967867497E-2</v>
      </c>
      <c r="N63" s="7"/>
      <c r="O63" s="7"/>
      <c r="P63" s="7">
        <f>24*60*SUM($M63:$M63)</f>
        <v>32.166666673729196</v>
      </c>
      <c r="Q63" s="22"/>
      <c r="R63" s="22" t="s">
        <v>485</v>
      </c>
      <c r="S63" s="31">
        <f>SUM(U63:U63)/IF(AG63="EC",12,1)</f>
        <v>1</v>
      </c>
      <c r="T63" s="46" t="str">
        <f>IF(ISEVEN(LEFT(AD63,4)),"Southbound","NorthBound")</f>
        <v>NorthBound</v>
      </c>
      <c r="U63" s="18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2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-04-09T09:05:06-0600',mode:absolute,to:'2017-04-09T11:38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3" s="183" t="str">
        <f>IF(AA63&lt;IF(AG63="EC",23,5.65),"Y","N")</f>
        <v>Y</v>
      </c>
      <c r="X63" s="183">
        <f>VALUE(LEFT(AD63,4))-VALUE(LEFT(AD62,4))</f>
        <v>1</v>
      </c>
      <c r="Y63" s="62">
        <f>RIGHT(D63,LEN(D63)-4)/10000</f>
        <v>1.913</v>
      </c>
      <c r="Z63" s="62">
        <f>RIGHT(H63,LEN(H63)-4)/10000</f>
        <v>23.329499999999999</v>
      </c>
      <c r="AA63" s="62">
        <f>ABS(Z63-Y63)</f>
        <v>21.416499999999999</v>
      </c>
      <c r="AB63" s="59" t="str">
        <f>VLOOKUP(A63,Enforcements!$C$7:$K$13,8,0)</f>
        <v>Bulletin (2)</v>
      </c>
      <c r="AC63" s="55" t="str">
        <f>VLOOKUP(A63,Enforcements!$C$7:$E$13,3,0)</f>
        <v>GRADE CROSSING</v>
      </c>
      <c r="AD63" s="56" t="str">
        <f>IF(LEN(A63)=6,"0"&amp;A63,A63)</f>
        <v>0151-09</v>
      </c>
      <c r="AE63" s="85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s3://rtdc.mdm.uploadarchive.raw/RTDC4044/ "%USERPROFILE%\AppData\Local\Temp\OnboardLogs"\RTDC4044\2017-04-09 --exclude "*" --recursive --include "*20170409*" &amp; "%USERPROFILE%\Documents\GitHub\mrs-test-scripts\Headless Mode &amp; Sideloading\WalkAndUnGZ.bat" "%USERPROFILE%\AppData\Local\Temp\OnboardLogs"\RTDC4044\2017-04-09 &amp; aws s3 cp s3://rtdc.mdm.uploadarchive.raw/RTDC4044/ "%USERPROFILE%\AppData\Local\Temp\OnboardLogs"\RTDC4044\2017-04-10 --exclude "*" --recursive --include "*20170410*" &amp; "%USERPROFILE%\Documents\GitHub\mrs-test-scripts\Headless Mode &amp; Sideloading\WalkAndUnGZ.bat" "%USERPROFILE%\AppData\Local\Temp\OnboardLogs"\RTDC4044\2017-04-10</v>
      </c>
      <c r="AF63" s="82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/stypes="app*4044*20170409*" /stext=" 16:.+((SYSTEM_STATE.+slice.+state.+changed )|(ment ac)|(multiple cpu faults)|(system.+state.+changed )|(\[timeout)|(PRM\|1\|D)|(kpr)|(kdp)|(\|lc)|(penalty))"</v>
      </c>
      <c r="AG63" s="1" t="str">
        <f>IFERROR(IF(VALUE(LEFT(AD63,2))&lt;=2,"EC",IF(OR(VALUE(LEFT(AD63,2))=8,VALUE(LEFT(AD63,2))=18),"NW","Other")),"Other")</f>
        <v>EC</v>
      </c>
      <c r="AH63" s="86" t="str">
        <f t="shared" si="4"/>
        <v>"%USERPROFILE%\Documents\GitHub\eaglep3\Utilities\RefineRTDCRunTimes.py" --tripid 151-09 --locoid 4044 --swversion DE.1.0.9.0 --startMP 204:19130 --initTime 2017-04-09T10:05:06 --startdatetime 2017-04-09T10:06:08 --delay 0 --endMP 204:233295 --enddatetime 2017-04-09T10:38:18 --enforcementcount 0 &gt;&gt;C:\Users\stu\Documents\GitHub\eaglep3-reporting\EC\2017-04-09-refined-times.txt</v>
      </c>
      <c r="AI63" s="104" t="str">
        <f t="shared" si="5"/>
        <v>echo {"issue":{"subject":"Onboard in-route failure","project_id":79,"tracker_id":40,"status_id":1,"priority_id":2,"assigned_to_id":23,"start_date":"2017-04-09","description":"","custom_fields":[{"id":1,"name":"Subdivision","value":"EC"},{"id":4,"name":"Milepost","value":"23.3295"},{"id":17,"name":"Train ID","value":"151-09"},{"id":16,"name":"Locomotive ID","value":"4044"},{"id":130,"name":"Impact","value":""},{"id":150,"name":"Time of Event (Mountain Time)","value":"10:38:18"},{"id":151,"name":"Denver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8"/>
      <c r="AL63" s="48"/>
      <c r="AM63" s="150" t="str">
        <f t="shared" si="6"/>
        <v>start /low /b %USERPROFILE%\Documents\GitHub\eaglep3\Utilities\DownloadLogsFromS3.py --loco 4044 --day 2017-04-09</v>
      </c>
      <c r="AN63" s="159" t="str">
        <f t="shared" si="7"/>
        <v>echo {"issue":{"subject":"Onboard in-route failure","project_id":30,"tracker_id":4,"status_id":1,"priority_id":1,"assigned_to_id":10,"start_date":"2017-04-09","description":"","custom_fields":[{"id":30,"name":"Category","value":"Issue"},{"id":3,"name":"Functional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16:38:18"},{"id":29,"name":"Sharepoint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605</v>
      </c>
      <c r="B64" s="7">
        <v>4044</v>
      </c>
      <c r="C64" s="21" t="s">
        <v>215</v>
      </c>
      <c r="D64" s="21" t="s">
        <v>869</v>
      </c>
      <c r="E64" s="13">
        <v>42834.412280092591</v>
      </c>
      <c r="F64" s="13">
        <v>42834.420925925922</v>
      </c>
      <c r="G64" s="7">
        <v>1</v>
      </c>
      <c r="H64" s="21" t="s">
        <v>870</v>
      </c>
      <c r="I64" s="13">
        <v>42834.44326388889</v>
      </c>
      <c r="J64" s="7">
        <v>0</v>
      </c>
      <c r="K64" s="97" t="str">
        <f>IF(ISEVEN(B64),(B64-1)&amp;"/"&amp;B64,B64&amp;"/"&amp;(B64+1))</f>
        <v>4043/4044</v>
      </c>
      <c r="L64" s="21" t="str">
        <f>VLOOKUP(A64,'Trips&amp;Operators'!$C$1:$G$99999,5,FALSE)</f>
        <v>ROBINSON KADDIBA</v>
      </c>
      <c r="M64" s="6">
        <f>I64-F64</f>
        <v>2.2337962967867497E-2</v>
      </c>
      <c r="N64" s="7"/>
      <c r="O64" s="7"/>
      <c r="P64" s="7"/>
      <c r="Q64" s="22"/>
      <c r="R64" s="22"/>
      <c r="S64" s="31"/>
      <c r="T64" s="46" t="str">
        <f>IF(ISEVEN(LEFT(AD64,4)),"Southbound","NorthBound")</f>
        <v>NorthBound</v>
      </c>
      <c r="U64" s="18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0</v>
      </c>
      <c r="V64" s="182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-04-09T08:53:41-0600',mode:absolute,to:'2017-04-09T11:38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4" s="183" t="str">
        <f>IF(AA64&lt;IF(AG64="EC",23,5.65),"Y","N")</f>
        <v>Y</v>
      </c>
      <c r="X64" s="183">
        <f>VALUE(LEFT(AD64,4))-VALUE(LEFT(AD63,4))</f>
        <v>0</v>
      </c>
      <c r="Y64" s="62">
        <f>RIGHT(D64,LEN(D64)-4)/10000</f>
        <v>4.7699999999999999E-2</v>
      </c>
      <c r="Z64" s="62">
        <f>RIGHT(H64,LEN(H64)-4)/10000</f>
        <v>0.1147</v>
      </c>
      <c r="AA64" s="62">
        <f>ABS(Z64-Y64)</f>
        <v>6.7000000000000004E-2</v>
      </c>
      <c r="AB64" s="59" t="str">
        <f>VLOOKUP(A64,Enforcements!$C$7:$K$13,8,0)</f>
        <v>Bulletin (2)</v>
      </c>
      <c r="AC64" s="55" t="str">
        <f>VLOOKUP(A64,Enforcements!$C$7:$E$13,3,0)</f>
        <v>GRADE CROSSING</v>
      </c>
      <c r="AD64" s="56" t="str">
        <f>IF(LEN(A64)=6,"0"&amp;A64,A64)</f>
        <v>0151-09</v>
      </c>
      <c r="AE64" s="85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s3://rtdc.mdm.uploadarchive.raw/RTDC4044/ "%USERPROFILE%\AppData\Local\Temp\OnboardLogs"\RTDC4044\2017-04-09 --exclude "*" --recursive --include "*20170409*" &amp; "%USERPROFILE%\Documents\GitHub\mrs-test-scripts\Headless Mode &amp; Sideloading\WalkAndUnGZ.bat" "%USERPROFILE%\AppData\Local\Temp\OnboardLogs"\RTDC4044\2017-04-09 &amp; aws s3 cp s3://rtdc.mdm.uploadarchive.raw/RTDC4044/ "%USERPROFILE%\AppData\Local\Temp\OnboardLogs"\RTDC4044\2017-04-10 --exclude "*" --recursive --include "*20170410*" &amp; "%USERPROFILE%\Documents\GitHub\mrs-test-scripts\Headless Mode &amp; Sideloading\WalkAndUnGZ.bat" "%USERPROFILE%\AppData\Local\Temp\OnboardLogs"\RTDC4044\2017-04-10</v>
      </c>
      <c r="AF64" s="82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/stypes="app*4044*20170409*" /stext=" 16:.+((SYSTEM_STATE.+slice.+state.+changed )|(ment ac)|(multiple cpu faults)|(system.+state.+changed )|(\[timeout)|(PRM\|1\|D)|(kpr)|(kdp)|(\|lc)|(penalty))"</v>
      </c>
      <c r="AG64" s="1" t="str">
        <f>IFERROR(IF(VALUE(LEFT(AD64,2))&lt;=2,"EC",IF(OR(VALUE(LEFT(AD64,2))=8,VALUE(LEFT(AD64,2))=18),"NW","Other")),"Other")</f>
        <v>EC</v>
      </c>
      <c r="AH64" s="86" t="str">
        <f t="shared" si="4"/>
        <v>"%USERPROFILE%\Documents\GitHub\eaglep3\Utilities\RefineRTDCRunTimes.py" --tripid 151-09 --locoid 4044 --swversion DE.1.0.9.0 --startMP 204:477 --initTime 2017-04-09T09:53:41 --startdatetime 2017-04-09T10:06:08 --delay 1 --endMP 204:1147 --enddatetime 2017-04-09T10:38:18 --enforcementcount 0 &gt;&gt;C:\Users\stu\Documents\GitHub\eaglep3-reporting\EC\2017-04-09-refined-times.txt</v>
      </c>
      <c r="AI64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{"issue":{"subject":"","project_id":79,"tracker_id":40,"status_id":1,"priority_id":2,"assigned_to_id":23,"start_date":"2017-04-09","description":"","custom_fields":[{"id":1,"name":"Subdivision","value":"EC"},{"id":4,"name":"Milepost","value":"0.1147"},{"id":17,"name":"Train ID","value":"151-09"},{"id":16,"name":"Locomotive ID","value":"4044"},{"id":130,"name":"Impact","value":""},{"id":150,"name":"Time of Event (Mountain Time)","value":"10:38:18"},{"id":151,"name":"Denver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8"/>
      <c r="AL64" s="48"/>
      <c r="AM64" s="150" t="str">
        <f t="shared" si="6"/>
        <v>start /low /b %USERPROFILE%\Documents\GitHub\eaglep3\Utilities\DownloadLogsFromS3.py --loco 4044 --day 2017-04-09</v>
      </c>
      <c r="AN64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16:38:18"},{"id":29,"name":"Sharepoint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707</v>
      </c>
      <c r="B65" s="7">
        <v>4043</v>
      </c>
      <c r="C65" s="21" t="s">
        <v>215</v>
      </c>
      <c r="D65" s="21" t="s">
        <v>514</v>
      </c>
      <c r="E65" s="13">
        <v>42834.450324074074</v>
      </c>
      <c r="F65" s="13">
        <v>42834.455706018518</v>
      </c>
      <c r="G65" s="7">
        <v>1</v>
      </c>
      <c r="H65" s="21" t="s">
        <v>203</v>
      </c>
      <c r="I65" s="13">
        <v>42834.482511574075</v>
      </c>
      <c r="J65" s="7">
        <v>0</v>
      </c>
      <c r="K65" s="97" t="str">
        <f>IF(ISEVEN(B65),(B65-1)&amp;"/"&amp;B65,B65&amp;"/"&amp;(B65+1))</f>
        <v>4043/4044</v>
      </c>
      <c r="L65" s="21" t="str">
        <f>VLOOKUP(A65,'Trips&amp;Operators'!$C$1:$G$99999,5,FALSE)</f>
        <v>ROBINSON KADDIBA</v>
      </c>
      <c r="M65" s="6">
        <f>I65-F65</f>
        <v>2.6805555557075422E-2</v>
      </c>
      <c r="N65" s="7">
        <f>24*60*SUM($M65:$M65)</f>
        <v>38.600000002188608</v>
      </c>
      <c r="O65" s="7"/>
      <c r="P65" s="7"/>
      <c r="Q65" s="22"/>
      <c r="R65" s="22"/>
      <c r="S65" s="31">
        <f>SUM(U65:U65)/IF(AG65="EC",12,1)</f>
        <v>1</v>
      </c>
      <c r="T65" s="46" t="str">
        <f>IF(ISEVEN(LEFT(AD65,4)),"Southbound","NorthBound")</f>
        <v>Southbound</v>
      </c>
      <c r="U65" s="18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2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-04-09T09:48:28-0600',mode:absolute,to:'2017-04-09T12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5" s="183" t="str">
        <f>IF(AA65&lt;IF(AG65="EC",23,5.65),"Y","N")</f>
        <v>N</v>
      </c>
      <c r="X65" s="183">
        <f>VALUE(LEFT(AD65,4))-VALUE(LEFT(AD64,4))</f>
        <v>1</v>
      </c>
      <c r="Y65" s="62">
        <f>RIGHT(D65,LEN(D65)-4)/10000</f>
        <v>23.297999999999998</v>
      </c>
      <c r="Z65" s="62">
        <f>RIGHT(H65,LEN(H65)-4)/10000</f>
        <v>1.54E-2</v>
      </c>
      <c r="AA65" s="62">
        <f>ABS(Z65-Y65)</f>
        <v>23.282599999999999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>IF(LEN(A65)=6,"0"&amp;A65,A65)</f>
        <v>0152-09</v>
      </c>
      <c r="AE65" s="85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s3://rtdc.mdm.uploadarchive.raw/RTDC4043/ "%USERPROFILE%\AppData\Local\Temp\OnboardLogs"\RTDC4043\2017-04-09 --exclude "*" --recursive --include "*20170409*" &amp; "%USERPROFILE%\Documents\GitHub\mrs-test-scripts\Headless Mode &amp; Sideloading\WalkAndUnGZ.bat" "%USERPROFILE%\AppData\Local\Temp\OnboardLogs"\RTDC4043\2017-04-09 &amp; aws s3 cp s3://rtdc.mdm.uploadarchive.raw/RTDC4043/ "%USERPROFILE%\AppData\Local\Temp\OnboardLogs"\RTDC4043\2017-04-10 --exclude "*" --recursive --include "*20170410*" &amp; "%USERPROFILE%\Documents\GitHub\mrs-test-scripts\Headless Mode &amp; Sideloading\WalkAndUnGZ.bat" "%USERPROFILE%\AppData\Local\Temp\OnboardLogs"\RTDC4043\2017-04-10</v>
      </c>
      <c r="AF65" s="82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/stypes="app*4043*20170409*" /stext=" 17:.+((SYSTEM_STATE.+slice.+state.+changed )|(ment ac)|(multiple cpu faults)|(system.+state.+changed )|(\[timeout)|(PRM\|1\|D)|(kpr)|(kdp)|(\|lc)|(penalty))"</v>
      </c>
      <c r="AG65" s="1" t="str">
        <f>IFERROR(IF(VALUE(LEFT(AD65,2))&lt;=2,"EC",IF(OR(VALUE(LEFT(AD65,2))=8,VALUE(LEFT(AD65,2))=18),"NW","Other")),"Other")</f>
        <v>EC</v>
      </c>
      <c r="AH65" s="86" t="str">
        <f t="shared" si="4"/>
        <v>"%USERPROFILE%\Documents\GitHub\eaglep3\Utilities\RefineRTDCRunTimes.py" --tripid 152-09 --locoid 4043 --swversion DE.1.0.9.0 --startMP 204:232980 --initTime 2017-04-09T10:48:28 --startdatetime 2017-04-09T10:56:13 --delay 1 --endMP 204:154 --enddatetime 2017-04-09T11:34:49 --enforcementcount 0 &gt;&gt;C:\Users\stu\Documents\GitHub\eaglep3-reporting\EC\2017-04-09-refined-times.txt</v>
      </c>
      <c r="AI65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{"issue":{"subject":"","project_id":79,"tracker_id":40,"status_id":1,"priority_id":2,"assigned_to_id":23,"start_date":"2017-04-09","description":"","custom_fields":[{"id":1,"name":"Subdivision","value":"EC"},{"id":4,"name":"Milepost","value":"0.0154"},{"id":17,"name":"Train ID","value":"152-09"},{"id":16,"name":"Locomotive ID","value":"4043"},{"id":130,"name":"Impact","value":""},{"id":150,"name":"Time of Event (Mountain Time)","value":"11:34:49"},{"id":151,"name":"Denver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8"/>
      <c r="AL65" s="48"/>
      <c r="AM65" s="150" t="str">
        <f t="shared" si="6"/>
        <v>start /low /b %USERPROFILE%\Documents\GitHub\eaglep3\Utilities\DownloadLogsFromS3.py --loco 4043 --day 2017-04-09</v>
      </c>
      <c r="AN65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17:34:49"},{"id":29,"name":"Sharepoint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701</v>
      </c>
      <c r="B66" s="7">
        <v>4024</v>
      </c>
      <c r="C66" s="21" t="s">
        <v>215</v>
      </c>
      <c r="D66" s="21" t="s">
        <v>210</v>
      </c>
      <c r="E66" s="13">
        <v>42834.424502314818</v>
      </c>
      <c r="F66" s="13">
        <v>42834.427256944444</v>
      </c>
      <c r="G66" s="7">
        <v>2</v>
      </c>
      <c r="H66" s="21" t="s">
        <v>871</v>
      </c>
      <c r="I66" s="13">
        <v>42834.451990740738</v>
      </c>
      <c r="J66" s="7">
        <v>0</v>
      </c>
      <c r="K66" s="97" t="str">
        <f>IF(ISEVEN(B66),(B66-1)&amp;"/"&amp;B66,B66&amp;"/"&amp;(B66+1))</f>
        <v>4023/4024</v>
      </c>
      <c r="L66" s="21" t="str">
        <f>VLOOKUP(A66,'Trips&amp;Operators'!$C$1:$G$99999,5,FALSE)</f>
        <v>GEBRETEKLE DAGNEW</v>
      </c>
      <c r="M66" s="6">
        <f>I66-F66</f>
        <v>2.4733796293730848E-2</v>
      </c>
      <c r="N66" s="7">
        <f>24*60*SUM($M66:$M66)</f>
        <v>35.61666666297242</v>
      </c>
      <c r="O66" s="7"/>
      <c r="P66" s="7"/>
      <c r="Q66" s="22"/>
      <c r="R66" s="22"/>
      <c r="S66" s="31">
        <f>SUM(U66:U66)/IF(AG66="EC",12,1)</f>
        <v>1</v>
      </c>
      <c r="T66" s="46" t="str">
        <f>IF(ISEVEN(LEFT(AD66,4)),"Southbound","NorthBound")</f>
        <v>NorthBound</v>
      </c>
      <c r="U66" s="18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2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-04-09T09:11:17-0600',mode:absolute,to:'2017-04-09T11:50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6" s="183" t="str">
        <f>IF(AA66&lt;IF(AG66="EC",23,5.65),"Y","N")</f>
        <v>N</v>
      </c>
      <c r="X66" s="183">
        <f>VALUE(LEFT(AD66,4))-VALUE(LEFT(AD65,4))</f>
        <v>1</v>
      </c>
      <c r="Y66" s="62">
        <f>RIGHT(D66,LEN(D66)-4)/10000</f>
        <v>4.5499999999999999E-2</v>
      </c>
      <c r="Z66" s="62">
        <f>RIGHT(H66,LEN(H66)-4)/10000</f>
        <v>23.329799999999999</v>
      </c>
      <c r="AA66" s="62">
        <f>ABS(Z66-Y66)</f>
        <v>23.284299999999998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>IF(LEN(A66)=6,"0"&amp;A66,A66)</f>
        <v>0153-09</v>
      </c>
      <c r="AE66" s="85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s3://rtdc.mdm.uploadarchive.raw/RTDC4024/ "%USERPROFILE%\AppData\Local\Temp\OnboardLogs"\RTDC4024\2017-04-09 --exclude "*" --recursive --include "*20170409*" &amp; "%USERPROFILE%\Documents\GitHub\mrs-test-scripts\Headless Mode &amp; Sideloading\WalkAndUnGZ.bat" "%USERPROFILE%\AppData\Local\Temp\OnboardLogs"\RTDC4024\2017-04-09 &amp; aws s3 cp s3://rtdc.mdm.uploadarchive.raw/RTDC4024/ "%USERPROFILE%\AppData\Local\Temp\OnboardLogs"\RTDC4024\2017-04-10 --exclude "*" --recursive --include "*20170410*" &amp; "%USERPROFILE%\Documents\GitHub\mrs-test-scripts\Headless Mode &amp; Sideloading\WalkAndUnGZ.bat" "%USERPROFILE%\AppData\Local\Temp\OnboardLogs"\RTDC4024\2017-04-10</v>
      </c>
      <c r="AF66" s="82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/stypes="app*4024*20170409*" /stext=" 16:.+((SYSTEM_STATE.+slice.+state.+changed )|(ment ac)|(multiple cpu faults)|(system.+state.+changed )|(\[timeout)|(PRM\|1\|D)|(kpr)|(kdp)|(\|lc)|(penalty))"</v>
      </c>
      <c r="AG66" s="1" t="str">
        <f>IFERROR(IF(VALUE(LEFT(AD66,2))&lt;=2,"EC",IF(OR(VALUE(LEFT(AD66,2))=8,VALUE(LEFT(AD66,2))=18),"NW","Other")),"Other")</f>
        <v>EC</v>
      </c>
      <c r="AH66" s="86" t="str">
        <f t="shared" si="4"/>
        <v>"%USERPROFILE%\Documents\GitHub\eaglep3\Utilities\RefineRTDCRunTimes.py" --tripid 153-09 --locoid 4024 --swversion DE.1.0.9.0 --startMP 204:455 --initTime 2017-04-09T10:11:17 --startdatetime 2017-04-09T10:15:15 --delay 2 --endMP 204:233298 --enddatetime 2017-04-09T10:50:52 --enforcementcount 0 &gt;&gt;C:\Users\stu\Documents\GitHub\eaglep3-reporting\EC\2017-04-09-refined-times.txt</v>
      </c>
      <c r="AI66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{"issue":{"subject":"","project_id":79,"tracker_id":40,"status_id":1,"priority_id":2,"assigned_to_id":23,"start_date":"2017-04-09","description":"","custom_fields":[{"id":1,"name":"Subdivision","value":"EC"},{"id":4,"name":"Milepost","value":"23.3298"},{"id":17,"name":"Train ID","value":"153-09"},{"id":16,"name":"Locomotive ID","value":"4024"},{"id":130,"name":"Impact","value":""},{"id":150,"name":"Time of Event (Mountain Time)","value":"10:50:52"},{"id":151,"name":"Denver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8"/>
      <c r="AL66" s="48"/>
      <c r="AM66" s="150" t="str">
        <f t="shared" si="6"/>
        <v>start /low /b %USERPROFILE%\Documents\GitHub\eaglep3\Utilities\DownloadLogsFromS3.py --loco 4024 --day 2017-04-09</v>
      </c>
      <c r="AN66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16:50:52"},{"id":29,"name":"Sharepoint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711</v>
      </c>
      <c r="B67" s="7">
        <v>4023</v>
      </c>
      <c r="C67" s="21" t="s">
        <v>215</v>
      </c>
      <c r="D67" s="21" t="s">
        <v>436</v>
      </c>
      <c r="E67" s="13">
        <v>42834.462534722225</v>
      </c>
      <c r="F67" s="13">
        <v>42834.46638888889</v>
      </c>
      <c r="G67" s="7">
        <v>1</v>
      </c>
      <c r="H67" s="21" t="s">
        <v>203</v>
      </c>
      <c r="I67" s="13">
        <v>42834.492384259262</v>
      </c>
      <c r="J67" s="7">
        <v>0</v>
      </c>
      <c r="K67" s="97" t="str">
        <f>IF(ISEVEN(B67),(B67-1)&amp;"/"&amp;B67,B67&amp;"/"&amp;(B67+1))</f>
        <v>4023/4024</v>
      </c>
      <c r="L67" s="21" t="str">
        <f>VLOOKUP(A67,'Trips&amp;Operators'!$C$1:$G$99999,5,FALSE)</f>
        <v>GEBRETEKLE DAGNEW</v>
      </c>
      <c r="M67" s="6">
        <f>I67-F67</f>
        <v>2.5995370371674653E-2</v>
      </c>
      <c r="N67" s="7">
        <f>24*60*SUM($M67:$M67)</f>
        <v>37.433333335211501</v>
      </c>
      <c r="O67" s="7"/>
      <c r="P67" s="7"/>
      <c r="Q67" s="22"/>
      <c r="R67" s="22"/>
      <c r="S67" s="31">
        <f>SUM(U67:U67)/IF(AG67="EC",12,1)</f>
        <v>1</v>
      </c>
      <c r="T67" s="46" t="str">
        <f>IF(ISEVEN(LEFT(AD67,4)),"Southbound","NorthBound")</f>
        <v>Southbound</v>
      </c>
      <c r="U67" s="18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2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-04-09T10:06:03-0600',mode:absolute,to:'2017-04-09T12:49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7" s="183" t="str">
        <f>IF(AA67&lt;IF(AG67="EC",23,5.65),"Y","N")</f>
        <v>N</v>
      </c>
      <c r="X67" s="183">
        <f>VALUE(LEFT(AD67,4))-VALUE(LEFT(AD66,4))</f>
        <v>1</v>
      </c>
      <c r="Y67" s="62">
        <f>RIGHT(D67,LEN(D67)-4)/10000</f>
        <v>23.298500000000001</v>
      </c>
      <c r="Z67" s="62">
        <f>RIGHT(H67,LEN(H67)-4)/10000</f>
        <v>1.54E-2</v>
      </c>
      <c r="AA67" s="62">
        <f>ABS(Z67-Y67)</f>
        <v>23.283100000000001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>IF(LEN(A67)=6,"0"&amp;A67,A67)</f>
        <v>0154-09</v>
      </c>
      <c r="AE67" s="85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s3://rtdc.mdm.uploadarchive.raw/RTDC4023/ "%USERPROFILE%\AppData\Local\Temp\OnboardLogs"\RTDC4023\2017-04-09 --exclude "*" --recursive --include "*20170409*" &amp; "%USERPROFILE%\Documents\GitHub\mrs-test-scripts\Headless Mode &amp; Sideloading\WalkAndUnGZ.bat" "%USERPROFILE%\AppData\Local\Temp\OnboardLogs"\RTDC4023\2017-04-09 &amp; aws s3 cp s3://rtdc.mdm.uploadarchive.raw/RTDC4023/ "%USERPROFILE%\AppData\Local\Temp\OnboardLogs"\RTDC4023\2017-04-10 --exclude "*" --recursive --include "*20170410*" &amp; "%USERPROFILE%\Documents\GitHub\mrs-test-scripts\Headless Mode &amp; Sideloading\WalkAndUnGZ.bat" "%USERPROFILE%\AppData\Local\Temp\OnboardLogs"\RTDC4023\2017-04-10</v>
      </c>
      <c r="AF67" s="82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/stypes="app*4023*20170409*" /stext=" 17:.+((SYSTEM_STATE.+slice.+state.+changed )|(ment ac)|(multiple cpu faults)|(system.+state.+changed )|(\[timeout)|(PRM\|1\|D)|(kpr)|(kdp)|(\|lc)|(penalty))"</v>
      </c>
      <c r="AG67" s="1" t="str">
        <f>IFERROR(IF(VALUE(LEFT(AD67,2))&lt;=2,"EC",IF(OR(VALUE(LEFT(AD67,2))=8,VALUE(LEFT(AD67,2))=18),"NW","Other")),"Other")</f>
        <v>EC</v>
      </c>
      <c r="AH67" s="86" t="str">
        <f t="shared" si="4"/>
        <v>"%USERPROFILE%\Documents\GitHub\eaglep3\Utilities\RefineRTDCRunTimes.py" --tripid 154-09 --locoid 4023 --swversion DE.1.0.9.0 --startMP 204:232985 --initTime 2017-04-09T11:06:03 --startdatetime 2017-04-09T11:11:36 --delay 1 --endMP 204:154 --enddatetime 2017-04-09T11:49:02 --enforcementcount 0 &gt;&gt;C:\Users\stu\Documents\GitHub\eaglep3-reporting\EC\2017-04-09-refined-times.txt</v>
      </c>
      <c r="AI67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{"issue":{"subject":"","project_id":79,"tracker_id":40,"status_id":1,"priority_id":2,"assigned_to_id":23,"start_date":"2017-04-09","description":"","custom_fields":[{"id":1,"name":"Subdivision","value":"EC"},{"id":4,"name":"Milepost","value":"0.0154"},{"id":17,"name":"Train ID","value":"154-09"},{"id":16,"name":"Locomotive ID","value":"4023"},{"id":130,"name":"Impact","value":""},{"id":150,"name":"Time of Event (Mountain Time)","value":"11:49:02"},{"id":151,"name":"Denver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8"/>
      <c r="AL67" s="48"/>
      <c r="AM67" s="150" t="str">
        <f t="shared" si="6"/>
        <v>start /low /b %USERPROFILE%\Documents\GitHub\eaglep3\Utilities\DownloadLogsFromS3.py --loco 4023 --day 2017-04-09</v>
      </c>
      <c r="AN67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17:49:02"},{"id":29,"name":"Sharepoint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703</v>
      </c>
      <c r="B68" s="7">
        <v>4032</v>
      </c>
      <c r="C68" s="21" t="s">
        <v>215</v>
      </c>
      <c r="D68" s="21" t="s">
        <v>872</v>
      </c>
      <c r="E68" s="13">
        <v>42834.432245370372</v>
      </c>
      <c r="F68" s="13">
        <v>42834.437662037039</v>
      </c>
      <c r="G68" s="7">
        <v>2</v>
      </c>
      <c r="H68" s="21" t="s">
        <v>577</v>
      </c>
      <c r="I68" s="13">
        <v>42834.462268518517</v>
      </c>
      <c r="J68" s="7">
        <v>0</v>
      </c>
      <c r="K68" s="97" t="str">
        <f>IF(ISEVEN(B68),(B68-1)&amp;"/"&amp;B68,B68&amp;"/"&amp;(B68+1))</f>
        <v>4031/4032</v>
      </c>
      <c r="L68" s="21" t="str">
        <f>VLOOKUP(A68,'Trips&amp;Operators'!$C$1:$G$99999,5,FALSE)</f>
        <v>LOPES KIMBERLY</v>
      </c>
      <c r="M68" s="6">
        <f>I68-F68</f>
        <v>2.4606481478258502E-2</v>
      </c>
      <c r="N68" s="7">
        <f>24*60*SUM($M68:$M68)</f>
        <v>35.433333328692243</v>
      </c>
      <c r="O68" s="7"/>
      <c r="P68" s="7"/>
      <c r="Q68" s="22"/>
      <c r="R68" s="22"/>
      <c r="S68" s="31">
        <f>SUM(U68:U68)/IF(AG68="EC",12,1)</f>
        <v>1</v>
      </c>
      <c r="T68" s="46" t="str">
        <f>IF(ISEVEN(LEFT(AD68,4)),"Southbound","NorthBound")</f>
        <v>NorthBound</v>
      </c>
      <c r="U68" s="18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2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-04-09T09:22:26-0600',mode:absolute,to:'2017-04-09T12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8" s="183" t="str">
        <f>IF(AA68&lt;IF(AG68="EC",23,5.65),"Y","N")</f>
        <v>N</v>
      </c>
      <c r="X68" s="183">
        <f>VALUE(LEFT(AD68,4))-VALUE(LEFT(AD67,4))</f>
        <v>1</v>
      </c>
      <c r="Y68" s="62">
        <f>RIGHT(D68,LEN(D68)-4)/10000</f>
        <v>5.0599999999999999E-2</v>
      </c>
      <c r="Z68" s="62">
        <f>RIGHT(H68,LEN(H68)-4)/10000</f>
        <v>23.328800000000001</v>
      </c>
      <c r="AA68" s="62">
        <f>ABS(Z68-Y68)</f>
        <v>23.278200000000002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>IF(LEN(A68)=6,"0"&amp;A68,A68)</f>
        <v>0155-09</v>
      </c>
      <c r="AE68" s="85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s3://rtdc.mdm.uploadarchive.raw/RTDC4032/ "%USERPROFILE%\AppData\Local\Temp\OnboardLogs"\RTDC4032\2017-04-09 --exclude "*" --recursive --include "*20170409*" &amp; "%USERPROFILE%\Documents\GitHub\mrs-test-scripts\Headless Mode &amp; Sideloading\WalkAndUnGZ.bat" "%USERPROFILE%\AppData\Local\Temp\OnboardLogs"\RTDC4032\2017-04-09 &amp; aws s3 cp s3://rtdc.mdm.uploadarchive.raw/RTDC4032/ "%USERPROFILE%\AppData\Local\Temp\OnboardLogs"\RTDC4032\2017-04-10 --exclude "*" --recursive --include "*20170410*" &amp; "%USERPROFILE%\Documents\GitHub\mrs-test-scripts\Headless Mode &amp; Sideloading\WalkAndUnGZ.bat" "%USERPROFILE%\AppData\Local\Temp\OnboardLogs"\RTDC4032\2017-04-10</v>
      </c>
      <c r="AF68" s="82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/stypes="app*4032*20170409*" /stext=" 17:.+((SYSTEM_STATE.+slice.+state.+changed )|(ment ac)|(multiple cpu faults)|(system.+state.+changed )|(\[timeout)|(PRM\|1\|D)|(kpr)|(kdp)|(\|lc)|(penalty))"</v>
      </c>
      <c r="AG68" s="1" t="str">
        <f>IFERROR(IF(VALUE(LEFT(AD68,2))&lt;=2,"EC",IF(OR(VALUE(LEFT(AD68,2))=8,VALUE(LEFT(AD68,2))=18),"NW","Other")),"Other")</f>
        <v>EC</v>
      </c>
      <c r="AH68" s="86" t="str">
        <f t="shared" si="4"/>
        <v>"%USERPROFILE%\Documents\GitHub\eaglep3\Utilities\RefineRTDCRunTimes.py" --tripid 155-09 --locoid 4032 --swversion DE.1.0.9.0 --startMP 204:506 --initTime 2017-04-09T10:22:26 --startdatetime 2017-04-09T10:30:14 --delay 2 --endMP 204:233288 --enddatetime 2017-04-09T11:05:40 --enforcementcount 0 &gt;&gt;C:\Users\stu\Documents\GitHub\eaglep3-reporting\EC\2017-04-09-refined-times.txt</v>
      </c>
      <c r="AI68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{"issue":{"subject":"","project_id":79,"tracker_id":40,"status_id":1,"priority_id":2,"assigned_to_id":23,"start_date":"2017-04-09","description":"","custom_fields":[{"id":1,"name":"Subdivision","value":"EC"},{"id":4,"name":"Milepost","value":"23.3288"},{"id":17,"name":"Train ID","value":"155-09"},{"id":16,"name":"Locomotive ID","value":"4032"},{"id":130,"name":"Impact","value":""},{"id":150,"name":"Time of Event (Mountain Time)","value":"11:05:40"},{"id":151,"name":"Denver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8"/>
      <c r="AL68" s="48"/>
      <c r="AM68" s="150" t="str">
        <f t="shared" si="6"/>
        <v>start /low /b %USERPROFILE%\Documents\GitHub\eaglep3\Utilities\DownloadLogsFromS3.py --loco 4032 --day 2017-04-09</v>
      </c>
      <c r="AN68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17:05:40"},{"id":29,"name":"Sharepoint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713</v>
      </c>
      <c r="B69" s="7">
        <v>4031</v>
      </c>
      <c r="C69" s="21" t="s">
        <v>215</v>
      </c>
      <c r="D69" s="21" t="s">
        <v>447</v>
      </c>
      <c r="E69" s="13">
        <v>42834.468449074076</v>
      </c>
      <c r="F69" s="13">
        <v>42834.476643518516</v>
      </c>
      <c r="G69" s="7">
        <v>1</v>
      </c>
      <c r="H69" s="21" t="s">
        <v>843</v>
      </c>
      <c r="I69" s="13">
        <v>42834.50545138889</v>
      </c>
      <c r="J69" s="7">
        <v>0</v>
      </c>
      <c r="K69" s="97" t="str">
        <f>IF(ISEVEN(B69),(B69-1)&amp;"/"&amp;B69,B69&amp;"/"&amp;(B69+1))</f>
        <v>4031/4032</v>
      </c>
      <c r="L69" s="21" t="str">
        <f>VLOOKUP(A69,'Trips&amp;Operators'!$C$1:$G$99999,5,FALSE)</f>
        <v>LOPES KIMBERLY</v>
      </c>
      <c r="M69" s="6">
        <f>I69-F69</f>
        <v>2.8807870374293998E-2</v>
      </c>
      <c r="N69" s="7">
        <f>24*60*SUM($M69:$M69)</f>
        <v>41.483333338983357</v>
      </c>
      <c r="O69" s="7"/>
      <c r="P69" s="7"/>
      <c r="Q69" s="22"/>
      <c r="R69" s="22"/>
      <c r="S69" s="31">
        <f>SUM(U69:U69)/IF(AG69="EC",12,1)</f>
        <v>1</v>
      </c>
      <c r="T69" s="46" t="str">
        <f>IF(ISEVEN(LEFT(AD69,4)),"Southbound","NorthBound")</f>
        <v>Southbound</v>
      </c>
      <c r="U69" s="18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2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-04-09T10:14:34-0600',mode:absolute,to:'2017-04-09T13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9" s="183" t="str">
        <f>IF(AA69&lt;IF(AG69="EC",23,5.65),"Y","N")</f>
        <v>N</v>
      </c>
      <c r="X69" s="183">
        <f>VALUE(LEFT(AD69,4))-VALUE(LEFT(AD68,4))</f>
        <v>1</v>
      </c>
      <c r="Y69" s="62">
        <f>RIGHT(D69,LEN(D69)-4)/10000</f>
        <v>23.2971</v>
      </c>
      <c r="Z69" s="62">
        <f>RIGHT(H69,LEN(H69)-4)/10000</f>
        <v>1.4999999999999999E-2</v>
      </c>
      <c r="AA69" s="62">
        <f>ABS(Z69-Y69)</f>
        <v>23.2821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>IF(LEN(A69)=6,"0"&amp;A69,A69)</f>
        <v>0156-09</v>
      </c>
      <c r="AE69" s="85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s3://rtdc.mdm.uploadarchive.raw/RTDC4031/ "%USERPROFILE%\AppData\Local\Temp\OnboardLogs"\RTDC4031\2017-04-09 --exclude "*" --recursive --include "*20170409*" &amp; "%USERPROFILE%\Documents\GitHub\mrs-test-scripts\Headless Mode &amp; Sideloading\WalkAndUnGZ.bat" "%USERPROFILE%\AppData\Local\Temp\OnboardLogs"\RTDC4031\2017-04-09 &amp; aws s3 cp s3://rtdc.mdm.uploadarchive.raw/RTDC4031/ "%USERPROFILE%\AppData\Local\Temp\OnboardLogs"\RTDC4031\2017-04-10 --exclude "*" --recursive --include "*20170410*" &amp; "%USERPROFILE%\Documents\GitHub\mrs-test-scripts\Headless Mode &amp; Sideloading\WalkAndUnGZ.bat" "%USERPROFILE%\AppData\Local\Temp\OnboardLogs"\RTDC4031\2017-04-10</v>
      </c>
      <c r="AF69" s="82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/stypes="app*4031*20170409*" /stext=" 18:.+((SYSTEM_STATE.+slice.+state.+changed )|(ment ac)|(multiple cpu faults)|(system.+state.+changed )|(\[timeout)|(PRM\|1\|D)|(kpr)|(kdp)|(\|lc)|(penalty))"</v>
      </c>
      <c r="AG69" s="1" t="str">
        <f>IFERROR(IF(VALUE(LEFT(AD69,2))&lt;=2,"EC",IF(OR(VALUE(LEFT(AD69,2))=8,VALUE(LEFT(AD69,2))=18),"NW","Other")),"Other")</f>
        <v>EC</v>
      </c>
      <c r="AH69" s="86" t="str">
        <f t="shared" si="4"/>
        <v>"%USERPROFILE%\Documents\GitHub\eaglep3\Utilities\RefineRTDCRunTimes.py" --tripid 156-09 --locoid 4031 --swversion DE.1.0.9.0 --startMP 204:232971 --initTime 2017-04-09T11:14:34 --startdatetime 2017-04-09T11:26:22 --delay 1 --endMP 204:150 --enddatetime 2017-04-09T12:07:51 --enforcementcount 0 &gt;&gt;C:\Users\stu\Documents\GitHub\eaglep3-reporting\EC\2017-04-09-refined-times.txt</v>
      </c>
      <c r="AI69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{"issue":{"subject":"","project_id":79,"tracker_id":40,"status_id":1,"priority_id":2,"assigned_to_id":23,"start_date":"2017-04-09","description":"","custom_fields":[{"id":1,"name":"Subdivision","value":"EC"},{"id":4,"name":"Milepost","value":"0.015"},{"id":17,"name":"Train ID","value":"156-09"},{"id":16,"name":"Locomotive ID","value":"4031"},{"id":130,"name":"Impact","value":""},{"id":150,"name":"Time of Event (Mountain Time)","value":"12:07:51"},{"id":151,"name":"Denver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8"/>
      <c r="AL69" s="48"/>
      <c r="AM69" s="150" t="str">
        <f t="shared" si="6"/>
        <v>start /low /b %USERPROFILE%\Documents\GitHub\eaglep3\Utilities\DownloadLogsFromS3.py --loco 4031 --day 2017-04-09</v>
      </c>
      <c r="AN69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18:07:51"},{"id":29,"name":"Sharepoint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706</v>
      </c>
      <c r="B70" s="7">
        <v>4012</v>
      </c>
      <c r="C70" s="21" t="s">
        <v>215</v>
      </c>
      <c r="D70" s="21" t="s">
        <v>528</v>
      </c>
      <c r="E70" s="13">
        <v>42834.443402777775</v>
      </c>
      <c r="F70" s="13">
        <v>42834.44809027778</v>
      </c>
      <c r="G70" s="7">
        <v>1</v>
      </c>
      <c r="H70" s="21" t="s">
        <v>873</v>
      </c>
      <c r="I70" s="13">
        <v>42834.473391203705</v>
      </c>
      <c r="J70" s="7">
        <v>0</v>
      </c>
      <c r="K70" s="97" t="str">
        <f>IF(ISEVEN(B70),(B70-1)&amp;"/"&amp;B70,B70&amp;"/"&amp;(B70+1))</f>
        <v>4011/4012</v>
      </c>
      <c r="L70" s="21" t="str">
        <f>VLOOKUP(A70,'Trips&amp;Operators'!$C$1:$G$99999,5,FALSE)</f>
        <v>SHOOK JOHN</v>
      </c>
      <c r="M70" s="6">
        <f>I70-F70</f>
        <v>2.5300925924966577E-2</v>
      </c>
      <c r="N70" s="7">
        <f>24*60*SUM($M70:$M70)</f>
        <v>36.433333331951872</v>
      </c>
      <c r="O70" s="7"/>
      <c r="P70" s="7"/>
      <c r="Q70" s="22"/>
      <c r="R70" s="22"/>
      <c r="S70" s="31">
        <f>SUM(U70:U70)/IF(AG70="EC",12,1)</f>
        <v>1</v>
      </c>
      <c r="T70" s="46" t="str">
        <f>IF(ISEVEN(LEFT(AD70,4)),"Southbound","NorthBound")</f>
        <v>NorthBound</v>
      </c>
      <c r="U70" s="18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2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-04-09T09:38:30-0600',mode:absolute,to:'2017-04-09T12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0" s="183" t="str">
        <f>IF(AA70&lt;IF(AG70="EC",23,5.65),"Y","N")</f>
        <v>N</v>
      </c>
      <c r="X70" s="183">
        <f>VALUE(LEFT(AD70,4))-VALUE(LEFT(AD69,4))</f>
        <v>1</v>
      </c>
      <c r="Y70" s="62">
        <f>RIGHT(D70,LEN(D70)-4)/10000</f>
        <v>4.6399999999999997E-2</v>
      </c>
      <c r="Z70" s="62">
        <f>RIGHT(H70,LEN(H70)-4)/10000</f>
        <v>23.335100000000001</v>
      </c>
      <c r="AA70" s="62">
        <f>ABS(Z70-Y70)</f>
        <v>23.288700000000002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>IF(LEN(A70)=6,"0"&amp;A70,A70)</f>
        <v>0157-09</v>
      </c>
      <c r="AE70" s="85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s3://rtdc.mdm.uploadarchive.raw/RTDC4012/ "%USERPROFILE%\AppData\Local\Temp\OnboardLogs"\RTDC4012\2017-04-09 --exclude "*" --recursive --include "*20170409*" &amp; "%USERPROFILE%\Documents\GitHub\mrs-test-scripts\Headless Mode &amp; Sideloading\WalkAndUnGZ.bat" "%USERPROFILE%\AppData\Local\Temp\OnboardLogs"\RTDC4012\2017-04-09 &amp; aws s3 cp s3://rtdc.mdm.uploadarchive.raw/RTDC4012/ "%USERPROFILE%\AppData\Local\Temp\OnboardLogs"\RTDC4012\2017-04-10 --exclude "*" --recursive --include "*20170410*" &amp; "%USERPROFILE%\Documents\GitHub\mrs-test-scripts\Headless Mode &amp; Sideloading\WalkAndUnGZ.bat" "%USERPROFILE%\AppData\Local\Temp\OnboardLogs"\RTDC4012\2017-04-10</v>
      </c>
      <c r="AF70" s="82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/stypes="app*4012*20170409*" /stext=" 17:.+((SYSTEM_STATE.+slice.+state.+changed )|(ment ac)|(multiple cpu faults)|(system.+state.+changed )|(\[timeout)|(PRM\|1\|D)|(kpr)|(kdp)|(\|lc)|(penalty))"</v>
      </c>
      <c r="AG70" s="1" t="str">
        <f>IFERROR(IF(VALUE(LEFT(AD70,2))&lt;=2,"EC",IF(OR(VALUE(LEFT(AD70,2))=8,VALUE(LEFT(AD70,2))=18),"NW","Other")),"Other")</f>
        <v>EC</v>
      </c>
      <c r="AH70" s="86" t="str">
        <f t="shared" si="4"/>
        <v>"%USERPROFILE%\Documents\GitHub\eaglep3\Utilities\RefineRTDCRunTimes.py" --tripid 157-09 --locoid 4012 --swversion DE.1.0.9.0 --startMP 204:464 --initTime 2017-04-09T10:38:30 --startdatetime 2017-04-09T10:45:15 --delay 1 --endMP 204:233351 --enddatetime 2017-04-09T11:21:41 --enforcementcount 0 &gt;&gt;C:\Users\stu\Documents\GitHub\eaglep3-reporting\EC\2017-04-09-refined-times.txt</v>
      </c>
      <c r="AI70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{"issue":{"subject":"","project_id":79,"tracker_id":40,"status_id":1,"priority_id":2,"assigned_to_id":23,"start_date":"2017-04-09","description":"","custom_fields":[{"id":1,"name":"Subdivision","value":"EC"},{"id":4,"name":"Milepost","value":"23.3351"},{"id":17,"name":"Train ID","value":"157-09"},{"id":16,"name":"Locomotive ID","value":"4012"},{"id":130,"name":"Impact","value":""},{"id":150,"name":"Time of Event (Mountain Time)","value":"11:21:41"},{"id":151,"name":"Denver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8"/>
      <c r="AL70" s="48"/>
      <c r="AM70" s="150" t="str">
        <f t="shared" si="6"/>
        <v>start /low /b %USERPROFILE%\Documents\GitHub\eaglep3\Utilities\DownloadLogsFromS3.py --loco 4012 --day 2017-04-09</v>
      </c>
      <c r="AN70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17:21:41"},{"id":29,"name":"Sharepoint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714</v>
      </c>
      <c r="B71" s="7">
        <v>4011</v>
      </c>
      <c r="C71" s="21" t="s">
        <v>215</v>
      </c>
      <c r="D71" s="21" t="s">
        <v>852</v>
      </c>
      <c r="E71" s="13">
        <v>42834.474988425929</v>
      </c>
      <c r="F71" s="13">
        <v>42834.487002314818</v>
      </c>
      <c r="G71" s="7">
        <v>0</v>
      </c>
      <c r="H71" s="21" t="s">
        <v>212</v>
      </c>
      <c r="I71" s="13">
        <v>42834.517442129632</v>
      </c>
      <c r="J71" s="7">
        <v>0</v>
      </c>
      <c r="K71" s="97" t="str">
        <f>IF(ISEVEN(B71),(B71-1)&amp;"/"&amp;B71,B71&amp;"/"&amp;(B71+1))</f>
        <v>4011/4012</v>
      </c>
      <c r="L71" s="21" t="str">
        <f>VLOOKUP(A71,'Trips&amp;Operators'!$C$1:$G$99999,5,FALSE)</f>
        <v>SHOOK JOHN</v>
      </c>
      <c r="M71" s="6">
        <f>I71-F71</f>
        <v>3.0439814814599231E-2</v>
      </c>
      <c r="N71" s="7">
        <f>24*60*SUM($M71:$M71)</f>
        <v>43.833333333022892</v>
      </c>
      <c r="O71" s="7"/>
      <c r="P71" s="7"/>
      <c r="Q71" s="22"/>
      <c r="R71" s="22"/>
      <c r="S71" s="31">
        <f>SUM(U71:U71)/IF(AG71="EC",12,1)</f>
        <v>1</v>
      </c>
      <c r="T71" s="46" t="str">
        <f>IF(ISEVEN(LEFT(AD71,4)),"Southbound","NorthBound")</f>
        <v>Southbound</v>
      </c>
      <c r="U71" s="18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2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-04-09T10:23:59-0600',mode:absolute,to:'2017-04-09T13:25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1" s="183" t="str">
        <f>IF(AA71&lt;IF(AG71="EC",23,5.65),"Y","N")</f>
        <v>N</v>
      </c>
      <c r="X71" s="183">
        <f>VALUE(LEFT(AD71,4))-VALUE(LEFT(AD70,4))</f>
        <v>1</v>
      </c>
      <c r="Y71" s="62">
        <f>RIGHT(D71,LEN(D71)-4)/10000</f>
        <v>23.3004</v>
      </c>
      <c r="Z71" s="62">
        <f>RIGHT(H71,LEN(H71)-4)/10000</f>
        <v>1.47E-2</v>
      </c>
      <c r="AA71" s="62">
        <f>ABS(Z71-Y71)</f>
        <v>23.285699999999999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>IF(LEN(A71)=6,"0"&amp;A71,A71)</f>
        <v>0158-09</v>
      </c>
      <c r="AE71" s="85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s3://rtdc.mdm.uploadarchive.raw/RTDC4011/ "%USERPROFILE%\AppData\Local\Temp\OnboardLogs"\RTDC4011\2017-04-09 --exclude "*" --recursive --include "*20170409*" &amp; "%USERPROFILE%\Documents\GitHub\mrs-test-scripts\Headless Mode &amp; Sideloading\WalkAndUnGZ.bat" "%USERPROFILE%\AppData\Local\Temp\OnboardLogs"\RTDC4011\2017-04-09 &amp; aws s3 cp s3://rtdc.mdm.uploadarchive.raw/RTDC4011/ "%USERPROFILE%\AppData\Local\Temp\OnboardLogs"\RTDC4011\2017-04-10 --exclude "*" --recursive --include "*20170410*" &amp; "%USERPROFILE%\Documents\GitHub\mrs-test-scripts\Headless Mode &amp; Sideloading\WalkAndUnGZ.bat" "%USERPROFILE%\AppData\Local\Temp\OnboardLogs"\RTDC4011\2017-04-10</v>
      </c>
      <c r="AF71" s="82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/stypes="app*4011*20170409*" /stext=" 18:.+((SYSTEM_STATE.+slice.+state.+changed )|(ment ac)|(multiple cpu faults)|(system.+state.+changed )|(\[timeout)|(PRM\|1\|D)|(kpr)|(kdp)|(\|lc)|(penalty))"</v>
      </c>
      <c r="AG71" s="1" t="str">
        <f>IFERROR(IF(VALUE(LEFT(AD71,2))&lt;=2,"EC",IF(OR(VALUE(LEFT(AD71,2))=8,VALUE(LEFT(AD71,2))=18),"NW","Other")),"Other")</f>
        <v>EC</v>
      </c>
      <c r="AH71" s="86" t="str">
        <f t="shared" si="4"/>
        <v>"%USERPROFILE%\Documents\GitHub\eaglep3\Utilities\RefineRTDCRunTimes.py" --tripid 158-09 --locoid 4011 --swversion DE.1.0.9.0 --startMP 204:233004 --initTime 2017-04-09T11:23:59 --startdatetime 2017-04-09T11:41:17 --delay 0 --endMP 204:147 --enddatetime 2017-04-09T12:25:07 --enforcementcount 0 &gt;&gt;C:\Users\stu\Documents\GitHub\eaglep3-reporting\EC\2017-04-09-refined-times.txt</v>
      </c>
      <c r="AI71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{"issue":{"subject":"","project_id":79,"tracker_id":40,"status_id":1,"priority_id":2,"assigned_to_id":23,"start_date":"2017-04-09","description":"","custom_fields":[{"id":1,"name":"Subdivision","value":"EC"},{"id":4,"name":"Milepost","value":"0.0147"},{"id":17,"name":"Train ID","value":"158-09"},{"id":16,"name":"Locomotive ID","value":"4011"},{"id":130,"name":"Impact","value":""},{"id":150,"name":"Time of Event (Mountain Time)","value":"12:25:07"},{"id":151,"name":"Denver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8"/>
      <c r="AL71" s="48"/>
      <c r="AM71" s="150" t="str">
        <f t="shared" si="6"/>
        <v>start /low /b %USERPROFILE%\Documents\GitHub\eaglep3\Utilities\DownloadLogsFromS3.py --loco 4011 --day 2017-04-09</v>
      </c>
      <c r="AN71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18:25:07"},{"id":29,"name":"Sharepoint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708</v>
      </c>
      <c r="B72" s="7">
        <v>4030</v>
      </c>
      <c r="C72" s="21" t="s">
        <v>215</v>
      </c>
      <c r="D72" s="21" t="s">
        <v>394</v>
      </c>
      <c r="E72" s="13">
        <v>42834.454386574071</v>
      </c>
      <c r="F72" s="13">
        <v>42834.45853009259</v>
      </c>
      <c r="G72" s="7">
        <v>2</v>
      </c>
      <c r="H72" s="21" t="s">
        <v>429</v>
      </c>
      <c r="I72" s="13">
        <v>42834.482800925929</v>
      </c>
      <c r="J72" s="7">
        <v>0</v>
      </c>
      <c r="K72" s="97" t="str">
        <f>IF(ISEVEN(B72),(B72-1)&amp;"/"&amp;B72,B72&amp;"/"&amp;(B72+1))</f>
        <v>4029/4030</v>
      </c>
      <c r="L72" s="21" t="str">
        <f>VLOOKUP(A72,'Trips&amp;Operators'!$C$1:$G$99999,5,FALSE)</f>
        <v>STEWART MICHAEL</v>
      </c>
      <c r="M72" s="6">
        <f>I72-F72</f>
        <v>2.4270833338960074E-2</v>
      </c>
      <c r="N72" s="7">
        <f>24*60*SUM($M72:$M72)</f>
        <v>34.950000008102506</v>
      </c>
      <c r="O72" s="7"/>
      <c r="P72" s="7"/>
      <c r="Q72" s="22"/>
      <c r="R72" s="22"/>
      <c r="S72" s="31">
        <f>SUM(U72:U72)/IF(AG72="EC",12,1)</f>
        <v>1</v>
      </c>
      <c r="T72" s="46" t="str">
        <f>IF(ISEVEN(LEFT(AD72,4)),"Southbound","NorthBound")</f>
        <v>NorthBound</v>
      </c>
      <c r="U72" s="18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2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-04-09T09:54:19-0600',mode:absolute,to:'2017-04-09T12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2" s="183" t="str">
        <f>IF(AA72&lt;IF(AG72="EC",23,5.65),"Y","N")</f>
        <v>N</v>
      </c>
      <c r="X72" s="183">
        <f>VALUE(LEFT(AD72,4))-VALUE(LEFT(AD71,4))</f>
        <v>1</v>
      </c>
      <c r="Y72" s="62">
        <f>RIGHT(D72,LEN(D72)-4)/10000</f>
        <v>4.4900000000000002E-2</v>
      </c>
      <c r="Z72" s="62">
        <f>RIGHT(H72,LEN(H72)-4)/10000</f>
        <v>23.329699999999999</v>
      </c>
      <c r="AA72" s="62">
        <f>ABS(Z72-Y72)</f>
        <v>23.284800000000001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>IF(LEN(A72)=6,"0"&amp;A72,A72)</f>
        <v>0159-09</v>
      </c>
      <c r="AE72" s="85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s3://rtdc.mdm.uploadarchive.raw/RTDC4030/ "%USERPROFILE%\AppData\Local\Temp\OnboardLogs"\RTDC4030\2017-04-09 --exclude "*" --recursive --include "*20170409*" &amp; "%USERPROFILE%\Documents\GitHub\mrs-test-scripts\Headless Mode &amp; Sideloading\WalkAndUnGZ.bat" "%USERPROFILE%\AppData\Local\Temp\OnboardLogs"\RTDC4030\2017-04-09 &amp; aws s3 cp s3://rtdc.mdm.uploadarchive.raw/RTDC4030/ "%USERPROFILE%\AppData\Local\Temp\OnboardLogs"\RTDC4030\2017-04-10 --exclude "*" --recursive --include "*20170410*" &amp; "%USERPROFILE%\Documents\GitHub\mrs-test-scripts\Headless Mode &amp; Sideloading\WalkAndUnGZ.bat" "%USERPROFILE%\AppData\Local\Temp\OnboardLogs"\RTDC4030\2017-04-10</v>
      </c>
      <c r="AF72" s="82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/stypes="app*4030*20170409*" /stext=" 17:.+((SYSTEM_STATE.+slice.+state.+changed )|(ment ac)|(multiple cpu faults)|(system.+state.+changed )|(\[timeout)|(PRM\|1\|D)|(kpr)|(kdp)|(\|lc)|(penalty))"</v>
      </c>
      <c r="AG72" s="1" t="str">
        <f>IFERROR(IF(VALUE(LEFT(AD72,2))&lt;=2,"EC",IF(OR(VALUE(LEFT(AD72,2))=8,VALUE(LEFT(AD72,2))=18),"NW","Other")),"Other")</f>
        <v>EC</v>
      </c>
      <c r="AH72" s="86" t="str">
        <f t="shared" si="4"/>
        <v>"%USERPROFILE%\Documents\GitHub\eaglep3\Utilities\RefineRTDCRunTimes.py" --tripid 159-09 --locoid 4030 --swversion DE.1.0.9.0 --startMP 204:449 --initTime 2017-04-09T10:54:19 --startdatetime 2017-04-09T11:00:17 --delay 2 --endMP 204:233297 --enddatetime 2017-04-09T11:35:14 --enforcementcount 0 &gt;&gt;C:\Users\stu\Documents\GitHub\eaglep3-reporting\EC\2017-04-09-refined-times.txt</v>
      </c>
      <c r="AI72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{"issue":{"subject":"","project_id":79,"tracker_id":40,"status_id":1,"priority_id":2,"assigned_to_id":23,"start_date":"2017-04-09","description":"","custom_fields":[{"id":1,"name":"Subdivision","value":"EC"},{"id":4,"name":"Milepost","value":"23.3297"},{"id":17,"name":"Train ID","value":"159-09"},{"id":16,"name":"Locomotive ID","value":"4030"},{"id":130,"name":"Impact","value":""},{"id":150,"name":"Time of Event (Mountain Time)","value":"11:35:14"},{"id":151,"name":"Denver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8"/>
      <c r="AL72" s="48"/>
      <c r="AM72" s="150" t="str">
        <f t="shared" si="6"/>
        <v>start /low /b %USERPROFILE%\Documents\GitHub\eaglep3\Utilities\DownloadLogsFromS3.py --loco 4030 --day 2017-04-09</v>
      </c>
      <c r="AN72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17:35:14"},{"id":29,"name":"Sharepoint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724</v>
      </c>
      <c r="B73" s="7">
        <v>4029</v>
      </c>
      <c r="C73" s="21" t="s">
        <v>215</v>
      </c>
      <c r="D73" s="21" t="s">
        <v>510</v>
      </c>
      <c r="E73" s="13">
        <v>42834.491770833331</v>
      </c>
      <c r="F73" s="13">
        <v>42834.497418981482</v>
      </c>
      <c r="G73" s="7">
        <v>2</v>
      </c>
      <c r="H73" s="21" t="s">
        <v>843</v>
      </c>
      <c r="I73" s="13">
        <v>42834.527071759258</v>
      </c>
      <c r="J73" s="7">
        <v>0</v>
      </c>
      <c r="K73" s="97" t="str">
        <f>IF(ISEVEN(B73),(B73-1)&amp;"/"&amp;B73,B73&amp;"/"&amp;(B73+1))</f>
        <v>4029/4030</v>
      </c>
      <c r="L73" s="21" t="str">
        <f>VLOOKUP(A73,'Trips&amp;Operators'!$C$1:$G$99999,5,FALSE)</f>
        <v>STEWART MICHAEL</v>
      </c>
      <c r="M73" s="6">
        <f>I73-F73</f>
        <v>2.9652777775481809E-2</v>
      </c>
      <c r="N73" s="7">
        <f>24*60*SUM($M73:$M73)</f>
        <v>42.699999996693805</v>
      </c>
      <c r="O73" s="7"/>
      <c r="P73" s="7"/>
      <c r="Q73" s="22"/>
      <c r="R73" s="22"/>
      <c r="S73" s="31">
        <f>SUM(U73:U73)/IF(AG73="EC",12,1)</f>
        <v>1</v>
      </c>
      <c r="T73" s="46" t="str">
        <f>IF(ISEVEN(LEFT(AD73,4)),"Southbound","NorthBound")</f>
        <v>Southbound</v>
      </c>
      <c r="U73" s="18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2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-04-09T10:48:09-0600',mode:absolute,to:'2017-04-09T13:38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3" s="183" t="str">
        <f>IF(AA73&lt;IF(AG73="EC",23,5.65),"Y","N")</f>
        <v>N</v>
      </c>
      <c r="X73" s="183">
        <f>VALUE(LEFT(AD73,4))-VALUE(LEFT(AD72,4))</f>
        <v>1</v>
      </c>
      <c r="Y73" s="62">
        <f>RIGHT(D73,LEN(D73)-4)/10000</f>
        <v>23.297799999999999</v>
      </c>
      <c r="Z73" s="62">
        <f>RIGHT(H73,LEN(H73)-4)/10000</f>
        <v>1.4999999999999999E-2</v>
      </c>
      <c r="AA73" s="62">
        <f>ABS(Z73-Y73)</f>
        <v>23.282799999999998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>IF(LEN(A73)=6,"0"&amp;A73,A73)</f>
        <v>0160-09</v>
      </c>
      <c r="AE73" s="85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s3://rtdc.mdm.uploadarchive.raw/RTDC4029/ "%USERPROFILE%\AppData\Local\Temp\OnboardLogs"\RTDC4029\2017-04-09 --exclude "*" --recursive --include "*20170409*" &amp; "%USERPROFILE%\Documents\GitHub\mrs-test-scripts\Headless Mode &amp; Sideloading\WalkAndUnGZ.bat" "%USERPROFILE%\AppData\Local\Temp\OnboardLogs"\RTDC4029\2017-04-09 &amp; aws s3 cp s3://rtdc.mdm.uploadarchive.raw/RTDC4029/ "%USERPROFILE%\AppData\Local\Temp\OnboardLogs"\RTDC4029\2017-04-10 --exclude "*" --recursive --include "*20170410*" &amp; "%USERPROFILE%\Documents\GitHub\mrs-test-scripts\Headless Mode &amp; Sideloading\WalkAndUnGZ.bat" "%USERPROFILE%\AppData\Local\Temp\OnboardLogs"\RTDC4029\2017-04-10</v>
      </c>
      <c r="AF73" s="82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/stypes="app*4029*20170409*" /stext=" 18:.+((SYSTEM_STATE.+slice.+state.+changed )|(ment ac)|(multiple cpu faults)|(system.+state.+changed )|(\[timeout)|(PRM\|1\|D)|(kpr)|(kdp)|(\|lc)|(penalty))"</v>
      </c>
      <c r="AG73" s="1" t="str">
        <f>IFERROR(IF(VALUE(LEFT(AD73,2))&lt;=2,"EC",IF(OR(VALUE(LEFT(AD73,2))=8,VALUE(LEFT(AD73,2))=18),"NW","Other")),"Other")</f>
        <v>EC</v>
      </c>
      <c r="AH73" s="86" t="str">
        <f t="shared" si="4"/>
        <v>"%USERPROFILE%\Documents\GitHub\eaglep3\Utilities\RefineRTDCRunTimes.py" --tripid 160-09 --locoid 4029 --swversion DE.1.0.9.0 --startMP 204:232978 --initTime 2017-04-09T11:48:09 --startdatetime 2017-04-09T11:56:17 --delay 2 --endMP 204:150 --enddatetime 2017-04-09T12:38:59 --enforcementcount 0 &gt;&gt;C:\Users\stu\Documents\GitHub\eaglep3-reporting\EC\2017-04-09-refined-times.txt</v>
      </c>
      <c r="AI73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{"issue":{"subject":"","project_id":79,"tracker_id":40,"status_id":1,"priority_id":2,"assigned_to_id":23,"start_date":"2017-04-09","description":"","custom_fields":[{"id":1,"name":"Subdivision","value":"EC"},{"id":4,"name":"Milepost","value":"0.015"},{"id":17,"name":"Train ID","value":"160-09"},{"id":16,"name":"Locomotive ID","value":"4029"},{"id":130,"name":"Impact","value":""},{"id":150,"name":"Time of Event (Mountain Time)","value":"12:38:59"},{"id":151,"name":"Denver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8"/>
      <c r="AL73" s="48"/>
      <c r="AM73" s="150" t="str">
        <f t="shared" si="6"/>
        <v>start /low /b %USERPROFILE%\Documents\GitHub\eaglep3\Utilities\DownloadLogsFromS3.py --loco 4029 --day 2017-04-09</v>
      </c>
      <c r="AN73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18:38:59"},{"id":29,"name":"Sharepoint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712</v>
      </c>
      <c r="B74" s="7">
        <v>4004</v>
      </c>
      <c r="C74" s="21" t="s">
        <v>215</v>
      </c>
      <c r="D74" s="21" t="s">
        <v>840</v>
      </c>
      <c r="E74" s="13">
        <v>42834.46601851852</v>
      </c>
      <c r="F74" s="13">
        <v>42834.469074074077</v>
      </c>
      <c r="G74" s="7">
        <v>2</v>
      </c>
      <c r="H74" s="21" t="s">
        <v>420</v>
      </c>
      <c r="I74" s="13">
        <v>42834.495243055557</v>
      </c>
      <c r="J74" s="7">
        <v>0</v>
      </c>
      <c r="K74" s="97" t="str">
        <f>IF(ISEVEN(B74),(B74-1)&amp;"/"&amp;B74,B74&amp;"/"&amp;(B74+1))</f>
        <v>4003/4004</v>
      </c>
      <c r="L74" s="21" t="str">
        <f>VLOOKUP(A74,'Trips&amp;Operators'!$C$1:$G$99999,5,FALSE)</f>
        <v>DAVIS MICHAEL</v>
      </c>
      <c r="M74" s="6">
        <f>I74-F74</f>
        <v>2.6168981479713693E-2</v>
      </c>
      <c r="N74" s="7">
        <f>24*60*SUM($M74:$M74)</f>
        <v>37.683333330787718</v>
      </c>
      <c r="O74" s="7"/>
      <c r="P74" s="7"/>
      <c r="Q74" s="22"/>
      <c r="R74" s="22"/>
      <c r="S74" s="31">
        <f>SUM(U74:U74)/IF(AG74="EC",12,1)</f>
        <v>1</v>
      </c>
      <c r="T74" s="46" t="str">
        <f>IF(ISEVEN(LEFT(AD74,4)),"Southbound","NorthBound")</f>
        <v>NorthBound</v>
      </c>
      <c r="U74" s="18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2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-04-09T10:11:04-0600',mode:absolute,to:'2017-04-09T12:53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4" s="183" t="str">
        <f>IF(AA74&lt;IF(AG74="EC",23,5.65),"Y","N")</f>
        <v>N</v>
      </c>
      <c r="X74" s="183">
        <f>VALUE(LEFT(AD74,4))-VALUE(LEFT(AD73,4))</f>
        <v>1</v>
      </c>
      <c r="Y74" s="62">
        <f>RIGHT(D74,LEN(D74)-4)/10000</f>
        <v>4.3799999999999999E-2</v>
      </c>
      <c r="Z74" s="62">
        <f>RIGHT(H74,LEN(H74)-4)/10000</f>
        <v>23.3308</v>
      </c>
      <c r="AA74" s="62">
        <f>ABS(Z74-Y74)</f>
        <v>23.286999999999999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>IF(LEN(A74)=6,"0"&amp;A74,A74)</f>
        <v>0161-09</v>
      </c>
      <c r="AE74" s="85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s3://rtdc.mdm.uploadarchive.raw/RTDC4004/ "%USERPROFILE%\AppData\Local\Temp\OnboardLogs"\RTDC4004\2017-04-09 --exclude "*" --recursive --include "*20170409*" &amp; "%USERPROFILE%\Documents\GitHub\mrs-test-scripts\Headless Mode &amp; Sideloading\WalkAndUnGZ.bat" "%USERPROFILE%\AppData\Local\Temp\OnboardLogs"\RTDC4004\2017-04-09 &amp; aws s3 cp s3://rtdc.mdm.uploadarchive.raw/RTDC4004/ "%USERPROFILE%\AppData\Local\Temp\OnboardLogs"\RTDC4004\2017-04-10 --exclude "*" --recursive --include "*20170410*" &amp; "%USERPROFILE%\Documents\GitHub\mrs-test-scripts\Headless Mode &amp; Sideloading\WalkAndUnGZ.bat" "%USERPROFILE%\AppData\Local\Temp\OnboardLogs"\RTDC4004\2017-04-10</v>
      </c>
      <c r="AF74" s="82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/stypes="app*4004*20170409*" /stext=" 17:.+((SYSTEM_STATE.+slice.+state.+changed )|(ment ac)|(multiple cpu faults)|(system.+state.+changed )|(\[timeout)|(PRM\|1\|D)|(kpr)|(kdp)|(\|lc)|(penalty))"</v>
      </c>
      <c r="AG74" s="1" t="str">
        <f>IFERROR(IF(VALUE(LEFT(AD74,2))&lt;=2,"EC",IF(OR(VALUE(LEFT(AD74,2))=8,VALUE(LEFT(AD74,2))=18),"NW","Other")),"Other")</f>
        <v>EC</v>
      </c>
      <c r="AH74" s="86" t="str">
        <f t="shared" si="4"/>
        <v>"%USERPROFILE%\Documents\GitHub\eaglep3\Utilities\RefineRTDCRunTimes.py" --tripid 161-09 --locoid 4004 --swversion DE.1.0.9.0 --startMP 204:438 --initTime 2017-04-09T11:11:04 --startdatetime 2017-04-09T11:15:28 --delay 2 --endMP 204:233308 --enddatetime 2017-04-09T11:53:09 --enforcementcount 0 &gt;&gt;C:\Users\stu\Documents\GitHub\eaglep3-reporting\EC\2017-04-09-refined-times.txt</v>
      </c>
      <c r="AI74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{"issue":{"subject":"","project_id":79,"tracker_id":40,"status_id":1,"priority_id":2,"assigned_to_id":23,"start_date":"2017-04-09","description":"","custom_fields":[{"id":1,"name":"Subdivision","value":"EC"},{"id":4,"name":"Milepost","value":"23.3308"},{"id":17,"name":"Train ID","value":"161-09"},{"id":16,"name":"Locomotive ID","value":"4004"},{"id":130,"name":"Impact","value":""},{"id":150,"name":"Time of Event (Mountain Time)","value":"11:53:09"},{"id":151,"name":"Denver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8"/>
      <c r="AL74" s="48"/>
      <c r="AM74" s="150" t="str">
        <f t="shared" si="6"/>
        <v>start /low /b %USERPROFILE%\Documents\GitHub\eaglep3\Utilities\DownloadLogsFromS3.py --loco 4004 --day 2017-04-09</v>
      </c>
      <c r="AN74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17:53:09"},{"id":29,"name":"Sharepoint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608</v>
      </c>
      <c r="B75" s="7">
        <v>4003</v>
      </c>
      <c r="C75" s="21" t="s">
        <v>215</v>
      </c>
      <c r="D75" s="21" t="s">
        <v>857</v>
      </c>
      <c r="E75" s="13">
        <v>42834.504687499997</v>
      </c>
      <c r="F75" s="13">
        <v>42834.508125</v>
      </c>
      <c r="G75" s="7">
        <v>2</v>
      </c>
      <c r="H75" s="21" t="s">
        <v>409</v>
      </c>
      <c r="I75" s="13">
        <v>42834.539837962962</v>
      </c>
      <c r="J75" s="7">
        <v>0</v>
      </c>
      <c r="K75" s="97" t="str">
        <f>IF(ISEVEN(B75),(B75-1)&amp;"/"&amp;B75,B75&amp;"/"&amp;(B75+1))</f>
        <v>4003/4004</v>
      </c>
      <c r="L75" s="21" t="str">
        <f>VLOOKUP(A75,'Trips&amp;Operators'!$C$1:$G$99999,5,FALSE)</f>
        <v>DAVIS MICHAEL</v>
      </c>
      <c r="M75" s="6">
        <f>I75-F75</f>
        <v>3.1712962962046731E-2</v>
      </c>
      <c r="N75" s="7">
        <f>24*60*SUM($M75:$M75)</f>
        <v>45.666666665347293</v>
      </c>
      <c r="O75" s="7"/>
      <c r="P75" s="7"/>
      <c r="Q75" s="22"/>
      <c r="R75" s="22"/>
      <c r="S75" s="31">
        <f>SUM(U75:U75)/IF(AG75="EC",12,1)</f>
        <v>1</v>
      </c>
      <c r="T75" s="46" t="str">
        <f>IF(ISEVEN(LEFT(AD75,4)),"Southbound","NorthBound")</f>
        <v>Southbound</v>
      </c>
      <c r="U75" s="18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2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-04-09T11:06:45-0600',mode:absolute,to:'2017-04-09T13:57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5" s="183" t="str">
        <f>IF(AA75&lt;IF(AG75="EC",23,5.65),"Y","N")</f>
        <v>N</v>
      </c>
      <c r="X75" s="183">
        <f>VALUE(LEFT(AD75,4))-VALUE(LEFT(AD74,4))</f>
        <v>1</v>
      </c>
      <c r="Y75" s="62">
        <f>RIGHT(D75,LEN(D75)-4)/10000</f>
        <v>23.300599999999999</v>
      </c>
      <c r="Z75" s="62">
        <f>RIGHT(H75,LEN(H75)-4)/10000</f>
        <v>1.6299999999999999E-2</v>
      </c>
      <c r="AA75" s="62">
        <f>ABS(Z75-Y75)</f>
        <v>23.284299999999998</v>
      </c>
      <c r="AB75" s="59" t="str">
        <f>VLOOKUP(A75,Enforcements!$C$7:$K$13,8,0)</f>
        <v>Bulletin (2)</v>
      </c>
      <c r="AC75" s="55" t="str">
        <f>VLOOKUP(A75,Enforcements!$C$7:$E$13,3,0)</f>
        <v>GRADE CROSSING</v>
      </c>
      <c r="AD75" s="56" t="str">
        <f>IF(LEN(A75)=6,"0"&amp;A75,A75)</f>
        <v>0162-09</v>
      </c>
      <c r="AE75" s="85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s3://rtdc.mdm.uploadarchive.raw/RTDC4003/ "%USERPROFILE%\AppData\Local\Temp\OnboardLogs"\RTDC4003\2017-04-09 --exclude "*" --recursive --include "*20170409*" &amp; "%USERPROFILE%\Documents\GitHub\mrs-test-scripts\Headless Mode &amp; Sideloading\WalkAndUnGZ.bat" "%USERPROFILE%\AppData\Local\Temp\OnboardLogs"\RTDC4003\2017-04-09 &amp; aws s3 cp s3://rtdc.mdm.uploadarchive.raw/RTDC4003/ "%USERPROFILE%\AppData\Local\Temp\OnboardLogs"\RTDC4003\2017-04-10 --exclude "*" --recursive --include "*20170410*" &amp; "%USERPROFILE%\Documents\GitHub\mrs-test-scripts\Headless Mode &amp; Sideloading\WalkAndUnGZ.bat" "%USERPROFILE%\AppData\Local\Temp\OnboardLogs"\RTDC4003\2017-04-10</v>
      </c>
      <c r="AF75" s="82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/stypes="app*4003*20170409*" /stext=" 18:.+((SYSTEM_STATE.+slice.+state.+changed )|(ment ac)|(multiple cpu faults)|(system.+state.+changed )|(\[timeout)|(PRM\|1\|D)|(kpr)|(kdp)|(\|lc)|(penalty))"</v>
      </c>
      <c r="AG75" s="1" t="str">
        <f>IFERROR(IF(VALUE(LEFT(AD75,2))&lt;=2,"EC",IF(OR(VALUE(LEFT(AD75,2))=8,VALUE(LEFT(AD75,2))=18),"NW","Other")),"Other")</f>
        <v>EC</v>
      </c>
      <c r="AH75" s="86" t="str">
        <f t="shared" si="4"/>
        <v>"%USERPROFILE%\Documents\GitHub\eaglep3\Utilities\RefineRTDCRunTimes.py" --tripid 162-09 --locoid 4003 --swversion DE.1.0.9.0 --startMP 204:233006 --initTime 2017-04-09T12:06:45 --startdatetime 2017-04-09T12:11:42 --delay 2 --endMP 204:163 --enddatetime 2017-04-09T12:57:22 --enforcementcount 0 &gt;&gt;C:\Users\stu\Documents\GitHub\eaglep3-reporting\EC\2017-04-09-refined-times.txt</v>
      </c>
      <c r="AI75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{"issue":{"subject":"","project_id":79,"tracker_id":40,"status_id":1,"priority_id":2,"assigned_to_id":23,"start_date":"2017-04-09","description":"","custom_fields":[{"id":1,"name":"Subdivision","value":"EC"},{"id":4,"name":"Milepost","value":"0.0163"},{"id":17,"name":"Train ID","value":"162-09"},{"id":16,"name":"Locomotive ID","value":"4003"},{"id":130,"name":"Impact","value":""},{"id":150,"name":"Time of Event (Mountain Time)","value":"12:57:22"},{"id":151,"name":"Denver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8"/>
      <c r="AL75" s="48"/>
      <c r="AM75" s="150" t="str">
        <f t="shared" si="6"/>
        <v>start /low /b %USERPROFILE%\Documents\GitHub\eaglep3\Utilities\DownloadLogsFromS3.py --loco 4003 --day 2017-04-09</v>
      </c>
      <c r="AN75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18:57:22"},{"id":29,"name":"Sharepoint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715</v>
      </c>
      <c r="B76" s="7">
        <v>4020</v>
      </c>
      <c r="C76" s="21" t="s">
        <v>215</v>
      </c>
      <c r="D76" s="21" t="s">
        <v>205</v>
      </c>
      <c r="E76" s="13">
        <v>42834.474606481483</v>
      </c>
      <c r="F76" s="13">
        <v>42834.479398148149</v>
      </c>
      <c r="G76" s="7">
        <v>2</v>
      </c>
      <c r="H76" s="21" t="s">
        <v>586</v>
      </c>
      <c r="I76" s="13">
        <v>42834.504467592589</v>
      </c>
      <c r="J76" s="7">
        <v>0</v>
      </c>
      <c r="K76" s="97" t="str">
        <f>IF(ISEVEN(B76),(B76-1)&amp;"/"&amp;B76,B76&amp;"/"&amp;(B76+1))</f>
        <v>4019/4020</v>
      </c>
      <c r="L76" s="21" t="str">
        <f>VLOOKUP(A76,'Trips&amp;Operators'!$C$1:$G$99999,5,FALSE)</f>
        <v>LEVIN SCOTT</v>
      </c>
      <c r="M76" s="6">
        <f>I76-F76</f>
        <v>2.5069444440305233E-2</v>
      </c>
      <c r="N76" s="7">
        <f>24*60*SUM($M76:$M76)</f>
        <v>36.099999994039536</v>
      </c>
      <c r="O76" s="7"/>
      <c r="P76" s="7"/>
      <c r="Q76" s="22"/>
      <c r="R76" s="22"/>
      <c r="S76" s="31">
        <f>SUM(U76:U76)/IF(AG76="EC",12,1)</f>
        <v>1</v>
      </c>
      <c r="T76" s="46" t="str">
        <f>IF(ISEVEN(LEFT(AD76,4)),"Southbound","NorthBound")</f>
        <v>NorthBound</v>
      </c>
      <c r="U76" s="18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2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-04-09T10:23:26-0600',mode:absolute,to:'2017-04-09T13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6" s="183" t="str">
        <f>IF(AA76&lt;IF(AG76="EC",23,5.65),"Y","N")</f>
        <v>N</v>
      </c>
      <c r="X76" s="183">
        <f>VALUE(LEFT(AD76,4))-VALUE(LEFT(AD75,4))</f>
        <v>1</v>
      </c>
      <c r="Y76" s="62">
        <f>RIGHT(D76,LEN(D76)-4)/10000</f>
        <v>4.5699999999999998E-2</v>
      </c>
      <c r="Z76" s="62">
        <f>RIGHT(H76,LEN(H76)-4)/10000</f>
        <v>23.334499999999998</v>
      </c>
      <c r="AA76" s="62">
        <f>ABS(Z76-Y76)</f>
        <v>23.288799999999998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>IF(LEN(A76)=6,"0"&amp;A76,A76)</f>
        <v>0163-09</v>
      </c>
      <c r="AE76" s="85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s3://rtdc.mdm.uploadarchive.raw/RTDC4020/ "%USERPROFILE%\AppData\Local\Temp\OnboardLogs"\RTDC4020\2017-04-09 --exclude "*" --recursive --include "*20170409*" &amp; "%USERPROFILE%\Documents\GitHub\mrs-test-scripts\Headless Mode &amp; Sideloading\WalkAndUnGZ.bat" "%USERPROFILE%\AppData\Local\Temp\OnboardLogs"\RTDC4020\2017-04-09 &amp; aws s3 cp s3://rtdc.mdm.uploadarchive.raw/RTDC4020/ "%USERPROFILE%\AppData\Local\Temp\OnboardLogs"\RTDC4020\2017-04-10 --exclude "*" --recursive --include "*20170410*" &amp; "%USERPROFILE%\Documents\GitHub\mrs-test-scripts\Headless Mode &amp; Sideloading\WalkAndUnGZ.bat" "%USERPROFILE%\AppData\Local\Temp\OnboardLogs"\RTDC4020\2017-04-10</v>
      </c>
      <c r="AF76" s="82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/stypes="app*4020*20170409*" /stext=" 18:.+((SYSTEM_STATE.+slice.+state.+changed )|(ment ac)|(multiple cpu faults)|(system.+state.+changed )|(\[timeout)|(PRM\|1\|D)|(kpr)|(kdp)|(\|lc)|(penalty))"</v>
      </c>
      <c r="AG76" s="1" t="str">
        <f>IFERROR(IF(VALUE(LEFT(AD76,2))&lt;=2,"EC",IF(OR(VALUE(LEFT(AD76,2))=8,VALUE(LEFT(AD76,2))=18),"NW","Other")),"Other")</f>
        <v>EC</v>
      </c>
      <c r="AH76" s="86" t="str">
        <f t="shared" si="4"/>
        <v>"%USERPROFILE%\Documents\GitHub\eaglep3\Utilities\RefineRTDCRunTimes.py" --tripid 163-09 --locoid 4020 --swversion DE.1.0.9.0 --startMP 204:457 --initTime 2017-04-09T11:23:26 --startdatetime 2017-04-09T11:30:20 --delay 2 --endMP 204:233345 --enddatetime 2017-04-09T12:06:26 --enforcementcount 0 &gt;&gt;C:\Users\stu\Documents\GitHub\eaglep3-reporting\EC\2017-04-09-refined-times.txt</v>
      </c>
      <c r="AI76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{"issue":{"subject":"","project_id":79,"tracker_id":40,"status_id":1,"priority_id":2,"assigned_to_id":23,"start_date":"2017-04-09","description":"","custom_fields":[{"id":1,"name":"Subdivision","value":"EC"},{"id":4,"name":"Milepost","value":"23.3345"},{"id":17,"name":"Train ID","value":"163-09"},{"id":16,"name":"Locomotive ID","value":"4020"},{"id":130,"name":"Impact","value":""},{"id":150,"name":"Time of Event (Mountain Time)","value":"12:06:26"},{"id":151,"name":"Denver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8"/>
      <c r="AL76" s="48"/>
      <c r="AM76" s="150" t="str">
        <f t="shared" si="6"/>
        <v>start /low /b %USERPROFILE%\Documents\GitHub\eaglep3\Utilities\DownloadLogsFromS3.py --loco 4020 --day 2017-04-09</v>
      </c>
      <c r="AN76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18:06:26"},{"id":29,"name":"Sharepoint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729</v>
      </c>
      <c r="B77" s="7">
        <v>4019</v>
      </c>
      <c r="C77" s="21" t="s">
        <v>215</v>
      </c>
      <c r="D77" s="21" t="s">
        <v>874</v>
      </c>
      <c r="E77" s="13">
        <v>42834.513356481482</v>
      </c>
      <c r="F77" s="13">
        <v>42834.518229166664</v>
      </c>
      <c r="G77" s="7">
        <v>1</v>
      </c>
      <c r="H77" s="21" t="s">
        <v>875</v>
      </c>
      <c r="I77" s="13">
        <v>42834.546377314815</v>
      </c>
      <c r="J77" s="7">
        <v>0</v>
      </c>
      <c r="K77" s="97" t="str">
        <f>IF(ISEVEN(B77),(B77-1)&amp;"/"&amp;B77,B77&amp;"/"&amp;(B77+1))</f>
        <v>4019/4020</v>
      </c>
      <c r="L77" s="21" t="str">
        <f>VLOOKUP(A77,'Trips&amp;Operators'!$C$1:$G$99999,5,FALSE)</f>
        <v>LEVIN SCOTT</v>
      </c>
      <c r="M77" s="6">
        <f>I77-F77</f>
        <v>2.8148148150648922E-2</v>
      </c>
      <c r="N77" s="7">
        <f>24*60*SUM($M77:$M77)</f>
        <v>40.533333336934447</v>
      </c>
      <c r="O77" s="7"/>
      <c r="P77" s="7"/>
      <c r="Q77" s="22"/>
      <c r="R77" s="22"/>
      <c r="S77" s="31">
        <f>SUM(U77:U77)/IF(AG77="EC",12,1)</f>
        <v>1</v>
      </c>
      <c r="T77" s="46" t="str">
        <f>IF(ISEVEN(LEFT(AD77,4)),"Southbound","NorthBound")</f>
        <v>Southbound</v>
      </c>
      <c r="U77" s="18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2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-04-09T11:19:14-0600',mode:absolute,to:'2017-04-09T14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7" s="183" t="str">
        <f>IF(AA77&lt;IF(AG77="EC",23,5.65),"Y","N")</f>
        <v>N</v>
      </c>
      <c r="X77" s="183">
        <f>VALUE(LEFT(AD77,4))-VALUE(LEFT(AD76,4))</f>
        <v>1</v>
      </c>
      <c r="Y77" s="62">
        <f>RIGHT(D77,LEN(D77)-4)/10000</f>
        <v>23.3005</v>
      </c>
      <c r="Z77" s="62">
        <f>RIGHT(H77,LEN(H77)-4)/10000</f>
        <v>1.18E-2</v>
      </c>
      <c r="AA77" s="62">
        <f>ABS(Z77-Y77)</f>
        <v>23.288699999999999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>IF(LEN(A77)=6,"0"&amp;A77,A77)</f>
        <v>0164-09</v>
      </c>
      <c r="AE77" s="85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s3://rtdc.mdm.uploadarchive.raw/RTDC4019/ "%USERPROFILE%\AppData\Local\Temp\OnboardLogs"\RTDC4019\2017-04-09 --exclude "*" --recursive --include "*20170409*" &amp; "%USERPROFILE%\Documents\GitHub\mrs-test-scripts\Headless Mode &amp; Sideloading\WalkAndUnGZ.bat" "%USERPROFILE%\AppData\Local\Temp\OnboardLogs"\RTDC4019\2017-04-09 &amp; aws s3 cp s3://rtdc.mdm.uploadarchive.raw/RTDC4019/ "%USERPROFILE%\AppData\Local\Temp\OnboardLogs"\RTDC4019\2017-04-10 --exclude "*" --recursive --include "*20170410*" &amp; "%USERPROFILE%\Documents\GitHub\mrs-test-scripts\Headless Mode &amp; Sideloading\WalkAndUnGZ.bat" "%USERPROFILE%\AppData\Local\Temp\OnboardLogs"\RTDC4019\2017-04-10</v>
      </c>
      <c r="AF77" s="82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/stypes="app*4019*20170409*" /stext=" 19:.+((SYSTEM_STATE.+slice.+state.+changed )|(ment ac)|(multiple cpu faults)|(system.+state.+changed )|(\[timeout)|(PRM\|1\|D)|(kpr)|(kdp)|(\|lc)|(penalty))"</v>
      </c>
      <c r="AG77" s="1" t="str">
        <f>IFERROR(IF(VALUE(LEFT(AD77,2))&lt;=2,"EC",IF(OR(VALUE(LEFT(AD77,2))=8,VALUE(LEFT(AD77,2))=18),"NW","Other")),"Other")</f>
        <v>EC</v>
      </c>
      <c r="AH77" s="86" t="str">
        <f t="shared" si="4"/>
        <v>"%USERPROFILE%\Documents\GitHub\eaglep3\Utilities\RefineRTDCRunTimes.py" --tripid 164-09 --locoid 4019 --swversion DE.1.0.9.0 --startMP 204:233005 --initTime 2017-04-09T12:19:14 --startdatetime 2017-04-09T12:26:15 --delay 1 --endMP 204:118 --enddatetime 2017-04-09T13:06:47 --enforcementcount 0 &gt;&gt;C:\Users\stu\Documents\GitHub\eaglep3-reporting\EC\2017-04-09-refined-times.txt</v>
      </c>
      <c r="AI77" s="104" t="str">
        <f t="shared" si="5"/>
        <v>echo {"issue":{"subject":"","project_id":79,"tracker_id":40,"status_id":1,"priority_id":2,"assigned_to_id":23,"start_date":"2017-04-09","description":"","custom_fields":[{"id":1,"name":"Subdivision","value":"EC"},{"id":4,"name":"Milepost","value":"0.0118"},{"id":17,"name":"Train ID","value":"164-09"},{"id":16,"name":"Locomotive ID","value":"4019"},{"id":130,"name":"Impact","value":""},{"id":150,"name":"Time of Event (Mountain Time)","value":"13:06:47"},{"id":151,"name":"Denver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8"/>
      <c r="AL77" s="48"/>
      <c r="AM77" s="150" t="str">
        <f t="shared" si="6"/>
        <v>start /low /b %USERPROFILE%\Documents\GitHub\eaglep3\Utilities\DownloadLogsFromS3.py --loco 4019 --day 2017-04-09</v>
      </c>
      <c r="AN77" s="159" t="str">
        <f t="shared" si="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19:06:47"},{"id":29,"name":"Sharepoint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721</v>
      </c>
      <c r="B78" s="7">
        <v>4044</v>
      </c>
      <c r="C78" s="21" t="s">
        <v>215</v>
      </c>
      <c r="D78" s="21" t="s">
        <v>528</v>
      </c>
      <c r="E78" s="13">
        <v>42834.486018518517</v>
      </c>
      <c r="F78" s="13">
        <v>42834.490520833337</v>
      </c>
      <c r="G78" s="7">
        <v>1</v>
      </c>
      <c r="H78" s="21" t="s">
        <v>420</v>
      </c>
      <c r="I78" s="13">
        <v>42834.515486111108</v>
      </c>
      <c r="J78" s="7">
        <v>0</v>
      </c>
      <c r="K78" s="97" t="str">
        <f>IF(ISEVEN(B78),(B78-1)&amp;"/"&amp;B78,B78&amp;"/"&amp;(B78+1))</f>
        <v>4043/4044</v>
      </c>
      <c r="L78" s="21" t="str">
        <f>VLOOKUP(A78,'Trips&amp;Operators'!$C$1:$G$99999,5,FALSE)</f>
        <v>BRUDER RICHARD</v>
      </c>
      <c r="M78" s="6">
        <f>I78-F78</f>
        <v>2.4965277771116234E-2</v>
      </c>
      <c r="N78" s="7">
        <f>24*60*SUM($M78:$M78)</f>
        <v>35.949999990407377</v>
      </c>
      <c r="O78" s="7"/>
      <c r="P78" s="7"/>
      <c r="Q78" s="22"/>
      <c r="R78" s="22"/>
      <c r="S78" s="31">
        <f>SUM(U78:U78)/IF(AG78="EC",12,1)</f>
        <v>1</v>
      </c>
      <c r="T78" s="46" t="str">
        <f>IF(ISEVEN(LEFT(AD78,4)),"Southbound","NorthBound")</f>
        <v>NorthBound</v>
      </c>
      <c r="U78" s="18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2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-04-09T10:39:52-0600',mode:absolute,to:'2017-04-09T13:22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8" s="183" t="str">
        <f>IF(AA78&lt;IF(AG78="EC",23,5.65),"Y","N")</f>
        <v>N</v>
      </c>
      <c r="X78" s="183">
        <f>VALUE(LEFT(AD78,4))-VALUE(LEFT(AD77,4))</f>
        <v>1</v>
      </c>
      <c r="Y78" s="62">
        <f>RIGHT(D78,LEN(D78)-4)/10000</f>
        <v>4.6399999999999997E-2</v>
      </c>
      <c r="Z78" s="62">
        <f>RIGHT(H78,LEN(H78)-4)/10000</f>
        <v>23.3308</v>
      </c>
      <c r="AA78" s="62">
        <f>ABS(Z78-Y78)</f>
        <v>23.284400000000002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>IF(LEN(A78)=6,"0"&amp;A78,A78)</f>
        <v>0165-09</v>
      </c>
      <c r="AE78" s="85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s3://rtdc.mdm.uploadarchive.raw/RTDC4044/ "%USERPROFILE%\AppData\Local\Temp\OnboardLogs"\RTDC4044\2017-04-09 --exclude "*" --recursive --include "*20170409*" &amp; "%USERPROFILE%\Documents\GitHub\mrs-test-scripts\Headless Mode &amp; Sideloading\WalkAndUnGZ.bat" "%USERPROFILE%\AppData\Local\Temp\OnboardLogs"\RTDC4044\2017-04-09 &amp; aws s3 cp s3://rtdc.mdm.uploadarchive.raw/RTDC4044/ "%USERPROFILE%\AppData\Local\Temp\OnboardLogs"\RTDC4044\2017-04-10 --exclude "*" --recursive --include "*20170410*" &amp; "%USERPROFILE%\Documents\GitHub\mrs-test-scripts\Headless Mode &amp; Sideloading\WalkAndUnGZ.bat" "%USERPROFILE%\AppData\Local\Temp\OnboardLogs"\RTDC4044\2017-04-10</v>
      </c>
      <c r="AF78" s="82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/stypes="app*4044*20170409*" /stext=" 18:.+((SYSTEM_STATE.+slice.+state.+changed )|(ment ac)|(multiple cpu faults)|(system.+state.+changed )|(\[timeout)|(PRM\|1\|D)|(kpr)|(kdp)|(\|lc)|(penalty))"</v>
      </c>
      <c r="AG78" s="1" t="str">
        <f>IFERROR(IF(VALUE(LEFT(AD78,2))&lt;=2,"EC",IF(OR(VALUE(LEFT(AD78,2))=8,VALUE(LEFT(AD78,2))=18),"NW","Other")),"Other")</f>
        <v>EC</v>
      </c>
      <c r="AH78" s="86" t="str">
        <f t="shared" ref="AH78:AH142" si="8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165-09 --locoid 4044 --swversion DE.1.0.9.0 --startMP 204:464 --initTime 2017-04-09T11:39:52 --startdatetime 2017-04-09T11:46:21 --delay 1 --endMP 204:233308 --enddatetime 2017-04-09T12:22:18 --enforcementcount 0 &gt;&gt;C:\Users\stu\Documents\GitHub\eaglep3-reporting\EC\2017-04-09-refined-times.txt</v>
      </c>
      <c r="AI78" s="104" t="str">
        <f t="shared" ref="AI78:AI142" si="9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{"issue":{"subject":"","project_id":79,"tracker_id":40,"status_id":1,"priority_id":2,"assigned_to_id":23,"start_date":"2017-04-09","description":"","custom_fields":[{"id":1,"name":"Subdivision","value":"EC"},{"id":4,"name":"Milepost","value":"23.3308"},{"id":17,"name":"Train ID","value":"165-09"},{"id":16,"name":"Locomotive ID","value":"4044"},{"id":130,"name":"Impact","value":""},{"id":150,"name":"Time of Event (Mountain Time)","value":"12:22:18"},{"id":151,"name":"Denver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8"/>
      <c r="AL78" s="48"/>
      <c r="AM78" s="150" t="str">
        <f t="shared" ref="AM78:AM142" si="10">"start /low /b "&amp;dls3logs&amp;" --loco "&amp;B78&amp;" --day "&amp;TEXT(F78,"YYYY-MM-DD")</f>
        <v>start /low /b %USERPROFILE%\Documents\GitHub\eaglep3\Utilities\DownloadLogsFromS3.py --loco 4044 --day 2017-04-09</v>
      </c>
      <c r="AN78" s="159" t="str">
        <f t="shared" ref="AN78:AN142" si="11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18:22:18"},{"id":29,"name":"Sharepoint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20" customFormat="1" x14ac:dyDescent="0.25">
      <c r="A79" s="33" t="s">
        <v>731</v>
      </c>
      <c r="B79" s="7">
        <v>4043</v>
      </c>
      <c r="C79" s="21" t="s">
        <v>215</v>
      </c>
      <c r="D79" s="21" t="s">
        <v>419</v>
      </c>
      <c r="E79" s="13">
        <v>42834.523564814815</v>
      </c>
      <c r="F79" s="13">
        <v>42834.528831018521</v>
      </c>
      <c r="G79" s="7">
        <v>2</v>
      </c>
      <c r="H79" s="21" t="s">
        <v>212</v>
      </c>
      <c r="I79" s="13">
        <v>42834.556087962963</v>
      </c>
      <c r="J79" s="7">
        <v>0</v>
      </c>
      <c r="K79" s="97" t="str">
        <f>IF(ISEVEN(B79),(B79-1)&amp;"/"&amp;B79,B79&amp;"/"&amp;(B79+1))</f>
        <v>4043/4044</v>
      </c>
      <c r="L79" s="21" t="str">
        <f>VLOOKUP(A79,'Trips&amp;Operators'!$C$1:$G$99999,5,FALSE)</f>
        <v>BRUDER RICHARD</v>
      </c>
      <c r="M79" s="6">
        <f>I79-F79</f>
        <v>2.7256944442342501E-2</v>
      </c>
      <c r="N79" s="7">
        <f>24*60*SUM($M79:$M79)</f>
        <v>39.249999996973202</v>
      </c>
      <c r="O79" s="7"/>
      <c r="P79" s="7"/>
      <c r="Q79" s="22"/>
      <c r="R79" s="22"/>
      <c r="S79" s="31">
        <f>SUM(U79:U79)/IF(AG79="EC",12,1)</f>
        <v>1</v>
      </c>
      <c r="T79" s="46" t="str">
        <f>IF(ISEVEN(LEFT(AD79,4)),"Southbound","NorthBound")</f>
        <v>Southbound</v>
      </c>
      <c r="U79" s="18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2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-04-09T11:33:56-0600',mode:absolute,to:'2017-04-09T14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9" s="183" t="str">
        <f>IF(AA79&lt;IF(AG79="EC",23,5.65),"Y","N")</f>
        <v>N</v>
      </c>
      <c r="X79" s="183">
        <f>VALUE(LEFT(AD79,4))-VALUE(LEFT(AD78,4))</f>
        <v>1</v>
      </c>
      <c r="Y79" s="62">
        <f>RIGHT(D79,LEN(D79)-4)/10000</f>
        <v>23.2989</v>
      </c>
      <c r="Z79" s="62">
        <f>RIGHT(H79,LEN(H79)-4)/10000</f>
        <v>1.47E-2</v>
      </c>
      <c r="AA79" s="62">
        <f>ABS(Z79-Y79)</f>
        <v>23.284199999999998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>IF(LEN(A79)=6,"0"&amp;A79,A79)</f>
        <v>0166-09</v>
      </c>
      <c r="AE79" s="85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s3://rtdc.mdm.uploadarchive.raw/RTDC4043/ "%USERPROFILE%\AppData\Local\Temp\OnboardLogs"\RTDC4043\2017-04-09 --exclude "*" --recursive --include "*20170409*" &amp; "%USERPROFILE%\Documents\GitHub\mrs-test-scripts\Headless Mode &amp; Sideloading\WalkAndUnGZ.bat" "%USERPROFILE%\AppData\Local\Temp\OnboardLogs"\RTDC4043\2017-04-09 &amp; aws s3 cp s3://rtdc.mdm.uploadarchive.raw/RTDC4043/ "%USERPROFILE%\AppData\Local\Temp\OnboardLogs"\RTDC4043\2017-04-10 --exclude "*" --recursive --include "*20170410*" &amp; "%USERPROFILE%\Documents\GitHub\mrs-test-scripts\Headless Mode &amp; Sideloading\WalkAndUnGZ.bat" "%USERPROFILE%\AppData\Local\Temp\OnboardLogs"\RTDC4043\2017-04-10</v>
      </c>
      <c r="AF79" s="82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/stypes="app*4043*20170409*" /stext=" 19:.+((SYSTEM_STATE.+slice.+state.+changed )|(ment ac)|(multiple cpu faults)|(system.+state.+changed )|(\[timeout)|(PRM\|1\|D)|(kpr)|(kdp)|(\|lc)|(penalty))"</v>
      </c>
      <c r="AG79" s="1" t="str">
        <f>IFERROR(IF(VALUE(LEFT(AD79,2))&lt;=2,"EC",IF(OR(VALUE(LEFT(AD79,2))=8,VALUE(LEFT(AD79,2))=18),"NW","Other")),"Other")</f>
        <v>EC</v>
      </c>
      <c r="AH79" s="86" t="str">
        <f t="shared" si="8"/>
        <v>"%USERPROFILE%\Documents\GitHub\eaglep3\Utilities\RefineRTDCRunTimes.py" --tripid 166-09 --locoid 4043 --swversion DE.1.0.9.0 --startMP 204:232989 --initTime 2017-04-09T12:33:56 --startdatetime 2017-04-09T12:41:31 --delay 2 --endMP 204:147 --enddatetime 2017-04-09T13:20:46 --enforcementcount 0 &gt;&gt;C:\Users\stu\Documents\GitHub\eaglep3-reporting\EC\2017-04-09-refined-times.txt</v>
      </c>
      <c r="AI79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{"issue":{"subject":"","project_id":79,"tracker_id":40,"status_id":1,"priority_id":2,"assigned_to_id":23,"start_date":"2017-04-09","description":"","custom_fields":[{"id":1,"name":"Subdivision","value":"EC"},{"id":4,"name":"Milepost","value":"0.0147"},{"id":17,"name":"Train ID","value":"166-09"},{"id":16,"name":"Locomotive ID","value":"4043"},{"id":130,"name":"Impact","value":""},{"id":150,"name":"Time of Event (Mountain Time)","value":"13:20:46"},{"id":151,"name":"Denver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9" s="48"/>
      <c r="AL79" s="48"/>
      <c r="AM79" s="150" t="str">
        <f t="shared" si="10"/>
        <v>start /low /b %USERPROFILE%\Documents\GitHub\eaglep3\Utilities\DownloadLogsFromS3.py --loco 4043 --day 2017-04-09</v>
      </c>
      <c r="AN79" s="159" t="str">
        <f t="shared" si="11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19:20:46"},{"id":29,"name":"Sharepoint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725</v>
      </c>
      <c r="B80" s="7">
        <v>4024</v>
      </c>
      <c r="C80" s="21" t="s">
        <v>215</v>
      </c>
      <c r="D80" s="21" t="s">
        <v>481</v>
      </c>
      <c r="E80" s="13">
        <v>42834.494270833333</v>
      </c>
      <c r="F80" s="13">
        <v>42834.500219907408</v>
      </c>
      <c r="G80" s="7">
        <v>5</v>
      </c>
      <c r="H80" s="21" t="s">
        <v>876</v>
      </c>
      <c r="I80" s="13">
        <v>42834.525590277779</v>
      </c>
      <c r="J80" s="7">
        <v>0</v>
      </c>
      <c r="K80" s="97" t="str">
        <f>IF(ISEVEN(B80),(B80-1)&amp;"/"&amp;B80,B80&amp;"/"&amp;(B80+1))</f>
        <v>4023/4024</v>
      </c>
      <c r="L80" s="21" t="str">
        <f>VLOOKUP(A80,'Trips&amp;Operators'!$C$1:$G$99999,5,FALSE)</f>
        <v>MCREYNOLDS KYLE</v>
      </c>
      <c r="M80" s="6">
        <f>I80-F80</f>
        <v>2.5370370371092577E-2</v>
      </c>
      <c r="N80" s="7">
        <f>24*60*SUM($M80:$M80)</f>
        <v>36.53333333437331</v>
      </c>
      <c r="O80" s="7"/>
      <c r="P80" s="7"/>
      <c r="Q80" s="22"/>
      <c r="R80" s="22"/>
      <c r="S80" s="31">
        <f>SUM(U80:U80)/IF(AG80="EC",12,1)</f>
        <v>1</v>
      </c>
      <c r="T80" s="46" t="str">
        <f>IF(ISEVEN(LEFT(AD80,4)),"Southbound","NorthBound")</f>
        <v>NorthBound</v>
      </c>
      <c r="U80" s="18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2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-04-09T10:51:45-0600',mode:absolute,to:'2017-04-09T13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0" s="183" t="str">
        <f>IF(AA80&lt;IF(AG80="EC",23,5.65),"Y","N")</f>
        <v>N</v>
      </c>
      <c r="X80" s="183">
        <f>VALUE(LEFT(AD80,4))-VALUE(LEFT(AD79,4))</f>
        <v>1</v>
      </c>
      <c r="Y80" s="62">
        <f>RIGHT(D80,LEN(D80)-4)/10000</f>
        <v>4.8399999999999999E-2</v>
      </c>
      <c r="Z80" s="62">
        <f>RIGHT(H80,LEN(H80)-4)/10000</f>
        <v>23.336200000000002</v>
      </c>
      <c r="AA80" s="62">
        <f>ABS(Z80-Y80)</f>
        <v>23.287800000000001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>IF(LEN(A80)=6,"0"&amp;A80,A80)</f>
        <v>0167-09</v>
      </c>
      <c r="AE80" s="85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s3://rtdc.mdm.uploadarchive.raw/RTDC4024/ "%USERPROFILE%\AppData\Local\Temp\OnboardLogs"\RTDC4024\2017-04-09 --exclude "*" --recursive --include "*20170409*" &amp; "%USERPROFILE%\Documents\GitHub\mrs-test-scripts\Headless Mode &amp; Sideloading\WalkAndUnGZ.bat" "%USERPROFILE%\AppData\Local\Temp\OnboardLogs"\RTDC4024\2017-04-09 &amp; aws s3 cp s3://rtdc.mdm.uploadarchive.raw/RTDC4024/ "%USERPROFILE%\AppData\Local\Temp\OnboardLogs"\RTDC4024\2017-04-10 --exclude "*" --recursive --include "*20170410*" &amp; "%USERPROFILE%\Documents\GitHub\mrs-test-scripts\Headless Mode &amp; Sideloading\WalkAndUnGZ.bat" "%USERPROFILE%\AppData\Local\Temp\OnboardLogs"\RTDC4024\2017-04-10</v>
      </c>
      <c r="AF80" s="82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/stypes="app*4024*20170409*" /stext=" 18:.+((SYSTEM_STATE.+slice.+state.+changed )|(ment ac)|(multiple cpu faults)|(system.+state.+changed )|(\[timeout)|(PRM\|1\|D)|(kpr)|(kdp)|(\|lc)|(penalty))"</v>
      </c>
      <c r="AG80" s="1" t="str">
        <f>IFERROR(IF(VALUE(LEFT(AD80,2))&lt;=2,"EC",IF(OR(VALUE(LEFT(AD80,2))=8,VALUE(LEFT(AD80,2))=18),"NW","Other")),"Other")</f>
        <v>EC</v>
      </c>
      <c r="AH80" s="86" t="str">
        <f t="shared" si="8"/>
        <v>"%USERPROFILE%\Documents\GitHub\eaglep3\Utilities\RefineRTDCRunTimes.py" --tripid 167-09 --locoid 4024 --swversion DE.1.0.9.0 --startMP 204:484 --initTime 2017-04-09T11:51:45 --startdatetime 2017-04-09T12:00:19 --delay 5 --endMP 204:233362 --enddatetime 2017-04-09T12:36:51 --enforcementcount 0 &gt;&gt;C:\Users\stu\Documents\GitHub\eaglep3-reporting\EC\2017-04-09-refined-times.txt</v>
      </c>
      <c r="AI80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{"issue":{"subject":"","project_id":79,"tracker_id":40,"status_id":1,"priority_id":2,"assigned_to_id":23,"start_date":"2017-04-09","description":"","custom_fields":[{"id":1,"name":"Subdivision","value":"EC"},{"id":4,"name":"Milepost","value":"23.3362"},{"id":17,"name":"Train ID","value":"167-09"},{"id":16,"name":"Locomotive ID","value":"4024"},{"id":130,"name":"Impact","value":""},{"id":150,"name":"Time of Event (Mountain Time)","value":"12:36:51"},{"id":151,"name":"Denver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0" s="48"/>
      <c r="AL80" s="48"/>
      <c r="AM80" s="150" t="str">
        <f t="shared" si="10"/>
        <v>start /low /b %USERPROFILE%\Documents\GitHub\eaglep3\Utilities\DownloadLogsFromS3.py --loco 4024 --day 2017-04-09</v>
      </c>
      <c r="AN80" s="159" t="str">
        <f t="shared" si="11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18:36:51"},{"id":29,"name":"Sharepoint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x14ac:dyDescent="0.25">
      <c r="A81" s="33" t="s">
        <v>733</v>
      </c>
      <c r="B81" s="7">
        <v>4023</v>
      </c>
      <c r="C81" s="21" t="s">
        <v>215</v>
      </c>
      <c r="D81" s="21" t="s">
        <v>877</v>
      </c>
      <c r="E81" s="13">
        <v>42834.532222222224</v>
      </c>
      <c r="F81" s="13">
        <v>42834.539085648146</v>
      </c>
      <c r="G81" s="7">
        <v>1</v>
      </c>
      <c r="H81" s="21" t="s">
        <v>448</v>
      </c>
      <c r="I81" s="13">
        <v>42834.568888888891</v>
      </c>
      <c r="J81" s="7">
        <v>0</v>
      </c>
      <c r="K81" s="97" t="str">
        <f>IF(ISEVEN(B81),(B81-1)&amp;"/"&amp;B81,B81&amp;"/"&amp;(B81+1))</f>
        <v>4023/4024</v>
      </c>
      <c r="L81" s="21" t="str">
        <f>VLOOKUP(A81,'Trips&amp;Operators'!$C$1:$G$99999,5,FALSE)</f>
        <v>MCREYNOLDS KYLE</v>
      </c>
      <c r="M81" s="6">
        <f>I81-F81</f>
        <v>2.980324074451346E-2</v>
      </c>
      <c r="N81" s="7">
        <f>24*60*SUM($M81:$M81)</f>
        <v>42.916666672099382</v>
      </c>
      <c r="O81" s="7"/>
      <c r="P81" s="7"/>
      <c r="Q81" s="22"/>
      <c r="R81" s="22"/>
      <c r="S81" s="31">
        <f>SUM(U81:U81)/IF(AG81="EC",12,1)</f>
        <v>1</v>
      </c>
      <c r="T81" s="46" t="str">
        <f>IF(ISEVEN(LEFT(AD81,4)),"Southbound","NorthBound")</f>
        <v>Southbound</v>
      </c>
      <c r="U81" s="18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2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-04-09T11:46:24-0600',mode:absolute,to:'2017-04-09T14:39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1" s="183" t="str">
        <f>IF(AA81&lt;IF(AG81="EC",23,5.65),"Y","N")</f>
        <v>N</v>
      </c>
      <c r="X81" s="183">
        <f>VALUE(LEFT(AD81,4))-VALUE(LEFT(AD80,4))</f>
        <v>1</v>
      </c>
      <c r="Y81" s="62">
        <f>RIGHT(D81,LEN(D81)-4)/10000</f>
        <v>23.303799999999999</v>
      </c>
      <c r="Z81" s="62">
        <f>RIGHT(H81,LEN(H81)-4)/10000</f>
        <v>1.6500000000000001E-2</v>
      </c>
      <c r="AA81" s="62">
        <f>ABS(Z81-Y81)</f>
        <v>23.287299999999998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>IF(LEN(A81)=6,"0"&amp;A81,A81)</f>
        <v>0168-09</v>
      </c>
      <c r="AE81" s="85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s3://rtdc.mdm.uploadarchive.raw/RTDC4023/ "%USERPROFILE%\AppData\Local\Temp\OnboardLogs"\RTDC4023\2017-04-09 --exclude "*" --recursive --include "*20170409*" &amp; "%USERPROFILE%\Documents\GitHub\mrs-test-scripts\Headless Mode &amp; Sideloading\WalkAndUnGZ.bat" "%USERPROFILE%\AppData\Local\Temp\OnboardLogs"\RTDC4023\2017-04-09 &amp; aws s3 cp s3://rtdc.mdm.uploadarchive.raw/RTDC4023/ "%USERPROFILE%\AppData\Local\Temp\OnboardLogs"\RTDC4023\2017-04-10 --exclude "*" --recursive --include "*20170410*" &amp; "%USERPROFILE%\Documents\GitHub\mrs-test-scripts\Headless Mode &amp; Sideloading\WalkAndUnGZ.bat" "%USERPROFILE%\AppData\Local\Temp\OnboardLogs"\RTDC4023\2017-04-10</v>
      </c>
      <c r="AF81" s="82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/stypes="app*4023*20170409*" /stext=" 19:.+((SYSTEM_STATE.+slice.+state.+changed )|(ment ac)|(multiple cpu faults)|(system.+state.+changed )|(\[timeout)|(PRM\|1\|D)|(kpr)|(kdp)|(\|lc)|(penalty))"</v>
      </c>
      <c r="AG81" s="1" t="str">
        <f>IFERROR(IF(VALUE(LEFT(AD81,2))&lt;=2,"EC",IF(OR(VALUE(LEFT(AD81,2))=8,VALUE(LEFT(AD81,2))=18),"NW","Other")),"Other")</f>
        <v>EC</v>
      </c>
      <c r="AH81" s="86" t="str">
        <f t="shared" si="8"/>
        <v>"%USERPROFILE%\Documents\GitHub\eaglep3\Utilities\RefineRTDCRunTimes.py" --tripid 168-09 --locoid 4023 --swversion DE.1.0.9.0 --startMP 204:233038 --initTime 2017-04-09T12:46:24 --startdatetime 2017-04-09T12:56:17 --delay 1 --endMP 204:165 --enddatetime 2017-04-09T13:39:12 --enforcementcount 0 &gt;&gt;C:\Users\stu\Documents\GitHub\eaglep3-reporting\EC\2017-04-09-refined-times.txt</v>
      </c>
      <c r="AI81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{"issue":{"subject":"","project_id":79,"tracker_id":40,"status_id":1,"priority_id":2,"assigned_to_id":23,"start_date":"2017-04-09","description":"","custom_fields":[{"id":1,"name":"Subdivision","value":"EC"},{"id":4,"name":"Milepost","value":"0.0165"},{"id":17,"name":"Train ID","value":"168-09"},{"id":16,"name":"Locomotive ID","value":"4023"},{"id":130,"name":"Impact","value":""},{"id":150,"name":"Time of Event (Mountain Time)","value":"13:39:12"},{"id":151,"name":"Denver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8"/>
      <c r="AL81" s="48"/>
      <c r="AM81" s="150" t="str">
        <f t="shared" si="10"/>
        <v>start /low /b %USERPROFILE%\Documents\GitHub\eaglep3\Utilities\DownloadLogsFromS3.py --loco 4023 --day 2017-04-09</v>
      </c>
      <c r="AN81" s="159" t="str">
        <f t="shared" si="11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19:39:12"},{"id":29,"name":"Sharepoint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2" spans="1:91" s="20" customFormat="1" x14ac:dyDescent="0.25">
      <c r="A82" s="33" t="s">
        <v>728</v>
      </c>
      <c r="B82" s="7">
        <v>4032</v>
      </c>
      <c r="C82" s="21" t="s">
        <v>215</v>
      </c>
      <c r="D82" s="21" t="s">
        <v>205</v>
      </c>
      <c r="E82" s="13">
        <v>42834.506631944445</v>
      </c>
      <c r="F82" s="13">
        <v>42834.510567129626</v>
      </c>
      <c r="G82" s="7">
        <v>1</v>
      </c>
      <c r="H82" s="21" t="s">
        <v>878</v>
      </c>
      <c r="I82" s="13">
        <v>42834.535983796297</v>
      </c>
      <c r="J82" s="7">
        <v>0</v>
      </c>
      <c r="K82" s="97" t="str">
        <f>IF(ISEVEN(B82),(B82-1)&amp;"/"&amp;B82,B82&amp;"/"&amp;(B82+1))</f>
        <v>4031/4032</v>
      </c>
      <c r="L82" s="21" t="str">
        <f>VLOOKUP(A82,'Trips&amp;Operators'!$C$1:$G$99999,5,FALSE)</f>
        <v>LOPES KIMBERLY</v>
      </c>
      <c r="M82" s="6">
        <f>I82-F82</f>
        <v>2.5416666670935228E-2</v>
      </c>
      <c r="N82" s="7">
        <f>24*60*SUM($M82:$M82)</f>
        <v>36.600000006146729</v>
      </c>
      <c r="O82" s="7"/>
      <c r="P82" s="7"/>
      <c r="Q82" s="22"/>
      <c r="R82" s="22"/>
      <c r="S82" s="31">
        <f>SUM(U82:U82)/IF(AG82="EC",12,1)</f>
        <v>1</v>
      </c>
      <c r="T82" s="46" t="str">
        <f>IF(ISEVEN(LEFT(AD82,4)),"Southbound","NorthBound")</f>
        <v>NorthBound</v>
      </c>
      <c r="U82" s="18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2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-04-09T11:09:33-0600',mode:absolute,to:'2017-04-09T13:51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2" s="183" t="str">
        <f>IF(AA82&lt;IF(AG82="EC",23,5.65),"Y","N")</f>
        <v>N</v>
      </c>
      <c r="X82" s="183">
        <f>VALUE(LEFT(AD82,4))-VALUE(LEFT(AD81,4))</f>
        <v>1</v>
      </c>
      <c r="Y82" s="62">
        <f>RIGHT(D82,LEN(D82)-4)/10000</f>
        <v>4.5699999999999998E-2</v>
      </c>
      <c r="Z82" s="62">
        <f>RIGHT(H82,LEN(H82)-4)/10000</f>
        <v>23.3325</v>
      </c>
      <c r="AA82" s="62">
        <f>ABS(Z82-Y82)</f>
        <v>23.286799999999999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>IF(LEN(A82)=6,"0"&amp;A82,A82)</f>
        <v>0169-09</v>
      </c>
      <c r="AE82" s="85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s3://rtdc.mdm.uploadarchive.raw/RTDC4032/ "%USERPROFILE%\AppData\Local\Temp\OnboardLogs"\RTDC4032\2017-04-09 --exclude "*" --recursive --include "*20170409*" &amp; "%USERPROFILE%\Documents\GitHub\mrs-test-scripts\Headless Mode &amp; Sideloading\WalkAndUnGZ.bat" "%USERPROFILE%\AppData\Local\Temp\OnboardLogs"\RTDC4032\2017-04-09 &amp; aws s3 cp s3://rtdc.mdm.uploadarchive.raw/RTDC4032/ "%USERPROFILE%\AppData\Local\Temp\OnboardLogs"\RTDC4032\2017-04-10 --exclude "*" --recursive --include "*20170410*" &amp; "%USERPROFILE%\Documents\GitHub\mrs-test-scripts\Headless Mode &amp; Sideloading\WalkAndUnGZ.bat" "%USERPROFILE%\AppData\Local\Temp\OnboardLogs"\RTDC4032\2017-04-10</v>
      </c>
      <c r="AF82" s="82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/stypes="app*4032*20170409*" /stext=" 18:.+((SYSTEM_STATE.+slice.+state.+changed )|(ment ac)|(multiple cpu faults)|(system.+state.+changed )|(\[timeout)|(PRM\|1\|D)|(kpr)|(kdp)|(\|lc)|(penalty))"</v>
      </c>
      <c r="AG82" s="1" t="str">
        <f>IFERROR(IF(VALUE(LEFT(AD82,2))&lt;=2,"EC",IF(OR(VALUE(LEFT(AD82,2))=8,VALUE(LEFT(AD82,2))=18),"NW","Other")),"Other")</f>
        <v>EC</v>
      </c>
      <c r="AH82" s="86" t="str">
        <f t="shared" si="8"/>
        <v>"%USERPROFILE%\Documents\GitHub\eaglep3\Utilities\RefineRTDCRunTimes.py" --tripid 169-09 --locoid 4032 --swversion DE.1.0.9.0 --startMP 204:457 --initTime 2017-04-09T12:09:33 --startdatetime 2017-04-09T12:15:13 --delay 1 --endMP 204:233325 --enddatetime 2017-04-09T12:51:49 --enforcementcount 0 &gt;&gt;C:\Users\stu\Documents\GitHub\eaglep3-reporting\EC\2017-04-09-refined-times.txt</v>
      </c>
      <c r="AI82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{"issue":{"subject":"","project_id":79,"tracker_id":40,"status_id":1,"priority_id":2,"assigned_to_id":23,"start_date":"2017-04-09","description":"","custom_fields":[{"id":1,"name":"Subdivision","value":"EC"},{"id":4,"name":"Milepost","value":"23.3325"},{"id":17,"name":"Train ID","value":"169-09"},{"id":16,"name":"Locomotive ID","value":"4032"},{"id":130,"name":"Impact","value":""},{"id":150,"name":"Time of Event (Mountain Time)","value":"12:51:49"},{"id":151,"name":"Denver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2" s="48"/>
      <c r="AL82" s="48"/>
      <c r="AM82" s="150" t="str">
        <f t="shared" si="10"/>
        <v>start /low /b %USERPROFILE%\Documents\GitHub\eaglep3\Utilities\DownloadLogsFromS3.py --loco 4032 --day 2017-04-09</v>
      </c>
      <c r="AN82" s="159" t="str">
        <f t="shared" si="11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18:51:49"},{"id":29,"name":"Sharepoint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611</v>
      </c>
      <c r="B83" s="7">
        <v>4031</v>
      </c>
      <c r="C83" s="21" t="s">
        <v>215</v>
      </c>
      <c r="D83" s="21" t="s">
        <v>862</v>
      </c>
      <c r="E83" s="13">
        <v>42834.542754629627</v>
      </c>
      <c r="F83" s="13">
        <v>42834.549710648149</v>
      </c>
      <c r="G83" s="7">
        <v>1</v>
      </c>
      <c r="H83" s="21" t="s">
        <v>197</v>
      </c>
      <c r="I83" s="13">
        <v>42834.581377314818</v>
      </c>
      <c r="J83" s="7">
        <v>0</v>
      </c>
      <c r="K83" s="97" t="str">
        <f>IF(ISEVEN(B83),(B83-1)&amp;"/"&amp;B83,B83&amp;"/"&amp;(B83+1))</f>
        <v>4031/4032</v>
      </c>
      <c r="L83" s="21" t="str">
        <f>VLOOKUP(A83,'Trips&amp;Operators'!$C$1:$G$99999,5,FALSE)</f>
        <v>LOPES KIMBERLY</v>
      </c>
      <c r="M83" s="6">
        <f>I83-F83</f>
        <v>3.1666666669480037E-2</v>
      </c>
      <c r="N83" s="7">
        <f>24*60*SUM($M83:$M83)</f>
        <v>45.600000004051253</v>
      </c>
      <c r="O83" s="7"/>
      <c r="P83" s="7"/>
      <c r="Q83" s="22"/>
      <c r="R83" s="22"/>
      <c r="S83" s="31">
        <f>SUM(U83:U83)/IF(AG83="EC",12,1)</f>
        <v>1</v>
      </c>
      <c r="T83" s="46" t="str">
        <f>IF(ISEVEN(LEFT(AD83,4)),"Southbound","NorthBound")</f>
        <v>Southbound</v>
      </c>
      <c r="U83" s="18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2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-04-09T12:01:34-0600',mode:absolute,to:'2017-04-09T14:57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3" s="183" t="str">
        <f>IF(AA83&lt;IF(AG83="EC",23,5.65),"Y","N")</f>
        <v>N</v>
      </c>
      <c r="X83" s="183">
        <f>VALUE(LEFT(AD83,4))-VALUE(LEFT(AD82,4))</f>
        <v>1</v>
      </c>
      <c r="Y83" s="62">
        <f>RIGHT(D83,LEN(D83)-4)/10000</f>
        <v>23.302800000000001</v>
      </c>
      <c r="Z83" s="62">
        <f>RIGHT(H83,LEN(H83)-4)/10000</f>
        <v>1.52E-2</v>
      </c>
      <c r="AA83" s="62">
        <f>ABS(Z83-Y83)</f>
        <v>23.287600000000001</v>
      </c>
      <c r="AB83" s="59" t="str">
        <f>VLOOKUP(A83,Enforcements!$C$7:$K$13,8,0)</f>
        <v>Bulletin (2)</v>
      </c>
      <c r="AC83" s="55" t="str">
        <f>VLOOKUP(A83,Enforcements!$C$7:$E$13,3,0)</f>
        <v>GRADE CROSSING</v>
      </c>
      <c r="AD83" s="56" t="str">
        <f>IF(LEN(A83)=6,"0"&amp;A83,A83)</f>
        <v>0170-09</v>
      </c>
      <c r="AE83" s="85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s3://rtdc.mdm.uploadarchive.raw/RTDC4031/ "%USERPROFILE%\AppData\Local\Temp\OnboardLogs"\RTDC4031\2017-04-09 --exclude "*" --recursive --include "*20170409*" &amp; "%USERPROFILE%\Documents\GitHub\mrs-test-scripts\Headless Mode &amp; Sideloading\WalkAndUnGZ.bat" "%USERPROFILE%\AppData\Local\Temp\OnboardLogs"\RTDC4031\2017-04-09 &amp; aws s3 cp s3://rtdc.mdm.uploadarchive.raw/RTDC4031/ "%USERPROFILE%\AppData\Local\Temp\OnboardLogs"\RTDC4031\2017-04-10 --exclude "*" --recursive --include "*20170410*" &amp; "%USERPROFILE%\Documents\GitHub\mrs-test-scripts\Headless Mode &amp; Sideloading\WalkAndUnGZ.bat" "%USERPROFILE%\AppData\Local\Temp\OnboardLogs"\RTDC4031\2017-04-10</v>
      </c>
      <c r="AF83" s="82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/stypes="app*4031*20170409*" /stext=" 19:.+((SYSTEM_STATE.+slice.+state.+changed )|(ment ac)|(multiple cpu faults)|(system.+state.+changed )|(\[timeout)|(PRM\|1\|D)|(kpr)|(kdp)|(\|lc)|(penalty))"</v>
      </c>
      <c r="AG83" s="1" t="str">
        <f>IFERROR(IF(VALUE(LEFT(AD83,2))&lt;=2,"EC",IF(OR(VALUE(LEFT(AD83,2))=8,VALUE(LEFT(AD83,2))=18),"NW","Other")),"Other")</f>
        <v>EC</v>
      </c>
      <c r="AH83" s="86" t="str">
        <f t="shared" si="8"/>
        <v>"%USERPROFILE%\Documents\GitHub\eaglep3\Utilities\RefineRTDCRunTimes.py" --tripid 170-09 --locoid 4031 --swversion DE.1.0.9.0 --startMP 204:233028 --initTime 2017-04-09T13:01:34 --startdatetime 2017-04-09T13:11:35 --delay 1 --endMP 204:152 --enddatetime 2017-04-09T13:57:11 --enforcementcount 0 &gt;&gt;C:\Users\stu\Documents\GitHub\eaglep3-reporting\EC\2017-04-09-refined-times.txt</v>
      </c>
      <c r="AI83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{"issue":{"subject":"","project_id":79,"tracker_id":40,"status_id":1,"priority_id":2,"assigned_to_id":23,"start_date":"2017-04-09","description":"","custom_fields":[{"id":1,"name":"Subdivision","value":"EC"},{"id":4,"name":"Milepost","value":"0.0152"},{"id":17,"name":"Train ID","value":"170-09"},{"id":16,"name":"Locomotive ID","value":"4031"},{"id":130,"name":"Impact","value":""},{"id":150,"name":"Time of Event (Mountain Time)","value":"13:57:11"},{"id":151,"name":"Denver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3" s="48"/>
      <c r="AL83" s="48"/>
      <c r="AM83" s="150" t="str">
        <f t="shared" si="10"/>
        <v>start /low /b %USERPROFILE%\Documents\GitHub\eaglep3\Utilities\DownloadLogsFromS3.py --loco 4031 --day 2017-04-09</v>
      </c>
      <c r="AN83" s="159" t="str">
        <f t="shared" si="11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19:57:11"},{"id":29,"name":"Sharepoint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730</v>
      </c>
      <c r="B84" s="7">
        <v>4012</v>
      </c>
      <c r="C84" s="21" t="s">
        <v>215</v>
      </c>
      <c r="D84" s="21" t="s">
        <v>210</v>
      </c>
      <c r="E84" s="13">
        <v>42834.519062500003</v>
      </c>
      <c r="F84" s="13">
        <v>42834.522013888891</v>
      </c>
      <c r="G84" s="7">
        <v>2</v>
      </c>
      <c r="H84" s="21" t="s">
        <v>517</v>
      </c>
      <c r="I84" s="13">
        <v>42834.555497685185</v>
      </c>
      <c r="J84" s="7">
        <v>0</v>
      </c>
      <c r="K84" s="97" t="str">
        <f>IF(ISEVEN(B84),(B84-1)&amp;"/"&amp;B84,B84&amp;"/"&amp;(B84+1))</f>
        <v>4011/4012</v>
      </c>
      <c r="L84" s="21" t="str">
        <f>VLOOKUP(A84,'Trips&amp;Operators'!$C$1:$G$99999,5,FALSE)</f>
        <v>BRANDNER MELINDA</v>
      </c>
      <c r="M84" s="6">
        <f>I84-F84</f>
        <v>3.3483796294603962E-2</v>
      </c>
      <c r="N84" s="7">
        <f>24*60*SUM($M84:$M84)</f>
        <v>48.216666664229706</v>
      </c>
      <c r="O84" s="7"/>
      <c r="P84" s="7"/>
      <c r="Q84" s="22"/>
      <c r="R84" s="22"/>
      <c r="S84" s="31">
        <f>SUM(U84:U84)/IF(AG84="EC",12,1)</f>
        <v>1</v>
      </c>
      <c r="T84" s="46" t="str">
        <f>IF(ISEVEN(LEFT(AD84,4)),"Southbound","NorthBound")</f>
        <v>NorthBound</v>
      </c>
      <c r="U84" s="18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2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-04-09T11:27:27-0600',mode:absolute,to:'2017-04-09T14:19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4" s="183" t="str">
        <f>IF(AA84&lt;IF(AG84="EC",23,5.65),"Y","N")</f>
        <v>N</v>
      </c>
      <c r="X84" s="183">
        <f>VALUE(LEFT(AD84,4))-VALUE(LEFT(AD83,4))</f>
        <v>1</v>
      </c>
      <c r="Y84" s="62">
        <f>RIGHT(D84,LEN(D84)-4)/10000</f>
        <v>4.5499999999999999E-2</v>
      </c>
      <c r="Z84" s="62">
        <f>RIGHT(H84,LEN(H84)-4)/10000</f>
        <v>23.330500000000001</v>
      </c>
      <c r="AA84" s="62">
        <f>ABS(Z84-Y84)</f>
        <v>23.285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>IF(LEN(A84)=6,"0"&amp;A84,A84)</f>
        <v>0171-09</v>
      </c>
      <c r="AE84" s="85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s3://rtdc.mdm.uploadarchive.raw/RTDC4012/ "%USERPROFILE%\AppData\Local\Temp\OnboardLogs"\RTDC4012\2017-04-09 --exclude "*" --recursive --include "*20170409*" &amp; "%USERPROFILE%\Documents\GitHub\mrs-test-scripts\Headless Mode &amp; Sideloading\WalkAndUnGZ.bat" "%USERPROFILE%\AppData\Local\Temp\OnboardLogs"\RTDC4012\2017-04-09 &amp; aws s3 cp s3://rtdc.mdm.uploadarchive.raw/RTDC4012/ "%USERPROFILE%\AppData\Local\Temp\OnboardLogs"\RTDC4012\2017-04-10 --exclude "*" --recursive --include "*20170410*" &amp; "%USERPROFILE%\Documents\GitHub\mrs-test-scripts\Headless Mode &amp; Sideloading\WalkAndUnGZ.bat" "%USERPROFILE%\AppData\Local\Temp\OnboardLogs"\RTDC4012\2017-04-10</v>
      </c>
      <c r="AF84" s="82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/stypes="app*4012*20170409*" /stext=" 19:.+((SYSTEM_STATE.+slice.+state.+changed )|(ment ac)|(multiple cpu faults)|(system.+state.+changed )|(\[timeout)|(PRM\|1\|D)|(kpr)|(kdp)|(\|lc)|(penalty))"</v>
      </c>
      <c r="AG84" s="1" t="str">
        <f>IFERROR(IF(VALUE(LEFT(AD84,2))&lt;=2,"EC",IF(OR(VALUE(LEFT(AD84,2))=8,VALUE(LEFT(AD84,2))=18),"NW","Other")),"Other")</f>
        <v>EC</v>
      </c>
      <c r="AH84" s="86" t="str">
        <f t="shared" si="8"/>
        <v>"%USERPROFILE%\Documents\GitHub\eaglep3\Utilities\RefineRTDCRunTimes.py" --tripid 171-09 --locoid 4012 --swversion DE.1.0.9.0 --startMP 204:455 --initTime 2017-04-09T12:27:27 --startdatetime 2017-04-09T12:31:42 --delay 2 --endMP 204:233305 --enddatetime 2017-04-09T13:19:55 --enforcementcount 0 &gt;&gt;C:\Users\stu\Documents\GitHub\eaglep3-reporting\EC\2017-04-09-refined-times.txt</v>
      </c>
      <c r="AI84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{"issue":{"subject":"","project_id":79,"tracker_id":40,"status_id":1,"priority_id":2,"assigned_to_id":23,"start_date":"2017-04-09","description":"","custom_fields":[{"id":1,"name":"Subdivision","value":"EC"},{"id":4,"name":"Milepost","value":"23.3305"},{"id":17,"name":"Train ID","value":"171-09"},{"id":16,"name":"Locomotive ID","value":"4012"},{"id":130,"name":"Impact","value":""},{"id":150,"name":"Time of Event (Mountain Time)","value":"13:19:55"},{"id":151,"name":"Denver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4" s="48"/>
      <c r="AL84" s="48"/>
      <c r="AM84" s="150" t="str">
        <f t="shared" si="10"/>
        <v>start /low /b %USERPROFILE%\Documents\GitHub\eaglep3\Utilities\DownloadLogsFromS3.py --loco 4012 --day 2017-04-09</v>
      </c>
      <c r="AN84" s="159" t="str">
        <f t="shared" si="11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19:19:55"},{"id":29,"name":"Sharepoint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613</v>
      </c>
      <c r="B85" s="7">
        <v>4011</v>
      </c>
      <c r="C85" s="21" t="s">
        <v>215</v>
      </c>
      <c r="D85" s="21" t="s">
        <v>521</v>
      </c>
      <c r="E85" s="13">
        <v>42834.557615740741</v>
      </c>
      <c r="F85" s="13">
        <v>42834.55982638889</v>
      </c>
      <c r="G85" s="7">
        <v>1</v>
      </c>
      <c r="H85" s="21" t="s">
        <v>518</v>
      </c>
      <c r="I85" s="13">
        <v>42834.588692129626</v>
      </c>
      <c r="J85" s="7">
        <v>0</v>
      </c>
      <c r="K85" s="97" t="str">
        <f>IF(ISEVEN(B85),(B85-1)&amp;"/"&amp;B85,B85&amp;"/"&amp;(B85+1))</f>
        <v>4011/4012</v>
      </c>
      <c r="L85" s="21" t="str">
        <f>VLOOKUP(A85,'Trips&amp;Operators'!$C$1:$G$99999,5,FALSE)</f>
        <v>BRANDNER MELINDA</v>
      </c>
      <c r="M85" s="6">
        <f>I85-F85</f>
        <v>2.8865740736364387E-2</v>
      </c>
      <c r="N85" s="7">
        <f>24*60*SUM($M85:$M85)</f>
        <v>41.566666660364717</v>
      </c>
      <c r="O85" s="7"/>
      <c r="P85" s="7"/>
      <c r="Q85" s="22"/>
      <c r="R85" s="22"/>
      <c r="S85" s="31">
        <f>SUM(U85:U85)/IF(AG85="EC",12,1)</f>
        <v>1</v>
      </c>
      <c r="T85" s="46" t="str">
        <f>IF(ISEVEN(LEFT(AD85,4)),"Southbound","NorthBound")</f>
        <v>Southbound</v>
      </c>
      <c r="U85" s="18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2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-04-09T12:22:58-0600',mode:absolute,to:'2017-04-09T15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5" s="183" t="str">
        <f>IF(AA85&lt;IF(AG85="EC",23,5.65),"Y","N")</f>
        <v>N</v>
      </c>
      <c r="X85" s="183">
        <f>VALUE(LEFT(AD85,4))-VALUE(LEFT(AD84,4))</f>
        <v>1</v>
      </c>
      <c r="Y85" s="62">
        <f>RIGHT(D85,LEN(D85)-4)/10000</f>
        <v>23.296900000000001</v>
      </c>
      <c r="Z85" s="62">
        <f>RIGHT(H85,LEN(H85)-4)/10000</f>
        <v>1.3599999999999999E-2</v>
      </c>
      <c r="AA85" s="62">
        <f>ABS(Z85-Y85)</f>
        <v>23.283300000000001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>IF(LEN(A85)=6,"0"&amp;A85,A85)</f>
        <v>0172-09</v>
      </c>
      <c r="AE85" s="85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s3://rtdc.mdm.uploadarchive.raw/RTDC4011/ "%USERPROFILE%\AppData\Local\Temp\OnboardLogs"\RTDC4011\2017-04-09 --exclude "*" --recursive --include "*20170409*" &amp; "%USERPROFILE%\Documents\GitHub\mrs-test-scripts\Headless Mode &amp; Sideloading\WalkAndUnGZ.bat" "%USERPROFILE%\AppData\Local\Temp\OnboardLogs"\RTDC4011\2017-04-09 &amp; aws s3 cp s3://rtdc.mdm.uploadarchive.raw/RTDC4011/ "%USERPROFILE%\AppData\Local\Temp\OnboardLogs"\RTDC4011\2017-04-10 --exclude "*" --recursive --include "*20170410*" &amp; "%USERPROFILE%\Documents\GitHub\mrs-test-scripts\Headless Mode &amp; Sideloading\WalkAndUnGZ.bat" "%USERPROFILE%\AppData\Local\Temp\OnboardLogs"\RTDC4011\2017-04-10</v>
      </c>
      <c r="AF85" s="82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/stypes="app*4011*20170409*" /stext=" 20:.+((SYSTEM_STATE.+slice.+state.+changed )|(ment ac)|(multiple cpu faults)|(system.+state.+changed )|(\[timeout)|(PRM\|1\|D)|(kpr)|(kdp)|(\|lc)|(penalty))"</v>
      </c>
      <c r="AG85" s="1" t="str">
        <f>IFERROR(IF(VALUE(LEFT(AD85,2))&lt;=2,"EC",IF(OR(VALUE(LEFT(AD85,2))=8,VALUE(LEFT(AD85,2))=18),"NW","Other")),"Other")</f>
        <v>EC</v>
      </c>
      <c r="AH85" s="86" t="str">
        <f t="shared" si="8"/>
        <v>"%USERPROFILE%\Documents\GitHub\eaglep3\Utilities\RefineRTDCRunTimes.py" --tripid 172-09 --locoid 4011 --swversion DE.1.0.9.0 --startMP 204:232969 --initTime 2017-04-09T13:22:58 --startdatetime 2017-04-09T13:26:09 --delay 1 --endMP 204:136 --enddatetime 2017-04-09T14:07:43 --enforcementcount 0 &gt;&gt;C:\Users\stu\Documents\GitHub\eaglep3-reporting\EC\2017-04-09-refined-times.txt</v>
      </c>
      <c r="AI85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{"issue":{"subject":"","project_id":79,"tracker_id":40,"status_id":1,"priority_id":2,"assigned_to_id":23,"start_date":"2017-04-09","description":"","custom_fields":[{"id":1,"name":"Subdivision","value":"EC"},{"id":4,"name":"Milepost","value":"0.0136"},{"id":17,"name":"Train ID","value":"172-09"},{"id":16,"name":"Locomotive ID","value":"4011"},{"id":130,"name":"Impact","value":""},{"id":150,"name":"Time of Event (Mountain Time)","value":"14:07:43"},{"id":151,"name":"Denver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8"/>
      <c r="AL85" s="48"/>
      <c r="AM85" s="150" t="str">
        <f t="shared" si="10"/>
        <v>start /low /b %USERPROFILE%\Documents\GitHub\eaglep3\Utilities\DownloadLogsFromS3.py --loco 4011 --day 2017-04-09</v>
      </c>
      <c r="AN85" s="159" t="str">
        <f t="shared" si="11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20:07:43"},{"id":29,"name":"Sharepoint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x14ac:dyDescent="0.25">
      <c r="A86" s="33" t="s">
        <v>609</v>
      </c>
      <c r="B86" s="7">
        <v>4030</v>
      </c>
      <c r="C86" s="21" t="s">
        <v>215</v>
      </c>
      <c r="D86" s="21" t="s">
        <v>583</v>
      </c>
      <c r="E86" s="13">
        <v>42834.530694444446</v>
      </c>
      <c r="F86" s="13">
        <v>42834.532025462962</v>
      </c>
      <c r="G86" s="7">
        <v>1</v>
      </c>
      <c r="H86" s="21" t="s">
        <v>482</v>
      </c>
      <c r="I86" s="13">
        <v>42834.559699074074</v>
      </c>
      <c r="J86" s="7">
        <v>0</v>
      </c>
      <c r="K86" s="97" t="str">
        <f>IF(ISEVEN(B86),(B86-1)&amp;"/"&amp;B86,B86&amp;"/"&amp;(B86+1))</f>
        <v>4029/4030</v>
      </c>
      <c r="L86" s="21" t="str">
        <f>VLOOKUP(A86,'Trips&amp;Operators'!$C$1:$G$99999,5,FALSE)</f>
        <v>STEWART MICHAEL</v>
      </c>
      <c r="M86" s="6">
        <f>I86-F86</f>
        <v>2.7673611111822538E-2</v>
      </c>
      <c r="N86" s="7">
        <f>24*60*SUM($M86:$M86)</f>
        <v>39.850000001024455</v>
      </c>
      <c r="O86" s="7"/>
      <c r="P86" s="7"/>
      <c r="Q86" s="22"/>
      <c r="R86" s="22"/>
      <c r="S86" s="31">
        <f>SUM(U86:U86)/IF(AG86="EC",12,1)</f>
        <v>1</v>
      </c>
      <c r="T86" s="46" t="str">
        <f>IF(ISEVEN(LEFT(AD86,4)),"Southbound","NorthBound")</f>
        <v>NorthBound</v>
      </c>
      <c r="U86" s="18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2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-04-09T11:44:12-0600',mode:absolute,to:'2017-04-09T14:25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6" s="183" t="str">
        <f>IF(AA86&lt;IF(AG86="EC",23,5.65),"Y","N")</f>
        <v>N</v>
      </c>
      <c r="X86" s="183">
        <f>VALUE(LEFT(AD86,4))-VALUE(LEFT(AD85,4))</f>
        <v>1</v>
      </c>
      <c r="Y86" s="62">
        <f>RIGHT(D86,LEN(D86)-4)/10000</f>
        <v>4.3499999999999997E-2</v>
      </c>
      <c r="Z86" s="62">
        <f>RIGHT(H86,LEN(H86)-4)/10000</f>
        <v>23.33</v>
      </c>
      <c r="AA86" s="62">
        <f>ABS(Z86-Y86)</f>
        <v>23.286499999999997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>IF(LEN(A86)=6,"0"&amp;A86,A86)</f>
        <v>0173-09</v>
      </c>
      <c r="AE86" s="85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s3://rtdc.mdm.uploadarchive.raw/RTDC4030/ "%USERPROFILE%\AppData\Local\Temp\OnboardLogs"\RTDC4030\2017-04-09 --exclude "*" --recursive --include "*20170409*" &amp; "%USERPROFILE%\Documents\GitHub\mrs-test-scripts\Headless Mode &amp; Sideloading\WalkAndUnGZ.bat" "%USERPROFILE%\AppData\Local\Temp\OnboardLogs"\RTDC4030\2017-04-09 &amp; aws s3 cp s3://rtdc.mdm.uploadarchive.raw/RTDC4030/ "%USERPROFILE%\AppData\Local\Temp\OnboardLogs"\RTDC4030\2017-04-10 --exclude "*" --recursive --include "*20170410*" &amp; "%USERPROFILE%\Documents\GitHub\mrs-test-scripts\Headless Mode &amp; Sideloading\WalkAndUnGZ.bat" "%USERPROFILE%\AppData\Local\Temp\OnboardLogs"\RTDC4030\2017-04-10</v>
      </c>
      <c r="AF86" s="82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/stypes="app*4030*20170409*" /stext=" 19:.+((SYSTEM_STATE.+slice.+state.+changed )|(ment ac)|(multiple cpu faults)|(system.+state.+changed )|(\[timeout)|(PRM\|1\|D)|(kpr)|(kdp)|(\|lc)|(penalty))"</v>
      </c>
      <c r="AG86" s="1" t="str">
        <f>IFERROR(IF(VALUE(LEFT(AD86,2))&lt;=2,"EC",IF(OR(VALUE(LEFT(AD86,2))=8,VALUE(LEFT(AD86,2))=18),"NW","Other")),"Other")</f>
        <v>EC</v>
      </c>
      <c r="AH86" s="86" t="str">
        <f t="shared" si="8"/>
        <v>"%USERPROFILE%\Documents\GitHub\eaglep3\Utilities\RefineRTDCRunTimes.py" --tripid 173-09 --locoid 4030 --swversion DE.1.0.9.0 --startMP 204:435 --initTime 2017-04-09T12:44:12 --startdatetime 2017-04-09T12:46:07 --delay 1 --endMP 204:233300 --enddatetime 2017-04-09T13:25:58 --enforcementcount 0 &gt;&gt;C:\Users\stu\Documents\GitHub\eaglep3-reporting\EC\2017-04-09-refined-times.txt</v>
      </c>
      <c r="AI86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{"issue":{"subject":"","project_id":79,"tracker_id":40,"status_id":1,"priority_id":2,"assigned_to_id":23,"start_date":"2017-04-09","description":"","custom_fields":[{"id":1,"name":"Subdivision","value":"EC"},{"id":4,"name":"Milepost","value":"23.33"},{"id":17,"name":"Train ID","value":"173-09"},{"id":16,"name":"Locomotive ID","value":"4030"},{"id":130,"name":"Impact","value":""},{"id":150,"name":"Time of Event (Mountain Time)","value":"13:25:58"},{"id":151,"name":"Denver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8"/>
      <c r="AL86" s="48"/>
      <c r="AM86" s="150" t="str">
        <f t="shared" si="10"/>
        <v>start /low /b %USERPROFILE%\Documents\GitHub\eaglep3\Utilities\DownloadLogsFromS3.py --loco 4030 --day 2017-04-09</v>
      </c>
      <c r="AN86" s="159" t="str">
        <f t="shared" si="11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19:25:58"},{"id":29,"name":"Sharepoint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7" spans="1:91" s="1" customFormat="1" x14ac:dyDescent="0.25">
      <c r="A87" s="33" t="s">
        <v>738</v>
      </c>
      <c r="B87" s="7">
        <v>4029</v>
      </c>
      <c r="C87" s="21" t="s">
        <v>215</v>
      </c>
      <c r="D87" s="21" t="s">
        <v>436</v>
      </c>
      <c r="E87" s="13">
        <v>42834.567418981482</v>
      </c>
      <c r="F87" s="13">
        <v>42834.570393518516</v>
      </c>
      <c r="G87" s="7">
        <v>1</v>
      </c>
      <c r="H87" s="21" t="s">
        <v>398</v>
      </c>
      <c r="I87" s="13">
        <v>42834.598530092589</v>
      </c>
      <c r="J87" s="7">
        <v>0</v>
      </c>
      <c r="K87" s="97" t="str">
        <f>IF(ISEVEN(B87),(B87-1)&amp;"/"&amp;B87,B87&amp;"/"&amp;(B87+1))</f>
        <v>4029/4030</v>
      </c>
      <c r="L87" s="21" t="str">
        <f>VLOOKUP(A87,'Trips&amp;Operators'!$C$1:$G$99999,5,FALSE)</f>
        <v>STEWART MICHAEL</v>
      </c>
      <c r="M87" s="6">
        <f>I87-F87</f>
        <v>2.8136574073869269E-2</v>
      </c>
      <c r="N87" s="7">
        <f>24*60*SUM($M87:$M87)</f>
        <v>40.516666666371748</v>
      </c>
      <c r="O87" s="7"/>
      <c r="P87" s="7"/>
      <c r="Q87" s="22"/>
      <c r="R87" s="22"/>
      <c r="S87" s="31">
        <f>SUM(U87:U87)/IF(AG87="EC",12,1)</f>
        <v>1</v>
      </c>
      <c r="T87" s="46" t="str">
        <f>IF(ISEVEN(LEFT(AD87,4)),"Southbound","NorthBound")</f>
        <v>Southbound</v>
      </c>
      <c r="U87" s="18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2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-04-09T12:37:05-0600',mode:absolute,to:'2017-04-09T15:21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7" s="183" t="str">
        <f>IF(AA87&lt;IF(AG87="EC",23,5.65),"Y","N")</f>
        <v>N</v>
      </c>
      <c r="X87" s="183">
        <f>VALUE(LEFT(AD87,4))-VALUE(LEFT(AD86,4))</f>
        <v>1</v>
      </c>
      <c r="Y87" s="62">
        <f>RIGHT(D87,LEN(D87)-4)/10000</f>
        <v>23.298500000000001</v>
      </c>
      <c r="Z87" s="62">
        <f>RIGHT(H87,LEN(H87)-4)/10000</f>
        <v>1.61E-2</v>
      </c>
      <c r="AA87" s="62">
        <f>ABS(Z87-Y87)</f>
        <v>23.282399999999999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>IF(LEN(A87)=6,"0"&amp;A87,A87)</f>
        <v>0174-09</v>
      </c>
      <c r="AE87" s="85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s3://rtdc.mdm.uploadarchive.raw/RTDC4029/ "%USERPROFILE%\AppData\Local\Temp\OnboardLogs"\RTDC4029\2017-04-09 --exclude "*" --recursive --include "*20170409*" &amp; "%USERPROFILE%\Documents\GitHub\mrs-test-scripts\Headless Mode &amp; Sideloading\WalkAndUnGZ.bat" "%USERPROFILE%\AppData\Local\Temp\OnboardLogs"\RTDC4029\2017-04-09 &amp; aws s3 cp s3://rtdc.mdm.uploadarchive.raw/RTDC4029/ "%USERPROFILE%\AppData\Local\Temp\OnboardLogs"\RTDC4029\2017-04-10 --exclude "*" --recursive --include "*20170410*" &amp; "%USERPROFILE%\Documents\GitHub\mrs-test-scripts\Headless Mode &amp; Sideloading\WalkAndUnGZ.bat" "%USERPROFILE%\AppData\Local\Temp\OnboardLogs"\RTDC4029\2017-04-10</v>
      </c>
      <c r="AF87" s="82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/stypes="app*4029*20170409*" /stext=" 20:.+((SYSTEM_STATE.+slice.+state.+changed )|(ment ac)|(multiple cpu faults)|(system.+state.+changed )|(\[timeout)|(PRM\|1\|D)|(kpr)|(kdp)|(\|lc)|(penalty))"</v>
      </c>
      <c r="AG87" s="1" t="str">
        <f>IFERROR(IF(VALUE(LEFT(AD87,2))&lt;=2,"EC",IF(OR(VALUE(LEFT(AD87,2))=8,VALUE(LEFT(AD87,2))=18),"NW","Other")),"Other")</f>
        <v>EC</v>
      </c>
      <c r="AH87" s="86" t="str">
        <f t="shared" si="8"/>
        <v>"%USERPROFILE%\Documents\GitHub\eaglep3\Utilities\RefineRTDCRunTimes.py" --tripid 174-09 --locoid 4029 --swversion DE.1.0.9.0 --startMP 204:232985 --initTime 2017-04-09T13:37:05 --startdatetime 2017-04-09T13:41:22 --delay 1 --endMP 204:161 --enddatetime 2017-04-09T14:21:53 --enforcementcount 0 &gt;&gt;C:\Users\stu\Documents\GitHub\eaglep3-reporting\EC\2017-04-09-refined-times.txt</v>
      </c>
      <c r="AI87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{"issue":{"subject":"","project_id":79,"tracker_id":40,"status_id":1,"priority_id":2,"assigned_to_id":23,"start_date":"2017-04-09","description":"","custom_fields":[{"id":1,"name":"Subdivision","value":"EC"},{"id":4,"name":"Milepost","value":"0.0161"},{"id":17,"name":"Train ID","value":"174-09"},{"id":16,"name":"Locomotive ID","value":"4029"},{"id":130,"name":"Impact","value":""},{"id":150,"name":"Time of Event (Mountain Time)","value":"14:21:53"},{"id":151,"name":"Denver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8"/>
      <c r="AL87" s="48"/>
      <c r="AM87" s="150" t="str">
        <f t="shared" si="10"/>
        <v>start /low /b %USERPROFILE%\Documents\GitHub\eaglep3\Utilities\DownloadLogsFromS3.py --loco 4029 --day 2017-04-09</v>
      </c>
      <c r="AN87" s="159" t="str">
        <f t="shared" si="11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20:21:53"},{"id":29,"name":"Sharepoint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610</v>
      </c>
      <c r="B88" s="7">
        <v>4004</v>
      </c>
      <c r="C88" s="21" t="s">
        <v>215</v>
      </c>
      <c r="D88" s="21" t="s">
        <v>206</v>
      </c>
      <c r="E88" s="13">
        <v>42834.543090277781</v>
      </c>
      <c r="F88" s="13">
        <v>42834.545162037037</v>
      </c>
      <c r="G88" s="7">
        <v>2</v>
      </c>
      <c r="H88" s="21" t="s">
        <v>879</v>
      </c>
      <c r="I88" s="13">
        <v>42834.574062500003</v>
      </c>
      <c r="J88" s="7">
        <v>0</v>
      </c>
      <c r="K88" s="97" t="str">
        <f>IF(ISEVEN(B88),(B88-1)&amp;"/"&amp;B88,B88&amp;"/"&amp;(B88+1))</f>
        <v>4003/4004</v>
      </c>
      <c r="L88" s="21" t="str">
        <f>VLOOKUP(A88,'Trips&amp;Operators'!$C$1:$G$99999,5,FALSE)</f>
        <v>DAVIS MICHAEL</v>
      </c>
      <c r="M88" s="6">
        <f>I88-F88</f>
        <v>2.8900462966703344E-2</v>
      </c>
      <c r="N88" s="7">
        <f>24*60*SUM($M88:$M88)</f>
        <v>41.616666672052816</v>
      </c>
      <c r="O88" s="7"/>
      <c r="P88" s="7"/>
      <c r="Q88" s="22"/>
      <c r="R88" s="22"/>
      <c r="S88" s="31">
        <f>SUM(U88:U88)/IF(AG88="EC",12,1)</f>
        <v>1</v>
      </c>
      <c r="T88" s="46" t="str">
        <f>IF(ISEVEN(LEFT(AD88,4)),"Southbound","NorthBound")</f>
        <v>NorthBound</v>
      </c>
      <c r="U88" s="18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2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-04-09T12:02:03-0600',mode:absolute,to:'2017-04-09T14:46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8" s="183" t="str">
        <f>IF(AA88&lt;IF(AG88="EC",23,5.65),"Y","N")</f>
        <v>N</v>
      </c>
      <c r="X88" s="183">
        <f>VALUE(LEFT(AD88,4))-VALUE(LEFT(AD87,4))</f>
        <v>1</v>
      </c>
      <c r="Y88" s="62">
        <f>RIGHT(D88,LEN(D88)-4)/10000</f>
        <v>4.5999999999999999E-2</v>
      </c>
      <c r="Z88" s="62">
        <f>RIGHT(H88,LEN(H88)-4)/10000</f>
        <v>23.3218</v>
      </c>
      <c r="AA88" s="62">
        <f>ABS(Z88-Y88)</f>
        <v>23.2758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>IF(LEN(A88)=6,"0"&amp;A88,A88)</f>
        <v>0175-09</v>
      </c>
      <c r="AE88" s="85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s3://rtdc.mdm.uploadarchive.raw/RTDC4004/ "%USERPROFILE%\AppData\Local\Temp\OnboardLogs"\RTDC4004\2017-04-09 --exclude "*" --recursive --include "*20170409*" &amp; "%USERPROFILE%\Documents\GitHub\mrs-test-scripts\Headless Mode &amp; Sideloading\WalkAndUnGZ.bat" "%USERPROFILE%\AppData\Local\Temp\OnboardLogs"\RTDC4004\2017-04-09 &amp; aws s3 cp s3://rtdc.mdm.uploadarchive.raw/RTDC4004/ "%USERPROFILE%\AppData\Local\Temp\OnboardLogs"\RTDC4004\2017-04-10 --exclude "*" --recursive --include "*20170410*" &amp; "%USERPROFILE%\Documents\GitHub\mrs-test-scripts\Headless Mode &amp; Sideloading\WalkAndUnGZ.bat" "%USERPROFILE%\AppData\Local\Temp\OnboardLogs"\RTDC4004\2017-04-10</v>
      </c>
      <c r="AF88" s="82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/stypes="app*4004*20170409*" /stext=" 19:.+((SYSTEM_STATE.+slice.+state.+changed )|(ment ac)|(multiple cpu faults)|(system.+state.+changed )|(\[timeout)|(PRM\|1\|D)|(kpr)|(kdp)|(\|lc)|(penalty))"</v>
      </c>
      <c r="AG88" s="1" t="str">
        <f>IFERROR(IF(VALUE(LEFT(AD88,2))&lt;=2,"EC",IF(OR(VALUE(LEFT(AD88,2))=8,VALUE(LEFT(AD88,2))=18),"NW","Other")),"Other")</f>
        <v>EC</v>
      </c>
      <c r="AH88" s="86" t="str">
        <f t="shared" si="8"/>
        <v>"%USERPROFILE%\Documents\GitHub\eaglep3\Utilities\RefineRTDCRunTimes.py" --tripid 175-09 --locoid 4004 --swversion DE.1.0.9.0 --startMP 204:460 --initTime 2017-04-09T13:02:03 --startdatetime 2017-04-09T13:05:02 --delay 2 --endMP 204:233218 --enddatetime 2017-04-09T13:46:39 --enforcementcount 0 &gt;&gt;C:\Users\stu\Documents\GitHub\eaglep3-reporting\EC\2017-04-09-refined-times.txt</v>
      </c>
      <c r="AI88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{"issue":{"subject":"","project_id":79,"tracker_id":40,"status_id":1,"priority_id":2,"assigned_to_id":23,"start_date":"2017-04-09","description":"","custom_fields":[{"id":1,"name":"Subdivision","value":"EC"},{"id":4,"name":"Milepost","value":"23.3218"},{"id":17,"name":"Train ID","value":"175-09"},{"id":16,"name":"Locomotive ID","value":"4004"},{"id":130,"name":"Impact","value":""},{"id":150,"name":"Time of Event (Mountain Time)","value":"13:46:39"},{"id":151,"name":"Denver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8"/>
      <c r="AL88" s="48"/>
      <c r="AM88" s="150" t="str">
        <f t="shared" si="10"/>
        <v>start /low /b %USERPROFILE%\Documents\GitHub\eaglep3\Utilities\DownloadLogsFromS3.py --loco 4004 --day 2017-04-09</v>
      </c>
      <c r="AN88" s="159" t="str">
        <f t="shared" si="11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19:46:39"},{"id":29,"name":"Sharepoint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740</v>
      </c>
      <c r="B89" s="7">
        <v>4003</v>
      </c>
      <c r="C89" s="21" t="s">
        <v>215</v>
      </c>
      <c r="D89" s="21" t="s">
        <v>880</v>
      </c>
      <c r="E89" s="13">
        <v>42834.578796296293</v>
      </c>
      <c r="F89" s="13">
        <v>42834.581018518518</v>
      </c>
      <c r="G89" s="7">
        <v>1</v>
      </c>
      <c r="H89" s="21" t="s">
        <v>478</v>
      </c>
      <c r="I89" s="13">
        <v>42834.609837962962</v>
      </c>
      <c r="J89" s="7">
        <v>0</v>
      </c>
      <c r="K89" s="97" t="str">
        <f>IF(ISEVEN(B89),(B89-1)&amp;"/"&amp;B89,B89&amp;"/"&amp;(B89+1))</f>
        <v>4003/4004</v>
      </c>
      <c r="L89" s="21" t="str">
        <f>VLOOKUP(A89,'Trips&amp;Operators'!$C$1:$G$99999,5,FALSE)</f>
        <v>DAVIS MICHAEL</v>
      </c>
      <c r="M89" s="6">
        <f>I89-F89</f>
        <v>2.8819444443797693E-2</v>
      </c>
      <c r="N89" s="7">
        <f>24*60*SUM($M89:$M89)</f>
        <v>41.499999999068677</v>
      </c>
      <c r="O89" s="7"/>
      <c r="P89" s="7"/>
      <c r="Q89" s="22"/>
      <c r="R89" s="22"/>
      <c r="S89" s="31">
        <f>SUM(U89:U89)/IF(AG89="EC",12,1)</f>
        <v>1</v>
      </c>
      <c r="T89" s="46" t="str">
        <f>IF(ISEVEN(LEFT(AD89,4)),"Southbound","NorthBound")</f>
        <v>Southbound</v>
      </c>
      <c r="U89" s="18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2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-04-09T12:53:28-0600',mode:absolute,to:'2017-04-09T15:38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9" s="183" t="str">
        <f>IF(AA89&lt;IF(AG89="EC",23,5.65),"Y","N")</f>
        <v>N</v>
      </c>
      <c r="X89" s="183">
        <f>VALUE(LEFT(AD89,4))-VALUE(LEFT(AD88,4))</f>
        <v>1</v>
      </c>
      <c r="Y89" s="62">
        <f>RIGHT(D89,LEN(D89)-4)/10000</f>
        <v>23.290400000000002</v>
      </c>
      <c r="Z89" s="62">
        <f>RIGHT(H89,LEN(H89)-4)/10000</f>
        <v>1.32E-2</v>
      </c>
      <c r="AA89" s="62">
        <f>ABS(Z89-Y89)</f>
        <v>23.277200000000001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>IF(LEN(A89)=6,"0"&amp;A89,A89)</f>
        <v>0176-09</v>
      </c>
      <c r="AE89" s="85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s3://rtdc.mdm.uploadarchive.raw/RTDC4003/ "%USERPROFILE%\AppData\Local\Temp\OnboardLogs"\RTDC4003\2017-04-09 --exclude "*" --recursive --include "*20170409*" &amp; "%USERPROFILE%\Documents\GitHub\mrs-test-scripts\Headless Mode &amp; Sideloading\WalkAndUnGZ.bat" "%USERPROFILE%\AppData\Local\Temp\OnboardLogs"\RTDC4003\2017-04-09 &amp; aws s3 cp s3://rtdc.mdm.uploadarchive.raw/RTDC4003/ "%USERPROFILE%\AppData\Local\Temp\OnboardLogs"\RTDC4003\2017-04-10 --exclude "*" --recursive --include "*20170410*" &amp; "%USERPROFILE%\Documents\GitHub\mrs-test-scripts\Headless Mode &amp; Sideloading\WalkAndUnGZ.bat" "%USERPROFILE%\AppData\Local\Temp\OnboardLogs"\RTDC4003\2017-04-10</v>
      </c>
      <c r="AF89" s="82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/stypes="app*4003*20170409*" /stext=" 20:.+((SYSTEM_STATE.+slice.+state.+changed )|(ment ac)|(multiple cpu faults)|(system.+state.+changed )|(\[timeout)|(PRM\|1\|D)|(kpr)|(kdp)|(\|lc)|(penalty))"</v>
      </c>
      <c r="AG89" s="1" t="str">
        <f>IFERROR(IF(VALUE(LEFT(AD89,2))&lt;=2,"EC",IF(OR(VALUE(LEFT(AD89,2))=8,VALUE(LEFT(AD89,2))=18),"NW","Other")),"Other")</f>
        <v>EC</v>
      </c>
      <c r="AH89" s="86" t="str">
        <f t="shared" si="8"/>
        <v>"%USERPROFILE%\Documents\GitHub\eaglep3\Utilities\RefineRTDCRunTimes.py" --tripid 176-09 --locoid 4003 --swversion DE.1.0.9.0 --startMP 204:232904 --initTime 2017-04-09T13:53:28 --startdatetime 2017-04-09T13:56:40 --delay 1 --endMP 204:132 --enddatetime 2017-04-09T14:38:10 --enforcementcount 0 &gt;&gt;C:\Users\stu\Documents\GitHub\eaglep3-reporting\EC\2017-04-09-refined-times.txt</v>
      </c>
      <c r="AI89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{"issue":{"subject":"","project_id":79,"tracker_id":40,"status_id":1,"priority_id":2,"assigned_to_id":23,"start_date":"2017-04-09","description":"","custom_fields":[{"id":1,"name":"Subdivision","value":"EC"},{"id":4,"name":"Milepost","value":"0.0132"},{"id":17,"name":"Train ID","value":"176-09"},{"id":16,"name":"Locomotive ID","value":"4003"},{"id":130,"name":"Impact","value":""},{"id":150,"name":"Time of Event (Mountain Time)","value":"14:38:10"},{"id":151,"name":"Denver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8"/>
      <c r="AL89" s="48"/>
      <c r="AM89" s="150" t="str">
        <f t="shared" si="10"/>
        <v>start /low /b %USERPROFILE%\Documents\GitHub\eaglep3\Utilities\DownloadLogsFromS3.py --loco 4003 --day 2017-04-09</v>
      </c>
      <c r="AN89" s="159" t="str">
        <f t="shared" si="11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20:38:10"},{"id":29,"name":"Sharepoint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735</v>
      </c>
      <c r="B90" s="7">
        <v>4020</v>
      </c>
      <c r="C90" s="21" t="s">
        <v>215</v>
      </c>
      <c r="D90" s="21" t="s">
        <v>881</v>
      </c>
      <c r="E90" s="13">
        <v>42834.548414351855</v>
      </c>
      <c r="F90" s="13">
        <v>42834.552337962959</v>
      </c>
      <c r="G90" s="7">
        <v>1</v>
      </c>
      <c r="H90" s="21" t="s">
        <v>882</v>
      </c>
      <c r="I90" s="13">
        <v>42834.578599537039</v>
      </c>
      <c r="J90" s="7">
        <v>0</v>
      </c>
      <c r="K90" s="97" t="str">
        <f>IF(ISEVEN(B90),(B90-1)&amp;"/"&amp;B90,B90&amp;"/"&amp;(B90+1))</f>
        <v>4019/4020</v>
      </c>
      <c r="L90" s="21" t="str">
        <f>VLOOKUP(A90,'Trips&amp;Operators'!$C$1:$G$99999,5,FALSE)</f>
        <v>LEVIN SCOTT</v>
      </c>
      <c r="M90" s="6">
        <f>I90-F90</f>
        <v>2.6261574079398997E-2</v>
      </c>
      <c r="N90" s="7">
        <f>24*60*SUM($M90:$M90)</f>
        <v>37.816666674334556</v>
      </c>
      <c r="O90" s="7"/>
      <c r="P90" s="7"/>
      <c r="Q90" s="22"/>
      <c r="R90" s="22"/>
      <c r="S90" s="31">
        <f>SUM(U90:U90)/IF(AG90="EC",12,1)</f>
        <v>1</v>
      </c>
      <c r="T90" s="46" t="str">
        <f>IF(ISEVEN(LEFT(AD90,4)),"Southbound","NorthBound")</f>
        <v>NorthBound</v>
      </c>
      <c r="U90" s="18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2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-04-09T12:09:43-0600',mode:absolute,to:'2017-04-09T14:53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0" s="183" t="str">
        <f>IF(AA90&lt;IF(AG90="EC",23,5.65),"Y","N")</f>
        <v>N</v>
      </c>
      <c r="X90" s="183">
        <f>VALUE(LEFT(AD90,4))-VALUE(LEFT(AD89,4))</f>
        <v>1</v>
      </c>
      <c r="Y90" s="62">
        <f>RIGHT(D90,LEN(D90)-4)/10000</f>
        <v>4.02E-2</v>
      </c>
      <c r="Z90" s="62">
        <f>RIGHT(H90,LEN(H90)-4)/10000</f>
        <v>23.334399999999999</v>
      </c>
      <c r="AA90" s="62">
        <f>ABS(Z90-Y90)</f>
        <v>23.2942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>IF(LEN(A90)=6,"0"&amp;A90,A90)</f>
        <v>0177-09</v>
      </c>
      <c r="AE90" s="85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s3://rtdc.mdm.uploadarchive.raw/RTDC4020/ "%USERPROFILE%\AppData\Local\Temp\OnboardLogs"\RTDC4020\2017-04-09 --exclude "*" --recursive --include "*20170409*" &amp; "%USERPROFILE%\Documents\GitHub\mrs-test-scripts\Headless Mode &amp; Sideloading\WalkAndUnGZ.bat" "%USERPROFILE%\AppData\Local\Temp\OnboardLogs"\RTDC4020\2017-04-09 &amp; aws s3 cp s3://rtdc.mdm.uploadarchive.raw/RTDC4020/ "%USERPROFILE%\AppData\Local\Temp\OnboardLogs"\RTDC4020\2017-04-10 --exclude "*" --recursive --include "*20170410*" &amp; "%USERPROFILE%\Documents\GitHub\mrs-test-scripts\Headless Mode &amp; Sideloading\WalkAndUnGZ.bat" "%USERPROFILE%\AppData\Local\Temp\OnboardLogs"\RTDC4020\2017-04-10</v>
      </c>
      <c r="AF90" s="82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/stypes="app*4020*20170409*" /stext=" 19:.+((SYSTEM_STATE.+slice.+state.+changed )|(ment ac)|(multiple cpu faults)|(system.+state.+changed )|(\[timeout)|(PRM\|1\|D)|(kpr)|(kdp)|(\|lc)|(penalty))"</v>
      </c>
      <c r="AG90" s="1" t="str">
        <f>IFERROR(IF(VALUE(LEFT(AD90,2))&lt;=2,"EC",IF(OR(VALUE(LEFT(AD90,2))=8,VALUE(LEFT(AD90,2))=18),"NW","Other")),"Other")</f>
        <v>EC</v>
      </c>
      <c r="AH90" s="86" t="str">
        <f t="shared" si="8"/>
        <v>"%USERPROFILE%\Documents\GitHub\eaglep3\Utilities\RefineRTDCRunTimes.py" --tripid 177-09 --locoid 4020 --swversion DE.1.0.9.0 --startMP 204:402 --initTime 2017-04-09T13:09:43 --startdatetime 2017-04-09T13:15:22 --delay 1 --endMP 204:233344 --enddatetime 2017-04-09T13:53:11 --enforcementcount 0 &gt;&gt;C:\Users\stu\Documents\GitHub\eaglep3-reporting\EC\2017-04-09-refined-times.txt</v>
      </c>
      <c r="AI90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{"issue":{"subject":"","project_id":79,"tracker_id":40,"status_id":1,"priority_id":2,"assigned_to_id":23,"start_date":"2017-04-09","description":"","custom_fields":[{"id":1,"name":"Subdivision","value":"EC"},{"id":4,"name":"Milepost","value":"23.3344"},{"id":17,"name":"Train ID","value":"177-09"},{"id":16,"name":"Locomotive ID","value":"4020"},{"id":130,"name":"Impact","value":""},{"id":150,"name":"Time of Event (Mountain Time)","value":"13:53:11"},{"id":151,"name":"Denver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8"/>
      <c r="AL90" s="48"/>
      <c r="AM90" s="150" t="str">
        <f t="shared" si="10"/>
        <v>start /low /b %USERPROFILE%\Documents\GitHub\eaglep3\Utilities\DownloadLogsFromS3.py --loco 4020 --day 2017-04-09</v>
      </c>
      <c r="AN90" s="159" t="str">
        <f t="shared" si="11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19:53:11"},{"id":29,"name":"Sharepoint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742</v>
      </c>
      <c r="B91" s="7">
        <v>4019</v>
      </c>
      <c r="C91" s="21" t="s">
        <v>215</v>
      </c>
      <c r="D91" s="21" t="s">
        <v>883</v>
      </c>
      <c r="E91" s="13">
        <v>42834.585439814815</v>
      </c>
      <c r="F91" s="13">
        <v>42834.591122685182</v>
      </c>
      <c r="G91" s="7">
        <v>1</v>
      </c>
      <c r="H91" s="21" t="s">
        <v>884</v>
      </c>
      <c r="I91" s="13">
        <v>42834.618460648147</v>
      </c>
      <c r="J91" s="7">
        <v>0</v>
      </c>
      <c r="K91" s="97" t="str">
        <f>IF(ISEVEN(B91),(B91-1)&amp;"/"&amp;B91,B91&amp;"/"&amp;(B91+1))</f>
        <v>4019/4020</v>
      </c>
      <c r="L91" s="21" t="str">
        <f>VLOOKUP(A91,'Trips&amp;Operators'!$C$1:$G$99999,5,FALSE)</f>
        <v>LEVIN SCOTT</v>
      </c>
      <c r="M91" s="6">
        <f>I91-F91</f>
        <v>2.7337962965248153E-2</v>
      </c>
      <c r="N91" s="7">
        <f>24*60*SUM($M91:$M91)</f>
        <v>39.36666666995734</v>
      </c>
      <c r="O91" s="7"/>
      <c r="P91" s="7"/>
      <c r="Q91" s="22"/>
      <c r="R91" s="22"/>
      <c r="S91" s="31">
        <f>SUM(U91:U91)/IF(AG91="EC",12,1)</f>
        <v>1</v>
      </c>
      <c r="T91" s="46" t="str">
        <f>IF(ISEVEN(LEFT(AD91,4)),"Southbound","NorthBound")</f>
        <v>Southbound</v>
      </c>
      <c r="U91" s="18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2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-04-09T13:03:02-0600',mode:absolute,to:'2017-04-09T15:50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1" s="183" t="str">
        <f>IF(AA91&lt;IF(AG91="EC",23,5.65),"Y","N")</f>
        <v>N</v>
      </c>
      <c r="X91" s="183">
        <f>VALUE(LEFT(AD91,4))-VALUE(LEFT(AD90,4))</f>
        <v>1</v>
      </c>
      <c r="Y91" s="62">
        <f>RIGHT(D91,LEN(D91)-4)/10000</f>
        <v>23.302299999999999</v>
      </c>
      <c r="Z91" s="62">
        <f>RIGHT(H91,LEN(H91)-4)/10000</f>
        <v>0.1158</v>
      </c>
      <c r="AA91" s="62">
        <f>ABS(Z91-Y91)</f>
        <v>23.186499999999999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>IF(LEN(A91)=6,"0"&amp;A91,A91)</f>
        <v>0178-09</v>
      </c>
      <c r="AE91" s="85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s3://rtdc.mdm.uploadarchive.raw/RTDC4019/ "%USERPROFILE%\AppData\Local\Temp\OnboardLogs"\RTDC4019\2017-04-09 --exclude "*" --recursive --include "*20170409*" &amp; "%USERPROFILE%\Documents\GitHub\mrs-test-scripts\Headless Mode &amp; Sideloading\WalkAndUnGZ.bat" "%USERPROFILE%\AppData\Local\Temp\OnboardLogs"\RTDC4019\2017-04-09 &amp; aws s3 cp s3://rtdc.mdm.uploadarchive.raw/RTDC4019/ "%USERPROFILE%\AppData\Local\Temp\OnboardLogs"\RTDC4019\2017-04-10 --exclude "*" --recursive --include "*20170410*" &amp; "%USERPROFILE%\Documents\GitHub\mrs-test-scripts\Headless Mode &amp; Sideloading\WalkAndUnGZ.bat" "%USERPROFILE%\AppData\Local\Temp\OnboardLogs"\RTDC4019\2017-04-10</v>
      </c>
      <c r="AF91" s="82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/stypes="app*4019*20170409*" /stext=" 20:.+((SYSTEM_STATE.+slice.+state.+changed )|(ment ac)|(multiple cpu faults)|(system.+state.+changed )|(\[timeout)|(PRM\|1\|D)|(kpr)|(kdp)|(\|lc)|(penalty))"</v>
      </c>
      <c r="AG91" s="1" t="str">
        <f>IFERROR(IF(VALUE(LEFT(AD91,2))&lt;=2,"EC",IF(OR(VALUE(LEFT(AD91,2))=8,VALUE(LEFT(AD91,2))=18),"NW","Other")),"Other")</f>
        <v>EC</v>
      </c>
      <c r="AH91" s="86" t="str">
        <f t="shared" si="8"/>
        <v>"%USERPROFILE%\Documents\GitHub\eaglep3\Utilities\RefineRTDCRunTimes.py" --tripid 178-09 --locoid 4019 --swversion DE.1.0.9.0 --startMP 204:233023 --initTime 2017-04-09T14:03:02 --startdatetime 2017-04-09T14:11:13 --delay 1 --endMP 204:1158 --enddatetime 2017-04-09T14:50:35 --enforcementcount 0 &gt;&gt;C:\Users\stu\Documents\GitHub\eaglep3-reporting\EC\2017-04-09-refined-times.txt</v>
      </c>
      <c r="AI91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{"issue":{"subject":"","project_id":79,"tracker_id":40,"status_id":1,"priority_id":2,"assigned_to_id":23,"start_date":"2017-04-09","description":"","custom_fields":[{"id":1,"name":"Subdivision","value":"EC"},{"id":4,"name":"Milepost","value":"0.1158"},{"id":17,"name":"Train ID","value":"178-09"},{"id":16,"name":"Locomotive ID","value":"4019"},{"id":130,"name":"Impact","value":""},{"id":150,"name":"Time of Event (Mountain Time)","value":"14:50:35"},{"id":151,"name":"Denver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8"/>
      <c r="AL91" s="48"/>
      <c r="AM91" s="150" t="str">
        <f t="shared" si="10"/>
        <v>start /low /b %USERPROFILE%\Documents\GitHub\eaglep3\Utilities\DownloadLogsFromS3.py --loco 4019 --day 2017-04-09</v>
      </c>
      <c r="AN91" s="159" t="str">
        <f t="shared" si="11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20:50:35"},{"id":29,"name":"Sharepoint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736</v>
      </c>
      <c r="B92" s="7">
        <v>4044</v>
      </c>
      <c r="C92" s="21" t="s">
        <v>215</v>
      </c>
      <c r="D92" s="21" t="s">
        <v>394</v>
      </c>
      <c r="E92" s="13">
        <v>42834.558819444443</v>
      </c>
      <c r="F92" s="13">
        <v>42834.562662037039</v>
      </c>
      <c r="G92" s="7">
        <v>1</v>
      </c>
      <c r="H92" s="21" t="s">
        <v>885</v>
      </c>
      <c r="I92" s="13">
        <v>42834.587384259263</v>
      </c>
      <c r="J92" s="7">
        <v>0</v>
      </c>
      <c r="K92" s="97" t="str">
        <f>IF(ISEVEN(B92),(B92-1)&amp;"/"&amp;B92,B92&amp;"/"&amp;(B92+1))</f>
        <v>4043/4044</v>
      </c>
      <c r="L92" s="21" t="str">
        <f>VLOOKUP(A92,'Trips&amp;Operators'!$C$1:$G$99999,5,FALSE)</f>
        <v>BRUDER RICHARD</v>
      </c>
      <c r="M92" s="6">
        <f>I92-F92</f>
        <v>2.4722222224227153E-2</v>
      </c>
      <c r="N92" s="7">
        <f>24*60*SUM($M92:$M92)</f>
        <v>35.6000000028871</v>
      </c>
      <c r="O92" s="7"/>
      <c r="P92" s="7"/>
      <c r="Q92" s="22"/>
      <c r="R92" s="22"/>
      <c r="S92" s="31">
        <f>SUM(U92:U92)/IF(AG92="EC",12,1)</f>
        <v>1</v>
      </c>
      <c r="T92" s="46" t="str">
        <f>IF(ISEVEN(LEFT(AD92,4)),"Southbound","NorthBound")</f>
        <v>NorthBound</v>
      </c>
      <c r="U92" s="18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2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-04-09T12:24:42-0600',mode:absolute,to:'2017-04-09T15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2" s="183" t="str">
        <f>IF(AA92&lt;IF(AG92="EC",23,5.65),"Y","N")</f>
        <v>N</v>
      </c>
      <c r="X92" s="183">
        <f>VALUE(LEFT(AD92,4))-VALUE(LEFT(AD91,4))</f>
        <v>1</v>
      </c>
      <c r="Y92" s="62">
        <f>RIGHT(D92,LEN(D92)-4)/10000</f>
        <v>4.4900000000000002E-2</v>
      </c>
      <c r="Z92" s="62">
        <f>RIGHT(H92,LEN(H92)-4)/10000</f>
        <v>23.330100000000002</v>
      </c>
      <c r="AA92" s="62">
        <f>ABS(Z92-Y92)</f>
        <v>23.285200000000003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>IF(LEN(A92)=6,"0"&amp;A92,A92)</f>
        <v>0179-09</v>
      </c>
      <c r="AE92" s="85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s3://rtdc.mdm.uploadarchive.raw/RTDC4044/ "%USERPROFILE%\AppData\Local\Temp\OnboardLogs"\RTDC4044\2017-04-09 --exclude "*" --recursive --include "*20170409*" &amp; "%USERPROFILE%\Documents\GitHub\mrs-test-scripts\Headless Mode &amp; Sideloading\WalkAndUnGZ.bat" "%USERPROFILE%\AppData\Local\Temp\OnboardLogs"\RTDC4044\2017-04-09 &amp; aws s3 cp s3://rtdc.mdm.uploadarchive.raw/RTDC4044/ "%USERPROFILE%\AppData\Local\Temp\OnboardLogs"\RTDC4044\2017-04-10 --exclude "*" --recursive --include "*20170410*" &amp; "%USERPROFILE%\Documents\GitHub\mrs-test-scripts\Headless Mode &amp; Sideloading\WalkAndUnGZ.bat" "%USERPROFILE%\AppData\Local\Temp\OnboardLogs"\RTDC4044\2017-04-10</v>
      </c>
      <c r="AF92" s="82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/stypes="app*4044*20170409*" /stext=" 20:.+((SYSTEM_STATE.+slice.+state.+changed )|(ment ac)|(multiple cpu faults)|(system.+state.+changed )|(\[timeout)|(PRM\|1\|D)|(kpr)|(kdp)|(\|lc)|(penalty))"</v>
      </c>
      <c r="AG92" s="1" t="str">
        <f>IFERROR(IF(VALUE(LEFT(AD92,2))&lt;=2,"EC",IF(OR(VALUE(LEFT(AD92,2))=8,VALUE(LEFT(AD92,2))=18),"NW","Other")),"Other")</f>
        <v>EC</v>
      </c>
      <c r="AH92" s="86" t="str">
        <f t="shared" si="8"/>
        <v>"%USERPROFILE%\Documents\GitHub\eaglep3\Utilities\RefineRTDCRunTimes.py" --tripid 179-09 --locoid 4044 --swversion DE.1.0.9.0 --startMP 204:449 --initTime 2017-04-09T13:24:42 --startdatetime 2017-04-09T13:30:14 --delay 1 --endMP 204:233301 --enddatetime 2017-04-09T14:05:50 --enforcementcount 0 &gt;&gt;C:\Users\stu\Documents\GitHub\eaglep3-reporting\EC\2017-04-09-refined-times.txt</v>
      </c>
      <c r="AI92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{"issue":{"subject":"","project_id":79,"tracker_id":40,"status_id":1,"priority_id":2,"assigned_to_id":23,"start_date":"2017-04-09","description":"","custom_fields":[{"id":1,"name":"Subdivision","value":"EC"},{"id":4,"name":"Milepost","value":"23.3301"},{"id":17,"name":"Train ID","value":"179-09"},{"id":16,"name":"Locomotive ID","value":"4044"},{"id":130,"name":"Impact","value":""},{"id":150,"name":"Time of Event (Mountain Time)","value":"14:05:50"},{"id":151,"name":"Denver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8"/>
      <c r="AL92" s="48"/>
      <c r="AM92" s="150" t="str">
        <f t="shared" si="10"/>
        <v>start /low /b %USERPROFILE%\Documents\GitHub\eaglep3\Utilities\DownloadLogsFromS3.py --loco 4044 --day 2017-04-09</v>
      </c>
      <c r="AN92" s="159" t="str">
        <f t="shared" si="11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20:05:50"},{"id":29,"name":"Sharepoint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3" t="s">
        <v>614</v>
      </c>
      <c r="B93" s="7">
        <v>4043</v>
      </c>
      <c r="C93" s="21" t="s">
        <v>215</v>
      </c>
      <c r="D93" s="21" t="s">
        <v>575</v>
      </c>
      <c r="E93" s="13">
        <v>42834.594606481478</v>
      </c>
      <c r="F93" s="13">
        <v>42834.603182870371</v>
      </c>
      <c r="G93" s="7">
        <v>1</v>
      </c>
      <c r="H93" s="21" t="s">
        <v>198</v>
      </c>
      <c r="I93" s="13">
        <v>42834.627523148149</v>
      </c>
      <c r="J93" s="7">
        <v>0</v>
      </c>
      <c r="K93" s="97" t="str">
        <f>IF(ISEVEN(B93),(B93-1)&amp;"/"&amp;B93,B93&amp;"/"&amp;(B93+1))</f>
        <v>4043/4044</v>
      </c>
      <c r="L93" s="21" t="str">
        <f>VLOOKUP(A93,'Trips&amp;Operators'!$C$1:$G$99999,5,FALSE)</f>
        <v>BRUDER RICHARD</v>
      </c>
      <c r="M93" s="6">
        <f>I93-F93</f>
        <v>2.4340277777810115E-2</v>
      </c>
      <c r="N93" s="7">
        <f>24*60*SUM($M93:$M93)</f>
        <v>35.050000000046566</v>
      </c>
      <c r="O93" s="7"/>
      <c r="P93" s="7"/>
      <c r="Q93" s="22"/>
      <c r="R93" s="22"/>
      <c r="S93" s="31">
        <f>SUM(U93:U93)/IF(AG93="EC",12,1)</f>
        <v>1</v>
      </c>
      <c r="T93" s="46" t="str">
        <f>IF(ISEVEN(LEFT(AD93,4)),"Southbound","NorthBound")</f>
        <v>Southbound</v>
      </c>
      <c r="U93" s="18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2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-04-09T13:16:14-0600',mode:absolute,to:'2017-04-09T16:03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3" s="183" t="str">
        <f>IF(AA93&lt;IF(AG93="EC",23,5.65),"Y","N")</f>
        <v>N</v>
      </c>
      <c r="X93" s="183">
        <f>VALUE(LEFT(AD93,4))-VALUE(LEFT(AD92,4))</f>
        <v>1</v>
      </c>
      <c r="Y93" s="62">
        <f>RIGHT(D93,LEN(D93)-4)/10000</f>
        <v>23.2986</v>
      </c>
      <c r="Z93" s="62">
        <f>RIGHT(H93,LEN(H93)-4)/10000</f>
        <v>1.5800000000000002E-2</v>
      </c>
      <c r="AA93" s="62">
        <f>ABS(Z93-Y93)</f>
        <v>23.282800000000002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>IF(LEN(A93)=6,"0"&amp;A93,A93)</f>
        <v>0180-09</v>
      </c>
      <c r="AE93" s="85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s3://rtdc.mdm.uploadarchive.raw/RTDC4043/ "%USERPROFILE%\AppData\Local\Temp\OnboardLogs"\RTDC4043\2017-04-09 --exclude "*" --recursive --include "*20170409*" &amp; "%USERPROFILE%\Documents\GitHub\mrs-test-scripts\Headless Mode &amp; Sideloading\WalkAndUnGZ.bat" "%USERPROFILE%\AppData\Local\Temp\OnboardLogs"\RTDC4043\2017-04-09 &amp; aws s3 cp s3://rtdc.mdm.uploadarchive.raw/RTDC4043/ "%USERPROFILE%\AppData\Local\Temp\OnboardLogs"\RTDC4043\2017-04-10 --exclude "*" --recursive --include "*20170410*" &amp; "%USERPROFILE%\Documents\GitHub\mrs-test-scripts\Headless Mode &amp; Sideloading\WalkAndUnGZ.bat" "%USERPROFILE%\AppData\Local\Temp\OnboardLogs"\RTDC4043\2017-04-10</v>
      </c>
      <c r="AF93" s="82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/stypes="app*4043*20170409*" /stext=" 21:.+((SYSTEM_STATE.+slice.+state.+changed )|(ment ac)|(multiple cpu faults)|(system.+state.+changed )|(\[timeout)|(PRM\|1\|D)|(kpr)|(kdp)|(\|lc)|(penalty))"</v>
      </c>
      <c r="AG93" s="1" t="str">
        <f>IFERROR(IF(VALUE(LEFT(AD93,2))&lt;=2,"EC",IF(OR(VALUE(LEFT(AD93,2))=8,VALUE(LEFT(AD93,2))=18),"NW","Other")),"Other")</f>
        <v>EC</v>
      </c>
      <c r="AH93" s="86" t="str">
        <f t="shared" si="8"/>
        <v>"%USERPROFILE%\Documents\GitHub\eaglep3\Utilities\RefineRTDCRunTimes.py" --tripid 180-09 --locoid 4043 --swversion DE.1.0.9.0 --startMP 204:232986 --initTime 2017-04-09T14:16:14 --startdatetime 2017-04-09T14:28:35 --delay 1 --endMP 204:158 --enddatetime 2017-04-09T15:03:38 --enforcementcount 0 &gt;&gt;C:\Users\stu\Documents\GitHub\eaglep3-reporting\EC\2017-04-09-refined-times.txt</v>
      </c>
      <c r="AI93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{"issue":{"subject":"","project_id":79,"tracker_id":40,"status_id":1,"priority_id":2,"assigned_to_id":23,"start_date":"2017-04-09","description":"","custom_fields":[{"id":1,"name":"Subdivision","value":"EC"},{"id":4,"name":"Milepost","value":"0.0158"},{"id":17,"name":"Train ID","value":"180-09"},{"id":16,"name":"Locomotive ID","value":"4043"},{"id":130,"name":"Impact","value":""},{"id":150,"name":"Time of Event (Mountain Time)","value":"15:03:38"},{"id":151,"name":"Denver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8"/>
      <c r="AL93" s="48"/>
      <c r="AM93" s="150" t="str">
        <f t="shared" si="10"/>
        <v>start /low /b %USERPROFILE%\Documents\GitHub\eaglep3\Utilities\DownloadLogsFromS3.py --loco 4043 --day 2017-04-09</v>
      </c>
      <c r="AN93" s="159" t="str">
        <f t="shared" si="11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21:03:38"},{"id":29,"name":"Sharepoint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4" spans="1:91" s="20" customFormat="1" x14ac:dyDescent="0.25">
      <c r="A94" s="33" t="s">
        <v>739</v>
      </c>
      <c r="B94" s="7">
        <v>4024</v>
      </c>
      <c r="C94" s="21" t="s">
        <v>215</v>
      </c>
      <c r="D94" s="21" t="s">
        <v>205</v>
      </c>
      <c r="E94" s="13">
        <v>42834.570254629631</v>
      </c>
      <c r="F94" s="13">
        <v>42834.573067129626</v>
      </c>
      <c r="G94" s="7">
        <v>1</v>
      </c>
      <c r="H94" s="21" t="s">
        <v>479</v>
      </c>
      <c r="I94" s="13">
        <v>42834.598263888889</v>
      </c>
      <c r="J94" s="7">
        <v>0</v>
      </c>
      <c r="K94" s="97" t="str">
        <f>IF(ISEVEN(B94),(B94-1)&amp;"/"&amp;B94,B94&amp;"/"&amp;(B94+1))</f>
        <v>4023/4024</v>
      </c>
      <c r="L94" s="21" t="str">
        <f>VLOOKUP(A94,'Trips&amp;Operators'!$C$1:$G$99999,5,FALSE)</f>
        <v>LALONDE GREGORY</v>
      </c>
      <c r="M94" s="6">
        <f>I94-F94</f>
        <v>2.5196759263053536E-2</v>
      </c>
      <c r="N94" s="7">
        <f>24*60*SUM($M94:$M94)</f>
        <v>36.283333338797092</v>
      </c>
      <c r="O94" s="7"/>
      <c r="P94" s="7"/>
      <c r="Q94" s="22"/>
      <c r="R94" s="22"/>
      <c r="S94" s="31">
        <f>SUM(U94:U94)/IF(AG94="EC",12,1)</f>
        <v>1</v>
      </c>
      <c r="T94" s="46" t="str">
        <f>IF(ISEVEN(LEFT(AD94,4)),"Southbound","NorthBound")</f>
        <v>NorthBound</v>
      </c>
      <c r="U94" s="18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2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-04-09T12:41:10-0600',mode:absolute,to:'2017-04-09T15:21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4" s="183" t="str">
        <f>IF(AA94&lt;IF(AG94="EC",23,5.65),"Y","N")</f>
        <v>N</v>
      </c>
      <c r="X94" s="183">
        <f>VALUE(LEFT(AD94,4))-VALUE(LEFT(AD93,4))</f>
        <v>1</v>
      </c>
      <c r="Y94" s="62">
        <f>RIGHT(D94,LEN(D94)-4)/10000</f>
        <v>4.5699999999999998E-2</v>
      </c>
      <c r="Z94" s="62">
        <f>RIGHT(H94,LEN(H94)-4)/10000</f>
        <v>23.332100000000001</v>
      </c>
      <c r="AA94" s="62">
        <f>ABS(Z94-Y94)</f>
        <v>23.2864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>IF(LEN(A94)=6,"0"&amp;A94,A94)</f>
        <v>0181-09</v>
      </c>
      <c r="AE94" s="85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s3://rtdc.mdm.uploadarchive.raw/RTDC4024/ "%USERPROFILE%\AppData\Local\Temp\OnboardLogs"\RTDC4024\2017-04-09 --exclude "*" --recursive --include "*20170409*" &amp; "%USERPROFILE%\Documents\GitHub\mrs-test-scripts\Headless Mode &amp; Sideloading\WalkAndUnGZ.bat" "%USERPROFILE%\AppData\Local\Temp\OnboardLogs"\RTDC4024\2017-04-09 &amp; aws s3 cp s3://rtdc.mdm.uploadarchive.raw/RTDC4024/ "%USERPROFILE%\AppData\Local\Temp\OnboardLogs"\RTDC4024\2017-04-10 --exclude "*" --recursive --include "*20170410*" &amp; "%USERPROFILE%\Documents\GitHub\mrs-test-scripts\Headless Mode &amp; Sideloading\WalkAndUnGZ.bat" "%USERPROFILE%\AppData\Local\Temp\OnboardLogs"\RTDC4024\2017-04-10</v>
      </c>
      <c r="AF94" s="82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/stypes="app*4024*20170409*" /stext=" 20:.+((SYSTEM_STATE.+slice.+state.+changed )|(ment ac)|(multiple cpu faults)|(system.+state.+changed )|(\[timeout)|(PRM\|1\|D)|(kpr)|(kdp)|(\|lc)|(penalty))"</v>
      </c>
      <c r="AG94" s="1" t="str">
        <f>IFERROR(IF(VALUE(LEFT(AD94,2))&lt;=2,"EC",IF(OR(VALUE(LEFT(AD94,2))=8,VALUE(LEFT(AD94,2))=18),"NW","Other")),"Other")</f>
        <v>EC</v>
      </c>
      <c r="AH94" s="86" t="str">
        <f t="shared" si="8"/>
        <v>"%USERPROFILE%\Documents\GitHub\eaglep3\Utilities\RefineRTDCRunTimes.py" --tripid 181-09 --locoid 4024 --swversion DE.1.0.9.0 --startMP 204:457 --initTime 2017-04-09T13:41:10 --startdatetime 2017-04-09T13:45:13 --delay 1 --endMP 204:233321 --enddatetime 2017-04-09T14:21:30 --enforcementcount 0 &gt;&gt;C:\Users\stu\Documents\GitHub\eaglep3-reporting\EC\2017-04-09-refined-times.txt</v>
      </c>
      <c r="AI94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{"issue":{"subject":"","project_id":79,"tracker_id":40,"status_id":1,"priority_id":2,"assigned_to_id":23,"start_date":"2017-04-09","description":"","custom_fields":[{"id":1,"name":"Subdivision","value":"EC"},{"id":4,"name":"Milepost","value":"23.3321"},{"id":17,"name":"Train ID","value":"181-09"},{"id":16,"name":"Locomotive ID","value":"4024"},{"id":130,"name":"Impact","value":""},{"id":150,"name":"Time of Event (Mountain Time)","value":"14:21:30"},{"id":151,"name":"Denver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8"/>
      <c r="AL94" s="48"/>
      <c r="AM94" s="150" t="str">
        <f t="shared" si="10"/>
        <v>start /low /b %USERPROFILE%\Documents\GitHub\eaglep3\Utilities\DownloadLogsFromS3.py --loco 4024 --day 2017-04-09</v>
      </c>
      <c r="AN94" s="159" t="str">
        <f t="shared" si="11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20:21:30"},{"id":29,"name":"Sharepoint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747</v>
      </c>
      <c r="B95" s="7">
        <v>4023</v>
      </c>
      <c r="C95" s="21" t="s">
        <v>215</v>
      </c>
      <c r="D95" s="21" t="s">
        <v>913</v>
      </c>
      <c r="E95" s="13">
        <v>42834.600740740738</v>
      </c>
      <c r="F95" s="13">
        <v>42834.612037037034</v>
      </c>
      <c r="G95" s="7">
        <v>1</v>
      </c>
      <c r="H95" s="21" t="s">
        <v>198</v>
      </c>
      <c r="I95" s="13">
        <v>42834.639120370368</v>
      </c>
      <c r="J95" s="7">
        <v>0</v>
      </c>
      <c r="K95" s="97" t="str">
        <f>IF(ISEVEN(B95),(B95-1)&amp;"/"&amp;B95,B95&amp;"/"&amp;(B95+1))</f>
        <v>4023/4024</v>
      </c>
      <c r="L95" s="21" t="str">
        <f>VLOOKUP(A95,'Trips&amp;Operators'!$C$1:$G$99999,5,FALSE)</f>
        <v>LALONDE GREGORY</v>
      </c>
      <c r="M95" s="6">
        <f>I95-F95</f>
        <v>2.7083333334303461E-2</v>
      </c>
      <c r="N95" s="7">
        <f>24*60*SUM($M95:$M95)</f>
        <v>39.000000001396984</v>
      </c>
      <c r="O95" s="7"/>
      <c r="P95" s="7"/>
      <c r="Q95" s="22"/>
      <c r="R95" s="22"/>
      <c r="S95" s="31">
        <f>SUM(U95:U95)/IF(AG95="EC",12,1)</f>
        <v>1</v>
      </c>
      <c r="T95" s="46" t="str">
        <f>IF(ISEVEN(LEFT(AD95,4)),"Southbound","NorthBound")</f>
        <v>Southbound</v>
      </c>
      <c r="U95" s="18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2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-04-09T13:25:04-0600',mode:absolute,to:'2017-04-09T16:20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5" s="183" t="str">
        <f>IF(AA95&lt;IF(AG95="EC",23,5.65),"Y","N")</f>
        <v>N</v>
      </c>
      <c r="X95" s="183">
        <f>VALUE(LEFT(AD95,4))-VALUE(LEFT(AD94,4))</f>
        <v>1</v>
      </c>
      <c r="Y95" s="62">
        <f>RIGHT(D95,LEN(D95)-4)/10000</f>
        <v>23.3</v>
      </c>
      <c r="Z95" s="62">
        <f>RIGHT(H95,LEN(H95)-4)/10000</f>
        <v>1.5800000000000002E-2</v>
      </c>
      <c r="AA95" s="62">
        <f>ABS(Z95-Y95)</f>
        <v>23.284200000000002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>IF(LEN(A95)=6,"0"&amp;A95,A95)</f>
        <v>0182-09</v>
      </c>
      <c r="AE95" s="85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s3://rtdc.mdm.uploadarchive.raw/RTDC4023/ "%USERPROFILE%\AppData\Local\Temp\OnboardLogs"\RTDC4023\2017-04-09 --exclude "*" --recursive --include "*20170409*" &amp; "%USERPROFILE%\Documents\GitHub\mrs-test-scripts\Headless Mode &amp; Sideloading\WalkAndUnGZ.bat" "%USERPROFILE%\AppData\Local\Temp\OnboardLogs"\RTDC4023\2017-04-09 &amp; aws s3 cp s3://rtdc.mdm.uploadarchive.raw/RTDC4023/ "%USERPROFILE%\AppData\Local\Temp\OnboardLogs"\RTDC4023\2017-04-10 --exclude "*" --recursive --include "*20170410*" &amp; "%USERPROFILE%\Documents\GitHub\mrs-test-scripts\Headless Mode &amp; Sideloading\WalkAndUnGZ.bat" "%USERPROFILE%\AppData\Local\Temp\OnboardLogs"\RTDC4023\2017-04-10</v>
      </c>
      <c r="AF95" s="82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/stypes="app*4023*20170409*" /stext=" 21:.+((SYSTEM_STATE.+slice.+state.+changed )|(ment ac)|(multiple cpu faults)|(system.+state.+changed )|(\[timeout)|(PRM\|1\|D)|(kpr)|(kdp)|(\|lc)|(penalty))"</v>
      </c>
      <c r="AG95" s="1" t="str">
        <f>IFERROR(IF(VALUE(LEFT(AD95,2))&lt;=2,"EC",IF(OR(VALUE(LEFT(AD95,2))=8,VALUE(LEFT(AD95,2))=18),"NW","Other")),"Other")</f>
        <v>EC</v>
      </c>
      <c r="AH95" s="86" t="str">
        <f t="shared" si="8"/>
        <v>"%USERPROFILE%\Documents\GitHub\eaglep3\Utilities\RefineRTDCRunTimes.py" --tripid 182-09 --locoid 4023 --swversion DE.1.0.9.0 --startMP 204:233000 --initTime 2017-04-09T14:25:04 --startdatetime 2017-04-09T14:41:20 --delay 1 --endMP 204:158 --enddatetime 2017-04-09T15:20:20 --enforcementcount 0 &gt;&gt;C:\Users\stu\Documents\GitHub\eaglep3-reporting\EC\2017-04-09-refined-times.txt</v>
      </c>
      <c r="AI95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{"issue":{"subject":"","project_id":79,"tracker_id":40,"status_id":1,"priority_id":2,"assigned_to_id":23,"start_date":"2017-04-09","description":"","custom_fields":[{"id":1,"name":"Subdivision","value":"EC"},{"id":4,"name":"Milepost","value":"0.0158"},{"id":17,"name":"Train ID","value":"182-09"},{"id":16,"name":"Locomotive ID","value":"4023"},{"id":130,"name":"Impact","value":""},{"id":150,"name":"Time of Event (Mountain Time)","value":"15:20:20"},{"id":151,"name":"Denver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8"/>
      <c r="AL95" s="48"/>
      <c r="AM95" s="150" t="str">
        <f t="shared" si="10"/>
        <v>start /low /b %USERPROFILE%\Documents\GitHub\eaglep3\Utilities\DownloadLogsFromS3.py --loco 4023 --day 2017-04-09</v>
      </c>
      <c r="AN95" s="159" t="str">
        <f t="shared" si="11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21:20:20"},{"id":29,"name":"Sharepoint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741</v>
      </c>
      <c r="B96" s="7">
        <v>4032</v>
      </c>
      <c r="C96" s="21" t="s">
        <v>215</v>
      </c>
      <c r="D96" s="21" t="s">
        <v>425</v>
      </c>
      <c r="E96" s="13">
        <v>42834.582650462966</v>
      </c>
      <c r="F96" s="13">
        <v>42834.585150462961</v>
      </c>
      <c r="G96" s="7">
        <v>1</v>
      </c>
      <c r="H96" s="21" t="s">
        <v>517</v>
      </c>
      <c r="I96" s="13">
        <v>42834.611678240741</v>
      </c>
      <c r="J96" s="7">
        <v>0</v>
      </c>
      <c r="K96" s="97" t="str">
        <f>IF(ISEVEN(B96),(B96-1)&amp;"/"&amp;B96,B96&amp;"/"&amp;(B96+1))</f>
        <v>4031/4032</v>
      </c>
      <c r="L96" s="21" t="str">
        <f>VLOOKUP(A96,'Trips&amp;Operators'!$C$1:$G$99999,5,FALSE)</f>
        <v>PERKINS DARREN</v>
      </c>
      <c r="M96" s="6">
        <f>I96-F96</f>
        <v>2.6527777779847383E-2</v>
      </c>
      <c r="N96" s="7">
        <f>24*60*SUM($M96:$M96)</f>
        <v>38.200000002980232</v>
      </c>
      <c r="O96" s="7"/>
      <c r="P96" s="7"/>
      <c r="Q96" s="22"/>
      <c r="R96" s="22"/>
      <c r="S96" s="31">
        <f>SUM(U96:U96)/IF(AG96="EC",12,1)</f>
        <v>1</v>
      </c>
      <c r="T96" s="46" t="str">
        <f>IF(ISEVEN(LEFT(AD96,4)),"Southbound","NorthBound")</f>
        <v>NorthBound</v>
      </c>
      <c r="U96" s="18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2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-04-09T12:59:01-0600',mode:absolute,to:'2017-04-09T15:40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6" s="183" t="str">
        <f>IF(AA96&lt;IF(AG96="EC",23,5.65),"Y","N")</f>
        <v>N</v>
      </c>
      <c r="X96" s="183">
        <f>VALUE(LEFT(AD96,4))-VALUE(LEFT(AD95,4))</f>
        <v>1</v>
      </c>
      <c r="Y96" s="62">
        <f>RIGHT(D96,LEN(D96)-4)/10000</f>
        <v>4.4600000000000001E-2</v>
      </c>
      <c r="Z96" s="62">
        <f>RIGHT(H96,LEN(H96)-4)/10000</f>
        <v>23.330500000000001</v>
      </c>
      <c r="AA96" s="62">
        <f>ABS(Z96-Y96)</f>
        <v>23.285900000000002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>IF(LEN(A96)=6,"0"&amp;A96,A96)</f>
        <v>0183-09</v>
      </c>
      <c r="AE96" s="85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s3://rtdc.mdm.uploadarchive.raw/RTDC4032/ "%USERPROFILE%\AppData\Local\Temp\OnboardLogs"\RTDC4032\2017-04-09 --exclude "*" --recursive --include "*20170409*" &amp; "%USERPROFILE%\Documents\GitHub\mrs-test-scripts\Headless Mode &amp; Sideloading\WalkAndUnGZ.bat" "%USERPROFILE%\AppData\Local\Temp\OnboardLogs"\RTDC4032\2017-04-09 &amp; aws s3 cp s3://rtdc.mdm.uploadarchive.raw/RTDC4032/ "%USERPROFILE%\AppData\Local\Temp\OnboardLogs"\RTDC4032\2017-04-10 --exclude "*" --recursive --include "*20170410*" &amp; "%USERPROFILE%\Documents\GitHub\mrs-test-scripts\Headless Mode &amp; Sideloading\WalkAndUnGZ.bat" "%USERPROFILE%\AppData\Local\Temp\OnboardLogs"\RTDC4032\2017-04-10</v>
      </c>
      <c r="AF96" s="82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/stypes="app*4032*20170409*" /stext=" 20:.+((SYSTEM_STATE.+slice.+state.+changed )|(ment ac)|(multiple cpu faults)|(system.+state.+changed )|(\[timeout)|(PRM\|1\|D)|(kpr)|(kdp)|(\|lc)|(penalty))"</v>
      </c>
      <c r="AG96" s="1" t="str">
        <f>IFERROR(IF(VALUE(LEFT(AD96,2))&lt;=2,"EC",IF(OR(VALUE(LEFT(AD96,2))=8,VALUE(LEFT(AD96,2))=18),"NW","Other")),"Other")</f>
        <v>EC</v>
      </c>
      <c r="AH96" s="86" t="str">
        <f t="shared" si="8"/>
        <v>"%USERPROFILE%\Documents\GitHub\eaglep3\Utilities\RefineRTDCRunTimes.py" --tripid 183-09 --locoid 4032 --swversion DE.1.0.9.0 --startMP 204:446 --initTime 2017-04-09T13:59:01 --startdatetime 2017-04-09T14:02:37 --delay 1 --endMP 204:233305 --enddatetime 2017-04-09T14:40:49 --enforcementcount 0 &gt;&gt;C:\Users\stu\Documents\GitHub\eaglep3-reporting\EC\2017-04-09-refined-times.txt</v>
      </c>
      <c r="AI96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{"issue":{"subject":"","project_id":79,"tracker_id":40,"status_id":1,"priority_id":2,"assigned_to_id":23,"start_date":"2017-04-09","description":"","custom_fields":[{"id":1,"name":"Subdivision","value":"EC"},{"id":4,"name":"Milepost","value":"23.3305"},{"id":17,"name":"Train ID","value":"183-09"},{"id":16,"name":"Locomotive ID","value":"4032"},{"id":130,"name":"Impact","value":""},{"id":150,"name":"Time of Event (Mountain Time)","value":"14:40:49"},{"id":151,"name":"Denver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8"/>
      <c r="AL96" s="48"/>
      <c r="AM96" s="150" t="str">
        <f t="shared" si="10"/>
        <v>start /low /b %USERPROFILE%\Documents\GitHub\eaglep3\Utilities\DownloadLogsFromS3.py --loco 4032 --day 2017-04-09</v>
      </c>
      <c r="AN96" s="159" t="str">
        <f t="shared" si="11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20:40:49"},{"id":29,"name":"Sharepoint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616</v>
      </c>
      <c r="B97" s="7">
        <v>4031</v>
      </c>
      <c r="C97" s="21" t="s">
        <v>215</v>
      </c>
      <c r="D97" s="21" t="s">
        <v>510</v>
      </c>
      <c r="E97" s="13">
        <v>42834.617326388892</v>
      </c>
      <c r="F97" s="13">
        <v>42834.622418981482</v>
      </c>
      <c r="G97" s="7">
        <v>1</v>
      </c>
      <c r="H97" s="21" t="s">
        <v>197</v>
      </c>
      <c r="I97" s="13">
        <v>42834.654143518521</v>
      </c>
      <c r="J97" s="7">
        <v>0</v>
      </c>
      <c r="K97" s="97" t="str">
        <f>IF(ISEVEN(B97),(B97-1)&amp;"/"&amp;B97,B97&amp;"/"&amp;(B97+1))</f>
        <v>4031/4032</v>
      </c>
      <c r="L97" s="21" t="str">
        <f>VLOOKUP(A97,'Trips&amp;Operators'!$C$1:$G$99999,5,FALSE)</f>
        <v>PERKINS DARREN</v>
      </c>
      <c r="M97" s="6">
        <f>I97-F97</f>
        <v>3.1724537038826384E-2</v>
      </c>
      <c r="N97" s="7">
        <f>24*60*SUM($M97:$M97)</f>
        <v>45.683333335909992</v>
      </c>
      <c r="O97" s="7"/>
      <c r="P97" s="7"/>
      <c r="Q97" s="22"/>
      <c r="R97" s="22"/>
      <c r="S97" s="31">
        <f>SUM(U97:U97)/IF(AG97="EC",12,1)</f>
        <v>1</v>
      </c>
      <c r="T97" s="46" t="str">
        <f>IF(ISEVEN(LEFT(AD97,4)),"Southbound","NorthBound")</f>
        <v>Southbound</v>
      </c>
      <c r="U97" s="18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2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-04-09T13:48:57-0600',mode:absolute,to:'2017-04-09T16:41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7" s="183" t="str">
        <f>IF(AA97&lt;IF(AG97="EC",23,5.65),"Y","N")</f>
        <v>N</v>
      </c>
      <c r="X97" s="183">
        <f>VALUE(LEFT(AD97,4))-VALUE(LEFT(AD96,4))</f>
        <v>1</v>
      </c>
      <c r="Y97" s="62">
        <f>RIGHT(D97,LEN(D97)-4)/10000</f>
        <v>23.297799999999999</v>
      </c>
      <c r="Z97" s="62">
        <f>RIGHT(H97,LEN(H97)-4)/10000</f>
        <v>1.52E-2</v>
      </c>
      <c r="AA97" s="62">
        <f>ABS(Z97-Y97)</f>
        <v>23.282599999999999</v>
      </c>
      <c r="AB97" s="59" t="str">
        <f>VLOOKUP(A97,Enforcements!$C$7:$K$13,8,0)</f>
        <v>Bulletin (2)</v>
      </c>
      <c r="AC97" s="55" t="str">
        <f>VLOOKUP(A97,Enforcements!$C$7:$E$13,3,0)</f>
        <v>GRADE CROSSING</v>
      </c>
      <c r="AD97" s="56" t="str">
        <f>IF(LEN(A97)=6,"0"&amp;A97,A97)</f>
        <v>0184-09</v>
      </c>
      <c r="AE97" s="85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s3://rtdc.mdm.uploadarchive.raw/RTDC4031/ "%USERPROFILE%\AppData\Local\Temp\OnboardLogs"\RTDC4031\2017-04-09 --exclude "*" --recursive --include "*20170409*" &amp; "%USERPROFILE%\Documents\GitHub\mrs-test-scripts\Headless Mode &amp; Sideloading\WalkAndUnGZ.bat" "%USERPROFILE%\AppData\Local\Temp\OnboardLogs"\RTDC4031\2017-04-09 &amp; aws s3 cp s3://rtdc.mdm.uploadarchive.raw/RTDC4031/ "%USERPROFILE%\AppData\Local\Temp\OnboardLogs"\RTDC4031\2017-04-10 --exclude "*" --recursive --include "*20170410*" &amp; "%USERPROFILE%\Documents\GitHub\mrs-test-scripts\Headless Mode &amp; Sideloading\WalkAndUnGZ.bat" "%USERPROFILE%\AppData\Local\Temp\OnboardLogs"\RTDC4031\2017-04-10</v>
      </c>
      <c r="AF97" s="82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/stypes="app*4031*20170409*" /stext=" 21:.+((SYSTEM_STATE.+slice.+state.+changed )|(ment ac)|(multiple cpu faults)|(system.+state.+changed )|(\[timeout)|(PRM\|1\|D)|(kpr)|(kdp)|(\|lc)|(penalty))"</v>
      </c>
      <c r="AG97" s="1" t="str">
        <f>IFERROR(IF(VALUE(LEFT(AD97,2))&lt;=2,"EC",IF(OR(VALUE(LEFT(AD97,2))=8,VALUE(LEFT(AD97,2))=18),"NW","Other")),"Other")</f>
        <v>EC</v>
      </c>
      <c r="AH97" s="86" t="str">
        <f t="shared" si="8"/>
        <v>"%USERPROFILE%\Documents\GitHub\eaglep3\Utilities\RefineRTDCRunTimes.py" --tripid 184-09 --locoid 4031 --swversion DE.1.0.9.0 --startMP 204:232978 --initTime 2017-04-09T14:48:57 --startdatetime 2017-04-09T14:56:17 --delay 1 --endMP 204:152 --enddatetime 2017-04-09T15:41:58 --enforcementcount 0 &gt;&gt;C:\Users\stu\Documents\GitHub\eaglep3-reporting\EC\2017-04-09-refined-times.txt</v>
      </c>
      <c r="AI97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{"issue":{"subject":"","project_id":79,"tracker_id":40,"status_id":1,"priority_id":2,"assigned_to_id":23,"start_date":"2017-04-09","description":"","custom_fields":[{"id":1,"name":"Subdivision","value":"EC"},{"id":4,"name":"Milepost","value":"0.0152"},{"id":17,"name":"Train ID","value":"184-09"},{"id":16,"name":"Locomotive ID","value":"4031"},{"id":130,"name":"Impact","value":""},{"id":150,"name":"Time of Event (Mountain Time)","value":"15:41:58"},{"id":151,"name":"Denver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8"/>
      <c r="AL97" s="48"/>
      <c r="AM97" s="150" t="str">
        <f t="shared" si="10"/>
        <v>start /low /b %USERPROFILE%\Documents\GitHub\eaglep3\Utilities\DownloadLogsFromS3.py --loco 4031 --day 2017-04-09</v>
      </c>
      <c r="AN97" s="159" t="str">
        <f t="shared" si="11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21:41:58"},{"id":29,"name":"Sharepoint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743</v>
      </c>
      <c r="B98" s="7">
        <v>4012</v>
      </c>
      <c r="C98" s="21" t="s">
        <v>215</v>
      </c>
      <c r="D98" s="21" t="s">
        <v>425</v>
      </c>
      <c r="E98" s="13">
        <v>42834.590092592596</v>
      </c>
      <c r="F98" s="13">
        <v>42834.593865740739</v>
      </c>
      <c r="G98" s="7">
        <v>1</v>
      </c>
      <c r="H98" s="21" t="s">
        <v>526</v>
      </c>
      <c r="I98" s="13">
        <v>42834.619259259256</v>
      </c>
      <c r="J98" s="7">
        <v>0</v>
      </c>
      <c r="K98" s="97" t="str">
        <f>IF(ISEVEN(B98),(B98-1)&amp;"/"&amp;B98,B98&amp;"/"&amp;(B98+1))</f>
        <v>4011/4012</v>
      </c>
      <c r="L98" s="21" t="str">
        <f>VLOOKUP(A98,'Trips&amp;Operators'!$C$1:$G$99999,5,FALSE)</f>
        <v>BRANDNER MELINDA</v>
      </c>
      <c r="M98" s="6">
        <f>I98-F98</f>
        <v>2.5393518517375924E-2</v>
      </c>
      <c r="N98" s="7">
        <f>24*60*SUM($M98:$M98)</f>
        <v>36.56666666502133</v>
      </c>
      <c r="O98" s="7"/>
      <c r="P98" s="7"/>
      <c r="Q98" s="22"/>
      <c r="R98" s="22"/>
      <c r="S98" s="31">
        <f>SUM(U98:U98)/IF(AG98="EC",12,1)</f>
        <v>1</v>
      </c>
      <c r="T98" s="46" t="str">
        <f>IF(ISEVEN(LEFT(AD98,4)),"Southbound","NorthBound")</f>
        <v>NorthBound</v>
      </c>
      <c r="U98" s="18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2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-04-09T13:09:44-0600',mode:absolute,to:'2017-04-09T15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8" s="183" t="str">
        <f>IF(AA98&lt;IF(AG98="EC",23,5.65),"Y","N")</f>
        <v>N</v>
      </c>
      <c r="X98" s="183">
        <f>VALUE(LEFT(AD98,4))-VALUE(LEFT(AD97,4))</f>
        <v>1</v>
      </c>
      <c r="Y98" s="62">
        <f>RIGHT(D98,LEN(D98)-4)/10000</f>
        <v>4.4600000000000001E-2</v>
      </c>
      <c r="Z98" s="62">
        <f>RIGHT(H98,LEN(H98)-4)/10000</f>
        <v>23.330200000000001</v>
      </c>
      <c r="AA98" s="62">
        <f>ABS(Z98-Y98)</f>
        <v>23.285600000000002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>IF(LEN(A98)=6,"0"&amp;A98,A98)</f>
        <v>0185-09</v>
      </c>
      <c r="AE98" s="85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s3://rtdc.mdm.uploadarchive.raw/RTDC4012/ "%USERPROFILE%\AppData\Local\Temp\OnboardLogs"\RTDC4012\2017-04-09 --exclude "*" --recursive --include "*20170409*" &amp; "%USERPROFILE%\Documents\GitHub\mrs-test-scripts\Headless Mode &amp; Sideloading\WalkAndUnGZ.bat" "%USERPROFILE%\AppData\Local\Temp\OnboardLogs"\RTDC4012\2017-04-09 &amp; aws s3 cp s3://rtdc.mdm.uploadarchive.raw/RTDC4012/ "%USERPROFILE%\AppData\Local\Temp\OnboardLogs"\RTDC4012\2017-04-10 --exclude "*" --recursive --include "*20170410*" &amp; "%USERPROFILE%\Documents\GitHub\mrs-test-scripts\Headless Mode &amp; Sideloading\WalkAndUnGZ.bat" "%USERPROFILE%\AppData\Local\Temp\OnboardLogs"\RTDC4012\2017-04-10</v>
      </c>
      <c r="AF98" s="82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/stypes="app*4012*20170409*" /stext=" 20:.+((SYSTEM_STATE.+slice.+state.+changed )|(ment ac)|(multiple cpu faults)|(system.+state.+changed )|(\[timeout)|(PRM\|1\|D)|(kpr)|(kdp)|(\|lc)|(penalty))"</v>
      </c>
      <c r="AG98" s="1" t="str">
        <f>IFERROR(IF(VALUE(LEFT(AD98,2))&lt;=2,"EC",IF(OR(VALUE(LEFT(AD98,2))=8,VALUE(LEFT(AD98,2))=18),"NW","Other")),"Other")</f>
        <v>EC</v>
      </c>
      <c r="AH98" s="86" t="str">
        <f t="shared" si="8"/>
        <v>"%USERPROFILE%\Documents\GitHub\eaglep3\Utilities\RefineRTDCRunTimes.py" --tripid 185-09 --locoid 4012 --swversion DE.1.0.9.0 --startMP 204:446 --initTime 2017-04-09T14:09:44 --startdatetime 2017-04-09T14:15:10 --delay 1 --endMP 204:233302 --enddatetime 2017-04-09T14:51:44 --enforcementcount 0 &gt;&gt;C:\Users\stu\Documents\GitHub\eaglep3-reporting\EC\2017-04-09-refined-times.txt</v>
      </c>
      <c r="AI98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{"issue":{"subject":"","project_id":79,"tracker_id":40,"status_id":1,"priority_id":2,"assigned_to_id":23,"start_date":"2017-04-09","description":"","custom_fields":[{"id":1,"name":"Subdivision","value":"EC"},{"id":4,"name":"Milepost","value":"23.3302"},{"id":17,"name":"Train ID","value":"185-09"},{"id":16,"name":"Locomotive ID","value":"4012"},{"id":130,"name":"Impact","value":""},{"id":150,"name":"Time of Event (Mountain Time)","value":"14:51:44"},{"id":151,"name":"Denver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8"/>
      <c r="AL98" s="48"/>
      <c r="AM98" s="150" t="str">
        <f t="shared" si="10"/>
        <v>start /low /b %USERPROFILE%\Documents\GitHub\eaglep3\Utilities\DownloadLogsFromS3.py --loco 4012 --day 2017-04-09</v>
      </c>
      <c r="AN98" s="159" t="str">
        <f t="shared" si="11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20:51:44"},{"id":29,"name":"Sharepoint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751</v>
      </c>
      <c r="B99" s="7">
        <v>4011</v>
      </c>
      <c r="C99" s="21" t="s">
        <v>215</v>
      </c>
      <c r="D99" s="21" t="s">
        <v>417</v>
      </c>
      <c r="E99" s="13">
        <v>42834.627152777779</v>
      </c>
      <c r="F99" s="13">
        <v>42834.634571759256</v>
      </c>
      <c r="G99" s="7">
        <v>1</v>
      </c>
      <c r="H99" s="21" t="s">
        <v>410</v>
      </c>
      <c r="I99" s="13">
        <v>42834.66605324074</v>
      </c>
      <c r="J99" s="7">
        <v>0</v>
      </c>
      <c r="K99" s="97" t="str">
        <f>IF(ISEVEN(B99),(B99-1)&amp;"/"&amp;B99,B99&amp;"/"&amp;(B99+1))</f>
        <v>4011/4012</v>
      </c>
      <c r="L99" s="21" t="str">
        <f>VLOOKUP(A99,'Trips&amp;Operators'!$C$1:$G$99999,5,FALSE)</f>
        <v>BRANDNER MELINDA</v>
      </c>
      <c r="M99" s="6">
        <f>I99-F99</f>
        <v>3.1481481484661344E-2</v>
      </c>
      <c r="N99" s="7">
        <f>24*60*SUM($M99:$M99)</f>
        <v>45.333333337912336</v>
      </c>
      <c r="O99" s="7"/>
      <c r="P99" s="7"/>
      <c r="Q99" s="22"/>
      <c r="R99" s="22"/>
      <c r="S99" s="31">
        <f>SUM(U99:U99)/IF(AG99="EC",12,1)</f>
        <v>1</v>
      </c>
      <c r="T99" s="46" t="str">
        <f>IF(ISEVEN(LEFT(AD99,4)),"Southbound","NorthBound")</f>
        <v>Southbound</v>
      </c>
      <c r="U99" s="18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2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-04-09T14:03:06-0600',mode:absolute,to:'2017-04-09T16:59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9" s="183" t="str">
        <f>IF(AA99&lt;IF(AG99="EC",23,5.65),"Y","N")</f>
        <v>N</v>
      </c>
      <c r="X99" s="183">
        <f>VALUE(LEFT(AD99,4))-VALUE(LEFT(AD98,4))</f>
        <v>1</v>
      </c>
      <c r="Y99" s="62">
        <f>RIGHT(D99,LEN(D99)-4)/10000</f>
        <v>23.299299999999999</v>
      </c>
      <c r="Z99" s="62">
        <f>RIGHT(H99,LEN(H99)-4)/10000</f>
        <v>1.34E-2</v>
      </c>
      <c r="AA99" s="62">
        <f>ABS(Z99-Y99)</f>
        <v>23.285899999999998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>IF(LEN(A99)=6,"0"&amp;A99,A99)</f>
        <v>0186-09</v>
      </c>
      <c r="AE99" s="85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s3://rtdc.mdm.uploadarchive.raw/RTDC4011/ "%USERPROFILE%\AppData\Local\Temp\OnboardLogs"\RTDC4011\2017-04-09 --exclude "*" --recursive --include "*20170409*" &amp; "%USERPROFILE%\Documents\GitHub\mrs-test-scripts\Headless Mode &amp; Sideloading\WalkAndUnGZ.bat" "%USERPROFILE%\AppData\Local\Temp\OnboardLogs"\RTDC4011\2017-04-09 &amp; aws s3 cp s3://rtdc.mdm.uploadarchive.raw/RTDC4011/ "%USERPROFILE%\AppData\Local\Temp\OnboardLogs"\RTDC4011\2017-04-10 --exclude "*" --recursive --include "*20170410*" &amp; "%USERPROFILE%\Documents\GitHub\mrs-test-scripts\Headless Mode &amp; Sideloading\WalkAndUnGZ.bat" "%USERPROFILE%\AppData\Local\Temp\OnboardLogs"\RTDC4011\2017-04-10</v>
      </c>
      <c r="AF99" s="82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/stypes="app*4011*20170409*" /stext=" 21:.+((SYSTEM_STATE.+slice.+state.+changed )|(ment ac)|(multiple cpu faults)|(system.+state.+changed )|(\[timeout)|(PRM\|1\|D)|(kpr)|(kdp)|(\|lc)|(penalty))"</v>
      </c>
      <c r="AG99" s="1" t="str">
        <f>IFERROR(IF(VALUE(LEFT(AD99,2))&lt;=2,"EC",IF(OR(VALUE(LEFT(AD99,2))=8,VALUE(LEFT(AD99,2))=18),"NW","Other")),"Other")</f>
        <v>EC</v>
      </c>
      <c r="AH99" s="86" t="str">
        <f t="shared" si="8"/>
        <v>"%USERPROFILE%\Documents\GitHub\eaglep3\Utilities\RefineRTDCRunTimes.py" --tripid 186-09 --locoid 4011 --swversion DE.1.0.9.0 --startMP 204:232993 --initTime 2017-04-09T15:03:06 --startdatetime 2017-04-09T15:13:47 --delay 1 --endMP 204:134 --enddatetime 2017-04-09T15:59:07 --enforcementcount 0 &gt;&gt;C:\Users\stu\Documents\GitHub\eaglep3-reporting\EC\2017-04-09-refined-times.txt</v>
      </c>
      <c r="AI99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{"issue":{"subject":"","project_id":79,"tracker_id":40,"status_id":1,"priority_id":2,"assigned_to_id":23,"start_date":"2017-04-09","description":"","custom_fields":[{"id":1,"name":"Subdivision","value":"EC"},{"id":4,"name":"Milepost","value":"0.0134"},{"id":17,"name":"Train ID","value":"186-09"},{"id":16,"name":"Locomotive ID","value":"4011"},{"id":130,"name":"Impact","value":""},{"id":150,"name":"Time of Event (Mountain Time)","value":"15:59:07"},{"id":151,"name":"Denver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8"/>
      <c r="AL99" s="48"/>
      <c r="AM99" s="150" t="str">
        <f t="shared" si="10"/>
        <v>start /low /b %USERPROFILE%\Documents\GitHub\eaglep3\Utilities\DownloadLogsFromS3.py --loco 4011 --day 2017-04-09</v>
      </c>
      <c r="AN99" s="159" t="str">
        <f t="shared" si="11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21:59:07"},{"id":29,"name":"Sharepoint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748</v>
      </c>
      <c r="B100" s="7">
        <v>4030</v>
      </c>
      <c r="C100" s="21" t="s">
        <v>215</v>
      </c>
      <c r="D100" s="21" t="s">
        <v>428</v>
      </c>
      <c r="E100" s="13">
        <v>42834.600798611114</v>
      </c>
      <c r="F100" s="13">
        <v>42834.604675925926</v>
      </c>
      <c r="G100" s="7">
        <v>2</v>
      </c>
      <c r="H100" s="21" t="s">
        <v>519</v>
      </c>
      <c r="I100" s="13">
        <v>42834.629733796297</v>
      </c>
      <c r="J100" s="7">
        <v>0</v>
      </c>
      <c r="K100" s="97" t="str">
        <f>IF(ISEVEN(B100),(B100-1)&amp;"/"&amp;B100,B100&amp;"/"&amp;(B100+1))</f>
        <v>4029/4030</v>
      </c>
      <c r="L100" s="21" t="str">
        <f>VLOOKUP(A100,'Trips&amp;Operators'!$C$1:$G$99999,5,FALSE)</f>
        <v>STEWART MICHAEL</v>
      </c>
      <c r="M100" s="6">
        <f>I100-F100</f>
        <v>2.5057870370801538E-2</v>
      </c>
      <c r="N100" s="7">
        <f>24*60*SUM($M100:$M100)</f>
        <v>36.083333333954215</v>
      </c>
      <c r="O100" s="7"/>
      <c r="P100" s="7"/>
      <c r="Q100" s="22"/>
      <c r="R100" s="22"/>
      <c r="S100" s="31">
        <f>SUM(U100:U100)/IF(AG100="EC",12,1)</f>
        <v>1</v>
      </c>
      <c r="T100" s="46" t="str">
        <f>IF(ISEVEN(LEFT(AD100,4)),"Southbound","NorthBound")</f>
        <v>NorthBound</v>
      </c>
      <c r="U100" s="18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2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-04-09T13:25:09-0600',mode:absolute,to:'2017-04-09T16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0" s="183" t="str">
        <f>IF(AA100&lt;IF(AG100="EC",23,5.65),"Y","N")</f>
        <v>N</v>
      </c>
      <c r="X100" s="183">
        <f>VALUE(LEFT(AD100,4))-VALUE(LEFT(AD99,4))</f>
        <v>1</v>
      </c>
      <c r="Y100" s="62">
        <f>RIGHT(D100,LEN(D100)-4)/10000</f>
        <v>4.7100000000000003E-2</v>
      </c>
      <c r="Z100" s="62">
        <f>RIGHT(H100,LEN(H100)-4)/10000</f>
        <v>23.3291</v>
      </c>
      <c r="AA100" s="62">
        <f>ABS(Z100-Y100)</f>
        <v>23.282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>IF(LEN(A100)=6,"0"&amp;A100,A100)</f>
        <v>0187-09</v>
      </c>
      <c r="AE100" s="85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s3://rtdc.mdm.uploadarchive.raw/RTDC4030/ "%USERPROFILE%\AppData\Local\Temp\OnboardLogs"\RTDC4030\2017-04-09 --exclude "*" --recursive --include "*20170409*" &amp; "%USERPROFILE%\Documents\GitHub\mrs-test-scripts\Headless Mode &amp; Sideloading\WalkAndUnGZ.bat" "%USERPROFILE%\AppData\Local\Temp\OnboardLogs"\RTDC4030\2017-04-09 &amp; aws s3 cp s3://rtdc.mdm.uploadarchive.raw/RTDC4030/ "%USERPROFILE%\AppData\Local\Temp\OnboardLogs"\RTDC4030\2017-04-10 --exclude "*" --recursive --include "*20170410*" &amp; "%USERPROFILE%\Documents\GitHub\mrs-test-scripts\Headless Mode &amp; Sideloading\WalkAndUnGZ.bat" "%USERPROFILE%\AppData\Local\Temp\OnboardLogs"\RTDC4030\2017-04-10</v>
      </c>
      <c r="AF100" s="82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/stypes="app*4030*20170409*" /stext=" 21:.+((SYSTEM_STATE.+slice.+state.+changed )|(ment ac)|(multiple cpu faults)|(system.+state.+changed )|(\[timeout)|(PRM\|1\|D)|(kpr)|(kdp)|(\|lc)|(penalty))"</v>
      </c>
      <c r="AG100" s="1" t="str">
        <f>IFERROR(IF(VALUE(LEFT(AD100,2))&lt;=2,"EC",IF(OR(VALUE(LEFT(AD100,2))=8,VALUE(LEFT(AD100,2))=18),"NW","Other")),"Other")</f>
        <v>EC</v>
      </c>
      <c r="AH100" s="86" t="str">
        <f t="shared" si="8"/>
        <v>"%USERPROFILE%\Documents\GitHub\eaglep3\Utilities\RefineRTDCRunTimes.py" --tripid 187-09 --locoid 4030 --swversion DE.1.0.9.0 --startMP 204:471 --initTime 2017-04-09T14:25:09 --startdatetime 2017-04-09T14:30:44 --delay 2 --endMP 204:233291 --enddatetime 2017-04-09T15:06:49 --enforcementcount 0 &gt;&gt;C:\Users\stu\Documents\GitHub\eaglep3-reporting\EC\2017-04-09-refined-times.txt</v>
      </c>
      <c r="AI100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{"issue":{"subject":"","project_id":79,"tracker_id":40,"status_id":1,"priority_id":2,"assigned_to_id":23,"start_date":"2017-04-09","description":"","custom_fields":[{"id":1,"name":"Subdivision","value":"EC"},{"id":4,"name":"Milepost","value":"23.3291"},{"id":17,"name":"Train ID","value":"187-09"},{"id":16,"name":"Locomotive ID","value":"4030"},{"id":130,"name":"Impact","value":""},{"id":150,"name":"Time of Event (Mountain Time)","value":"15:06:49"},{"id":151,"name":"Denver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8"/>
      <c r="AL100" s="48"/>
      <c r="AM100" s="150" t="str">
        <f t="shared" si="10"/>
        <v>start /low /b %USERPROFILE%\Documents\GitHub\eaglep3\Utilities\DownloadLogsFromS3.py --loco 4030 --day 2017-04-09</v>
      </c>
      <c r="AN100" s="159" t="str">
        <f t="shared" si="11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21:06:49"},{"id":29,"name":"Sharepoint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754</v>
      </c>
      <c r="B101" s="7">
        <v>4029</v>
      </c>
      <c r="C101" s="21" t="s">
        <v>215</v>
      </c>
      <c r="D101" s="21" t="s">
        <v>447</v>
      </c>
      <c r="E101" s="13">
        <v>42834.641273148147</v>
      </c>
      <c r="F101" s="13">
        <v>42834.643564814818</v>
      </c>
      <c r="G101" s="7">
        <v>1</v>
      </c>
      <c r="H101" s="21" t="s">
        <v>409</v>
      </c>
      <c r="I101" s="13">
        <v>42834.673854166664</v>
      </c>
      <c r="J101" s="7">
        <v>0</v>
      </c>
      <c r="K101" s="97" t="str">
        <f>IF(ISEVEN(B101),(B101-1)&amp;"/"&amp;B101,B101&amp;"/"&amp;(B101+1))</f>
        <v>4029/4030</v>
      </c>
      <c r="L101" s="21" t="str">
        <f>VLOOKUP(A101,'Trips&amp;Operators'!$C$1:$G$99999,5,FALSE)</f>
        <v>STEWART MICHAEL</v>
      </c>
      <c r="M101" s="6">
        <f>I101-F101</f>
        <v>3.028935184556758E-2</v>
      </c>
      <c r="N101" s="7">
        <f>24*60*SUM($M101:$M101)</f>
        <v>43.616666657617316</v>
      </c>
      <c r="O101" s="7"/>
      <c r="P101" s="7"/>
      <c r="Q101" s="22"/>
      <c r="R101" s="22"/>
      <c r="S101" s="31">
        <f>SUM(U101:U101)/IF(AG101="EC",12,1)</f>
        <v>1</v>
      </c>
      <c r="T101" s="46" t="str">
        <f>IF(ISEVEN(LEFT(AD101,4)),"Southbound","NorthBound")</f>
        <v>Southbound</v>
      </c>
      <c r="U101" s="18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2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-04-09T14:23:26-0600',mode:absolute,to:'2017-04-09T17:10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1" s="183" t="str">
        <f>IF(AA101&lt;IF(AG101="EC",23,5.65),"Y","N")</f>
        <v>N</v>
      </c>
      <c r="X101" s="183">
        <f>VALUE(LEFT(AD101,4))-VALUE(LEFT(AD100,4))</f>
        <v>1</v>
      </c>
      <c r="Y101" s="62">
        <f>RIGHT(D101,LEN(D101)-4)/10000</f>
        <v>23.2971</v>
      </c>
      <c r="Z101" s="62">
        <f>RIGHT(H101,LEN(H101)-4)/10000</f>
        <v>1.6299999999999999E-2</v>
      </c>
      <c r="AA101" s="62">
        <f>ABS(Z101-Y101)</f>
        <v>23.280799999999999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>IF(LEN(A101)=6,"0"&amp;A101,A101)</f>
        <v>0188-09</v>
      </c>
      <c r="AE101" s="85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s3://rtdc.mdm.uploadarchive.raw/RTDC4029/ "%USERPROFILE%\AppData\Local\Temp\OnboardLogs"\RTDC4029\2017-04-09 --exclude "*" --recursive --include "*20170409*" &amp; "%USERPROFILE%\Documents\GitHub\mrs-test-scripts\Headless Mode &amp; Sideloading\WalkAndUnGZ.bat" "%USERPROFILE%\AppData\Local\Temp\OnboardLogs"\RTDC4029\2017-04-09 &amp; aws s3 cp s3://rtdc.mdm.uploadarchive.raw/RTDC4029/ "%USERPROFILE%\AppData\Local\Temp\OnboardLogs"\RTDC4029\2017-04-10 --exclude "*" --recursive --include "*20170410*" &amp; "%USERPROFILE%\Documents\GitHub\mrs-test-scripts\Headless Mode &amp; Sideloading\WalkAndUnGZ.bat" "%USERPROFILE%\AppData\Local\Temp\OnboardLogs"\RTDC4029\2017-04-10</v>
      </c>
      <c r="AF101" s="82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/stypes="app*4029*20170409*" /stext=" 22:.+((SYSTEM_STATE.+slice.+state.+changed )|(ment ac)|(multiple cpu faults)|(system.+state.+changed )|(\[timeout)|(PRM\|1\|D)|(kpr)|(kdp)|(\|lc)|(penalty))"</v>
      </c>
      <c r="AG101" s="1" t="str">
        <f>IFERROR(IF(VALUE(LEFT(AD101,2))&lt;=2,"EC",IF(OR(VALUE(LEFT(AD101,2))=8,VALUE(LEFT(AD101,2))=18),"NW","Other")),"Other")</f>
        <v>EC</v>
      </c>
      <c r="AH101" s="86" t="str">
        <f t="shared" si="8"/>
        <v>"%USERPROFILE%\Documents\GitHub\eaglep3\Utilities\RefineRTDCRunTimes.py" --tripid 188-09 --locoid 4029 --swversion DE.1.0.9.0 --startMP 204:232971 --initTime 2017-04-09T15:23:26 --startdatetime 2017-04-09T15:26:44 --delay 1 --endMP 204:163 --enddatetime 2017-04-09T16:10:21 --enforcementcount 0 &gt;&gt;C:\Users\stu\Documents\GitHub\eaglep3-reporting\EC\2017-04-09-refined-times.txt</v>
      </c>
      <c r="AI101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{"issue":{"subject":"","project_id":79,"tracker_id":40,"status_id":1,"priority_id":2,"assigned_to_id":23,"start_date":"2017-04-09","description":"","custom_fields":[{"id":1,"name":"Subdivision","value":"EC"},{"id":4,"name":"Milepost","value":"0.0163"},{"id":17,"name":"Train ID","value":"188-09"},{"id":16,"name":"Locomotive ID","value":"4029"},{"id":130,"name":"Impact","value":""},{"id":150,"name":"Time of Event (Mountain Time)","value":"16:10:21"},{"id":151,"name":"Denver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8"/>
      <c r="AL101" s="48"/>
      <c r="AM101" s="150" t="str">
        <f t="shared" si="10"/>
        <v>start /low /b %USERPROFILE%\Documents\GitHub\eaglep3\Utilities\DownloadLogsFromS3.py --loco 4029 --day 2017-04-09</v>
      </c>
      <c r="AN101" s="159" t="str">
        <f t="shared" si="11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22:10:21"},{"id":29,"name":"Sharepoint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615</v>
      </c>
      <c r="B102" s="7">
        <v>4004</v>
      </c>
      <c r="C102" s="21" t="s">
        <v>215</v>
      </c>
      <c r="D102" s="21" t="s">
        <v>418</v>
      </c>
      <c r="E102" s="13">
        <v>42834.612488425926</v>
      </c>
      <c r="F102" s="13">
        <v>42834.614837962959</v>
      </c>
      <c r="G102" s="7">
        <v>1</v>
      </c>
      <c r="H102" s="21" t="s">
        <v>513</v>
      </c>
      <c r="I102" s="13">
        <v>42834.643634259257</v>
      </c>
      <c r="J102" s="7">
        <v>0</v>
      </c>
      <c r="K102" s="97" t="str">
        <f>IF(ISEVEN(B102),(B102-1)&amp;"/"&amp;B102,B102&amp;"/"&amp;(B102+1))</f>
        <v>4003/4004</v>
      </c>
      <c r="L102" s="21" t="str">
        <f>VLOOKUP(A102,'Trips&amp;Operators'!$C$1:$G$99999,5,FALSE)</f>
        <v>DAVIS MICHAEL</v>
      </c>
      <c r="M102" s="6">
        <f>I102-F102</f>
        <v>2.8796296297514345E-2</v>
      </c>
      <c r="N102" s="7">
        <f>24*60*SUM($M102:$M102)</f>
        <v>41.466666668420658</v>
      </c>
      <c r="O102" s="7"/>
      <c r="P102" s="7"/>
      <c r="Q102" s="22"/>
      <c r="R102" s="22" t="s">
        <v>988</v>
      </c>
      <c r="S102" s="31">
        <f>SUM(U102:U102)/IF(AG102="EC",12,1)</f>
        <v>1</v>
      </c>
      <c r="T102" s="46" t="str">
        <f>IF(ISEVEN(LEFT(AD102,4)),"Southbound","NorthBound")</f>
        <v>NorthBound</v>
      </c>
      <c r="U102" s="18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2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-04-09T13:41:59-0600',mode:absolute,to:'2017-04-09T16:26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2" s="183" t="str">
        <f>IF(AA102&lt;IF(AG102="EC",23,5.65),"Y","N")</f>
        <v>N</v>
      </c>
      <c r="X102" s="183">
        <f>VALUE(LEFT(AD102,4))-VALUE(LEFT(AD101,4))</f>
        <v>1</v>
      </c>
      <c r="Y102" s="62">
        <f>RIGHT(D102,LEN(D102)-4)/10000</f>
        <v>4.3999999999999997E-2</v>
      </c>
      <c r="Z102" s="62">
        <f>RIGHT(H102,LEN(H102)-4)/10000</f>
        <v>23.331700000000001</v>
      </c>
      <c r="AA102" s="62">
        <f>ABS(Z102-Y102)</f>
        <v>23.287700000000001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>IF(LEN(A102)=6,"0"&amp;A102,A102)</f>
        <v>0189-09</v>
      </c>
      <c r="AE102" s="85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s3://rtdc.mdm.uploadarchive.raw/RTDC4004/ "%USERPROFILE%\AppData\Local\Temp\OnboardLogs"\RTDC4004\2017-04-09 --exclude "*" --recursive --include "*20170409*" &amp; "%USERPROFILE%\Documents\GitHub\mrs-test-scripts\Headless Mode &amp; Sideloading\WalkAndUnGZ.bat" "%USERPROFILE%\AppData\Local\Temp\OnboardLogs"\RTDC4004\2017-04-09 &amp; aws s3 cp s3://rtdc.mdm.uploadarchive.raw/RTDC4004/ "%USERPROFILE%\AppData\Local\Temp\OnboardLogs"\RTDC4004\2017-04-10 --exclude "*" --recursive --include "*20170410*" &amp; "%USERPROFILE%\Documents\GitHub\mrs-test-scripts\Headless Mode &amp; Sideloading\WalkAndUnGZ.bat" "%USERPROFILE%\AppData\Local\Temp\OnboardLogs"\RTDC4004\2017-04-10</v>
      </c>
      <c r="AF102" s="82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/stypes="app*4004*20170409*" /stext=" 21:.+((SYSTEM_STATE.+slice.+state.+changed )|(ment ac)|(multiple cpu faults)|(system.+state.+changed )|(\[timeout)|(PRM\|1\|D)|(kpr)|(kdp)|(\|lc)|(penalty))"</v>
      </c>
      <c r="AG102" s="1" t="str">
        <f>IFERROR(IF(VALUE(LEFT(AD102,2))&lt;=2,"EC",IF(OR(VALUE(LEFT(AD102,2))=8,VALUE(LEFT(AD102,2))=18),"NW","Other")),"Other")</f>
        <v>EC</v>
      </c>
      <c r="AH102" s="86" t="str">
        <f t="shared" si="8"/>
        <v>"%USERPROFILE%\Documents\GitHub\eaglep3\Utilities\RefineRTDCRunTimes.py" --tripid 189-09 --locoid 4004 --swversion DE.1.0.9.0 --startMP 204:440 --initTime 2017-04-09T14:41:59 --startdatetime 2017-04-09T14:45:22 --delay 1 --endMP 204:233317 --enddatetime 2017-04-09T15:26:50 --enforcementcount 0 &gt;&gt;C:\Users\stu\Documents\GitHub\eaglep3-reporting\EC\2017-04-09-refined-times.txt</v>
      </c>
      <c r="AI102" s="104" t="str">
        <f t="shared" si="9"/>
        <v>echo {"issue":{"subject":"Unhealthy crossing prompt due to Form C suppressing wireless activation","project_id":79,"tracker_id":40,"status_id":1,"priority_id":2,"assigned_to_id":23,"start_date":"2017-04-09","description":"","custom_fields":[{"id":1,"name":"Subdivision","value":"EC"},{"id":4,"name":"Milepost","value":"23.3317"},{"id":17,"name":"Train ID","value":"189-09"},{"id":16,"name":"Locomotive ID","value":"4004"},{"id":130,"name":"Impact","value":""},{"id":150,"name":"Time of Event (Mountain Time)","value":"15:26:50"},{"id":151,"name":"Denver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8"/>
      <c r="AL102" s="48"/>
      <c r="AM102" s="150" t="str">
        <f t="shared" si="10"/>
        <v>start /low /b %USERPROFILE%\Documents\GitHub\eaglep3\Utilities\DownloadLogsFromS3.py --loco 4004 --day 2017-04-09</v>
      </c>
      <c r="AN102" s="159" t="str">
        <f t="shared" si="11"/>
        <v>echo {"issue":{"subject":"Unhealthy crossing prompt due to Form C suppressing wireless activation","project_id":30,"tracker_id":4,"status_id":1,"priority_id":1,"assigned_to_id":10,"start_date":"2017-04-09","description":"","custom_fields":[{"id":30,"name":"Category","value":"Issue"},{"id":3,"name":"Functional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21:26:50"},{"id":29,"name":"Sharepoint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756</v>
      </c>
      <c r="B103" s="7">
        <v>4003</v>
      </c>
      <c r="C103" s="21" t="s">
        <v>215</v>
      </c>
      <c r="D103" s="21" t="s">
        <v>515</v>
      </c>
      <c r="E103" s="13">
        <v>42834.650671296295</v>
      </c>
      <c r="F103" s="13">
        <v>42834.653761574074</v>
      </c>
      <c r="G103" s="7">
        <v>1</v>
      </c>
      <c r="H103" s="21" t="s">
        <v>843</v>
      </c>
      <c r="I103" s="13">
        <v>42834.686956018515</v>
      </c>
      <c r="J103" s="7">
        <v>0</v>
      </c>
      <c r="K103" s="97" t="str">
        <f>IF(ISEVEN(B103),(B103-1)&amp;"/"&amp;B103,B103&amp;"/"&amp;(B103+1))</f>
        <v>4003/4004</v>
      </c>
      <c r="L103" s="21" t="str">
        <f>VLOOKUP(A103,'Trips&amp;Operators'!$C$1:$G$99999,5,FALSE)</f>
        <v>DAVIS MICHAEL</v>
      </c>
      <c r="M103" s="6">
        <f>I103-F103</f>
        <v>3.3194444440596271E-2</v>
      </c>
      <c r="N103" s="7">
        <f>24*60*SUM($M103:$M103)</f>
        <v>47.799999994458631</v>
      </c>
      <c r="O103" s="7"/>
      <c r="P103" s="7"/>
      <c r="Q103" s="22"/>
      <c r="R103" s="22"/>
      <c r="S103" s="31">
        <f>SUM(U103:U103)/IF(AG103="EC",12,1)</f>
        <v>1</v>
      </c>
      <c r="T103" s="46" t="str">
        <f>IF(ISEVEN(LEFT(AD103,4)),"Southbound","NorthBound")</f>
        <v>Southbound</v>
      </c>
      <c r="U103" s="18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2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-04-09T14:36:58-0600',mode:absolute,to:'2017-04-09T17:29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3" s="183" t="str">
        <f>IF(AA103&lt;IF(AG103="EC",23,5.65),"Y","N")</f>
        <v>N</v>
      </c>
      <c r="X103" s="183">
        <f>VALUE(LEFT(AD103,4))-VALUE(LEFT(AD102,4))</f>
        <v>1</v>
      </c>
      <c r="Y103" s="62">
        <f>RIGHT(D103,LEN(D103)-4)/10000</f>
        <v>23.298300000000001</v>
      </c>
      <c r="Z103" s="62">
        <f>RIGHT(H103,LEN(H103)-4)/10000</f>
        <v>1.4999999999999999E-2</v>
      </c>
      <c r="AA103" s="62">
        <f>ABS(Z103-Y103)</f>
        <v>23.283300000000001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>IF(LEN(A103)=6,"0"&amp;A103,A103)</f>
        <v>0190-09</v>
      </c>
      <c r="AE103" s="85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s3://rtdc.mdm.uploadarchive.raw/RTDC4003/ "%USERPROFILE%\AppData\Local\Temp\OnboardLogs"\RTDC4003\2017-04-09 --exclude "*" --recursive --include "*20170409*" &amp; "%USERPROFILE%\Documents\GitHub\mrs-test-scripts\Headless Mode &amp; Sideloading\WalkAndUnGZ.bat" "%USERPROFILE%\AppData\Local\Temp\OnboardLogs"\RTDC4003\2017-04-09 &amp; aws s3 cp s3://rtdc.mdm.uploadarchive.raw/RTDC4003/ "%USERPROFILE%\AppData\Local\Temp\OnboardLogs"\RTDC4003\2017-04-10 --exclude "*" --recursive --include "*20170410*" &amp; "%USERPROFILE%\Documents\GitHub\mrs-test-scripts\Headless Mode &amp; Sideloading\WalkAndUnGZ.bat" "%USERPROFILE%\AppData\Local\Temp\OnboardLogs"\RTDC4003\2017-04-10</v>
      </c>
      <c r="AF103" s="82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/stypes="app*4003*20170409*" /stext=" 22:.+((SYSTEM_STATE.+slice.+state.+changed )|(ment ac)|(multiple cpu faults)|(system.+state.+changed )|(\[timeout)|(PRM\|1\|D)|(kpr)|(kdp)|(\|lc)|(penalty))"</v>
      </c>
      <c r="AG103" s="1" t="str">
        <f>IFERROR(IF(VALUE(LEFT(AD103,2))&lt;=2,"EC",IF(OR(VALUE(LEFT(AD103,2))=8,VALUE(LEFT(AD103,2))=18),"NW","Other")),"Other")</f>
        <v>EC</v>
      </c>
      <c r="AH103" s="86" t="str">
        <f t="shared" si="8"/>
        <v>"%USERPROFILE%\Documents\GitHub\eaglep3\Utilities\RefineRTDCRunTimes.py" --tripid 190-09 --locoid 4003 --swversion DE.1.0.9.0 --startMP 204:232983 --initTime 2017-04-09T15:36:58 --startdatetime 2017-04-09T15:41:25 --delay 1 --endMP 204:150 --enddatetime 2017-04-09T16:29:13 --enforcementcount 0 &gt;&gt;C:\Users\stu\Documents\GitHub\eaglep3-reporting\EC\2017-04-09-refined-times.txt</v>
      </c>
      <c r="AI103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{"issue":{"subject":"","project_id":79,"tracker_id":40,"status_id":1,"priority_id":2,"assigned_to_id":23,"start_date":"2017-04-09","description":"","custom_fields":[{"id":1,"name":"Subdivision","value":"EC"},{"id":4,"name":"Milepost","value":"0.015"},{"id":17,"name":"Train ID","value":"190-09"},{"id":16,"name":"Locomotive ID","value":"4003"},{"id":130,"name":"Impact","value":""},{"id":150,"name":"Time of Event (Mountain Time)","value":"16:29:13"},{"id":151,"name":"Denver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8"/>
      <c r="AL103" s="48"/>
      <c r="AM103" s="150" t="str">
        <f t="shared" si="10"/>
        <v>start /low /b %USERPROFILE%\Documents\GitHub\eaglep3\Utilities\DownloadLogsFromS3.py --loco 4003 --day 2017-04-09</v>
      </c>
      <c r="AN103" s="159" t="str">
        <f t="shared" si="11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22:29:13"},{"id":29,"name":"Sharepoint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750</v>
      </c>
      <c r="B104" s="7">
        <v>4046</v>
      </c>
      <c r="C104" s="21" t="s">
        <v>215</v>
      </c>
      <c r="D104" s="21" t="s">
        <v>418</v>
      </c>
      <c r="E104" s="13">
        <v>42834.622060185182</v>
      </c>
      <c r="F104" s="13">
        <v>42834.625185185185</v>
      </c>
      <c r="G104" s="7">
        <v>1</v>
      </c>
      <c r="H104" s="21" t="s">
        <v>926</v>
      </c>
      <c r="I104" s="13">
        <v>42834.65115740741</v>
      </c>
      <c r="J104" s="7">
        <v>0</v>
      </c>
      <c r="K104" s="97" t="str">
        <f>IF(ISEVEN(B104),(B104-1)&amp;"/"&amp;B104,B104&amp;"/"&amp;(B104+1))</f>
        <v>4045/4046</v>
      </c>
      <c r="L104" s="21" t="str">
        <f>VLOOKUP(A104,'Trips&amp;Operators'!$C$1:$G$99999,5,FALSE)</f>
        <v>LEVIN SCOTT</v>
      </c>
      <c r="M104" s="6">
        <f>I104-F104</f>
        <v>2.5972222225391306E-2</v>
      </c>
      <c r="N104" s="7">
        <f>24*60*SUM($M104:$M104)</f>
        <v>37.400000004563481</v>
      </c>
      <c r="O104" s="7"/>
      <c r="P104" s="7"/>
      <c r="Q104" s="22"/>
      <c r="R104" s="22"/>
      <c r="S104" s="31">
        <f>SUM(U104:U104)/IF(AG104="EC",12,1)</f>
        <v>1</v>
      </c>
      <c r="T104" s="46" t="str">
        <f>IF(ISEVEN(LEFT(AD104,4)),"Southbound","NorthBound")</f>
        <v>NorthBound</v>
      </c>
      <c r="U104" s="18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2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-04-09T13:55:46-0600',mode:absolute,to:'2017-04-09T16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4" s="183" t="str">
        <f>IF(AA104&lt;IF(AG104="EC",23,5.65),"Y","N")</f>
        <v>N</v>
      </c>
      <c r="X104" s="183">
        <f>VALUE(LEFT(AD104,4))-VALUE(LEFT(AD103,4))</f>
        <v>1</v>
      </c>
      <c r="Y104" s="62">
        <f>RIGHT(D104,LEN(D104)-4)/10000</f>
        <v>4.3999999999999997E-2</v>
      </c>
      <c r="Z104" s="62">
        <f>RIGHT(H104,LEN(H104)-4)/10000</f>
        <v>23.333600000000001</v>
      </c>
      <c r="AA104" s="62">
        <f>ABS(Z104-Y104)</f>
        <v>23.2896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>IF(LEN(A104)=6,"0"&amp;A104,A104)</f>
        <v>0191-09</v>
      </c>
      <c r="AE104" s="85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s3://rtdc.mdm.uploadarchive.raw/RTDC4046/ "%USERPROFILE%\AppData\Local\Temp\OnboardLogs"\RTDC4046\2017-04-09 --exclude "*" --recursive --include "*20170409*" &amp; "%USERPROFILE%\Documents\GitHub\mrs-test-scripts\Headless Mode &amp; Sideloading\WalkAndUnGZ.bat" "%USERPROFILE%\AppData\Local\Temp\OnboardLogs"\RTDC4046\2017-04-09 &amp; aws s3 cp s3://rtdc.mdm.uploadarchive.raw/RTDC4046/ "%USERPROFILE%\AppData\Local\Temp\OnboardLogs"\RTDC4046\2017-04-10 --exclude "*" --recursive --include "*20170410*" &amp; "%USERPROFILE%\Documents\GitHub\mrs-test-scripts\Headless Mode &amp; Sideloading\WalkAndUnGZ.bat" "%USERPROFILE%\AppData\Local\Temp\OnboardLogs"\RTDC4046\2017-04-10</v>
      </c>
      <c r="AF104" s="82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/stypes="app*4046*20170409*" /stext=" 21:.+((SYSTEM_STATE.+slice.+state.+changed )|(ment ac)|(multiple cpu faults)|(system.+state.+changed )|(\[timeout)|(PRM\|1\|D)|(kpr)|(kdp)|(\|lc)|(penalty))"</v>
      </c>
      <c r="AG104" s="1" t="str">
        <f>IFERROR(IF(VALUE(LEFT(AD104,2))&lt;=2,"EC",IF(OR(VALUE(LEFT(AD104,2))=8,VALUE(LEFT(AD104,2))=18),"NW","Other")),"Other")</f>
        <v>EC</v>
      </c>
      <c r="AH104" s="86" t="str">
        <f t="shared" si="8"/>
        <v>"%USERPROFILE%\Documents\GitHub\eaglep3\Utilities\RefineRTDCRunTimes.py" --tripid 191-09 --locoid 4046 --swversion DE.1.0.9.0 --startMP 204:440 --initTime 2017-04-09T14:55:46 --startdatetime 2017-04-09T15:00:16 --delay 1 --endMP 204:233336 --enddatetime 2017-04-09T15:37:40 --enforcementcount 0 &gt;&gt;C:\Users\stu\Documents\GitHub\eaglep3-reporting\EC\2017-04-09-refined-times.txt</v>
      </c>
      <c r="AI104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{"issue":{"subject":"","project_id":79,"tracker_id":40,"status_id":1,"priority_id":2,"assigned_to_id":23,"start_date":"2017-04-09","description":"","custom_fields":[{"id":1,"name":"Subdivision","value":"EC"},{"id":4,"name":"Milepost","value":"23.3336"},{"id":17,"name":"Train ID","value":"191-09"},{"id":16,"name":"Locomotive ID","value":"4046"},{"id":130,"name":"Impact","value":""},{"id":150,"name":"Time of Event (Mountain Time)","value":"15:37:40"},{"id":151,"name":"Denver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8"/>
      <c r="AL104" s="48"/>
      <c r="AM104" s="150" t="str">
        <f t="shared" si="10"/>
        <v>start /low /b %USERPROFILE%\Documents\GitHub\eaglep3\Utilities\DownloadLogsFromS3.py --loco 4046 --day 2017-04-09</v>
      </c>
      <c r="AN104" s="159" t="str">
        <f t="shared" si="11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21:37:40"},{"id":29,"name":"Sharepoint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759</v>
      </c>
      <c r="B105" s="7">
        <v>4045</v>
      </c>
      <c r="C105" s="21" t="s">
        <v>215</v>
      </c>
      <c r="D105" s="21" t="s">
        <v>847</v>
      </c>
      <c r="E105" s="13">
        <v>42834.661932870367</v>
      </c>
      <c r="F105" s="13">
        <v>42834.665567129632</v>
      </c>
      <c r="G105" s="7">
        <v>1</v>
      </c>
      <c r="H105" s="21" t="s">
        <v>406</v>
      </c>
      <c r="I105" s="13">
        <v>42834.694247685184</v>
      </c>
      <c r="J105" s="7">
        <v>0</v>
      </c>
      <c r="K105" s="97" t="str">
        <f>IF(ISEVEN(B105),(B105-1)&amp;"/"&amp;B105,B105&amp;"/"&amp;(B105+1))</f>
        <v>4045/4046</v>
      </c>
      <c r="L105" s="21" t="str">
        <f>VLOOKUP(A105,'Trips&amp;Operators'!$C$1:$G$99999,5,FALSE)</f>
        <v>LEVIN SCOTT</v>
      </c>
      <c r="M105" s="6">
        <f>I105-F105</f>
        <v>2.8680555551545694E-2</v>
      </c>
      <c r="N105" s="7">
        <f>24*60*SUM($M105:$M105)</f>
        <v>41.2999999942258</v>
      </c>
      <c r="O105" s="7"/>
      <c r="P105" s="7"/>
      <c r="Q105" s="22"/>
      <c r="R105" s="22"/>
      <c r="S105" s="31">
        <f>SUM(U105:U105)/IF(AG105="EC",12,1)</f>
        <v>1</v>
      </c>
      <c r="T105" s="46" t="str">
        <f>IF(ISEVEN(LEFT(AD105,4)),"Southbound","NorthBound")</f>
        <v>Southbound</v>
      </c>
      <c r="U105" s="18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2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-04-09T14:53:11-0600',mode:absolute,to:'2017-04-09T17:39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5" s="183" t="str">
        <f>IF(AA105&lt;IF(AG105="EC",23,5.65),"Y","N")</f>
        <v>N</v>
      </c>
      <c r="X105" s="183">
        <f>VALUE(LEFT(AD105,4))-VALUE(LEFT(AD104,4))</f>
        <v>1</v>
      </c>
      <c r="Y105" s="62">
        <f>RIGHT(D105,LEN(D105)-4)/10000</f>
        <v>23.303999999999998</v>
      </c>
      <c r="Z105" s="62">
        <f>RIGHT(H105,LEN(H105)-4)/10000</f>
        <v>1.38E-2</v>
      </c>
      <c r="AA105" s="62">
        <f>ABS(Z105-Y105)</f>
        <v>23.290199999999999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>IF(LEN(A105)=6,"0"&amp;A105,A105)</f>
        <v>0192-09</v>
      </c>
      <c r="AE105" s="85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s3://rtdc.mdm.uploadarchive.raw/RTDC4045/ "%USERPROFILE%\AppData\Local\Temp\OnboardLogs"\RTDC4045\2017-04-09 --exclude "*" --recursive --include "*20170409*" &amp; "%USERPROFILE%\Documents\GitHub\mrs-test-scripts\Headless Mode &amp; Sideloading\WalkAndUnGZ.bat" "%USERPROFILE%\AppData\Local\Temp\OnboardLogs"\RTDC4045\2017-04-09 &amp; aws s3 cp s3://rtdc.mdm.uploadarchive.raw/RTDC4045/ "%USERPROFILE%\AppData\Local\Temp\OnboardLogs"\RTDC4045\2017-04-10 --exclude "*" --recursive --include "*20170410*" &amp; "%USERPROFILE%\Documents\GitHub\mrs-test-scripts\Headless Mode &amp; Sideloading\WalkAndUnGZ.bat" "%USERPROFILE%\AppData\Local\Temp\OnboardLogs"\RTDC4045\2017-04-10</v>
      </c>
      <c r="AF105" s="82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/stypes="app*4045*20170409*" /stext=" 22:.+((SYSTEM_STATE.+slice.+state.+changed )|(ment ac)|(multiple cpu faults)|(system.+state.+changed )|(\[timeout)|(PRM\|1\|D)|(kpr)|(kdp)|(\|lc)|(penalty))"</v>
      </c>
      <c r="AG105" s="1" t="str">
        <f>IFERROR(IF(VALUE(LEFT(AD105,2))&lt;=2,"EC",IF(OR(VALUE(LEFT(AD105,2))=8,VALUE(LEFT(AD105,2))=18),"NW","Other")),"Other")</f>
        <v>EC</v>
      </c>
      <c r="AH105" s="86" t="str">
        <f t="shared" si="8"/>
        <v>"%USERPROFILE%\Documents\GitHub\eaglep3\Utilities\RefineRTDCRunTimes.py" --tripid 192-09 --locoid 4045 --swversion DE.1.0.9.0 --startMP 204:233040 --initTime 2017-04-09T15:53:11 --startdatetime 2017-04-09T15:58:25 --delay 1 --endMP 204:138 --enddatetime 2017-04-09T16:39:43 --enforcementcount 0 &gt;&gt;C:\Users\stu\Documents\GitHub\eaglep3-reporting\EC\2017-04-09-refined-times.txt</v>
      </c>
      <c r="AI105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{"issue":{"subject":"","project_id":79,"tracker_id":40,"status_id":1,"priority_id":2,"assigned_to_id":23,"start_date":"2017-04-09","description":"","custom_fields":[{"id":1,"name":"Subdivision","value":"EC"},{"id":4,"name":"Milepost","value":"0.0138"},{"id":17,"name":"Train ID","value":"192-09"},{"id":16,"name":"Locomotive ID","value":"4045"},{"id":130,"name":"Impact","value":""},{"id":150,"name":"Time of Event (Mountain Time)","value":"16:39:43"},{"id":151,"name":"Denver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8"/>
      <c r="AL105" s="48"/>
      <c r="AM105" s="150" t="str">
        <f t="shared" si="10"/>
        <v>start /low /b %USERPROFILE%\Documents\GitHub\eaglep3\Utilities\DownloadLogsFromS3.py --loco 4045 --day 2017-04-09</v>
      </c>
      <c r="AN105" s="159" t="str">
        <f t="shared" si="11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22:39:43"},{"id":29,"name":"Sharepoint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752</v>
      </c>
      <c r="B106" s="7">
        <v>4044</v>
      </c>
      <c r="C106" s="21" t="s">
        <v>215</v>
      </c>
      <c r="D106" s="21" t="s">
        <v>927</v>
      </c>
      <c r="E106" s="13">
        <v>42834.634768518517</v>
      </c>
      <c r="F106" s="13">
        <v>42834.636111111111</v>
      </c>
      <c r="G106" s="7">
        <v>0</v>
      </c>
      <c r="H106" s="21" t="s">
        <v>526</v>
      </c>
      <c r="I106" s="13">
        <v>42834.660937499997</v>
      </c>
      <c r="J106" s="7">
        <v>0</v>
      </c>
      <c r="K106" s="97" t="str">
        <f>IF(ISEVEN(B106),(B106-1)&amp;"/"&amp;B106,B106&amp;"/"&amp;(B106+1))</f>
        <v>4043/4044</v>
      </c>
      <c r="L106" s="21" t="str">
        <f>VLOOKUP(A106,'Trips&amp;Operators'!$C$1:$G$99999,5,FALSE)</f>
        <v>BRUDER RICHARD</v>
      </c>
      <c r="M106" s="6">
        <f>I106-F106</f>
        <v>2.4826388886140194E-2</v>
      </c>
      <c r="N106" s="7">
        <f>24*60*SUM($M106:$M106)</f>
        <v>35.749999996041879</v>
      </c>
      <c r="O106" s="7"/>
      <c r="P106" s="7"/>
      <c r="Q106" s="22"/>
      <c r="R106" s="22"/>
      <c r="S106" s="31">
        <f>SUM(U106:U106)/IF(AG106="EC",12,1)</f>
        <v>1</v>
      </c>
      <c r="T106" s="46" t="str">
        <f>IF(ISEVEN(LEFT(AD106,4)),"Southbound","NorthBound")</f>
        <v>NorthBound</v>
      </c>
      <c r="U106" s="18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2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-04-09T14:14:04-0600',mode:absolute,to:'2017-04-09T16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6" s="183" t="str">
        <f>IF(AA106&lt;IF(AG106="EC",23,5.65),"Y","N")</f>
        <v>N</v>
      </c>
      <c r="X106" s="183">
        <f>VALUE(LEFT(AD106,4))-VALUE(LEFT(AD105,4))</f>
        <v>1</v>
      </c>
      <c r="Y106" s="62">
        <f>RIGHT(D106,LEN(D106)-4)/10000</f>
        <v>4.3099999999999999E-2</v>
      </c>
      <c r="Z106" s="62">
        <f>RIGHT(H106,LEN(H106)-4)/10000</f>
        <v>23.330200000000001</v>
      </c>
      <c r="AA106" s="62">
        <f>ABS(Z106-Y106)</f>
        <v>23.287100000000002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>IF(LEN(A106)=6,"0"&amp;A106,A106)</f>
        <v>0193-09</v>
      </c>
      <c r="AE106" s="85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s3://rtdc.mdm.uploadarchive.raw/RTDC4044/ "%USERPROFILE%\AppData\Local\Temp\OnboardLogs"\RTDC4044\2017-04-09 --exclude "*" --recursive --include "*20170409*" &amp; "%USERPROFILE%\Documents\GitHub\mrs-test-scripts\Headless Mode &amp; Sideloading\WalkAndUnGZ.bat" "%USERPROFILE%\AppData\Local\Temp\OnboardLogs"\RTDC4044\2017-04-09 &amp; aws s3 cp s3://rtdc.mdm.uploadarchive.raw/RTDC4044/ "%USERPROFILE%\AppData\Local\Temp\OnboardLogs"\RTDC4044\2017-04-10 --exclude "*" --recursive --include "*20170410*" &amp; "%USERPROFILE%\Documents\GitHub\mrs-test-scripts\Headless Mode &amp; Sideloading\WalkAndUnGZ.bat" "%USERPROFILE%\AppData\Local\Temp\OnboardLogs"\RTDC4044\2017-04-10</v>
      </c>
      <c r="AF106" s="82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/stypes="app*4044*20170409*" /stext=" 21:.+((SYSTEM_STATE.+slice.+state.+changed )|(ment ac)|(multiple cpu faults)|(system.+state.+changed )|(\[timeout)|(PRM\|1\|D)|(kpr)|(kdp)|(\|lc)|(penalty))"</v>
      </c>
      <c r="AG106" s="1" t="str">
        <f>IFERROR(IF(VALUE(LEFT(AD106,2))&lt;=2,"EC",IF(OR(VALUE(LEFT(AD106,2))=8,VALUE(LEFT(AD106,2))=18),"NW","Other")),"Other")</f>
        <v>EC</v>
      </c>
      <c r="AH106" s="86" t="str">
        <f t="shared" si="8"/>
        <v>"%USERPROFILE%\Documents\GitHub\eaglep3\Utilities\RefineRTDCRunTimes.py" --tripid 193-09 --locoid 4044 --swversion DE.1.0.9.0 --startMP 204:431 --initTime 2017-04-09T15:14:04 --startdatetime 2017-04-09T15:16:00 --delay 0 --endMP 204:233302 --enddatetime 2017-04-09T15:51:45 --enforcementcount 0 &gt;&gt;C:\Users\stu\Documents\GitHub\eaglep3-reporting\EC\2017-04-09-refined-times.txt</v>
      </c>
      <c r="AI106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{"issue":{"subject":"","project_id":79,"tracker_id":40,"status_id":1,"priority_id":2,"assigned_to_id":23,"start_date":"2017-04-09","description":"","custom_fields":[{"id":1,"name":"Subdivision","value":"EC"},{"id":4,"name":"Milepost","value":"23.3302"},{"id":17,"name":"Train ID","value":"193-09"},{"id":16,"name":"Locomotive ID","value":"4044"},{"id":130,"name":"Impact","value":""},{"id":150,"name":"Time of Event (Mountain Time)","value":"15:51:45"},{"id":151,"name":"Denver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8"/>
      <c r="AL106" s="48"/>
      <c r="AM106" s="150" t="str">
        <f t="shared" si="10"/>
        <v>start /low /b %USERPROFILE%\Documents\GitHub\eaglep3\Utilities\DownloadLogsFromS3.py --loco 4044 --day 2017-04-09</v>
      </c>
      <c r="AN106" s="159" t="str">
        <f t="shared" si="11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21:51:45"},{"id":29,"name":"Sharepoint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761</v>
      </c>
      <c r="B107" s="7">
        <v>4043</v>
      </c>
      <c r="C107" s="21" t="s">
        <v>215</v>
      </c>
      <c r="D107" s="21" t="s">
        <v>913</v>
      </c>
      <c r="E107" s="13">
        <v>42834.668425925927</v>
      </c>
      <c r="F107" s="13">
        <v>42834.676157407404</v>
      </c>
      <c r="G107" s="7">
        <v>1</v>
      </c>
      <c r="H107" s="21" t="s">
        <v>197</v>
      </c>
      <c r="I107" s="13">
        <v>42834.70449074074</v>
      </c>
      <c r="J107" s="7">
        <v>0</v>
      </c>
      <c r="K107" s="97" t="str">
        <f>IF(ISEVEN(B107),(B107-1)&amp;"/"&amp;B107,B107&amp;"/"&amp;(B107+1))</f>
        <v>4043/4044</v>
      </c>
      <c r="L107" s="21" t="str">
        <f>VLOOKUP(A107,'Trips&amp;Operators'!$C$1:$G$99999,5,FALSE)</f>
        <v>BRUDER RICHARD</v>
      </c>
      <c r="M107" s="6">
        <f>I107-F107</f>
        <v>2.8333333335467614E-2</v>
      </c>
      <c r="N107" s="7">
        <f>24*60*SUM($M107:$M107)</f>
        <v>40.800000003073364</v>
      </c>
      <c r="O107" s="7"/>
      <c r="P107" s="7"/>
      <c r="Q107" s="22"/>
      <c r="R107" s="22"/>
      <c r="S107" s="31">
        <f>SUM(U107:U107)/IF(AG107="EC",12,1)</f>
        <v>1</v>
      </c>
      <c r="T107" s="46" t="str">
        <f>IF(ISEVEN(LEFT(AD107,4)),"Southbound","NorthBound")</f>
        <v>Southbound</v>
      </c>
      <c r="U107" s="18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2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-04-09T15:02:32-0600',mode:absolute,to:'2017-04-09T17:54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7" s="183" t="str">
        <f>IF(AA107&lt;IF(AG107="EC",23,5.65),"Y","N")</f>
        <v>N</v>
      </c>
      <c r="X107" s="183">
        <f>VALUE(LEFT(AD107,4))-VALUE(LEFT(AD106,4))</f>
        <v>1</v>
      </c>
      <c r="Y107" s="62">
        <f>RIGHT(D107,LEN(D107)-4)/10000</f>
        <v>23.3</v>
      </c>
      <c r="Z107" s="62">
        <f>RIGHT(H107,LEN(H107)-4)/10000</f>
        <v>1.52E-2</v>
      </c>
      <c r="AA107" s="62">
        <f>ABS(Z107-Y107)</f>
        <v>23.284800000000001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>IF(LEN(A107)=6,"0"&amp;A107,A107)</f>
        <v>0194-09</v>
      </c>
      <c r="AE107" s="85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s3://rtdc.mdm.uploadarchive.raw/RTDC4043/ "%USERPROFILE%\AppData\Local\Temp\OnboardLogs"\RTDC4043\2017-04-09 --exclude "*" --recursive --include "*20170409*" &amp; "%USERPROFILE%\Documents\GitHub\mrs-test-scripts\Headless Mode &amp; Sideloading\WalkAndUnGZ.bat" "%USERPROFILE%\AppData\Local\Temp\OnboardLogs"\RTDC4043\2017-04-09 &amp; aws s3 cp s3://rtdc.mdm.uploadarchive.raw/RTDC4043/ "%USERPROFILE%\AppData\Local\Temp\OnboardLogs"\RTDC4043\2017-04-10 --exclude "*" --recursive --include "*20170410*" &amp; "%USERPROFILE%\Documents\GitHub\mrs-test-scripts\Headless Mode &amp; Sideloading\WalkAndUnGZ.bat" "%USERPROFILE%\AppData\Local\Temp\OnboardLogs"\RTDC4043\2017-04-10</v>
      </c>
      <c r="AF107" s="82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/stypes="app*4043*20170409*" /stext=" 22:.+((SYSTEM_STATE.+slice.+state.+changed )|(ment ac)|(multiple cpu faults)|(system.+state.+changed )|(\[timeout)|(PRM\|1\|D)|(kpr)|(kdp)|(\|lc)|(penalty))"</v>
      </c>
      <c r="AG107" s="1" t="str">
        <f>IFERROR(IF(VALUE(LEFT(AD107,2))&lt;=2,"EC",IF(OR(VALUE(LEFT(AD107,2))=8,VALUE(LEFT(AD107,2))=18),"NW","Other")),"Other")</f>
        <v>EC</v>
      </c>
      <c r="AH107" s="86" t="str">
        <f t="shared" si="8"/>
        <v>"%USERPROFILE%\Documents\GitHub\eaglep3\Utilities\RefineRTDCRunTimes.py" --tripid 194-09 --locoid 4043 --swversion DE.1.0.9.0 --startMP 204:233000 --initTime 2017-04-09T16:02:32 --startdatetime 2017-04-09T16:13:40 --delay 1 --endMP 204:152 --enddatetime 2017-04-09T16:54:28 --enforcementcount 0 &gt;&gt;C:\Users\stu\Documents\GitHub\eaglep3-reporting\EC\2017-04-09-refined-times.txt</v>
      </c>
      <c r="AI107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{"issue":{"subject":"","project_id":79,"tracker_id":40,"status_id":1,"priority_id":2,"assigned_to_id":23,"start_date":"2017-04-09","description":"","custom_fields":[{"id":1,"name":"Subdivision","value":"EC"},{"id":4,"name":"Milepost","value":"0.0152"},{"id":17,"name":"Train ID","value":"194-09"},{"id":16,"name":"Locomotive ID","value":"4043"},{"id":130,"name":"Impact","value":""},{"id":150,"name":"Time of Event (Mountain Time)","value":"16:54:28"},{"id":151,"name":"Denver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8"/>
      <c r="AL107" s="48"/>
      <c r="AM107" s="150" t="str">
        <f t="shared" si="10"/>
        <v>start /low /b %USERPROFILE%\Documents\GitHub\eaglep3\Utilities\DownloadLogsFromS3.py --loco 4043 --day 2017-04-09</v>
      </c>
      <c r="AN107" s="159" t="str">
        <f t="shared" si="11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22:54:28"},{"id":29,"name":"Sharepoint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755</v>
      </c>
      <c r="B108" s="7">
        <v>4024</v>
      </c>
      <c r="C108" s="21" t="s">
        <v>215</v>
      </c>
      <c r="D108" s="21" t="s">
        <v>416</v>
      </c>
      <c r="E108" s="13">
        <v>42834.642511574071</v>
      </c>
      <c r="F108" s="13">
        <v>42834.646168981482</v>
      </c>
      <c r="G108" s="7">
        <v>1</v>
      </c>
      <c r="H108" s="21" t="s">
        <v>589</v>
      </c>
      <c r="I108" s="13">
        <v>42834.674537037034</v>
      </c>
      <c r="J108" s="7">
        <v>0</v>
      </c>
      <c r="K108" s="97" t="str">
        <f>IF(ISEVEN(B108),(B108-1)&amp;"/"&amp;B108,B108&amp;"/"&amp;(B108+1))</f>
        <v>4023/4024</v>
      </c>
      <c r="L108" s="21" t="str">
        <f>VLOOKUP(A108,'Trips&amp;Operators'!$C$1:$G$99999,5,FALSE)</f>
        <v>WHITED DUSTIN</v>
      </c>
      <c r="M108" s="6">
        <f>I108-F108</f>
        <v>2.8368055551254656E-2</v>
      </c>
      <c r="N108" s="7">
        <f>24*60*SUM($M108:$M108)</f>
        <v>40.849999993806705</v>
      </c>
      <c r="O108" s="7"/>
      <c r="P108" s="7"/>
      <c r="Q108" s="22"/>
      <c r="R108" s="22"/>
      <c r="S108" s="31">
        <f>SUM(U108:U108)/IF(AG108="EC",12,1)</f>
        <v>1</v>
      </c>
      <c r="T108" s="46" t="str">
        <f>IF(ISEVEN(LEFT(AD108,4)),"Southbound","NorthBound")</f>
        <v>NorthBound</v>
      </c>
      <c r="U108" s="18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2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-04-09T14:25:13-0600',mode:absolute,to:'2017-04-09T17:11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08" s="183" t="str">
        <f>IF(AA108&lt;IF(AG108="EC",23,5.65),"Y","N")</f>
        <v>N</v>
      </c>
      <c r="X108" s="183">
        <f>VALUE(LEFT(AD108,4))-VALUE(LEFT(AD107,4))</f>
        <v>1</v>
      </c>
      <c r="Y108" s="62">
        <f>RIGHT(D108,LEN(D108)-4)/10000</f>
        <v>4.6199999999999998E-2</v>
      </c>
      <c r="Z108" s="62">
        <f>RIGHT(H108,LEN(H108)-4)/10000</f>
        <v>23.332799999999999</v>
      </c>
      <c r="AA108" s="62">
        <f>ABS(Z108-Y108)</f>
        <v>23.2866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>IF(LEN(A108)=6,"0"&amp;A108,A108)</f>
        <v>0195-09</v>
      </c>
      <c r="AE108" s="85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s3://rtdc.mdm.uploadarchive.raw/RTDC4024/ "%USERPROFILE%\AppData\Local\Temp\OnboardLogs"\RTDC4024\2017-04-09 --exclude "*" --recursive --include "*20170409*" &amp; "%USERPROFILE%\Documents\GitHub\mrs-test-scripts\Headless Mode &amp; Sideloading\WalkAndUnGZ.bat" "%USERPROFILE%\AppData\Local\Temp\OnboardLogs"\RTDC4024\2017-04-09 &amp; aws s3 cp s3://rtdc.mdm.uploadarchive.raw/RTDC4024/ "%USERPROFILE%\AppData\Local\Temp\OnboardLogs"\RTDC4024\2017-04-10 --exclude "*" --recursive --include "*20170410*" &amp; "%USERPROFILE%\Documents\GitHub\mrs-test-scripts\Headless Mode &amp; Sideloading\WalkAndUnGZ.bat" "%USERPROFILE%\AppData\Local\Temp\OnboardLogs"\RTDC4024\2017-04-10</v>
      </c>
      <c r="AF108" s="82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/stypes="app*4024*20170409*" /stext=" 22:.+((SYSTEM_STATE.+slice.+state.+changed )|(ment ac)|(multiple cpu faults)|(system.+state.+changed )|(\[timeout)|(PRM\|1\|D)|(kpr)|(kdp)|(\|lc)|(penalty))"</v>
      </c>
      <c r="AG108" s="1" t="str">
        <f>IFERROR(IF(VALUE(LEFT(AD108,2))&lt;=2,"EC",IF(OR(VALUE(LEFT(AD108,2))=8,VALUE(LEFT(AD108,2))=18),"NW","Other")),"Other")</f>
        <v>EC</v>
      </c>
      <c r="AH108" s="86" t="str">
        <f t="shared" si="8"/>
        <v>"%USERPROFILE%\Documents\GitHub\eaglep3\Utilities\RefineRTDCRunTimes.py" --tripid 195-09 --locoid 4024 --swversion DE.1.0.9.0 --startMP 204:462 --initTime 2017-04-09T15:25:13 --startdatetime 2017-04-09T15:30:29 --delay 1 --endMP 204:233328 --enddatetime 2017-04-09T16:11:20 --enforcementcount 0 &gt;&gt;C:\Users\stu\Documents\GitHub\eaglep3-reporting\EC\2017-04-09-refined-times.txt</v>
      </c>
      <c r="AI108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{"issue":{"subject":"","project_id":79,"tracker_id":40,"status_id":1,"priority_id":2,"assigned_to_id":23,"start_date":"2017-04-09","description":"","custom_fields":[{"id":1,"name":"Subdivision","value":"EC"},{"id":4,"name":"Milepost","value":"23.3328"},{"id":17,"name":"Train ID","value":"195-09"},{"id":16,"name":"Locomotive ID","value":"4024"},{"id":130,"name":"Impact","value":""},{"id":150,"name":"Time of Event (Mountain Time)","value":"16:11:20"},{"id":151,"name":"Denver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8"/>
      <c r="AL108" s="48"/>
      <c r="AM108" s="150" t="str">
        <f t="shared" si="10"/>
        <v>start /low /b %USERPROFILE%\Documents\GitHub\eaglep3\Utilities\DownloadLogsFromS3.py --loco 4024 --day 2017-04-09</v>
      </c>
      <c r="AN108" s="159" t="str">
        <f t="shared" si="11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22:11:20"},{"id":29,"name":"Sharepoint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763</v>
      </c>
      <c r="B109" s="7">
        <v>4023</v>
      </c>
      <c r="C109" s="21" t="s">
        <v>215</v>
      </c>
      <c r="D109" s="21" t="s">
        <v>587</v>
      </c>
      <c r="E109" s="13">
        <v>42834.682013888887</v>
      </c>
      <c r="F109" s="13">
        <v>42834.686377314814</v>
      </c>
      <c r="G109" s="7">
        <v>2</v>
      </c>
      <c r="H109" s="21" t="s">
        <v>518</v>
      </c>
      <c r="I109" s="13">
        <v>42834.71837962963</v>
      </c>
      <c r="J109" s="7">
        <v>0</v>
      </c>
      <c r="K109" s="97" t="str">
        <f>IF(ISEVEN(B109),(B109-1)&amp;"/"&amp;B109,B109&amp;"/"&amp;(B109+1))</f>
        <v>4023/4024</v>
      </c>
      <c r="L109" s="21" t="str">
        <f>VLOOKUP(A109,'Trips&amp;Operators'!$C$1:$G$99999,5,FALSE)</f>
        <v>WHITED DUSTIN</v>
      </c>
      <c r="M109" s="6">
        <f>I109-F109</f>
        <v>3.2002314816054422E-2</v>
      </c>
      <c r="N109" s="7">
        <f>24*60*SUM($M109:$M109)</f>
        <v>46.083333335118368</v>
      </c>
      <c r="O109" s="7"/>
      <c r="P109" s="7"/>
      <c r="Q109" s="22"/>
      <c r="R109" s="22"/>
      <c r="S109" s="31">
        <f>SUM(U109:U109)/IF(AG109="EC",12,1)</f>
        <v>1</v>
      </c>
      <c r="T109" s="46" t="str">
        <f>IF(ISEVEN(LEFT(AD109,4)),"Southbound","NorthBound")</f>
        <v>Southbound</v>
      </c>
      <c r="U109" s="18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2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-04-09T15:22:06-0600',mode:absolute,to:'2017-04-09T18:14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09" s="183" t="str">
        <f>IF(AA109&lt;IF(AG109="EC",23,5.65),"Y","N")</f>
        <v>N</v>
      </c>
      <c r="X109" s="183">
        <f>VALUE(LEFT(AD109,4))-VALUE(LEFT(AD108,4))</f>
        <v>1</v>
      </c>
      <c r="Y109" s="62">
        <f>RIGHT(D109,LEN(D109)-4)/10000</f>
        <v>23.3017</v>
      </c>
      <c r="Z109" s="62">
        <f>RIGHT(H109,LEN(H109)-4)/10000</f>
        <v>1.3599999999999999E-2</v>
      </c>
      <c r="AA109" s="62">
        <f>ABS(Z109-Y109)</f>
        <v>23.2881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>IF(LEN(A109)=6,"0"&amp;A109,A109)</f>
        <v>0196-09</v>
      </c>
      <c r="AE109" s="85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s3://rtdc.mdm.uploadarchive.raw/RTDC4023/ "%USERPROFILE%\AppData\Local\Temp\OnboardLogs"\RTDC4023\2017-04-09 --exclude "*" --recursive --include "*20170409*" &amp; "%USERPROFILE%\Documents\GitHub\mrs-test-scripts\Headless Mode &amp; Sideloading\WalkAndUnGZ.bat" "%USERPROFILE%\AppData\Local\Temp\OnboardLogs"\RTDC4023\2017-04-09 &amp; aws s3 cp s3://rtdc.mdm.uploadarchive.raw/RTDC4023/ "%USERPROFILE%\AppData\Local\Temp\OnboardLogs"\RTDC4023\2017-04-10 --exclude "*" --recursive --include "*20170410*" &amp; "%USERPROFILE%\Documents\GitHub\mrs-test-scripts\Headless Mode &amp; Sideloading\WalkAndUnGZ.bat" "%USERPROFILE%\AppData\Local\Temp\OnboardLogs"\RTDC4023\2017-04-10</v>
      </c>
      <c r="AF109" s="82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/stypes="app*4023*20170409*" /stext=" 23:.+((SYSTEM_STATE.+slice.+state.+changed )|(ment ac)|(multiple cpu faults)|(system.+state.+changed )|(\[timeout)|(PRM\|1\|D)|(kpr)|(kdp)|(\|lc)|(penalty))"</v>
      </c>
      <c r="AG109" s="1" t="str">
        <f>IFERROR(IF(VALUE(LEFT(AD109,2))&lt;=2,"EC",IF(OR(VALUE(LEFT(AD109,2))=8,VALUE(LEFT(AD109,2))=18),"NW","Other")),"Other")</f>
        <v>EC</v>
      </c>
      <c r="AH109" s="86" t="str">
        <f t="shared" si="8"/>
        <v>"%USERPROFILE%\Documents\GitHub\eaglep3\Utilities\RefineRTDCRunTimes.py" --tripid 196-09 --locoid 4023 --swversion DE.1.0.9.0 --startMP 204:233017 --initTime 2017-04-09T16:22:06 --startdatetime 2017-04-09T16:28:23 --delay 2 --endMP 204:136 --enddatetime 2017-04-09T17:14:28 --enforcementcount 0 &gt;&gt;C:\Users\stu\Documents\GitHub\eaglep3-reporting\EC\2017-04-09-refined-times.txt</v>
      </c>
      <c r="AI109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{"issue":{"subject":"","project_id":79,"tracker_id":40,"status_id":1,"priority_id":2,"assigned_to_id":23,"start_date":"2017-04-09","description":"","custom_fields":[{"id":1,"name":"Subdivision","value":"EC"},{"id":4,"name":"Milepost","value":"0.0136"},{"id":17,"name":"Train ID","value":"196-09"},{"id":16,"name":"Locomotive ID","value":"4023"},{"id":130,"name":"Impact","value":""},{"id":150,"name":"Time of Event (Mountain Time)","value":"17:14:28"},{"id":151,"name":"Denver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8"/>
      <c r="AL109" s="48"/>
      <c r="AM109" s="150" t="str">
        <f t="shared" si="10"/>
        <v>start /low /b %USERPROFILE%\Documents\GitHub\eaglep3\Utilities\DownloadLogsFromS3.py --loco 4023 --day 2017-04-09</v>
      </c>
      <c r="AN109" s="159" t="str">
        <f t="shared" si="11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23:14:28"},{"id":29,"name":"Sharepoint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758</v>
      </c>
      <c r="B110" s="7">
        <v>4032</v>
      </c>
      <c r="C110" s="21" t="s">
        <v>215</v>
      </c>
      <c r="D110" s="21" t="s">
        <v>528</v>
      </c>
      <c r="E110" s="13">
        <v>42834.655243055553</v>
      </c>
      <c r="F110" s="13">
        <v>42834.657002314816</v>
      </c>
      <c r="G110" s="7">
        <v>1</v>
      </c>
      <c r="H110" s="21" t="s">
        <v>429</v>
      </c>
      <c r="I110" s="13">
        <v>42834.682881944442</v>
      </c>
      <c r="J110" s="7">
        <v>0</v>
      </c>
      <c r="K110" s="97" t="str">
        <f>IF(ISEVEN(B110),(B110-1)&amp;"/"&amp;B110,B110&amp;"/"&amp;(B110+1))</f>
        <v>4031/4032</v>
      </c>
      <c r="L110" s="21" t="str">
        <f>VLOOKUP(A110,'Trips&amp;Operators'!$C$1:$G$99999,5,FALSE)</f>
        <v>LOPES KIMBERLY</v>
      </c>
      <c r="M110" s="6">
        <f>I110-F110</f>
        <v>2.5879629625706002E-2</v>
      </c>
      <c r="N110" s="7">
        <f>24*60*SUM($M110:$M110)</f>
        <v>37.266666661016643</v>
      </c>
      <c r="O110" s="7"/>
      <c r="P110" s="7"/>
      <c r="Q110" s="22"/>
      <c r="R110" s="22"/>
      <c r="S110" s="31">
        <f>SUM(U110:U110)/IF(AG110="EC",12,1)</f>
        <v>1</v>
      </c>
      <c r="T110" s="46" t="str">
        <f>IF(ISEVEN(LEFT(AD110,4)),"Southbound","NorthBound")</f>
        <v>NorthBound</v>
      </c>
      <c r="U110" s="18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2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-04-09T14:43:33-0600',mode:absolute,to:'2017-04-09T17:23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0" s="183" t="str">
        <f>IF(AA110&lt;IF(AG110="EC",23,5.65),"Y","N")</f>
        <v>N</v>
      </c>
      <c r="X110" s="183">
        <f>VALUE(LEFT(AD110,4))-VALUE(LEFT(AD109,4))</f>
        <v>1</v>
      </c>
      <c r="Y110" s="62">
        <f>RIGHT(D110,LEN(D110)-4)/10000</f>
        <v>4.6399999999999997E-2</v>
      </c>
      <c r="Z110" s="62">
        <f>RIGHT(H110,LEN(H110)-4)/10000</f>
        <v>23.329699999999999</v>
      </c>
      <c r="AA110" s="62">
        <f>ABS(Z110-Y110)</f>
        <v>23.283300000000001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>IF(LEN(A110)=6,"0"&amp;A110,A110)</f>
        <v>0197-09</v>
      </c>
      <c r="AE110" s="85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s3://rtdc.mdm.uploadarchive.raw/RTDC4032/ "%USERPROFILE%\AppData\Local\Temp\OnboardLogs"\RTDC4032\2017-04-09 --exclude "*" --recursive --include "*20170409*" &amp; "%USERPROFILE%\Documents\GitHub\mrs-test-scripts\Headless Mode &amp; Sideloading\WalkAndUnGZ.bat" "%USERPROFILE%\AppData\Local\Temp\OnboardLogs"\RTDC4032\2017-04-09 &amp; aws s3 cp s3://rtdc.mdm.uploadarchive.raw/RTDC4032/ "%USERPROFILE%\AppData\Local\Temp\OnboardLogs"\RTDC4032\2017-04-10 --exclude "*" --recursive --include "*20170410*" &amp; "%USERPROFILE%\Documents\GitHub\mrs-test-scripts\Headless Mode &amp; Sideloading\WalkAndUnGZ.bat" "%USERPROFILE%\AppData\Local\Temp\OnboardLogs"\RTDC4032\2017-04-10</v>
      </c>
      <c r="AF110" s="82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/stypes="app*4032*20170409*" /stext=" 22:.+((SYSTEM_STATE.+slice.+state.+changed )|(ment ac)|(multiple cpu faults)|(system.+state.+changed )|(\[timeout)|(PRM\|1\|D)|(kpr)|(kdp)|(\|lc)|(penalty))"</v>
      </c>
      <c r="AG110" s="1" t="str">
        <f>IFERROR(IF(VALUE(LEFT(AD110,2))&lt;=2,"EC",IF(OR(VALUE(LEFT(AD110,2))=8,VALUE(LEFT(AD110,2))=18),"NW","Other")),"Other")</f>
        <v>EC</v>
      </c>
      <c r="AH110" s="86" t="str">
        <f t="shared" si="8"/>
        <v>"%USERPROFILE%\Documents\GitHub\eaglep3\Utilities\RefineRTDCRunTimes.py" --tripid 197-09 --locoid 4032 --swversion DE.1.0.9.0 --startMP 204:464 --initTime 2017-04-09T15:43:33 --startdatetime 2017-04-09T15:46:05 --delay 1 --endMP 204:233297 --enddatetime 2017-04-09T16:23:21 --enforcementcount 0 &gt;&gt;C:\Users\stu\Documents\GitHub\eaglep3-reporting\EC\2017-04-09-refined-times.txt</v>
      </c>
      <c r="AI110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{"issue":{"subject":"","project_id":79,"tracker_id":40,"status_id":1,"priority_id":2,"assigned_to_id":23,"start_date":"2017-04-09","description":"","custom_fields":[{"id":1,"name":"Subdivision","value":"EC"},{"id":4,"name":"Milepost","value":"23.3297"},{"id":17,"name":"Train ID","value":"197-09"},{"id":16,"name":"Locomotive ID","value":"4032"},{"id":130,"name":"Impact","value":""},{"id":150,"name":"Time of Event (Mountain Time)","value":"16:23:21"},{"id":151,"name":"Denver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8"/>
      <c r="AL110" s="48"/>
      <c r="AM110" s="150" t="str">
        <f t="shared" si="10"/>
        <v>start /low /b %USERPROFILE%\Documents\GitHub\eaglep3\Utilities\DownloadLogsFromS3.py --loco 4032 --day 2017-04-09</v>
      </c>
      <c r="AN110" s="159" t="str">
        <f t="shared" si="11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22:23:21"},{"id":29,"name":"Sharepoint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x14ac:dyDescent="0.25">
      <c r="A111" s="33" t="s">
        <v>765</v>
      </c>
      <c r="B111" s="7">
        <v>4031</v>
      </c>
      <c r="C111" s="21" t="s">
        <v>215</v>
      </c>
      <c r="D111" s="21" t="s">
        <v>419</v>
      </c>
      <c r="E111" s="13">
        <v>42834.689305555556</v>
      </c>
      <c r="F111" s="13">
        <v>42834.6955787037</v>
      </c>
      <c r="G111" s="7">
        <v>1</v>
      </c>
      <c r="H111" s="21" t="s">
        <v>198</v>
      </c>
      <c r="I111" s="13">
        <v>42834.728125000001</v>
      </c>
      <c r="J111" s="7">
        <v>0</v>
      </c>
      <c r="K111" s="97" t="str">
        <f>IF(ISEVEN(B111),(B111-1)&amp;"/"&amp;B111,B111&amp;"/"&amp;(B111+1))</f>
        <v>4031/4032</v>
      </c>
      <c r="L111" s="21" t="str">
        <f>VLOOKUP(A111,'Trips&amp;Operators'!$C$1:$G$99999,5,FALSE)</f>
        <v>LOPES KIMBERLY</v>
      </c>
      <c r="M111" s="6">
        <f>I111-F111</f>
        <v>3.2546296301006805E-2</v>
      </c>
      <c r="N111" s="7">
        <f>24*60*SUM($M111:$M111)</f>
        <v>46.866666673449799</v>
      </c>
      <c r="O111" s="7"/>
      <c r="P111" s="7"/>
      <c r="Q111" s="22"/>
      <c r="R111" s="22"/>
      <c r="S111" s="31">
        <f>SUM(U111:U111)/IF(AG111="EC",12,1)</f>
        <v>1</v>
      </c>
      <c r="T111" s="46" t="str">
        <f>IF(ISEVEN(LEFT(AD111,4)),"Southbound","NorthBound")</f>
        <v>Southbound</v>
      </c>
      <c r="U111" s="18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2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-04-09T15:32:36-0600',mode:absolute,to:'2017-04-09T18:28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1" s="183" t="str">
        <f>IF(AA111&lt;IF(AG111="EC",23,5.65),"Y","N")</f>
        <v>N</v>
      </c>
      <c r="X111" s="183">
        <f>VALUE(LEFT(AD111,4))-VALUE(LEFT(AD110,4))</f>
        <v>1</v>
      </c>
      <c r="Y111" s="62">
        <f>RIGHT(D111,LEN(D111)-4)/10000</f>
        <v>23.2989</v>
      </c>
      <c r="Z111" s="62">
        <f>RIGHT(H111,LEN(H111)-4)/10000</f>
        <v>1.5800000000000002E-2</v>
      </c>
      <c r="AA111" s="62">
        <f>ABS(Z111-Y111)</f>
        <v>23.283100000000001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>IF(LEN(A111)=6,"0"&amp;A111,A111)</f>
        <v>0198-09</v>
      </c>
      <c r="AE111" s="85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s3://rtdc.mdm.uploadarchive.raw/RTDC4031/ "%USERPROFILE%\AppData\Local\Temp\OnboardLogs"\RTDC4031\2017-04-09 --exclude "*" --recursive --include "*20170409*" &amp; "%USERPROFILE%\Documents\GitHub\mrs-test-scripts\Headless Mode &amp; Sideloading\WalkAndUnGZ.bat" "%USERPROFILE%\AppData\Local\Temp\OnboardLogs"\RTDC4031\2017-04-09 &amp; aws s3 cp s3://rtdc.mdm.uploadarchive.raw/RTDC4031/ "%USERPROFILE%\AppData\Local\Temp\OnboardLogs"\RTDC4031\2017-04-10 --exclude "*" --recursive --include "*20170410*" &amp; "%USERPROFILE%\Documents\GitHub\mrs-test-scripts\Headless Mode &amp; Sideloading\WalkAndUnGZ.bat" "%USERPROFILE%\AppData\Local\Temp\OnboardLogs"\RTDC4031\2017-04-10</v>
      </c>
      <c r="AF111" s="82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/stypes="app*4031*20170409*" /stext=" 23:.+((SYSTEM_STATE.+slice.+state.+changed )|(ment ac)|(multiple cpu faults)|(system.+state.+changed )|(\[timeout)|(PRM\|1\|D)|(kpr)|(kdp)|(\|lc)|(penalty))"</v>
      </c>
      <c r="AG111" s="1" t="str">
        <f>IFERROR(IF(VALUE(LEFT(AD111,2))&lt;=2,"EC",IF(OR(VALUE(LEFT(AD111,2))=8,VALUE(LEFT(AD111,2))=18),"NW","Other")),"Other")</f>
        <v>EC</v>
      </c>
      <c r="AH111" s="86" t="str">
        <f t="shared" si="8"/>
        <v>"%USERPROFILE%\Documents\GitHub\eaglep3\Utilities\RefineRTDCRunTimes.py" --tripid 198-09 --locoid 4031 --swversion DE.1.0.9.0 --startMP 204:232989 --initTime 2017-04-09T16:32:36 --startdatetime 2017-04-09T16:41:38 --delay 1 --endMP 204:158 --enddatetime 2017-04-09T17:28:30 --enforcementcount 0 &gt;&gt;C:\Users\stu\Documents\GitHub\eaglep3-reporting\EC\2017-04-09-refined-times.txt</v>
      </c>
      <c r="AI111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{"issue":{"subject":"","project_id":79,"tracker_id":40,"status_id":1,"priority_id":2,"assigned_to_id":23,"start_date":"2017-04-09","description":"","custom_fields":[{"id":1,"name":"Subdivision","value":"EC"},{"id":4,"name":"Milepost","value":"0.0158"},{"id":17,"name":"Train ID","value":"198-09"},{"id":16,"name":"Locomotive ID","value":"4031"},{"id":130,"name":"Impact","value":""},{"id":150,"name":"Time of Event (Mountain Time)","value":"17:28:30"},{"id":151,"name":"Denver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20"/>
      <c r="AK111" s="48"/>
      <c r="AL111" s="48"/>
      <c r="AM111" s="150" t="str">
        <f t="shared" si="10"/>
        <v>start /low /b %USERPROFILE%\Documents\GitHub\eaglep3\Utilities\DownloadLogsFromS3.py --loco 4031 --day 2017-04-09</v>
      </c>
      <c r="AN111" s="159" t="str">
        <f t="shared" si="11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23:28:30"},{"id":29,"name":"Sharepoint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2" spans="1:91" s="20" customFormat="1" x14ac:dyDescent="0.25">
      <c r="A112" s="33" t="s">
        <v>760</v>
      </c>
      <c r="B112" s="7">
        <v>4012</v>
      </c>
      <c r="C112" s="21" t="s">
        <v>215</v>
      </c>
      <c r="D112" s="21" t="s">
        <v>583</v>
      </c>
      <c r="E112" s="13">
        <v>42834.667384259257</v>
      </c>
      <c r="F112" s="13">
        <v>42834.668877314813</v>
      </c>
      <c r="G112" s="7">
        <v>1</v>
      </c>
      <c r="H112" s="21" t="s">
        <v>511</v>
      </c>
      <c r="I112" s="13">
        <v>42834.697581018518</v>
      </c>
      <c r="J112" s="7">
        <v>0</v>
      </c>
      <c r="K112" s="97" t="str">
        <f>IF(ISEVEN(B112),(B112-1)&amp;"/"&amp;B112,B112&amp;"/"&amp;(B112+1))</f>
        <v>4011/4012</v>
      </c>
      <c r="L112" s="21" t="str">
        <f>VLOOKUP(A112,'Trips&amp;Operators'!$C$1:$G$99999,5,FALSE)</f>
        <v>BRANDNER MELINDA</v>
      </c>
      <c r="M112" s="6">
        <f>I112-F112</f>
        <v>2.8703703705104999E-2</v>
      </c>
      <c r="N112" s="7">
        <f>24*60*SUM($M112:$M112)</f>
        <v>41.333333335351199</v>
      </c>
      <c r="O112" s="7"/>
      <c r="P112" s="7"/>
      <c r="Q112" s="22"/>
      <c r="R112" s="22"/>
      <c r="S112" s="31">
        <f>SUM(U112:U112)/IF(AG112="EC",12,1)</f>
        <v>1</v>
      </c>
      <c r="T112" s="46" t="str">
        <f>IF(ISEVEN(LEFT(AD112,4)),"Southbound","NorthBound")</f>
        <v>NorthBound</v>
      </c>
      <c r="U112" s="18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2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-04-09T15:01:02-0600',mode:absolute,to:'2017-04-09T17:44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2" s="183" t="str">
        <f>IF(AA112&lt;IF(AG112="EC",23,5.65),"Y","N")</f>
        <v>N</v>
      </c>
      <c r="X112" s="183">
        <f>VALUE(LEFT(AD112,4))-VALUE(LEFT(AD111,4))</f>
        <v>1</v>
      </c>
      <c r="Y112" s="62">
        <f>RIGHT(D112,LEN(D112)-4)/10000</f>
        <v>4.3499999999999997E-2</v>
      </c>
      <c r="Z112" s="62">
        <f>RIGHT(H112,LEN(H112)-4)/10000</f>
        <v>23.328900000000001</v>
      </c>
      <c r="AA112" s="62">
        <f>ABS(Z112-Y112)</f>
        <v>23.285399999999999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>IF(LEN(A112)=6,"0"&amp;A112,A112)</f>
        <v>0199-09</v>
      </c>
      <c r="AE112" s="85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s3://rtdc.mdm.uploadarchive.raw/RTDC4012/ "%USERPROFILE%\AppData\Local\Temp\OnboardLogs"\RTDC4012\2017-04-09 --exclude "*" --recursive --include "*20170409*" &amp; "%USERPROFILE%\Documents\GitHub\mrs-test-scripts\Headless Mode &amp; Sideloading\WalkAndUnGZ.bat" "%USERPROFILE%\AppData\Local\Temp\OnboardLogs"\RTDC4012\2017-04-09 &amp; aws s3 cp s3://rtdc.mdm.uploadarchive.raw/RTDC4012/ "%USERPROFILE%\AppData\Local\Temp\OnboardLogs"\RTDC4012\2017-04-10 --exclude "*" --recursive --include "*20170410*" &amp; "%USERPROFILE%\Documents\GitHub\mrs-test-scripts\Headless Mode &amp; Sideloading\WalkAndUnGZ.bat" "%USERPROFILE%\AppData\Local\Temp\OnboardLogs"\RTDC4012\2017-04-10</v>
      </c>
      <c r="AF112" s="82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/stypes="app*4012*20170409*" /stext=" 22:.+((SYSTEM_STATE.+slice.+state.+changed )|(ment ac)|(multiple cpu faults)|(system.+state.+changed )|(\[timeout)|(PRM\|1\|D)|(kpr)|(kdp)|(\|lc)|(penalty))"</v>
      </c>
      <c r="AG112" s="1" t="str">
        <f>IFERROR(IF(VALUE(LEFT(AD112,2))&lt;=2,"EC",IF(OR(VALUE(LEFT(AD112,2))=8,VALUE(LEFT(AD112,2))=18),"NW","Other")),"Other")</f>
        <v>EC</v>
      </c>
      <c r="AH112" s="86" t="str">
        <f t="shared" si="8"/>
        <v>"%USERPROFILE%\Documents\GitHub\eaglep3\Utilities\RefineRTDCRunTimes.py" --tripid 199-09 --locoid 4012 --swversion DE.1.0.9.0 --startMP 204:435 --initTime 2017-04-09T16:01:02 --startdatetime 2017-04-09T16:03:11 --delay 1 --endMP 204:233289 --enddatetime 2017-04-09T16:44:31 --enforcementcount 0 &gt;&gt;C:\Users\stu\Documents\GitHub\eaglep3-reporting\EC\2017-04-09-refined-times.txt</v>
      </c>
      <c r="AI112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{"issue":{"subject":"","project_id":79,"tracker_id":40,"status_id":1,"priority_id":2,"assigned_to_id":23,"start_date":"2017-04-09","description":"","custom_fields":[{"id":1,"name":"Subdivision","value":"EC"},{"id":4,"name":"Milepost","value":"23.3289"},{"id":17,"name":"Train ID","value":"199-09"},{"id":16,"name":"Locomotive ID","value":"4012"},{"id":130,"name":"Impact","value":""},{"id":150,"name":"Time of Event (Mountain Time)","value":"16:44:31"},{"id":151,"name":"Denver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8"/>
      <c r="AL112" s="48"/>
      <c r="AM112" s="150" t="str">
        <f t="shared" si="10"/>
        <v>start /low /b %USERPROFILE%\Documents\GitHub\eaglep3\Utilities\DownloadLogsFromS3.py --loco 4012 --day 2017-04-09</v>
      </c>
      <c r="AN112" s="159" t="str">
        <f t="shared" si="11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22:44:31"},{"id":29,"name":"Sharepoint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768</v>
      </c>
      <c r="B113" s="7">
        <v>4011</v>
      </c>
      <c r="C113" s="21" t="s">
        <v>215</v>
      </c>
      <c r="D113" s="21" t="s">
        <v>913</v>
      </c>
      <c r="E113" s="13">
        <v>42834.703472222223</v>
      </c>
      <c r="F113" s="13">
        <v>42834.705914351849</v>
      </c>
      <c r="G113" s="7">
        <v>2</v>
      </c>
      <c r="H113" s="21" t="s">
        <v>518</v>
      </c>
      <c r="I113" s="13">
        <v>42834.739583333336</v>
      </c>
      <c r="J113" s="7">
        <v>0</v>
      </c>
      <c r="K113" s="97" t="str">
        <f>IF(ISEVEN(B113),(B113-1)&amp;"/"&amp;B113,B113&amp;"/"&amp;(B113+1))</f>
        <v>4011/4012</v>
      </c>
      <c r="L113" s="21" t="str">
        <f>VLOOKUP(A113,'Trips&amp;Operators'!$C$1:$G$99999,5,FALSE)</f>
        <v>BRANDNER MELINDA</v>
      </c>
      <c r="M113" s="6">
        <f>I113-F113</f>
        <v>3.3668981486698613E-2</v>
      </c>
      <c r="N113" s="7">
        <f>24*60*SUM($M113:$M113)</f>
        <v>48.483333340846002</v>
      </c>
      <c r="O113" s="7"/>
      <c r="P113" s="7"/>
      <c r="Q113" s="22"/>
      <c r="R113" s="22"/>
      <c r="S113" s="31">
        <f>SUM(U113:U113)/IF(AG113="EC",12,1)</f>
        <v>1</v>
      </c>
      <c r="T113" s="46" t="str">
        <f>IF(ISEVEN(LEFT(AD113,4)),"Southbound","NorthBound")</f>
        <v>Southbound</v>
      </c>
      <c r="U113" s="18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2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-04-09T15:53:00-0600',mode:absolute,to:'2017-04-09T18:45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3" s="183" t="str">
        <f>IF(AA113&lt;IF(AG113="EC",23,5.65),"Y","N")</f>
        <v>N</v>
      </c>
      <c r="X113" s="183">
        <f>VALUE(LEFT(AD113,4))-VALUE(LEFT(AD112,4))</f>
        <v>1</v>
      </c>
      <c r="Y113" s="62">
        <f>RIGHT(D113,LEN(D113)-4)/10000</f>
        <v>23.3</v>
      </c>
      <c r="Z113" s="62">
        <f>RIGHT(H113,LEN(H113)-4)/10000</f>
        <v>1.3599999999999999E-2</v>
      </c>
      <c r="AA113" s="62">
        <f>ABS(Z113-Y113)</f>
        <v>23.2864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>IF(LEN(A113)=6,"0"&amp;A113,A113)</f>
        <v>0200-09</v>
      </c>
      <c r="AE113" s="85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s3://rtdc.mdm.uploadarchive.raw/RTDC4011/ "%USERPROFILE%\AppData\Local\Temp\OnboardLogs"\RTDC4011\2017-04-09 --exclude "*" --recursive --include "*20170409*" &amp; "%USERPROFILE%\Documents\GitHub\mrs-test-scripts\Headless Mode &amp; Sideloading\WalkAndUnGZ.bat" "%USERPROFILE%\AppData\Local\Temp\OnboardLogs"\RTDC4011\2017-04-09 &amp; aws s3 cp s3://rtdc.mdm.uploadarchive.raw/RTDC4011/ "%USERPROFILE%\AppData\Local\Temp\OnboardLogs"\RTDC4011\2017-04-10 --exclude "*" --recursive --include "*20170410*" &amp; "%USERPROFILE%\Documents\GitHub\mrs-test-scripts\Headless Mode &amp; Sideloading\WalkAndUnGZ.bat" "%USERPROFILE%\AppData\Local\Temp\OnboardLogs"\RTDC4011\2017-04-10</v>
      </c>
      <c r="AF113" s="82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/stypes="app*4011*20170409*" /stext=" 23:.+((SYSTEM_STATE.+slice.+state.+changed )|(ment ac)|(multiple cpu faults)|(system.+state.+changed )|(\[timeout)|(PRM\|1\|D)|(kpr)|(kdp)|(\|lc)|(penalty))"</v>
      </c>
      <c r="AG113" s="1" t="str">
        <f>IFERROR(IF(VALUE(LEFT(AD113,2))&lt;=2,"EC",IF(OR(VALUE(LEFT(AD113,2))=8,VALUE(LEFT(AD113,2))=18),"NW","Other")),"Other")</f>
        <v>EC</v>
      </c>
      <c r="AH113" s="86" t="str">
        <f t="shared" si="8"/>
        <v>"%USERPROFILE%\Documents\GitHub\eaglep3\Utilities\RefineRTDCRunTimes.py" --tripid 200-09 --locoid 4011 --swversion DE.1.0.9.0 --startMP 204:233000 --initTime 2017-04-09T16:53:00 --startdatetime 2017-04-09T16:56:31 --delay 2 --endMP 204:136 --enddatetime 2017-04-09T17:45:00 --enforcementcount 0 &gt;&gt;C:\Users\stu\Documents\GitHub\eaglep3-reporting\EC\2017-04-09-refined-times.txt</v>
      </c>
      <c r="AI113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{"issue":{"subject":"","project_id":79,"tracker_id":40,"status_id":1,"priority_id":2,"assigned_to_id":23,"start_date":"2017-04-09","description":"","custom_fields":[{"id":1,"name":"Subdivision","value":"EC"},{"id":4,"name":"Milepost","value":"0.0136"},{"id":17,"name":"Train ID","value":"200-09"},{"id":16,"name":"Locomotive ID","value":"4011"},{"id":130,"name":"Impact","value":""},{"id":150,"name":"Time of Event (Mountain Time)","value":"17:45:00"},{"id":151,"name":"Denver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8"/>
      <c r="AL113" s="48"/>
      <c r="AM113" s="150" t="str">
        <f t="shared" si="10"/>
        <v>start /low /b %USERPROFILE%\Documents\GitHub\eaglep3\Utilities\DownloadLogsFromS3.py --loco 4011 --day 2017-04-09</v>
      </c>
      <c r="AN113" s="159" t="str">
        <f t="shared" si="11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23:45:00"},{"id":29,"name":"Sharepoint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617</v>
      </c>
      <c r="B114" s="7">
        <v>4030</v>
      </c>
      <c r="C114" s="21" t="s">
        <v>215</v>
      </c>
      <c r="D114" s="21" t="s">
        <v>209</v>
      </c>
      <c r="E114" s="13">
        <v>42834.677129629628</v>
      </c>
      <c r="F114" s="13">
        <v>42834.678842592592</v>
      </c>
      <c r="G114" s="7">
        <v>1</v>
      </c>
      <c r="H114" s="21" t="s">
        <v>928</v>
      </c>
      <c r="I114" s="13">
        <v>42834.704814814817</v>
      </c>
      <c r="J114" s="7">
        <v>0</v>
      </c>
      <c r="K114" s="97" t="str">
        <f>IF(ISEVEN(B114),(B114-1)&amp;"/"&amp;B114,B114&amp;"/"&amp;(B114+1))</f>
        <v>4029/4030</v>
      </c>
      <c r="L114" s="21" t="str">
        <f>VLOOKUP(A114,'Trips&amp;Operators'!$C$1:$G$99999,5,FALSE)</f>
        <v>STEWART MICHAEL</v>
      </c>
      <c r="M114" s="6">
        <f>I114-F114</f>
        <v>2.5972222225391306E-2</v>
      </c>
      <c r="N114" s="7">
        <f>24*60*SUM($M114:$M114)</f>
        <v>37.400000004563481</v>
      </c>
      <c r="O114" s="7"/>
      <c r="P114" s="7"/>
      <c r="Q114" s="22"/>
      <c r="R114" s="22"/>
      <c r="S114" s="31">
        <f>SUM(U114:U114)/IF(AG114="EC",12,1)</f>
        <v>1</v>
      </c>
      <c r="T114" s="46" t="str">
        <f>IF(ISEVEN(LEFT(AD114,4)),"Southbound","NorthBound")</f>
        <v>NorthBound</v>
      </c>
      <c r="U114" s="18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2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-04-09T15:15:04-0600',mode:absolute,to:'2017-04-09T17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4" s="183" t="str">
        <f>IF(AA114&lt;IF(AG114="EC",23,5.65),"Y","N")</f>
        <v>N</v>
      </c>
      <c r="X114" s="183">
        <f>VALUE(LEFT(AD114,4))-VALUE(LEFT(AD113,4))</f>
        <v>1</v>
      </c>
      <c r="Y114" s="62">
        <f>RIGHT(D114,LEN(D114)-4)/10000</f>
        <v>4.53E-2</v>
      </c>
      <c r="Z114" s="62">
        <f>RIGHT(H114,LEN(H114)-4)/10000</f>
        <v>23.319500000000001</v>
      </c>
      <c r="AA114" s="62">
        <f>ABS(Z114-Y114)</f>
        <v>23.2742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>IF(LEN(A114)=6,"0"&amp;A114,A114)</f>
        <v>0201-09</v>
      </c>
      <c r="AE114" s="85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s3://rtdc.mdm.uploadarchive.raw/RTDC4030/ "%USERPROFILE%\AppData\Local\Temp\OnboardLogs"\RTDC4030\2017-04-09 --exclude "*" --recursive --include "*20170409*" &amp; "%USERPROFILE%\Documents\GitHub\mrs-test-scripts\Headless Mode &amp; Sideloading\WalkAndUnGZ.bat" "%USERPROFILE%\AppData\Local\Temp\OnboardLogs"\RTDC4030\2017-04-09 &amp; aws s3 cp s3://rtdc.mdm.uploadarchive.raw/RTDC4030/ "%USERPROFILE%\AppData\Local\Temp\OnboardLogs"\RTDC4030\2017-04-10 --exclude "*" --recursive --include "*20170410*" &amp; "%USERPROFILE%\Documents\GitHub\mrs-test-scripts\Headless Mode &amp; Sideloading\WalkAndUnGZ.bat" "%USERPROFILE%\AppData\Local\Temp\OnboardLogs"\RTDC4030\2017-04-10</v>
      </c>
      <c r="AF114" s="82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/stypes="app*4030*20170409*" /stext=" 22:.+((SYSTEM_STATE.+slice.+state.+changed )|(ment ac)|(multiple cpu faults)|(system.+state.+changed )|(\[timeout)|(PRM\|1\|D)|(kpr)|(kdp)|(\|lc)|(penalty))"</v>
      </c>
      <c r="AG114" s="1" t="str">
        <f>IFERROR(IF(VALUE(LEFT(AD114,2))&lt;=2,"EC",IF(OR(VALUE(LEFT(AD114,2))=8,VALUE(LEFT(AD114,2))=18),"NW","Other")),"Other")</f>
        <v>EC</v>
      </c>
      <c r="AH114" s="86" t="str">
        <f t="shared" si="8"/>
        <v>"%USERPROFILE%\Documents\GitHub\eaglep3\Utilities\RefineRTDCRunTimes.py" --tripid 201-09 --locoid 4030 --swversion DE.1.0.9.0 --startMP 204:453 --initTime 2017-04-09T16:15:04 --startdatetime 2017-04-09T16:17:32 --delay 1 --endMP 204:233195 --enddatetime 2017-04-09T16:54:56 --enforcementcount 0 &gt;&gt;C:\Users\stu\Documents\GitHub\eaglep3-reporting\EC\2017-04-09-refined-times.txt</v>
      </c>
      <c r="AI114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{"issue":{"subject":"","project_id":79,"tracker_id":40,"status_id":1,"priority_id":2,"assigned_to_id":23,"start_date":"2017-04-09","description":"","custom_fields":[{"id":1,"name":"Subdivision","value":"EC"},{"id":4,"name":"Milepost","value":"23.3195"},{"id":17,"name":"Train ID","value":"201-09"},{"id":16,"name":"Locomotive ID","value":"4030"},{"id":130,"name":"Impact","value":""},{"id":150,"name":"Time of Event (Mountain Time)","value":"16:54:56"},{"id":151,"name":"Denver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8"/>
      <c r="AL114" s="48"/>
      <c r="AM114" s="150" t="str">
        <f t="shared" si="10"/>
        <v>start /low /b %USERPROFILE%\Documents\GitHub\eaglep3\Utilities\DownloadLogsFromS3.py --loco 4030 --day 2017-04-09</v>
      </c>
      <c r="AN114" s="159" t="str">
        <f t="shared" si="11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22:54:56"},{"id":29,"name":"Sharepoint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770</v>
      </c>
      <c r="B115" s="7">
        <v>4029</v>
      </c>
      <c r="C115" s="21" t="s">
        <v>215</v>
      </c>
      <c r="D115" s="21" t="s">
        <v>929</v>
      </c>
      <c r="E115" s="13">
        <v>42834.732025462959</v>
      </c>
      <c r="F115" s="13">
        <v>42834.733055555553</v>
      </c>
      <c r="G115" s="7">
        <v>0</v>
      </c>
      <c r="H115" s="21" t="s">
        <v>198</v>
      </c>
      <c r="I115" s="13">
        <v>42834.753391203703</v>
      </c>
      <c r="J115" s="7">
        <v>0</v>
      </c>
      <c r="K115" s="97" t="str">
        <f>IF(ISEVEN(B115),(B115-1)&amp;"/"&amp;B115,B115&amp;"/"&amp;(B115+1))</f>
        <v>4029/4030</v>
      </c>
      <c r="L115" s="21" t="str">
        <f>VLOOKUP(A115,'Trips&amp;Operators'!$C$1:$G$99999,5,FALSE)</f>
        <v>STEWART MICHAEL</v>
      </c>
      <c r="M115" s="6">
        <f>I115-F115</f>
        <v>2.0335648150648922E-2</v>
      </c>
      <c r="N115" s="7"/>
      <c r="O115" s="7"/>
      <c r="P115" s="7">
        <f>24*60*SUM($M115:$M115)</f>
        <v>29.283333336934447</v>
      </c>
      <c r="Q115" s="22"/>
      <c r="R115" s="22" t="s">
        <v>485</v>
      </c>
      <c r="S115" s="31">
        <f>SUM(U115:U115)/IF(AG115="EC",12,1)</f>
        <v>1</v>
      </c>
      <c r="T115" s="46" t="str">
        <f>IF(ISEVEN(LEFT(AD115,4)),"Southbound","NorthBound")</f>
        <v>Southbound</v>
      </c>
      <c r="U115" s="18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2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-04-09T16:34:07-0600',mode:absolute,to:'2017-04-09T19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5" s="183" t="str">
        <f>IF(AA115&lt;IF(AG115="EC",23,5.65),"Y","N")</f>
        <v>Y</v>
      </c>
      <c r="X115" s="183">
        <f>VALUE(LEFT(AD115,4))-VALUE(LEFT(AD114,4))</f>
        <v>1</v>
      </c>
      <c r="Y115" s="62">
        <f>RIGHT(D115,LEN(D115)-4)/10000</f>
        <v>12.786099999999999</v>
      </c>
      <c r="Z115" s="62">
        <f>RIGHT(H115,LEN(H115)-4)/10000</f>
        <v>1.5800000000000002E-2</v>
      </c>
      <c r="AA115" s="62">
        <f>ABS(Z115-Y115)</f>
        <v>12.770299999999999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>IF(LEN(A115)=6,"0"&amp;A115,A115)</f>
        <v>0202-09</v>
      </c>
      <c r="AE115" s="85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s3://rtdc.mdm.uploadarchive.raw/RTDC4029/ "%USERPROFILE%\AppData\Local\Temp\OnboardLogs"\RTDC4029\2017-04-09 --exclude "*" --recursive --include "*20170409*" &amp; "%USERPROFILE%\Documents\GitHub\mrs-test-scripts\Headless Mode &amp; Sideloading\WalkAndUnGZ.bat" "%USERPROFILE%\AppData\Local\Temp\OnboardLogs"\RTDC4029\2017-04-09 &amp; aws s3 cp s3://rtdc.mdm.uploadarchive.raw/RTDC4029/ "%USERPROFILE%\AppData\Local\Temp\OnboardLogs"\RTDC4029\2017-04-10 --exclude "*" --recursive --include "*20170410*" &amp; "%USERPROFILE%\Documents\GitHub\mrs-test-scripts\Headless Mode &amp; Sideloading\WalkAndUnGZ.bat" "%USERPROFILE%\AppData\Local\Temp\OnboardLogs"\RTDC4029\2017-04-10</v>
      </c>
      <c r="AF115" s="82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/stypes="app*4029*20170410*" /stext=" 00:.+((SYSTEM_STATE.+slice.+state.+changed )|(ment ac)|(multiple cpu faults)|(system.+state.+changed )|(\[timeout)|(PRM\|1\|D)|(kpr)|(kdp)|(\|lc)|(penalty))"</v>
      </c>
      <c r="AG115" s="1" t="str">
        <f>IFERROR(IF(VALUE(LEFT(AD115,2))&lt;=2,"EC",IF(OR(VALUE(LEFT(AD115,2))=8,VALUE(LEFT(AD115,2))=18),"NW","Other")),"Other")</f>
        <v>EC</v>
      </c>
      <c r="AH115" s="86" t="str">
        <f t="shared" si="8"/>
        <v>"%USERPROFILE%\Documents\GitHub\eaglep3\Utilities\RefineRTDCRunTimes.py" --tripid 202-09 --locoid 4029 --swversion DE.1.0.9.0 --startMP 204:127861 --initTime 2017-04-09T17:34:07 --startdatetime 2017-04-09T17:35:36 --delay 0 --endMP 204:158 --enddatetime 2017-04-09T18:04:53 --enforcementcount 0 &gt;&gt;C:\Users\stu\Documents\GitHub\eaglep3-reporting\EC\2017-04-09-refined-times.txt</v>
      </c>
      <c r="AI115" s="104" t="str">
        <f t="shared" si="9"/>
        <v>echo {"issue":{"subject":"Onboard in-route failure","project_id":79,"tracker_id":40,"status_id":1,"priority_id":2,"assigned_to_id":23,"start_date":"2017-04-09","description":"","custom_fields":[{"id":1,"name":"Subdivision","value":"EC"},{"id":4,"name":"Milepost","value":"0.0158"},{"id":17,"name":"Train ID","value":"202-09"},{"id":16,"name":"Locomotive ID","value":"4029"},{"id":130,"name":"Impact","value":""},{"id":150,"name":"Time of Event (Mountain Time)","value":"18:04:53"},{"id":151,"name":"Denver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8"/>
      <c r="AL115" s="48"/>
      <c r="AM115" s="150" t="str">
        <f t="shared" si="10"/>
        <v>start /low /b %USERPROFILE%\Documents\GitHub\eaglep3\Utilities\DownloadLogsFromS3.py --loco 4029 --day 2017-04-09</v>
      </c>
      <c r="AN115" s="159" t="str">
        <f t="shared" si="11"/>
        <v>echo {"issue":{"subject":"Onboard in-route failure","project_id":30,"tracker_id":4,"status_id":1,"priority_id":1,"assigned_to_id":10,"start_date":"2017-04-10","description":"","custom_fields":[{"id":30,"name":"Category","value":"Issue"},{"id":3,"name":"Functional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00:04:53"},{"id":29,"name":"Sharepoint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770</v>
      </c>
      <c r="B116" s="7">
        <v>4029</v>
      </c>
      <c r="C116" s="21" t="s">
        <v>215</v>
      </c>
      <c r="D116" s="21" t="s">
        <v>930</v>
      </c>
      <c r="E116" s="13">
        <v>42834.71435185185</v>
      </c>
      <c r="F116" s="13">
        <v>42834.733055555553</v>
      </c>
      <c r="G116" s="7">
        <v>1</v>
      </c>
      <c r="H116" s="21" t="s">
        <v>930</v>
      </c>
      <c r="I116" s="13">
        <v>42834.753391203703</v>
      </c>
      <c r="J116" s="7">
        <v>0</v>
      </c>
      <c r="K116" s="97" t="str">
        <f>IF(ISEVEN(B116),(B116-1)&amp;"/"&amp;B116,B116&amp;"/"&amp;(B116+1))</f>
        <v>4029/4030</v>
      </c>
      <c r="L116" s="21" t="str">
        <f>VLOOKUP(A116,'Trips&amp;Operators'!$C$1:$G$99999,5,FALSE)</f>
        <v>STEWART MICHAEL</v>
      </c>
      <c r="M116" s="6">
        <f>I116-F116</f>
        <v>2.0335648150648922E-2</v>
      </c>
      <c r="N116" s="7"/>
      <c r="O116" s="7"/>
      <c r="P116" s="7"/>
      <c r="Q116" s="22"/>
      <c r="R116" s="22"/>
      <c r="S116" s="31"/>
      <c r="T116" s="46" t="str">
        <f>IF(ISEVEN(LEFT(AD116,4)),"Southbound","NorthBound")</f>
        <v>Southbound</v>
      </c>
      <c r="U116" s="18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0</v>
      </c>
      <c r="V116" s="182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-04-09T16:08:40-0600',mode:absolute,to:'2017-04-09T19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6" s="183" t="str">
        <f>IF(AA116&lt;IF(AG116="EC",23,5.65),"Y","N")</f>
        <v>Y</v>
      </c>
      <c r="X116" s="183">
        <f>VALUE(LEFT(AD116,4))-VALUE(LEFT(AD115,4))</f>
        <v>0</v>
      </c>
      <c r="Y116" s="62">
        <f>RIGHT(D116,LEN(D116)-4)/10000</f>
        <v>23.285799999999998</v>
      </c>
      <c r="Z116" s="62">
        <f>RIGHT(H116,LEN(H116)-4)/10000</f>
        <v>23.285799999999998</v>
      </c>
      <c r="AA116" s="62">
        <f>ABS(Z116-Y116)</f>
        <v>0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>IF(LEN(A116)=6,"0"&amp;A116,A116)</f>
        <v>0202-09</v>
      </c>
      <c r="AE116" s="85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s3://rtdc.mdm.uploadarchive.raw/RTDC4029/ "%USERPROFILE%\AppData\Local\Temp\OnboardLogs"\RTDC4029\2017-04-09 --exclude "*" --recursive --include "*20170409*" &amp; "%USERPROFILE%\Documents\GitHub\mrs-test-scripts\Headless Mode &amp; Sideloading\WalkAndUnGZ.bat" "%USERPROFILE%\AppData\Local\Temp\OnboardLogs"\RTDC4029\2017-04-09 &amp; aws s3 cp s3://rtdc.mdm.uploadarchive.raw/RTDC4029/ "%USERPROFILE%\AppData\Local\Temp\OnboardLogs"\RTDC4029\2017-04-10 --exclude "*" --recursive --include "*20170410*" &amp; "%USERPROFILE%\Documents\GitHub\mrs-test-scripts\Headless Mode &amp; Sideloading\WalkAndUnGZ.bat" "%USERPROFILE%\AppData\Local\Temp\OnboardLogs"\RTDC4029\2017-04-10</v>
      </c>
      <c r="AF116" s="82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/stypes="app*4029*20170410*" /stext=" 00:.+((SYSTEM_STATE.+slice.+state.+changed )|(ment ac)|(multiple cpu faults)|(system.+state.+changed )|(\[timeout)|(PRM\|1\|D)|(kpr)|(kdp)|(\|lc)|(penalty))"</v>
      </c>
      <c r="AG116" s="1" t="str">
        <f>IFERROR(IF(VALUE(LEFT(AD116,2))&lt;=2,"EC",IF(OR(VALUE(LEFT(AD116,2))=8,VALUE(LEFT(AD116,2))=18),"NW","Other")),"Other")</f>
        <v>EC</v>
      </c>
      <c r="AH116" s="86" t="str">
        <f t="shared" si="8"/>
        <v>"%USERPROFILE%\Documents\GitHub\eaglep3\Utilities\RefineRTDCRunTimes.py" --tripid 202-09 --locoid 4029 --swversion DE.1.0.9.0 --startMP 204:232858 --initTime 2017-04-09T17:08:40 --startdatetime 2017-04-09T17:35:36 --delay 1 --endMP 204:232858 --enddatetime 2017-04-09T18:04:53 --enforcementcount 0 &gt;&gt;C:\Users\stu\Documents\GitHub\eaglep3-reporting\EC\2017-04-09-refined-times.txt</v>
      </c>
      <c r="AI116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{"issue":{"subject":"","project_id":79,"tracker_id":40,"status_id":1,"priority_id":2,"assigned_to_id":23,"start_date":"2017-04-09","description":"","custom_fields":[{"id":1,"name":"Subdivision","value":"EC"},{"id":4,"name":"Milepost","value":"23.2858"},{"id":17,"name":"Train ID","value":"202-09"},{"id":16,"name":"Locomotive ID","value":"4029"},{"id":130,"name":"Impact","value":""},{"id":150,"name":"Time of Event (Mountain Time)","value":"18:04:53"},{"id":151,"name":"Denver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8"/>
      <c r="AL116" s="48"/>
      <c r="AM116" s="150" t="str">
        <f t="shared" si="10"/>
        <v>start /low /b %USERPROFILE%\Documents\GitHub\eaglep3\Utilities\DownloadLogsFromS3.py --loco 4029 --day 2017-04-09</v>
      </c>
      <c r="AN116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00:04:53"},{"id":29,"name":"Sharepoint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770</v>
      </c>
      <c r="B117" s="7">
        <v>4029</v>
      </c>
      <c r="C117" s="21" t="s">
        <v>215</v>
      </c>
      <c r="D117" s="21" t="s">
        <v>930</v>
      </c>
      <c r="E117" s="13">
        <v>42834.71435185185</v>
      </c>
      <c r="F117" s="13">
        <v>42834.733055555553</v>
      </c>
      <c r="G117" s="7">
        <v>3</v>
      </c>
      <c r="H117" s="21" t="s">
        <v>930</v>
      </c>
      <c r="I117" s="13">
        <v>42834.753391203703</v>
      </c>
      <c r="J117" s="7">
        <v>0</v>
      </c>
      <c r="K117" s="97" t="str">
        <f>IF(ISEVEN(B117),(B117-1)&amp;"/"&amp;B117,B117&amp;"/"&amp;(B117+1))</f>
        <v>4029/4030</v>
      </c>
      <c r="L117" s="21" t="str">
        <f>VLOOKUP(A117,'Trips&amp;Operators'!$C$1:$G$99999,5,FALSE)</f>
        <v>STEWART MICHAEL</v>
      </c>
      <c r="M117" s="6">
        <f>I117-F117</f>
        <v>2.0335648150648922E-2</v>
      </c>
      <c r="N117" s="7"/>
      <c r="O117" s="7"/>
      <c r="P117" s="7"/>
      <c r="Q117" s="22"/>
      <c r="R117" s="22"/>
      <c r="S117" s="31"/>
      <c r="T117" s="46" t="str">
        <f>IF(ISEVEN(LEFT(AD117,4)),"Southbound","NorthBound")</f>
        <v>Southbound</v>
      </c>
      <c r="U117" s="18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0</v>
      </c>
      <c r="V117" s="182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-04-09T16:08:40-0600',mode:absolute,to:'2017-04-09T19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7" s="183" t="str">
        <f>IF(AA117&lt;IF(AG117="EC",23,5.65),"Y","N")</f>
        <v>Y</v>
      </c>
      <c r="X117" s="183">
        <f>VALUE(LEFT(AD117,4))-VALUE(LEFT(AD116,4))</f>
        <v>0</v>
      </c>
      <c r="Y117" s="62">
        <f>RIGHT(D117,LEN(D117)-4)/10000</f>
        <v>23.285799999999998</v>
      </c>
      <c r="Z117" s="62">
        <f>RIGHT(H117,LEN(H117)-4)/10000</f>
        <v>23.285799999999998</v>
      </c>
      <c r="AA117" s="62">
        <f>ABS(Z117-Y117)</f>
        <v>0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>IF(LEN(A117)=6,"0"&amp;A117,A117)</f>
        <v>0202-09</v>
      </c>
      <c r="AE117" s="85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s3://rtdc.mdm.uploadarchive.raw/RTDC4029/ "%USERPROFILE%\AppData\Local\Temp\OnboardLogs"\RTDC4029\2017-04-09 --exclude "*" --recursive --include "*20170409*" &amp; "%USERPROFILE%\Documents\GitHub\mrs-test-scripts\Headless Mode &amp; Sideloading\WalkAndUnGZ.bat" "%USERPROFILE%\AppData\Local\Temp\OnboardLogs"\RTDC4029\2017-04-09 &amp; aws s3 cp s3://rtdc.mdm.uploadarchive.raw/RTDC4029/ "%USERPROFILE%\AppData\Local\Temp\OnboardLogs"\RTDC4029\2017-04-10 --exclude "*" --recursive --include "*20170410*" &amp; "%USERPROFILE%\Documents\GitHub\mrs-test-scripts\Headless Mode &amp; Sideloading\WalkAndUnGZ.bat" "%USERPROFILE%\AppData\Local\Temp\OnboardLogs"\RTDC4029\2017-04-10</v>
      </c>
      <c r="AF117" s="82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/stypes="app*4029*20170410*" /stext=" 00:.+((SYSTEM_STATE.+slice.+state.+changed )|(ment ac)|(multiple cpu faults)|(system.+state.+changed )|(\[timeout)|(PRM\|1\|D)|(kpr)|(kdp)|(\|lc)|(penalty))"</v>
      </c>
      <c r="AG117" s="1" t="str">
        <f>IFERROR(IF(VALUE(LEFT(AD117,2))&lt;=2,"EC",IF(OR(VALUE(LEFT(AD117,2))=8,VALUE(LEFT(AD117,2))=18),"NW","Other")),"Other")</f>
        <v>EC</v>
      </c>
      <c r="AH117" s="86" t="str">
        <f t="shared" si="8"/>
        <v>"%USERPROFILE%\Documents\GitHub\eaglep3\Utilities\RefineRTDCRunTimes.py" --tripid 202-09 --locoid 4029 --swversion DE.1.0.9.0 --startMP 204:232858 --initTime 2017-04-09T17:08:40 --startdatetime 2017-04-09T17:35:36 --delay 3 --endMP 204:232858 --enddatetime 2017-04-09T18:04:53 --enforcementcount 0 &gt;&gt;C:\Users\stu\Documents\GitHub\eaglep3-reporting\EC\2017-04-09-refined-times.txt</v>
      </c>
      <c r="AI117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{"issue":{"subject":"","project_id":79,"tracker_id":40,"status_id":1,"priority_id":2,"assigned_to_id":23,"start_date":"2017-04-09","description":"","custom_fields":[{"id":1,"name":"Subdivision","value":"EC"},{"id":4,"name":"Milepost","value":"23.2858"},{"id":17,"name":"Train ID","value":"202-09"},{"id":16,"name":"Locomotive ID","value":"4029"},{"id":130,"name":"Impact","value":""},{"id":150,"name":"Time of Event (Mountain Time)","value":"18:04:53"},{"id":151,"name":"Denver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8"/>
      <c r="AL117" s="48"/>
      <c r="AM117" s="150" t="str">
        <f t="shared" si="10"/>
        <v>start /low /b %USERPROFILE%\Documents\GitHub\eaglep3\Utilities\DownloadLogsFromS3.py --loco 4029 --day 2017-04-09</v>
      </c>
      <c r="AN117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00:04:53"},{"id":29,"name":"Sharepoint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764</v>
      </c>
      <c r="B118" s="7">
        <v>4004</v>
      </c>
      <c r="C118" s="21" t="s">
        <v>215</v>
      </c>
      <c r="D118" s="21" t="s">
        <v>528</v>
      </c>
      <c r="E118" s="13">
        <v>42834.688310185185</v>
      </c>
      <c r="F118" s="13">
        <v>42834.689722222225</v>
      </c>
      <c r="G118" s="7">
        <v>1</v>
      </c>
      <c r="H118" s="21" t="s">
        <v>931</v>
      </c>
      <c r="I118" s="13">
        <v>42834.720104166663</v>
      </c>
      <c r="J118" s="7">
        <v>0</v>
      </c>
      <c r="K118" s="97" t="str">
        <f>IF(ISEVEN(B118),(B118-1)&amp;"/"&amp;B118,B118&amp;"/"&amp;(B118+1))</f>
        <v>4003/4004</v>
      </c>
      <c r="L118" s="21" t="str">
        <f>VLOOKUP(A118,'Trips&amp;Operators'!$C$1:$G$99999,5,FALSE)</f>
        <v>DAVIS MICHAEL</v>
      </c>
      <c r="M118" s="6">
        <f>I118-F118</f>
        <v>3.0381944437976927E-2</v>
      </c>
      <c r="N118" s="7">
        <f>24*60*SUM($M118:$M118)</f>
        <v>43.749999990686774</v>
      </c>
      <c r="O118" s="7"/>
      <c r="P118" s="7"/>
      <c r="Q118" s="22"/>
      <c r="R118" s="22"/>
      <c r="S118" s="31">
        <f>SUM(U118:U118)/IF(AG118="EC",12,1)</f>
        <v>1</v>
      </c>
      <c r="T118" s="46" t="str">
        <f>IF(ISEVEN(LEFT(AD118,4)),"Southbound","NorthBound")</f>
        <v>NorthBound</v>
      </c>
      <c r="U118" s="18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2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-04-09T15:31:10-0600',mode:absolute,to:'2017-04-09T18:16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8" s="183" t="str">
        <f>IF(AA118&lt;IF(AG118="EC",23,5.65),"Y","N")</f>
        <v>N</v>
      </c>
      <c r="X118" s="183">
        <f>VALUE(LEFT(AD118,4))-VALUE(LEFT(AD117,4))</f>
        <v>1</v>
      </c>
      <c r="Y118" s="62">
        <f>RIGHT(D118,LEN(D118)-4)/10000</f>
        <v>4.6399999999999997E-2</v>
      </c>
      <c r="Z118" s="62">
        <f>RIGHT(H118,LEN(H118)-4)/10000</f>
        <v>23.332000000000001</v>
      </c>
      <c r="AA118" s="62">
        <f>ABS(Z118-Y118)</f>
        <v>23.285600000000002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>IF(LEN(A118)=6,"0"&amp;A118,A118)</f>
        <v>0203-09</v>
      </c>
      <c r="AE118" s="85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s3://rtdc.mdm.uploadarchive.raw/RTDC4004/ "%USERPROFILE%\AppData\Local\Temp\OnboardLogs"\RTDC4004\2017-04-09 --exclude "*" --recursive --include "*20170409*" &amp; "%USERPROFILE%\Documents\GitHub\mrs-test-scripts\Headless Mode &amp; Sideloading\WalkAndUnGZ.bat" "%USERPROFILE%\AppData\Local\Temp\OnboardLogs"\RTDC4004\2017-04-09 &amp; aws s3 cp s3://rtdc.mdm.uploadarchive.raw/RTDC4004/ "%USERPROFILE%\AppData\Local\Temp\OnboardLogs"\RTDC4004\2017-04-10 --exclude "*" --recursive --include "*20170410*" &amp; "%USERPROFILE%\Documents\GitHub\mrs-test-scripts\Headless Mode &amp; Sideloading\WalkAndUnGZ.bat" "%USERPROFILE%\AppData\Local\Temp\OnboardLogs"\RTDC4004\2017-04-10</v>
      </c>
      <c r="AF118" s="82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/stypes="app*4004*20170409*" /stext=" 23:.+((SYSTEM_STATE.+slice.+state.+changed )|(ment ac)|(multiple cpu faults)|(system.+state.+changed )|(\[timeout)|(PRM\|1\|D)|(kpr)|(kdp)|(\|lc)|(penalty))"</v>
      </c>
      <c r="AG118" s="1" t="str">
        <f>IFERROR(IF(VALUE(LEFT(AD118,2))&lt;=2,"EC",IF(OR(VALUE(LEFT(AD118,2))=8,VALUE(LEFT(AD118,2))=18),"NW","Other")),"Other")</f>
        <v>EC</v>
      </c>
      <c r="AH118" s="86" t="str">
        <f t="shared" si="8"/>
        <v>"%USERPROFILE%\Documents\GitHub\eaglep3\Utilities\RefineRTDCRunTimes.py" --tripid 203-09 --locoid 4004 --swversion DE.1.0.9.0 --startMP 204:464 --initTime 2017-04-09T16:31:10 --startdatetime 2017-04-09T16:33:12 --delay 1 --endMP 204:233320 --enddatetime 2017-04-09T17:16:57 --enforcementcount 0 &gt;&gt;C:\Users\stu\Documents\GitHub\eaglep3-reporting\EC\2017-04-09-refined-times.txt</v>
      </c>
      <c r="AI118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{"issue":{"subject":"","project_id":79,"tracker_id":40,"status_id":1,"priority_id":2,"assigned_to_id":23,"start_date":"2017-04-09","description":"","custom_fields":[{"id":1,"name":"Subdivision","value":"EC"},{"id":4,"name":"Milepost","value":"23.332"},{"id":17,"name":"Train ID","value":"203-09"},{"id":16,"name":"Locomotive ID","value":"4004"},{"id":130,"name":"Impact","value":""},{"id":150,"name":"Time of Event (Mountain Time)","value":"17:16:57"},{"id":151,"name":"Denver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8"/>
      <c r="AL118" s="48"/>
      <c r="AM118" s="150" t="str">
        <f t="shared" si="10"/>
        <v>start /low /b %USERPROFILE%\Documents\GitHub\eaglep3\Utilities\DownloadLogsFromS3.py --loco 4004 --day 2017-04-09</v>
      </c>
      <c r="AN118" s="159" t="str">
        <f t="shared" si="11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23:16:57"},{"id":29,"name":"Sharepoint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773</v>
      </c>
      <c r="B119" s="7">
        <v>4003</v>
      </c>
      <c r="C119" s="21" t="s">
        <v>215</v>
      </c>
      <c r="D119" s="21" t="s">
        <v>402</v>
      </c>
      <c r="E119" s="13">
        <v>42834.724699074075</v>
      </c>
      <c r="F119" s="13">
        <v>42834.726805555554</v>
      </c>
      <c r="G119" s="7">
        <v>1</v>
      </c>
      <c r="H119" s="21" t="s">
        <v>407</v>
      </c>
      <c r="I119" s="13">
        <v>42834.760370370372</v>
      </c>
      <c r="J119" s="7">
        <v>0</v>
      </c>
      <c r="K119" s="97" t="str">
        <f>IF(ISEVEN(B119),(B119-1)&amp;"/"&amp;B119,B119&amp;"/"&amp;(B119+1))</f>
        <v>4003/4004</v>
      </c>
      <c r="L119" s="21" t="str">
        <f>VLOOKUP(A119,'Trips&amp;Operators'!$C$1:$G$99999,5,FALSE)</f>
        <v>DAVIS MICHAEL</v>
      </c>
      <c r="M119" s="6">
        <f>I119-F119</f>
        <v>3.3564814817509614E-2</v>
      </c>
      <c r="N119" s="7">
        <f>24*60*SUM($M119:$M119)</f>
        <v>48.333333337213844</v>
      </c>
      <c r="O119" s="7"/>
      <c r="P119" s="7"/>
      <c r="Q119" s="22"/>
      <c r="R119" s="22"/>
      <c r="S119" s="31">
        <f>SUM(U119:U119)/IF(AG119="EC",12,1)</f>
        <v>1</v>
      </c>
      <c r="T119" s="46" t="str">
        <f>IF(ISEVEN(LEFT(AD119,4)),"Southbound","NorthBound")</f>
        <v>Southbound</v>
      </c>
      <c r="U119" s="18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2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-04-09T16:23:34-0600',mode:absolute,to:'2017-04-09T19:14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9" s="183" t="str">
        <f>IF(AA119&lt;IF(AG119="EC",23,5.65),"Y","N")</f>
        <v>N</v>
      </c>
      <c r="X119" s="183">
        <f>VALUE(LEFT(AD119,4))-VALUE(LEFT(AD118,4))</f>
        <v>1</v>
      </c>
      <c r="Y119" s="62">
        <f>RIGHT(D119,LEN(D119)-4)/10000</f>
        <v>23.299399999999999</v>
      </c>
      <c r="Z119" s="62">
        <f>RIGHT(H119,LEN(H119)-4)/10000</f>
        <v>1.3899999999999999E-2</v>
      </c>
      <c r="AA119" s="62">
        <f>ABS(Z119-Y119)</f>
        <v>23.285499999999999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>IF(LEN(A119)=6,"0"&amp;A119,A119)</f>
        <v>0204-09</v>
      </c>
      <c r="AE119" s="85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s3://rtdc.mdm.uploadarchive.raw/RTDC4003/ "%USERPROFILE%\AppData\Local\Temp\OnboardLogs"\RTDC4003\2017-04-09 --exclude "*" --recursive --include "*20170409*" &amp; "%USERPROFILE%\Documents\GitHub\mrs-test-scripts\Headless Mode &amp; Sideloading\WalkAndUnGZ.bat" "%USERPROFILE%\AppData\Local\Temp\OnboardLogs"\RTDC4003\2017-04-09 &amp; aws s3 cp s3://rtdc.mdm.uploadarchive.raw/RTDC4003/ "%USERPROFILE%\AppData\Local\Temp\OnboardLogs"\RTDC4003\2017-04-10 --exclude "*" --recursive --include "*20170410*" &amp; "%USERPROFILE%\Documents\GitHub\mrs-test-scripts\Headless Mode &amp; Sideloading\WalkAndUnGZ.bat" "%USERPROFILE%\AppData\Local\Temp\OnboardLogs"\RTDC4003\2017-04-10</v>
      </c>
      <c r="AF119" s="82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/stypes="app*4003*20170410*" /stext=" 00:.+((SYSTEM_STATE.+slice.+state.+changed )|(ment ac)|(multiple cpu faults)|(system.+state.+changed )|(\[timeout)|(PRM\|1\|D)|(kpr)|(kdp)|(\|lc)|(penalty))"</v>
      </c>
      <c r="AG119" s="1" t="str">
        <f>IFERROR(IF(VALUE(LEFT(AD119,2))&lt;=2,"EC",IF(OR(VALUE(LEFT(AD119,2))=8,VALUE(LEFT(AD119,2))=18),"NW","Other")),"Other")</f>
        <v>EC</v>
      </c>
      <c r="AH119" s="86" t="str">
        <f t="shared" si="8"/>
        <v>"%USERPROFILE%\Documents\GitHub\eaglep3\Utilities\RefineRTDCRunTimes.py" --tripid 204-09 --locoid 4003 --swversion DE.1.0.9.0 --startMP 204:232994 --initTime 2017-04-09T17:23:34 --startdatetime 2017-04-09T17:26:36 --delay 1 --endMP 204:139 --enddatetime 2017-04-09T18:14:56 --enforcementcount 0 &gt;&gt;C:\Users\stu\Documents\GitHub\eaglep3-reporting\EC\2017-04-09-refined-times.txt</v>
      </c>
      <c r="AI119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{"issue":{"subject":"","project_id":79,"tracker_id":40,"status_id":1,"priority_id":2,"assigned_to_id":23,"start_date":"2017-04-09","description":"","custom_fields":[{"id":1,"name":"Subdivision","value":"EC"},{"id":4,"name":"Milepost","value":"0.0139"},{"id":17,"name":"Train ID","value":"204-09"},{"id":16,"name":"Locomotive ID","value":"4003"},{"id":130,"name":"Impact","value":""},{"id":150,"name":"Time of Event (Mountain Time)","value":"18:14:56"},{"id":151,"name":"Denver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8"/>
      <c r="AL119" s="48"/>
      <c r="AM119" s="150" t="str">
        <f t="shared" si="10"/>
        <v>start /low /b %USERPROFILE%\Documents\GitHub\eaglep3\Utilities\DownloadLogsFromS3.py --loco 4003 --day 2017-04-09</v>
      </c>
      <c r="AN119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00:14:56"},{"id":29,"name":"Sharepoint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767</v>
      </c>
      <c r="B120" s="7">
        <v>4046</v>
      </c>
      <c r="C120" s="21" t="s">
        <v>215</v>
      </c>
      <c r="D120" s="21" t="s">
        <v>840</v>
      </c>
      <c r="E120" s="13">
        <v>42834.695671296293</v>
      </c>
      <c r="F120" s="13">
        <v>42834.698171296295</v>
      </c>
      <c r="G120" s="7">
        <v>1</v>
      </c>
      <c r="H120" s="21" t="s">
        <v>932</v>
      </c>
      <c r="I120" s="13">
        <v>42834.724421296298</v>
      </c>
      <c r="J120" s="7">
        <v>0</v>
      </c>
      <c r="K120" s="97" t="str">
        <f>IF(ISEVEN(B120),(B120-1)&amp;"/"&amp;B120,B120&amp;"/"&amp;(B120+1))</f>
        <v>4045/4046</v>
      </c>
      <c r="L120" s="21" t="str">
        <f>VLOOKUP(A120,'Trips&amp;Operators'!$C$1:$G$99999,5,FALSE)</f>
        <v>LEVIN SCOTT</v>
      </c>
      <c r="M120" s="6">
        <f>I120-F120</f>
        <v>2.6250000002619345E-2</v>
      </c>
      <c r="N120" s="7">
        <f>24*60*SUM($M120:$M120)</f>
        <v>37.800000003771856</v>
      </c>
      <c r="O120" s="7"/>
      <c r="P120" s="7"/>
      <c r="Q120" s="22"/>
      <c r="R120" s="22"/>
      <c r="S120" s="31">
        <f>SUM(U120:U120)/IF(AG120="EC",12,1)</f>
        <v>1</v>
      </c>
      <c r="T120" s="46" t="str">
        <f>IF(ISEVEN(LEFT(AD120,4)),"Southbound","NorthBound")</f>
        <v>NorthBound</v>
      </c>
      <c r="U120" s="18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2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-04-09T15:41:46-0600',mode:absolute,to:'2017-04-09T18:23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0" s="183" t="str">
        <f>IF(AA120&lt;IF(AG120="EC",23,5.65),"Y","N")</f>
        <v>N</v>
      </c>
      <c r="X120" s="183">
        <f>VALUE(LEFT(AD120,4))-VALUE(LEFT(AD119,4))</f>
        <v>1</v>
      </c>
      <c r="Y120" s="62">
        <f>RIGHT(D120,LEN(D120)-4)/10000</f>
        <v>4.3799999999999999E-2</v>
      </c>
      <c r="Z120" s="62">
        <f>RIGHT(H120,LEN(H120)-4)/10000</f>
        <v>23.336400000000001</v>
      </c>
      <c r="AA120" s="62">
        <f>ABS(Z120-Y120)</f>
        <v>23.2926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>IF(LEN(A120)=6,"0"&amp;A120,A120)</f>
        <v>0205-09</v>
      </c>
      <c r="AE120" s="85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s3://rtdc.mdm.uploadarchive.raw/RTDC4046/ "%USERPROFILE%\AppData\Local\Temp\OnboardLogs"\RTDC4046\2017-04-09 --exclude "*" --recursive --include "*20170409*" &amp; "%USERPROFILE%\Documents\GitHub\mrs-test-scripts\Headless Mode &amp; Sideloading\WalkAndUnGZ.bat" "%USERPROFILE%\AppData\Local\Temp\OnboardLogs"\RTDC4046\2017-04-09 &amp; aws s3 cp s3://rtdc.mdm.uploadarchive.raw/RTDC4046/ "%USERPROFILE%\AppData\Local\Temp\OnboardLogs"\RTDC4046\2017-04-10 --exclude "*" --recursive --include "*20170410*" &amp; "%USERPROFILE%\Documents\GitHub\mrs-test-scripts\Headless Mode &amp; Sideloading\WalkAndUnGZ.bat" "%USERPROFILE%\AppData\Local\Temp\OnboardLogs"\RTDC4046\2017-04-10</v>
      </c>
      <c r="AF120" s="82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/stypes="app*4046*20170409*" /stext=" 23:.+((SYSTEM_STATE.+slice.+state.+changed )|(ment ac)|(multiple cpu faults)|(system.+state.+changed )|(\[timeout)|(PRM\|1\|D)|(kpr)|(kdp)|(\|lc)|(penalty))"</v>
      </c>
      <c r="AG120" s="1" t="str">
        <f>IFERROR(IF(VALUE(LEFT(AD120,2))&lt;=2,"EC",IF(OR(VALUE(LEFT(AD120,2))=8,VALUE(LEFT(AD120,2))=18),"NW","Other")),"Other")</f>
        <v>EC</v>
      </c>
      <c r="AH120" s="86" t="str">
        <f t="shared" si="8"/>
        <v>"%USERPROFILE%\Documents\GitHub\eaglep3\Utilities\RefineRTDCRunTimes.py" --tripid 205-09 --locoid 4046 --swversion DE.1.0.9.0 --startMP 204:438 --initTime 2017-04-09T16:41:46 --startdatetime 2017-04-09T16:45:22 --delay 1 --endMP 204:233364 --enddatetime 2017-04-09T17:23:10 --enforcementcount 0 &gt;&gt;C:\Users\stu\Documents\GitHub\eaglep3-reporting\EC\2017-04-09-refined-times.txt</v>
      </c>
      <c r="AI120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{"issue":{"subject":"","project_id":79,"tracker_id":40,"status_id":1,"priority_id":2,"assigned_to_id":23,"start_date":"2017-04-09","description":"","custom_fields":[{"id":1,"name":"Subdivision","value":"EC"},{"id":4,"name":"Milepost","value":"23.3364"},{"id":17,"name":"Train ID","value":"205-09"},{"id":16,"name":"Locomotive ID","value":"4046"},{"id":130,"name":"Impact","value":""},{"id":150,"name":"Time of Event (Mountain Time)","value":"17:23:10"},{"id":151,"name":"Denver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8"/>
      <c r="AL120" s="48"/>
      <c r="AM120" s="150" t="str">
        <f t="shared" si="10"/>
        <v>start /low /b %USERPROFILE%\Documents\GitHub\eaglep3\Utilities\DownloadLogsFromS3.py --loco 4046 --day 2017-04-09</v>
      </c>
      <c r="AN120" s="159" t="str">
        <f t="shared" si="11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23:23:10"},{"id":29,"name":"Sharepoint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619</v>
      </c>
      <c r="B121" s="7">
        <v>4045</v>
      </c>
      <c r="C121" s="21" t="s">
        <v>215</v>
      </c>
      <c r="D121" s="21" t="s">
        <v>933</v>
      </c>
      <c r="E121" s="13">
        <v>42834.730729166666</v>
      </c>
      <c r="F121" s="13">
        <v>42834.737037037034</v>
      </c>
      <c r="G121" s="7">
        <v>1</v>
      </c>
      <c r="H121" s="21" t="s">
        <v>518</v>
      </c>
      <c r="I121" s="13">
        <v>42834.765150462961</v>
      </c>
      <c r="J121" s="7">
        <v>0</v>
      </c>
      <c r="K121" s="97" t="str">
        <f>IF(ISEVEN(B121),(B121-1)&amp;"/"&amp;B121,B121&amp;"/"&amp;(B121+1))</f>
        <v>4045/4046</v>
      </c>
      <c r="L121" s="21" t="str">
        <f>VLOOKUP(A121,'Trips&amp;Operators'!$C$1:$G$99999,5,FALSE)</f>
        <v>LEVIN SCOTT</v>
      </c>
      <c r="M121" s="6">
        <f>I121-F121</f>
        <v>2.8113425927585922E-2</v>
      </c>
      <c r="N121" s="7">
        <f>24*60*SUM($M121:$M121)</f>
        <v>40.483333335723728</v>
      </c>
      <c r="O121" s="7"/>
      <c r="P121" s="7"/>
      <c r="Q121" s="22"/>
      <c r="R121" s="22"/>
      <c r="S121" s="31">
        <f>SUM(U121:U121)/IF(AG121="EC",12,1)</f>
        <v>1</v>
      </c>
      <c r="T121" s="46" t="str">
        <f>IF(ISEVEN(LEFT(AD121,4)),"Southbound","NorthBound")</f>
        <v>Southbound</v>
      </c>
      <c r="U121" s="18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2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-04-09T16:32:15-0600',mode:absolute,to:'2017-04-09T19:21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1" s="183" t="str">
        <f>IF(AA121&lt;IF(AG121="EC",23,5.65),"Y","N")</f>
        <v>N</v>
      </c>
      <c r="X121" s="183">
        <f>VALUE(LEFT(AD121,4))-VALUE(LEFT(AD120,4))</f>
        <v>1</v>
      </c>
      <c r="Y121" s="62">
        <f>RIGHT(D121,LEN(D121)-4)/10000</f>
        <v>23.306000000000001</v>
      </c>
      <c r="Z121" s="62">
        <f>RIGHT(H121,LEN(H121)-4)/10000</f>
        <v>1.3599999999999999E-2</v>
      </c>
      <c r="AA121" s="62">
        <f>ABS(Z121-Y121)</f>
        <v>23.292400000000001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>IF(LEN(A121)=6,"0"&amp;A121,A121)</f>
        <v>0206-09</v>
      </c>
      <c r="AE121" s="85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s3://rtdc.mdm.uploadarchive.raw/RTDC4045/ "%USERPROFILE%\AppData\Local\Temp\OnboardLogs"\RTDC4045\2017-04-09 --exclude "*" --recursive --include "*20170409*" &amp; "%USERPROFILE%\Documents\GitHub\mrs-test-scripts\Headless Mode &amp; Sideloading\WalkAndUnGZ.bat" "%USERPROFILE%\AppData\Local\Temp\OnboardLogs"\RTDC4045\2017-04-09 &amp; aws s3 cp s3://rtdc.mdm.uploadarchive.raw/RTDC4045/ "%USERPROFILE%\AppData\Local\Temp\OnboardLogs"\RTDC4045\2017-04-10 --exclude "*" --recursive --include "*20170410*" &amp; "%USERPROFILE%\Documents\GitHub\mrs-test-scripts\Headless Mode &amp; Sideloading\WalkAndUnGZ.bat" "%USERPROFILE%\AppData\Local\Temp\OnboardLogs"\RTDC4045\2017-04-10</v>
      </c>
      <c r="AF121" s="82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/stypes="app*4045*20170410*" /stext=" 00:.+((SYSTEM_STATE.+slice.+state.+changed )|(ment ac)|(multiple cpu faults)|(system.+state.+changed )|(\[timeout)|(PRM\|1\|D)|(kpr)|(kdp)|(\|lc)|(penalty))"</v>
      </c>
      <c r="AG121" s="1" t="str">
        <f>IFERROR(IF(VALUE(LEFT(AD121,2))&lt;=2,"EC",IF(OR(VALUE(LEFT(AD121,2))=8,VALUE(LEFT(AD121,2))=18),"NW","Other")),"Other")</f>
        <v>EC</v>
      </c>
      <c r="AH121" s="86" t="str">
        <f t="shared" si="8"/>
        <v>"%USERPROFILE%\Documents\GitHub\eaglep3\Utilities\RefineRTDCRunTimes.py" --tripid 206-09 --locoid 4045 --swversion DE.1.0.9.0 --startMP 204:233060 --initTime 2017-04-09T17:32:15 --startdatetime 2017-04-09T17:41:20 --delay 1 --endMP 204:136 --enddatetime 2017-04-09T18:21:49 --enforcementcount 0 &gt;&gt;C:\Users\stu\Documents\GitHub\eaglep3-reporting\EC\2017-04-09-refined-times.txt</v>
      </c>
      <c r="AI121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{"issue":{"subject":"","project_id":79,"tracker_id":40,"status_id":1,"priority_id":2,"assigned_to_id":23,"start_date":"2017-04-09","description":"","custom_fields":[{"id":1,"name":"Subdivision","value":"EC"},{"id":4,"name":"Milepost","value":"0.0136"},{"id":17,"name":"Train ID","value":"206-09"},{"id":16,"name":"Locomotive ID","value":"4045"},{"id":130,"name":"Impact","value":""},{"id":150,"name":"Time of Event (Mountain Time)","value":"18:21:49"},{"id":151,"name":"Denver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8"/>
      <c r="AL121" s="48"/>
      <c r="AM121" s="150" t="str">
        <f t="shared" si="10"/>
        <v>start /low /b %USERPROFILE%\Documents\GitHub\eaglep3\Utilities\DownloadLogsFromS3.py --loco 4045 --day 2017-04-09</v>
      </c>
      <c r="AN121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00:21:49"},{"id":29,"name":"Sharepoint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769</v>
      </c>
      <c r="B122" s="7">
        <v>4044</v>
      </c>
      <c r="C122" s="21" t="s">
        <v>215</v>
      </c>
      <c r="D122" s="21" t="s">
        <v>934</v>
      </c>
      <c r="E122" s="13">
        <v>42834.705949074072</v>
      </c>
      <c r="F122" s="13">
        <v>42834.708518518521</v>
      </c>
      <c r="G122" s="7">
        <v>1</v>
      </c>
      <c r="H122" s="21" t="s">
        <v>885</v>
      </c>
      <c r="I122" s="13">
        <v>42834.735405092593</v>
      </c>
      <c r="J122" s="7">
        <v>0</v>
      </c>
      <c r="K122" s="97" t="str">
        <f>IF(ISEVEN(B122),(B122-1)&amp;"/"&amp;B122,B122&amp;"/"&amp;(B122+1))</f>
        <v>4043/4044</v>
      </c>
      <c r="L122" s="21" t="str">
        <f>VLOOKUP(A122,'Trips&amp;Operators'!$C$1:$G$99999,5,FALSE)</f>
        <v>BRUDER RICHARD</v>
      </c>
      <c r="M122" s="6">
        <f>I122-F122</f>
        <v>2.6886574072705116E-2</v>
      </c>
      <c r="N122" s="7">
        <f>24*60*SUM($M122:$M122)</f>
        <v>38.716666664695367</v>
      </c>
      <c r="O122" s="7"/>
      <c r="P122" s="7"/>
      <c r="Q122" s="22"/>
      <c r="R122" s="22"/>
      <c r="S122" s="31">
        <f>SUM(U122:U122)/IF(AG122="EC",12,1)</f>
        <v>1</v>
      </c>
      <c r="T122" s="46" t="str">
        <f>IF(ISEVEN(LEFT(AD122,4)),"Southbound","NorthBound")</f>
        <v>NorthBound</v>
      </c>
      <c r="U122" s="18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2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-04-09T15:56:34-0600',mode:absolute,to:'2017-04-09T18:38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2" s="183" t="str">
        <f>IF(AA122&lt;IF(AG122="EC",23,5.65),"Y","N")</f>
        <v>N</v>
      </c>
      <c r="X122" s="183">
        <f>VALUE(LEFT(AD122,4))-VALUE(LEFT(AD121,4))</f>
        <v>1</v>
      </c>
      <c r="Y122" s="62">
        <f>RIGHT(D122,LEN(D122)-4)/10000</f>
        <v>4.4699999999999997E-2</v>
      </c>
      <c r="Z122" s="62">
        <f>RIGHT(H122,LEN(H122)-4)/10000</f>
        <v>23.330100000000002</v>
      </c>
      <c r="AA122" s="62">
        <f>ABS(Z122-Y122)</f>
        <v>23.285400000000003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>IF(LEN(A122)=6,"0"&amp;A122,A122)</f>
        <v>0207-09</v>
      </c>
      <c r="AE122" s="85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s3://rtdc.mdm.uploadarchive.raw/RTDC4044/ "%USERPROFILE%\AppData\Local\Temp\OnboardLogs"\RTDC4044\2017-04-09 --exclude "*" --recursive --include "*20170409*" &amp; "%USERPROFILE%\Documents\GitHub\mrs-test-scripts\Headless Mode &amp; Sideloading\WalkAndUnGZ.bat" "%USERPROFILE%\AppData\Local\Temp\OnboardLogs"\RTDC4044\2017-04-09 &amp; aws s3 cp s3://rtdc.mdm.uploadarchive.raw/RTDC4044/ "%USERPROFILE%\AppData\Local\Temp\OnboardLogs"\RTDC4044\2017-04-10 --exclude "*" --recursive --include "*20170410*" &amp; "%USERPROFILE%\Documents\GitHub\mrs-test-scripts\Headless Mode &amp; Sideloading\WalkAndUnGZ.bat" "%USERPROFILE%\AppData\Local\Temp\OnboardLogs"\RTDC4044\2017-04-10</v>
      </c>
      <c r="AF122" s="82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/stypes="app*4044*20170409*" /stext=" 23:.+((SYSTEM_STATE.+slice.+state.+changed )|(ment ac)|(multiple cpu faults)|(system.+state.+changed )|(\[timeout)|(PRM\|1\|D)|(kpr)|(kdp)|(\|lc)|(penalty))"</v>
      </c>
      <c r="AG122" s="1" t="str">
        <f>IFERROR(IF(VALUE(LEFT(AD122,2))&lt;=2,"EC",IF(OR(VALUE(LEFT(AD122,2))=8,VALUE(LEFT(AD122,2))=18),"NW","Other")),"Other")</f>
        <v>EC</v>
      </c>
      <c r="AH122" s="86" t="str">
        <f t="shared" si="8"/>
        <v>"%USERPROFILE%\Documents\GitHub\eaglep3\Utilities\RefineRTDCRunTimes.py" --tripid 207-09 --locoid 4044 --swversion DE.1.0.9.0 --startMP 204:447 --initTime 2017-04-09T16:56:34 --startdatetime 2017-04-09T17:00:16 --delay 1 --endMP 204:233301 --enddatetime 2017-04-09T17:38:59 --enforcementcount 0 &gt;&gt;C:\Users\stu\Documents\GitHub\eaglep3-reporting\EC\2017-04-09-refined-times.txt</v>
      </c>
      <c r="AI122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{"issue":{"subject":"","project_id":79,"tracker_id":40,"status_id":1,"priority_id":2,"assigned_to_id":23,"start_date":"2017-04-09","description":"","custom_fields":[{"id":1,"name":"Subdivision","value":"EC"},{"id":4,"name":"Milepost","value":"23.3301"},{"id":17,"name":"Train ID","value":"207-09"},{"id":16,"name":"Locomotive ID","value":"4044"},{"id":130,"name":"Impact","value":""},{"id":150,"name":"Time of Event (Mountain Time)","value":"17:38:59"},{"id":151,"name":"Denver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8"/>
      <c r="AL122" s="48"/>
      <c r="AM122" s="150" t="str">
        <f t="shared" si="10"/>
        <v>start /low /b %USERPROFILE%\Documents\GitHub\eaglep3\Utilities\DownloadLogsFromS3.py --loco 4044 --day 2017-04-09</v>
      </c>
      <c r="AN122" s="159" t="str">
        <f t="shared" si="11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23:38:59"},{"id":29,"name":"Sharepoint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779</v>
      </c>
      <c r="B123" s="7">
        <v>4043</v>
      </c>
      <c r="C123" s="21" t="s">
        <v>215</v>
      </c>
      <c r="D123" s="21" t="s">
        <v>510</v>
      </c>
      <c r="E123" s="13">
        <v>42834.743530092594</v>
      </c>
      <c r="F123" s="13">
        <v>42834.747430555559</v>
      </c>
      <c r="G123" s="7">
        <v>1</v>
      </c>
      <c r="H123" s="21" t="s">
        <v>448</v>
      </c>
      <c r="I123" s="13">
        <v>42834.775682870371</v>
      </c>
      <c r="J123" s="7">
        <v>0</v>
      </c>
      <c r="K123" s="97" t="str">
        <f>IF(ISEVEN(B123),(B123-1)&amp;"/"&amp;B123,B123&amp;"/"&amp;(B123+1))</f>
        <v>4043/4044</v>
      </c>
      <c r="L123" s="21" t="str">
        <f>VLOOKUP(A123,'Trips&amp;Operators'!$C$1:$G$99999,5,FALSE)</f>
        <v>BRUDER RICHARD</v>
      </c>
      <c r="M123" s="6">
        <f>I123-F123</f>
        <v>2.8252314812561963E-2</v>
      </c>
      <c r="N123" s="7">
        <f>24*60*SUM($M123:$M123)</f>
        <v>40.683333330089226</v>
      </c>
      <c r="O123" s="7"/>
      <c r="P123" s="7"/>
      <c r="Q123" s="22"/>
      <c r="R123" s="22"/>
      <c r="S123" s="31">
        <f>SUM(U123:U123)/IF(AG123="EC",12,1)</f>
        <v>1</v>
      </c>
      <c r="T123" s="46" t="str">
        <f>IF(ISEVEN(LEFT(AD123,4)),"Southbound","NorthBound")</f>
        <v>Southbound</v>
      </c>
      <c r="U123" s="18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2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-04-09T16:50:41-0600',mode:absolute,to:'2017-04-09T19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3" s="183" t="str">
        <f>IF(AA123&lt;IF(AG123="EC",23,5.65),"Y","N")</f>
        <v>N</v>
      </c>
      <c r="X123" s="183">
        <f>VALUE(LEFT(AD123,4))-VALUE(LEFT(AD122,4))</f>
        <v>1</v>
      </c>
      <c r="Y123" s="62">
        <f>RIGHT(D123,LEN(D123)-4)/10000</f>
        <v>23.297799999999999</v>
      </c>
      <c r="Z123" s="62">
        <f>RIGHT(H123,LEN(H123)-4)/10000</f>
        <v>1.6500000000000001E-2</v>
      </c>
      <c r="AA123" s="62">
        <f>ABS(Z123-Y123)</f>
        <v>23.281299999999998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>IF(LEN(A123)=6,"0"&amp;A123,A123)</f>
        <v>0208-09</v>
      </c>
      <c r="AE123" s="85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s3://rtdc.mdm.uploadarchive.raw/RTDC4043/ "%USERPROFILE%\AppData\Local\Temp\OnboardLogs"\RTDC4043\2017-04-09 --exclude "*" --recursive --include "*20170409*" &amp; "%USERPROFILE%\Documents\GitHub\mrs-test-scripts\Headless Mode &amp; Sideloading\WalkAndUnGZ.bat" "%USERPROFILE%\AppData\Local\Temp\OnboardLogs"\RTDC4043\2017-04-09 &amp; aws s3 cp s3://rtdc.mdm.uploadarchive.raw/RTDC4043/ "%USERPROFILE%\AppData\Local\Temp\OnboardLogs"\RTDC4043\2017-04-10 --exclude "*" --recursive --include "*20170410*" &amp; "%USERPROFILE%\Documents\GitHub\mrs-test-scripts\Headless Mode &amp; Sideloading\WalkAndUnGZ.bat" "%USERPROFILE%\AppData\Local\Temp\OnboardLogs"\RTDC4043\2017-04-10</v>
      </c>
      <c r="AF123" s="82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/stypes="app*4043*20170410*" /stext=" 00:.+((SYSTEM_STATE.+slice.+state.+changed )|(ment ac)|(multiple cpu faults)|(system.+state.+changed )|(\[timeout)|(PRM\|1\|D)|(kpr)|(kdp)|(\|lc)|(penalty))"</v>
      </c>
      <c r="AG123" s="1" t="str">
        <f>IFERROR(IF(VALUE(LEFT(AD123,2))&lt;=2,"EC",IF(OR(VALUE(LEFT(AD123,2))=8,VALUE(LEFT(AD123,2))=18),"NW","Other")),"Other")</f>
        <v>EC</v>
      </c>
      <c r="AH123" s="86" t="str">
        <f t="shared" si="8"/>
        <v>"%USERPROFILE%\Documents\GitHub\eaglep3\Utilities\RefineRTDCRunTimes.py" --tripid 208-09 --locoid 4043 --swversion DE.1.0.9.0 --startMP 204:232978 --initTime 2017-04-09T17:50:41 --startdatetime 2017-04-09T17:56:18 --delay 1 --endMP 204:165 --enddatetime 2017-04-09T18:36:59 --enforcementcount 0 &gt;&gt;C:\Users\stu\Documents\GitHub\eaglep3-reporting\EC\2017-04-09-refined-times.txt</v>
      </c>
      <c r="AI123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{"issue":{"subject":"","project_id":79,"tracker_id":40,"status_id":1,"priority_id":2,"assigned_to_id":23,"start_date":"2017-04-09","description":"","custom_fields":[{"id":1,"name":"Subdivision","value":"EC"},{"id":4,"name":"Milepost","value":"0.0165"},{"id":17,"name":"Train ID","value":"208-09"},{"id":16,"name":"Locomotive ID","value":"4043"},{"id":130,"name":"Impact","value":""},{"id":150,"name":"Time of Event (Mountain Time)","value":"18:36:59"},{"id":151,"name":"Denver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8"/>
      <c r="AL123" s="48"/>
      <c r="AM123" s="150" t="str">
        <f t="shared" si="10"/>
        <v>start /low /b %USERPROFILE%\Documents\GitHub\eaglep3\Utilities\DownloadLogsFromS3.py --loco 4043 --day 2017-04-09</v>
      </c>
      <c r="AN123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00:36:59"},{"id":29,"name":"Sharepoint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772</v>
      </c>
      <c r="B124" s="7">
        <v>4024</v>
      </c>
      <c r="C124" s="21" t="s">
        <v>215</v>
      </c>
      <c r="D124" s="21" t="s">
        <v>516</v>
      </c>
      <c r="E124" s="13">
        <v>42834.721284722225</v>
      </c>
      <c r="F124" s="13">
        <v>42834.723391203705</v>
      </c>
      <c r="G124" s="7">
        <v>2</v>
      </c>
      <c r="H124" s="21" t="s">
        <v>420</v>
      </c>
      <c r="I124" s="13">
        <v>42834.753599537034</v>
      </c>
      <c r="J124" s="7">
        <v>0</v>
      </c>
      <c r="K124" s="97" t="str">
        <f>IF(ISEVEN(B124),(B124-1)&amp;"/"&amp;B124,B124&amp;"/"&amp;(B124+1))</f>
        <v>4023/4024</v>
      </c>
      <c r="L124" s="21" t="str">
        <f>VLOOKUP(A124,'Trips&amp;Operators'!$C$1:$G$99999,5,FALSE)</f>
        <v>CHANDLER KELVIN</v>
      </c>
      <c r="M124" s="6">
        <f>I124-F124</f>
        <v>3.0208333329937886E-2</v>
      </c>
      <c r="N124" s="7">
        <f>24*60*SUM($M124:$M124)</f>
        <v>43.499999995110556</v>
      </c>
      <c r="O124" s="7"/>
      <c r="P124" s="7"/>
      <c r="Q124" s="22"/>
      <c r="R124" s="22"/>
      <c r="S124" s="31">
        <f>SUM(U124:U124)/IF(AG124="EC",12,1)</f>
        <v>1</v>
      </c>
      <c r="T124" s="46" t="str">
        <f>IF(ISEVEN(LEFT(AD124,4)),"Southbound","NorthBound")</f>
        <v>NorthBound</v>
      </c>
      <c r="U124" s="18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2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-04-09T16:18:39-0600',mode:absolute,to:'2017-04-09T19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4" s="183" t="str">
        <f>IF(AA124&lt;IF(AG124="EC",23,5.65),"Y","N")</f>
        <v>N</v>
      </c>
      <c r="X124" s="183">
        <f>VALUE(LEFT(AD124,4))-VALUE(LEFT(AD123,4))</f>
        <v>1</v>
      </c>
      <c r="Y124" s="62">
        <f>RIGHT(D124,LEN(D124)-4)/10000</f>
        <v>4.6699999999999998E-2</v>
      </c>
      <c r="Z124" s="62">
        <f>RIGHT(H124,LEN(H124)-4)/10000</f>
        <v>23.3308</v>
      </c>
      <c r="AA124" s="62">
        <f>ABS(Z124-Y124)</f>
        <v>23.284099999999999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>IF(LEN(A124)=6,"0"&amp;A124,A124)</f>
        <v>0209-09</v>
      </c>
      <c r="AE124" s="85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s3://rtdc.mdm.uploadarchive.raw/RTDC4024/ "%USERPROFILE%\AppData\Local\Temp\OnboardLogs"\RTDC4024\2017-04-09 --exclude "*" --recursive --include "*20170409*" &amp; "%USERPROFILE%\Documents\GitHub\mrs-test-scripts\Headless Mode &amp; Sideloading\WalkAndUnGZ.bat" "%USERPROFILE%\AppData\Local\Temp\OnboardLogs"\RTDC4024\2017-04-09 &amp; aws s3 cp s3://rtdc.mdm.uploadarchive.raw/RTDC4024/ "%USERPROFILE%\AppData\Local\Temp\OnboardLogs"\RTDC4024\2017-04-10 --exclude "*" --recursive --include "*20170410*" &amp; "%USERPROFILE%\Documents\GitHub\mrs-test-scripts\Headless Mode &amp; Sideloading\WalkAndUnGZ.bat" "%USERPROFILE%\AppData\Local\Temp\OnboardLogs"\RTDC4024\2017-04-10</v>
      </c>
      <c r="AF124" s="82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/stypes="app*4024*20170410*" /stext=" 00:.+((SYSTEM_STATE.+slice.+state.+changed )|(ment ac)|(multiple cpu faults)|(system.+state.+changed )|(\[timeout)|(PRM\|1\|D)|(kpr)|(kdp)|(\|lc)|(penalty))"</v>
      </c>
      <c r="AG124" s="1" t="str">
        <f>IFERROR(IF(VALUE(LEFT(AD124,2))&lt;=2,"EC",IF(OR(VALUE(LEFT(AD124,2))=8,VALUE(LEFT(AD124,2))=18),"NW","Other")),"Other")</f>
        <v>EC</v>
      </c>
      <c r="AH124" s="86" t="str">
        <f t="shared" si="8"/>
        <v>"%USERPROFILE%\Documents\GitHub\eaglep3\Utilities\RefineRTDCRunTimes.py" --tripid 209-09 --locoid 4024 --swversion DE.1.0.9.0 --startMP 204:467 --initTime 2017-04-09T17:18:39 --startdatetime 2017-04-09T17:21:41 --delay 2 --endMP 204:233308 --enddatetime 2017-04-09T18:05:11 --enforcementcount 0 &gt;&gt;C:\Users\stu\Documents\GitHub\eaglep3-reporting\EC\2017-04-09-refined-times.txt</v>
      </c>
      <c r="AI124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{"issue":{"subject":"","project_id":79,"tracker_id":40,"status_id":1,"priority_id":2,"assigned_to_id":23,"start_date":"2017-04-09","description":"","custom_fields":[{"id":1,"name":"Subdivision","value":"EC"},{"id":4,"name":"Milepost","value":"23.3308"},{"id":17,"name":"Train ID","value":"209-09"},{"id":16,"name":"Locomotive ID","value":"4024"},{"id":130,"name":"Impact","value":""},{"id":150,"name":"Time of Event (Mountain Time)","value":"18:05:11"},{"id":151,"name":"Denver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8"/>
      <c r="AL124" s="48"/>
      <c r="AM124" s="150" t="str">
        <f t="shared" si="10"/>
        <v>start /low /b %USERPROFILE%\Documents\GitHub\eaglep3\Utilities\DownloadLogsFromS3.py --loco 4024 --day 2017-04-09</v>
      </c>
      <c r="AN124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00:05:11"},{"id":29,"name":"Sharepoint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785</v>
      </c>
      <c r="B125" s="7">
        <v>4023</v>
      </c>
      <c r="C125" s="21" t="s">
        <v>215</v>
      </c>
      <c r="D125" s="21" t="s">
        <v>935</v>
      </c>
      <c r="E125" s="13">
        <v>42834.756307870368</v>
      </c>
      <c r="F125" s="13">
        <v>42834.758090277777</v>
      </c>
      <c r="G125" s="7">
        <v>1</v>
      </c>
      <c r="H125" s="21" t="s">
        <v>936</v>
      </c>
      <c r="I125" s="13">
        <v>42834.788715277777</v>
      </c>
      <c r="J125" s="7">
        <v>0</v>
      </c>
      <c r="K125" s="97" t="str">
        <f>IF(ISEVEN(B125),(B125-1)&amp;"/"&amp;B125,B125&amp;"/"&amp;(B125+1))</f>
        <v>4023/4024</v>
      </c>
      <c r="L125" s="21" t="str">
        <f>VLOOKUP(A125,'Trips&amp;Operators'!$C$1:$G$99999,5,FALSE)</f>
        <v>CHANDLER KELVIN</v>
      </c>
      <c r="M125" s="6">
        <f>I125-F125</f>
        <v>3.0624999999417923E-2</v>
      </c>
      <c r="N125" s="7">
        <f>24*60*SUM($M125:$M125)</f>
        <v>44.09999999916181</v>
      </c>
      <c r="O125" s="7"/>
      <c r="P125" s="7"/>
      <c r="Q125" s="22"/>
      <c r="R125" s="22"/>
      <c r="S125" s="31">
        <f>SUM(U125:U125)/IF(AG125="EC",12,1)</f>
        <v>1</v>
      </c>
      <c r="T125" s="46" t="str">
        <f>IF(ISEVEN(LEFT(AD125,4)),"Southbound","NorthBound")</f>
        <v>Southbound</v>
      </c>
      <c r="U125" s="18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2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-04-09T17:09:05-0600',mode:absolute,to:'2017-04-09T19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5" s="183" t="str">
        <f>IF(AA125&lt;IF(AG125="EC",23,5.65),"Y","N")</f>
        <v>N</v>
      </c>
      <c r="X125" s="183">
        <f>VALUE(LEFT(AD125,4))-VALUE(LEFT(AD124,4))</f>
        <v>1</v>
      </c>
      <c r="Y125" s="62">
        <f>RIGHT(D125,LEN(D125)-4)/10000</f>
        <v>23.297899999999998</v>
      </c>
      <c r="Z125" s="62">
        <f>RIGHT(H125,LEN(H125)-4)/10000</f>
        <v>1.7000000000000001E-2</v>
      </c>
      <c r="AA125" s="62">
        <f>ABS(Z125-Y125)</f>
        <v>23.280899999999999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>IF(LEN(A125)=6,"0"&amp;A125,A125)</f>
        <v>0210-09</v>
      </c>
      <c r="AE125" s="85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s3://rtdc.mdm.uploadarchive.raw/RTDC4023/ "%USERPROFILE%\AppData\Local\Temp\OnboardLogs"\RTDC4023\2017-04-09 --exclude "*" --recursive --include "*20170409*" &amp; "%USERPROFILE%\Documents\GitHub\mrs-test-scripts\Headless Mode &amp; Sideloading\WalkAndUnGZ.bat" "%USERPROFILE%\AppData\Local\Temp\OnboardLogs"\RTDC4023\2017-04-09 &amp; aws s3 cp s3://rtdc.mdm.uploadarchive.raw/RTDC4023/ "%USERPROFILE%\AppData\Local\Temp\OnboardLogs"\RTDC4023\2017-04-10 --exclude "*" --recursive --include "*20170410*" &amp; "%USERPROFILE%\Documents\GitHub\mrs-test-scripts\Headless Mode &amp; Sideloading\WalkAndUnGZ.bat" "%USERPROFILE%\AppData\Local\Temp\OnboardLogs"\RTDC4023\2017-04-10</v>
      </c>
      <c r="AF125" s="82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/stypes="app*4023*20170410*" /stext=" 00:.+((SYSTEM_STATE.+slice.+state.+changed )|(ment ac)|(multiple cpu faults)|(system.+state.+changed )|(\[timeout)|(PRM\|1\|D)|(kpr)|(kdp)|(\|lc)|(penalty))"</v>
      </c>
      <c r="AG125" s="1" t="str">
        <f>IFERROR(IF(VALUE(LEFT(AD125,2))&lt;=2,"EC",IF(OR(VALUE(LEFT(AD125,2))=8,VALUE(LEFT(AD125,2))=18),"NW","Other")),"Other")</f>
        <v>EC</v>
      </c>
      <c r="AH125" s="86" t="str">
        <f t="shared" si="8"/>
        <v>"%USERPROFILE%\Documents\GitHub\eaglep3\Utilities\RefineRTDCRunTimes.py" --tripid 210-09 --locoid 4023 --swversion DE.1.0.9.0 --startMP 204:232979 --initTime 2017-04-09T18:09:05 --startdatetime 2017-04-09T18:11:39 --delay 1 --endMP 204:170 --enddatetime 2017-04-09T18:55:45 --enforcementcount 0 &gt;&gt;C:\Users\stu\Documents\GitHub\eaglep3-reporting\EC\2017-04-09-refined-times.txt</v>
      </c>
      <c r="AI125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{"issue":{"subject":"","project_id":79,"tracker_id":40,"status_id":1,"priority_id":2,"assigned_to_id":23,"start_date":"2017-04-09","description":"","custom_fields":[{"id":1,"name":"Subdivision","value":"EC"},{"id":4,"name":"Milepost","value":"0.017"},{"id":17,"name":"Train ID","value":"210-09"},{"id":16,"name":"Locomotive ID","value":"4023"},{"id":130,"name":"Impact","value":""},{"id":150,"name":"Time of Event (Mountain Time)","value":"18:55:45"},{"id":151,"name":"Denver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8"/>
      <c r="AL125" s="48"/>
      <c r="AM125" s="150" t="str">
        <f t="shared" si="10"/>
        <v>start /low /b %USERPROFILE%\Documents\GitHub\eaglep3\Utilities\DownloadLogsFromS3.py --loco 4023 --day 2017-04-09</v>
      </c>
      <c r="AN125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00:55:45"},{"id":29,"name":"Sharepoint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618</v>
      </c>
      <c r="B126" s="7">
        <v>4032</v>
      </c>
      <c r="C126" s="21" t="s">
        <v>215</v>
      </c>
      <c r="D126" s="21" t="s">
        <v>937</v>
      </c>
      <c r="E126" s="13">
        <v>42834.738692129627</v>
      </c>
      <c r="F126" s="13">
        <v>42834.741064814814</v>
      </c>
      <c r="G126" s="7">
        <v>2</v>
      </c>
      <c r="H126" s="21" t="s">
        <v>573</v>
      </c>
      <c r="I126" s="13">
        <v>42834.76425925926</v>
      </c>
      <c r="J126" s="7">
        <v>0</v>
      </c>
      <c r="K126" s="97" t="str">
        <f>IF(ISEVEN(B126),(B126-1)&amp;"/"&amp;B126,B126&amp;"/"&amp;(B126+1))</f>
        <v>4031/4032</v>
      </c>
      <c r="L126" s="21" t="str">
        <f>VLOOKUP(A126,'Trips&amp;Operators'!$C$1:$G$99999,5,FALSE)</f>
        <v>MCREYNOLDS KYLE</v>
      </c>
      <c r="M126" s="6">
        <f>I126-F126</f>
        <v>2.3194444445834961E-2</v>
      </c>
      <c r="N126" s="7"/>
      <c r="O126" s="7"/>
      <c r="P126" s="7">
        <f>24*60*SUM($M126:$M126)</f>
        <v>33.400000002002344</v>
      </c>
      <c r="Q126" s="22"/>
      <c r="R126" s="22" t="s">
        <v>485</v>
      </c>
      <c r="S126" s="31">
        <f>SUM(U126:U126)/IF(AG126="EC",12,1)</f>
        <v>1</v>
      </c>
      <c r="T126" s="46" t="str">
        <f>IF(ISEVEN(LEFT(AD126,4)),"Southbound","NorthBound")</f>
        <v>NorthBound</v>
      </c>
      <c r="U126" s="18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2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-04-09T16:43:43-0600',mode:absolute,to:'2017-04-09T19:20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6" s="183" t="str">
        <f>IF(AA126&lt;IF(AG126="EC",23,5.65),"Y","N")</f>
        <v>Y</v>
      </c>
      <c r="X126" s="183">
        <f>VALUE(LEFT(AD126,4))-VALUE(LEFT(AD125,4))</f>
        <v>1</v>
      </c>
      <c r="Y126" s="62">
        <f>RIGHT(D126,LEN(D126)-4)/10000</f>
        <v>1.9129</v>
      </c>
      <c r="Z126" s="62">
        <f>RIGHT(H126,LEN(H126)-4)/10000</f>
        <v>23.327200000000001</v>
      </c>
      <c r="AA126" s="62">
        <f>ABS(Z126-Y126)</f>
        <v>21.414300000000001</v>
      </c>
      <c r="AB126" s="59" t="str">
        <f>VLOOKUP(A126,Enforcements!$C$7:$K$13,8,0)</f>
        <v>Bulletin (2)</v>
      </c>
      <c r="AC126" s="55" t="str">
        <f>VLOOKUP(A126,Enforcements!$C$7:$E$13,3,0)</f>
        <v>GRADE CROSSING</v>
      </c>
      <c r="AD126" s="56" t="str">
        <f>IF(LEN(A126)=6,"0"&amp;A126,A126)</f>
        <v>0211-09</v>
      </c>
      <c r="AE126" s="85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s3://rtdc.mdm.uploadarchive.raw/RTDC4032/ "%USERPROFILE%\AppData\Local\Temp\OnboardLogs"\RTDC4032\2017-04-09 --exclude "*" --recursive --include "*20170409*" &amp; "%USERPROFILE%\Documents\GitHub\mrs-test-scripts\Headless Mode &amp; Sideloading\WalkAndUnGZ.bat" "%USERPROFILE%\AppData\Local\Temp\OnboardLogs"\RTDC4032\2017-04-09 &amp; aws s3 cp s3://rtdc.mdm.uploadarchive.raw/RTDC4032/ "%USERPROFILE%\AppData\Local\Temp\OnboardLogs"\RTDC4032\2017-04-10 --exclude "*" --recursive --include "*20170410*" &amp; "%USERPROFILE%\Documents\GitHub\mrs-test-scripts\Headless Mode &amp; Sideloading\WalkAndUnGZ.bat" "%USERPROFILE%\AppData\Local\Temp\OnboardLogs"\RTDC4032\2017-04-10</v>
      </c>
      <c r="AF126" s="82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/stypes="app*4032*20170410*" /stext=" 00:.+((SYSTEM_STATE.+slice.+state.+changed )|(ment ac)|(multiple cpu faults)|(system.+state.+changed )|(\[timeout)|(PRM\|1\|D)|(kpr)|(kdp)|(\|lc)|(penalty))"</v>
      </c>
      <c r="AG126" s="1" t="str">
        <f>IFERROR(IF(VALUE(LEFT(AD126,2))&lt;=2,"EC",IF(OR(VALUE(LEFT(AD126,2))=8,VALUE(LEFT(AD126,2))=18),"NW","Other")),"Other")</f>
        <v>EC</v>
      </c>
      <c r="AH126" s="86" t="str">
        <f t="shared" si="8"/>
        <v>"%USERPROFILE%\Documents\GitHub\eaglep3\Utilities\RefineRTDCRunTimes.py" --tripid 211-09 --locoid 4032 --swversion DE.1.0.9.0 --startMP 204:19129 --initTime 2017-04-09T17:43:43 --startdatetime 2017-04-09T17:47:08 --delay 2 --endMP 204:233272 --enddatetime 2017-04-09T18:20:32 --enforcementcount 0 &gt;&gt;C:\Users\stu\Documents\GitHub\eaglep3-reporting\EC\2017-04-09-refined-times.txt</v>
      </c>
      <c r="AI126" s="104" t="str">
        <f t="shared" si="9"/>
        <v>echo {"issue":{"subject":"Onboard in-route failure","project_id":79,"tracker_id":40,"status_id":1,"priority_id":2,"assigned_to_id":23,"start_date":"2017-04-09","description":"","custom_fields":[{"id":1,"name":"Subdivision","value":"EC"},{"id":4,"name":"Milepost","value":"23.3272"},{"id":17,"name":"Train ID","value":"211-09"},{"id":16,"name":"Locomotive ID","value":"4032"},{"id":130,"name":"Impact","value":""},{"id":150,"name":"Time of Event (Mountain Time)","value":"18:20:32"},{"id":151,"name":"Denver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8"/>
      <c r="AL126" s="48"/>
      <c r="AM126" s="150" t="str">
        <f t="shared" si="10"/>
        <v>start /low /b %USERPROFILE%\Documents\GitHub\eaglep3\Utilities\DownloadLogsFromS3.py --loco 4032 --day 2017-04-09</v>
      </c>
      <c r="AN126" s="159" t="str">
        <f t="shared" si="11"/>
        <v>echo {"issue":{"subject":"Onboard in-route failure","project_id":30,"tracker_id":4,"status_id":1,"priority_id":1,"assigned_to_id":10,"start_date":"2017-04-10","description":"","custom_fields":[{"id":30,"name":"Category","value":"Issue"},{"id":3,"name":"Functional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00:20:32"},{"id":29,"name":"Sharepoint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618</v>
      </c>
      <c r="B127" s="7">
        <v>4032</v>
      </c>
      <c r="C127" s="21" t="s">
        <v>215</v>
      </c>
      <c r="D127" s="21" t="s">
        <v>938</v>
      </c>
      <c r="E127" s="13">
        <v>42834.729513888888</v>
      </c>
      <c r="F127" s="13">
        <v>42834.741064814814</v>
      </c>
      <c r="G127" s="7">
        <v>2</v>
      </c>
      <c r="H127" s="21" t="s">
        <v>938</v>
      </c>
      <c r="I127" s="13">
        <v>42834.76425925926</v>
      </c>
      <c r="J127" s="7">
        <v>0</v>
      </c>
      <c r="K127" s="97" t="str">
        <f>IF(ISEVEN(B127),(B127-1)&amp;"/"&amp;B127,B127&amp;"/"&amp;(B127+1))</f>
        <v>4031/4032</v>
      </c>
      <c r="L127" s="21" t="str">
        <f>VLOOKUP(A127,'Trips&amp;Operators'!$C$1:$G$99999,5,FALSE)</f>
        <v>MCREYNOLDS KYLE</v>
      </c>
      <c r="M127" s="6">
        <f>I127-F127</f>
        <v>2.3194444445834961E-2</v>
      </c>
      <c r="N127" s="7"/>
      <c r="O127" s="7"/>
      <c r="P127" s="7"/>
      <c r="Q127" s="22"/>
      <c r="R127" s="22"/>
      <c r="S127" s="31"/>
      <c r="T127" s="46" t="str">
        <f>IF(ISEVEN(LEFT(AD127,4)),"Southbound","NorthBound")</f>
        <v>NorthBound</v>
      </c>
      <c r="U127" s="18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0</v>
      </c>
      <c r="V127" s="182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-04-09T16:30:30-0600',mode:absolute,to:'2017-04-09T19:20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7" s="183" t="str">
        <f>IF(AA127&lt;IF(AG127="EC",23,5.65),"Y","N")</f>
        <v>Y</v>
      </c>
      <c r="X127" s="183">
        <f>VALUE(LEFT(AD127,4))-VALUE(LEFT(AD126,4))</f>
        <v>0</v>
      </c>
      <c r="Y127" s="62">
        <f>RIGHT(D127,LEN(D127)-4)/10000</f>
        <v>4.7300000000000002E-2</v>
      </c>
      <c r="Z127" s="62">
        <f>RIGHT(H127,LEN(H127)-4)/10000</f>
        <v>4.7300000000000002E-2</v>
      </c>
      <c r="AA127" s="62">
        <f>ABS(Z127-Y127)</f>
        <v>0</v>
      </c>
      <c r="AB127" s="59" t="str">
        <f>VLOOKUP(A127,Enforcements!$C$7:$K$13,8,0)</f>
        <v>Bulletin (2)</v>
      </c>
      <c r="AC127" s="55" t="str">
        <f>VLOOKUP(A127,Enforcements!$C$7:$E$13,3,0)</f>
        <v>GRADE CROSSING</v>
      </c>
      <c r="AD127" s="56" t="str">
        <f>IF(LEN(A127)=6,"0"&amp;A127,A127)</f>
        <v>0211-09</v>
      </c>
      <c r="AE127" s="85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s3://rtdc.mdm.uploadarchive.raw/RTDC4032/ "%USERPROFILE%\AppData\Local\Temp\OnboardLogs"\RTDC4032\2017-04-09 --exclude "*" --recursive --include "*20170409*" &amp; "%USERPROFILE%\Documents\GitHub\mrs-test-scripts\Headless Mode &amp; Sideloading\WalkAndUnGZ.bat" "%USERPROFILE%\AppData\Local\Temp\OnboardLogs"\RTDC4032\2017-04-09 &amp; aws s3 cp s3://rtdc.mdm.uploadarchive.raw/RTDC4032/ "%USERPROFILE%\AppData\Local\Temp\OnboardLogs"\RTDC4032\2017-04-10 --exclude "*" --recursive --include "*20170410*" &amp; "%USERPROFILE%\Documents\GitHub\mrs-test-scripts\Headless Mode &amp; Sideloading\WalkAndUnGZ.bat" "%USERPROFILE%\AppData\Local\Temp\OnboardLogs"\RTDC4032\2017-04-10</v>
      </c>
      <c r="AF127" s="82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/stypes="app*4032*20170410*" /stext=" 00:.+((SYSTEM_STATE.+slice.+state.+changed )|(ment ac)|(multiple cpu faults)|(system.+state.+changed )|(\[timeout)|(PRM\|1\|D)|(kpr)|(kdp)|(\|lc)|(penalty))"</v>
      </c>
      <c r="AG127" s="1" t="str">
        <f>IFERROR(IF(VALUE(LEFT(AD127,2))&lt;=2,"EC",IF(OR(VALUE(LEFT(AD127,2))=8,VALUE(LEFT(AD127,2))=18),"NW","Other")),"Other")</f>
        <v>EC</v>
      </c>
      <c r="AH127" s="86" t="str">
        <f t="shared" si="8"/>
        <v>"%USERPROFILE%\Documents\GitHub\eaglep3\Utilities\RefineRTDCRunTimes.py" --tripid 211-09 --locoid 4032 --swversion DE.1.0.9.0 --startMP 204:473 --initTime 2017-04-09T17:30:30 --startdatetime 2017-04-09T17:47:08 --delay 2 --endMP 204:473 --enddatetime 2017-04-09T18:20:32 --enforcementcount 0 &gt;&gt;C:\Users\stu\Documents\GitHub\eaglep3-reporting\EC\2017-04-09-refined-times.txt</v>
      </c>
      <c r="AI127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{"issue":{"subject":"","project_id":79,"tracker_id":40,"status_id":1,"priority_id":2,"assigned_to_id":23,"start_date":"2017-04-09","description":"","custom_fields":[{"id":1,"name":"Subdivision","value":"EC"},{"id":4,"name":"Milepost","value":"0.0473"},{"id":17,"name":"Train ID","value":"211-09"},{"id":16,"name":"Locomotive ID","value":"4032"},{"id":130,"name":"Impact","value":""},{"id":150,"name":"Time of Event (Mountain Time)","value":"18:20:32"},{"id":151,"name":"Denver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8"/>
      <c r="AL127" s="48"/>
      <c r="AM127" s="150" t="str">
        <f t="shared" si="10"/>
        <v>start /low /b %USERPROFILE%\Documents\GitHub\eaglep3\Utilities\DownloadLogsFromS3.py --loco 4032 --day 2017-04-09</v>
      </c>
      <c r="AN127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00:20:32"},{"id":29,"name":"Sharepoint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618</v>
      </c>
      <c r="B128" s="7">
        <v>4032</v>
      </c>
      <c r="C128" s="21" t="s">
        <v>215</v>
      </c>
      <c r="D128" s="21" t="s">
        <v>592</v>
      </c>
      <c r="E128" s="13">
        <v>42834.729513888888</v>
      </c>
      <c r="F128" s="13">
        <v>42834.741064814814</v>
      </c>
      <c r="G128" s="7">
        <v>2</v>
      </c>
      <c r="H128" s="21" t="s">
        <v>938</v>
      </c>
      <c r="I128" s="13">
        <v>42834.76425925926</v>
      </c>
      <c r="J128" s="7">
        <v>0</v>
      </c>
      <c r="K128" s="97" t="str">
        <f>IF(ISEVEN(B128),(B128-1)&amp;"/"&amp;B128,B128&amp;"/"&amp;(B128+1))</f>
        <v>4031/4032</v>
      </c>
      <c r="L128" s="21" t="str">
        <f>VLOOKUP(A128,'Trips&amp;Operators'!$C$1:$G$99999,5,FALSE)</f>
        <v>MCREYNOLDS KYLE</v>
      </c>
      <c r="M128" s="6">
        <f>I128-F128</f>
        <v>2.3194444445834961E-2</v>
      </c>
      <c r="N128" s="7"/>
      <c r="O128" s="7"/>
      <c r="P128" s="7"/>
      <c r="Q128" s="22"/>
      <c r="R128" s="22"/>
      <c r="S128" s="31"/>
      <c r="T128" s="46" t="str">
        <f>IF(ISEVEN(LEFT(AD128,4)),"Southbound","NorthBound")</f>
        <v>NorthBound</v>
      </c>
      <c r="U128" s="18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0</v>
      </c>
      <c r="V128" s="182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-04-09T16:30:30-0600',mode:absolute,to:'2017-04-09T19:20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8" s="183" t="str">
        <f>IF(AA128&lt;IF(AG128="EC",23,5.65),"Y","N")</f>
        <v>Y</v>
      </c>
      <c r="X128" s="183">
        <f>VALUE(LEFT(AD128,4))-VALUE(LEFT(AD127,4))</f>
        <v>0</v>
      </c>
      <c r="Y128" s="62">
        <f>RIGHT(D128,LEN(D128)-4)/10000</f>
        <v>4.7800000000000002E-2</v>
      </c>
      <c r="Z128" s="62">
        <f>RIGHT(H128,LEN(H128)-4)/10000</f>
        <v>4.7300000000000002E-2</v>
      </c>
      <c r="AA128" s="62">
        <f>ABS(Z128-Y128)</f>
        <v>5.0000000000000044E-4</v>
      </c>
      <c r="AB128" s="59" t="str">
        <f>VLOOKUP(A128,Enforcements!$C$7:$K$13,8,0)</f>
        <v>Bulletin (2)</v>
      </c>
      <c r="AC128" s="55" t="str">
        <f>VLOOKUP(A128,Enforcements!$C$7:$E$13,3,0)</f>
        <v>GRADE CROSSING</v>
      </c>
      <c r="AD128" s="56" t="str">
        <f>IF(LEN(A128)=6,"0"&amp;A128,A128)</f>
        <v>0211-09</v>
      </c>
      <c r="AE128" s="85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s3://rtdc.mdm.uploadarchive.raw/RTDC4032/ "%USERPROFILE%\AppData\Local\Temp\OnboardLogs"\RTDC4032\2017-04-09 --exclude "*" --recursive --include "*20170409*" &amp; "%USERPROFILE%\Documents\GitHub\mrs-test-scripts\Headless Mode &amp; Sideloading\WalkAndUnGZ.bat" "%USERPROFILE%\AppData\Local\Temp\OnboardLogs"\RTDC4032\2017-04-09 &amp; aws s3 cp s3://rtdc.mdm.uploadarchive.raw/RTDC4032/ "%USERPROFILE%\AppData\Local\Temp\OnboardLogs"\RTDC4032\2017-04-10 --exclude "*" --recursive --include "*20170410*" &amp; "%USERPROFILE%\Documents\GitHub\mrs-test-scripts\Headless Mode &amp; Sideloading\WalkAndUnGZ.bat" "%USERPROFILE%\AppData\Local\Temp\OnboardLogs"\RTDC4032\2017-04-10</v>
      </c>
      <c r="AF128" s="82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/stypes="app*4032*20170410*" /stext=" 00:.+((SYSTEM_STATE.+slice.+state.+changed )|(ment ac)|(multiple cpu faults)|(system.+state.+changed )|(\[timeout)|(PRM\|1\|D)|(kpr)|(kdp)|(\|lc)|(penalty))"</v>
      </c>
      <c r="AG128" s="1" t="str">
        <f>IFERROR(IF(VALUE(LEFT(AD128,2))&lt;=2,"EC",IF(OR(VALUE(LEFT(AD128,2))=8,VALUE(LEFT(AD128,2))=18),"NW","Other")),"Other")</f>
        <v>EC</v>
      </c>
      <c r="AH128" s="86" t="str">
        <f t="shared" si="8"/>
        <v>"%USERPROFILE%\Documents\GitHub\eaglep3\Utilities\RefineRTDCRunTimes.py" --tripid 211-09 --locoid 4032 --swversion DE.1.0.9.0 --startMP 204:478 --initTime 2017-04-09T17:30:30 --startdatetime 2017-04-09T17:47:08 --delay 2 --endMP 204:473 --enddatetime 2017-04-09T18:20:32 --enforcementcount 0 &gt;&gt;C:\Users\stu\Documents\GitHub\eaglep3-reporting\EC\2017-04-09-refined-times.txt</v>
      </c>
      <c r="AI128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{"issue":{"subject":"","project_id":79,"tracker_id":40,"status_id":1,"priority_id":2,"assigned_to_id":23,"start_date":"2017-04-09","description":"","custom_fields":[{"id":1,"name":"Subdivision","value":"EC"},{"id":4,"name":"Milepost","value":"0.0473"},{"id":17,"name":"Train ID","value":"211-09"},{"id":16,"name":"Locomotive ID","value":"4032"},{"id":130,"name":"Impact","value":""},{"id":150,"name":"Time of Event (Mountain Time)","value":"18:20:32"},{"id":151,"name":"Denver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8"/>
      <c r="AL128" s="48"/>
      <c r="AM128" s="150" t="str">
        <f t="shared" si="10"/>
        <v>start /low /b %USERPROFILE%\Documents\GitHub\eaglep3\Utilities\DownloadLogsFromS3.py --loco 4032 --day 2017-04-09</v>
      </c>
      <c r="AN128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00:20:32"},{"id":29,"name":"Sharepoint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788</v>
      </c>
      <c r="B129" s="7">
        <v>4031</v>
      </c>
      <c r="C129" s="21" t="s">
        <v>215</v>
      </c>
      <c r="D129" s="21" t="s">
        <v>450</v>
      </c>
      <c r="E129" s="13">
        <v>42834.765949074077</v>
      </c>
      <c r="F129" s="13">
        <v>42834.768425925926</v>
      </c>
      <c r="G129" s="7">
        <v>1</v>
      </c>
      <c r="H129" s="21" t="s">
        <v>398</v>
      </c>
      <c r="I129" s="13">
        <v>42834.797442129631</v>
      </c>
      <c r="J129" s="7">
        <v>0</v>
      </c>
      <c r="K129" s="97" t="str">
        <f>IF(ISEVEN(B129),(B129-1)&amp;"/"&amp;B129,B129&amp;"/"&amp;(B129+1))</f>
        <v>4031/4032</v>
      </c>
      <c r="L129" s="21" t="str">
        <f>VLOOKUP(A129,'Trips&amp;Operators'!$C$1:$G$99999,5,FALSE)</f>
        <v>MCREYNOLDS KYLE</v>
      </c>
      <c r="M129" s="6">
        <f>I129-F129</f>
        <v>2.9016203705396038E-2</v>
      </c>
      <c r="N129" s="7">
        <f>24*60*SUM($M129:$M129)</f>
        <v>41.783333335770294</v>
      </c>
      <c r="O129" s="7"/>
      <c r="P129" s="7"/>
      <c r="Q129" s="22"/>
      <c r="R129" s="22"/>
      <c r="S129" s="31">
        <f>SUM(U129:U129)/IF(AG129="EC",12,1)</f>
        <v>1</v>
      </c>
      <c r="T129" s="46" t="str">
        <f>IF(ISEVEN(LEFT(AD129,4)),"Southbound","NorthBound")</f>
        <v>Southbound</v>
      </c>
      <c r="U129" s="18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2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-04-09T17:22:58-0600',mode:absolute,to:'2017-04-09T20:08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9" s="183" t="str">
        <f>IF(AA129&lt;IF(AG129="EC",23,5.65),"Y","N")</f>
        <v>N</v>
      </c>
      <c r="X129" s="183">
        <f>VALUE(LEFT(AD129,4))-VALUE(LEFT(AD128,4))</f>
        <v>1</v>
      </c>
      <c r="Y129" s="62">
        <f>RIGHT(D129,LEN(D129)-4)/10000</f>
        <v>23.296299999999999</v>
      </c>
      <c r="Z129" s="62">
        <f>RIGHT(H129,LEN(H129)-4)/10000</f>
        <v>1.61E-2</v>
      </c>
      <c r="AA129" s="62">
        <f>ABS(Z129-Y129)</f>
        <v>23.280199999999997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>IF(LEN(A129)=6,"0"&amp;A129,A129)</f>
        <v>0212-09</v>
      </c>
      <c r="AE129" s="85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s3://rtdc.mdm.uploadarchive.raw/RTDC4031/ "%USERPROFILE%\AppData\Local\Temp\OnboardLogs"\RTDC4031\2017-04-09 --exclude "*" --recursive --include "*20170409*" &amp; "%USERPROFILE%\Documents\GitHub\mrs-test-scripts\Headless Mode &amp; Sideloading\WalkAndUnGZ.bat" "%USERPROFILE%\AppData\Local\Temp\OnboardLogs"\RTDC4031\2017-04-09 &amp; aws s3 cp s3://rtdc.mdm.uploadarchive.raw/RTDC4031/ "%USERPROFILE%\AppData\Local\Temp\OnboardLogs"\RTDC4031\2017-04-10 --exclude "*" --recursive --include "*20170410*" &amp; "%USERPROFILE%\Documents\GitHub\mrs-test-scripts\Headless Mode &amp; Sideloading\WalkAndUnGZ.bat" "%USERPROFILE%\AppData\Local\Temp\OnboardLogs"\RTDC4031\2017-04-10</v>
      </c>
      <c r="AF129" s="82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/stypes="app*4031*20170410*" /stext=" 01:.+((SYSTEM_STATE.+slice.+state.+changed )|(ment ac)|(multiple cpu faults)|(system.+state.+changed )|(\[timeout)|(PRM\|1\|D)|(kpr)|(kdp)|(\|lc)|(penalty))"</v>
      </c>
      <c r="AG129" s="1" t="str">
        <f>IFERROR(IF(VALUE(LEFT(AD129,2))&lt;=2,"EC",IF(OR(VALUE(LEFT(AD129,2))=8,VALUE(LEFT(AD129,2))=18),"NW","Other")),"Other")</f>
        <v>EC</v>
      </c>
      <c r="AH129" s="86" t="str">
        <f t="shared" si="8"/>
        <v>"%USERPROFILE%\Documents\GitHub\eaglep3\Utilities\RefineRTDCRunTimes.py" --tripid 212-09 --locoid 4031 --swversion DE.1.0.9.0 --startMP 204:232963 --initTime 2017-04-09T18:22:58 --startdatetime 2017-04-09T18:26:32 --delay 1 --endMP 204:161 --enddatetime 2017-04-09T19:08:19 --enforcementcount 0 &gt;&gt;C:\Users\stu\Documents\GitHub\eaglep3-reporting\EC\2017-04-09-refined-times.txt</v>
      </c>
      <c r="AI129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{"issue":{"subject":"","project_id":79,"tracker_id":40,"status_id":1,"priority_id":2,"assigned_to_id":23,"start_date":"2017-04-09","description":"","custom_fields":[{"id":1,"name":"Subdivision","value":"EC"},{"id":4,"name":"Milepost","value":"0.0161"},{"id":17,"name":"Train ID","value":"212-09"},{"id":16,"name":"Locomotive ID","value":"4031"},{"id":130,"name":"Impact","value":""},{"id":150,"name":"Time of Event (Mountain Time)","value":"19:08:19"},{"id":151,"name":"Denver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8"/>
      <c r="AL129" s="48"/>
      <c r="AM129" s="150" t="str">
        <f t="shared" si="10"/>
        <v>start /low /b %USERPROFILE%\Documents\GitHub\eaglep3\Utilities\DownloadLogsFromS3.py --loco 4031 --day 2017-04-09</v>
      </c>
      <c r="AN129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01:08:19"},{"id":29,"name":"Sharepoint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776</v>
      </c>
      <c r="B130" s="7">
        <v>4012</v>
      </c>
      <c r="C130" s="21" t="s">
        <v>215</v>
      </c>
      <c r="D130" s="21" t="s">
        <v>939</v>
      </c>
      <c r="E130" s="13">
        <v>42834.741875</v>
      </c>
      <c r="F130" s="13">
        <v>42834.744537037041</v>
      </c>
      <c r="G130" s="7">
        <v>2</v>
      </c>
      <c r="H130" s="21" t="s">
        <v>526</v>
      </c>
      <c r="I130" s="13">
        <v>42834.774456018517</v>
      </c>
      <c r="J130" s="7">
        <v>0</v>
      </c>
      <c r="K130" s="97" t="str">
        <f>IF(ISEVEN(B130),(B130-1)&amp;"/"&amp;B130,B130&amp;"/"&amp;(B130+1))</f>
        <v>4011/4012</v>
      </c>
      <c r="L130" s="21" t="str">
        <f>VLOOKUP(A130,'Trips&amp;Operators'!$C$1:$G$99999,5,FALSE)</f>
        <v>DAVIDSON DAVID</v>
      </c>
      <c r="M130" s="6">
        <f>I130-F130</f>
        <v>2.9918981475930195E-2</v>
      </c>
      <c r="N130" s="7">
        <f>24*60*SUM($M130:$M130)</f>
        <v>43.083333325339481</v>
      </c>
      <c r="O130" s="7"/>
      <c r="P130" s="7"/>
      <c r="Q130" s="22"/>
      <c r="R130" s="22"/>
      <c r="S130" s="31">
        <f>SUM(U130:U130)/IF(AG130="EC",12,1)</f>
        <v>1</v>
      </c>
      <c r="T130" s="46" t="str">
        <f>IF(ISEVEN(LEFT(AD130,4)),"Southbound","NorthBound")</f>
        <v>NorthBound</v>
      </c>
      <c r="U130" s="18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2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-04-09T16:48:18-0600',mode:absolute,to:'2017-04-09T19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0" s="183" t="str">
        <f>IF(AA130&lt;IF(AG130="EC",23,5.65),"Y","N")</f>
        <v>N</v>
      </c>
      <c r="X130" s="183">
        <f>VALUE(LEFT(AD130,4))-VALUE(LEFT(AD129,4))</f>
        <v>1</v>
      </c>
      <c r="Y130" s="62">
        <f>RIGHT(D130,LEN(D130)-4)/10000</f>
        <v>4.3700000000000003E-2</v>
      </c>
      <c r="Z130" s="62">
        <f>RIGHT(H130,LEN(H130)-4)/10000</f>
        <v>23.330200000000001</v>
      </c>
      <c r="AA130" s="62">
        <f>ABS(Z130-Y130)</f>
        <v>23.2865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>IF(LEN(A130)=6,"0"&amp;A130,A130)</f>
        <v>0213-09</v>
      </c>
      <c r="AE130" s="85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s3://rtdc.mdm.uploadarchive.raw/RTDC4012/ "%USERPROFILE%\AppData\Local\Temp\OnboardLogs"\RTDC4012\2017-04-09 --exclude "*" --recursive --include "*20170409*" &amp; "%USERPROFILE%\Documents\GitHub\mrs-test-scripts\Headless Mode &amp; Sideloading\WalkAndUnGZ.bat" "%USERPROFILE%\AppData\Local\Temp\OnboardLogs"\RTDC4012\2017-04-09 &amp; aws s3 cp s3://rtdc.mdm.uploadarchive.raw/RTDC4012/ "%USERPROFILE%\AppData\Local\Temp\OnboardLogs"\RTDC4012\2017-04-10 --exclude "*" --recursive --include "*20170410*" &amp; "%USERPROFILE%\Documents\GitHub\mrs-test-scripts\Headless Mode &amp; Sideloading\WalkAndUnGZ.bat" "%USERPROFILE%\AppData\Local\Temp\OnboardLogs"\RTDC4012\2017-04-10</v>
      </c>
      <c r="AF130" s="82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/stypes="app*4012*20170410*" /stext=" 00:.+((SYSTEM_STATE.+slice.+state.+changed )|(ment ac)|(multiple cpu faults)|(system.+state.+changed )|(\[timeout)|(PRM\|1\|D)|(kpr)|(kdp)|(\|lc)|(penalty))"</v>
      </c>
      <c r="AG130" s="1" t="str">
        <f>IFERROR(IF(VALUE(LEFT(AD130,2))&lt;=2,"EC",IF(OR(VALUE(LEFT(AD130,2))=8,VALUE(LEFT(AD130,2))=18),"NW","Other")),"Other")</f>
        <v>EC</v>
      </c>
      <c r="AH130" s="86" t="str">
        <f t="shared" si="8"/>
        <v>"%USERPROFILE%\Documents\GitHub\eaglep3\Utilities\RefineRTDCRunTimes.py" --tripid 213-09 --locoid 4012 --swversion DE.1.0.9.0 --startMP 204:437 --initTime 2017-04-09T17:48:18 --startdatetime 2017-04-09T17:52:08 --delay 2 --endMP 204:233302 --enddatetime 2017-04-09T18:35:13 --enforcementcount 0 &gt;&gt;C:\Users\stu\Documents\GitHub\eaglep3-reporting\EC\2017-04-09-refined-times.txt</v>
      </c>
      <c r="AI130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{"issue":{"subject":"","project_id":79,"tracker_id":40,"status_id":1,"priority_id":2,"assigned_to_id":23,"start_date":"2017-04-09","description":"","custom_fields":[{"id":1,"name":"Subdivision","value":"EC"},{"id":4,"name":"Milepost","value":"23.3302"},{"id":17,"name":"Train ID","value":"213-09"},{"id":16,"name":"Locomotive ID","value":"4012"},{"id":130,"name":"Impact","value":""},{"id":150,"name":"Time of Event (Mountain Time)","value":"18:35:13"},{"id":151,"name":"Denver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8"/>
      <c r="AL130" s="48"/>
      <c r="AM130" s="150" t="str">
        <f t="shared" si="10"/>
        <v>start /low /b %USERPROFILE%\Documents\GitHub\eaglep3\Utilities\DownloadLogsFromS3.py --loco 4012 --day 2017-04-09</v>
      </c>
      <c r="AN130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00:35:13"},{"id":29,"name":"Sharepoint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792</v>
      </c>
      <c r="B131" s="7">
        <v>4011</v>
      </c>
      <c r="C131" s="21" t="s">
        <v>215</v>
      </c>
      <c r="D131" s="21" t="s">
        <v>417</v>
      </c>
      <c r="E131" s="13">
        <v>42834.776122685187</v>
      </c>
      <c r="F131" s="13">
        <v>42834.778749999998</v>
      </c>
      <c r="G131" s="7">
        <v>1</v>
      </c>
      <c r="H131" s="21" t="s">
        <v>211</v>
      </c>
      <c r="I131" s="13">
        <v>42834.810162037036</v>
      </c>
      <c r="J131" s="7">
        <v>0</v>
      </c>
      <c r="K131" s="97" t="str">
        <f>IF(ISEVEN(B131),(B131-1)&amp;"/"&amp;B131,B131&amp;"/"&amp;(B131+1))</f>
        <v>4011/4012</v>
      </c>
      <c r="L131" s="21" t="str">
        <f>VLOOKUP(A131,'Trips&amp;Operators'!$C$1:$G$99999,5,FALSE)</f>
        <v>DAVIDSON DAVID</v>
      </c>
      <c r="M131" s="6">
        <f>I131-F131</f>
        <v>3.1412037038535345E-2</v>
      </c>
      <c r="N131" s="7">
        <f>24*60*SUM($M131:$M131)</f>
        <v>45.233333335490897</v>
      </c>
      <c r="O131" s="7"/>
      <c r="P131" s="7"/>
      <c r="Q131" s="22"/>
      <c r="R131" s="22"/>
      <c r="S131" s="31">
        <f>SUM(U131:U131)/IF(AG131="EC",12,1)</f>
        <v>1</v>
      </c>
      <c r="T131" s="46" t="str">
        <f>IF(ISEVEN(LEFT(AD131,4)),"Southbound","NorthBound")</f>
        <v>Southbound</v>
      </c>
      <c r="U131" s="18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2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-04-09T17:37:37-0600',mode:absolute,to:'2017-04-09T20:26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1" s="183" t="str">
        <f>IF(AA131&lt;IF(AG131="EC",23,5.65),"Y","N")</f>
        <v>N</v>
      </c>
      <c r="X131" s="183">
        <f>VALUE(LEFT(AD131,4))-VALUE(LEFT(AD130,4))</f>
        <v>1</v>
      </c>
      <c r="Y131" s="62">
        <f>RIGHT(D131,LEN(D131)-4)/10000</f>
        <v>23.299299999999999</v>
      </c>
      <c r="Z131" s="62">
        <f>RIGHT(H131,LEN(H131)-4)/10000</f>
        <v>1.5599999999999999E-2</v>
      </c>
      <c r="AA131" s="62">
        <f>ABS(Z131-Y131)</f>
        <v>23.2837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>IF(LEN(A131)=6,"0"&amp;A131,A131)</f>
        <v>0214-09</v>
      </c>
      <c r="AE131" s="85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s3://rtdc.mdm.uploadarchive.raw/RTDC4011/ "%USERPROFILE%\AppData\Local\Temp\OnboardLogs"\RTDC4011\2017-04-09 --exclude "*" --recursive --include "*20170409*" &amp; "%USERPROFILE%\Documents\GitHub\mrs-test-scripts\Headless Mode &amp; Sideloading\WalkAndUnGZ.bat" "%USERPROFILE%\AppData\Local\Temp\OnboardLogs"\RTDC4011\2017-04-09 &amp; aws s3 cp s3://rtdc.mdm.uploadarchive.raw/RTDC4011/ "%USERPROFILE%\AppData\Local\Temp\OnboardLogs"\RTDC4011\2017-04-10 --exclude "*" --recursive --include "*20170410*" &amp; "%USERPROFILE%\Documents\GitHub\mrs-test-scripts\Headless Mode &amp; Sideloading\WalkAndUnGZ.bat" "%USERPROFILE%\AppData\Local\Temp\OnboardLogs"\RTDC4011\2017-04-10</v>
      </c>
      <c r="AF131" s="82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/stypes="app*4011*20170410*" /stext=" 01:.+((SYSTEM_STATE.+slice.+state.+changed )|(ment ac)|(multiple cpu faults)|(system.+state.+changed )|(\[timeout)|(PRM\|1\|D)|(kpr)|(kdp)|(\|lc)|(penalty))"</v>
      </c>
      <c r="AG131" s="1" t="str">
        <f>IFERROR(IF(VALUE(LEFT(AD131,2))&lt;=2,"EC",IF(OR(VALUE(LEFT(AD131,2))=8,VALUE(LEFT(AD131,2))=18),"NW","Other")),"Other")</f>
        <v>EC</v>
      </c>
      <c r="AH131" s="86" t="str">
        <f t="shared" si="8"/>
        <v>"%USERPROFILE%\Documents\GitHub\eaglep3\Utilities\RefineRTDCRunTimes.py" --tripid 214-09 --locoid 4011 --swversion DE.1.0.9.0 --startMP 204:232993 --initTime 2017-04-09T18:37:37 --startdatetime 2017-04-09T18:41:24 --delay 1 --endMP 204:156 --enddatetime 2017-04-09T19:26:38 --enforcementcount 0 &gt;&gt;C:\Users\stu\Documents\GitHub\eaglep3-reporting\EC\2017-04-09-refined-times.txt</v>
      </c>
      <c r="AI131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{"issue":{"subject":"","project_id":79,"tracker_id":40,"status_id":1,"priority_id":2,"assigned_to_id":23,"start_date":"2017-04-09","description":"","custom_fields":[{"id":1,"name":"Subdivision","value":"EC"},{"id":4,"name":"Milepost","value":"0.0156"},{"id":17,"name":"Train ID","value":"214-09"},{"id":16,"name":"Locomotive ID","value":"4011"},{"id":130,"name":"Impact","value":""},{"id":150,"name":"Time of Event (Mountain Time)","value":"19:26:38"},{"id":151,"name":"Denver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8"/>
      <c r="AL131" s="48"/>
      <c r="AM131" s="150" t="str">
        <f t="shared" si="10"/>
        <v>start /low /b %USERPROFILE%\Documents\GitHub\eaglep3\Utilities\DownloadLogsFromS3.py --loco 4011 --day 2017-04-09</v>
      </c>
      <c r="AN131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01:26:38"},{"id":29,"name":"Sharepoint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784</v>
      </c>
      <c r="B132" s="7">
        <v>4030</v>
      </c>
      <c r="C132" s="21" t="s">
        <v>215</v>
      </c>
      <c r="D132" s="21" t="s">
        <v>209</v>
      </c>
      <c r="E132" s="13">
        <v>42834.755833333336</v>
      </c>
      <c r="F132" s="13">
        <v>42834.758587962962</v>
      </c>
      <c r="G132" s="7">
        <v>2</v>
      </c>
      <c r="H132" s="21" t="s">
        <v>576</v>
      </c>
      <c r="I132" s="13">
        <v>42834.786585648151</v>
      </c>
      <c r="J132" s="7">
        <v>0</v>
      </c>
      <c r="K132" s="97" t="str">
        <f>IF(ISEVEN(B132),(B132-1)&amp;"/"&amp;B132,B132&amp;"/"&amp;(B132+1))</f>
        <v>4029/4030</v>
      </c>
      <c r="L132" s="21" t="str">
        <f>VLOOKUP(A132,'Trips&amp;Operators'!$C$1:$G$99999,5,FALSE)</f>
        <v>BRANDNER MELINDA</v>
      </c>
      <c r="M132" s="6">
        <f>I132-F132</f>
        <v>2.7997685188893229E-2</v>
      </c>
      <c r="N132" s="7">
        <f>24*60*SUM($M132:$M132)</f>
        <v>40.316666672006249</v>
      </c>
      <c r="O132" s="7"/>
      <c r="P132" s="7"/>
      <c r="Q132" s="22"/>
      <c r="R132" s="22"/>
      <c r="S132" s="31">
        <f>SUM(U132:U132)/IF(AG132="EC",12,1)</f>
        <v>1</v>
      </c>
      <c r="T132" s="46" t="str">
        <f>IF(ISEVEN(LEFT(AD132,4)),"Southbound","NorthBound")</f>
        <v>NorthBound</v>
      </c>
      <c r="U132" s="18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2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-04-09T17:08:24-0600',mode:absolute,to:'2017-04-09T19:52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2" s="183" t="str">
        <f>IF(AA132&lt;IF(AG132="EC",23,5.65),"Y","N")</f>
        <v>N</v>
      </c>
      <c r="X132" s="183">
        <f>VALUE(LEFT(AD132,4))-VALUE(LEFT(AD131,4))</f>
        <v>1</v>
      </c>
      <c r="Y132" s="62">
        <f>RIGHT(D132,LEN(D132)-4)/10000</f>
        <v>4.53E-2</v>
      </c>
      <c r="Z132" s="62">
        <f>RIGHT(H132,LEN(H132)-4)/10000</f>
        <v>23.3293</v>
      </c>
      <c r="AA132" s="62">
        <f>ABS(Z132-Y132)</f>
        <v>23.283999999999999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>IF(LEN(A132)=6,"0"&amp;A132,A132)</f>
        <v>0215-09</v>
      </c>
      <c r="AE132" s="85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s3://rtdc.mdm.uploadarchive.raw/RTDC4030/ "%USERPROFILE%\AppData\Local\Temp\OnboardLogs"\RTDC4030\2017-04-09 --exclude "*" --recursive --include "*20170409*" &amp; "%USERPROFILE%\Documents\GitHub\mrs-test-scripts\Headless Mode &amp; Sideloading\WalkAndUnGZ.bat" "%USERPROFILE%\AppData\Local\Temp\OnboardLogs"\RTDC4030\2017-04-09 &amp; aws s3 cp s3://rtdc.mdm.uploadarchive.raw/RTDC4030/ "%USERPROFILE%\AppData\Local\Temp\OnboardLogs"\RTDC4030\2017-04-10 --exclude "*" --recursive --include "*20170410*" &amp; "%USERPROFILE%\Documents\GitHub\mrs-test-scripts\Headless Mode &amp; Sideloading\WalkAndUnGZ.bat" "%USERPROFILE%\AppData\Local\Temp\OnboardLogs"\RTDC4030\2017-04-10</v>
      </c>
      <c r="AF132" s="82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/stypes="app*4030*20170410*" /stext=" 00:.+((SYSTEM_STATE.+slice.+state.+changed )|(ment ac)|(multiple cpu faults)|(system.+state.+changed )|(\[timeout)|(PRM\|1\|D)|(kpr)|(kdp)|(\|lc)|(penalty))"</v>
      </c>
      <c r="AG132" s="1" t="str">
        <f>IFERROR(IF(VALUE(LEFT(AD132,2))&lt;=2,"EC",IF(OR(VALUE(LEFT(AD132,2))=8,VALUE(LEFT(AD132,2))=18),"NW","Other")),"Other")</f>
        <v>EC</v>
      </c>
      <c r="AH132" s="86" t="str">
        <f t="shared" si="8"/>
        <v>"%USERPROFILE%\Documents\GitHub\eaglep3\Utilities\RefineRTDCRunTimes.py" --tripid 215-09 --locoid 4030 --swversion DE.1.0.9.0 --startMP 204:453 --initTime 2017-04-09T18:08:24 --startdatetime 2017-04-09T18:12:22 --delay 2 --endMP 204:233293 --enddatetime 2017-04-09T18:52:41 --enforcementcount 0 &gt;&gt;C:\Users\stu\Documents\GitHub\eaglep3-reporting\EC\2017-04-09-refined-times.txt</v>
      </c>
      <c r="AI132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{"issue":{"subject":"","project_id":79,"tracker_id":40,"status_id":1,"priority_id":2,"assigned_to_id":23,"start_date":"2017-04-09","description":"","custom_fields":[{"id":1,"name":"Subdivision","value":"EC"},{"id":4,"name":"Milepost","value":"23.3293"},{"id":17,"name":"Train ID","value":"215-09"},{"id":16,"name":"Locomotive ID","value":"4030"},{"id":130,"name":"Impact","value":""},{"id":150,"name":"Time of Event (Mountain Time)","value":"18:52:41"},{"id":151,"name":"Denver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8"/>
      <c r="AL132" s="48"/>
      <c r="AM132" s="150" t="str">
        <f t="shared" si="10"/>
        <v>start /low /b %USERPROFILE%\Documents\GitHub\eaglep3\Utilities\DownloadLogsFromS3.py --loco 4030 --day 2017-04-09</v>
      </c>
      <c r="AN132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00:52:41"},{"id":29,"name":"Sharepoint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621</v>
      </c>
      <c r="B133" s="7">
        <v>4029</v>
      </c>
      <c r="C133" s="21" t="s">
        <v>215</v>
      </c>
      <c r="D133" s="21" t="s">
        <v>451</v>
      </c>
      <c r="E133" s="13">
        <v>42834.788240740738</v>
      </c>
      <c r="F133" s="13">
        <v>42834.79042824074</v>
      </c>
      <c r="G133" s="7">
        <v>1</v>
      </c>
      <c r="H133" s="21" t="s">
        <v>406</v>
      </c>
      <c r="I133" s="13">
        <v>42834.821157407408</v>
      </c>
      <c r="J133" s="7">
        <v>0</v>
      </c>
      <c r="K133" s="97" t="str">
        <f>IF(ISEVEN(B133),(B133-1)&amp;"/"&amp;B133,B133&amp;"/"&amp;(B133+1))</f>
        <v>4029/4030</v>
      </c>
      <c r="L133" s="21" t="str">
        <f>VLOOKUP(A133,'Trips&amp;Operators'!$C$1:$G$99999,5,FALSE)</f>
        <v>BRANDNER MELINDA</v>
      </c>
      <c r="M133" s="6">
        <f>I133-F133</f>
        <v>3.0729166668606922E-2</v>
      </c>
      <c r="N133" s="7">
        <f>24*60*SUM($M133:$M133)</f>
        <v>44.250000002793968</v>
      </c>
      <c r="O133" s="7"/>
      <c r="P133" s="7"/>
      <c r="Q133" s="22"/>
      <c r="R133" s="22"/>
      <c r="S133" s="31">
        <f>SUM(U133:U133)/IF(AG133="EC",12,1)</f>
        <v>1</v>
      </c>
      <c r="T133" s="46" t="str">
        <f>IF(ISEVEN(LEFT(AD133,4)),"Southbound","NorthBound")</f>
        <v>Southbound</v>
      </c>
      <c r="U133" s="18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2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-04-09T17:55:04-0600',mode:absolute,to:'2017-04-09T20:42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3" s="183" t="str">
        <f>IF(AA133&lt;IF(AG133="EC",23,5.65),"Y","N")</f>
        <v>N</v>
      </c>
      <c r="X133" s="183">
        <f>VALUE(LEFT(AD133,4))-VALUE(LEFT(AD132,4))</f>
        <v>1</v>
      </c>
      <c r="Y133" s="62">
        <f>RIGHT(D133,LEN(D133)-4)/10000</f>
        <v>23.297499999999999</v>
      </c>
      <c r="Z133" s="62">
        <f>RIGHT(H133,LEN(H133)-4)/10000</f>
        <v>1.38E-2</v>
      </c>
      <c r="AA133" s="62">
        <f>ABS(Z133-Y133)</f>
        <v>23.2837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>IF(LEN(A133)=6,"0"&amp;A133,A133)</f>
        <v>0216-09</v>
      </c>
      <c r="AE133" s="85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s3://rtdc.mdm.uploadarchive.raw/RTDC4029/ "%USERPROFILE%\AppData\Local\Temp\OnboardLogs"\RTDC4029\2017-04-09 --exclude "*" --recursive --include "*20170409*" &amp; "%USERPROFILE%\Documents\GitHub\mrs-test-scripts\Headless Mode &amp; Sideloading\WalkAndUnGZ.bat" "%USERPROFILE%\AppData\Local\Temp\OnboardLogs"\RTDC4029\2017-04-09 &amp; aws s3 cp s3://rtdc.mdm.uploadarchive.raw/RTDC4029/ "%USERPROFILE%\AppData\Local\Temp\OnboardLogs"\RTDC4029\2017-04-10 --exclude "*" --recursive --include "*20170410*" &amp; "%USERPROFILE%\Documents\GitHub\mrs-test-scripts\Headless Mode &amp; Sideloading\WalkAndUnGZ.bat" "%USERPROFILE%\AppData\Local\Temp\OnboardLogs"\RTDC4029\2017-04-10</v>
      </c>
      <c r="AF133" s="82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/stypes="app*4029*20170410*" /stext=" 01:.+((SYSTEM_STATE.+slice.+state.+changed )|(ment ac)|(multiple cpu faults)|(system.+state.+changed )|(\[timeout)|(PRM\|1\|D)|(kpr)|(kdp)|(\|lc)|(penalty))"</v>
      </c>
      <c r="AG133" s="1" t="str">
        <f>IFERROR(IF(VALUE(LEFT(AD133,2))&lt;=2,"EC",IF(OR(VALUE(LEFT(AD133,2))=8,VALUE(LEFT(AD133,2))=18),"NW","Other")),"Other")</f>
        <v>EC</v>
      </c>
      <c r="AH133" s="86" t="str">
        <f t="shared" si="8"/>
        <v>"%USERPROFILE%\Documents\GitHub\eaglep3\Utilities\RefineRTDCRunTimes.py" --tripid 216-09 --locoid 4029 --swversion DE.1.0.9.0 --startMP 204:232975 --initTime 2017-04-09T18:55:04 --startdatetime 2017-04-09T18:58:13 --delay 1 --endMP 204:138 --enddatetime 2017-04-09T19:42:28 --enforcementcount 0 &gt;&gt;C:\Users\stu\Documents\GitHub\eaglep3-reporting\EC\2017-04-09-refined-times.txt</v>
      </c>
      <c r="AI133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{"issue":{"subject":"","project_id":79,"tracker_id":40,"status_id":1,"priority_id":2,"assigned_to_id":23,"start_date":"2017-04-09","description":"","custom_fields":[{"id":1,"name":"Subdivision","value":"EC"},{"id":4,"name":"Milepost","value":"0.0138"},{"id":17,"name":"Train ID","value":"216-09"},{"id":16,"name":"Locomotive ID","value":"4029"},{"id":130,"name":"Impact","value":""},{"id":150,"name":"Time of Event (Mountain Time)","value":"19:42:28"},{"id":151,"name":"Denver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8"/>
      <c r="AL133" s="48"/>
      <c r="AM133" s="150" t="str">
        <f t="shared" si="10"/>
        <v>start /low /b %USERPROFILE%\Documents\GitHub\eaglep3\Utilities\DownloadLogsFromS3.py --loco 4029 --day 2017-04-09</v>
      </c>
      <c r="AN133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01:42:28"},{"id":29,"name":"Sharepoint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787</v>
      </c>
      <c r="B134" s="7">
        <v>4004</v>
      </c>
      <c r="C134" s="21" t="s">
        <v>215</v>
      </c>
      <c r="D134" s="21" t="s">
        <v>940</v>
      </c>
      <c r="E134" s="13">
        <v>42834.763460648152</v>
      </c>
      <c r="F134" s="13">
        <v>42834.765486111108</v>
      </c>
      <c r="G134" s="7">
        <v>2</v>
      </c>
      <c r="H134" s="21" t="s">
        <v>429</v>
      </c>
      <c r="I134" s="13">
        <v>42834.793912037036</v>
      </c>
      <c r="J134" s="7">
        <v>0</v>
      </c>
      <c r="K134" s="97" t="str">
        <f>IF(ISEVEN(B134),(B134-1)&amp;"/"&amp;B134,B134&amp;"/"&amp;(B134+1))</f>
        <v>4003/4004</v>
      </c>
      <c r="L134" s="21" t="str">
        <f>VLOOKUP(A134,'Trips&amp;Operators'!$C$1:$G$99999,5,FALSE)</f>
        <v>SMITH MICHAEL</v>
      </c>
      <c r="M134" s="6">
        <f>I134-F134</f>
        <v>2.842592592787696E-2</v>
      </c>
      <c r="N134" s="7">
        <f>24*60*SUM($M134:$M134)</f>
        <v>40.933333336142823</v>
      </c>
      <c r="O134" s="7"/>
      <c r="P134" s="7"/>
      <c r="Q134" s="22"/>
      <c r="R134" s="22"/>
      <c r="S134" s="31">
        <f>SUM(U134:U134)/IF(AG134="EC",12,1)</f>
        <v>1</v>
      </c>
      <c r="T134" s="46" t="str">
        <f>IF(ISEVEN(LEFT(AD134,4)),"Southbound","NorthBound")</f>
        <v>NorthBound</v>
      </c>
      <c r="U134" s="18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2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-04-09T17:19:23-0600',mode:absolute,to:'2017-04-09T20:03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4" s="183" t="str">
        <f>IF(AA134&lt;IF(AG134="EC",23,5.65),"Y","N")</f>
        <v>N</v>
      </c>
      <c r="X134" s="183">
        <f>VALUE(LEFT(AD134,4))-VALUE(LEFT(AD133,4))</f>
        <v>1</v>
      </c>
      <c r="Y134" s="62">
        <f>RIGHT(D134,LEN(D134)-4)/10000</f>
        <v>0.10489999999999999</v>
      </c>
      <c r="Z134" s="62">
        <f>RIGHT(H134,LEN(H134)-4)/10000</f>
        <v>23.329699999999999</v>
      </c>
      <c r="AA134" s="62">
        <f>ABS(Z134-Y134)</f>
        <v>23.224799999999998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>IF(LEN(A134)=6,"0"&amp;A134,A134)</f>
        <v>0217-09</v>
      </c>
      <c r="AE134" s="85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s3://rtdc.mdm.uploadarchive.raw/RTDC4004/ "%USERPROFILE%\AppData\Local\Temp\OnboardLogs"\RTDC4004\2017-04-09 --exclude "*" --recursive --include "*20170409*" &amp; "%USERPROFILE%\Documents\GitHub\mrs-test-scripts\Headless Mode &amp; Sideloading\WalkAndUnGZ.bat" "%USERPROFILE%\AppData\Local\Temp\OnboardLogs"\RTDC4004\2017-04-09 &amp; aws s3 cp s3://rtdc.mdm.uploadarchive.raw/RTDC4004/ "%USERPROFILE%\AppData\Local\Temp\OnboardLogs"\RTDC4004\2017-04-10 --exclude "*" --recursive --include "*20170410*" &amp; "%USERPROFILE%\Documents\GitHub\mrs-test-scripts\Headless Mode &amp; Sideloading\WalkAndUnGZ.bat" "%USERPROFILE%\AppData\Local\Temp\OnboardLogs"\RTDC4004\2017-04-10</v>
      </c>
      <c r="AF134" s="82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/stypes="app*4004*20170410*" /stext=" 01:.+((SYSTEM_STATE.+slice.+state.+changed )|(ment ac)|(multiple cpu faults)|(system.+state.+changed )|(\[timeout)|(PRM\|1\|D)|(kpr)|(kdp)|(\|lc)|(penalty))"</v>
      </c>
      <c r="AG134" s="1" t="str">
        <f>IFERROR(IF(VALUE(LEFT(AD134,2))&lt;=2,"EC",IF(OR(VALUE(LEFT(AD134,2))=8,VALUE(LEFT(AD134,2))=18),"NW","Other")),"Other")</f>
        <v>EC</v>
      </c>
      <c r="AH134" s="86" t="str">
        <f t="shared" si="8"/>
        <v>"%USERPROFILE%\Documents\GitHub\eaglep3\Utilities\RefineRTDCRunTimes.py" --tripid 217-09 --locoid 4004 --swversion DE.1.0.9.0 --startMP 204:1049 --initTime 2017-04-09T18:19:23 --startdatetime 2017-04-09T18:22:18 --delay 2 --endMP 204:233297 --enddatetime 2017-04-09T19:03:14 --enforcementcount 0 &gt;&gt;C:\Users\stu\Documents\GitHub\eaglep3-reporting\EC\2017-04-09-refined-times.txt</v>
      </c>
      <c r="AI134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{"issue":{"subject":"","project_id":79,"tracker_id":40,"status_id":1,"priority_id":2,"assigned_to_id":23,"start_date":"2017-04-09","description":"","custom_fields":[{"id":1,"name":"Subdivision","value":"EC"},{"id":4,"name":"Milepost","value":"23.3297"},{"id":17,"name":"Train ID","value":"217-09"},{"id":16,"name":"Locomotive ID","value":"4004"},{"id":130,"name":"Impact","value":""},{"id":150,"name":"Time of Event (Mountain Time)","value":"19:03:14"},{"id":151,"name":"Denver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8"/>
      <c r="AL134" s="48"/>
      <c r="AM134" s="150" t="str">
        <f t="shared" si="10"/>
        <v>start /low /b %USERPROFILE%\Documents\GitHub\eaglep3\Utilities\DownloadLogsFromS3.py --loco 4004 --day 2017-04-09</v>
      </c>
      <c r="AN134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01:03:14"},{"id":29,"name":"Sharepoint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795</v>
      </c>
      <c r="B135" s="7">
        <v>4003</v>
      </c>
      <c r="C135" s="21" t="s">
        <v>215</v>
      </c>
      <c r="D135" s="21" t="s">
        <v>941</v>
      </c>
      <c r="E135" s="13">
        <v>42834.795092592591</v>
      </c>
      <c r="F135" s="13">
        <v>42834.799583333333</v>
      </c>
      <c r="G135" s="7">
        <v>1</v>
      </c>
      <c r="H135" s="21" t="s">
        <v>198</v>
      </c>
      <c r="I135" s="13">
        <v>42834.828738425924</v>
      </c>
      <c r="J135" s="7">
        <v>0</v>
      </c>
      <c r="K135" s="97" t="str">
        <f>IF(ISEVEN(B135),(B135-1)&amp;"/"&amp;B135,B135&amp;"/"&amp;(B135+1))</f>
        <v>4003/4004</v>
      </c>
      <c r="L135" s="21" t="str">
        <f>VLOOKUP(A135,'Trips&amp;Operators'!$C$1:$G$99999,5,FALSE)</f>
        <v>SMITH MICHAEL</v>
      </c>
      <c r="M135" s="6">
        <f>I135-F135</f>
        <v>2.9155092590372078E-2</v>
      </c>
      <c r="N135" s="7">
        <f>24*60*SUM($M135:$M135)</f>
        <v>41.983333330135792</v>
      </c>
      <c r="O135" s="7"/>
      <c r="P135" s="7"/>
      <c r="Q135" s="22"/>
      <c r="R135" s="22"/>
      <c r="S135" s="31">
        <f>SUM(U135:U135)/IF(AG135="EC",12,1)</f>
        <v>1</v>
      </c>
      <c r="T135" s="46" t="str">
        <f>IF(ISEVEN(LEFT(AD135,4)),"Southbound","NorthBound")</f>
        <v>Southbound</v>
      </c>
      <c r="U135" s="18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2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-04-09T18:04:56-0600',mode:absolute,to:'2017-04-09T20:53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5" s="183" t="str">
        <f>IF(AA135&lt;IF(AG135="EC",23,5.65),"Y","N")</f>
        <v>N</v>
      </c>
      <c r="X135" s="183">
        <f>VALUE(LEFT(AD135,4))-VALUE(LEFT(AD134,4))</f>
        <v>1</v>
      </c>
      <c r="Y135" s="62">
        <f>RIGHT(D135,LEN(D135)-4)/10000</f>
        <v>23.2974</v>
      </c>
      <c r="Z135" s="62">
        <f>RIGHT(H135,LEN(H135)-4)/10000</f>
        <v>1.5800000000000002E-2</v>
      </c>
      <c r="AA135" s="62">
        <f>ABS(Z135-Y135)</f>
        <v>23.281600000000001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>IF(LEN(A135)=6,"0"&amp;A135,A135)</f>
        <v>0218-09</v>
      </c>
      <c r="AE135" s="85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s3://rtdc.mdm.uploadarchive.raw/RTDC4003/ "%USERPROFILE%\AppData\Local\Temp\OnboardLogs"\RTDC4003\2017-04-09 --exclude "*" --recursive --include "*20170409*" &amp; "%USERPROFILE%\Documents\GitHub\mrs-test-scripts\Headless Mode &amp; Sideloading\WalkAndUnGZ.bat" "%USERPROFILE%\AppData\Local\Temp\OnboardLogs"\RTDC4003\2017-04-09 &amp; aws s3 cp s3://rtdc.mdm.uploadarchive.raw/RTDC4003/ "%USERPROFILE%\AppData\Local\Temp\OnboardLogs"\RTDC4003\2017-04-10 --exclude "*" --recursive --include "*20170410*" &amp; "%USERPROFILE%\Documents\GitHub\mrs-test-scripts\Headless Mode &amp; Sideloading\WalkAndUnGZ.bat" "%USERPROFILE%\AppData\Local\Temp\OnboardLogs"\RTDC4003\2017-04-10</v>
      </c>
      <c r="AF135" s="82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/stypes="app*4003*20170410*" /stext=" 01:.+((SYSTEM_STATE.+slice.+state.+changed )|(ment ac)|(multiple cpu faults)|(system.+state.+changed )|(\[timeout)|(PRM\|1\|D)|(kpr)|(kdp)|(\|lc)|(penalty))"</v>
      </c>
      <c r="AG135" s="1" t="str">
        <f>IFERROR(IF(VALUE(LEFT(AD135,2))&lt;=2,"EC",IF(OR(VALUE(LEFT(AD135,2))=8,VALUE(LEFT(AD135,2))=18),"NW","Other")),"Other")</f>
        <v>EC</v>
      </c>
      <c r="AH135" s="86" t="str">
        <f t="shared" si="8"/>
        <v>"%USERPROFILE%\Documents\GitHub\eaglep3\Utilities\RefineRTDCRunTimes.py" --tripid 218-09 --locoid 4003 --swversion DE.1.0.9.0 --startMP 204:232974 --initTime 2017-04-09T19:04:56 --startdatetime 2017-04-09T19:11:24 --delay 1 --endMP 204:158 --enddatetime 2017-04-09T19:53:23 --enforcementcount 0 &gt;&gt;C:\Users\stu\Documents\GitHub\eaglep3-reporting\EC\2017-04-09-refined-times.txt</v>
      </c>
      <c r="AI135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{"issue":{"subject":"","project_id":79,"tracker_id":40,"status_id":1,"priority_id":2,"assigned_to_id":23,"start_date":"2017-04-09","description":"","custom_fields":[{"id":1,"name":"Subdivision","value":"EC"},{"id":4,"name":"Milepost","value":"0.0158"},{"id":17,"name":"Train ID","value":"218-09"},{"id":16,"name":"Locomotive ID","value":"4003"},{"id":130,"name":"Impact","value":""},{"id":150,"name":"Time of Event (Mountain Time)","value":"19:53:23"},{"id":151,"name":"Denver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8"/>
      <c r="AL135" s="48"/>
      <c r="AM135" s="150" t="str">
        <f t="shared" si="10"/>
        <v>start /low /b %USERPROFILE%\Documents\GitHub\eaglep3\Utilities\DownloadLogsFromS3.py --loco 4003 --day 2017-04-09</v>
      </c>
      <c r="AN135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01:53:23"},{"id":29,"name":"Sharepoint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620</v>
      </c>
      <c r="B136" s="7">
        <v>4046</v>
      </c>
      <c r="C136" s="21" t="s">
        <v>215</v>
      </c>
      <c r="D136" s="21" t="s">
        <v>205</v>
      </c>
      <c r="E136" s="13">
        <v>42834.768229166664</v>
      </c>
      <c r="F136" s="13">
        <v>42834.771319444444</v>
      </c>
      <c r="G136" s="7">
        <v>1</v>
      </c>
      <c r="H136" s="21" t="s">
        <v>942</v>
      </c>
      <c r="I136" s="13">
        <v>42834.797337962962</v>
      </c>
      <c r="J136" s="7">
        <v>0</v>
      </c>
      <c r="K136" s="97" t="str">
        <f>IF(ISEVEN(B136),(B136-1)&amp;"/"&amp;B136,B136&amp;"/"&amp;(B136+1))</f>
        <v>4045/4046</v>
      </c>
      <c r="L136" s="21" t="str">
        <f>VLOOKUP(A136,'Trips&amp;Operators'!$C$1:$G$99999,5,FALSE)</f>
        <v>STAMBAUGH JAMES</v>
      </c>
      <c r="M136" s="6">
        <f>I136-F136</f>
        <v>2.6018518517958E-2</v>
      </c>
      <c r="N136" s="7">
        <f>24*60*SUM($M136:$M136)</f>
        <v>37.46666666585952</v>
      </c>
      <c r="O136" s="7"/>
      <c r="P136" s="7"/>
      <c r="Q136" s="22"/>
      <c r="R136" s="22"/>
      <c r="S136" s="31">
        <f>SUM(U136:U136)/IF(AG136="EC",12,1)</f>
        <v>1</v>
      </c>
      <c r="T136" s="46" t="str">
        <f>IF(ISEVEN(LEFT(AD136,4)),"Southbound","NorthBound")</f>
        <v>NorthBound</v>
      </c>
      <c r="U136" s="18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2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-04-09T17:26:15-0600',mode:absolute,to:'2017-04-09T20:08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6" s="183" t="str">
        <f>IF(AA136&lt;IF(AG136="EC",23,5.65),"Y","N")</f>
        <v>N</v>
      </c>
      <c r="X136" s="183">
        <f>VALUE(LEFT(AD136,4))-VALUE(LEFT(AD135,4))</f>
        <v>1</v>
      </c>
      <c r="Y136" s="62">
        <f>RIGHT(D136,LEN(D136)-4)/10000</f>
        <v>4.5699999999999998E-2</v>
      </c>
      <c r="Z136" s="62">
        <f>RIGHT(H136,LEN(H136)-4)/10000</f>
        <v>23.3368</v>
      </c>
      <c r="AA136" s="62">
        <f>ABS(Z136-Y136)</f>
        <v>23.2911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>IF(LEN(A136)=6,"0"&amp;A136,A136)</f>
        <v>0219-09</v>
      </c>
      <c r="AE136" s="85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s3://rtdc.mdm.uploadarchive.raw/RTDC4046/ "%USERPROFILE%\AppData\Local\Temp\OnboardLogs"\RTDC4046\2017-04-09 --exclude "*" --recursive --include "*20170409*" &amp; "%USERPROFILE%\Documents\GitHub\mrs-test-scripts\Headless Mode &amp; Sideloading\WalkAndUnGZ.bat" "%USERPROFILE%\AppData\Local\Temp\OnboardLogs"\RTDC4046\2017-04-09 &amp; aws s3 cp s3://rtdc.mdm.uploadarchive.raw/RTDC4046/ "%USERPROFILE%\AppData\Local\Temp\OnboardLogs"\RTDC4046\2017-04-10 --exclude "*" --recursive --include "*20170410*" &amp; "%USERPROFILE%\Documents\GitHub\mrs-test-scripts\Headless Mode &amp; Sideloading\WalkAndUnGZ.bat" "%USERPROFILE%\AppData\Local\Temp\OnboardLogs"\RTDC4046\2017-04-10</v>
      </c>
      <c r="AF136" s="82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/stypes="app*4046*20170410*" /stext=" 01:.+((SYSTEM_STATE.+slice.+state.+changed )|(ment ac)|(multiple cpu faults)|(system.+state.+changed )|(\[timeout)|(PRM\|1\|D)|(kpr)|(kdp)|(\|lc)|(penalty))"</v>
      </c>
      <c r="AG136" s="1" t="str">
        <f>IFERROR(IF(VALUE(LEFT(AD136,2))&lt;=2,"EC",IF(OR(VALUE(LEFT(AD136,2))=8,VALUE(LEFT(AD136,2))=18),"NW","Other")),"Other")</f>
        <v>EC</v>
      </c>
      <c r="AH136" s="86" t="str">
        <f t="shared" si="8"/>
        <v>"%USERPROFILE%\Documents\GitHub\eaglep3\Utilities\RefineRTDCRunTimes.py" --tripid 219-09 --locoid 4046 --swversion DE.1.0.9.0 --startMP 204:457 --initTime 2017-04-09T18:26:15 --startdatetime 2017-04-09T18:30:42 --delay 1 --endMP 204:233368 --enddatetime 2017-04-09T19:08:10 --enforcementcount 0 &gt;&gt;C:\Users\stu\Documents\GitHub\eaglep3-reporting\EC\2017-04-09-refined-times.txt</v>
      </c>
      <c r="AI136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{"issue":{"subject":"","project_id":79,"tracker_id":40,"status_id":1,"priority_id":2,"assigned_to_id":23,"start_date":"2017-04-09","description":"","custom_fields":[{"id":1,"name":"Subdivision","value":"EC"},{"id":4,"name":"Milepost","value":"23.3368"},{"id":17,"name":"Train ID","value":"219-09"},{"id":16,"name":"Locomotive ID","value":"4046"},{"id":130,"name":"Impact","value":""},{"id":150,"name":"Time of Event (Mountain Time)","value":"19:08:10"},{"id":151,"name":"Denver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8"/>
      <c r="AL136" s="48"/>
      <c r="AM136" s="150" t="str">
        <f t="shared" si="10"/>
        <v>start /low /b %USERPROFILE%\Documents\GitHub\eaglep3\Utilities\DownloadLogsFromS3.py --loco 4046 --day 2017-04-09</v>
      </c>
      <c r="AN136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01:08:10"},{"id":29,"name":"Sharepoint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798</v>
      </c>
      <c r="B137" s="7">
        <v>4045</v>
      </c>
      <c r="C137" s="21" t="s">
        <v>215</v>
      </c>
      <c r="D137" s="21" t="s">
        <v>943</v>
      </c>
      <c r="E137" s="13">
        <v>42834.804872685185</v>
      </c>
      <c r="F137" s="13">
        <v>42834.811157407406</v>
      </c>
      <c r="G137" s="7">
        <v>2</v>
      </c>
      <c r="H137" s="21" t="s">
        <v>944</v>
      </c>
      <c r="I137" s="13">
        <v>42834.838287037041</v>
      </c>
      <c r="J137" s="7">
        <v>0</v>
      </c>
      <c r="K137" s="97" t="str">
        <f>IF(ISEVEN(B137),(B137-1)&amp;"/"&amp;B137,B137&amp;"/"&amp;(B137+1))</f>
        <v>4045/4046</v>
      </c>
      <c r="L137" s="21" t="str">
        <f>VLOOKUP(A137,'Trips&amp;Operators'!$C$1:$G$99999,5,FALSE)</f>
        <v>STAMBAUGH JAMES</v>
      </c>
      <c r="M137" s="6">
        <f>I137-F137</f>
        <v>2.7129629634146113E-2</v>
      </c>
      <c r="N137" s="7">
        <f>24*60*SUM($M137:$M137)</f>
        <v>39.066666673170403</v>
      </c>
      <c r="O137" s="7"/>
      <c r="P137" s="7"/>
      <c r="Q137" s="22"/>
      <c r="R137" s="22"/>
      <c r="S137" s="31">
        <f>SUM(U137:U137)/IF(AG137="EC",12,1)</f>
        <v>1</v>
      </c>
      <c r="T137" s="46" t="str">
        <f>IF(ISEVEN(LEFT(AD137,4)),"Southbound","NorthBound")</f>
        <v>Southbound</v>
      </c>
      <c r="U137" s="18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2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-04-09T18:19:01-0600',mode:absolute,to:'2017-04-09T21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7" s="183" t="str">
        <f>IF(AA137&lt;IF(AG137="EC",23,5.65),"Y","N")</f>
        <v>N</v>
      </c>
      <c r="X137" s="183">
        <f>VALUE(LEFT(AD137,4))-VALUE(LEFT(AD136,4))</f>
        <v>1</v>
      </c>
      <c r="Y137" s="62">
        <f>RIGHT(D137,LEN(D137)-4)/10000</f>
        <v>23.307200000000002</v>
      </c>
      <c r="Z137" s="62">
        <f>RIGHT(H137,LEN(H137)-4)/10000</f>
        <v>1.0500000000000001E-2</v>
      </c>
      <c r="AA137" s="62">
        <f>ABS(Z137-Y137)</f>
        <v>23.296700000000001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>IF(LEN(A137)=6,"0"&amp;A137,A137)</f>
        <v>0220-09</v>
      </c>
      <c r="AE137" s="85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s3://rtdc.mdm.uploadarchive.raw/RTDC4045/ "%USERPROFILE%\AppData\Local\Temp\OnboardLogs"\RTDC4045\2017-04-09 --exclude "*" --recursive --include "*20170409*" &amp; "%USERPROFILE%\Documents\GitHub\mrs-test-scripts\Headless Mode &amp; Sideloading\WalkAndUnGZ.bat" "%USERPROFILE%\AppData\Local\Temp\OnboardLogs"\RTDC4045\2017-04-09 &amp; aws s3 cp s3://rtdc.mdm.uploadarchive.raw/RTDC4045/ "%USERPROFILE%\AppData\Local\Temp\OnboardLogs"\RTDC4045\2017-04-10 --exclude "*" --recursive --include "*20170410*" &amp; "%USERPROFILE%\Documents\GitHub\mrs-test-scripts\Headless Mode &amp; Sideloading\WalkAndUnGZ.bat" "%USERPROFILE%\AppData\Local\Temp\OnboardLogs"\RTDC4045\2017-04-10</v>
      </c>
      <c r="AF137" s="82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/stypes="app*4045*20170410*" /stext=" 02:.+((SYSTEM_STATE.+slice.+state.+changed )|(ment ac)|(multiple cpu faults)|(system.+state.+changed )|(\[timeout)|(PRM\|1\|D)|(kpr)|(kdp)|(\|lc)|(penalty))"</v>
      </c>
      <c r="AG137" s="1" t="str">
        <f>IFERROR(IF(VALUE(LEFT(AD137,2))&lt;=2,"EC",IF(OR(VALUE(LEFT(AD137,2))=8,VALUE(LEFT(AD137,2))=18),"NW","Other")),"Other")</f>
        <v>EC</v>
      </c>
      <c r="AH137" s="86" t="str">
        <f t="shared" si="8"/>
        <v>"%USERPROFILE%\Documents\GitHub\eaglep3\Utilities\RefineRTDCRunTimes.py" --tripid 220-09 --locoid 4045 --swversion DE.1.0.9.0 --startMP 204:233072 --initTime 2017-04-09T19:19:01 --startdatetime 2017-04-09T19:28:04 --delay 2 --endMP 204:105 --enddatetime 2017-04-09T20:07:08 --enforcementcount 0 &gt;&gt;C:\Users\stu\Documents\GitHub\eaglep3-reporting\EC\2017-04-09-refined-times.txt</v>
      </c>
      <c r="AI137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{"issue":{"subject":"","project_id":79,"tracker_id":40,"status_id":1,"priority_id":2,"assigned_to_id":23,"start_date":"2017-04-09","description":"","custom_fields":[{"id":1,"name":"Subdivision","value":"EC"},{"id":4,"name":"Milepost","value":"0.0105"},{"id":17,"name":"Train ID","value":"220-09"},{"id":16,"name":"Locomotive ID","value":"4045"},{"id":130,"name":"Impact","value":""},{"id":150,"name":"Time of Event (Mountain Time)","value":"20:07:08"},{"id":151,"name":"Denver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8"/>
      <c r="AL137" s="48"/>
      <c r="AM137" s="150" t="str">
        <f t="shared" si="10"/>
        <v>start /low /b %USERPROFILE%\Documents\GitHub\eaglep3\Utilities\DownloadLogsFromS3.py --loco 4045 --day 2017-04-09</v>
      </c>
      <c r="AN137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02:07:08"},{"id":29,"name":"Sharepoint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794</v>
      </c>
      <c r="B138" s="7">
        <v>4024</v>
      </c>
      <c r="C138" s="21" t="s">
        <v>215</v>
      </c>
      <c r="D138" s="21" t="s">
        <v>574</v>
      </c>
      <c r="E138" s="13">
        <v>42834.791574074072</v>
      </c>
      <c r="F138" s="13">
        <v>42834.792627314811</v>
      </c>
      <c r="G138" s="7">
        <v>1</v>
      </c>
      <c r="H138" s="21" t="s">
        <v>522</v>
      </c>
      <c r="I138" s="13">
        <v>42834.819062499999</v>
      </c>
      <c r="J138" s="7">
        <v>0</v>
      </c>
      <c r="K138" s="97" t="str">
        <f>IF(ISEVEN(B138),(B138-1)&amp;"/"&amp;B138,B138&amp;"/"&amp;(B138+1))</f>
        <v>4023/4024</v>
      </c>
      <c r="L138" s="21" t="str">
        <f>VLOOKUP(A138,'Trips&amp;Operators'!$C$1:$G$99999,5,FALSE)</f>
        <v>CHANDLER KELVIN</v>
      </c>
      <c r="M138" s="6">
        <f>I138-F138</f>
        <v>2.6435185187438037E-2</v>
      </c>
      <c r="N138" s="7">
        <f>24*60*SUM($M138:$M138)</f>
        <v>38.066666669910774</v>
      </c>
      <c r="O138" s="7"/>
      <c r="P138" s="7"/>
      <c r="Q138" s="22"/>
      <c r="R138" s="22"/>
      <c r="S138" s="31">
        <f>SUM(U138:U138)/IF(AG138="EC",12,1)</f>
        <v>1</v>
      </c>
      <c r="T138" s="46" t="str">
        <f>IF(ISEVEN(LEFT(AD138,4)),"Southbound","NorthBound")</f>
        <v>NorthBound</v>
      </c>
      <c r="U138" s="18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2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-04-09T17:59:52-0600',mode:absolute,to:'2017-04-09T20:39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8" s="183" t="str">
        <f>IF(AA138&lt;IF(AG138="EC",23,5.65),"Y","N")</f>
        <v>N</v>
      </c>
      <c r="X138" s="183">
        <f>VALUE(LEFT(AD138,4))-VALUE(LEFT(AD137,4))</f>
        <v>1</v>
      </c>
      <c r="Y138" s="62">
        <f>RIGHT(D138,LEN(D138)-4)/10000</f>
        <v>4.4200000000000003E-2</v>
      </c>
      <c r="Z138" s="62">
        <f>RIGHT(H138,LEN(H138)-4)/10000</f>
        <v>23.327400000000001</v>
      </c>
      <c r="AA138" s="62">
        <f>ABS(Z138-Y138)</f>
        <v>23.283200000000001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>IF(LEN(A138)=6,"0"&amp;A138,A138)</f>
        <v>0221-09</v>
      </c>
      <c r="AE138" s="85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s3://rtdc.mdm.uploadarchive.raw/RTDC4024/ "%USERPROFILE%\AppData\Local\Temp\OnboardLogs"\RTDC4024\2017-04-09 --exclude "*" --recursive --include "*20170409*" &amp; "%USERPROFILE%\Documents\GitHub\mrs-test-scripts\Headless Mode &amp; Sideloading\WalkAndUnGZ.bat" "%USERPROFILE%\AppData\Local\Temp\OnboardLogs"\RTDC4024\2017-04-09 &amp; aws s3 cp s3://rtdc.mdm.uploadarchive.raw/RTDC4024/ "%USERPROFILE%\AppData\Local\Temp\OnboardLogs"\RTDC4024\2017-04-10 --exclude "*" --recursive --include "*20170410*" &amp; "%USERPROFILE%\Documents\GitHub\mrs-test-scripts\Headless Mode &amp; Sideloading\WalkAndUnGZ.bat" "%USERPROFILE%\AppData\Local\Temp\OnboardLogs"\RTDC4024\2017-04-10</v>
      </c>
      <c r="AF138" s="82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/stypes="app*4024*20170410*" /stext=" 01:.+((SYSTEM_STATE.+slice.+state.+changed )|(ment ac)|(multiple cpu faults)|(system.+state.+changed )|(\[timeout)|(PRM\|1\|D)|(kpr)|(kdp)|(\|lc)|(penalty))"</v>
      </c>
      <c r="AG138" s="1" t="str">
        <f>IFERROR(IF(VALUE(LEFT(AD138,2))&lt;=2,"EC",IF(OR(VALUE(LEFT(AD138,2))=8,VALUE(LEFT(AD138,2))=18),"NW","Other")),"Other")</f>
        <v>EC</v>
      </c>
      <c r="AH138" s="86" t="str">
        <f t="shared" si="8"/>
        <v>"%USERPROFILE%\Documents\GitHub\eaglep3\Utilities\RefineRTDCRunTimes.py" --tripid 221-09 --locoid 4024 --swversion DE.1.0.9.0 --startMP 204:442 --initTime 2017-04-09T18:59:52 --startdatetime 2017-04-09T19:01:23 --delay 1 --endMP 204:233274 --enddatetime 2017-04-09T19:39:27 --enforcementcount 0 &gt;&gt;C:\Users\stu\Documents\GitHub\eaglep3-reporting\EC\2017-04-09-refined-times.txt</v>
      </c>
      <c r="AI138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{"issue":{"subject":"","project_id":79,"tracker_id":40,"status_id":1,"priority_id":2,"assigned_to_id":23,"start_date":"2017-04-09","description":"","custom_fields":[{"id":1,"name":"Subdivision","value":"EC"},{"id":4,"name":"Milepost","value":"23.3274"},{"id":17,"name":"Train ID","value":"221-09"},{"id":16,"name":"Locomotive ID","value":"4024"},{"id":130,"name":"Impact","value":""},{"id":150,"name":"Time of Event (Mountain Time)","value":"19:39:27"},{"id":151,"name":"Denver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8"/>
      <c r="AL138" s="48"/>
      <c r="AM138" s="150" t="str">
        <f t="shared" si="10"/>
        <v>start /low /b %USERPROFILE%\Documents\GitHub\eaglep3\Utilities\DownloadLogsFromS3.py --loco 4024 --day 2017-04-09</v>
      </c>
      <c r="AN138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01:39:27"},{"id":29,"name":"Sharepoint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801</v>
      </c>
      <c r="B139" s="7">
        <v>4023</v>
      </c>
      <c r="C139" s="21" t="s">
        <v>215</v>
      </c>
      <c r="D139" s="21" t="s">
        <v>574</v>
      </c>
      <c r="E139" s="13">
        <v>42834.791574074072</v>
      </c>
      <c r="F139" s="13">
        <v>42834.831238425926</v>
      </c>
      <c r="G139" s="7">
        <v>1</v>
      </c>
      <c r="H139" s="21" t="s">
        <v>522</v>
      </c>
      <c r="I139" s="13">
        <v>42834.85292824074</v>
      </c>
      <c r="J139" s="7">
        <v>0</v>
      </c>
      <c r="K139" s="97" t="str">
        <f>IF(ISEVEN(B139),(B139-1)&amp;"/"&amp;B139,B139&amp;"/"&amp;(B139+1))</f>
        <v>4023/4024</v>
      </c>
      <c r="L139" s="21" t="str">
        <f>VLOOKUP(A139,'Trips&amp;Operators'!$C$1:$G$99999,5,FALSE)</f>
        <v>CHANDLER KELVIN</v>
      </c>
      <c r="M139" s="6">
        <f>I139-F139</f>
        <v>2.1689814813726116E-2</v>
      </c>
      <c r="N139" s="7"/>
      <c r="O139" s="7"/>
      <c r="P139" s="7">
        <f>24*60*SUM($M139:$M139)</f>
        <v>31.233333331765607</v>
      </c>
      <c r="Q139" s="22"/>
      <c r="R139" s="22" t="s">
        <v>485</v>
      </c>
      <c r="S139" s="31">
        <f>SUM(U139:U139)/IF(AG139="EC",12,1)</f>
        <v>0.66666666666666663</v>
      </c>
      <c r="T139" s="46" t="str">
        <f>IF(ISEVEN(LEFT(AD139,4)),"Southbound","NorthBound")</f>
        <v>Southbound</v>
      </c>
      <c r="U139" s="18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8</v>
      </c>
      <c r="V139" s="182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-04-09T17:59:52-0600',mode:absolute,to:'2017-04-09T21:28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39" s="183" t="str">
        <f>IF(AA139&lt;IF(AG139="EC",23,5.65),"Y","N")</f>
        <v>Y</v>
      </c>
      <c r="X139" s="183">
        <f t="shared" ref="X139:X142" si="12">VALUE(LEFT(AD139,4))-VALUE(LEFT(AD138,4))</f>
        <v>1</v>
      </c>
      <c r="Y139" s="62">
        <v>23.3</v>
      </c>
      <c r="Z139" s="62">
        <v>4.3600000000000003</v>
      </c>
      <c r="AA139" s="62">
        <f>ABS(Z139-Y139)</f>
        <v>18.940000000000001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>IF(LEN(A139)=6,"0"&amp;A139,A139)</f>
        <v>0222-09</v>
      </c>
      <c r="AE139" s="85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s3://rtdc.mdm.uploadarchive.raw/RTDC4023/ "%USERPROFILE%\AppData\Local\Temp\OnboardLogs"\RTDC4023\2017-04-09 --exclude "*" --recursive --include "*20170409*" &amp; "%USERPROFILE%\Documents\GitHub\mrs-test-scripts\Headless Mode &amp; Sideloading\WalkAndUnGZ.bat" "%USERPROFILE%\AppData\Local\Temp\OnboardLogs"\RTDC4023\2017-04-09 &amp; aws s3 cp s3://rtdc.mdm.uploadarchive.raw/RTDC4023/ "%USERPROFILE%\AppData\Local\Temp\OnboardLogs"\RTDC4023\2017-04-10 --exclude "*" --recursive --include "*20170410*" &amp; "%USERPROFILE%\Documents\GitHub\mrs-test-scripts\Headless Mode &amp; Sideloading\WalkAndUnGZ.bat" "%USERPROFILE%\AppData\Local\Temp\OnboardLogs"\RTDC4023\2017-04-10</v>
      </c>
      <c r="AF139" s="82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/stypes="app*4023*20170410*" /stext=" 02:.+((SYSTEM_STATE.+slice.+state.+changed )|(ment ac)|(multiple cpu faults)|(system.+state.+changed )|(\[timeout)|(PRM\|1\|D)|(kpr)|(kdp)|(\|lc)|(penalty))"</v>
      </c>
      <c r="AG139" s="1" t="str">
        <f>IFERROR(IF(VALUE(LEFT(AD139,2))&lt;=2,"EC",IF(OR(VALUE(LEFT(AD139,2))=8,VALUE(LEFT(AD139,2))=18),"NW","Other")),"Other")</f>
        <v>EC</v>
      </c>
      <c r="AH139" s="86" t="str">
        <f t="shared" ref="AH139" si="13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222-09 --locoid 4023 --swversion DE.1.0.9.0 --startMP 204:442 --initTime 2017-04-09T18:59:52 --startdatetime 2017-04-09T19:56:59 --delay 1 --endMP 204:233274 --enddatetime 2017-04-09T20:28:13 --enforcementcount 0 &gt;&gt;C:\Users\stu\Documents\GitHub\eaglep3-reporting\EC\2017-04-09-refined-times.txt</v>
      </c>
      <c r="AI139" s="104" t="str">
        <f t="shared" ref="AI139" si="14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Z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failure","project_id":79,"tracker_id":40,"status_id":1,"priority_id":2,"assigned_to_id":23,"start_date":"2017-04-09","description":"","custom_fields":[{"id":1,"name":"Subdivision","value":"EC"},{"id":4,"name":"Milepost","value":"4.36"},{"id":17,"name":"Train ID","value":"222-09"},{"id":16,"name":"Locomotive ID","value":"4023"},{"id":130,"name":"Impact","value":""},{"id":150,"name":"Time of Event (Mountain Time)","value":"20:28:13"},{"id":151,"name":"Denver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8"/>
      <c r="AL139" s="48"/>
      <c r="AM139" s="150" t="str">
        <f t="shared" ref="AM139" si="15">"start /low /b "&amp;dls3logs&amp;" --loco "&amp;B139&amp;" --day "&amp;TEXT(F139,"YYYY-MM-DD")</f>
        <v>start /low /b %USERPROFILE%\Documents\GitHub\eaglep3\Utilities\DownloadLogsFromS3.py --loco 4023 --day 2017-04-09</v>
      </c>
      <c r="AN139" s="159" t="str">
        <f t="shared" ref="AN139" si="16">"echo {""issue"":{""subject"":"""&amp;R139&amp;""",""project_id"":30,""tracker_id"":4,""status_id"":"&amp;redmine_status_wcr&amp;",""priority_id"":"&amp;redmine_priority_wcr&amp;",""assigned_to_id"":"&amp;redmine_assignee_wcr&amp;",""start_date"":"""&amp;TEXT(I139-utc_offset/24,"YYYY-mm-dd")&amp;""",""description"":"""&amp;AJ139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in-route failure","project_id":30,"tracker_id":4,"status_id":1,"priority_id":1,"assigned_to_id":10,"start_date":"2017-04-10","description":"","custom_fields":[{"id":30,"name":"Category","value":"Issue"},{"id":3,"name":"Functional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02:28:13"},{"id":29,"name":"Sharepoint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0" spans="1:91" s="20" customFormat="1" x14ac:dyDescent="0.25">
      <c r="A140" s="33" t="s">
        <v>799</v>
      </c>
      <c r="B140" s="7">
        <v>4012</v>
      </c>
      <c r="C140" s="21" t="s">
        <v>215</v>
      </c>
      <c r="D140" s="21" t="s">
        <v>516</v>
      </c>
      <c r="E140" s="13">
        <v>42834.811805555553</v>
      </c>
      <c r="F140" s="13">
        <v>42834.813819444447</v>
      </c>
      <c r="G140" s="7">
        <v>1</v>
      </c>
      <c r="H140" s="21" t="s">
        <v>415</v>
      </c>
      <c r="I140" s="13">
        <v>42834.841423611113</v>
      </c>
      <c r="J140" s="7">
        <v>0</v>
      </c>
      <c r="K140" s="97" t="str">
        <f>IF(ISEVEN(B140),(B140-1)&amp;"/"&amp;B140,B140&amp;"/"&amp;(B140+1))</f>
        <v>4011/4012</v>
      </c>
      <c r="L140" s="21" t="str">
        <f>VLOOKUP(A140,'Trips&amp;Operators'!$C$1:$G$99999,5,FALSE)</f>
        <v>DAVIDSON DAVID</v>
      </c>
      <c r="M140" s="6">
        <f>I140-F140</f>
        <v>2.7604166665696539E-2</v>
      </c>
      <c r="N140" s="7">
        <f>24*60*SUM($M140:$M140)</f>
        <v>39.749999998603016</v>
      </c>
      <c r="O140" s="7"/>
      <c r="P140" s="7"/>
      <c r="Q140" s="22"/>
      <c r="R140" s="22"/>
      <c r="S140" s="31">
        <f>SUM(U140:U140)/IF(AG140="EC",12,1)</f>
        <v>1</v>
      </c>
      <c r="T140" s="46" t="str">
        <f>IF(ISEVEN(LEFT(AD140,4)),"Southbound","NorthBound")</f>
        <v>NorthBound</v>
      </c>
      <c r="U140" s="18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2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-04-09T18:29:00-0600',mode:absolute,to:'2017-04-09T21:11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0" s="183" t="str">
        <f>IF(AA140&lt;IF(AG140="EC",23,5.65),"Y","N")</f>
        <v>N</v>
      </c>
      <c r="X140" s="183">
        <f t="shared" si="12"/>
        <v>1</v>
      </c>
      <c r="Y140" s="62">
        <f>RIGHT(D140,LEN(D140)-4)/10000</f>
        <v>4.6699999999999998E-2</v>
      </c>
      <c r="Z140" s="62">
        <f>RIGHT(H140,LEN(H140)-4)/10000</f>
        <v>23.330400000000001</v>
      </c>
      <c r="AA140" s="62">
        <f>ABS(Z140-Y140)</f>
        <v>23.2837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>IF(LEN(A140)=6,"0"&amp;A140,A140)</f>
        <v>0223-09</v>
      </c>
      <c r="AE140" s="85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s3://rtdc.mdm.uploadarchive.raw/RTDC4012/ "%USERPROFILE%\AppData\Local\Temp\OnboardLogs"\RTDC4012\2017-04-09 --exclude "*" --recursive --include "*20170409*" &amp; "%USERPROFILE%\Documents\GitHub\mrs-test-scripts\Headless Mode &amp; Sideloading\WalkAndUnGZ.bat" "%USERPROFILE%\AppData\Local\Temp\OnboardLogs"\RTDC4012\2017-04-09 &amp; aws s3 cp s3://rtdc.mdm.uploadarchive.raw/RTDC4012/ "%USERPROFILE%\AppData\Local\Temp\OnboardLogs"\RTDC4012\2017-04-10 --exclude "*" --recursive --include "*20170410*" &amp; "%USERPROFILE%\Documents\GitHub\mrs-test-scripts\Headless Mode &amp; Sideloading\WalkAndUnGZ.bat" "%USERPROFILE%\AppData\Local\Temp\OnboardLogs"\RTDC4012\2017-04-10</v>
      </c>
      <c r="AF140" s="82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/stypes="app*4012*20170410*" /stext=" 02:.+((SYSTEM_STATE.+slice.+state.+changed )|(ment ac)|(multiple cpu faults)|(system.+state.+changed )|(\[timeout)|(PRM\|1\|D)|(kpr)|(kdp)|(\|lc)|(penalty))"</v>
      </c>
      <c r="AG140" s="1" t="str">
        <f>IFERROR(IF(VALUE(LEFT(AD140,2))&lt;=2,"EC",IF(OR(VALUE(LEFT(AD140,2))=8,VALUE(LEFT(AD140,2))=18),"NW","Other")),"Other")</f>
        <v>EC</v>
      </c>
      <c r="AH140" s="86" t="str">
        <f t="shared" si="8"/>
        <v>"%USERPROFILE%\Documents\GitHub\eaglep3\Utilities\RefineRTDCRunTimes.py" --tripid 223-09 --locoid 4012 --swversion DE.1.0.9.0 --startMP 204:467 --initTime 2017-04-09T19:29:00 --startdatetime 2017-04-09T19:31:54 --delay 1 --endMP 204:233304 --enddatetime 2017-04-09T20:11:39 --enforcementcount 0 &gt;&gt;C:\Users\stu\Documents\GitHub\eaglep3-reporting\EC\2017-04-09-refined-times.txt</v>
      </c>
      <c r="AI140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{"issue":{"subject":"","project_id":79,"tracker_id":40,"status_id":1,"priority_id":2,"assigned_to_id":23,"start_date":"2017-04-09","description":"","custom_fields":[{"id":1,"name":"Subdivision","value":"EC"},{"id":4,"name":"Milepost","value":"23.3304"},{"id":17,"name":"Train ID","value":"223-09"},{"id":16,"name":"Locomotive ID","value":"4012"},{"id":130,"name":"Impact","value":""},{"id":150,"name":"Time of Event (Mountain Time)","value":"20:11:39"},{"id":151,"name":"Denver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8"/>
      <c r="AL140" s="48"/>
      <c r="AM140" s="150" t="str">
        <f t="shared" si="10"/>
        <v>start /low /b %USERPROFILE%\Documents\GitHub\eaglep3\Utilities\DownloadLogsFromS3.py --loco 4012 --day 2017-04-09</v>
      </c>
      <c r="AN140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02:11:39"},{"id":29,"name":"Sharepoint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805</v>
      </c>
      <c r="B141" s="7">
        <v>4011</v>
      </c>
      <c r="C141" s="21" t="s">
        <v>215</v>
      </c>
      <c r="D141" s="21" t="s">
        <v>515</v>
      </c>
      <c r="E141" s="13">
        <v>42834.845532407409</v>
      </c>
      <c r="F141" s="13">
        <v>42834.851620370369</v>
      </c>
      <c r="G141" s="7">
        <v>1</v>
      </c>
      <c r="H141" s="21" t="s">
        <v>406</v>
      </c>
      <c r="I141" s="13">
        <v>42834.882800925923</v>
      </c>
      <c r="J141" s="7">
        <v>0</v>
      </c>
      <c r="K141" s="97" t="str">
        <f>IF(ISEVEN(B141),(B141-1)&amp;"/"&amp;B141,B141&amp;"/"&amp;(B141+1))</f>
        <v>4011/4012</v>
      </c>
      <c r="L141" s="21" t="str">
        <f>VLOOKUP(A141,'Trips&amp;Operators'!$C$1:$G$99999,5,FALSE)</f>
        <v>DAVIDSON DAVID</v>
      </c>
      <c r="M141" s="6">
        <f>I141-F141</f>
        <v>3.1180555553874001E-2</v>
      </c>
      <c r="N141" s="7">
        <f>24*60*SUM($M141:$M141)</f>
        <v>44.899999997578561</v>
      </c>
      <c r="O141" s="7"/>
      <c r="P141" s="7"/>
      <c r="Q141" s="22"/>
      <c r="R141" s="22"/>
      <c r="S141" s="31">
        <f>SUM(U141:U141)/IF(AG141="EC",12,1)</f>
        <v>1</v>
      </c>
      <c r="T141" s="46" t="str">
        <f>IF(ISEVEN(LEFT(AD141,4)),"Southbound","NorthBound")</f>
        <v>Southbound</v>
      </c>
      <c r="U141" s="18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2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-04-09T19:17:34-0600',mode:absolute,to:'2017-04-09T22:11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1" s="183" t="str">
        <f>IF(AA141&lt;IF(AG141="EC",23,5.65),"Y","N")</f>
        <v>N</v>
      </c>
      <c r="X141" s="183">
        <f t="shared" si="12"/>
        <v>1</v>
      </c>
      <c r="Y141" s="62">
        <f>RIGHT(D141,LEN(D141)-4)/10000</f>
        <v>23.298300000000001</v>
      </c>
      <c r="Z141" s="62">
        <f>RIGHT(H141,LEN(H141)-4)/10000</f>
        <v>1.38E-2</v>
      </c>
      <c r="AA141" s="62">
        <f>ABS(Z141-Y141)</f>
        <v>23.284500000000001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>IF(LEN(A141)=6,"0"&amp;A141,A141)</f>
        <v>0224-09</v>
      </c>
      <c r="AE141" s="85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s3://rtdc.mdm.uploadarchive.raw/RTDC4011/ "%USERPROFILE%\AppData\Local\Temp\OnboardLogs"\RTDC4011\2017-04-09 --exclude "*" --recursive --include "*20170409*" &amp; "%USERPROFILE%\Documents\GitHub\mrs-test-scripts\Headless Mode &amp; Sideloading\WalkAndUnGZ.bat" "%USERPROFILE%\AppData\Local\Temp\OnboardLogs"\RTDC4011\2017-04-09 &amp; aws s3 cp s3://rtdc.mdm.uploadarchive.raw/RTDC4011/ "%USERPROFILE%\AppData\Local\Temp\OnboardLogs"\RTDC4011\2017-04-10 --exclude "*" --recursive --include "*20170410*" &amp; "%USERPROFILE%\Documents\GitHub\mrs-test-scripts\Headless Mode &amp; Sideloading\WalkAndUnGZ.bat" "%USERPROFILE%\AppData\Local\Temp\OnboardLogs"\RTDC4011\2017-04-10</v>
      </c>
      <c r="AF141" s="82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/stypes="app*4011*20170410*" /stext=" 03:.+((SYSTEM_STATE.+slice.+state.+changed )|(ment ac)|(multiple cpu faults)|(system.+state.+changed )|(\[timeout)|(PRM\|1\|D)|(kpr)|(kdp)|(\|lc)|(penalty))"</v>
      </c>
      <c r="AG141" s="1" t="str">
        <f>IFERROR(IF(VALUE(LEFT(AD141,2))&lt;=2,"EC",IF(OR(VALUE(LEFT(AD141,2))=8,VALUE(LEFT(AD141,2))=18),"NW","Other")),"Other")</f>
        <v>EC</v>
      </c>
      <c r="AH141" s="86" t="str">
        <f t="shared" si="8"/>
        <v>"%USERPROFILE%\Documents\GitHub\eaglep3\Utilities\RefineRTDCRunTimes.py" --tripid 224-09 --locoid 4011 --swversion DE.1.0.9.0 --startMP 204:232983 --initTime 2017-04-09T20:17:34 --startdatetime 2017-04-09T20:26:20 --delay 1 --endMP 204:138 --enddatetime 2017-04-09T21:11:14 --enforcementcount 0 &gt;&gt;C:\Users\stu\Documents\GitHub\eaglep3-reporting\EC\2017-04-09-refined-times.txt</v>
      </c>
      <c r="AI141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{"issue":{"subject":"","project_id":79,"tracker_id":40,"status_id":1,"priority_id":2,"assigned_to_id":23,"start_date":"2017-04-09","description":"","custom_fields":[{"id":1,"name":"Subdivision","value":"EC"},{"id":4,"name":"Milepost","value":"0.0138"},{"id":17,"name":"Train ID","value":"224-09"},{"id":16,"name":"Locomotive ID","value":"4011"},{"id":130,"name":"Impact","value":""},{"id":150,"name":"Time of Event (Mountain Time)","value":"21:11:14"},{"id":151,"name":"Denver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8"/>
      <c r="AL141" s="48"/>
      <c r="AM141" s="150" t="str">
        <f t="shared" si="10"/>
        <v>start /low /b %USERPROFILE%\Documents\GitHub\eaglep3\Utilities\DownloadLogsFromS3.py --loco 4011 --day 2017-04-09</v>
      </c>
      <c r="AN141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03:11:14"},{"id":29,"name":"Sharepoint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x14ac:dyDescent="0.25">
      <c r="A142" s="33" t="s">
        <v>802</v>
      </c>
      <c r="B142" s="7">
        <v>4004</v>
      </c>
      <c r="C142" s="21" t="s">
        <v>215</v>
      </c>
      <c r="D142" s="21" t="s">
        <v>528</v>
      </c>
      <c r="E142" s="13">
        <v>42834.831550925926</v>
      </c>
      <c r="F142" s="13">
        <v>42834.83353009259</v>
      </c>
      <c r="G142" s="7">
        <v>1</v>
      </c>
      <c r="H142" s="21" t="s">
        <v>519</v>
      </c>
      <c r="I142" s="13">
        <v>42834.859155092592</v>
      </c>
      <c r="J142" s="7">
        <v>0</v>
      </c>
      <c r="K142" s="97" t="str">
        <f>IF(ISEVEN(B142),(B142-1)&amp;"/"&amp;B142,B142&amp;"/"&amp;(B142+1))</f>
        <v>4003/4004</v>
      </c>
      <c r="L142" s="21" t="str">
        <f>VLOOKUP(A142,'Trips&amp;Operators'!$C$1:$G$99999,5,FALSE)</f>
        <v>SMITH MICHAEL</v>
      </c>
      <c r="M142" s="6">
        <f>I142-F142</f>
        <v>2.5625000002037268E-2</v>
      </c>
      <c r="N142" s="7">
        <f>24*60*SUM($M142:$M142)</f>
        <v>36.900000002933666</v>
      </c>
      <c r="O142" s="7"/>
      <c r="P142" s="7"/>
      <c r="Q142" s="22"/>
      <c r="R142" s="22"/>
      <c r="S142" s="31">
        <f>SUM(U142:U142)/IF(AG142="EC",12,1)</f>
        <v>1</v>
      </c>
      <c r="T142" s="46" t="str">
        <f>IF(ISEVEN(LEFT(AD142,4)),"Southbound","NorthBound")</f>
        <v>NorthBound</v>
      </c>
      <c r="U142" s="18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2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-04-09T18:57:26-0600',mode:absolute,to:'2017-04-09T21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2" s="183" t="str">
        <f>IF(AA142&lt;IF(AG142="EC",23,5.65),"Y","N")</f>
        <v>N</v>
      </c>
      <c r="X142" s="183">
        <f t="shared" si="12"/>
        <v>1</v>
      </c>
      <c r="Y142" s="62">
        <f>RIGHT(D142,LEN(D142)-4)/10000</f>
        <v>4.6399999999999997E-2</v>
      </c>
      <c r="Z142" s="62">
        <f>RIGHT(H142,LEN(H142)-4)/10000</f>
        <v>23.3291</v>
      </c>
      <c r="AA142" s="62">
        <f>ABS(Z142-Y142)</f>
        <v>23.282700000000002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>IF(LEN(A142)=6,"0"&amp;A142,A142)</f>
        <v>0225-09</v>
      </c>
      <c r="AE142" s="85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s3://rtdc.mdm.uploadarchive.raw/RTDC4004/ "%USERPROFILE%\AppData\Local\Temp\OnboardLogs"\RTDC4004\2017-04-09 --exclude "*" --recursive --include "*20170409*" &amp; "%USERPROFILE%\Documents\GitHub\mrs-test-scripts\Headless Mode &amp; Sideloading\WalkAndUnGZ.bat" "%USERPROFILE%\AppData\Local\Temp\OnboardLogs"\RTDC4004\2017-04-09 &amp; aws s3 cp s3://rtdc.mdm.uploadarchive.raw/RTDC4004/ "%USERPROFILE%\AppData\Local\Temp\OnboardLogs"\RTDC4004\2017-04-10 --exclude "*" --recursive --include "*20170410*" &amp; "%USERPROFILE%\Documents\GitHub\mrs-test-scripts\Headless Mode &amp; Sideloading\WalkAndUnGZ.bat" "%USERPROFILE%\AppData\Local\Temp\OnboardLogs"\RTDC4004\2017-04-10</v>
      </c>
      <c r="AF142" s="82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/stypes="app*4004*20170410*" /stext=" 02:.+((SYSTEM_STATE.+slice.+state.+changed )|(ment ac)|(multiple cpu faults)|(system.+state.+changed )|(\[timeout)|(PRM\|1\|D)|(kpr)|(kdp)|(\|lc)|(penalty))"</v>
      </c>
      <c r="AG142" s="1" t="str">
        <f>IFERROR(IF(VALUE(LEFT(AD142,2))&lt;=2,"EC",IF(OR(VALUE(LEFT(AD142,2))=8,VALUE(LEFT(AD142,2))=18),"NW","Other")),"Other")</f>
        <v>EC</v>
      </c>
      <c r="AH142" s="86" t="str">
        <f t="shared" si="8"/>
        <v>"%USERPROFILE%\Documents\GitHub\eaglep3\Utilities\RefineRTDCRunTimes.py" --tripid 225-09 --locoid 4004 --swversion DE.1.0.9.0 --startMP 204:464 --initTime 2017-04-09T19:57:26 --startdatetime 2017-04-09T20:00:17 --delay 1 --endMP 204:233291 --enddatetime 2017-04-09T20:37:11 --enforcementcount 0 &gt;&gt;C:\Users\stu\Documents\GitHub\eaglep3-reporting\EC\2017-04-09-refined-times.txt</v>
      </c>
      <c r="AI142" s="104" t="str">
        <f t="shared" si="9"/>
        <v>echo {"issue":{"subject":"","project_id":79,"tracker_id":40,"status_id":1,"priority_id":2,"assigned_to_id":23,"start_date":"2017-04-09","description":"","custom_fields":[{"id":1,"name":"Subdivision","value":"EC"},{"id":4,"name":"Milepost","value":"23.3291"},{"id":17,"name":"Train ID","value":"225-09"},{"id":16,"name":"Locomotive ID","value":"4004"},{"id":130,"name":"Impact","value":""},{"id":150,"name":"Time of Event (Mountain Time)","value":"20:37:11"},{"id":151,"name":"Denver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20"/>
      <c r="AK142" s="48"/>
      <c r="AL142" s="48"/>
      <c r="AM142" s="150" t="str">
        <f t="shared" si="10"/>
        <v>start /low /b %USERPROFILE%\Documents\GitHub\eaglep3\Utilities\DownloadLogsFromS3.py --loco 4004 --day 2017-04-09</v>
      </c>
      <c r="AN142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02:37:11"},{"id":29,"name":"Sharepoint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3" spans="1:91" s="20" customFormat="1" x14ac:dyDescent="0.25">
      <c r="A143" s="33" t="s">
        <v>807</v>
      </c>
      <c r="B143" s="7">
        <v>4003</v>
      </c>
      <c r="C143" s="21" t="s">
        <v>215</v>
      </c>
      <c r="D143" s="21" t="s">
        <v>866</v>
      </c>
      <c r="E143" s="13">
        <v>42834.86414351852</v>
      </c>
      <c r="F143" s="13">
        <v>42834.872453703705</v>
      </c>
      <c r="G143" s="7">
        <v>1</v>
      </c>
      <c r="H143" s="21" t="s">
        <v>407</v>
      </c>
      <c r="I143" s="13">
        <v>42834.902060185188</v>
      </c>
      <c r="J143" s="7">
        <v>0</v>
      </c>
      <c r="K143" s="97" t="str">
        <f>IF(ISEVEN(B143),(B143-1)&amp;"/"&amp;B143,B143&amp;"/"&amp;(B143+1))</f>
        <v>4003/4004</v>
      </c>
      <c r="L143" s="21" t="str">
        <f>VLOOKUP(A143,'Trips&amp;Operators'!$C$1:$G$99999,5,FALSE)</f>
        <v>SMITH MICHAEL</v>
      </c>
      <c r="M143" s="6">
        <f>I143-F143</f>
        <v>2.9606481482915115E-2</v>
      </c>
      <c r="N143" s="7">
        <f>24*60*SUM($M143:$M143)</f>
        <v>42.633333335397765</v>
      </c>
      <c r="O143" s="7"/>
      <c r="P143" s="7"/>
      <c r="Q143" s="22"/>
      <c r="R143" s="22"/>
      <c r="S143" s="31">
        <f>SUM(U143:U143)/IF(AG143="EC",12,1)</f>
        <v>1</v>
      </c>
      <c r="T143" s="46" t="str">
        <f>IF(ISEVEN(LEFT(AD143,4)),"Southbound","NorthBound")</f>
        <v>Southbound</v>
      </c>
      <c r="U143" s="18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2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-04-09T19:44:22-0600',mode:absolute,to:'2017-04-09T22:38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3" s="183" t="str">
        <f>IF(AA143&lt;IF(AG143="EC",23,5.65),"Y","N")</f>
        <v>N</v>
      </c>
      <c r="X143" s="183">
        <f>VALUE(LEFT(AD143,4))-VALUE(LEFT(AD142,4))</f>
        <v>1</v>
      </c>
      <c r="Y143" s="62">
        <f>RIGHT(D143,LEN(D143)-4)/10000</f>
        <v>23.2972</v>
      </c>
      <c r="Z143" s="62">
        <f>RIGHT(H143,LEN(H143)-4)/10000</f>
        <v>1.3899999999999999E-2</v>
      </c>
      <c r="AA143" s="62">
        <f>ABS(Z143-Y143)</f>
        <v>23.283300000000001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>IF(LEN(A143)=6,"0"&amp;A143,A143)</f>
        <v>0226-09</v>
      </c>
      <c r="AE143" s="85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s3://rtdc.mdm.uploadarchive.raw/RTDC4003/ "%USERPROFILE%\AppData\Local\Temp\OnboardLogs"\RTDC4003\2017-04-09 --exclude "*" --recursive --include "*20170409*" &amp; "%USERPROFILE%\Documents\GitHub\mrs-test-scripts\Headless Mode &amp; Sideloading\WalkAndUnGZ.bat" "%USERPROFILE%\AppData\Local\Temp\OnboardLogs"\RTDC4003\2017-04-09 &amp; aws s3 cp s3://rtdc.mdm.uploadarchive.raw/RTDC4003/ "%USERPROFILE%\AppData\Local\Temp\OnboardLogs"\RTDC4003\2017-04-10 --exclude "*" --recursive --include "*20170410*" &amp; "%USERPROFILE%\Documents\GitHub\mrs-test-scripts\Headless Mode &amp; Sideloading\WalkAndUnGZ.bat" "%USERPROFILE%\AppData\Local\Temp\OnboardLogs"\RTDC4003\2017-04-10</v>
      </c>
      <c r="AF143" s="82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/stypes="app*4003*20170410*" /stext=" 03:.+((SYSTEM_STATE.+slice.+state.+changed )|(ment ac)|(multiple cpu faults)|(system.+state.+changed )|(\[timeout)|(PRM\|1\|D)|(kpr)|(kdp)|(\|lc)|(penalty))"</v>
      </c>
      <c r="AG143" s="1" t="str">
        <f>IFERROR(IF(VALUE(LEFT(AD143,2))&lt;=2,"EC",IF(OR(VALUE(LEFT(AD143,2))=8,VALUE(LEFT(AD143,2))=18),"NW","Other")),"Other")</f>
        <v>EC</v>
      </c>
      <c r="AH143" s="86" t="str">
        <f t="shared" ref="AH143:AH204" si="17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226-09 --locoid 4003 --swversion DE.1.0.9.0 --startMP 204:232972 --initTime 2017-04-09T20:44:22 --startdatetime 2017-04-09T20:56:20 --delay 1 --endMP 204:139 --enddatetime 2017-04-09T21:38:58 --enforcementcount 0 &gt;&gt;C:\Users\stu\Documents\GitHub\eaglep3-reporting\EC\2017-04-09-refined-times.txt</v>
      </c>
      <c r="AI143" s="104" t="str">
        <f t="shared" ref="AI143:AI204" si="18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{"issue":{"subject":"","project_id":79,"tracker_id":40,"status_id":1,"priority_id":2,"assigned_to_id":23,"start_date":"2017-04-09","description":"","custom_fields":[{"id":1,"name":"Subdivision","value":"EC"},{"id":4,"name":"Milepost","value":"0.0139"},{"id":17,"name":"Train ID","value":"226-09"},{"id":16,"name":"Locomotive ID","value":"4003"},{"id":130,"name":"Impact","value":""},{"id":150,"name":"Time of Event (Mountain Time)","value":"21:38:58"},{"id":151,"name":"Denver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8"/>
      <c r="AL143" s="48"/>
      <c r="AM143" s="150" t="str">
        <f t="shared" ref="AM143:AM204" si="19">"start /low /b "&amp;dls3logs&amp;" --loco "&amp;B143&amp;" --day "&amp;TEXT(F143,"YYYY-MM-DD")</f>
        <v>start /low /b %USERPROFILE%\Documents\GitHub\eaglep3\Utilities\DownloadLogsFromS3.py --loco 4003 --day 2017-04-09</v>
      </c>
      <c r="AN143" s="159" t="str">
        <f t="shared" ref="AN143:AN204" si="20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03:38:58"},{"id":29,"name":"Sharepoint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803</v>
      </c>
      <c r="B144" s="7">
        <v>4046</v>
      </c>
      <c r="C144" s="21" t="s">
        <v>215</v>
      </c>
      <c r="D144" s="21" t="s">
        <v>945</v>
      </c>
      <c r="E144" s="13">
        <v>42834.840648148151</v>
      </c>
      <c r="F144" s="13">
        <v>42834.854791666665</v>
      </c>
      <c r="G144" s="7">
        <v>1</v>
      </c>
      <c r="H144" s="21" t="s">
        <v>946</v>
      </c>
      <c r="I144" s="13">
        <v>42834.880914351852</v>
      </c>
      <c r="J144" s="7">
        <v>0</v>
      </c>
      <c r="K144" s="97" t="str">
        <f>IF(ISEVEN(B144),(B144-1)&amp;"/"&amp;B144,B144&amp;"/"&amp;(B144+1))</f>
        <v>4045/4046</v>
      </c>
      <c r="L144" s="21" t="str">
        <f>VLOOKUP(A144,'Trips&amp;Operators'!$C$1:$G$99999,5,FALSE)</f>
        <v>STAMBAUGH JAMES</v>
      </c>
      <c r="M144" s="6">
        <f>I144-F144</f>
        <v>2.6122685187146999E-2</v>
      </c>
      <c r="N144" s="7">
        <f>24*60*SUM($M144:$M144)</f>
        <v>37.616666669491678</v>
      </c>
      <c r="O144" s="7"/>
      <c r="P144" s="7"/>
      <c r="Q144" s="22"/>
      <c r="R144" s="22"/>
      <c r="S144" s="31">
        <f>SUM(U144:U144)/IF(AG144="EC",12,1)</f>
        <v>1</v>
      </c>
      <c r="T144" s="46" t="str">
        <f>IF(ISEVEN(LEFT(AD144,4)),"Southbound","NorthBound")</f>
        <v>NorthBound</v>
      </c>
      <c r="U144" s="18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2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-04-09T19:10:32-0600',mode:absolute,to:'2017-04-09T22:08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4" s="183" t="str">
        <f>IF(AA144&lt;IF(AG144="EC",23,5.65),"Y","N")</f>
        <v>N</v>
      </c>
      <c r="X144" s="183">
        <f>VALUE(LEFT(AD144,4))-VALUE(LEFT(AD143,4))</f>
        <v>1</v>
      </c>
      <c r="Y144" s="62">
        <f>RIGHT(D144,LEN(D144)-4)/10000</f>
        <v>4.1500000000000002E-2</v>
      </c>
      <c r="Z144" s="62">
        <f>RIGHT(H144,LEN(H144)-4)/10000</f>
        <v>23.337599999999998</v>
      </c>
      <c r="AA144" s="62">
        <f>ABS(Z144-Y144)</f>
        <v>23.296099999999999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>IF(LEN(A144)=6,"0"&amp;A144,A144)</f>
        <v>0227-09</v>
      </c>
      <c r="AE144" s="85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s3://rtdc.mdm.uploadarchive.raw/RTDC4046/ "%USERPROFILE%\AppData\Local\Temp\OnboardLogs"\RTDC4046\2017-04-09 --exclude "*" --recursive --include "*20170409*" &amp; "%USERPROFILE%\Documents\GitHub\mrs-test-scripts\Headless Mode &amp; Sideloading\WalkAndUnGZ.bat" "%USERPROFILE%\AppData\Local\Temp\OnboardLogs"\RTDC4046\2017-04-09 &amp; aws s3 cp s3://rtdc.mdm.uploadarchive.raw/RTDC4046/ "%USERPROFILE%\AppData\Local\Temp\OnboardLogs"\RTDC4046\2017-04-10 --exclude "*" --recursive --include "*20170410*" &amp; "%USERPROFILE%\Documents\GitHub\mrs-test-scripts\Headless Mode &amp; Sideloading\WalkAndUnGZ.bat" "%USERPROFILE%\AppData\Local\Temp\OnboardLogs"\RTDC4046\2017-04-10</v>
      </c>
      <c r="AF144" s="82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/stypes="app*4046*20170410*" /stext=" 03:.+((SYSTEM_STATE.+slice.+state.+changed )|(ment ac)|(multiple cpu faults)|(system.+state.+changed )|(\[timeout)|(PRM\|1\|D)|(kpr)|(kdp)|(\|lc)|(penalty))"</v>
      </c>
      <c r="AG144" s="1" t="str">
        <f>IFERROR(IF(VALUE(LEFT(AD144,2))&lt;=2,"EC",IF(OR(VALUE(LEFT(AD144,2))=8,VALUE(LEFT(AD144,2))=18),"NW","Other")),"Other")</f>
        <v>EC</v>
      </c>
      <c r="AH144" s="86" t="str">
        <f t="shared" si="17"/>
        <v>"%USERPROFILE%\Documents\GitHub\eaglep3\Utilities\RefineRTDCRunTimes.py" --tripid 227-09 --locoid 4046 --swversion DE.1.0.9.0 --startMP 204:415 --initTime 2017-04-09T20:10:32 --startdatetime 2017-04-09T20:30:54 --delay 1 --endMP 204:233376 --enddatetime 2017-04-09T21:08:31 --enforcementcount 0 &gt;&gt;C:\Users\stu\Documents\GitHub\eaglep3-reporting\EC\2017-04-09-refined-times.txt</v>
      </c>
      <c r="AI144" s="104" t="str">
        <f t="shared" si="18"/>
        <v>echo {"issue":{"subject":"","project_id":79,"tracker_id":40,"status_id":1,"priority_id":2,"assigned_to_id":23,"start_date":"2017-04-09","description":"","custom_fields":[{"id":1,"name":"Subdivision","value":"EC"},{"id":4,"name":"Milepost","value":"23.3376"},{"id":17,"name":"Train ID","value":"227-09"},{"id":16,"name":"Locomotive ID","value":"4046"},{"id":130,"name":"Impact","value":""},{"id":150,"name":"Time of Event (Mountain Time)","value":"21:08:31"},{"id":151,"name":"Denver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8"/>
      <c r="AL144" s="48"/>
      <c r="AM144" s="150" t="str">
        <f t="shared" si="19"/>
        <v>start /low /b %USERPROFILE%\Documents\GitHub\eaglep3\Utilities\DownloadLogsFromS3.py --loco 4046 --day 2017-04-09</v>
      </c>
      <c r="AN144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03:08:31"},{"id":29,"name":"Sharepoint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810</v>
      </c>
      <c r="B145" s="7">
        <v>4045</v>
      </c>
      <c r="C145" s="21" t="s">
        <v>215</v>
      </c>
      <c r="D145" s="21" t="s">
        <v>947</v>
      </c>
      <c r="E145" s="13">
        <v>42834.890046296299</v>
      </c>
      <c r="F145" s="13">
        <v>42834.893460648149</v>
      </c>
      <c r="G145" s="7">
        <v>1</v>
      </c>
      <c r="H145" s="21" t="s">
        <v>527</v>
      </c>
      <c r="I145" s="13">
        <v>42834.920497685183</v>
      </c>
      <c r="J145" s="7">
        <v>0</v>
      </c>
      <c r="K145" s="97" t="str">
        <f>IF(ISEVEN(B145),(B145-1)&amp;"/"&amp;B145,B145&amp;"/"&amp;(B145+1))</f>
        <v>4045/4046</v>
      </c>
      <c r="L145" s="21" t="str">
        <f>VLOOKUP(A145,'Trips&amp;Operators'!$C$1:$G$99999,5,FALSE)</f>
        <v>STAMBAUGH JAMES</v>
      </c>
      <c r="M145" s="6">
        <f>I145-F145</f>
        <v>2.7037037034460809E-2</v>
      </c>
      <c r="N145" s="7">
        <f>24*60*SUM($M145:$M145)</f>
        <v>38.933333329623565</v>
      </c>
      <c r="O145" s="7"/>
      <c r="P145" s="7"/>
      <c r="Q145" s="22"/>
      <c r="R145" s="22"/>
      <c r="S145" s="31">
        <f>SUM(U145:U145)/IF(AG145="EC",12,1)</f>
        <v>1</v>
      </c>
      <c r="T145" s="46" t="str">
        <f>IF(ISEVEN(LEFT(AD145,4)),"Southbound","NorthBound")</f>
        <v>Southbound</v>
      </c>
      <c r="U145" s="18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2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-04-09T20:21:40-0600',mode:absolute,to:'2017-04-09T23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5" s="183" t="str">
        <f>IF(AA145&lt;IF(AG145="EC",23,5.65),"Y","N")</f>
        <v>N</v>
      </c>
      <c r="X145" s="183">
        <f>VALUE(LEFT(AD145,4))-VALUE(LEFT(AD144,4))</f>
        <v>1</v>
      </c>
      <c r="Y145" s="62">
        <f>RIGHT(D145,LEN(D145)-4)/10000</f>
        <v>23.306799999999999</v>
      </c>
      <c r="Z145" s="62">
        <f>RIGHT(H145,LEN(H145)-4)/10000</f>
        <v>1.2999999999999999E-2</v>
      </c>
      <c r="AA145" s="62">
        <f>ABS(Z145-Y145)</f>
        <v>23.293799999999997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>IF(LEN(A145)=6,"0"&amp;A145,A145)</f>
        <v>0228-09</v>
      </c>
      <c r="AE145" s="85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s3://rtdc.mdm.uploadarchive.raw/RTDC4045/ "%USERPROFILE%\AppData\Local\Temp\OnboardLogs"\RTDC4045\2017-04-09 --exclude "*" --recursive --include "*20170409*" &amp; "%USERPROFILE%\Documents\GitHub\mrs-test-scripts\Headless Mode &amp; Sideloading\WalkAndUnGZ.bat" "%USERPROFILE%\AppData\Local\Temp\OnboardLogs"\RTDC4045\2017-04-09 &amp; aws s3 cp s3://rtdc.mdm.uploadarchive.raw/RTDC4045/ "%USERPROFILE%\AppData\Local\Temp\OnboardLogs"\RTDC4045\2017-04-10 --exclude "*" --recursive --include "*20170410*" &amp; "%USERPROFILE%\Documents\GitHub\mrs-test-scripts\Headless Mode &amp; Sideloading\WalkAndUnGZ.bat" "%USERPROFILE%\AppData\Local\Temp\OnboardLogs"\RTDC4045\2017-04-10</v>
      </c>
      <c r="AF145" s="82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/stypes="app*4045*20170410*" /stext=" 04:.+((SYSTEM_STATE.+slice.+state.+changed )|(ment ac)|(multiple cpu faults)|(system.+state.+changed )|(\[timeout)|(PRM\|1\|D)|(kpr)|(kdp)|(\|lc)|(penalty))"</v>
      </c>
      <c r="AG145" s="1" t="str">
        <f>IFERROR(IF(VALUE(LEFT(AD145,2))&lt;=2,"EC",IF(OR(VALUE(LEFT(AD145,2))=8,VALUE(LEFT(AD145,2))=18),"NW","Other")),"Other")</f>
        <v>EC</v>
      </c>
      <c r="AH145" s="86" t="str">
        <f t="shared" si="17"/>
        <v>"%USERPROFILE%\Documents\GitHub\eaglep3\Utilities\RefineRTDCRunTimes.py" --tripid 228-09 --locoid 4045 --swversion DE.1.0.9.0 --startMP 204:233068 --initTime 2017-04-09T21:21:40 --startdatetime 2017-04-09T21:26:35 --delay 1 --endMP 204:130 --enddatetime 2017-04-09T22:05:31 --enforcementcount 0 &gt;&gt;C:\Users\stu\Documents\GitHub\eaglep3-reporting\EC\2017-04-09-refined-times.txt</v>
      </c>
      <c r="AI145" s="104" t="str">
        <f t="shared" si="18"/>
        <v>echo {"issue":{"subject":"","project_id":79,"tracker_id":40,"status_id":1,"priority_id":2,"assigned_to_id":23,"start_date":"2017-04-09","description":"","custom_fields":[{"id":1,"name":"Subdivision","value":"EC"},{"id":4,"name":"Milepost","value":"0.013"},{"id":17,"name":"Train ID","value":"228-09"},{"id":16,"name":"Locomotive ID","value":"4045"},{"id":130,"name":"Impact","value":""},{"id":150,"name":"Time of Event (Mountain Time)","value":"22:05:31"},{"id":151,"name":"Denver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8"/>
      <c r="AL145" s="48"/>
      <c r="AM145" s="150" t="str">
        <f t="shared" si="19"/>
        <v>start /low /b %USERPROFILE%\Documents\GitHub\eaglep3\Utilities\DownloadLogsFromS3.py --loco 4045 --day 2017-04-09</v>
      </c>
      <c r="AN145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04:05:31"},{"id":29,"name":"Sharepoint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808</v>
      </c>
      <c r="B146" s="7">
        <v>4024</v>
      </c>
      <c r="C146" s="21" t="s">
        <v>215</v>
      </c>
      <c r="D146" s="21" t="s">
        <v>428</v>
      </c>
      <c r="E146" s="13">
        <v>42834.872858796298</v>
      </c>
      <c r="F146" s="13">
        <v>42834.875324074077</v>
      </c>
      <c r="G146" s="7">
        <v>1</v>
      </c>
      <c r="H146" s="21" t="s">
        <v>948</v>
      </c>
      <c r="I146" s="13">
        <v>42834.901759259257</v>
      </c>
      <c r="J146" s="7">
        <v>0</v>
      </c>
      <c r="K146" s="97" t="str">
        <f>IF(ISEVEN(B146),(B146-1)&amp;"/"&amp;B146,B146&amp;"/"&amp;(B146+1))</f>
        <v>4023/4024</v>
      </c>
      <c r="L146" s="21" t="str">
        <f>VLOOKUP(A146,'Trips&amp;Operators'!$C$1:$G$99999,5,FALSE)</f>
        <v>CHANDLER KELVIN</v>
      </c>
      <c r="M146" s="6">
        <f>I146-F146</f>
        <v>2.643518518016208E-2</v>
      </c>
      <c r="N146" s="7">
        <f>24*60*SUM($M146:$M146)</f>
        <v>38.066666659433395</v>
      </c>
      <c r="O146" s="7"/>
      <c r="P146" s="7"/>
      <c r="Q146" s="22"/>
      <c r="R146" s="22"/>
      <c r="S146" s="31">
        <f>SUM(U146:U146)/IF(AG146="EC",12,1)</f>
        <v>1</v>
      </c>
      <c r="T146" s="46" t="str">
        <f>IF(ISEVEN(LEFT(AD146,4)),"Southbound","NorthBound")</f>
        <v>NorthBound</v>
      </c>
      <c r="U146" s="18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2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-04-09T19:56:55-0600',mode:absolute,to:'2017-04-09T22:38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46" s="183" t="str">
        <f>IF(AA146&lt;IF(AG146="EC",23,5.65),"Y","N")</f>
        <v>N</v>
      </c>
      <c r="X146" s="183">
        <f>VALUE(LEFT(AD146,4))-VALUE(LEFT(AD145,4))</f>
        <v>1</v>
      </c>
      <c r="Y146" s="62">
        <f>RIGHT(D146,LEN(D146)-4)/10000</f>
        <v>4.7100000000000003E-2</v>
      </c>
      <c r="Z146" s="62">
        <f>RIGHT(H146,LEN(H146)-4)/10000</f>
        <v>23.328499999999998</v>
      </c>
      <c r="AA146" s="62">
        <f>ABS(Z146-Y146)</f>
        <v>23.281399999999998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>IF(LEN(A146)=6,"0"&amp;A146,A146)</f>
        <v>0229-09</v>
      </c>
      <c r="AE146" s="85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s3://rtdc.mdm.uploadarchive.raw/RTDC4024/ "%USERPROFILE%\AppData\Local\Temp\OnboardLogs"\RTDC4024\2017-04-09 --exclude "*" --recursive --include "*20170409*" &amp; "%USERPROFILE%\Documents\GitHub\mrs-test-scripts\Headless Mode &amp; Sideloading\WalkAndUnGZ.bat" "%USERPROFILE%\AppData\Local\Temp\OnboardLogs"\RTDC4024\2017-04-09 &amp; aws s3 cp s3://rtdc.mdm.uploadarchive.raw/RTDC4024/ "%USERPROFILE%\AppData\Local\Temp\OnboardLogs"\RTDC4024\2017-04-10 --exclude "*" --recursive --include "*20170410*" &amp; "%USERPROFILE%\Documents\GitHub\mrs-test-scripts\Headless Mode &amp; Sideloading\WalkAndUnGZ.bat" "%USERPROFILE%\AppData\Local\Temp\OnboardLogs"\RTDC4024\2017-04-10</v>
      </c>
      <c r="AF146" s="82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/stypes="app*4024*20170410*" /stext=" 03:.+((SYSTEM_STATE.+slice.+state.+changed )|(ment ac)|(multiple cpu faults)|(system.+state.+changed )|(\[timeout)|(PRM\|1\|D)|(kpr)|(kdp)|(\|lc)|(penalty))"</v>
      </c>
      <c r="AG146" s="1" t="str">
        <f>IFERROR(IF(VALUE(LEFT(AD146,2))&lt;=2,"EC",IF(OR(VALUE(LEFT(AD146,2))=8,VALUE(LEFT(AD146,2))=18),"NW","Other")),"Other")</f>
        <v>EC</v>
      </c>
      <c r="AH146" s="86" t="str">
        <f t="shared" si="17"/>
        <v>"%USERPROFILE%\Documents\GitHub\eaglep3\Utilities\RefineRTDCRunTimes.py" --tripid 229-09 --locoid 4024 --swversion DE.1.0.9.0 --startMP 204:471 --initTime 2017-04-09T20:56:55 --startdatetime 2017-04-09T21:00:28 --delay 1 --endMP 204:233285 --enddatetime 2017-04-09T21:38:32 --enforcementcount 0 &gt;&gt;C:\Users\stu\Documents\GitHub\eaglep3-reporting\EC\2017-04-09-refined-times.txt</v>
      </c>
      <c r="AI146" s="104" t="str">
        <f t="shared" si="18"/>
        <v>echo {"issue":{"subject":"","project_id":79,"tracker_id":40,"status_id":1,"priority_id":2,"assigned_to_id":23,"start_date":"2017-04-09","description":"","custom_fields":[{"id":1,"name":"Subdivision","value":"EC"},{"id":4,"name":"Milepost","value":"23.3285"},{"id":17,"name":"Train ID","value":"229-09"},{"id":16,"name":"Locomotive ID","value":"4024"},{"id":130,"name":"Impact","value":""},{"id":150,"name":"Time of Event (Mountain Time)","value":"21:38:32"},{"id":151,"name":"Denver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8"/>
      <c r="AL146" s="48"/>
      <c r="AM146" s="150" t="str">
        <f t="shared" si="19"/>
        <v>start /low /b %USERPROFILE%\Documents\GitHub\eaglep3\Utilities\DownloadLogsFromS3.py --loco 4024 --day 2017-04-09</v>
      </c>
      <c r="AN146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03:38:32"},{"id":29,"name":"Sharepoint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814</v>
      </c>
      <c r="B147" s="7">
        <v>4023</v>
      </c>
      <c r="C147" s="21" t="s">
        <v>215</v>
      </c>
      <c r="D147" s="21" t="s">
        <v>401</v>
      </c>
      <c r="E147" s="13">
        <v>42834.91033564815</v>
      </c>
      <c r="F147" s="13">
        <v>42834.914189814815</v>
      </c>
      <c r="G147" s="7">
        <v>1</v>
      </c>
      <c r="H147" s="21" t="s">
        <v>198</v>
      </c>
      <c r="I147" s="13">
        <v>42834.943703703706</v>
      </c>
      <c r="J147" s="7">
        <v>0</v>
      </c>
      <c r="K147" s="97" t="str">
        <f>IF(ISEVEN(B147),(B147-1)&amp;"/"&amp;B147,B147&amp;"/"&amp;(B147+1))</f>
        <v>4023/4024</v>
      </c>
      <c r="L147" s="21" t="str">
        <f>VLOOKUP(A147,'Trips&amp;Operators'!$C$1:$G$99999,5,FALSE)</f>
        <v>CHANDLER KELVIN</v>
      </c>
      <c r="M147" s="6">
        <f>I147-F147</f>
        <v>2.9513888890505768E-2</v>
      </c>
      <c r="N147" s="7">
        <f>24*60*SUM($M147:$M147)</f>
        <v>42.500000002328306</v>
      </c>
      <c r="O147" s="7"/>
      <c r="P147" s="7"/>
      <c r="Q147" s="22"/>
      <c r="R147" s="22"/>
      <c r="S147" s="31">
        <f>SUM(U147:U147)/IF(AG147="EC",12,1)</f>
        <v>1</v>
      </c>
      <c r="T147" s="46" t="str">
        <f>IF(ISEVEN(LEFT(AD147,4)),"Southbound","NorthBound")</f>
        <v>Southbound</v>
      </c>
      <c r="U147" s="18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2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-04-09T20:50:53-0600',mode:absolute,to:'2017-04-09T23:38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7" s="183" t="str">
        <f>IF(AA147&lt;IF(AG147="EC",23,5.65),"Y","N")</f>
        <v>N</v>
      </c>
      <c r="X147" s="183">
        <f>VALUE(LEFT(AD147,4))-VALUE(LEFT(AD146,4))</f>
        <v>1</v>
      </c>
      <c r="Y147" s="62">
        <f>RIGHT(D147,LEN(D147)-4)/10000</f>
        <v>23.297699999999999</v>
      </c>
      <c r="Z147" s="62">
        <f>RIGHT(H147,LEN(H147)-4)/10000</f>
        <v>1.5800000000000002E-2</v>
      </c>
      <c r="AA147" s="62">
        <f>ABS(Z147-Y147)</f>
        <v>23.2819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>IF(LEN(A147)=6,"0"&amp;A147,A147)</f>
        <v>0230-09</v>
      </c>
      <c r="AE147" s="85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s3://rtdc.mdm.uploadarchive.raw/RTDC4023/ "%USERPROFILE%\AppData\Local\Temp\OnboardLogs"\RTDC4023\2017-04-09 --exclude "*" --recursive --include "*20170409*" &amp; "%USERPROFILE%\Documents\GitHub\mrs-test-scripts\Headless Mode &amp; Sideloading\WalkAndUnGZ.bat" "%USERPROFILE%\AppData\Local\Temp\OnboardLogs"\RTDC4023\2017-04-09 &amp; aws s3 cp s3://rtdc.mdm.uploadarchive.raw/RTDC4023/ "%USERPROFILE%\AppData\Local\Temp\OnboardLogs"\RTDC4023\2017-04-10 --exclude "*" --recursive --include "*20170410*" &amp; "%USERPROFILE%\Documents\GitHub\mrs-test-scripts\Headless Mode &amp; Sideloading\WalkAndUnGZ.bat" "%USERPROFILE%\AppData\Local\Temp\OnboardLogs"\RTDC4023\2017-04-10</v>
      </c>
      <c r="AF147" s="82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/stypes="app*4023*20170410*" /stext=" 04:.+((SYSTEM_STATE.+slice.+state.+changed )|(ment ac)|(multiple cpu faults)|(system.+state.+changed )|(\[timeout)|(PRM\|1\|D)|(kpr)|(kdp)|(\|lc)|(penalty))"</v>
      </c>
      <c r="AG147" s="1" t="str">
        <f>IFERROR(IF(VALUE(LEFT(AD147,2))&lt;=2,"EC",IF(OR(VALUE(LEFT(AD147,2))=8,VALUE(LEFT(AD147,2))=18),"NW","Other")),"Other")</f>
        <v>EC</v>
      </c>
      <c r="AH147" s="86" t="str">
        <f t="shared" si="17"/>
        <v>"%USERPROFILE%\Documents\GitHub\eaglep3\Utilities\RefineRTDCRunTimes.py" --tripid 230-09 --locoid 4023 --swversion DE.1.0.9.0 --startMP 204:232977 --initTime 2017-04-09T21:50:53 --startdatetime 2017-04-09T21:56:26 --delay 1 --endMP 204:158 --enddatetime 2017-04-09T22:38:56 --enforcementcount 0 &gt;&gt;C:\Users\stu\Documents\GitHub\eaglep3-reporting\EC\2017-04-09-refined-times.txt</v>
      </c>
      <c r="AI147" s="104" t="str">
        <f t="shared" si="18"/>
        <v>echo {"issue":{"subject":"","project_id":79,"tracker_id":40,"status_id":1,"priority_id":2,"assigned_to_id":23,"start_date":"2017-04-09","description":"","custom_fields":[{"id":1,"name":"Subdivision","value":"EC"},{"id":4,"name":"Milepost","value":"0.0158"},{"id":17,"name":"Train ID","value":"230-09"},{"id":16,"name":"Locomotive ID","value":"4023"},{"id":130,"name":"Impact","value":""},{"id":150,"name":"Time of Event (Mountain Time)","value":"22:38:56"},{"id":151,"name":"Denver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8"/>
      <c r="AL147" s="48"/>
      <c r="AM147" s="150" t="str">
        <f t="shared" si="19"/>
        <v>start /low /b %USERPROFILE%\Documents\GitHub\eaglep3\Utilities\DownloadLogsFromS3.py --loco 4023 --day 2017-04-09</v>
      </c>
      <c r="AN147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04:38:56"},{"id":29,"name":"Sharepoint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3" t="s">
        <v>811</v>
      </c>
      <c r="B148" s="7">
        <v>4012</v>
      </c>
      <c r="C148" s="21" t="s">
        <v>215</v>
      </c>
      <c r="D148" s="21" t="s">
        <v>516</v>
      </c>
      <c r="E148" s="13">
        <v>42834.890439814815</v>
      </c>
      <c r="F148" s="13">
        <v>42834.896412037036</v>
      </c>
      <c r="G148" s="7">
        <v>1</v>
      </c>
      <c r="H148" s="21" t="s">
        <v>482</v>
      </c>
      <c r="I148" s="13">
        <v>42834.922743055555</v>
      </c>
      <c r="J148" s="7">
        <v>0</v>
      </c>
      <c r="K148" s="97" t="str">
        <f>IF(ISEVEN(B148),(B148-1)&amp;"/"&amp;B148,B148&amp;"/"&amp;(B148+1))</f>
        <v>4011/4012</v>
      </c>
      <c r="L148" s="21" t="str">
        <f>VLOOKUP(A148,'Trips&amp;Operators'!$C$1:$G$99999,5,FALSE)</f>
        <v>DUNCAN SHEILA</v>
      </c>
      <c r="M148" s="6">
        <f>I148-F148</f>
        <v>2.6331018518249039E-2</v>
      </c>
      <c r="N148" s="7">
        <f>24*60*SUM($M148:$M148)</f>
        <v>37.916666666278616</v>
      </c>
      <c r="O148" s="7"/>
      <c r="P148" s="7"/>
      <c r="Q148" s="22"/>
      <c r="R148" s="22"/>
      <c r="S148" s="31">
        <f>SUM(U148:U148)/IF(AG148="EC",12,1)</f>
        <v>1</v>
      </c>
      <c r="T148" s="46" t="str">
        <f>IF(ISEVEN(LEFT(AD148,4)),"Southbound","NorthBound")</f>
        <v>NorthBound</v>
      </c>
      <c r="U148" s="18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2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-04-09T20:22:14-0600',mode:absolute,to:'2017-04-09T23:08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8" s="183" t="str">
        <f>IF(AA148&lt;IF(AG148="EC",23,5.65),"Y","N")</f>
        <v>N</v>
      </c>
      <c r="X148" s="183">
        <f>VALUE(LEFT(AD148,4))-VALUE(LEFT(AD147,4))</f>
        <v>1</v>
      </c>
      <c r="Y148" s="62">
        <f>RIGHT(D148,LEN(D148)-4)/10000</f>
        <v>4.6699999999999998E-2</v>
      </c>
      <c r="Z148" s="62">
        <f>RIGHT(H148,LEN(H148)-4)/10000</f>
        <v>23.33</v>
      </c>
      <c r="AA148" s="62">
        <f>ABS(Z148-Y148)</f>
        <v>23.283299999999997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>IF(LEN(A148)=6,"0"&amp;A148,A148)</f>
        <v>0231-09</v>
      </c>
      <c r="AE148" s="85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s3://rtdc.mdm.uploadarchive.raw/RTDC4012/ "%USERPROFILE%\AppData\Local\Temp\OnboardLogs"\RTDC4012\2017-04-09 --exclude "*" --recursive --include "*20170409*" &amp; "%USERPROFILE%\Documents\GitHub\mrs-test-scripts\Headless Mode &amp; Sideloading\WalkAndUnGZ.bat" "%USERPROFILE%\AppData\Local\Temp\OnboardLogs"\RTDC4012\2017-04-09 &amp; aws s3 cp s3://rtdc.mdm.uploadarchive.raw/RTDC4012/ "%USERPROFILE%\AppData\Local\Temp\OnboardLogs"\RTDC4012\2017-04-10 --exclude "*" --recursive --include "*20170410*" &amp; "%USERPROFILE%\Documents\GitHub\mrs-test-scripts\Headless Mode &amp; Sideloading\WalkAndUnGZ.bat" "%USERPROFILE%\AppData\Local\Temp\OnboardLogs"\RTDC4012\2017-04-10</v>
      </c>
      <c r="AF148" s="82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/stypes="app*4012*20170410*" /stext=" 04:.+((SYSTEM_STATE.+slice.+state.+changed )|(ment ac)|(multiple cpu faults)|(system.+state.+changed )|(\[timeout)|(PRM\|1\|D)|(kpr)|(kdp)|(\|lc)|(penalty))"</v>
      </c>
      <c r="AG148" s="1" t="str">
        <f>IFERROR(IF(VALUE(LEFT(AD148,2))&lt;=2,"EC",IF(OR(VALUE(LEFT(AD148,2))=8,VALUE(LEFT(AD148,2))=18),"NW","Other")),"Other")</f>
        <v>EC</v>
      </c>
      <c r="AH148" s="86" t="str">
        <f t="shared" si="17"/>
        <v>"%USERPROFILE%\Documents\GitHub\eaglep3\Utilities\RefineRTDCRunTimes.py" --tripid 231-09 --locoid 4012 --swversion DE.1.0.9.0 --startMP 204:467 --initTime 2017-04-09T21:22:14 --startdatetime 2017-04-09T21:30:50 --delay 1 --endMP 204:233300 --enddatetime 2017-04-09T22:08:45 --enforcementcount 0 &gt;&gt;C:\Users\stu\Documents\GitHub\eaglep3-reporting\EC\2017-04-09-refined-times.txt</v>
      </c>
      <c r="AI148" s="104" t="str">
        <f t="shared" si="18"/>
        <v>echo {"issue":{"subject":"","project_id":79,"tracker_id":40,"status_id":1,"priority_id":2,"assigned_to_id":23,"start_date":"2017-04-09","description":"","custom_fields":[{"id":1,"name":"Subdivision","value":"EC"},{"id":4,"name":"Milepost","value":"23.33"},{"id":17,"name":"Train ID","value":"231-09"},{"id":16,"name":"Locomotive ID","value":"4012"},{"id":130,"name":"Impact","value":""},{"id":150,"name":"Time of Event (Mountain Time)","value":"22:08:45"},{"id":151,"name":"Denver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20"/>
      <c r="AK148" s="48"/>
      <c r="AL148" s="48"/>
      <c r="AM148" s="150" t="str">
        <f t="shared" si="19"/>
        <v>start /low /b %USERPROFILE%\Documents\GitHub\eaglep3\Utilities\DownloadLogsFromS3.py --loco 4012 --day 2017-04-09</v>
      </c>
      <c r="AN148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04:08:45"},{"id":29,"name":"Sharepoint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9" spans="1:91" s="20" customFormat="1" x14ac:dyDescent="0.25">
      <c r="A149" s="33" t="s">
        <v>623</v>
      </c>
      <c r="B149" s="7">
        <v>4011</v>
      </c>
      <c r="C149" s="21" t="s">
        <v>215</v>
      </c>
      <c r="D149" s="21" t="s">
        <v>515</v>
      </c>
      <c r="E149" s="13">
        <v>42834.931388888886</v>
      </c>
      <c r="F149" s="13">
        <v>42834.935173611113</v>
      </c>
      <c r="G149" s="7">
        <v>1</v>
      </c>
      <c r="H149" s="21" t="s">
        <v>949</v>
      </c>
      <c r="I149" s="13">
        <v>42834.965081018519</v>
      </c>
      <c r="J149" s="7">
        <v>0</v>
      </c>
      <c r="K149" s="97" t="str">
        <f>IF(ISEVEN(B149),(B149-1)&amp;"/"&amp;B149,B149&amp;"/"&amp;(B149+1))</f>
        <v>4011/4012</v>
      </c>
      <c r="L149" s="21" t="str">
        <f>VLOOKUP(A149,'Trips&amp;Operators'!$C$1:$G$99999,5,FALSE)</f>
        <v>DUNCAN SHEILA</v>
      </c>
      <c r="M149" s="6">
        <f>I149-F149</f>
        <v>2.9907407406426501E-2</v>
      </c>
      <c r="N149" s="7">
        <f>24*60*SUM($M149:$M149)</f>
        <v>43.066666665254161</v>
      </c>
      <c r="O149" s="7"/>
      <c r="P149" s="7"/>
      <c r="Q149" s="22"/>
      <c r="R149" s="22"/>
      <c r="S149" s="31">
        <f>SUM(U149:U149)/IF(AG149="EC",12,1)</f>
        <v>1</v>
      </c>
      <c r="T149" s="46" t="str">
        <f>IF(ISEVEN(LEFT(AD149,4)),"Southbound","NorthBound")</f>
        <v>Southbound</v>
      </c>
      <c r="U149" s="18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2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-04-09T21:21:12-0600',mode:absolute,to:'2017-04-10T00:09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9" s="183" t="str">
        <f>IF(AA149&lt;IF(AG149="EC",23,5.65),"Y","N")</f>
        <v>N</v>
      </c>
      <c r="X149" s="183">
        <f t="shared" ref="X149:X153" si="21">VALUE(LEFT(AD149,4))-VALUE(LEFT(AD148,4))</f>
        <v>1</v>
      </c>
      <c r="Y149" s="62">
        <f>RIGHT(D149,LEN(D149)-4)/10000</f>
        <v>23.298300000000001</v>
      </c>
      <c r="Z149" s="62">
        <f>RIGHT(H149,LEN(H149)-4)/10000</f>
        <v>1.0999999999999999E-2</v>
      </c>
      <c r="AA149" s="62">
        <f>ABS(Z149-Y149)</f>
        <v>23.287300000000002</v>
      </c>
      <c r="AB149" s="59" t="str">
        <f>VLOOKUP(A149,Enforcements!$C$7:$K$13,8,0)</f>
        <v>Bulletin (2)</v>
      </c>
      <c r="AC149" s="55" t="str">
        <f>VLOOKUP(A149,Enforcements!$C$7:$E$13,3,0)</f>
        <v>GRADE CROSSING</v>
      </c>
      <c r="AD149" s="56" t="str">
        <f>IF(LEN(A149)=6,"0"&amp;A149,A149)</f>
        <v>0232-09</v>
      </c>
      <c r="AE149" s="85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s3://rtdc.mdm.uploadarchive.raw/RTDC4011/ "%USERPROFILE%\AppData\Local\Temp\OnboardLogs"\RTDC4011\2017-04-09 --exclude "*" --recursive --include "*20170409*" &amp; "%USERPROFILE%\Documents\GitHub\mrs-test-scripts\Headless Mode &amp; Sideloading\WalkAndUnGZ.bat" "%USERPROFILE%\AppData\Local\Temp\OnboardLogs"\RTDC4011\2017-04-09 &amp; aws s3 cp s3://rtdc.mdm.uploadarchive.raw/RTDC4011/ "%USERPROFILE%\AppData\Local\Temp\OnboardLogs"\RTDC4011\2017-04-10 --exclude "*" --recursive --include "*20170410*" &amp; "%USERPROFILE%\Documents\GitHub\mrs-test-scripts\Headless Mode &amp; Sideloading\WalkAndUnGZ.bat" "%USERPROFILE%\AppData\Local\Temp\OnboardLogs"\RTDC4011\2017-04-10</v>
      </c>
      <c r="AF149" s="82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/stypes="app*4011*20170410*" /stext=" 05:.+((SYSTEM_STATE.+slice.+state.+changed )|(ment ac)|(multiple cpu faults)|(system.+state.+changed )|(\[timeout)|(PRM\|1\|D)|(kpr)|(kdp)|(\|lc)|(penalty))"</v>
      </c>
      <c r="AG149" s="1" t="str">
        <f>IFERROR(IF(VALUE(LEFT(AD149,2))&lt;=2,"EC",IF(OR(VALUE(LEFT(AD149,2))=8,VALUE(LEFT(AD149,2))=18),"NW","Other")),"Other")</f>
        <v>EC</v>
      </c>
      <c r="AH149" s="86" t="str">
        <f t="shared" si="17"/>
        <v>"%USERPROFILE%\Documents\GitHub\eaglep3\Utilities\RefineRTDCRunTimes.py" --tripid 232-09 --locoid 4011 --swversion DE.1.0.9.0 --startMP 204:232983 --initTime 2017-04-09T22:21:12 --startdatetime 2017-04-09T22:26:39 --delay 1 --endMP 204:110 --enddatetime 2017-04-09T23:09:43 --enforcementcount 0 &gt;&gt;C:\Users\stu\Documents\GitHub\eaglep3-reporting\EC\2017-04-09-refined-times.txt</v>
      </c>
      <c r="AI149" s="104" t="str">
        <f t="shared" si="18"/>
        <v>echo {"issue":{"subject":"","project_id":79,"tracker_id":40,"status_id":1,"priority_id":2,"assigned_to_id":23,"start_date":"2017-04-09","description":"","custom_fields":[{"id":1,"name":"Subdivision","value":"EC"},{"id":4,"name":"Milepost","value":"0.011"},{"id":17,"name":"Train ID","value":"232-09"},{"id":16,"name":"Locomotive ID","value":"4011"},{"id":130,"name":"Impact","value":""},{"id":150,"name":"Time of Event (Mountain Time)","value":"23:09:43"},{"id":151,"name":"Denver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8"/>
      <c r="AL149" s="48"/>
      <c r="AM149" s="150" t="str">
        <f t="shared" si="19"/>
        <v>start /low /b %USERPROFILE%\Documents\GitHub\eaglep3\Utilities\DownloadLogsFromS3.py --loco 4011 --day 2017-04-09</v>
      </c>
      <c r="AN149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05:09:43"},{"id":29,"name":"Sharepoint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813</v>
      </c>
      <c r="B150" s="7">
        <v>4004</v>
      </c>
      <c r="C150" s="21" t="s">
        <v>215</v>
      </c>
      <c r="D150" s="21" t="s">
        <v>583</v>
      </c>
      <c r="E150" s="13">
        <v>42834.906493055554</v>
      </c>
      <c r="F150" s="13">
        <v>42834.916863425926</v>
      </c>
      <c r="G150" s="7">
        <v>1</v>
      </c>
      <c r="H150" s="21" t="s">
        <v>511</v>
      </c>
      <c r="I150" s="13">
        <v>42834.941724537035</v>
      </c>
      <c r="J150" s="7">
        <v>0</v>
      </c>
      <c r="K150" s="97" t="str">
        <f>IF(ISEVEN(B150),(B150-1)&amp;"/"&amp;B150,B150&amp;"/"&amp;(B150+1))</f>
        <v>4003/4004</v>
      </c>
      <c r="L150" s="21" t="str">
        <f>VLOOKUP(A150,'Trips&amp;Operators'!$C$1:$G$99999,5,FALSE)</f>
        <v>SMITH MICHAEL</v>
      </c>
      <c r="M150" s="6">
        <f>I150-F150</f>
        <v>2.4861111109203193E-2</v>
      </c>
      <c r="N150" s="7">
        <f>24*60*SUM($M150:$M150)</f>
        <v>35.799999997252598</v>
      </c>
      <c r="O150" s="7"/>
      <c r="P150" s="7"/>
      <c r="Q150" s="22"/>
      <c r="R150" s="22"/>
      <c r="S150" s="31">
        <f>SUM(U150:U150)/IF(AG150="EC",12,1)</f>
        <v>1</v>
      </c>
      <c r="T150" s="46" t="str">
        <f>IF(ISEVEN(LEFT(AD150,4)),"Southbound","NorthBound")</f>
        <v>NorthBound</v>
      </c>
      <c r="U150" s="18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2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-04-09T20:45:21-0600',mode:absolute,to:'2017-04-09T23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0" s="183" t="str">
        <f>IF(AA150&lt;IF(AG150="EC",23,5.65),"Y","N")</f>
        <v>N</v>
      </c>
      <c r="X150" s="183">
        <f t="shared" si="21"/>
        <v>1</v>
      </c>
      <c r="Y150" s="62">
        <f>RIGHT(D150,LEN(D150)-4)/10000</f>
        <v>4.3499999999999997E-2</v>
      </c>
      <c r="Z150" s="62">
        <f>RIGHT(H150,LEN(H150)-4)/10000</f>
        <v>23.328900000000001</v>
      </c>
      <c r="AA150" s="62">
        <f>ABS(Z150-Y150)</f>
        <v>23.285399999999999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>IF(LEN(A150)=6,"0"&amp;A150,A150)</f>
        <v>0233-09</v>
      </c>
      <c r="AE150" s="85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s3://rtdc.mdm.uploadarchive.raw/RTDC4004/ "%USERPROFILE%\AppData\Local\Temp\OnboardLogs"\RTDC4004\2017-04-09 --exclude "*" --recursive --include "*20170409*" &amp; "%USERPROFILE%\Documents\GitHub\mrs-test-scripts\Headless Mode &amp; Sideloading\WalkAndUnGZ.bat" "%USERPROFILE%\AppData\Local\Temp\OnboardLogs"\RTDC4004\2017-04-09 &amp; aws s3 cp s3://rtdc.mdm.uploadarchive.raw/RTDC4004/ "%USERPROFILE%\AppData\Local\Temp\OnboardLogs"\RTDC4004\2017-04-10 --exclude "*" --recursive --include "*20170410*" &amp; "%USERPROFILE%\Documents\GitHub\mrs-test-scripts\Headless Mode &amp; Sideloading\WalkAndUnGZ.bat" "%USERPROFILE%\AppData\Local\Temp\OnboardLogs"\RTDC4004\2017-04-10</v>
      </c>
      <c r="AF150" s="82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/stypes="app*4004*20170410*" /stext=" 04:.+((SYSTEM_STATE.+slice.+state.+changed )|(ment ac)|(multiple cpu faults)|(system.+state.+changed )|(\[timeout)|(PRM\|1\|D)|(kpr)|(kdp)|(\|lc)|(penalty))"</v>
      </c>
      <c r="AG150" s="1" t="str">
        <f>IFERROR(IF(VALUE(LEFT(AD150,2))&lt;=2,"EC",IF(OR(VALUE(LEFT(AD150,2))=8,VALUE(LEFT(AD150,2))=18),"NW","Other")),"Other")</f>
        <v>EC</v>
      </c>
      <c r="AH150" s="86" t="str">
        <f t="shared" si="17"/>
        <v>"%USERPROFILE%\Documents\GitHub\eaglep3\Utilities\RefineRTDCRunTimes.py" --tripid 233-09 --locoid 4004 --swversion DE.1.0.9.0 --startMP 204:435 --initTime 2017-04-09T21:45:21 --startdatetime 2017-04-09T22:00:17 --delay 1 --endMP 204:233289 --enddatetime 2017-04-09T22:36:05 --enforcementcount 0 &gt;&gt;C:\Users\stu\Documents\GitHub\eaglep3-reporting\EC\2017-04-09-refined-times.txt</v>
      </c>
      <c r="AI150" s="104" t="str">
        <f t="shared" si="18"/>
        <v>echo {"issue":{"subject":"","project_id":79,"tracker_id":40,"status_id":1,"priority_id":2,"assigned_to_id":23,"start_date":"2017-04-09","description":"","custom_fields":[{"id":1,"name":"Subdivision","value":"EC"},{"id":4,"name":"Milepost","value":"23.3289"},{"id":17,"name":"Train ID","value":"233-09"},{"id":16,"name":"Locomotive ID","value":"4004"},{"id":130,"name":"Impact","value":""},{"id":150,"name":"Time of Event (Mountain Time)","value":"22:36:05"},{"id":151,"name":"Denver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8"/>
      <c r="AL150" s="48"/>
      <c r="AM150" s="150" t="str">
        <f t="shared" si="19"/>
        <v>start /low /b %USERPROFILE%\Documents\GitHub\eaglep3\Utilities\DownloadLogsFromS3.py --loco 4004 --day 2017-04-09</v>
      </c>
      <c r="AN150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04:36:05"},{"id":29,"name":"Sharepoint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818</v>
      </c>
      <c r="B151" s="7">
        <v>4003</v>
      </c>
      <c r="C151" s="21" t="s">
        <v>215</v>
      </c>
      <c r="D151" s="21" t="s">
        <v>866</v>
      </c>
      <c r="E151" s="13">
        <v>42834.947789351849</v>
      </c>
      <c r="F151" s="13">
        <v>42834.956053240741</v>
      </c>
      <c r="G151" s="7">
        <v>1</v>
      </c>
      <c r="H151" s="21" t="s">
        <v>407</v>
      </c>
      <c r="I151" s="13">
        <v>42834.982847222222</v>
      </c>
      <c r="J151" s="7">
        <v>0</v>
      </c>
      <c r="K151" s="97" t="str">
        <f>IF(ISEVEN(B151),(B151-1)&amp;"/"&amp;B151,B151&amp;"/"&amp;(B151+1))</f>
        <v>4003/4004</v>
      </c>
      <c r="L151" s="21" t="str">
        <f>VLOOKUP(A151,'Trips&amp;Operators'!$C$1:$G$99999,5,FALSE)</f>
        <v>SMITH MICHAEL</v>
      </c>
      <c r="M151" s="6">
        <f>I151-F151</f>
        <v>2.679398148029577E-2</v>
      </c>
      <c r="N151" s="7">
        <f>24*60*SUM($M151:$M151)</f>
        <v>38.583333331625909</v>
      </c>
      <c r="O151" s="7"/>
      <c r="P151" s="7"/>
      <c r="Q151" s="22"/>
      <c r="R151" s="22"/>
      <c r="S151" s="31">
        <f>SUM(U151:U151)/IF(AG151="EC",12,1)</f>
        <v>1</v>
      </c>
      <c r="T151" s="46" t="str">
        <f>IF(ISEVEN(LEFT(AD151,4)),"Southbound","NorthBound")</f>
        <v>Southbound</v>
      </c>
      <c r="U151" s="18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2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-04-09T21:44:49-0600',mode:absolute,to:'2017-04-10T00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1" s="183" t="str">
        <f>IF(AA151&lt;IF(AG151="EC",23,5.65),"Y","N")</f>
        <v>N</v>
      </c>
      <c r="X151" s="183">
        <f t="shared" si="21"/>
        <v>1</v>
      </c>
      <c r="Y151" s="62">
        <f>RIGHT(D151,LEN(D151)-4)/10000</f>
        <v>23.2972</v>
      </c>
      <c r="Z151" s="62">
        <f>RIGHT(H151,LEN(H151)-4)/10000</f>
        <v>1.3899999999999999E-2</v>
      </c>
      <c r="AA151" s="62">
        <f>ABS(Z151-Y151)</f>
        <v>23.283300000000001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>IF(LEN(A151)=6,"0"&amp;A151,A151)</f>
        <v>0234-09</v>
      </c>
      <c r="AE151" s="85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s3://rtdc.mdm.uploadarchive.raw/RTDC4003/ "%USERPROFILE%\AppData\Local\Temp\OnboardLogs"\RTDC4003\2017-04-09 --exclude "*" --recursive --include "*20170409*" &amp; "%USERPROFILE%\Documents\GitHub\mrs-test-scripts\Headless Mode &amp; Sideloading\WalkAndUnGZ.bat" "%USERPROFILE%\AppData\Local\Temp\OnboardLogs"\RTDC4003\2017-04-09 &amp; aws s3 cp s3://rtdc.mdm.uploadarchive.raw/RTDC4003/ "%USERPROFILE%\AppData\Local\Temp\OnboardLogs"\RTDC4003\2017-04-10 --exclude "*" --recursive --include "*20170410*" &amp; "%USERPROFILE%\Documents\GitHub\mrs-test-scripts\Headless Mode &amp; Sideloading\WalkAndUnGZ.bat" "%USERPROFILE%\AppData\Local\Temp\OnboardLogs"\RTDC4003\2017-04-10</v>
      </c>
      <c r="AF151" s="82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/stypes="app*4003*20170410*" /stext=" 05:.+((SYSTEM_STATE.+slice.+state.+changed )|(ment ac)|(multiple cpu faults)|(system.+state.+changed )|(\[timeout)|(PRM\|1\|D)|(kpr)|(kdp)|(\|lc)|(penalty))"</v>
      </c>
      <c r="AG151" s="1" t="str">
        <f>IFERROR(IF(VALUE(LEFT(AD151,2))&lt;=2,"EC",IF(OR(VALUE(LEFT(AD151,2))=8,VALUE(LEFT(AD151,2))=18),"NW","Other")),"Other")</f>
        <v>EC</v>
      </c>
      <c r="AH151" s="86" t="str">
        <f t="shared" si="17"/>
        <v>"%USERPROFILE%\Documents\GitHub\eaglep3\Utilities\RefineRTDCRunTimes.py" --tripid 234-09 --locoid 4003 --swversion DE.1.0.9.0 --startMP 204:232972 --initTime 2017-04-09T22:44:49 --startdatetime 2017-04-09T22:56:43 --delay 1 --endMP 204:139 --enddatetime 2017-04-09T23:35:18 --enforcementcount 0 &gt;&gt;C:\Users\stu\Documents\GitHub\eaglep3-reporting\EC\2017-04-09-refined-times.txt</v>
      </c>
      <c r="AI151" s="104" t="str">
        <f t="shared" si="18"/>
        <v>echo {"issue":{"subject":"","project_id":79,"tracker_id":40,"status_id":1,"priority_id":2,"assigned_to_id":23,"start_date":"2017-04-09","description":"","custom_fields":[{"id":1,"name":"Subdivision","value":"EC"},{"id":4,"name":"Milepost","value":"0.0139"},{"id":17,"name":"Train ID","value":"234-09"},{"id":16,"name":"Locomotive ID","value":"4003"},{"id":130,"name":"Impact","value":""},{"id":150,"name":"Time of Event (Mountain Time)","value":"23:35:18"},{"id":151,"name":"Denver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8"/>
      <c r="AL151" s="48"/>
      <c r="AM151" s="150" t="str">
        <f t="shared" si="19"/>
        <v>start /low /b %USERPROFILE%\Documents\GitHub\eaglep3\Utilities\DownloadLogsFromS3.py --loco 4003 --day 2017-04-09</v>
      </c>
      <c r="AN151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05:35:18"},{"id":29,"name":"Sharepoint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3" t="s">
        <v>815</v>
      </c>
      <c r="B152" s="7">
        <v>4046</v>
      </c>
      <c r="C152" s="21" t="s">
        <v>215</v>
      </c>
      <c r="D152" s="21" t="s">
        <v>574</v>
      </c>
      <c r="E152" s="13">
        <v>42834.922129629631</v>
      </c>
      <c r="F152" s="13">
        <v>42834.937685185185</v>
      </c>
      <c r="G152" s="7">
        <v>1</v>
      </c>
      <c r="H152" s="21" t="s">
        <v>950</v>
      </c>
      <c r="I152" s="13">
        <v>42834.962442129632</v>
      </c>
      <c r="J152" s="7">
        <v>0</v>
      </c>
      <c r="K152" s="97" t="str">
        <f>IF(ISEVEN(B152),(B152-1)&amp;"/"&amp;B152,B152&amp;"/"&amp;(B152+1))</f>
        <v>4045/4046</v>
      </c>
      <c r="L152" s="21" t="str">
        <f>VLOOKUP(A152,'Trips&amp;Operators'!$C$1:$G$99999,5,FALSE)</f>
        <v>STAMBAUGH JAMES</v>
      </c>
      <c r="M152" s="6">
        <f>I152-F152</f>
        <v>2.4756944447290152E-2</v>
      </c>
      <c r="N152" s="7">
        <f>24*60*SUM($M152:$M152)</f>
        <v>35.650000004097819</v>
      </c>
      <c r="O152" s="7"/>
      <c r="P152" s="7"/>
      <c r="Q152" s="22"/>
      <c r="R152" s="22"/>
      <c r="S152" s="31">
        <f>SUM(U152:U152)/IF(AG152="EC",12,1)</f>
        <v>1</v>
      </c>
      <c r="T152" s="46" t="str">
        <f>IF(ISEVEN(LEFT(AD152,4)),"Southbound","NorthBound")</f>
        <v>NorthBound</v>
      </c>
      <c r="U152" s="18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2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-04-09T21:07:52-0600',mode:absolute,to:'2017-04-10T00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2" s="183" t="str">
        <f>IF(AA152&lt;IF(AG152="EC",23,5.65),"Y","N")</f>
        <v>N</v>
      </c>
      <c r="X152" s="183">
        <f t="shared" si="21"/>
        <v>1</v>
      </c>
      <c r="Y152" s="62">
        <f>RIGHT(D152,LEN(D152)-4)/10000</f>
        <v>4.4200000000000003E-2</v>
      </c>
      <c r="Z152" s="62">
        <f>RIGHT(H152,LEN(H152)-4)/10000</f>
        <v>23.343599999999999</v>
      </c>
      <c r="AA152" s="62">
        <f>ABS(Z152-Y152)</f>
        <v>23.299399999999999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>IF(LEN(A152)=6,"0"&amp;A152,A152)</f>
        <v>0235-09</v>
      </c>
      <c r="AE152" s="85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s3://rtdc.mdm.uploadarchive.raw/RTDC4046/ "%USERPROFILE%\AppData\Local\Temp\OnboardLogs"\RTDC4046\2017-04-09 --exclude "*" --recursive --include "*20170409*" &amp; "%USERPROFILE%\Documents\GitHub\mrs-test-scripts\Headless Mode &amp; Sideloading\WalkAndUnGZ.bat" "%USERPROFILE%\AppData\Local\Temp\OnboardLogs"\RTDC4046\2017-04-09 &amp; aws s3 cp s3://rtdc.mdm.uploadarchive.raw/RTDC4046/ "%USERPROFILE%\AppData\Local\Temp\OnboardLogs"\RTDC4046\2017-04-10 --exclude "*" --recursive --include "*20170410*" &amp; "%USERPROFILE%\Documents\GitHub\mrs-test-scripts\Headless Mode &amp; Sideloading\WalkAndUnGZ.bat" "%USERPROFILE%\AppData\Local\Temp\OnboardLogs"\RTDC4046\2017-04-10</v>
      </c>
      <c r="AF152" s="82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/stypes="app*4046*20170410*" /stext=" 05:.+((SYSTEM_STATE.+slice.+state.+changed )|(ment ac)|(multiple cpu faults)|(system.+state.+changed )|(\[timeout)|(PRM\|1\|D)|(kpr)|(kdp)|(\|lc)|(penalty))"</v>
      </c>
      <c r="AG152" s="1" t="str">
        <f>IFERROR(IF(VALUE(LEFT(AD152,2))&lt;=2,"EC",IF(OR(VALUE(LEFT(AD152,2))=8,VALUE(LEFT(AD152,2))=18),"NW","Other")),"Other")</f>
        <v>EC</v>
      </c>
      <c r="AH152" s="86" t="str">
        <f t="shared" si="17"/>
        <v>"%USERPROFILE%\Documents\GitHub\eaglep3\Utilities\RefineRTDCRunTimes.py" --tripid 235-09 --locoid 4046 --swversion DE.1.0.9.0 --startMP 204:442 --initTime 2017-04-09T22:07:52 --startdatetime 2017-04-09T22:30:16 --delay 1 --endMP 204:233436 --enddatetime 2017-04-09T23:05:55 --enforcementcount 0 &gt;&gt;C:\Users\stu\Documents\GitHub\eaglep3-reporting\EC\2017-04-09-refined-times.txt</v>
      </c>
      <c r="AI152" s="104" t="str">
        <f t="shared" si="18"/>
        <v>echo {"issue":{"subject":"","project_id":79,"tracker_id":40,"status_id":1,"priority_id":2,"assigned_to_id":23,"start_date":"2017-04-09","description":"","custom_fields":[{"id":1,"name":"Subdivision","value":"EC"},{"id":4,"name":"Milepost","value":"23.3436"},{"id":17,"name":"Train ID","value":"235-09"},{"id":16,"name":"Locomotive ID","value":"4046"},{"id":130,"name":"Impact","value":""},{"id":150,"name":"Time of Event (Mountain Time)","value":"23:05:55"},{"id":151,"name":"Denver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8"/>
      <c r="AL152" s="48"/>
      <c r="AM152" s="150" t="str">
        <f t="shared" si="19"/>
        <v>start /low /b %USERPROFILE%\Documents\GitHub\eaglep3\Utilities\DownloadLogsFromS3.py --loco 4046 --day 2017-04-09</v>
      </c>
      <c r="AN152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05:05:55"},{"id":29,"name":"Sharepoint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3" spans="1:91" x14ac:dyDescent="0.25">
      <c r="A153" s="33" t="s">
        <v>821</v>
      </c>
      <c r="B153" s="7">
        <v>4045</v>
      </c>
      <c r="C153" s="21" t="s">
        <v>215</v>
      </c>
      <c r="D153" s="21" t="s">
        <v>951</v>
      </c>
      <c r="E153" s="13">
        <v>42834.972743055558</v>
      </c>
      <c r="F153" s="13">
        <v>42834.977303240739</v>
      </c>
      <c r="G153" s="7">
        <v>1</v>
      </c>
      <c r="H153" s="21" t="s">
        <v>952</v>
      </c>
      <c r="I153" s="13">
        <v>42835.00267361111</v>
      </c>
      <c r="J153" s="7">
        <v>0</v>
      </c>
      <c r="K153" s="97" t="str">
        <f>IF(ISEVEN(B153),(B153-1)&amp;"/"&amp;B153,B153&amp;"/"&amp;(B153+1))</f>
        <v>4045/4046</v>
      </c>
      <c r="L153" s="21" t="str">
        <f>VLOOKUP(A153,'Trips&amp;Operators'!$C$1:$G$99999,5,FALSE)</f>
        <v>STAMBAUGH JAMES</v>
      </c>
      <c r="M153" s="6">
        <f>I153-F153</f>
        <v>2.5370370371092577E-2</v>
      </c>
      <c r="N153" s="7">
        <f>24*60*SUM($M153:$M153)</f>
        <v>36.53333333437331</v>
      </c>
      <c r="O153" s="7"/>
      <c r="P153" s="7"/>
      <c r="Q153" s="22"/>
      <c r="R153" s="22"/>
      <c r="S153" s="31">
        <f>SUM(U153:U153)/IF(AG153="EC",12,1)</f>
        <v>1</v>
      </c>
      <c r="T153" s="46" t="str">
        <f>IF(ISEVEN(LEFT(AD153,4)),"Southbound","NorthBound")</f>
        <v>Southbound</v>
      </c>
      <c r="U153" s="18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2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-04-09T22:20:45-0600',mode:absolute,to:'2017-04-10T01:03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3" s="183" t="str">
        <f>IF(AA153&lt;IF(AG153="EC",23,5.65),"Y","N")</f>
        <v>N</v>
      </c>
      <c r="X153" s="183">
        <f t="shared" si="21"/>
        <v>1</v>
      </c>
      <c r="Y153" s="62">
        <f>RIGHT(D153,LEN(D153)-4)/10000</f>
        <v>23.312799999999999</v>
      </c>
      <c r="Z153" s="62">
        <f>RIGHT(H153,LEN(H153)-4)/10000</f>
        <v>1.12E-2</v>
      </c>
      <c r="AA153" s="62">
        <f>ABS(Z153-Y153)</f>
        <v>23.301600000000001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>IF(LEN(A153)=6,"0"&amp;A153,A153)</f>
        <v>0236-09</v>
      </c>
      <c r="AE153" s="85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s3://rtdc.mdm.uploadarchive.raw/RTDC4045/ "%USERPROFILE%\AppData\Local\Temp\OnboardLogs"\RTDC4045\2017-04-09 --exclude "*" --recursive --include "*20170409*" &amp; "%USERPROFILE%\Documents\GitHub\mrs-test-scripts\Headless Mode &amp; Sideloading\WalkAndUnGZ.bat" "%USERPROFILE%\AppData\Local\Temp\OnboardLogs"\RTDC4045\2017-04-09 &amp; aws s3 cp s3://rtdc.mdm.uploadarchive.raw/RTDC4045/ "%USERPROFILE%\AppData\Local\Temp\OnboardLogs"\RTDC4045\2017-04-10 --exclude "*" --recursive --include "*20170410*" &amp; "%USERPROFILE%\Documents\GitHub\mrs-test-scripts\Headless Mode &amp; Sideloading\WalkAndUnGZ.bat" "%USERPROFILE%\AppData\Local\Temp\OnboardLogs"\RTDC4045\2017-04-10</v>
      </c>
      <c r="AF153" s="82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/stypes="app*4045*20170410*" /stext=" 06:.+((SYSTEM_STATE.+slice.+state.+changed )|(ment ac)|(multiple cpu faults)|(system.+state.+changed )|(\[timeout)|(PRM\|1\|D)|(kpr)|(kdp)|(\|lc)|(penalty))"</v>
      </c>
      <c r="AG153" s="1" t="str">
        <f>IFERROR(IF(VALUE(LEFT(AD153,2))&lt;=2,"EC",IF(OR(VALUE(LEFT(AD153,2))=8,VALUE(LEFT(AD153,2))=18),"NW","Other")),"Other")</f>
        <v>EC</v>
      </c>
      <c r="AH153" s="86" t="str">
        <f t="shared" si="17"/>
        <v>"%USERPROFILE%\Documents\GitHub\eaglep3\Utilities\RefineRTDCRunTimes.py" --tripid 236-09 --locoid 4045 --swversion DE.1.0.9.0 --startMP 204:233128 --initTime 2017-04-09T23:20:45 --startdatetime 2017-04-09T23:27:19 --delay 1 --endMP 204:112 --enddatetime 2017-04-10T00:03:51 --enforcementcount 0 &gt;&gt;C:\Users\stu\Documents\GitHub\eaglep3-reporting\EC\2017-04-09-refined-times.txt</v>
      </c>
      <c r="AI153" s="104" t="str">
        <f t="shared" si="18"/>
        <v>echo {"issue":{"subject":"","project_id":79,"tracker_id":40,"status_id":1,"priority_id":2,"assigned_to_id":23,"start_date":"2017-04-10","description":"","custom_fields":[{"id":1,"name":"Subdivision","value":"EC"},{"id":4,"name":"Milepost","value":"0.0112"},{"id":17,"name":"Train ID","value":"236-09"},{"id":16,"name":"Locomotive ID","value":"4045"},{"id":130,"name":"Impact","value":""},{"id":150,"name":"Time of Event (Mountain Time)","value":"00:03:51"},{"id":151,"name":"Denver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8"/>
      <c r="AL153" s="48"/>
      <c r="AM153" s="150" t="str">
        <f t="shared" si="19"/>
        <v>start /low /b %USERPROFILE%\Documents\GitHub\eaglep3\Utilities\DownloadLogsFromS3.py --loco 4045 --day 2017-04-09</v>
      </c>
      <c r="AN153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06:03:51"},{"id":29,"name":"Sharepoint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x14ac:dyDescent="0.25">
      <c r="A154" s="33" t="s">
        <v>819</v>
      </c>
      <c r="B154" s="7">
        <v>4024</v>
      </c>
      <c r="C154" s="21" t="s">
        <v>215</v>
      </c>
      <c r="D154" s="21" t="s">
        <v>205</v>
      </c>
      <c r="E154" s="13">
        <v>42834.956076388888</v>
      </c>
      <c r="F154" s="13">
        <v>42834.958784722221</v>
      </c>
      <c r="G154" s="7">
        <v>1</v>
      </c>
      <c r="H154" s="21" t="s">
        <v>482</v>
      </c>
      <c r="I154" s="13">
        <v>42834.984016203707</v>
      </c>
      <c r="J154" s="7">
        <v>0</v>
      </c>
      <c r="K154" s="97" t="str">
        <f>IF(ISEVEN(B154),(B154-1)&amp;"/"&amp;B154,B154&amp;"/"&amp;(B154+1))</f>
        <v>4023/4024</v>
      </c>
      <c r="L154" s="21" t="str">
        <f>VLOOKUP(A154,'Trips&amp;Operators'!$C$1:$G$99999,5,FALSE)</f>
        <v>CHANDLER KELVIN</v>
      </c>
      <c r="M154" s="6">
        <f>I154-F154</f>
        <v>2.5231481486116536E-2</v>
      </c>
      <c r="N154" s="7">
        <f>24*60*SUM($M154:$M154)</f>
        <v>36.333333340007812</v>
      </c>
      <c r="O154" s="7"/>
      <c r="P154" s="7"/>
      <c r="Q154" s="22"/>
      <c r="R154" s="22"/>
      <c r="S154" s="31">
        <f>SUM(U154:U154)/IF(AG154="EC",12,1)</f>
        <v>1</v>
      </c>
      <c r="T154" s="46" t="str">
        <f>IF(ISEVEN(LEFT(AD154,4)),"Southbound","NorthBound")</f>
        <v>NorthBound</v>
      </c>
      <c r="U154" s="18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2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-04-09T21:56:45-0600',mode:absolute,to:'2017-04-10T00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4" s="183" t="str">
        <f>IF(AA154&lt;IF(AG154="EC",23,5.65),"Y","N")</f>
        <v>N</v>
      </c>
      <c r="X154" s="183">
        <f>VALUE(LEFT(AD154,4))-VALUE(LEFT(AD153,4))</f>
        <v>1</v>
      </c>
      <c r="Y154" s="62">
        <f>RIGHT(D154,LEN(D154)-4)/10000</f>
        <v>4.5699999999999998E-2</v>
      </c>
      <c r="Z154" s="62">
        <f>RIGHT(H154,LEN(H154)-4)/10000</f>
        <v>23.33</v>
      </c>
      <c r="AA154" s="62">
        <f>ABS(Z154-Y154)</f>
        <v>23.284299999999998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>IF(LEN(A154)=6,"0"&amp;A154,A154)</f>
        <v>0237-09</v>
      </c>
      <c r="AE154" s="85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s3://rtdc.mdm.uploadarchive.raw/RTDC4024/ "%USERPROFILE%\AppData\Local\Temp\OnboardLogs"\RTDC4024\2017-04-09 --exclude "*" --recursive --include "*20170409*" &amp; "%USERPROFILE%\Documents\GitHub\mrs-test-scripts\Headless Mode &amp; Sideloading\WalkAndUnGZ.bat" "%USERPROFILE%\AppData\Local\Temp\OnboardLogs"\RTDC4024\2017-04-09 &amp; aws s3 cp s3://rtdc.mdm.uploadarchive.raw/RTDC4024/ "%USERPROFILE%\AppData\Local\Temp\OnboardLogs"\RTDC4024\2017-04-10 --exclude "*" --recursive --include "*20170410*" &amp; "%USERPROFILE%\Documents\GitHub\mrs-test-scripts\Headless Mode &amp; Sideloading\WalkAndUnGZ.bat" "%USERPROFILE%\AppData\Local\Temp\OnboardLogs"\RTDC4024\2017-04-10</v>
      </c>
      <c r="AF154" s="82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/stypes="app*4024*20170410*" /stext=" 05:.+((SYSTEM_STATE.+slice.+state.+changed )|(ment ac)|(multiple cpu faults)|(system.+state.+changed )|(\[timeout)|(PRM\|1\|D)|(kpr)|(kdp)|(\|lc)|(penalty))"</v>
      </c>
      <c r="AG154" s="1" t="str">
        <f>IFERROR(IF(VALUE(LEFT(AD154,2))&lt;=2,"EC",IF(OR(VALUE(LEFT(AD154,2))=8,VALUE(LEFT(AD154,2))=18),"NW","Other")),"Other")</f>
        <v>EC</v>
      </c>
      <c r="AH154" s="86" t="str">
        <f t="shared" si="17"/>
        <v>"%USERPROFILE%\Documents\GitHub\eaglep3\Utilities\RefineRTDCRunTimes.py" --tripid 237-09 --locoid 4024 --swversion DE.1.0.9.0 --startMP 204:457 --initTime 2017-04-09T22:56:45 --startdatetime 2017-04-09T23:00:39 --delay 1 --endMP 204:233300 --enddatetime 2017-04-09T23:36:59 --enforcementcount 0 &gt;&gt;C:\Users\stu\Documents\GitHub\eaglep3-reporting\EC\2017-04-09-refined-times.txt</v>
      </c>
      <c r="AI154" s="104" t="str">
        <f t="shared" si="18"/>
        <v>echo {"issue":{"subject":"","project_id":79,"tracker_id":40,"status_id":1,"priority_id":2,"assigned_to_id":23,"start_date":"2017-04-09","description":"","custom_fields":[{"id":1,"name":"Subdivision","value":"EC"},{"id":4,"name":"Milepost","value":"23.33"},{"id":17,"name":"Train ID","value":"237-09"},{"id":16,"name":"Locomotive ID","value":"4024"},{"id":130,"name":"Impact","value":""},{"id":150,"name":"Time of Event (Mountain Time)","value":"23:36:59"},{"id":151,"name":"Denver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8"/>
      <c r="AL154" s="48"/>
      <c r="AM154" s="150" t="str">
        <f t="shared" si="19"/>
        <v>start /low /b %USERPROFILE%\Documents\GitHub\eaglep3\Utilities\DownloadLogsFromS3.py --loco 4024 --day 2017-04-09</v>
      </c>
      <c r="AN154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05:36:59"},{"id":29,"name":"Sharepoint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x14ac:dyDescent="0.25">
      <c r="A155" s="33" t="s">
        <v>823</v>
      </c>
      <c r="B155" s="7">
        <v>4023</v>
      </c>
      <c r="C155" s="21" t="s">
        <v>215</v>
      </c>
      <c r="D155" s="21" t="s">
        <v>449</v>
      </c>
      <c r="E155" s="13">
        <v>42834.993576388886</v>
      </c>
      <c r="F155" s="13">
        <v>42834.997511574074</v>
      </c>
      <c r="G155" s="7">
        <v>1</v>
      </c>
      <c r="H155" s="21" t="s">
        <v>432</v>
      </c>
      <c r="I155" s="13">
        <v>42835.025902777779</v>
      </c>
      <c r="J155" s="7">
        <v>0</v>
      </c>
      <c r="K155" s="97" t="str">
        <f>IF(ISEVEN(B155),(B155-1)&amp;"/"&amp;B155,B155&amp;"/"&amp;(B155+1))</f>
        <v>4023/4024</v>
      </c>
      <c r="L155" s="21" t="str">
        <f>VLOOKUP(A155,'Trips&amp;Operators'!$C$1:$G$99999,5,FALSE)</f>
        <v>CHANDLER KELVIN</v>
      </c>
      <c r="M155" s="6">
        <f>I155-F155</f>
        <v>2.8391203704813961E-2</v>
      </c>
      <c r="N155" s="7">
        <f>24*60*SUM($M155:$M155)</f>
        <v>40.883333334932104</v>
      </c>
      <c r="O155" s="7"/>
      <c r="P155" s="7"/>
      <c r="Q155" s="22"/>
      <c r="R155" s="22"/>
      <c r="S155" s="31">
        <f>SUM(U155:U155)/IF(AG155="EC",12,1)</f>
        <v>1</v>
      </c>
      <c r="T155" s="46" t="str">
        <f>IF(ISEVEN(LEFT(AD155,4)),"Southbound","NorthBound")</f>
        <v>Southbound</v>
      </c>
      <c r="U155" s="18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2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-04-09T22:50:45-0600',mode:absolute,to:'2017-04-10T01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5" s="183" t="str">
        <f>IF(AA155&lt;IF(AG155="EC",23,5.65),"Y","N")</f>
        <v>N</v>
      </c>
      <c r="X155" s="183">
        <f>VALUE(LEFT(AD155,4))-VALUE(LEFT(AD154,4))</f>
        <v>1</v>
      </c>
      <c r="Y155" s="62">
        <f>RIGHT(D155,LEN(D155)-4)/10000</f>
        <v>23.296600000000002</v>
      </c>
      <c r="Z155" s="62">
        <f>RIGHT(H155,LEN(H155)-4)/10000</f>
        <v>1.6E-2</v>
      </c>
      <c r="AA155" s="62">
        <f>ABS(Z155-Y155)</f>
        <v>23.280600000000003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>IF(LEN(A155)=6,"0"&amp;A155,A155)</f>
        <v>0238-09</v>
      </c>
      <c r="AE155" s="85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s3://rtdc.mdm.uploadarchive.raw/RTDC4023/ "%USERPROFILE%\AppData\Local\Temp\OnboardLogs"\RTDC4023\2017-04-09 --exclude "*" --recursive --include "*20170409*" &amp; "%USERPROFILE%\Documents\GitHub\mrs-test-scripts\Headless Mode &amp; Sideloading\WalkAndUnGZ.bat" "%USERPROFILE%\AppData\Local\Temp\OnboardLogs"\RTDC4023\2017-04-09 &amp; aws s3 cp s3://rtdc.mdm.uploadarchive.raw/RTDC4023/ "%USERPROFILE%\AppData\Local\Temp\OnboardLogs"\RTDC4023\2017-04-10 --exclude "*" --recursive --include "*20170410*" &amp; "%USERPROFILE%\Documents\GitHub\mrs-test-scripts\Headless Mode &amp; Sideloading\WalkAndUnGZ.bat" "%USERPROFILE%\AppData\Local\Temp\OnboardLogs"\RTDC4023\2017-04-10</v>
      </c>
      <c r="AF155" s="82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/stypes="app*4023*20170410*" /stext=" 06:.+((SYSTEM_STATE.+slice.+state.+changed )|(ment ac)|(multiple cpu faults)|(system.+state.+changed )|(\[timeout)|(PRM\|1\|D)|(kpr)|(kdp)|(\|lc)|(penalty))"</v>
      </c>
      <c r="AG155" s="1" t="str">
        <f>IFERROR(IF(VALUE(LEFT(AD155,2))&lt;=2,"EC",IF(OR(VALUE(LEFT(AD155,2))=8,VALUE(LEFT(AD155,2))=18),"NW","Other")),"Other")</f>
        <v>EC</v>
      </c>
      <c r="AH155" s="86" t="str">
        <f t="shared" si="17"/>
        <v>"%USERPROFILE%\Documents\GitHub\eaglep3\Utilities\RefineRTDCRunTimes.py" --tripid 238-09 --locoid 4023 --swversion DE.1.0.9.0 --startMP 204:232966 --initTime 2017-04-09T23:50:45 --startdatetime 2017-04-09T23:56:25 --delay 1 --endMP 204:160 --enddatetime 2017-04-10T00:37:18 --enforcementcount 0 &gt;&gt;C:\Users\stu\Documents\GitHub\eaglep3-reporting\EC\2017-04-09-refined-times.txt</v>
      </c>
      <c r="AI155" s="104" t="str">
        <f t="shared" si="18"/>
        <v>echo {"issue":{"subject":"","project_id":79,"tracker_id":40,"status_id":1,"priority_id":2,"assigned_to_id":23,"start_date":"2017-04-10","description":"","custom_fields":[{"id":1,"name":"Subdivision","value":"EC"},{"id":4,"name":"Milepost","value":"0.016"},{"id":17,"name":"Train ID","value":"238-09"},{"id":16,"name":"Locomotive ID","value":"4023"},{"id":130,"name":"Impact","value":""},{"id":150,"name":"Time of Event (Mountain Time)","value":"00:37:18"},{"id":151,"name":"Denver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8"/>
      <c r="AL155" s="48"/>
      <c r="AM155" s="150" t="str">
        <f t="shared" si="19"/>
        <v>start /low /b %USERPROFILE%\Documents\GitHub\eaglep3\Utilities\DownloadLogsFromS3.py --loco 4023 --day 2017-04-09</v>
      </c>
      <c r="AN155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06:37:18"},{"id":29,"name":"Sharepoint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x14ac:dyDescent="0.25">
      <c r="A156" s="33" t="s">
        <v>820</v>
      </c>
      <c r="B156" s="7">
        <v>4012</v>
      </c>
      <c r="C156" s="21" t="s">
        <v>215</v>
      </c>
      <c r="D156" s="21" t="s">
        <v>205</v>
      </c>
      <c r="E156" s="13">
        <v>42834.972430555557</v>
      </c>
      <c r="F156" s="13">
        <v>42834.979571759257</v>
      </c>
      <c r="G156" s="7">
        <v>2</v>
      </c>
      <c r="H156" s="21" t="s">
        <v>953</v>
      </c>
      <c r="I156" s="13">
        <v>42835.006053240744</v>
      </c>
      <c r="J156" s="7">
        <v>0</v>
      </c>
      <c r="K156" s="97" t="str">
        <f>IF(ISEVEN(B156),(B156-1)&amp;"/"&amp;B156,B156&amp;"/"&amp;(B156+1))</f>
        <v>4011/4012</v>
      </c>
      <c r="L156" s="21" t="str">
        <f>VLOOKUP(A156,'Trips&amp;Operators'!$C$1:$G$99999,5,FALSE)</f>
        <v>DUNCAN SHEILA</v>
      </c>
      <c r="M156" s="6">
        <f>I156-F156</f>
        <v>2.6481481487280689E-2</v>
      </c>
      <c r="N156" s="7">
        <f>24*60*SUM($M156:$M156)</f>
        <v>38.133333341684192</v>
      </c>
      <c r="O156" s="7"/>
      <c r="P156" s="7"/>
      <c r="Q156" s="22"/>
      <c r="R156" s="22"/>
      <c r="S156" s="31">
        <f>SUM(U156:U156)/IF(AG156="EC",12,1)</f>
        <v>1</v>
      </c>
      <c r="T156" s="46" t="str">
        <f>IF(ISEVEN(LEFT(AD156,4)),"Southbound","NorthBound")</f>
        <v>NorthBound</v>
      </c>
      <c r="U156" s="18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2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-04-09T22:20:18-0600',mode:absolute,to:'2017-04-10T01:08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6" s="183" t="str">
        <f>IF(AA156&lt;IF(AG156="EC",23,5.65),"Y","N")</f>
        <v>N</v>
      </c>
      <c r="X156" s="183">
        <f>VALUE(LEFT(AD156,4))-VALUE(LEFT(AD155,4))</f>
        <v>1</v>
      </c>
      <c r="Y156" s="62">
        <f>RIGHT(D156,LEN(D156)-4)/10000</f>
        <v>4.5699999999999998E-2</v>
      </c>
      <c r="Z156" s="62">
        <f>RIGHT(H156,LEN(H156)-4)/10000</f>
        <v>23.331399999999999</v>
      </c>
      <c r="AA156" s="62">
        <f>ABS(Z156-Y156)</f>
        <v>23.285699999999999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>IF(LEN(A156)=6,"0"&amp;A156,A156)</f>
        <v>0239-09</v>
      </c>
      <c r="AE156" s="85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s3://rtdc.mdm.uploadarchive.raw/RTDC4012/ "%USERPROFILE%\AppData\Local\Temp\OnboardLogs"\RTDC4012\2017-04-09 --exclude "*" --recursive --include "*20170409*" &amp; "%USERPROFILE%\Documents\GitHub\mrs-test-scripts\Headless Mode &amp; Sideloading\WalkAndUnGZ.bat" "%USERPROFILE%\AppData\Local\Temp\OnboardLogs"\RTDC4012\2017-04-09 &amp; aws s3 cp s3://rtdc.mdm.uploadarchive.raw/RTDC4012/ "%USERPROFILE%\AppData\Local\Temp\OnboardLogs"\RTDC4012\2017-04-10 --exclude "*" --recursive --include "*20170410*" &amp; "%USERPROFILE%\Documents\GitHub\mrs-test-scripts\Headless Mode &amp; Sideloading\WalkAndUnGZ.bat" "%USERPROFILE%\AppData\Local\Temp\OnboardLogs"\RTDC4012\2017-04-10</v>
      </c>
      <c r="AF156" s="82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/stypes="app*4012*20170410*" /stext=" 06:.+((SYSTEM_STATE.+slice.+state.+changed )|(ment ac)|(multiple cpu faults)|(system.+state.+changed )|(\[timeout)|(PRM\|1\|D)|(kpr)|(kdp)|(\|lc)|(penalty))"</v>
      </c>
      <c r="AG156" s="1" t="str">
        <f>IFERROR(IF(VALUE(LEFT(AD156,2))&lt;=2,"EC",IF(OR(VALUE(LEFT(AD156,2))=8,VALUE(LEFT(AD156,2))=18),"NW","Other")),"Other")</f>
        <v>EC</v>
      </c>
      <c r="AH156" s="86" t="str">
        <f t="shared" si="17"/>
        <v>"%USERPROFILE%\Documents\GitHub\eaglep3\Utilities\RefineRTDCRunTimes.py" --tripid 239-09 --locoid 4012 --swversion DE.1.0.9.0 --startMP 204:457 --initTime 2017-04-09T23:20:18 --startdatetime 2017-04-09T23:30:35 --delay 2 --endMP 204:233314 --enddatetime 2017-04-10T00:08:43 --enforcementcount 0 &gt;&gt;C:\Users\stu\Documents\GitHub\eaglep3-reporting\EC\2017-04-09-refined-times.txt</v>
      </c>
      <c r="AI156" s="104" t="str">
        <f t="shared" si="18"/>
        <v>echo {"issue":{"subject":"","project_id":79,"tracker_id":40,"status_id":1,"priority_id":2,"assigned_to_id":23,"start_date":"2017-04-10","description":"","custom_fields":[{"id":1,"name":"Subdivision","value":"EC"},{"id":4,"name":"Milepost","value":"23.3314"},{"id":17,"name":"Train ID","value":"239-09"},{"id":16,"name":"Locomotive ID","value":"4012"},{"id":130,"name":"Impact","value":""},{"id":150,"name":"Time of Event (Mountain Time)","value":"00:08:43"},{"id":151,"name":"Denver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8"/>
      <c r="AL156" s="48"/>
      <c r="AM156" s="150" t="str">
        <f t="shared" si="19"/>
        <v>start /low /b %USERPROFILE%\Documents\GitHub\eaglep3\Utilities\DownloadLogsFromS3.py --loco 4012 --day 2017-04-09</v>
      </c>
      <c r="AN156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06:08:43"},{"id":29,"name":"Sharepoint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x14ac:dyDescent="0.25">
      <c r="A157" s="33" t="s">
        <v>825</v>
      </c>
      <c r="B157" s="7">
        <v>4011</v>
      </c>
      <c r="C157" s="21" t="s">
        <v>215</v>
      </c>
      <c r="D157" s="21" t="s">
        <v>578</v>
      </c>
      <c r="E157" s="13">
        <v>42835.016817129632</v>
      </c>
      <c r="F157" s="13">
        <v>42835.018310185187</v>
      </c>
      <c r="G157" s="7">
        <v>0</v>
      </c>
      <c r="H157" s="21" t="s">
        <v>843</v>
      </c>
      <c r="I157" s="13">
        <v>42835.047106481485</v>
      </c>
      <c r="J157" s="7">
        <v>0</v>
      </c>
      <c r="K157" s="97" t="str">
        <f>IF(ISEVEN(B157),(B157-1)&amp;"/"&amp;B157,B157&amp;"/"&amp;(B157+1))</f>
        <v>4011/4012</v>
      </c>
      <c r="L157" s="21" t="str">
        <f>VLOOKUP(A157,'Trips&amp;Operators'!$C$1:$G$99999,5,FALSE)</f>
        <v>DUNCAN SHEILA</v>
      </c>
      <c r="M157" s="6">
        <f>I157-F157</f>
        <v>2.8796296297514345E-2</v>
      </c>
      <c r="N157" s="7">
        <f>24*60*SUM($M157:$M157)</f>
        <v>41.466666668420658</v>
      </c>
      <c r="O157" s="7"/>
      <c r="P157" s="7"/>
      <c r="Q157" s="22"/>
      <c r="R157" s="22"/>
      <c r="S157" s="31">
        <f>SUM(U157:U157)/IF(AG157="EC",12,1)</f>
        <v>1</v>
      </c>
      <c r="T157" s="46" t="str">
        <f>IF(ISEVEN(LEFT(AD157,4)),"Southbound","NorthBound")</f>
        <v>Southbound</v>
      </c>
      <c r="U157" s="18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2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-04-09T23:24:13-0600',mode:absolute,to:'2017-04-10T02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7" s="183" t="str">
        <f>IF(AA157&lt;IF(AG157="EC",23,5.65),"Y","N")</f>
        <v>N</v>
      </c>
      <c r="X157" s="183">
        <f>VALUE(LEFT(AD157,4))-VALUE(LEFT(AD156,4))</f>
        <v>1</v>
      </c>
      <c r="Y157" s="62">
        <f>RIGHT(D157,LEN(D157)-4)/10000</f>
        <v>23.298100000000002</v>
      </c>
      <c r="Z157" s="62">
        <f>RIGHT(H157,LEN(H157)-4)/10000</f>
        <v>1.4999999999999999E-2</v>
      </c>
      <c r="AA157" s="62">
        <f>ABS(Z157-Y157)</f>
        <v>23.283100000000001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>IF(LEN(A157)=6,"0"&amp;A157,A157)</f>
        <v>0240-09</v>
      </c>
      <c r="AE157" s="85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s3://rtdc.mdm.uploadarchive.raw/RTDC4011/ "%USERPROFILE%\AppData\Local\Temp\OnboardLogs"\RTDC4011\2017-04-10 --exclude "*" --recursive --include "*20170410*" &amp; "%USERPROFILE%\Documents\GitHub\mrs-test-scripts\Headless Mode &amp; Sideloading\WalkAndUnGZ.bat" "%USERPROFILE%\AppData\Local\Temp\OnboardLogs"\RTDC4011\2017-04-10 &amp; aws s3 cp s3://rtdc.mdm.uploadarchive.raw/RTDC4011/ "%USERPROFILE%\AppData\Local\Temp\OnboardLogs"\RTDC4011\2017-04-11 --exclude "*" --recursive --include "*20170411*" &amp; "%USERPROFILE%\Documents\GitHub\mrs-test-scripts\Headless Mode &amp; Sideloading\WalkAndUnGZ.bat" "%USERPROFILE%\AppData\Local\Temp\OnboardLogs"\RTDC4011\2017-04-11</v>
      </c>
      <c r="AF157" s="82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/stypes="app*4011*20170410*" /stext=" 07:.+((SYSTEM_STATE.+slice.+state.+changed )|(ment ac)|(multiple cpu faults)|(system.+state.+changed )|(\[timeout)|(PRM\|1\|D)|(kpr)|(kdp)|(\|lc)|(penalty))"</v>
      </c>
      <c r="AG157" s="1" t="str">
        <f>IFERROR(IF(VALUE(LEFT(AD157,2))&lt;=2,"EC",IF(OR(VALUE(LEFT(AD157,2))=8,VALUE(LEFT(AD157,2))=18),"NW","Other")),"Other")</f>
        <v>EC</v>
      </c>
      <c r="AH157" s="86" t="str">
        <f t="shared" si="17"/>
        <v>"%USERPROFILE%\Documents\GitHub\eaglep3\Utilities\RefineRTDCRunTimes.py" --tripid 240-09 --locoid 4011 --swversion DE.1.0.9.0 --startMP 204:232981 --initTime 2017-04-10T00:24:13 --startdatetime 2017-04-10T00:26:22 --delay 0 --endMP 204:150 --enddatetime 2017-04-10T01:07:50 --enforcementcount 0 &gt;&gt;C:\Users\stu\Documents\GitHub\eaglep3-reporting\EC\2017-04-09-refined-times.txt</v>
      </c>
      <c r="AI157" s="104" t="str">
        <f t="shared" si="18"/>
        <v>echo {"issue":{"subject":"","project_id":79,"tracker_id":40,"status_id":1,"priority_id":2,"assigned_to_id":23,"start_date":"2017-04-10","description":"","custom_fields":[{"id":1,"name":"Subdivision","value":"EC"},{"id":4,"name":"Milepost","value":"0.015"},{"id":17,"name":"Train ID","value":"240-09"},{"id":16,"name":"Locomotive ID","value":"4011"},{"id":130,"name":"Impact","value":""},{"id":150,"name":"Time of Event (Mountain Time)","value":"01:07:50"},{"id":151,"name":"Denver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8"/>
      <c r="AL157" s="48"/>
      <c r="AM157" s="150" t="str">
        <f t="shared" si="19"/>
        <v>start /low /b %USERPROFILE%\Documents\GitHub\eaglep3\Utilities\DownloadLogsFromS3.py --loco 4011 --day 2017-04-10</v>
      </c>
      <c r="AN157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07:07:50"},{"id":29,"name":"Sharepoint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x14ac:dyDescent="0.25">
      <c r="A158" s="33" t="s">
        <v>822</v>
      </c>
      <c r="B158" s="7">
        <v>4004</v>
      </c>
      <c r="C158" s="21" t="s">
        <v>215</v>
      </c>
      <c r="D158" s="21" t="s">
        <v>859</v>
      </c>
      <c r="E158" s="13">
        <v>42834.991122685184</v>
      </c>
      <c r="F158" s="13">
        <v>42835.000277777777</v>
      </c>
      <c r="G158" s="7">
        <v>1</v>
      </c>
      <c r="H158" s="21" t="s">
        <v>420</v>
      </c>
      <c r="I158" s="13">
        <v>42835.025011574071</v>
      </c>
      <c r="J158" s="7">
        <v>0</v>
      </c>
      <c r="K158" s="97" t="str">
        <f>IF(ISEVEN(B158),(B158-1)&amp;"/"&amp;B158,B158&amp;"/"&amp;(B158+1))</f>
        <v>4003/4004</v>
      </c>
      <c r="L158" s="21" t="str">
        <f>VLOOKUP(A158,'Trips&amp;Operators'!$C$1:$G$99999,5,FALSE)</f>
        <v>SMITH MICHAEL</v>
      </c>
      <c r="M158" s="6">
        <f>I158-F158</f>
        <v>2.4733796293730848E-2</v>
      </c>
      <c r="N158" s="7">
        <f>24*60*SUM($M158:$M158)</f>
        <v>35.61666666297242</v>
      </c>
      <c r="O158" s="7"/>
      <c r="P158" s="7"/>
      <c r="Q158" s="22"/>
      <c r="R158" s="22"/>
      <c r="S158" s="31">
        <f>SUM(U158:U158)/IF(AG158="EC",12,1)</f>
        <v>1</v>
      </c>
      <c r="T158" s="46" t="str">
        <f>IF(ISEVEN(LEFT(AD158,4)),"Southbound","NorthBound")</f>
        <v>NorthBound</v>
      </c>
      <c r="U158" s="18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2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-04-09T22:47:13-0600',mode:absolute,to:'2017-04-10T01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8" s="183" t="str">
        <f>IF(AA158&lt;IF(AG158="EC",23,5.65),"Y","N")</f>
        <v>N</v>
      </c>
      <c r="X158" s="183">
        <f>VALUE(LEFT(AD158,4))-VALUE(LEFT(AD157,4))</f>
        <v>1</v>
      </c>
      <c r="Y158" s="62">
        <f>RIGHT(D158,LEN(D158)-4)/10000</f>
        <v>4.2900000000000001E-2</v>
      </c>
      <c r="Z158" s="62">
        <f>RIGHT(H158,LEN(H158)-4)/10000</f>
        <v>23.3308</v>
      </c>
      <c r="AA158" s="62">
        <f>ABS(Z158-Y158)</f>
        <v>23.2879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>IF(LEN(A158)=6,"0"&amp;A158,A158)</f>
        <v>0241-09</v>
      </c>
      <c r="AE158" s="85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s3://rtdc.mdm.uploadarchive.raw/RTDC4004/ "%USERPROFILE%\AppData\Local\Temp\OnboardLogs"\RTDC4004\2017-04-10 --exclude "*" --recursive --include "*20170410*" &amp; "%USERPROFILE%\Documents\GitHub\mrs-test-scripts\Headless Mode &amp; Sideloading\WalkAndUnGZ.bat" "%USERPROFILE%\AppData\Local\Temp\OnboardLogs"\RTDC4004\2017-04-10 &amp; aws s3 cp s3://rtdc.mdm.uploadarchive.raw/RTDC4004/ "%USERPROFILE%\AppData\Local\Temp\OnboardLogs"\RTDC4004\2017-04-11 --exclude "*" --recursive --include "*20170411*" &amp; "%USERPROFILE%\Documents\GitHub\mrs-test-scripts\Headless Mode &amp; Sideloading\WalkAndUnGZ.bat" "%USERPROFILE%\AppData\Local\Temp\OnboardLogs"\RTDC4004\2017-04-11</v>
      </c>
      <c r="AF158" s="82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/stypes="app*4004*20170410*" /stext=" 06:.+((SYSTEM_STATE.+slice.+state.+changed )|(ment ac)|(multiple cpu faults)|(system.+state.+changed )|(\[timeout)|(PRM\|1\|D)|(kpr)|(kdp)|(\|lc)|(penalty))"</v>
      </c>
      <c r="AG158" s="1" t="str">
        <f>IFERROR(IF(VALUE(LEFT(AD158,2))&lt;=2,"EC",IF(OR(VALUE(LEFT(AD158,2))=8,VALUE(LEFT(AD158,2))=18),"NW","Other")),"Other")</f>
        <v>EC</v>
      </c>
      <c r="AH158" s="86" t="str">
        <f t="shared" si="17"/>
        <v>"%USERPROFILE%\Documents\GitHub\eaglep3\Utilities\RefineRTDCRunTimes.py" --tripid 241-09 --locoid 4004 --swversion DE.1.0.9.0 --startMP 204:429 --initTime 2017-04-09T23:47:13 --startdatetime 2017-04-10T00:00:24 --delay 1 --endMP 204:233308 --enddatetime 2017-04-10T00:36:01 --enforcementcount 0 &gt;&gt;C:\Users\stu\Documents\GitHub\eaglep3-reporting\EC\2017-04-09-refined-times.txt</v>
      </c>
      <c r="AI158" s="104" t="str">
        <f t="shared" si="18"/>
        <v>echo {"issue":{"subject":"","project_id":79,"tracker_id":40,"status_id":1,"priority_id":2,"assigned_to_id":23,"start_date":"2017-04-10","description":"","custom_fields":[{"id":1,"name":"Subdivision","value":"EC"},{"id":4,"name":"Milepost","value":"23.3308"},{"id":17,"name":"Train ID","value":"241-09"},{"id":16,"name":"Locomotive ID","value":"4004"},{"id":130,"name":"Impact","value":""},{"id":150,"name":"Time of Event (Mountain Time)","value":"00:36:01"},{"id":151,"name":"Denver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8"/>
      <c r="AL158" s="48"/>
      <c r="AM158" s="150" t="str">
        <f t="shared" si="19"/>
        <v>start /low /b %USERPROFILE%\Documents\GitHub\eaglep3\Utilities\DownloadLogsFromS3.py --loco 4004 --day 2017-04-10</v>
      </c>
      <c r="AN158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06:36:01"},{"id":29,"name":"Sharepoint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s="20" customFormat="1" x14ac:dyDescent="0.25">
      <c r="A159" s="33" t="s">
        <v>827</v>
      </c>
      <c r="B159" s="7">
        <v>4003</v>
      </c>
      <c r="C159" s="21" t="s">
        <v>215</v>
      </c>
      <c r="D159" s="21" t="s">
        <v>578</v>
      </c>
      <c r="E159" s="13">
        <v>42835.032673611109</v>
      </c>
      <c r="F159" s="13">
        <v>42835.039074074077</v>
      </c>
      <c r="G159" s="7">
        <v>1</v>
      </c>
      <c r="H159" s="21" t="s">
        <v>212</v>
      </c>
      <c r="I159" s="13">
        <v>42835.066192129627</v>
      </c>
      <c r="J159" s="7">
        <v>0</v>
      </c>
      <c r="K159" s="97" t="str">
        <f>IF(ISEVEN(B159),(B159-1)&amp;"/"&amp;B159,B159&amp;"/"&amp;(B159+1))</f>
        <v>4003/4004</v>
      </c>
      <c r="L159" s="21" t="str">
        <f>VLOOKUP(A159,'Trips&amp;Operators'!$C$1:$G$99999,5,FALSE)</f>
        <v>SMITH MICHAEL</v>
      </c>
      <c r="M159" s="6">
        <f>I159-F159</f>
        <v>2.7118055550090503E-2</v>
      </c>
      <c r="N159" s="7">
        <f>24*60*SUM($M159:$M159)</f>
        <v>39.049999992130324</v>
      </c>
      <c r="O159" s="7"/>
      <c r="P159" s="7"/>
      <c r="Q159" s="22"/>
      <c r="R159" s="22"/>
      <c r="S159" s="31">
        <f>SUM(U159:U159)/IF(AG159="EC",12,1)</f>
        <v>1</v>
      </c>
      <c r="T159" s="46" t="str">
        <f>IF(ISEVEN(LEFT(AD159,4)),"Southbound","NorthBound")</f>
        <v>Southbound</v>
      </c>
      <c r="U159" s="18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82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-04-09T23:47:03-0600',mode:absolute,to:'2017-04-10T02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9" s="183" t="str">
        <f>IF(AA159&lt;IF(AG159="EC",23,5.65),"Y","N")</f>
        <v>N</v>
      </c>
      <c r="X159" s="183">
        <f>VALUE(LEFT(AD159,4))-VALUE(LEFT(AD158,4))</f>
        <v>1</v>
      </c>
      <c r="Y159" s="62">
        <f>RIGHT(D159,LEN(D159)-4)/10000</f>
        <v>23.298100000000002</v>
      </c>
      <c r="Z159" s="62">
        <f>RIGHT(H159,LEN(H159)-4)/10000</f>
        <v>1.47E-2</v>
      </c>
      <c r="AA159" s="62">
        <f>ABS(Z159-Y159)</f>
        <v>23.2834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>IF(LEN(A159)=6,"0"&amp;A159,A159)</f>
        <v>0242-09</v>
      </c>
      <c r="AE159" s="85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s3://rtdc.mdm.uploadarchive.raw/RTDC4003/ "%USERPROFILE%\AppData\Local\Temp\OnboardLogs"\RTDC4003\2017-04-10 --exclude "*" --recursive --include "*20170410*" &amp; "%USERPROFILE%\Documents\GitHub\mrs-test-scripts\Headless Mode &amp; Sideloading\WalkAndUnGZ.bat" "%USERPROFILE%\AppData\Local\Temp\OnboardLogs"\RTDC4003\2017-04-10 &amp; aws s3 cp s3://rtdc.mdm.uploadarchive.raw/RTDC4003/ "%USERPROFILE%\AppData\Local\Temp\OnboardLogs"\RTDC4003\2017-04-11 --exclude "*" --recursive --include "*20170411*" &amp; "%USERPROFILE%\Documents\GitHub\mrs-test-scripts\Headless Mode &amp; Sideloading\WalkAndUnGZ.bat" "%USERPROFILE%\AppData\Local\Temp\OnboardLogs"\RTDC4003\2017-04-11</v>
      </c>
      <c r="AF159" s="82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/stypes="app*4003*20170410*" /stext=" 07:.+((SYSTEM_STATE.+slice.+state.+changed )|(ment ac)|(multiple cpu faults)|(system.+state.+changed )|(\[timeout)|(PRM\|1\|D)|(kpr)|(kdp)|(\|lc)|(penalty))"</v>
      </c>
      <c r="AG159" s="1" t="str">
        <f>IFERROR(IF(VALUE(LEFT(AD159,2))&lt;=2,"EC",IF(OR(VALUE(LEFT(AD159,2))=8,VALUE(LEFT(AD159,2))=18),"NW","Other")),"Other")</f>
        <v>EC</v>
      </c>
      <c r="AH159" s="86" t="str">
        <f t="shared" si="17"/>
        <v>"%USERPROFILE%\Documents\GitHub\eaglep3\Utilities\RefineRTDCRunTimes.py" --tripid 242-09 --locoid 4003 --swversion DE.1.0.9.0 --startMP 204:232981 --initTime 2017-04-10T00:47:03 --startdatetime 2017-04-10T00:56:16 --delay 1 --endMP 204:147 --enddatetime 2017-04-10T01:35:19 --enforcementcount 0 &gt;&gt;C:\Users\stu\Documents\GitHub\eaglep3-reporting\EC\2017-04-09-refined-times.txt</v>
      </c>
      <c r="AI159" s="104" t="str">
        <f t="shared" si="18"/>
        <v>echo {"issue":{"subject":"","project_id":79,"tracker_id":40,"status_id":1,"priority_id":2,"assigned_to_id":23,"start_date":"2017-04-10","description":"","custom_fields":[{"id":1,"name":"Subdivision","value":"EC"},{"id":4,"name":"Milepost","value":"0.0147"},{"id":17,"name":"Train ID","value":"242-09"},{"id":16,"name":"Locomotive ID","value":"4003"},{"id":130,"name":"Impact","value":""},{"id":150,"name":"Time of Event (Mountain Time)","value":"01:35:19"},{"id":151,"name":"Denver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8"/>
      <c r="AL159" s="48"/>
      <c r="AM159" s="150" t="str">
        <f t="shared" si="19"/>
        <v>start /low /b %USERPROFILE%\Documents\GitHub\eaglep3\Utilities\DownloadLogsFromS3.py --loco 4003 --day 2017-04-10</v>
      </c>
      <c r="AN159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07:35:19"},{"id":29,"name":"Sharepoint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3" t="s">
        <v>824</v>
      </c>
      <c r="B160" s="7">
        <v>4046</v>
      </c>
      <c r="C160" s="21" t="s">
        <v>215</v>
      </c>
      <c r="D160" s="21" t="s">
        <v>859</v>
      </c>
      <c r="E160" s="13">
        <v>42835.004293981481</v>
      </c>
      <c r="F160" s="13">
        <v>42835.021122685182</v>
      </c>
      <c r="G160" s="7">
        <v>1</v>
      </c>
      <c r="H160" s="21" t="s">
        <v>954</v>
      </c>
      <c r="I160" s="13">
        <v>42835.045914351853</v>
      </c>
      <c r="J160" s="7">
        <v>0</v>
      </c>
      <c r="K160" s="97" t="str">
        <f>IF(ISEVEN(B160),(B160-1)&amp;"/"&amp;B160,B160&amp;"/"&amp;(B160+1))</f>
        <v>4045/4046</v>
      </c>
      <c r="L160" s="21" t="str">
        <f>VLOOKUP(A160,'Trips&amp;Operators'!$C$1:$G$99999,5,FALSE)</f>
        <v>STAMBAUGH JAMES</v>
      </c>
      <c r="M160" s="6">
        <f>I160-F160</f>
        <v>2.4791666670353152E-2</v>
      </c>
      <c r="N160" s="7">
        <f>24*60*SUM($M160:$M160)</f>
        <v>35.700000005308539</v>
      </c>
      <c r="O160" s="7"/>
      <c r="P160" s="7"/>
      <c r="Q160" s="22"/>
      <c r="R160" s="22"/>
      <c r="S160" s="31">
        <f>SUM(U160:U160)/IF(AG160="EC",12,1)</f>
        <v>1</v>
      </c>
      <c r="T160" s="46" t="str">
        <f>IF(ISEVEN(LEFT(AD160,4)),"Southbound","NorthBound")</f>
        <v>NorthBound</v>
      </c>
      <c r="U160" s="18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82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-04-09T23:06:11-0600',mode:absolute,to:'2017-04-10T02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0" s="183" t="str">
        <f>IF(AA160&lt;IF(AG160="EC",23,5.65),"Y","N")</f>
        <v>N</v>
      </c>
      <c r="X160" s="183">
        <f>VALUE(LEFT(AD160,4))-VALUE(LEFT(AD159,4))</f>
        <v>1</v>
      </c>
      <c r="Y160" s="62">
        <f>RIGHT(D160,LEN(D160)-4)/10000</f>
        <v>4.2900000000000001E-2</v>
      </c>
      <c r="Z160" s="62">
        <f>RIGHT(H160,LEN(H160)-4)/10000</f>
        <v>23.346499999999999</v>
      </c>
      <c r="AA160" s="62">
        <f>ABS(Z160-Y160)</f>
        <v>23.303599999999999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>IF(LEN(A160)=6,"0"&amp;A160,A160)</f>
        <v>0243-09</v>
      </c>
      <c r="AE160" s="85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s3://rtdc.mdm.uploadarchive.raw/RTDC4046/ "%USERPROFILE%\AppData\Local\Temp\OnboardLogs"\RTDC4046\2017-04-10 --exclude "*" --recursive --include "*20170410*" &amp; "%USERPROFILE%\Documents\GitHub\mrs-test-scripts\Headless Mode &amp; Sideloading\WalkAndUnGZ.bat" "%USERPROFILE%\AppData\Local\Temp\OnboardLogs"\RTDC4046\2017-04-10 &amp; aws s3 cp s3://rtdc.mdm.uploadarchive.raw/RTDC4046/ "%USERPROFILE%\AppData\Local\Temp\OnboardLogs"\RTDC4046\2017-04-11 --exclude "*" --recursive --include "*20170411*" &amp; "%USERPROFILE%\Documents\GitHub\mrs-test-scripts\Headless Mode &amp; Sideloading\WalkAndUnGZ.bat" "%USERPROFILE%\AppData\Local\Temp\OnboardLogs"\RTDC4046\2017-04-11</v>
      </c>
      <c r="AF160" s="82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/stypes="app*4046*20170410*" /stext=" 07:.+((SYSTEM_STATE.+slice.+state.+changed )|(ment ac)|(multiple cpu faults)|(system.+state.+changed )|(\[timeout)|(PRM\|1\|D)|(kpr)|(kdp)|(\|lc)|(penalty))"</v>
      </c>
      <c r="AG160" s="1" t="str">
        <f>IFERROR(IF(VALUE(LEFT(AD160,2))&lt;=2,"EC",IF(OR(VALUE(LEFT(AD160,2))=8,VALUE(LEFT(AD160,2))=18),"NW","Other")),"Other")</f>
        <v>EC</v>
      </c>
      <c r="AH160" s="86" t="str">
        <f t="shared" si="17"/>
        <v>"%USERPROFILE%\Documents\GitHub\eaglep3\Utilities\RefineRTDCRunTimes.py" --tripid 243-09 --locoid 4046 --swversion DE.1.0.9.0 --startMP 204:429 --initTime 2017-04-10T00:06:11 --startdatetime 2017-04-10T00:30:25 --delay 1 --endMP 204:233465 --enddatetime 2017-04-10T01:06:07 --enforcementcount 0 &gt;&gt;C:\Users\stu\Documents\GitHub\eaglep3-reporting\EC\2017-04-09-refined-times.txt</v>
      </c>
      <c r="AI160" s="104" t="str">
        <f t="shared" si="18"/>
        <v>echo {"issue":{"subject":"","project_id":79,"tracker_id":40,"status_id":1,"priority_id":2,"assigned_to_id":23,"start_date":"2017-04-10","description":"","custom_fields":[{"id":1,"name":"Subdivision","value":"EC"},{"id":4,"name":"Milepost","value":"23.3465"},{"id":17,"name":"Train ID","value":"243-09"},{"id":16,"name":"Locomotive ID","value":"4046"},{"id":130,"name":"Impact","value":""},{"id":150,"name":"Time of Event (Mountain Time)","value":"01:06:07"},{"id":151,"name":"Denver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8"/>
      <c r="AL160" s="48"/>
      <c r="AM160" s="150" t="str">
        <f t="shared" si="19"/>
        <v>start /low /b %USERPROFILE%\Documents\GitHub\eaglep3\Utilities\DownloadLogsFromS3.py --loco 4046 --day 2017-04-10</v>
      </c>
      <c r="AN160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07:06:07"},{"id":29,"name":"Sharepoint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s="20" customFormat="1" x14ac:dyDescent="0.25">
      <c r="A161" s="33" t="s">
        <v>829</v>
      </c>
      <c r="B161" s="7">
        <v>4045</v>
      </c>
      <c r="C161" s="21" t="s">
        <v>215</v>
      </c>
      <c r="D161" s="21" t="s">
        <v>955</v>
      </c>
      <c r="E161" s="13">
        <v>42835.057569444441</v>
      </c>
      <c r="F161" s="13">
        <v>42835.059988425928</v>
      </c>
      <c r="G161" s="7">
        <v>1</v>
      </c>
      <c r="H161" s="21" t="s">
        <v>409</v>
      </c>
      <c r="I161" s="13">
        <v>42835.086944444447</v>
      </c>
      <c r="J161" s="7">
        <v>0</v>
      </c>
      <c r="K161" s="97" t="str">
        <f>IF(ISEVEN(B161),(B161-1)&amp;"/"&amp;B161,B161&amp;"/"&amp;(B161+1))</f>
        <v>4045/4046</v>
      </c>
      <c r="L161" s="21" t="str">
        <f>VLOOKUP(A161,'Trips&amp;Operators'!$C$1:$G$99999,5,FALSE)</f>
        <v>STAMBAUGH JAMES</v>
      </c>
      <c r="M161" s="6">
        <f>I161-F161</f>
        <v>2.6956018518831115E-2</v>
      </c>
      <c r="N161" s="7">
        <f>24*60*SUM($M161:$M161)</f>
        <v>38.816666667116806</v>
      </c>
      <c r="O161" s="7"/>
      <c r="P161" s="7"/>
      <c r="Q161" s="22"/>
      <c r="R161" s="22"/>
      <c r="S161" s="31">
        <f>SUM(U161:U161)/IF(AG161="EC",12,1)</f>
        <v>1</v>
      </c>
      <c r="T161" s="46" t="str">
        <f>IF(ISEVEN(LEFT(AD161,4)),"Southbound","NorthBound")</f>
        <v>Southbound</v>
      </c>
      <c r="U161" s="18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82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-04-10T00:22:54-0600',mode:absolute,to:'2017-04-10T03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1" s="183" t="str">
        <f>IF(AA161&lt;IF(AG161="EC",23,5.65),"Y","N")</f>
        <v>N</v>
      </c>
      <c r="X161" s="183">
        <f t="shared" ref="X161:X165" si="22">VALUE(LEFT(AD161,4))-VALUE(LEFT(AD160,4))</f>
        <v>1</v>
      </c>
      <c r="Y161" s="62">
        <f>RIGHT(D161,LEN(D161)-4)/10000</f>
        <v>23.313199999999998</v>
      </c>
      <c r="Z161" s="62">
        <f>RIGHT(H161,LEN(H161)-4)/10000</f>
        <v>1.6299999999999999E-2</v>
      </c>
      <c r="AA161" s="62">
        <f>ABS(Z161-Y161)</f>
        <v>23.296899999999997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>IF(LEN(A161)=6,"0"&amp;A161,A161)</f>
        <v>0244-09</v>
      </c>
      <c r="AE161" s="85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s3://rtdc.mdm.uploadarchive.raw/RTDC4045/ "%USERPROFILE%\AppData\Local\Temp\OnboardLogs"\RTDC4045\2017-04-10 --exclude "*" --recursive --include "*20170410*" &amp; "%USERPROFILE%\Documents\GitHub\mrs-test-scripts\Headless Mode &amp; Sideloading\WalkAndUnGZ.bat" "%USERPROFILE%\AppData\Local\Temp\OnboardLogs"\RTDC4045\2017-04-10 &amp; aws s3 cp s3://rtdc.mdm.uploadarchive.raw/RTDC4045/ "%USERPROFILE%\AppData\Local\Temp\OnboardLogs"\RTDC4045\2017-04-11 --exclude "*" --recursive --include "*20170411*" &amp; "%USERPROFILE%\Documents\GitHub\mrs-test-scripts\Headless Mode &amp; Sideloading\WalkAndUnGZ.bat" "%USERPROFILE%\AppData\Local\Temp\OnboardLogs"\RTDC4045\2017-04-11</v>
      </c>
      <c r="AF161" s="82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/stypes="app*4045*20170410*" /stext=" 08:.+((SYSTEM_STATE.+slice.+state.+changed )|(ment ac)|(multiple cpu faults)|(system.+state.+changed )|(\[timeout)|(PRM\|1\|D)|(kpr)|(kdp)|(\|lc)|(penalty))"</v>
      </c>
      <c r="AG161" s="1" t="str">
        <f>IFERROR(IF(VALUE(LEFT(AD161,2))&lt;=2,"EC",IF(OR(VALUE(LEFT(AD161,2))=8,VALUE(LEFT(AD161,2))=18),"NW","Other")),"Other")</f>
        <v>EC</v>
      </c>
      <c r="AH161" s="86" t="str">
        <f t="shared" si="17"/>
        <v>"%USERPROFILE%\Documents\GitHub\eaglep3\Utilities\RefineRTDCRunTimes.py" --tripid 244-09 --locoid 4045 --swversion DE.1.0.9.0 --startMP 204:233132 --initTime 2017-04-10T01:22:54 --startdatetime 2017-04-10T01:26:23 --delay 1 --endMP 204:163 --enddatetime 2017-04-10T02:05:12 --enforcementcount 0 &gt;&gt;C:\Users\stu\Documents\GitHub\eaglep3-reporting\EC\2017-04-09-refined-times.txt</v>
      </c>
      <c r="AI161" s="104" t="str">
        <f t="shared" si="18"/>
        <v>echo {"issue":{"subject":"","project_id":79,"tracker_id":40,"status_id":1,"priority_id":2,"assigned_to_id":23,"start_date":"2017-04-10","description":"","custom_fields":[{"id":1,"name":"Subdivision","value":"EC"},{"id":4,"name":"Milepost","value":"0.0163"},{"id":17,"name":"Train ID","value":"244-09"},{"id":16,"name":"Locomotive ID","value":"4045"},{"id":130,"name":"Impact","value":""},{"id":150,"name":"Time of Event (Mountain Time)","value":"02:05:12"},{"id":151,"name":"Denver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8"/>
      <c r="AL161" s="48"/>
      <c r="AM161" s="150" t="str">
        <f t="shared" si="19"/>
        <v>start /low /b %USERPROFILE%\Documents\GitHub\eaglep3\Utilities\DownloadLogsFromS3.py --loco 4045 --day 2017-04-10</v>
      </c>
      <c r="AN161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08:05:12"},{"id":29,"name":"Sharepoint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3" t="s">
        <v>658</v>
      </c>
      <c r="B162" s="7">
        <v>4007</v>
      </c>
      <c r="C162" s="21" t="s">
        <v>215</v>
      </c>
      <c r="D162" s="21" t="s">
        <v>886</v>
      </c>
      <c r="E162" s="13">
        <v>42834.228333333333</v>
      </c>
      <c r="F162" s="13">
        <v>42834.236875000002</v>
      </c>
      <c r="G162" s="7">
        <v>1</v>
      </c>
      <c r="H162" s="21" t="s">
        <v>887</v>
      </c>
      <c r="I162" s="13">
        <v>42834.24596064815</v>
      </c>
      <c r="J162" s="7">
        <v>0</v>
      </c>
      <c r="K162" s="97" t="str">
        <f>IF(ISEVEN(B162),(B162-1)&amp;"/"&amp;B162,B162&amp;"/"&amp;(B162+1))</f>
        <v>4007/4008</v>
      </c>
      <c r="L162" s="21" t="str">
        <f>VLOOKUP(A162,'Trips&amp;Operators'!$C$1:$G$99999,5,FALSE)</f>
        <v>YORK EDGAR</v>
      </c>
      <c r="M162" s="6">
        <f>I162-F162</f>
        <v>9.0856481474475004E-3</v>
      </c>
      <c r="N162" s="7">
        <f>24*60*SUM($M162:$M162)</f>
        <v>13.083333332324401</v>
      </c>
      <c r="O162" s="7"/>
      <c r="P162" s="7"/>
      <c r="Q162" s="22"/>
      <c r="R162" s="22"/>
      <c r="S162" s="31">
        <f>SUM(U162:U162)/IF(AG162="EC",12,1)</f>
        <v>1</v>
      </c>
      <c r="T162" s="46" t="str">
        <f>IF(ISEVEN(LEFT(AD162,4)),"Southbound","NorthBound")</f>
        <v>Southbound</v>
      </c>
      <c r="U162" s="18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2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-04-09T04:28:48-0600',mode:absolute,to:'2017-04-09T06:54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2" s="183" t="str">
        <f>IF(AA162&lt;IF(AG162="EC",23,5.65),"Y","N")</f>
        <v>N</v>
      </c>
      <c r="X162" s="183">
        <f t="shared" si="22"/>
        <v>1556</v>
      </c>
      <c r="Y162" s="62">
        <f>RIGHT(D162,LEN(D162)-4)/10000</f>
        <v>5.8623000000000003</v>
      </c>
      <c r="Z162" s="62">
        <f>RIGHT(H162,LEN(H162)-4)/10000</f>
        <v>7.3400000000000007E-2</v>
      </c>
      <c r="AA162" s="62">
        <f>ABS(Z162-Y162)</f>
        <v>5.7888999999999999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>IF(LEN(A162)=6,"0"&amp;A162,A162)</f>
        <v>1800-09</v>
      </c>
      <c r="AE162" s="85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s3://rtdc.mdm.uploadarchive.raw/RTDC4007/ "%USERPROFILE%\AppData\Local\Temp\OnboardLogs"\RTDC4007\2017-04-09 --exclude "*" --recursive --include "*20170409*" &amp; "%USERPROFILE%\Documents\GitHub\mrs-test-scripts\Headless Mode &amp; Sideloading\WalkAndUnGZ.bat" "%USERPROFILE%\AppData\Local\Temp\OnboardLogs"\RTDC4007\2017-04-09 &amp; aws s3 cp s3://rtdc.mdm.uploadarchive.raw/RTDC4007/ "%USERPROFILE%\AppData\Local\Temp\OnboardLogs"\RTDC4007\2017-04-10 --exclude "*" --recursive --include "*20170410*" &amp; "%USERPROFILE%\Documents\GitHub\mrs-test-scripts\Headless Mode &amp; Sideloading\WalkAndUnGZ.bat" "%USERPROFILE%\AppData\Local\Temp\OnboardLogs"\RTDC4007\2017-04-10</v>
      </c>
      <c r="AF162" s="82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/stypes="app*4007*20170409*" /stext=" 11:.+((SYSTEM_STATE.+slice.+state.+changed )|(ment ac)|(multiple cpu faults)|(system.+state.+changed )|(\[timeout)|(PRM\|1\|D)|(kpr)|(kdp)|(\|lc)|(penalty))"</v>
      </c>
      <c r="AG162" s="1" t="str">
        <f>IFERROR(IF(VALUE(LEFT(AD162,2))&lt;=2,"EC",IF(OR(VALUE(LEFT(AD162,2))=8,VALUE(LEFT(AD162,2))=18),"NW","Other")),"Other")</f>
        <v>NW</v>
      </c>
      <c r="AH162" s="86" t="str">
        <f t="shared" si="17"/>
        <v>"%USERPROFILE%\Documents\GitHub\eaglep3\Utilities\RefineRTDCRunTimes.py" --tripid 1800-09 --locoid 4007 --swversion DE.1.0.9.0 --startMP 300:58623 --initTime 2017-04-09T05:28:48 --startdatetime 2017-04-09T05:41:06 --delay 1 --endMP 204:734 --enddatetime 2017-04-09T05:54:11 --enforcementcount 0 &gt;&gt;C:\Users\stu\Documents\GitHub\eaglep3-reporting\EC\2017-04-09-refined-times.txt</v>
      </c>
      <c r="AI162" s="104" t="str">
        <f t="shared" si="18"/>
        <v>echo {"issue":{"subject":"","project_id":79,"tracker_id":40,"status_id":1,"priority_id":2,"assigned_to_id":23,"start_date":"2017-04-09","description":"","custom_fields":[{"id":1,"name":"Subdivision","value":"NW"},{"id":4,"name":"Milepost","value":"0.0734"},{"id":17,"name":"Train ID","value":"1800-09"},{"id":16,"name":"Locomotive ID","value":"4007"},{"id":130,"name":"Impact","value":""},{"id":150,"name":"Time of Event (Mountain Time)","value":"05:54:11"},{"id":151,"name":"Denver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8"/>
      <c r="AL162" s="48"/>
      <c r="AM162" s="150" t="str">
        <f t="shared" si="19"/>
        <v>start /low /b %USERPROFILE%\Documents\GitHub\eaglep3\Utilities\DownloadLogsFromS3.py --loco 4007 --day 2017-04-09</v>
      </c>
      <c r="AN162" s="159" t="str">
        <f t="shared" si="20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11:54:11"},{"id":29,"name":"Sharepoint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3" t="s">
        <v>662</v>
      </c>
      <c r="B163" s="7">
        <v>4008</v>
      </c>
      <c r="C163" s="21" t="s">
        <v>215</v>
      </c>
      <c r="D163" s="21" t="s">
        <v>593</v>
      </c>
      <c r="E163" s="13">
        <v>42834.247106481482</v>
      </c>
      <c r="F163" s="13">
        <v>42834.265590277777</v>
      </c>
      <c r="G163" s="7">
        <v>0</v>
      </c>
      <c r="H163" s="21" t="s">
        <v>597</v>
      </c>
      <c r="I163" s="13">
        <v>42834.273969907408</v>
      </c>
      <c r="J163" s="7">
        <v>0</v>
      </c>
      <c r="K163" s="97" t="str">
        <f>IF(ISEVEN(B163),(B163-1)&amp;"/"&amp;B163,B163&amp;"/"&amp;(B163+1))</f>
        <v>4007/4008</v>
      </c>
      <c r="L163" s="21" t="str">
        <f>VLOOKUP(A163,'Trips&amp;Operators'!$C$1:$G$99999,5,FALSE)</f>
        <v>YORK EDGAR</v>
      </c>
      <c r="M163" s="6">
        <f>I163-F163</f>
        <v>8.3796296312357299E-3</v>
      </c>
      <c r="N163" s="7">
        <f>24*60*SUM($M163:$M163)</f>
        <v>12.066666668979451</v>
      </c>
      <c r="O163" s="7"/>
      <c r="P163" s="7"/>
      <c r="Q163" s="22"/>
      <c r="R163" s="22"/>
      <c r="S163" s="31">
        <f>SUM(U163:U163)/IF(AG163="EC",12,1)</f>
        <v>1</v>
      </c>
      <c r="T163" s="46" t="str">
        <f>IF(ISEVEN(LEFT(AD163,4)),"Southbound","NorthBound")</f>
        <v>NorthBound</v>
      </c>
      <c r="U163" s="18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2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-04-09T04:55:50-0600',mode:absolute,to:'2017-04-09T07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3" s="183" t="str">
        <f>IF(AA163&lt;IF(AG163="EC",23,5.65),"Y","N")</f>
        <v>N</v>
      </c>
      <c r="X163" s="183">
        <f t="shared" si="22"/>
        <v>1</v>
      </c>
      <c r="Y163" s="62">
        <f>RIGHT(D163,LEN(D163)-4)/10000</f>
        <v>0.10349999999999999</v>
      </c>
      <c r="Z163" s="62">
        <f>RIGHT(H163,LEN(H163)-4)/10000</f>
        <v>5.8945999999999996</v>
      </c>
      <c r="AA163" s="62">
        <f>ABS(Z163-Y163)</f>
        <v>5.7910999999999992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>IF(LEN(A163)=6,"0"&amp;A163,A163)</f>
        <v>1801-09</v>
      </c>
      <c r="AE163" s="85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s3://rtdc.mdm.uploadarchive.raw/RTDC4008/ "%USERPROFILE%\AppData\Local\Temp\OnboardLogs"\RTDC4008\2017-04-09 --exclude "*" --recursive --include "*20170409*" &amp; "%USERPROFILE%\Documents\GitHub\mrs-test-scripts\Headless Mode &amp; Sideloading\WalkAndUnGZ.bat" "%USERPROFILE%\AppData\Local\Temp\OnboardLogs"\RTDC4008\2017-04-09 &amp; aws s3 cp s3://rtdc.mdm.uploadarchive.raw/RTDC4008/ "%USERPROFILE%\AppData\Local\Temp\OnboardLogs"\RTDC4008\2017-04-10 --exclude "*" --recursive --include "*20170410*" &amp; "%USERPROFILE%\Documents\GitHub\mrs-test-scripts\Headless Mode &amp; Sideloading\WalkAndUnGZ.bat" "%USERPROFILE%\AppData\Local\Temp\OnboardLogs"\RTDC4008\2017-04-10</v>
      </c>
      <c r="AF163" s="82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/stypes="app*4008*20170409*" /stext=" 12:.+((SYSTEM_STATE.+slice.+state.+changed )|(ment ac)|(multiple cpu faults)|(system.+state.+changed )|(\[timeout)|(PRM\|1\|D)|(kpr)|(kdp)|(\|lc)|(penalty))"</v>
      </c>
      <c r="AG163" s="1" t="str">
        <f>IFERROR(IF(VALUE(LEFT(AD163,2))&lt;=2,"EC",IF(OR(VALUE(LEFT(AD163,2))=8,VALUE(LEFT(AD163,2))=18),"NW","Other")),"Other")</f>
        <v>NW</v>
      </c>
      <c r="AH163" s="86" t="str">
        <f t="shared" si="17"/>
        <v>"%USERPROFILE%\Documents\GitHub\eaglep3\Utilities\RefineRTDCRunTimes.py" --tripid 1801-09 --locoid 4008 --swversion DE.1.0.9.0 --startMP 204:1035 --initTime 2017-04-09T05:55:50 --startdatetime 2017-04-09T06:22:27 --delay 0 --endMP 300:58946 --enddatetime 2017-04-09T06:34:31 --enforcementcount 0 &gt;&gt;C:\Users\stu\Documents\GitHub\eaglep3-reporting\EC\2017-04-09-refined-times.txt</v>
      </c>
      <c r="AI163" s="104" t="str">
        <f t="shared" si="18"/>
        <v>echo {"issue":{"subject":"","project_id":79,"tracker_id":40,"status_id":1,"priority_id":2,"assigned_to_id":23,"start_date":"2017-04-09","description":"","custom_fields":[{"id":1,"name":"Subdivision","value":"NW"},{"id":4,"name":"Milepost","value":"5.8946"},{"id":17,"name":"Train ID","value":"1801-09"},{"id":16,"name":"Locomotive ID","value":"4008"},{"id":130,"name":"Impact","value":""},{"id":150,"name":"Time of Event (Mountain Time)","value":"06:34:31"},{"id":151,"name":"Denver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8"/>
      <c r="AL163" s="48"/>
      <c r="AM163" s="150" t="str">
        <f t="shared" si="19"/>
        <v>start /low /b %USERPROFILE%\Documents\GitHub\eaglep3\Utilities\DownloadLogsFromS3.py --loco 4008 --day 2017-04-09</v>
      </c>
      <c r="AN163" s="159" t="str">
        <f t="shared" si="20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12:34:31"},{"id":29,"name":"Sharepoint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4" spans="1:91" s="20" customFormat="1" x14ac:dyDescent="0.25">
      <c r="A164" s="33" t="s">
        <v>668</v>
      </c>
      <c r="B164" s="7">
        <v>4007</v>
      </c>
      <c r="C164" s="21" t="s">
        <v>215</v>
      </c>
      <c r="D164" s="21" t="s">
        <v>888</v>
      </c>
      <c r="E164" s="13">
        <v>42834.275023148148</v>
      </c>
      <c r="F164" s="13">
        <v>42834.279374999998</v>
      </c>
      <c r="G164" s="7">
        <v>0</v>
      </c>
      <c r="H164" s="21" t="s">
        <v>889</v>
      </c>
      <c r="I164" s="13">
        <v>42834.28769675926</v>
      </c>
      <c r="J164" s="7">
        <v>0</v>
      </c>
      <c r="K164" s="97" t="str">
        <f>IF(ISEVEN(B164),(B164-1)&amp;"/"&amp;B164,B164&amp;"/"&amp;(B164+1))</f>
        <v>4007/4008</v>
      </c>
      <c r="L164" s="21" t="str">
        <f>VLOOKUP(A164,'Trips&amp;Operators'!$C$1:$G$99999,5,FALSE)</f>
        <v>YORK EDGAR</v>
      </c>
      <c r="M164" s="6">
        <f>I164-F164</f>
        <v>8.3217592618893832E-3</v>
      </c>
      <c r="N164" s="7">
        <f>24*60*SUM($M164:$M164)</f>
        <v>11.983333337120712</v>
      </c>
      <c r="O164" s="7"/>
      <c r="P164" s="7"/>
      <c r="Q164" s="22"/>
      <c r="R164" s="22"/>
      <c r="S164" s="31">
        <f>SUM(U164:U164)/IF(AG164="EC",12,1)</f>
        <v>1</v>
      </c>
      <c r="T164" s="46" t="str">
        <f>IF(ISEVEN(LEFT(AD164,4)),"Southbound","NorthBound")</f>
        <v>Southbound</v>
      </c>
      <c r="U164" s="18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2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-04-09T05:36:02-0600',mode:absolute,to:'2017-04-09T07:54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4" s="183" t="str">
        <f>IF(AA164&lt;IF(AG164="EC",23,5.65),"Y","N")</f>
        <v>N</v>
      </c>
      <c r="X164" s="183">
        <f t="shared" si="22"/>
        <v>1</v>
      </c>
      <c r="Y164" s="62">
        <f>RIGHT(D164,LEN(D164)-4)/10000</f>
        <v>5.8619000000000003</v>
      </c>
      <c r="Z164" s="62">
        <f>RIGHT(H164,LEN(H164)-4)/10000</f>
        <v>7.4499999999999997E-2</v>
      </c>
      <c r="AA164" s="62">
        <f>ABS(Z164-Y164)</f>
        <v>5.7874000000000008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>IF(LEN(A164)=6,"0"&amp;A164,A164)</f>
        <v>1802-09</v>
      </c>
      <c r="AE164" s="85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s3://rtdc.mdm.uploadarchive.raw/RTDC4007/ "%USERPROFILE%\AppData\Local\Temp\OnboardLogs"\RTDC4007\2017-04-09 --exclude "*" --recursive --include "*20170409*" &amp; "%USERPROFILE%\Documents\GitHub\mrs-test-scripts\Headless Mode &amp; Sideloading\WalkAndUnGZ.bat" "%USERPROFILE%\AppData\Local\Temp\OnboardLogs"\RTDC4007\2017-04-09 &amp; aws s3 cp s3://rtdc.mdm.uploadarchive.raw/RTDC4007/ "%USERPROFILE%\AppData\Local\Temp\OnboardLogs"\RTDC4007\2017-04-10 --exclude "*" --recursive --include "*20170410*" &amp; "%USERPROFILE%\Documents\GitHub\mrs-test-scripts\Headless Mode &amp; Sideloading\WalkAndUnGZ.bat" "%USERPROFILE%\AppData\Local\Temp\OnboardLogs"\RTDC4007\2017-04-10</v>
      </c>
      <c r="AF164" s="82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/stypes="app*4007*20170409*" /stext=" 12:.+((SYSTEM_STATE.+slice.+state.+changed )|(ment ac)|(multiple cpu faults)|(system.+state.+changed )|(\[timeout)|(PRM\|1\|D)|(kpr)|(kdp)|(\|lc)|(penalty))"</v>
      </c>
      <c r="AG164" s="1" t="str">
        <f>IFERROR(IF(VALUE(LEFT(AD164,2))&lt;=2,"EC",IF(OR(VALUE(LEFT(AD164,2))=8,VALUE(LEFT(AD164,2))=18),"NW","Other")),"Other")</f>
        <v>NW</v>
      </c>
      <c r="AH164" s="86" t="str">
        <f t="shared" si="17"/>
        <v>"%USERPROFILE%\Documents\GitHub\eaglep3\Utilities\RefineRTDCRunTimes.py" --tripid 1802-09 --locoid 4007 --swversion DE.1.0.9.0 --startMP 300:58619 --initTime 2017-04-09T06:36:02 --startdatetime 2017-04-09T06:42:18 --delay 0 --endMP 204:745 --enddatetime 2017-04-09T06:54:17 --enforcementcount 0 &gt;&gt;C:\Users\stu\Documents\GitHub\eaglep3-reporting\EC\2017-04-09-refined-times.txt</v>
      </c>
      <c r="AI164" s="104" t="str">
        <f t="shared" si="18"/>
        <v>echo {"issue":{"subject":"","project_id":79,"tracker_id":40,"status_id":1,"priority_id":2,"assigned_to_id":23,"start_date":"2017-04-09","description":"","custom_fields":[{"id":1,"name":"Subdivision","value":"NW"},{"id":4,"name":"Milepost","value":"0.0745"},{"id":17,"name":"Train ID","value":"1802-09"},{"id":16,"name":"Locomotive ID","value":"4007"},{"id":130,"name":"Impact","value":""},{"id":150,"name":"Time of Event (Mountain Time)","value":"06:54:17"},{"id":151,"name":"Denver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8"/>
      <c r="AL164" s="48"/>
      <c r="AM164" s="150" t="str">
        <f t="shared" si="19"/>
        <v>start /low /b %USERPROFILE%\Documents\GitHub\eaglep3\Utilities\DownloadLogsFromS3.py --loco 4007 --day 2017-04-09</v>
      </c>
      <c r="AN164" s="159" t="str">
        <f t="shared" si="20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12:54:17"},{"id":29,"name":"Sharepoint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3" t="s">
        <v>671</v>
      </c>
      <c r="B165" s="7">
        <v>4008</v>
      </c>
      <c r="C165" s="21" t="s">
        <v>215</v>
      </c>
      <c r="D165" s="21" t="s">
        <v>890</v>
      </c>
      <c r="E165" s="13">
        <v>42834.288657407407</v>
      </c>
      <c r="F165" s="13">
        <v>42834.306469907409</v>
      </c>
      <c r="G165" s="7">
        <v>0</v>
      </c>
      <c r="H165" s="21" t="s">
        <v>891</v>
      </c>
      <c r="I165" s="13">
        <v>42834.314849537041</v>
      </c>
      <c r="J165" s="7">
        <v>0</v>
      </c>
      <c r="K165" s="97" t="str">
        <f>IF(ISEVEN(B165),(B165-1)&amp;"/"&amp;B165,B165&amp;"/"&amp;(B165+1))</f>
        <v>4007/4008</v>
      </c>
      <c r="L165" s="21" t="str">
        <f>VLOOKUP(A165,'Trips&amp;Operators'!$C$1:$G$99999,5,FALSE)</f>
        <v>YORK EDGAR</v>
      </c>
      <c r="M165" s="6">
        <f>I165-F165</f>
        <v>8.3796296312357299E-3</v>
      </c>
      <c r="N165" s="7">
        <f>24*60*SUM($M165:$M165)</f>
        <v>12.066666668979451</v>
      </c>
      <c r="O165" s="7"/>
      <c r="P165" s="7"/>
      <c r="Q165" s="22"/>
      <c r="R165" s="22"/>
      <c r="S165" s="31">
        <f>SUM(U165:U165)/IF(AG165="EC",12,1)</f>
        <v>1</v>
      </c>
      <c r="T165" s="46" t="str">
        <f>IF(ISEVEN(LEFT(AD165,4)),"Southbound","NorthBound")</f>
        <v>NorthBound</v>
      </c>
      <c r="U165" s="18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2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-04-09T05:55:40-0600',mode:absolute,to:'2017-04-09T08:33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5" s="183" t="str">
        <f>IF(AA165&lt;IF(AG165="EC",23,5.65),"Y","N")</f>
        <v>N</v>
      </c>
      <c r="X165" s="183">
        <f t="shared" si="22"/>
        <v>1</v>
      </c>
      <c r="Y165" s="62">
        <f>RIGHT(D165,LEN(D165)-4)/10000</f>
        <v>0.1032</v>
      </c>
      <c r="Z165" s="62">
        <f>RIGHT(H165,LEN(H165)-4)/10000</f>
        <v>5.8935000000000004</v>
      </c>
      <c r="AA165" s="62">
        <f>ABS(Z165-Y165)</f>
        <v>5.7903000000000002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>IF(LEN(A165)=6,"0"&amp;A165,A165)</f>
        <v>1803-09</v>
      </c>
      <c r="AE165" s="85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s3://rtdc.mdm.uploadarchive.raw/RTDC4008/ "%USERPROFILE%\AppData\Local\Temp\OnboardLogs"\RTDC4008\2017-04-09 --exclude "*" --recursive --include "*20170409*" &amp; "%USERPROFILE%\Documents\GitHub\mrs-test-scripts\Headless Mode &amp; Sideloading\WalkAndUnGZ.bat" "%USERPROFILE%\AppData\Local\Temp\OnboardLogs"\RTDC4008\2017-04-09 &amp; aws s3 cp s3://rtdc.mdm.uploadarchive.raw/RTDC4008/ "%USERPROFILE%\AppData\Local\Temp\OnboardLogs"\RTDC4008\2017-04-10 --exclude "*" --recursive --include "*20170410*" &amp; "%USERPROFILE%\Documents\GitHub\mrs-test-scripts\Headless Mode &amp; Sideloading\WalkAndUnGZ.bat" "%USERPROFILE%\AppData\Local\Temp\OnboardLogs"\RTDC4008\2017-04-10</v>
      </c>
      <c r="AF165" s="82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/stypes="app*4008*20170409*" /stext=" 13:.+((SYSTEM_STATE.+slice.+state.+changed )|(ment ac)|(multiple cpu faults)|(system.+state.+changed )|(\[timeout)|(PRM\|1\|D)|(kpr)|(kdp)|(\|lc)|(penalty))"</v>
      </c>
      <c r="AG165" s="1" t="str">
        <f>IFERROR(IF(VALUE(LEFT(AD165,2))&lt;=2,"EC",IF(OR(VALUE(LEFT(AD165,2))=8,VALUE(LEFT(AD165,2))=18),"NW","Other")),"Other")</f>
        <v>NW</v>
      </c>
      <c r="AH165" s="86" t="str">
        <f t="shared" si="17"/>
        <v>"%USERPROFILE%\Documents\GitHub\eaglep3\Utilities\RefineRTDCRunTimes.py" --tripid 1803-09 --locoid 4008 --swversion DE.1.0.9.0 --startMP 204:1032 --initTime 2017-04-09T06:55:40 --startdatetime 2017-04-09T07:21:19 --delay 0 --endMP 300:58935 --enddatetime 2017-04-09T07:33:23 --enforcementcount 0 &gt;&gt;C:\Users\stu\Documents\GitHub\eaglep3-reporting\EC\2017-04-09-refined-times.txt</v>
      </c>
      <c r="AI165" s="104" t="str">
        <f t="shared" si="18"/>
        <v>echo {"issue":{"subject":"","project_id":79,"tracker_id":40,"status_id":1,"priority_id":2,"assigned_to_id":23,"start_date":"2017-04-09","description":"","custom_fields":[{"id":1,"name":"Subdivision","value":"NW"},{"id":4,"name":"Milepost","value":"5.8935"},{"id":17,"name":"Train ID","value":"1803-09"},{"id":16,"name":"Locomotive ID","value":"4008"},{"id":130,"name":"Impact","value":""},{"id":150,"name":"Time of Event (Mountain Time)","value":"07:33:23"},{"id":151,"name":"Denver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8"/>
      <c r="AL165" s="48"/>
      <c r="AM165" s="150" t="str">
        <f t="shared" si="19"/>
        <v>start /low /b %USERPROFILE%\Documents\GitHub\eaglep3\Utilities\DownloadLogsFromS3.py --loco 4008 --day 2017-04-09</v>
      </c>
      <c r="AN165" s="159" t="str">
        <f t="shared" si="20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13:33:23"},{"id":29,"name":"Sharepoint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6" spans="1:91" x14ac:dyDescent="0.25">
      <c r="A166" s="33" t="s">
        <v>676</v>
      </c>
      <c r="B166" s="7">
        <v>4007</v>
      </c>
      <c r="C166" s="21" t="s">
        <v>215</v>
      </c>
      <c r="D166" s="21" t="s">
        <v>886</v>
      </c>
      <c r="E166" s="13">
        <v>42834.315740740742</v>
      </c>
      <c r="F166" s="13">
        <v>42834.319872685184</v>
      </c>
      <c r="G166" s="7">
        <v>0</v>
      </c>
      <c r="H166" s="21" t="s">
        <v>892</v>
      </c>
      <c r="I166" s="13">
        <v>42834.329826388886</v>
      </c>
      <c r="J166" s="7">
        <v>0</v>
      </c>
      <c r="K166" s="97" t="str">
        <f>IF(ISEVEN(B166),(B166-1)&amp;"/"&amp;B166,B166&amp;"/"&amp;(B166+1))</f>
        <v>4007/4008</v>
      </c>
      <c r="L166" s="21" t="str">
        <f>VLOOKUP(A166,'Trips&amp;Operators'!$C$1:$G$99999,5,FALSE)</f>
        <v>YORK EDGAR</v>
      </c>
      <c r="M166" s="6">
        <f>I166-F166</f>
        <v>9.9537037021946162E-3</v>
      </c>
      <c r="N166" s="7">
        <f>24*60*SUM($M166:$M166)</f>
        <v>14.333333331160247</v>
      </c>
      <c r="O166" s="7"/>
      <c r="P166" s="7"/>
      <c r="Q166" s="22"/>
      <c r="R166" s="22"/>
      <c r="S166" s="31">
        <f>SUM(U166:U166)/IF(AG166="EC",12,1)</f>
        <v>1</v>
      </c>
      <c r="T166" s="46" t="str">
        <f>IF(ISEVEN(LEFT(AD166,4)),"Southbound","NorthBound")</f>
        <v>Southbound</v>
      </c>
      <c r="U166" s="18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2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-04-09T06:34:40-0600',mode:absolute,to:'2017-04-09T08:54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6" s="183" t="str">
        <f>IF(AA166&lt;IF(AG166="EC",23,5.65),"Y","N")</f>
        <v>N</v>
      </c>
      <c r="X166" s="183">
        <f>VALUE(LEFT(AD166,4))-VALUE(LEFT(AD165,4))</f>
        <v>1</v>
      </c>
      <c r="Y166" s="62">
        <f>RIGHT(D166,LEN(D166)-4)/10000</f>
        <v>5.8623000000000003</v>
      </c>
      <c r="Z166" s="62">
        <f>RIGHT(H166,LEN(H166)-4)/10000</f>
        <v>7.4099999999999999E-2</v>
      </c>
      <c r="AA166" s="62">
        <f>ABS(Z166-Y166)</f>
        <v>5.7882000000000007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>IF(LEN(A166)=6,"0"&amp;A166,A166)</f>
        <v>1804-09</v>
      </c>
      <c r="AE166" s="85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s3://rtdc.mdm.uploadarchive.raw/RTDC4007/ "%USERPROFILE%\AppData\Local\Temp\OnboardLogs"\RTDC4007\2017-04-09 --exclude "*" --recursive --include "*20170409*" &amp; "%USERPROFILE%\Documents\GitHub\mrs-test-scripts\Headless Mode &amp; Sideloading\WalkAndUnGZ.bat" "%USERPROFILE%\AppData\Local\Temp\OnboardLogs"\RTDC4007\2017-04-09 &amp; aws s3 cp s3://rtdc.mdm.uploadarchive.raw/RTDC4007/ "%USERPROFILE%\AppData\Local\Temp\OnboardLogs"\RTDC4007\2017-04-10 --exclude "*" --recursive --include "*20170410*" &amp; "%USERPROFILE%\Documents\GitHub\mrs-test-scripts\Headless Mode &amp; Sideloading\WalkAndUnGZ.bat" "%USERPROFILE%\AppData\Local\Temp\OnboardLogs"\RTDC4007\2017-04-10</v>
      </c>
      <c r="AF166" s="82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/stypes="app*4007*20170409*" /stext=" 13:.+((SYSTEM_STATE.+slice.+state.+changed )|(ment ac)|(multiple cpu faults)|(system.+state.+changed )|(\[timeout)|(PRM\|1\|D)|(kpr)|(kdp)|(\|lc)|(penalty))"</v>
      </c>
      <c r="AG166" s="1" t="str">
        <f>IFERROR(IF(VALUE(LEFT(AD166,2))&lt;=2,"EC",IF(OR(VALUE(LEFT(AD166,2))=8,VALUE(LEFT(AD166,2))=18),"NW","Other")),"Other")</f>
        <v>NW</v>
      </c>
      <c r="AH166" s="86" t="str">
        <f t="shared" si="17"/>
        <v>"%USERPROFILE%\Documents\GitHub\eaglep3\Utilities\RefineRTDCRunTimes.py" --tripid 1804-09 --locoid 4007 --swversion DE.1.0.9.0 --startMP 300:58623 --initTime 2017-04-09T07:34:40 --startdatetime 2017-04-09T07:40:37 --delay 0 --endMP 204:741 --enddatetime 2017-04-09T07:54:57 --enforcementcount 0 &gt;&gt;C:\Users\stu\Documents\GitHub\eaglep3-reporting\EC\2017-04-09-refined-times.txt</v>
      </c>
      <c r="AI166" s="104" t="str">
        <f t="shared" si="18"/>
        <v>echo {"issue":{"subject":"","project_id":79,"tracker_id":40,"status_id":1,"priority_id":2,"assigned_to_id":23,"start_date":"2017-04-09","description":"","custom_fields":[{"id":1,"name":"Subdivision","value":"NW"},{"id":4,"name":"Milepost","value":"0.0741"},{"id":17,"name":"Train ID","value":"1804-09"},{"id":16,"name":"Locomotive ID","value":"4007"},{"id":130,"name":"Impact","value":""},{"id":150,"name":"Time of Event (Mountain Time)","value":"07:54:57"},{"id":151,"name":"Denver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8"/>
      <c r="AL166" s="48"/>
      <c r="AM166" s="150" t="str">
        <f t="shared" si="19"/>
        <v>start /low /b %USERPROFILE%\Documents\GitHub\eaglep3\Utilities\DownloadLogsFromS3.py --loco 4007 --day 2017-04-09</v>
      </c>
      <c r="AN166" s="159" t="str">
        <f t="shared" si="20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13:54:57"},{"id":29,"name":"Sharepoint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s="20" customFormat="1" x14ac:dyDescent="0.25">
      <c r="A167" s="33" t="s">
        <v>682</v>
      </c>
      <c r="B167" s="7">
        <v>4008</v>
      </c>
      <c r="C167" s="21" t="s">
        <v>215</v>
      </c>
      <c r="D167" s="21" t="s">
        <v>893</v>
      </c>
      <c r="E167" s="13">
        <v>42834.33121527778</v>
      </c>
      <c r="F167" s="13">
        <v>42834.348090277781</v>
      </c>
      <c r="G167" s="7">
        <v>0</v>
      </c>
      <c r="H167" s="21" t="s">
        <v>891</v>
      </c>
      <c r="I167" s="13">
        <v>42834.356712962966</v>
      </c>
      <c r="J167" s="7">
        <v>0</v>
      </c>
      <c r="K167" s="97" t="str">
        <f>IF(ISEVEN(B167),(B167-1)&amp;"/"&amp;B167,B167&amp;"/"&amp;(B167+1))</f>
        <v>4007/4008</v>
      </c>
      <c r="L167" s="21" t="str">
        <f>VLOOKUP(A167,'Trips&amp;Operators'!$C$1:$G$99999,5,FALSE)</f>
        <v>YORK EDGAR</v>
      </c>
      <c r="M167" s="6">
        <f>I167-F167</f>
        <v>8.6226851854007691E-3</v>
      </c>
      <c r="N167" s="7">
        <f>24*60*SUM($M167:$M167)</f>
        <v>12.416666666977108</v>
      </c>
      <c r="O167" s="7"/>
      <c r="P167" s="7"/>
      <c r="Q167" s="22"/>
      <c r="R167" s="22"/>
      <c r="S167" s="31">
        <f>SUM(U167:U167)/IF(AG167="EC",12,1)</f>
        <v>1</v>
      </c>
      <c r="T167" s="46" t="str">
        <f>IF(ISEVEN(LEFT(AD167,4)),"Southbound","NorthBound")</f>
        <v>NorthBound</v>
      </c>
      <c r="U167" s="18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2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-04-09T06:56:57-0600',mode:absolute,to:'2017-04-09T09:33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7" s="183" t="str">
        <f>IF(AA167&lt;IF(AG167="EC",23,5.65),"Y","N")</f>
        <v>N</v>
      </c>
      <c r="X167" s="183">
        <f>VALUE(LEFT(AD167,4))-VALUE(LEFT(AD166,4))</f>
        <v>1</v>
      </c>
      <c r="Y167" s="62">
        <f>RIGHT(D167,LEN(D167)-4)/10000</f>
        <v>0.1027</v>
      </c>
      <c r="Z167" s="62">
        <f>RIGHT(H167,LEN(H167)-4)/10000</f>
        <v>5.8935000000000004</v>
      </c>
      <c r="AA167" s="62">
        <f>ABS(Z167-Y167)</f>
        <v>5.7908000000000008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>IF(LEN(A167)=6,"0"&amp;A167,A167)</f>
        <v>1805-09</v>
      </c>
      <c r="AE167" s="85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s3://rtdc.mdm.uploadarchive.raw/RTDC4008/ "%USERPROFILE%\AppData\Local\Temp\OnboardLogs"\RTDC4008\2017-04-09 --exclude "*" --recursive --include "*20170409*" &amp; "%USERPROFILE%\Documents\GitHub\mrs-test-scripts\Headless Mode &amp; Sideloading\WalkAndUnGZ.bat" "%USERPROFILE%\AppData\Local\Temp\OnboardLogs"\RTDC4008\2017-04-09 &amp; aws s3 cp s3://rtdc.mdm.uploadarchive.raw/RTDC4008/ "%USERPROFILE%\AppData\Local\Temp\OnboardLogs"\RTDC4008\2017-04-10 --exclude "*" --recursive --include "*20170410*" &amp; "%USERPROFILE%\Documents\GitHub\mrs-test-scripts\Headless Mode &amp; Sideloading\WalkAndUnGZ.bat" "%USERPROFILE%\AppData\Local\Temp\OnboardLogs"\RTDC4008\2017-04-10</v>
      </c>
      <c r="AF167" s="82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/stypes="app*4008*20170409*" /stext=" 14:.+((SYSTEM_STATE.+slice.+state.+changed )|(ment ac)|(multiple cpu faults)|(system.+state.+changed )|(\[timeout)|(PRM\|1\|D)|(kpr)|(kdp)|(\|lc)|(penalty))"</v>
      </c>
      <c r="AG167" s="1" t="str">
        <f>IFERROR(IF(VALUE(LEFT(AD167,2))&lt;=2,"EC",IF(OR(VALUE(LEFT(AD167,2))=8,VALUE(LEFT(AD167,2))=18),"NW","Other")),"Other")</f>
        <v>NW</v>
      </c>
      <c r="AH167" s="86" t="str">
        <f t="shared" si="17"/>
        <v>"%USERPROFILE%\Documents\GitHub\eaglep3\Utilities\RefineRTDCRunTimes.py" --tripid 1805-09 --locoid 4008 --swversion DE.1.0.9.0 --startMP 204:1027 --initTime 2017-04-09T07:56:57 --startdatetime 2017-04-09T08:21:15 --delay 0 --endMP 300:58935 --enddatetime 2017-04-09T08:33:40 --enforcementcount 0 &gt;&gt;C:\Users\stu\Documents\GitHub\eaglep3-reporting\EC\2017-04-09-refined-times.txt</v>
      </c>
      <c r="AI167" s="104" t="str">
        <f t="shared" si="18"/>
        <v>echo {"issue":{"subject":"","project_id":79,"tracker_id":40,"status_id":1,"priority_id":2,"assigned_to_id":23,"start_date":"2017-04-09","description":"","custom_fields":[{"id":1,"name":"Subdivision","value":"NW"},{"id":4,"name":"Milepost","value":"5.8935"},{"id":17,"name":"Train ID","value":"1805-09"},{"id":16,"name":"Locomotive ID","value":"4008"},{"id":130,"name":"Impact","value":""},{"id":150,"name":"Time of Event (Mountain Time)","value":"08:33:40"},{"id":151,"name":"Denver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8"/>
      <c r="AL167" s="48"/>
      <c r="AM167" s="150" t="str">
        <f t="shared" si="19"/>
        <v>start /low /b %USERPROFILE%\Documents\GitHub\eaglep3\Utilities\DownloadLogsFromS3.py --loco 4008 --day 2017-04-09</v>
      </c>
      <c r="AN167" s="159" t="str">
        <f t="shared" si="20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14:33:40"},{"id":29,"name":"Sharepoint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3" t="s">
        <v>686</v>
      </c>
      <c r="B168" s="7">
        <v>4007</v>
      </c>
      <c r="C168" s="21" t="s">
        <v>215</v>
      </c>
      <c r="D168" s="21" t="s">
        <v>888</v>
      </c>
      <c r="E168" s="13">
        <v>42834.357662037037</v>
      </c>
      <c r="F168" s="13">
        <v>42834.361458333333</v>
      </c>
      <c r="G168" s="7">
        <v>1</v>
      </c>
      <c r="H168" s="21" t="s">
        <v>894</v>
      </c>
      <c r="I168" s="13">
        <v>42834.371481481481</v>
      </c>
      <c r="J168" s="7">
        <v>0</v>
      </c>
      <c r="K168" s="97" t="str">
        <f>IF(ISEVEN(B168),(B168-1)&amp;"/"&amp;B168,B168&amp;"/"&amp;(B168+1))</f>
        <v>4007/4008</v>
      </c>
      <c r="L168" s="21" t="str">
        <f>VLOOKUP(A168,'Trips&amp;Operators'!$C$1:$G$99999,5,FALSE)</f>
        <v>YORK EDGAR</v>
      </c>
      <c r="M168" s="6">
        <f>I168-F168</f>
        <v>1.0023148148320615E-2</v>
      </c>
      <c r="N168" s="7">
        <f>24*60*SUM($M168:$M168)</f>
        <v>14.433333333581686</v>
      </c>
      <c r="O168" s="7"/>
      <c r="P168" s="7"/>
      <c r="Q168" s="22"/>
      <c r="R168" s="22"/>
      <c r="S168" s="31">
        <f>SUM(U168:U168)/IF(AG168="EC",12,1)</f>
        <v>1</v>
      </c>
      <c r="T168" s="46" t="str">
        <f>IF(ISEVEN(LEFT(AD168,4)),"Southbound","NorthBound")</f>
        <v>Southbound</v>
      </c>
      <c r="U168" s="18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2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-04-09T07:35:02-0600',mode:absolute,to:'2017-04-09T09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8" s="183" t="str">
        <f>IF(AA168&lt;IF(AG168="EC",23,5.65),"Y","N")</f>
        <v>N</v>
      </c>
      <c r="X168" s="183">
        <f>VALUE(LEFT(AD168,4))-VALUE(LEFT(AD167,4))</f>
        <v>1</v>
      </c>
      <c r="Y168" s="62">
        <f>RIGHT(D168,LEN(D168)-4)/10000</f>
        <v>5.8619000000000003</v>
      </c>
      <c r="Z168" s="62">
        <f>RIGHT(H168,LEN(H168)-4)/10000</f>
        <v>7.4700000000000003E-2</v>
      </c>
      <c r="AA168" s="62">
        <f>ABS(Z168-Y168)</f>
        <v>5.7872000000000003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>IF(LEN(A168)=6,"0"&amp;A168,A168)</f>
        <v>1806-09</v>
      </c>
      <c r="AE168" s="85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s3://rtdc.mdm.uploadarchive.raw/RTDC4007/ "%USERPROFILE%\AppData\Local\Temp\OnboardLogs"\RTDC4007\2017-04-09 --exclude "*" --recursive --include "*20170409*" &amp; "%USERPROFILE%\Documents\GitHub\mrs-test-scripts\Headless Mode &amp; Sideloading\WalkAndUnGZ.bat" "%USERPROFILE%\AppData\Local\Temp\OnboardLogs"\RTDC4007\2017-04-09 &amp; aws s3 cp s3://rtdc.mdm.uploadarchive.raw/RTDC4007/ "%USERPROFILE%\AppData\Local\Temp\OnboardLogs"\RTDC4007\2017-04-10 --exclude "*" --recursive --include "*20170410*" &amp; "%USERPROFILE%\Documents\GitHub\mrs-test-scripts\Headless Mode &amp; Sideloading\WalkAndUnGZ.bat" "%USERPROFILE%\AppData\Local\Temp\OnboardLogs"\RTDC4007\2017-04-10</v>
      </c>
      <c r="AF168" s="82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/stypes="app*4007*20170409*" /stext=" 14:.+((SYSTEM_STATE.+slice.+state.+changed )|(ment ac)|(multiple cpu faults)|(system.+state.+changed )|(\[timeout)|(PRM\|1\|D)|(kpr)|(kdp)|(\|lc)|(penalty))"</v>
      </c>
      <c r="AG168" s="1" t="str">
        <f>IFERROR(IF(VALUE(LEFT(AD168,2))&lt;=2,"EC",IF(OR(VALUE(LEFT(AD168,2))=8,VALUE(LEFT(AD168,2))=18),"NW","Other")),"Other")</f>
        <v>NW</v>
      </c>
      <c r="AH168" s="86" t="str">
        <f t="shared" si="17"/>
        <v>"%USERPROFILE%\Documents\GitHub\eaglep3\Utilities\RefineRTDCRunTimes.py" --tripid 1806-09 --locoid 4007 --swversion DE.1.0.9.0 --startMP 300:58619 --initTime 2017-04-09T08:35:02 --startdatetime 2017-04-09T08:40:30 --delay 1 --endMP 204:747 --enddatetime 2017-04-09T08:54:56 --enforcementcount 0 &gt;&gt;C:\Users\stu\Documents\GitHub\eaglep3-reporting\EC\2017-04-09-refined-times.txt</v>
      </c>
      <c r="AI168" s="104" t="str">
        <f t="shared" si="18"/>
        <v>echo {"issue":{"subject":"","project_id":79,"tracker_id":40,"status_id":1,"priority_id":2,"assigned_to_id":23,"start_date":"2017-04-09","description":"","custom_fields":[{"id":1,"name":"Subdivision","value":"NW"},{"id":4,"name":"Milepost","value":"0.0747"},{"id":17,"name":"Train ID","value":"1806-09"},{"id":16,"name":"Locomotive ID","value":"4007"},{"id":130,"name":"Impact","value":""},{"id":150,"name":"Time of Event (Mountain Time)","value":"08:54:56"},{"id":151,"name":"Denver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8"/>
      <c r="AL168" s="48"/>
      <c r="AM168" s="150" t="str">
        <f t="shared" si="19"/>
        <v>start /low /b %USERPROFILE%\Documents\GitHub\eaglep3\Utilities\DownloadLogsFromS3.py --loco 4007 --day 2017-04-09</v>
      </c>
      <c r="AN168" s="159" t="str">
        <f t="shared" si="20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14:54:56"},{"id":29,"name":"Sharepoint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x14ac:dyDescent="0.25">
      <c r="A169" s="33" t="s">
        <v>691</v>
      </c>
      <c r="B169" s="7">
        <v>4008</v>
      </c>
      <c r="C169" s="21" t="s">
        <v>215</v>
      </c>
      <c r="D169" s="21" t="s">
        <v>895</v>
      </c>
      <c r="E169" s="13">
        <v>42834.372743055559</v>
      </c>
      <c r="F169" s="13">
        <v>42834.389756944445</v>
      </c>
      <c r="G169" s="7">
        <v>1</v>
      </c>
      <c r="H169" s="21" t="s">
        <v>896</v>
      </c>
      <c r="I169" s="13">
        <v>42834.398182870369</v>
      </c>
      <c r="J169" s="7">
        <v>0</v>
      </c>
      <c r="K169" s="97" t="str">
        <f>IF(ISEVEN(B169),(B169-1)&amp;"/"&amp;B169,B169&amp;"/"&amp;(B169+1))</f>
        <v>4007/4008</v>
      </c>
      <c r="L169" s="21" t="str">
        <f>VLOOKUP(A169,'Trips&amp;Operators'!$C$1:$G$99999,5,FALSE)</f>
        <v>YORK EDGAR</v>
      </c>
      <c r="M169" s="6">
        <f>I169-F169</f>
        <v>8.4259259238024242E-3</v>
      </c>
      <c r="N169" s="7">
        <f>24*60*SUM($M169:$M169)</f>
        <v>12.133333330275491</v>
      </c>
      <c r="O169" s="7"/>
      <c r="P169" s="7"/>
      <c r="Q169" s="22"/>
      <c r="R169" s="22"/>
      <c r="S169" s="31">
        <f>SUM(U169:U169)/IF(AG169="EC",12,1)</f>
        <v>1</v>
      </c>
      <c r="T169" s="46" t="str">
        <f>IF(ISEVEN(LEFT(AD169,4)),"Southbound","NorthBound")</f>
        <v>NorthBound</v>
      </c>
      <c r="U169" s="18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2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-04-09T07:56:45-0600',mode:absolute,to:'2017-04-09T10:33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9" s="183" t="str">
        <f>IF(AA169&lt;IF(AG169="EC",23,5.65),"Y","N")</f>
        <v>N</v>
      </c>
      <c r="X169" s="183">
        <f>VALUE(LEFT(AD169,4))-VALUE(LEFT(AD168,4))</f>
        <v>1</v>
      </c>
      <c r="Y169" s="62">
        <f>RIGHT(D169,LEN(D169)-4)/10000</f>
        <v>0.1037</v>
      </c>
      <c r="Z169" s="62">
        <f>RIGHT(H169,LEN(H169)-4)/10000</f>
        <v>5.8925999999999998</v>
      </c>
      <c r="AA169" s="62">
        <f>ABS(Z169-Y169)</f>
        <v>5.7888999999999999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>IF(LEN(A169)=6,"0"&amp;A169,A169)</f>
        <v>1807-09</v>
      </c>
      <c r="AE169" s="85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s3://rtdc.mdm.uploadarchive.raw/RTDC4008/ "%USERPROFILE%\AppData\Local\Temp\OnboardLogs"\RTDC4008\2017-04-09 --exclude "*" --recursive --include "*20170409*" &amp; "%USERPROFILE%\Documents\GitHub\mrs-test-scripts\Headless Mode &amp; Sideloading\WalkAndUnGZ.bat" "%USERPROFILE%\AppData\Local\Temp\OnboardLogs"\RTDC4008\2017-04-09 &amp; aws s3 cp s3://rtdc.mdm.uploadarchive.raw/RTDC4008/ "%USERPROFILE%\AppData\Local\Temp\OnboardLogs"\RTDC4008\2017-04-10 --exclude "*" --recursive --include "*20170410*" &amp; "%USERPROFILE%\Documents\GitHub\mrs-test-scripts\Headless Mode &amp; Sideloading\WalkAndUnGZ.bat" "%USERPROFILE%\AppData\Local\Temp\OnboardLogs"\RTDC4008\2017-04-10</v>
      </c>
      <c r="AF169" s="82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/stypes="app*4008*20170409*" /stext=" 15:.+((SYSTEM_STATE.+slice.+state.+changed )|(ment ac)|(multiple cpu faults)|(system.+state.+changed )|(\[timeout)|(PRM\|1\|D)|(kpr)|(kdp)|(\|lc)|(penalty))"</v>
      </c>
      <c r="AG169" s="1" t="str">
        <f>IFERROR(IF(VALUE(LEFT(AD169,2))&lt;=2,"EC",IF(OR(VALUE(LEFT(AD169,2))=8,VALUE(LEFT(AD169,2))=18),"NW","Other")),"Other")</f>
        <v>NW</v>
      </c>
      <c r="AH169" s="86" t="str">
        <f t="shared" si="17"/>
        <v>"%USERPROFILE%\Documents\GitHub\eaglep3\Utilities\RefineRTDCRunTimes.py" --tripid 1807-09 --locoid 4008 --swversion DE.1.0.9.0 --startMP 204:1037 --initTime 2017-04-09T08:56:45 --startdatetime 2017-04-09T09:21:15 --delay 1 --endMP 300:58926 --enddatetime 2017-04-09T09:33:23 --enforcementcount 0 &gt;&gt;C:\Users\stu\Documents\GitHub\eaglep3-reporting\EC\2017-04-09-refined-times.txt</v>
      </c>
      <c r="AI169" s="104" t="str">
        <f t="shared" si="18"/>
        <v>echo {"issue":{"subject":"","project_id":79,"tracker_id":40,"status_id":1,"priority_id":2,"assigned_to_id":23,"start_date":"2017-04-09","description":"","custom_fields":[{"id":1,"name":"Subdivision","value":"NW"},{"id":4,"name":"Milepost","value":"5.8926"},{"id":17,"name":"Train ID","value":"1807-09"},{"id":16,"name":"Locomotive ID","value":"4008"},{"id":130,"name":"Impact","value":""},{"id":150,"name":"Time of Event (Mountain Time)","value":"09:33:23"},{"id":151,"name":"Denver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8"/>
      <c r="AL169" s="48"/>
      <c r="AM169" s="150" t="str">
        <f t="shared" si="19"/>
        <v>start /low /b %USERPROFILE%\Documents\GitHub\eaglep3\Utilities\DownloadLogsFromS3.py --loco 4008 --day 2017-04-09</v>
      </c>
      <c r="AN169" s="159" t="str">
        <f t="shared" si="20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15:33:23"},{"id":29,"name":"Sharepoint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s="20" customFormat="1" x14ac:dyDescent="0.25">
      <c r="A170" s="33" t="s">
        <v>696</v>
      </c>
      <c r="B170" s="7">
        <v>4007</v>
      </c>
      <c r="C170" s="21" t="s">
        <v>215</v>
      </c>
      <c r="D170" s="21" t="s">
        <v>897</v>
      </c>
      <c r="E170" s="13">
        <v>42834.399155092593</v>
      </c>
      <c r="F170" s="13">
        <v>42834.403668981482</v>
      </c>
      <c r="G170" s="7">
        <v>1</v>
      </c>
      <c r="H170" s="21" t="s">
        <v>898</v>
      </c>
      <c r="I170" s="13">
        <v>42834.415185185186</v>
      </c>
      <c r="J170" s="7">
        <v>0</v>
      </c>
      <c r="K170" s="97" t="str">
        <f>IF(ISEVEN(B170),(B170-1)&amp;"/"&amp;B170,B170&amp;"/"&amp;(B170+1))</f>
        <v>4007/4008</v>
      </c>
      <c r="L170" s="21" t="str">
        <f>VLOOKUP(A170,'Trips&amp;Operators'!$C$1:$G$99999,5,FALSE)</f>
        <v>YORK EDGAR</v>
      </c>
      <c r="M170" s="6">
        <f>I170-F170</f>
        <v>1.1516203703649808E-2</v>
      </c>
      <c r="N170" s="7">
        <f>24*60*SUM($M170:$M170)</f>
        <v>16.583333333255723</v>
      </c>
      <c r="O170" s="7"/>
      <c r="P170" s="7"/>
      <c r="Q170" s="22"/>
      <c r="R170" s="22"/>
      <c r="S170" s="31">
        <f>SUM(U170:U170)/IF(AG170="EC",12,1)</f>
        <v>1</v>
      </c>
      <c r="T170" s="46" t="str">
        <f>IF(ISEVEN(LEFT(AD170,4)),"Southbound","NorthBound")</f>
        <v>Southbound</v>
      </c>
      <c r="U170" s="18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2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-04-09T08:34:47-0600',mode:absolute,to:'2017-04-09T10:57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0" s="183" t="str">
        <f>IF(AA170&lt;IF(AG170="EC",23,5.65),"Y","N")</f>
        <v>N</v>
      </c>
      <c r="X170" s="183">
        <f>VALUE(LEFT(AD170,4))-VALUE(LEFT(AD169,4))</f>
        <v>1</v>
      </c>
      <c r="Y170" s="62">
        <f>RIGHT(D170,LEN(D170)-4)/10000</f>
        <v>5.8615000000000004</v>
      </c>
      <c r="Z170" s="62">
        <f>RIGHT(H170,LEN(H170)-4)/10000</f>
        <v>7.3599999999999999E-2</v>
      </c>
      <c r="AA170" s="62">
        <f>ABS(Z170-Y170)</f>
        <v>5.7879000000000005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>IF(LEN(A170)=6,"0"&amp;A170,A170)</f>
        <v>1808-09</v>
      </c>
      <c r="AE170" s="85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s3://rtdc.mdm.uploadarchive.raw/RTDC4007/ "%USERPROFILE%\AppData\Local\Temp\OnboardLogs"\RTDC4007\2017-04-09 --exclude "*" --recursive --include "*20170409*" &amp; "%USERPROFILE%\Documents\GitHub\mrs-test-scripts\Headless Mode &amp; Sideloading\WalkAndUnGZ.bat" "%USERPROFILE%\AppData\Local\Temp\OnboardLogs"\RTDC4007\2017-04-09 &amp; aws s3 cp s3://rtdc.mdm.uploadarchive.raw/RTDC4007/ "%USERPROFILE%\AppData\Local\Temp\OnboardLogs"\RTDC4007\2017-04-10 --exclude "*" --recursive --include "*20170410*" &amp; "%USERPROFILE%\Documents\GitHub\mrs-test-scripts\Headless Mode &amp; Sideloading\WalkAndUnGZ.bat" "%USERPROFILE%\AppData\Local\Temp\OnboardLogs"\RTDC4007\2017-04-10</v>
      </c>
      <c r="AF170" s="82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/stypes="app*4007*20170409*" /stext=" 15:.+((SYSTEM_STATE.+slice.+state.+changed )|(ment ac)|(multiple cpu faults)|(system.+state.+changed )|(\[timeout)|(PRM\|1\|D)|(kpr)|(kdp)|(\|lc)|(penalty))"</v>
      </c>
      <c r="AG170" s="1" t="str">
        <f>IFERROR(IF(VALUE(LEFT(AD170,2))&lt;=2,"EC",IF(OR(VALUE(LEFT(AD170,2))=8,VALUE(LEFT(AD170,2))=18),"NW","Other")),"Other")</f>
        <v>NW</v>
      </c>
      <c r="AH170" s="86" t="str">
        <f t="shared" si="17"/>
        <v>"%USERPROFILE%\Documents\GitHub\eaglep3\Utilities\RefineRTDCRunTimes.py" --tripid 1808-09 --locoid 4007 --swversion DE.1.0.9.0 --startMP 300:58615 --initTime 2017-04-09T09:34:47 --startdatetime 2017-04-09T09:41:17 --delay 1 --endMP 204:736 --enddatetime 2017-04-09T09:57:52 --enforcementcount 0 &gt;&gt;C:\Users\stu\Documents\GitHub\eaglep3-reporting\EC\2017-04-09-refined-times.txt</v>
      </c>
      <c r="AI170" s="104" t="str">
        <f t="shared" si="18"/>
        <v>echo {"issue":{"subject":"","project_id":79,"tracker_id":40,"status_id":1,"priority_id":2,"assigned_to_id":23,"start_date":"2017-04-09","description":"","custom_fields":[{"id":1,"name":"Subdivision","value":"NW"},{"id":4,"name":"Milepost","value":"0.0736"},{"id":17,"name":"Train ID","value":"1808-09"},{"id":16,"name":"Locomotive ID","value":"4007"},{"id":130,"name":"Impact","value":""},{"id":150,"name":"Time of Event (Mountain Time)","value":"09:57:52"},{"id":151,"name":"Denver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8"/>
      <c r="AL170" s="48"/>
      <c r="AM170" s="150" t="str">
        <f t="shared" si="19"/>
        <v>start /low /b %USERPROFILE%\Documents\GitHub\eaglep3\Utilities\DownloadLogsFromS3.py --loco 4007 --day 2017-04-09</v>
      </c>
      <c r="AN170" s="159" t="str">
        <f t="shared" si="20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15:57:52"},{"id":29,"name":"Sharepoint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3" t="s">
        <v>699</v>
      </c>
      <c r="B171" s="7">
        <v>4008</v>
      </c>
      <c r="C171" s="21" t="s">
        <v>215</v>
      </c>
      <c r="D171" s="21" t="s">
        <v>899</v>
      </c>
      <c r="E171" s="13">
        <v>42834.416284722225</v>
      </c>
      <c r="F171" s="13">
        <v>42834.431481481479</v>
      </c>
      <c r="G171" s="7">
        <v>0</v>
      </c>
      <c r="H171" s="21" t="s">
        <v>599</v>
      </c>
      <c r="I171" s="13">
        <v>42834.439965277779</v>
      </c>
      <c r="J171" s="7">
        <v>0</v>
      </c>
      <c r="K171" s="97" t="str">
        <f>IF(ISEVEN(B171),(B171-1)&amp;"/"&amp;B171,B171&amp;"/"&amp;(B171+1))</f>
        <v>4007/4008</v>
      </c>
      <c r="L171" s="21" t="str">
        <f>VLOOKUP(A171,'Trips&amp;Operators'!$C$1:$G$99999,5,FALSE)</f>
        <v>YORK EDGAR</v>
      </c>
      <c r="M171" s="6">
        <f>I171-F171</f>
        <v>8.4837963004247285E-3</v>
      </c>
      <c r="N171" s="7">
        <f>24*60*SUM($M171:$M171)</f>
        <v>12.216666672611609</v>
      </c>
      <c r="O171" s="7"/>
      <c r="P171" s="7"/>
      <c r="Q171" s="22"/>
      <c r="R171" s="22"/>
      <c r="S171" s="31">
        <f>SUM(U171:U171)/IF(AG171="EC",12,1)</f>
        <v>1</v>
      </c>
      <c r="T171" s="46" t="str">
        <f>IF(ISEVEN(LEFT(AD171,4)),"Southbound","NorthBound")</f>
        <v>NorthBound</v>
      </c>
      <c r="U171" s="18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2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-04-09T08:59:27-0600',mode:absolute,to:'2017-04-09T11:33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1" s="183" t="str">
        <f>IF(AA171&lt;IF(AG171="EC",23,5.65),"Y","N")</f>
        <v>N</v>
      </c>
      <c r="X171" s="183">
        <f>VALUE(LEFT(AD171,4))-VALUE(LEFT(AD170,4))</f>
        <v>1</v>
      </c>
      <c r="Y171" s="62">
        <f>RIGHT(D171,LEN(D171)-4)/10000</f>
        <v>0.1021</v>
      </c>
      <c r="Z171" s="62">
        <f>RIGHT(H171,LEN(H171)-4)/10000</f>
        <v>5.8933</v>
      </c>
      <c r="AA171" s="62">
        <f>ABS(Z171-Y171)</f>
        <v>5.7911999999999999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>IF(LEN(A171)=6,"0"&amp;A171,A171)</f>
        <v>1809-09</v>
      </c>
      <c r="AE171" s="85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s3://rtdc.mdm.uploadarchive.raw/RTDC4008/ "%USERPROFILE%\AppData\Local\Temp\OnboardLogs"\RTDC4008\2017-04-09 --exclude "*" --recursive --include "*20170409*" &amp; "%USERPROFILE%\Documents\GitHub\mrs-test-scripts\Headless Mode &amp; Sideloading\WalkAndUnGZ.bat" "%USERPROFILE%\AppData\Local\Temp\OnboardLogs"\RTDC4008\2017-04-09 &amp; aws s3 cp s3://rtdc.mdm.uploadarchive.raw/RTDC4008/ "%USERPROFILE%\AppData\Local\Temp\OnboardLogs"\RTDC4008\2017-04-10 --exclude "*" --recursive --include "*20170410*" &amp; "%USERPROFILE%\Documents\GitHub\mrs-test-scripts\Headless Mode &amp; Sideloading\WalkAndUnGZ.bat" "%USERPROFILE%\AppData\Local\Temp\OnboardLogs"\RTDC4008\2017-04-10</v>
      </c>
      <c r="AF171" s="82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/stypes="app*4008*20170409*" /stext=" 16:.+((SYSTEM_STATE.+slice.+state.+changed )|(ment ac)|(multiple cpu faults)|(system.+state.+changed )|(\[timeout)|(PRM\|1\|D)|(kpr)|(kdp)|(\|lc)|(penalty))"</v>
      </c>
      <c r="AG171" s="1" t="str">
        <f>IFERROR(IF(VALUE(LEFT(AD171,2))&lt;=2,"EC",IF(OR(VALUE(LEFT(AD171,2))=8,VALUE(LEFT(AD171,2))=18),"NW","Other")),"Other")</f>
        <v>NW</v>
      </c>
      <c r="AH171" s="86" t="str">
        <f t="shared" si="17"/>
        <v>"%USERPROFILE%\Documents\GitHub\eaglep3\Utilities\RefineRTDCRunTimes.py" --tripid 1809-09 --locoid 4008 --swversion DE.1.0.9.0 --startMP 204:1021 --initTime 2017-04-09T09:59:27 --startdatetime 2017-04-09T10:21:20 --delay 0 --endMP 300:58933 --enddatetime 2017-04-09T10:33:33 --enforcementcount 0 &gt;&gt;C:\Users\stu\Documents\GitHub\eaglep3-reporting\EC\2017-04-09-refined-times.txt</v>
      </c>
      <c r="AI171" s="104" t="str">
        <f t="shared" si="18"/>
        <v>echo {"issue":{"subject":"","project_id":79,"tracker_id":40,"status_id":1,"priority_id":2,"assigned_to_id":23,"start_date":"2017-04-09","description":"","custom_fields":[{"id":1,"name":"Subdivision","value":"NW"},{"id":4,"name":"Milepost","value":"5.8933"},{"id":17,"name":"Train ID","value":"1809-09"},{"id":16,"name":"Locomotive ID","value":"4008"},{"id":130,"name":"Impact","value":""},{"id":150,"name":"Time of Event (Mountain Time)","value":"10:33:33"},{"id":151,"name":"Denver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8"/>
      <c r="AL171" s="48"/>
      <c r="AM171" s="150" t="str">
        <f t="shared" si="19"/>
        <v>start /low /b %USERPROFILE%\Documents\GitHub\eaglep3\Utilities\DownloadLogsFromS3.py --loco 4008 --day 2017-04-09</v>
      </c>
      <c r="AN171" s="159" t="str">
        <f t="shared" si="20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16:33:33"},{"id":29,"name":"Sharepoint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s="20" customFormat="1" x14ac:dyDescent="0.25">
      <c r="A172" s="33" t="s">
        <v>704</v>
      </c>
      <c r="B172" s="7">
        <v>4007</v>
      </c>
      <c r="C172" s="21" t="s">
        <v>215</v>
      </c>
      <c r="D172" s="21" t="s">
        <v>484</v>
      </c>
      <c r="E172" s="13">
        <v>42834.440868055557</v>
      </c>
      <c r="F172" s="13">
        <v>42834.444594907407</v>
      </c>
      <c r="G172" s="7">
        <v>1</v>
      </c>
      <c r="H172" s="21" t="s">
        <v>900</v>
      </c>
      <c r="I172" s="13">
        <v>42834.454363425924</v>
      </c>
      <c r="J172" s="7">
        <v>0</v>
      </c>
      <c r="K172" s="97" t="str">
        <f>IF(ISEVEN(B172),(B172-1)&amp;"/"&amp;B172,B172&amp;"/"&amp;(B172+1))</f>
        <v>4007/4008</v>
      </c>
      <c r="L172" s="21" t="str">
        <f>VLOOKUP(A172,'Trips&amp;Operators'!$C$1:$G$99999,5,FALSE)</f>
        <v>YORK EDGAR</v>
      </c>
      <c r="M172" s="6">
        <f>I172-F172</f>
        <v>9.7685185173759237E-3</v>
      </c>
      <c r="N172" s="7">
        <f>24*60*SUM($M172:$M172)</f>
        <v>14.06666666502133</v>
      </c>
      <c r="O172" s="7"/>
      <c r="P172" s="7"/>
      <c r="Q172" s="22"/>
      <c r="R172" s="22"/>
      <c r="S172" s="31">
        <f>SUM(U172:U172)/IF(AG172="EC",12,1)</f>
        <v>1</v>
      </c>
      <c r="T172" s="46" t="str">
        <f>IF(ISEVEN(LEFT(AD172,4)),"Southbound","NorthBound")</f>
        <v>Southbound</v>
      </c>
      <c r="U172" s="18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2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-04-09T09:34:51-0600',mode:absolute,to:'2017-04-09T11:54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2" s="183" t="str">
        <f>IF(AA172&lt;IF(AG172="EC",23,5.65),"Y","N")</f>
        <v>N</v>
      </c>
      <c r="X172" s="183">
        <f>VALUE(LEFT(AD172,4))-VALUE(LEFT(AD171,4))</f>
        <v>1</v>
      </c>
      <c r="Y172" s="62">
        <f>RIGHT(D172,LEN(D172)-4)/10000</f>
        <v>5.8620999999999999</v>
      </c>
      <c r="Z172" s="62">
        <f>RIGHT(H172,LEN(H172)-4)/10000</f>
        <v>7.3800000000000004E-2</v>
      </c>
      <c r="AA172" s="62">
        <f>ABS(Z172-Y172)</f>
        <v>5.7882999999999996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>IF(LEN(A172)=6,"0"&amp;A172,A172)</f>
        <v>1810-09</v>
      </c>
      <c r="AE172" s="85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s3://rtdc.mdm.uploadarchive.raw/RTDC4007/ "%USERPROFILE%\AppData\Local\Temp\OnboardLogs"\RTDC4007\2017-04-09 --exclude "*" --recursive --include "*20170409*" &amp; "%USERPROFILE%\Documents\GitHub\mrs-test-scripts\Headless Mode &amp; Sideloading\WalkAndUnGZ.bat" "%USERPROFILE%\AppData\Local\Temp\OnboardLogs"\RTDC4007\2017-04-09 &amp; aws s3 cp s3://rtdc.mdm.uploadarchive.raw/RTDC4007/ "%USERPROFILE%\AppData\Local\Temp\OnboardLogs"\RTDC4007\2017-04-10 --exclude "*" --recursive --include "*20170410*" &amp; "%USERPROFILE%\Documents\GitHub\mrs-test-scripts\Headless Mode &amp; Sideloading\WalkAndUnGZ.bat" "%USERPROFILE%\AppData\Local\Temp\OnboardLogs"\RTDC4007\2017-04-10</v>
      </c>
      <c r="AF172" s="82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/stypes="app*4007*20170409*" /stext=" 16:.+((SYSTEM_STATE.+slice.+state.+changed )|(ment ac)|(multiple cpu faults)|(system.+state.+changed )|(\[timeout)|(PRM\|1\|D)|(kpr)|(kdp)|(\|lc)|(penalty))"</v>
      </c>
      <c r="AG172" s="1" t="str">
        <f>IFERROR(IF(VALUE(LEFT(AD172,2))&lt;=2,"EC",IF(OR(VALUE(LEFT(AD172,2))=8,VALUE(LEFT(AD172,2))=18),"NW","Other")),"Other")</f>
        <v>NW</v>
      </c>
      <c r="AH172" s="86" t="str">
        <f t="shared" si="17"/>
        <v>"%USERPROFILE%\Documents\GitHub\eaglep3\Utilities\RefineRTDCRunTimes.py" --tripid 1810-09 --locoid 4007 --swversion DE.1.0.9.0 --startMP 300:58621 --initTime 2017-04-09T10:34:51 --startdatetime 2017-04-09T10:40:13 --delay 1 --endMP 204:738 --enddatetime 2017-04-09T10:54:17 --enforcementcount 0 &gt;&gt;C:\Users\stu\Documents\GitHub\eaglep3-reporting\EC\2017-04-09-refined-times.txt</v>
      </c>
      <c r="AI172" s="104" t="str">
        <f t="shared" si="18"/>
        <v>echo {"issue":{"subject":"","project_id":79,"tracker_id":40,"status_id":1,"priority_id":2,"assigned_to_id":23,"start_date":"2017-04-09","description":"","custom_fields":[{"id":1,"name":"Subdivision","value":"NW"},{"id":4,"name":"Milepost","value":"0.0738"},{"id":17,"name":"Train ID","value":"1810-09"},{"id":16,"name":"Locomotive ID","value":"4007"},{"id":130,"name":"Impact","value":""},{"id":150,"name":"Time of Event (Mountain Time)","value":"10:54:17"},{"id":151,"name":"Denver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8"/>
      <c r="AL172" s="48"/>
      <c r="AM172" s="150" t="str">
        <f t="shared" si="19"/>
        <v>start /low /b %USERPROFILE%\Documents\GitHub\eaglep3\Utilities\DownloadLogsFromS3.py --loco 4007 --day 2017-04-09</v>
      </c>
      <c r="AN172" s="159" t="str">
        <f t="shared" si="20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16:54:17"},{"id":29,"name":"Sharepoint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3" t="s">
        <v>710</v>
      </c>
      <c r="B173" s="7">
        <v>4008</v>
      </c>
      <c r="C173" s="21" t="s">
        <v>215</v>
      </c>
      <c r="D173" s="21" t="s">
        <v>901</v>
      </c>
      <c r="E173" s="13">
        <v>42834.455428240741</v>
      </c>
      <c r="F173" s="13">
        <v>42834.473298611112</v>
      </c>
      <c r="G173" s="7">
        <v>1</v>
      </c>
      <c r="H173" s="21" t="s">
        <v>902</v>
      </c>
      <c r="I173" s="13">
        <v>42834.482199074075</v>
      </c>
      <c r="J173" s="7">
        <v>0</v>
      </c>
      <c r="K173" s="97" t="str">
        <f>IF(ISEVEN(B173),(B173-1)&amp;"/"&amp;B173,B173&amp;"/"&amp;(B173+1))</f>
        <v>4007/4008</v>
      </c>
      <c r="L173" s="21" t="str">
        <f>VLOOKUP(A173,'Trips&amp;Operators'!$C$1:$G$99999,5,FALSE)</f>
        <v>YORK EDGAR</v>
      </c>
      <c r="M173" s="6">
        <f>I173-F173</f>
        <v>8.9004629626288079E-3</v>
      </c>
      <c r="N173" s="7">
        <f>24*60*SUM($M173:$M173)</f>
        <v>12.816666666185483</v>
      </c>
      <c r="O173" s="7"/>
      <c r="P173" s="7"/>
      <c r="Q173" s="22"/>
      <c r="R173" s="22"/>
      <c r="S173" s="31">
        <f>SUM(U173:U173)/IF(AG173="EC",12,1)</f>
        <v>1</v>
      </c>
      <c r="T173" s="46" t="str">
        <f>IF(ISEVEN(LEFT(AD173,4)),"Southbound","NorthBound")</f>
        <v>NorthBound</v>
      </c>
      <c r="U173" s="18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2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-04-09T09:55:49-0600',mode:absolute,to:'2017-04-09T12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3" s="183" t="str">
        <f>IF(AA173&lt;IF(AG173="EC",23,5.65),"Y","N")</f>
        <v>N</v>
      </c>
      <c r="X173" s="183">
        <f>VALUE(LEFT(AD173,4))-VALUE(LEFT(AD172,4))</f>
        <v>1</v>
      </c>
      <c r="Y173" s="62">
        <f>RIGHT(D173,LEN(D173)-4)/10000</f>
        <v>0.10299999999999999</v>
      </c>
      <c r="Z173" s="62">
        <f>RIGHT(H173,LEN(H173)-4)/10000</f>
        <v>5.8936999999999999</v>
      </c>
      <c r="AA173" s="62">
        <f>ABS(Z173-Y173)</f>
        <v>5.7907000000000002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>IF(LEN(A173)=6,"0"&amp;A173,A173)</f>
        <v>1811-09</v>
      </c>
      <c r="AE173" s="85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s3://rtdc.mdm.uploadarchive.raw/RTDC4008/ "%USERPROFILE%\AppData\Local\Temp\OnboardLogs"\RTDC4008\2017-04-09 --exclude "*" --recursive --include "*20170409*" &amp; "%USERPROFILE%\Documents\GitHub\mrs-test-scripts\Headless Mode &amp; Sideloading\WalkAndUnGZ.bat" "%USERPROFILE%\AppData\Local\Temp\OnboardLogs"\RTDC4008\2017-04-09 &amp; aws s3 cp s3://rtdc.mdm.uploadarchive.raw/RTDC4008/ "%USERPROFILE%\AppData\Local\Temp\OnboardLogs"\RTDC4008\2017-04-10 --exclude "*" --recursive --include "*20170410*" &amp; "%USERPROFILE%\Documents\GitHub\mrs-test-scripts\Headless Mode &amp; Sideloading\WalkAndUnGZ.bat" "%USERPROFILE%\AppData\Local\Temp\OnboardLogs"\RTDC4008\2017-04-10</v>
      </c>
      <c r="AF173" s="82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/stypes="app*4008*20170409*" /stext=" 17:.+((SYSTEM_STATE.+slice.+state.+changed )|(ment ac)|(multiple cpu faults)|(system.+state.+changed )|(\[timeout)|(PRM\|1\|D)|(kpr)|(kdp)|(\|lc)|(penalty))"</v>
      </c>
      <c r="AG173" s="1" t="str">
        <f>IFERROR(IF(VALUE(LEFT(AD173,2))&lt;=2,"EC",IF(OR(VALUE(LEFT(AD173,2))=8,VALUE(LEFT(AD173,2))=18),"NW","Other")),"Other")</f>
        <v>NW</v>
      </c>
      <c r="AH173" s="86" t="str">
        <f t="shared" si="17"/>
        <v>"%USERPROFILE%\Documents\GitHub\eaglep3\Utilities\RefineRTDCRunTimes.py" --tripid 1811-09 --locoid 4008 --swversion DE.1.0.9.0 --startMP 204:1030 --initTime 2017-04-09T10:55:49 --startdatetime 2017-04-09T11:21:33 --delay 1 --endMP 300:58937 --enddatetime 2017-04-09T11:34:22 --enforcementcount 0 &gt;&gt;C:\Users\stu\Documents\GitHub\eaglep3-reporting\EC\2017-04-09-refined-times.txt</v>
      </c>
      <c r="AI173" s="104" t="str">
        <f t="shared" si="18"/>
        <v>echo {"issue":{"subject":"","project_id":79,"tracker_id":40,"status_id":1,"priority_id":2,"assigned_to_id":23,"start_date":"2017-04-09","description":"","custom_fields":[{"id":1,"name":"Subdivision","value":"NW"},{"id":4,"name":"Milepost","value":"5.8937"},{"id":17,"name":"Train ID","value":"1811-09"},{"id":16,"name":"Locomotive ID","value":"4008"},{"id":130,"name":"Impact","value":""},{"id":150,"name":"Time of Event (Mountain Time)","value":"11:34:22"},{"id":151,"name":"Denver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8"/>
      <c r="AL173" s="48"/>
      <c r="AM173" s="150" t="str">
        <f t="shared" si="19"/>
        <v>start /low /b %USERPROFILE%\Documents\GitHub\eaglep3\Utilities\DownloadLogsFromS3.py --loco 4008 --day 2017-04-09</v>
      </c>
      <c r="AN173" s="159" t="str">
        <f t="shared" si="20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17:34:22"},{"id":29,"name":"Sharepoint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x14ac:dyDescent="0.25">
      <c r="A174" s="33" t="s">
        <v>720</v>
      </c>
      <c r="B174" s="7">
        <v>4007</v>
      </c>
      <c r="C174" s="21" t="s">
        <v>215</v>
      </c>
      <c r="D174" s="21" t="s">
        <v>437</v>
      </c>
      <c r="E174" s="13">
        <v>42834.482974537037</v>
      </c>
      <c r="F174" s="13">
        <v>42834.486597222225</v>
      </c>
      <c r="G174" s="7">
        <v>1</v>
      </c>
      <c r="H174" s="21" t="s">
        <v>903</v>
      </c>
      <c r="I174" s="13">
        <v>42834.497754629629</v>
      </c>
      <c r="J174" s="7">
        <v>0</v>
      </c>
      <c r="K174" s="97" t="str">
        <f>IF(ISEVEN(B174),(B174-1)&amp;"/"&amp;B174,B174&amp;"/"&amp;(B174+1))</f>
        <v>4007/4008</v>
      </c>
      <c r="L174" s="21" t="str">
        <f>VLOOKUP(A174,'Trips&amp;Operators'!$C$1:$G$99999,5,FALSE)</f>
        <v>YORK EDGAR</v>
      </c>
      <c r="M174" s="6">
        <f>I174-F174</f>
        <v>1.1157407403516117E-2</v>
      </c>
      <c r="N174" s="7">
        <f>24*60*SUM($M174:$M174)</f>
        <v>16.066666661063209</v>
      </c>
      <c r="O174" s="7"/>
      <c r="P174" s="7"/>
      <c r="Q174" s="22"/>
      <c r="R174" s="22"/>
      <c r="S174" s="31">
        <f>SUM(U174:U174)/IF(AG174="EC",12,1)</f>
        <v>1</v>
      </c>
      <c r="T174" s="46" t="str">
        <f>IF(ISEVEN(LEFT(AD174,4)),"Southbound","NorthBound")</f>
        <v>Southbound</v>
      </c>
      <c r="U174" s="18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2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-04-09T10:35:29-0600',mode:absolute,to:'2017-04-09T12:56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4" s="183" t="str">
        <f>IF(AA174&lt;IF(AG174="EC",23,5.65),"Y","N")</f>
        <v>N</v>
      </c>
      <c r="X174" s="183">
        <f>VALUE(LEFT(AD174,4))-VALUE(LEFT(AD173,4))</f>
        <v>1</v>
      </c>
      <c r="Y174" s="62">
        <f>RIGHT(D174,LEN(D174)-4)/10000</f>
        <v>5.8616999999999999</v>
      </c>
      <c r="Z174" s="62">
        <f>RIGHT(H174,LEN(H174)-4)/10000</f>
        <v>7.3999999999999996E-2</v>
      </c>
      <c r="AA174" s="62">
        <f>ABS(Z174-Y174)</f>
        <v>5.7877000000000001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>IF(LEN(A174)=6,"0"&amp;A174,A174)</f>
        <v>1812-09</v>
      </c>
      <c r="AE174" s="85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s3://rtdc.mdm.uploadarchive.raw/RTDC4007/ "%USERPROFILE%\AppData\Local\Temp\OnboardLogs"\RTDC4007\2017-04-09 --exclude "*" --recursive --include "*20170409*" &amp; "%USERPROFILE%\Documents\GitHub\mrs-test-scripts\Headless Mode &amp; Sideloading\WalkAndUnGZ.bat" "%USERPROFILE%\AppData\Local\Temp\OnboardLogs"\RTDC4007\2017-04-09 &amp; aws s3 cp s3://rtdc.mdm.uploadarchive.raw/RTDC4007/ "%USERPROFILE%\AppData\Local\Temp\OnboardLogs"\RTDC4007\2017-04-10 --exclude "*" --recursive --include "*20170410*" &amp; "%USERPROFILE%\Documents\GitHub\mrs-test-scripts\Headless Mode &amp; Sideloading\WalkAndUnGZ.bat" "%USERPROFILE%\AppData\Local\Temp\OnboardLogs"\RTDC4007\2017-04-10</v>
      </c>
      <c r="AF174" s="82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/stypes="app*4007*20170409*" /stext=" 17:.+((SYSTEM_STATE.+slice.+state.+changed )|(ment ac)|(multiple cpu faults)|(system.+state.+changed )|(\[timeout)|(PRM\|1\|D)|(kpr)|(kdp)|(\|lc)|(penalty))"</v>
      </c>
      <c r="AG174" s="1" t="str">
        <f>IFERROR(IF(VALUE(LEFT(AD174,2))&lt;=2,"EC",IF(OR(VALUE(LEFT(AD174,2))=8,VALUE(LEFT(AD174,2))=18),"NW","Other")),"Other")</f>
        <v>NW</v>
      </c>
      <c r="AH174" s="86" t="str">
        <f t="shared" si="17"/>
        <v>"%USERPROFILE%\Documents\GitHub\eaglep3\Utilities\RefineRTDCRunTimes.py" --tripid 1812-09 --locoid 4007 --swversion DE.1.0.9.0 --startMP 300:58617 --initTime 2017-04-09T11:35:29 --startdatetime 2017-04-09T11:40:42 --delay 1 --endMP 204:740 --enddatetime 2017-04-09T11:56:46 --enforcementcount 0 &gt;&gt;C:\Users\stu\Documents\GitHub\eaglep3-reporting\EC\2017-04-09-refined-times.txt</v>
      </c>
      <c r="AI174" s="104" t="str">
        <f t="shared" si="18"/>
        <v>echo {"issue":{"subject":"","project_id":79,"tracker_id":40,"status_id":1,"priority_id":2,"assigned_to_id":23,"start_date":"2017-04-09","description":"","custom_fields":[{"id":1,"name":"Subdivision","value":"NW"},{"id":4,"name":"Milepost","value":"0.074"},{"id":17,"name":"Train ID","value":"1812-09"},{"id":16,"name":"Locomotive ID","value":"4007"},{"id":130,"name":"Impact","value":""},{"id":150,"name":"Time of Event (Mountain Time)","value":"11:56:46"},{"id":151,"name":"Denver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8"/>
      <c r="AL174" s="48"/>
      <c r="AM174" s="150" t="str">
        <f t="shared" si="19"/>
        <v>start /low /b %USERPROFILE%\Documents\GitHub\eaglep3\Utilities\DownloadLogsFromS3.py --loco 4007 --day 2017-04-09</v>
      </c>
      <c r="AN174" s="159" t="str">
        <f t="shared" si="20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17:56:46"},{"id":29,"name":"Sharepoint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s="20" customFormat="1" x14ac:dyDescent="0.25">
      <c r="A175" s="33" t="s">
        <v>726</v>
      </c>
      <c r="B175" s="7">
        <v>4008</v>
      </c>
      <c r="C175" s="21" t="s">
        <v>215</v>
      </c>
      <c r="D175" s="21" t="s">
        <v>904</v>
      </c>
      <c r="E175" s="13">
        <v>42834.498657407406</v>
      </c>
      <c r="F175" s="13">
        <v>42834.514745370368</v>
      </c>
      <c r="G175" s="7">
        <v>0</v>
      </c>
      <c r="H175" s="21" t="s">
        <v>905</v>
      </c>
      <c r="I175" s="13">
        <v>42834.523460648146</v>
      </c>
      <c r="J175" s="7">
        <v>0</v>
      </c>
      <c r="K175" s="97" t="str">
        <f>IF(ISEVEN(B175),(B175-1)&amp;"/"&amp;B175,B175&amp;"/"&amp;(B175+1))</f>
        <v>4007/4008</v>
      </c>
      <c r="L175" s="21" t="str">
        <f>VLOOKUP(A175,'Trips&amp;Operators'!$C$1:$G$99999,5,FALSE)</f>
        <v>YORK EDGAR</v>
      </c>
      <c r="M175" s="6">
        <f>I175-F175</f>
        <v>8.7152777778101154E-3</v>
      </c>
      <c r="N175" s="7">
        <f>24*60*SUM($M175:$M175)</f>
        <v>12.550000000046566</v>
      </c>
      <c r="O175" s="7"/>
      <c r="P175" s="7"/>
      <c r="Q175" s="22"/>
      <c r="R175" s="22"/>
      <c r="S175" s="31">
        <f>SUM(U175:U175)/IF(AG175="EC",12,1)</f>
        <v>1</v>
      </c>
      <c r="T175" s="46" t="str">
        <f>IF(ISEVEN(LEFT(AD175,4)),"Southbound","NorthBound")</f>
        <v>NorthBound</v>
      </c>
      <c r="U175" s="18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2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-04-09T10:58:04-0600',mode:absolute,to:'2017-04-09T13:33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5" s="183" t="str">
        <f>IF(AA175&lt;IF(AG175="EC",23,5.65),"Y","N")</f>
        <v>N</v>
      </c>
      <c r="X175" s="183">
        <f>VALUE(LEFT(AD175,4))-VALUE(LEFT(AD174,4))</f>
        <v>1</v>
      </c>
      <c r="Y175" s="62">
        <f>RIGHT(D175,LEN(D175)-4)/10000</f>
        <v>0.10199999999999999</v>
      </c>
      <c r="Z175" s="62">
        <f>RIGHT(H175,LEN(H175)-4)/10000</f>
        <v>5.8943000000000003</v>
      </c>
      <c r="AA175" s="62">
        <f>ABS(Z175-Y175)</f>
        <v>5.7923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>IF(LEN(A175)=6,"0"&amp;A175,A175)</f>
        <v>1813-09</v>
      </c>
      <c r="AE175" s="85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s3://rtdc.mdm.uploadarchive.raw/RTDC4008/ "%USERPROFILE%\AppData\Local\Temp\OnboardLogs"\RTDC4008\2017-04-09 --exclude "*" --recursive --include "*20170409*" &amp; "%USERPROFILE%\Documents\GitHub\mrs-test-scripts\Headless Mode &amp; Sideloading\WalkAndUnGZ.bat" "%USERPROFILE%\AppData\Local\Temp\OnboardLogs"\RTDC4008\2017-04-09 &amp; aws s3 cp s3://rtdc.mdm.uploadarchive.raw/RTDC4008/ "%USERPROFILE%\AppData\Local\Temp\OnboardLogs"\RTDC4008\2017-04-10 --exclude "*" --recursive --include "*20170410*" &amp; "%USERPROFILE%\Documents\GitHub\mrs-test-scripts\Headless Mode &amp; Sideloading\WalkAndUnGZ.bat" "%USERPROFILE%\AppData\Local\Temp\OnboardLogs"\RTDC4008\2017-04-10</v>
      </c>
      <c r="AF175" s="82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/stypes="app*4008*20170409*" /stext=" 18:.+((SYSTEM_STATE.+slice.+state.+changed )|(ment ac)|(multiple cpu faults)|(system.+state.+changed )|(\[timeout)|(PRM\|1\|D)|(kpr)|(kdp)|(\|lc)|(penalty))"</v>
      </c>
      <c r="AG175" s="1" t="str">
        <f>IFERROR(IF(VALUE(LEFT(AD175,2))&lt;=2,"EC",IF(OR(VALUE(LEFT(AD175,2))=8,VALUE(LEFT(AD175,2))=18),"NW","Other")),"Other")</f>
        <v>NW</v>
      </c>
      <c r="AH175" s="86" t="str">
        <f t="shared" si="17"/>
        <v>"%USERPROFILE%\Documents\GitHub\eaglep3\Utilities\RefineRTDCRunTimes.py" --tripid 1813-09 --locoid 4008 --swversion DE.1.0.9.0 --startMP 204:1020 --initTime 2017-04-09T11:58:04 --startdatetime 2017-04-09T12:21:14 --delay 0 --endMP 300:58943 --enddatetime 2017-04-09T12:33:47 --enforcementcount 0 &gt;&gt;C:\Users\stu\Documents\GitHub\eaglep3-reporting\EC\2017-04-09-refined-times.txt</v>
      </c>
      <c r="AI175" s="104" t="str">
        <f t="shared" si="18"/>
        <v>echo {"issue":{"subject":"","project_id":79,"tracker_id":40,"status_id":1,"priority_id":2,"assigned_to_id":23,"start_date":"2017-04-09","description":"","custom_fields":[{"id":1,"name":"Subdivision","value":"NW"},{"id":4,"name":"Milepost","value":"5.8943"},{"id":17,"name":"Train ID","value":"1813-09"},{"id":16,"name":"Locomotive ID","value":"4008"},{"id":130,"name":"Impact","value":""},{"id":150,"name":"Time of Event (Mountain Time)","value":"12:33:47"},{"id":151,"name":"Denver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8"/>
      <c r="AL175" s="48"/>
      <c r="AM175" s="150" t="str">
        <f t="shared" si="19"/>
        <v>start /low /b %USERPROFILE%\Documents\GitHub\eaglep3\Utilities\DownloadLogsFromS3.py --loco 4008 --day 2017-04-09</v>
      </c>
      <c r="AN175" s="159" t="str">
        <f t="shared" si="20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18:33:47"},{"id":29,"name":"Sharepoint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3" t="s">
        <v>732</v>
      </c>
      <c r="B176" s="7">
        <v>4007</v>
      </c>
      <c r="C176" s="21" t="s">
        <v>215</v>
      </c>
      <c r="D176" s="21" t="s">
        <v>886</v>
      </c>
      <c r="E176" s="13">
        <v>42834.525752314818</v>
      </c>
      <c r="F176" s="13">
        <v>42834.528865740744</v>
      </c>
      <c r="G176" s="7">
        <v>0</v>
      </c>
      <c r="H176" s="21" t="s">
        <v>906</v>
      </c>
      <c r="I176" s="13">
        <v>42834.53402777778</v>
      </c>
      <c r="J176" s="7">
        <v>0</v>
      </c>
      <c r="K176" s="97" t="str">
        <f>IF(ISEVEN(B176),(B176-1)&amp;"/"&amp;B176,B176&amp;"/"&amp;(B176+1))</f>
        <v>4007/4008</v>
      </c>
      <c r="L176" s="21" t="str">
        <f>VLOOKUP(A176,'Trips&amp;Operators'!$C$1:$G$99999,5,FALSE)</f>
        <v>YORK EDGAR</v>
      </c>
      <c r="M176" s="6">
        <f>I176-F176</f>
        <v>5.1620370359160006E-3</v>
      </c>
      <c r="N176" s="7"/>
      <c r="O176" s="7"/>
      <c r="P176" s="7">
        <f>24*60*SUM($M176:$M176)</f>
        <v>7.4333333317190409</v>
      </c>
      <c r="Q176" s="22"/>
      <c r="R176" s="22" t="s">
        <v>986</v>
      </c>
      <c r="S176" s="31">
        <f>SUM(U176:U176)/IF(AG176="EC",12,1)</f>
        <v>0</v>
      </c>
      <c r="T176" s="46" t="str">
        <f>IF(ISEVEN(LEFT(AD176,4)),"Southbound","NorthBound")</f>
        <v>Southbound</v>
      </c>
      <c r="U176" s="18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0</v>
      </c>
      <c r="V176" s="182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-04-09T11:37:05-0600',mode:absolute,to:'2017-04-09T13:49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6" s="183" t="str">
        <f>IF(AA176&lt;IF(AG176="EC",23,5.65),"Y","N")</f>
        <v>Y</v>
      </c>
      <c r="X176" s="183">
        <f>VALUE(LEFT(AD176,4))-VALUE(LEFT(AD175,4))</f>
        <v>1</v>
      </c>
      <c r="Y176" s="62">
        <f>RIGHT(D176,LEN(D176)-4)/10000</f>
        <v>5.8623000000000003</v>
      </c>
      <c r="Z176" s="62">
        <f>RIGHT(H176,LEN(H176)-4)/10000</f>
        <v>2.2208000000000001</v>
      </c>
      <c r="AA176" s="62">
        <f>ABS(Z176-Y176)</f>
        <v>3.6415000000000002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>IF(LEN(A176)=6,"0"&amp;A176,A176)</f>
        <v>1814-09</v>
      </c>
      <c r="AE176" s="85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s3://rtdc.mdm.uploadarchive.raw/RTDC4007/ "%USERPROFILE%\AppData\Local\Temp\OnboardLogs"\RTDC4007\2017-04-09 --exclude "*" --recursive --include "*20170409*" &amp; "%USERPROFILE%\Documents\GitHub\mrs-test-scripts\Headless Mode &amp; Sideloading\WalkAndUnGZ.bat" "%USERPROFILE%\AppData\Local\Temp\OnboardLogs"\RTDC4007\2017-04-09 &amp; aws s3 cp s3://rtdc.mdm.uploadarchive.raw/RTDC4007/ "%USERPROFILE%\AppData\Local\Temp\OnboardLogs"\RTDC4007\2017-04-10 --exclude "*" --recursive --include "*20170410*" &amp; "%USERPROFILE%\Documents\GitHub\mrs-test-scripts\Headless Mode &amp; Sideloading\WalkAndUnGZ.bat" "%USERPROFILE%\AppData\Local\Temp\OnboardLogs"\RTDC4007\2017-04-10</v>
      </c>
      <c r="AF176" s="82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/stypes="app*4007*20170409*" /stext=" 18:.+((SYSTEM_STATE.+slice.+state.+changed )|(ment ac)|(multiple cpu faults)|(system.+state.+changed )|(\[timeout)|(PRM\|1\|D)|(kpr)|(kdp)|(\|lc)|(penalty))"</v>
      </c>
      <c r="AG176" s="1" t="str">
        <f>IFERROR(IF(VALUE(LEFT(AD176,2))&lt;=2,"EC",IF(OR(VALUE(LEFT(AD176,2))=8,VALUE(LEFT(AD176,2))=18),"NW","Other")),"Other")</f>
        <v>NW</v>
      </c>
      <c r="AH176" s="86" t="str">
        <f t="shared" si="17"/>
        <v>"%USERPROFILE%\Documents\GitHub\eaglep3\Utilities\RefineRTDCRunTimes.py" --tripid 1814-09 --locoid 4007 --swversion DE.1.0.9.0 --startMP 300:58623 --initTime 2017-04-09T12:37:05 --startdatetime 2017-04-09T12:41:34 --delay 0 --endMP 300:22208 --enddatetime 2017-04-09T12:49:00 --enforcementcount 0 &gt;&gt;C:\Users\stu\Documents\GitHub\eaglep3-reporting\EC\2017-04-09-refined-times.txt</v>
      </c>
      <c r="AI176" s="104" t="str">
        <f t="shared" si="18"/>
        <v>echo {"issue":{"subject":"Blown fuse caused false occupancy","project_id":79,"tracker_id":40,"status_id":1,"priority_id":2,"assigned_to_id":23,"start_date":"2017-04-09","description":"","custom_fields":[{"id":1,"name":"Subdivision","value":"NW"},{"id":4,"name":"Milepost","value":"2.2208"},{"id":17,"name":"Train ID","value":"1814-09"},{"id":16,"name":"Locomotive ID","value":"4007"},{"id":130,"name":"Impact","value":""},{"id":150,"name":"Time of Event (Mountain Time)","value":"12:49:00"},{"id":151,"name":"Denver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8"/>
      <c r="AL176" s="48"/>
      <c r="AM176" s="150" t="str">
        <f t="shared" si="19"/>
        <v>start /low /b %USERPROFILE%\Documents\GitHub\eaglep3\Utilities\DownloadLogsFromS3.py --loco 4007 --day 2017-04-09</v>
      </c>
      <c r="AN176" s="159" t="str">
        <f t="shared" si="20"/>
        <v>echo {"issue":{"subject":"Blown fuse caused false occupancy","project_id":30,"tracker_id":4,"status_id":1,"priority_id":1,"assigned_to_id":10,"start_date":"2017-04-09","description":"","custom_fields":[{"id":30,"name":"Category","value":"Issue"},{"id":3,"name":"Functional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18:49:00"},{"id":29,"name":"Sharepoint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3" t="s">
        <v>734</v>
      </c>
      <c r="B177" s="7">
        <v>4008</v>
      </c>
      <c r="C177" s="21" t="s">
        <v>215</v>
      </c>
      <c r="D177" s="21" t="s">
        <v>598</v>
      </c>
      <c r="E177" s="13">
        <v>42834.538414351853</v>
      </c>
      <c r="F177" s="13">
        <v>42834.556504629632</v>
      </c>
      <c r="G177" s="7">
        <v>1</v>
      </c>
      <c r="H177" s="21" t="s">
        <v>597</v>
      </c>
      <c r="I177" s="13">
        <v>42834.56521990741</v>
      </c>
      <c r="J177" s="7">
        <v>0</v>
      </c>
      <c r="K177" s="97" t="str">
        <f>IF(ISEVEN(B177),(B177-1)&amp;"/"&amp;B177,B177&amp;"/"&amp;(B177+1))</f>
        <v>4007/4008</v>
      </c>
      <c r="L177" s="21" t="str">
        <f>VLOOKUP(A177,'Trips&amp;Operators'!$C$1:$G$99999,5,FALSE)</f>
        <v>YORK EDGAR</v>
      </c>
      <c r="M177" s="6">
        <f>I177-F177</f>
        <v>8.7152777778101154E-3</v>
      </c>
      <c r="N177" s="7">
        <f>24*60*SUM($M177:$M177)</f>
        <v>12.550000000046566</v>
      </c>
      <c r="O177" s="7"/>
      <c r="P177" s="7"/>
      <c r="Q177" s="22"/>
      <c r="R177" s="22"/>
      <c r="S177" s="31">
        <f>SUM(U177:U177)/IF(AG177="EC",12,1)</f>
        <v>1</v>
      </c>
      <c r="T177" s="46" t="str">
        <f>IF(ISEVEN(LEFT(AD177,4)),"Southbound","NorthBound")</f>
        <v>NorthBound</v>
      </c>
      <c r="U177" s="18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2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-04-09T11:55:19-0600',mode:absolute,to:'2017-04-09T14:33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7" s="183" t="str">
        <f>IF(AA177&lt;IF(AG177="EC",23,5.65),"Y","N")</f>
        <v>N</v>
      </c>
      <c r="X177" s="183">
        <f>VALUE(LEFT(AD177,4))-VALUE(LEFT(AD176,4))</f>
        <v>1</v>
      </c>
      <c r="Y177" s="62">
        <f>RIGHT(D177,LEN(D177)-4)/10000</f>
        <v>0.1009</v>
      </c>
      <c r="Z177" s="62">
        <f>RIGHT(H177,LEN(H177)-4)/10000</f>
        <v>5.8945999999999996</v>
      </c>
      <c r="AA177" s="62">
        <f>ABS(Z177-Y177)</f>
        <v>5.7936999999999994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>IF(LEN(A177)=6,"0"&amp;A177,A177)</f>
        <v>1815-09</v>
      </c>
      <c r="AE177" s="85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s3://rtdc.mdm.uploadarchive.raw/RTDC4008/ "%USERPROFILE%\AppData\Local\Temp\OnboardLogs"\RTDC4008\2017-04-09 --exclude "*" --recursive --include "*20170409*" &amp; "%USERPROFILE%\Documents\GitHub\mrs-test-scripts\Headless Mode &amp; Sideloading\WalkAndUnGZ.bat" "%USERPROFILE%\AppData\Local\Temp\OnboardLogs"\RTDC4008\2017-04-09 &amp; aws s3 cp s3://rtdc.mdm.uploadarchive.raw/RTDC4008/ "%USERPROFILE%\AppData\Local\Temp\OnboardLogs"\RTDC4008\2017-04-10 --exclude "*" --recursive --include "*20170410*" &amp; "%USERPROFILE%\Documents\GitHub\mrs-test-scripts\Headless Mode &amp; Sideloading\WalkAndUnGZ.bat" "%USERPROFILE%\AppData\Local\Temp\OnboardLogs"\RTDC4008\2017-04-10</v>
      </c>
      <c r="AF177" s="82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/stypes="app*4008*20170409*" /stext=" 19:.+((SYSTEM_STATE.+slice.+state.+changed )|(ment ac)|(multiple cpu faults)|(system.+state.+changed )|(\[timeout)|(PRM\|1\|D)|(kpr)|(kdp)|(\|lc)|(penalty))"</v>
      </c>
      <c r="AG177" s="1" t="str">
        <f>IFERROR(IF(VALUE(LEFT(AD177,2))&lt;=2,"EC",IF(OR(VALUE(LEFT(AD177,2))=8,VALUE(LEFT(AD177,2))=18),"NW","Other")),"Other")</f>
        <v>NW</v>
      </c>
      <c r="AH177" s="86" t="str">
        <f t="shared" si="17"/>
        <v>"%USERPROFILE%\Documents\GitHub\eaglep3\Utilities\RefineRTDCRunTimes.py" --tripid 1815-09 --locoid 4008 --swversion DE.1.0.9.0 --startMP 204:1009 --initTime 2017-04-09T12:55:19 --startdatetime 2017-04-09T13:21:22 --delay 1 --endMP 300:58946 --enddatetime 2017-04-09T13:33:55 --enforcementcount 0 &gt;&gt;C:\Users\stu\Documents\GitHub\eaglep3-reporting\EC\2017-04-09-refined-times.txt</v>
      </c>
      <c r="AI177" s="104" t="str">
        <f t="shared" si="18"/>
        <v>echo {"issue":{"subject":"","project_id":79,"tracker_id":40,"status_id":1,"priority_id":2,"assigned_to_id":23,"start_date":"2017-04-09","description":"","custom_fields":[{"id":1,"name":"Subdivision","value":"NW"},{"id":4,"name":"Milepost","value":"5.8946"},{"id":17,"name":"Train ID","value":"1815-09"},{"id":16,"name":"Locomotive ID","value":"4008"},{"id":130,"name":"Impact","value":""},{"id":150,"name":"Time of Event (Mountain Time)","value":"13:33:55"},{"id":151,"name":"Denver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8"/>
      <c r="AL177" s="48"/>
      <c r="AM177" s="150" t="str">
        <f t="shared" si="19"/>
        <v>start /low /b %USERPROFILE%\Documents\GitHub\eaglep3\Utilities\DownloadLogsFromS3.py --loco 4008 --day 2017-04-09</v>
      </c>
      <c r="AN177" s="159" t="str">
        <f t="shared" si="20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19:33:55"},{"id":29,"name":"Sharepoint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3" t="s">
        <v>737</v>
      </c>
      <c r="B178" s="7">
        <v>4007</v>
      </c>
      <c r="C178" s="21" t="s">
        <v>215</v>
      </c>
      <c r="D178" s="21" t="s">
        <v>907</v>
      </c>
      <c r="E178" s="13">
        <v>42834.566203703704</v>
      </c>
      <c r="F178" s="13">
        <v>42834.570763888885</v>
      </c>
      <c r="G178" s="7">
        <v>1</v>
      </c>
      <c r="H178" s="21" t="s">
        <v>908</v>
      </c>
      <c r="I178" s="13">
        <v>42834.574953703705</v>
      </c>
      <c r="J178" s="7">
        <v>0</v>
      </c>
      <c r="K178" s="97" t="str">
        <f>IF(ISEVEN(B178),(B178-1)&amp;"/"&amp;B178,B178&amp;"/"&amp;(B178+1))</f>
        <v>4007/4008</v>
      </c>
      <c r="L178" s="21" t="str">
        <f>VLOOKUP(A178,'Trips&amp;Operators'!$C$1:$G$99999,5,FALSE)</f>
        <v>YORK EDGAR</v>
      </c>
      <c r="M178" s="6">
        <f>I178-F178</f>
        <v>4.1898148192558438E-3</v>
      </c>
      <c r="N178" s="7"/>
      <c r="O178" s="7"/>
      <c r="P178" s="7">
        <f>24*60*SUM($M178:$M178)</f>
        <v>6.033333339728415</v>
      </c>
      <c r="Q178" s="22"/>
      <c r="R178" s="22" t="s">
        <v>986</v>
      </c>
      <c r="S178" s="31">
        <f>SUM(U178:U178)/IF(AG178="EC",12,1)</f>
        <v>0</v>
      </c>
      <c r="T178" s="46" t="str">
        <f>IF(ISEVEN(LEFT(AD178,4)),"Southbound","NorthBound")</f>
        <v>Southbound</v>
      </c>
      <c r="U178" s="18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0</v>
      </c>
      <c r="V178" s="182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-04-09T12:35:20-0600',mode:absolute,to:'2017-04-09T14:47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8" s="183" t="str">
        <f>IF(AA178&lt;IF(AG178="EC",23,5.65),"Y","N")</f>
        <v>Y</v>
      </c>
      <c r="X178" s="183">
        <f>VALUE(LEFT(AD178,4))-VALUE(LEFT(AD177,4))</f>
        <v>1</v>
      </c>
      <c r="Y178" s="62">
        <f>RIGHT(D178,LEN(D178)-4)/10000</f>
        <v>5.8624000000000001</v>
      </c>
      <c r="Z178" s="62">
        <v>3.1345000000000001</v>
      </c>
      <c r="AA178" s="62">
        <f>ABS(Z178-Y178)</f>
        <v>2.7279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>IF(LEN(A178)=6,"0"&amp;A178,A178)</f>
        <v>1816-09</v>
      </c>
      <c r="AE178" s="85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s3://rtdc.mdm.uploadarchive.raw/RTDC4007/ "%USERPROFILE%\AppData\Local\Temp\OnboardLogs"\RTDC4007\2017-04-09 --exclude "*" --recursive --include "*20170409*" &amp; "%USERPROFILE%\Documents\GitHub\mrs-test-scripts\Headless Mode &amp; Sideloading\WalkAndUnGZ.bat" "%USERPROFILE%\AppData\Local\Temp\OnboardLogs"\RTDC4007\2017-04-09 &amp; aws s3 cp s3://rtdc.mdm.uploadarchive.raw/RTDC4007/ "%USERPROFILE%\AppData\Local\Temp\OnboardLogs"\RTDC4007\2017-04-10 --exclude "*" --recursive --include "*20170410*" &amp; "%USERPROFILE%\Documents\GitHub\mrs-test-scripts\Headless Mode &amp; Sideloading\WalkAndUnGZ.bat" "%USERPROFILE%\AppData\Local\Temp\OnboardLogs"\RTDC4007\2017-04-10</v>
      </c>
      <c r="AF178" s="82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/stypes="app*4007*20170409*" /stext=" 19:.+((SYSTEM_STATE.+slice.+state.+changed )|(ment ac)|(multiple cpu faults)|(system.+state.+changed )|(\[timeout)|(PRM\|1\|D)|(kpr)|(kdp)|(\|lc)|(penalty))"</v>
      </c>
      <c r="AG178" s="1" t="str">
        <f>IFERROR(IF(VALUE(LEFT(AD178,2))&lt;=2,"EC",IF(OR(VALUE(LEFT(AD178,2))=8,VALUE(LEFT(AD178,2))=18),"NW","Other")),"Other")</f>
        <v>NW</v>
      </c>
      <c r="AH178" s="86" t="str">
        <f t="shared" si="17"/>
        <v>"%USERPROFILE%\Documents\GitHub\eaglep3\Utilities\RefineRTDCRunTimes.py" --tripid 1816-09 --locoid 4007 --swversion DE.1.0.9.0 --startMP 300:58624 --initTime 2017-04-09T13:35:20 --startdatetime 2017-04-09T13:41:54 --delay 1 --endMP 300:31345 --enddatetime 2017-04-09T13:47:56 --enforcementcount 0 &gt;&gt;C:\Users\stu\Documents\GitHub\eaglep3-reporting\EC\2017-04-09-refined-times.txt</v>
      </c>
      <c r="AI178" s="104" t="str">
        <f t="shared" si="18"/>
        <v>echo {"issue":{"subject":"Blown fuse caused false occupancy","project_id":79,"tracker_id":40,"status_id":1,"priority_id":2,"assigned_to_id":23,"start_date":"2017-04-09","description":"","custom_fields":[{"id":1,"name":"Subdivision","value":"NW"},{"id":4,"name":"Milepost","value":"3.1345"},{"id":17,"name":"Train ID","value":"1816-09"},{"id":16,"name":"Locomotive ID","value":"4007"},{"id":130,"name":"Impact","value":""},{"id":150,"name":"Time of Event (Mountain Time)","value":"13:47:56"},{"id":151,"name":"Denver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8"/>
      <c r="AL178" s="48"/>
      <c r="AM178" s="150" t="str">
        <f t="shared" si="19"/>
        <v>start /low /b %USERPROFILE%\Documents\GitHub\eaglep3\Utilities\DownloadLogsFromS3.py --loco 4007 --day 2017-04-09</v>
      </c>
      <c r="AN178" s="159" t="str">
        <f t="shared" si="20"/>
        <v>echo {"issue":{"subject":"Blown fuse caused false occupancy","project_id":30,"tracker_id":4,"status_id":1,"priority_id":1,"assigned_to_id":10,"start_date":"2017-04-09","description":"","custom_fields":[{"id":30,"name":"Category","value":"Issue"},{"id":3,"name":"Functional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19:47:56"},{"id":29,"name":"Sharepoint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3" t="s">
        <v>744</v>
      </c>
      <c r="B179" s="7">
        <v>4008</v>
      </c>
      <c r="C179" s="21" t="s">
        <v>215</v>
      </c>
      <c r="D179" s="21" t="s">
        <v>893</v>
      </c>
      <c r="E179" s="13">
        <v>42834.594421296293</v>
      </c>
      <c r="F179" s="13">
        <v>42834.598090277781</v>
      </c>
      <c r="G179" s="7">
        <v>1</v>
      </c>
      <c r="H179" s="21" t="s">
        <v>909</v>
      </c>
      <c r="I179" s="13">
        <v>42834.600543981483</v>
      </c>
      <c r="J179" s="7">
        <v>0</v>
      </c>
      <c r="K179" s="97" t="str">
        <f>IF(ISEVEN(B179),(B179-1)&amp;"/"&amp;B179,B179&amp;"/"&amp;(B179+1))</f>
        <v>4007/4008</v>
      </c>
      <c r="L179" s="21" t="str">
        <f>VLOOKUP(A179,'Trips&amp;Operators'!$C$1:$G$99999,5,FALSE)</f>
        <v>HELVIE ADAM</v>
      </c>
      <c r="M179" s="6">
        <f>I179-F179</f>
        <v>2.4537037024856545E-3</v>
      </c>
      <c r="N179" s="7"/>
      <c r="O179" s="7"/>
      <c r="P179" s="7">
        <f>24*60*SUM($M179:$M179)</f>
        <v>3.5333333315793425</v>
      </c>
      <c r="Q179" s="22"/>
      <c r="R179" s="22" t="s">
        <v>986</v>
      </c>
      <c r="S179" s="31">
        <f>SUM(U179:U179)/IF(AG179="EC",12,1)</f>
        <v>1</v>
      </c>
      <c r="T179" s="46" t="str">
        <f>IF(ISEVEN(LEFT(AD179,4)),"Southbound","NorthBound")</f>
        <v>NorthBound</v>
      </c>
      <c r="U179" s="18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2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-04-09T13:15:58-0600',mode:absolute,to:'2017-04-09T15:24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9" s="183" t="str">
        <f>IF(AA179&lt;IF(AG179="EC",23,5.65),"Y","N")</f>
        <v>Y</v>
      </c>
      <c r="X179" s="183">
        <f>VALUE(LEFT(AD179,4))-VALUE(LEFT(AD178,4))</f>
        <v>1</v>
      </c>
      <c r="Y179" s="62">
        <f>RIGHT(D179,LEN(D179)-4)/10000</f>
        <v>0.1027</v>
      </c>
      <c r="Z179" s="62">
        <v>1.2447999999999999</v>
      </c>
      <c r="AA179" s="62">
        <f>ABS(Z179-Y179)</f>
        <v>1.1420999999999999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>IF(LEN(A179)=6,"0"&amp;A179,A179)</f>
        <v>1817-09</v>
      </c>
      <c r="AE179" s="85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s3://rtdc.mdm.uploadarchive.raw/RTDC4008/ "%USERPROFILE%\AppData\Local\Temp\OnboardLogs"\RTDC4008\2017-04-09 --exclude "*" --recursive --include "*20170409*" &amp; "%USERPROFILE%\Documents\GitHub\mrs-test-scripts\Headless Mode &amp; Sideloading\WalkAndUnGZ.bat" "%USERPROFILE%\AppData\Local\Temp\OnboardLogs"\RTDC4008\2017-04-09 &amp; aws s3 cp s3://rtdc.mdm.uploadarchive.raw/RTDC4008/ "%USERPROFILE%\AppData\Local\Temp\OnboardLogs"\RTDC4008\2017-04-10 --exclude "*" --recursive --include "*20170410*" &amp; "%USERPROFILE%\Documents\GitHub\mrs-test-scripts\Headless Mode &amp; Sideloading\WalkAndUnGZ.bat" "%USERPROFILE%\AppData\Local\Temp\OnboardLogs"\RTDC4008\2017-04-10</v>
      </c>
      <c r="AF179" s="82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/stypes="app*4008*20170409*" /stext=" 20:.+((SYSTEM_STATE.+slice.+state.+changed )|(ment ac)|(multiple cpu faults)|(system.+state.+changed )|(\[timeout)|(PRM\|1\|D)|(kpr)|(kdp)|(\|lc)|(penalty))"</v>
      </c>
      <c r="AG179" s="1" t="str">
        <f>IFERROR(IF(VALUE(LEFT(AD179,2))&lt;=2,"EC",IF(OR(VALUE(LEFT(AD179,2))=8,VALUE(LEFT(AD179,2))=18),"NW","Other")),"Other")</f>
        <v>NW</v>
      </c>
      <c r="AH179" s="86" t="str">
        <f t="shared" si="17"/>
        <v>"%USERPROFILE%\Documents\GitHub\eaglep3\Utilities\RefineRTDCRunTimes.py" --tripid 1817-09 --locoid 4008 --swversion DE.1.0.9.0 --startMP 204:1027 --initTime 2017-04-09T14:15:58 --startdatetime 2017-04-09T14:21:15 --delay 1 --endMP 300:58928 --enddatetime 2017-04-09T14:24:47 --enforcementcount 0 &gt;&gt;C:\Users\stu\Documents\GitHub\eaglep3-reporting\EC\2017-04-09-refined-times.txt</v>
      </c>
      <c r="AI179" s="104" t="str">
        <f t="shared" si="18"/>
        <v>echo {"issue":{"subject":"Blown fuse caused false occupancy","project_id":79,"tracker_id":40,"status_id":1,"priority_id":2,"assigned_to_id":23,"start_date":"2017-04-09","description":"","custom_fields":[{"id":1,"name":"Subdivision","value":"NW"},{"id":4,"name":"Milepost","value":"1.2448"},{"id":17,"name":"Train ID","value":"1817-09"},{"id":16,"name":"Locomotive ID","value":"4008"},{"id":130,"name":"Impact","value":""},{"id":150,"name":"Time of Event (Mountain Time)","value":"14:24:47"},{"id":151,"name":"Denver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8"/>
      <c r="AL179" s="48"/>
      <c r="AM179" s="150" t="str">
        <f t="shared" si="19"/>
        <v>start /low /b %USERPROFILE%\Documents\GitHub\eaglep3\Utilities\DownloadLogsFromS3.py --loco 4008 --day 2017-04-09</v>
      </c>
      <c r="AN179" s="159" t="str">
        <f t="shared" si="20"/>
        <v>echo {"issue":{"subject":"Blown fuse caused false occupancy","project_id":30,"tracker_id":4,"status_id":1,"priority_id":1,"assigned_to_id":10,"start_date":"2017-04-09","description":"","custom_fields":[{"id":30,"name":"Category","value":"Issue"},{"id":3,"name":"Functional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20:24:47"},{"id":29,"name":"Sharepoint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3" t="s">
        <v>749</v>
      </c>
      <c r="B180" s="7">
        <v>4007</v>
      </c>
      <c r="C180" s="21" t="s">
        <v>215</v>
      </c>
      <c r="D180" s="21" t="s">
        <v>910</v>
      </c>
      <c r="E180" s="13">
        <v>42834.609884259262</v>
      </c>
      <c r="F180" s="13">
        <v>42834.611388888887</v>
      </c>
      <c r="G180" s="7">
        <v>1</v>
      </c>
      <c r="H180" s="21" t="s">
        <v>911</v>
      </c>
      <c r="I180" s="13">
        <v>42834.6171412037</v>
      </c>
      <c r="J180" s="7">
        <v>0</v>
      </c>
      <c r="K180" s="97" t="str">
        <f>IF(ISEVEN(B180),(B180-1)&amp;"/"&amp;B180,B180&amp;"/"&amp;(B180+1))</f>
        <v>4007/4008</v>
      </c>
      <c r="L180" s="21" t="str">
        <f>VLOOKUP(A180,'Trips&amp;Operators'!$C$1:$G$99999,5,FALSE)</f>
        <v>HELVIE ADAM</v>
      </c>
      <c r="M180" s="6">
        <f>I180-F180</f>
        <v>5.7523148134350777E-3</v>
      </c>
      <c r="N180" s="7"/>
      <c r="O180" s="7"/>
      <c r="P180" s="7">
        <f>24*60*SUM($M180:$M180)</f>
        <v>8.2833333313465118</v>
      </c>
      <c r="Q180" s="22"/>
      <c r="R180" s="22" t="s">
        <v>986</v>
      </c>
      <c r="S180" s="31">
        <f>SUM(U180:U180)/IF(AG180="EC",12,1)</f>
        <v>0</v>
      </c>
      <c r="T180" s="46" t="str">
        <f>IF(ISEVEN(LEFT(AD180,4)),"Southbound","NorthBound")</f>
        <v>Southbound</v>
      </c>
      <c r="U180" s="18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0</v>
      </c>
      <c r="V180" s="182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-04-09T13:38:14-0600',mode:absolute,to:'2017-04-09T15:48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0" s="183" t="str">
        <f>IF(AA180&lt;IF(AG180="EC",23,5.65),"Y","N")</f>
        <v>Y</v>
      </c>
      <c r="X180" s="183">
        <f>VALUE(LEFT(AD180,4))-VALUE(LEFT(AD179,4))</f>
        <v>1</v>
      </c>
      <c r="Y180" s="62">
        <f>RIGHT(D180,LEN(D180)-4)/10000</f>
        <v>5.8625999999999996</v>
      </c>
      <c r="Z180" s="62">
        <v>2.5091999999999999</v>
      </c>
      <c r="AA180" s="62">
        <f>ABS(Z180-Y180)</f>
        <v>3.3533999999999997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>IF(LEN(A180)=6,"0"&amp;A180,A180)</f>
        <v>1818-09</v>
      </c>
      <c r="AE180" s="85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s3://rtdc.mdm.uploadarchive.raw/RTDC4007/ "%USERPROFILE%\AppData\Local\Temp\OnboardLogs"\RTDC4007\2017-04-09 --exclude "*" --recursive --include "*20170409*" &amp; "%USERPROFILE%\Documents\GitHub\mrs-test-scripts\Headless Mode &amp; Sideloading\WalkAndUnGZ.bat" "%USERPROFILE%\AppData\Local\Temp\OnboardLogs"\RTDC4007\2017-04-09 &amp; aws s3 cp s3://rtdc.mdm.uploadarchive.raw/RTDC4007/ "%USERPROFILE%\AppData\Local\Temp\OnboardLogs"\RTDC4007\2017-04-10 --exclude "*" --recursive --include "*20170410*" &amp; "%USERPROFILE%\Documents\GitHub\mrs-test-scripts\Headless Mode &amp; Sideloading\WalkAndUnGZ.bat" "%USERPROFILE%\AppData\Local\Temp\OnboardLogs"\RTDC4007\2017-04-10</v>
      </c>
      <c r="AF180" s="82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/stypes="app*4007*20170409*" /stext=" 20:.+((SYSTEM_STATE.+slice.+state.+changed )|(ment ac)|(multiple cpu faults)|(system.+state.+changed )|(\[timeout)|(PRM\|1\|D)|(kpr)|(kdp)|(\|lc)|(penalty))"</v>
      </c>
      <c r="AG180" s="1" t="str">
        <f>IFERROR(IF(VALUE(LEFT(AD180,2))&lt;=2,"EC",IF(OR(VALUE(LEFT(AD180,2))=8,VALUE(LEFT(AD180,2))=18),"NW","Other")),"Other")</f>
        <v>NW</v>
      </c>
      <c r="AH180" s="86" t="str">
        <f t="shared" si="17"/>
        <v>"%USERPROFILE%\Documents\GitHub\eaglep3\Utilities\RefineRTDCRunTimes.py" --tripid 1818-09 --locoid 4007 --swversion DE.1.0.9.0 --startMP 300:58626 --initTime 2017-04-09T14:38:14 --startdatetime 2017-04-09T14:40:24 --delay 1 --endMP 204:789 --enddatetime 2017-04-09T14:48:41 --enforcementcount 0 &gt;&gt;C:\Users\stu\Documents\GitHub\eaglep3-reporting\EC\2017-04-09-refined-times.txt</v>
      </c>
      <c r="AI180" s="104" t="str">
        <f t="shared" si="18"/>
        <v>echo {"issue":{"subject":"Blown fuse caused false occupancy","project_id":79,"tracker_id":40,"status_id":1,"priority_id":2,"assigned_to_id":23,"start_date":"2017-04-09","description":"","custom_fields":[{"id":1,"name":"Subdivision","value":"NW"},{"id":4,"name":"Milepost","value":"2.5092"},{"id":17,"name":"Train ID","value":"1818-09"},{"id":16,"name":"Locomotive ID","value":"4007"},{"id":130,"name":"Impact","value":""},{"id":150,"name":"Time of Event (Mountain Time)","value":"14:48:41"},{"id":151,"name":"Denver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8"/>
      <c r="AL180" s="48"/>
      <c r="AM180" s="150" t="str">
        <f t="shared" si="19"/>
        <v>start /low /b %USERPROFILE%\Documents\GitHub\eaglep3\Utilities\DownloadLogsFromS3.py --loco 4007 --day 2017-04-09</v>
      </c>
      <c r="AN180" s="159" t="str">
        <f t="shared" si="20"/>
        <v>echo {"issue":{"subject":"Blown fuse caused false occupancy","project_id":30,"tracker_id":4,"status_id":1,"priority_id":1,"assigned_to_id":10,"start_date":"2017-04-09","description":"","custom_fields":[{"id":30,"name":"Category","value":"Issue"},{"id":3,"name":"Functional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20:48:41"},{"id":29,"name":"Sharepoint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3" t="s">
        <v>753</v>
      </c>
      <c r="B181" s="7">
        <v>4008</v>
      </c>
      <c r="C181" s="21" t="s">
        <v>215</v>
      </c>
      <c r="D181" s="21" t="s">
        <v>912</v>
      </c>
      <c r="E181" s="13">
        <v>42834.637662037036</v>
      </c>
      <c r="F181" s="13">
        <v>42834.639930555553</v>
      </c>
      <c r="G181" s="7">
        <v>1</v>
      </c>
      <c r="H181" s="21" t="s">
        <v>530</v>
      </c>
      <c r="I181" s="13">
        <v>42834.642442129632</v>
      </c>
      <c r="J181" s="7">
        <v>0</v>
      </c>
      <c r="K181" s="97" t="str">
        <f>IF(ISEVEN(B181),(B181-1)&amp;"/"&amp;B181,B181&amp;"/"&amp;(B181+1))</f>
        <v>4007/4008</v>
      </c>
      <c r="L181" s="21" t="str">
        <f>VLOOKUP(A181,'Trips&amp;Operators'!$C$1:$G$99999,5,FALSE)</f>
        <v>HELVIE ADAM</v>
      </c>
      <c r="M181" s="6">
        <f>I181-F181</f>
        <v>2.5115740791079588E-3</v>
      </c>
      <c r="N181" s="7"/>
      <c r="O181" s="7"/>
      <c r="P181" s="7">
        <f>24*60*SUM($M181:$M181)</f>
        <v>3.6166666739154607</v>
      </c>
      <c r="Q181" s="22"/>
      <c r="R181" s="22" t="s">
        <v>986</v>
      </c>
      <c r="S181" s="31">
        <f>SUM(U181:U181)/IF(AG181="EC",12,1)</f>
        <v>1</v>
      </c>
      <c r="T181" s="46" t="str">
        <f>IF(ISEVEN(LEFT(AD181,4)),"Southbound","NorthBound")</f>
        <v>NorthBound</v>
      </c>
      <c r="U181" s="18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2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-04-09T14:18:14-0600',mode:absolute,to:'2017-04-09T16:25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1" s="183" t="str">
        <f>IF(AA181&lt;IF(AG181="EC",23,5.65),"Y","N")</f>
        <v>Y</v>
      </c>
      <c r="X181" s="183">
        <f>VALUE(LEFT(AD181,4))-VALUE(LEFT(AD180,4))</f>
        <v>1</v>
      </c>
      <c r="Y181" s="62">
        <f>RIGHT(D181,LEN(D181)-4)/10000</f>
        <v>0.10440000000000001</v>
      </c>
      <c r="Z181" s="62">
        <v>1.2750999999999999</v>
      </c>
      <c r="AA181" s="62">
        <f>ABS(Z181-Y181)</f>
        <v>1.1706999999999999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>IF(LEN(A181)=6,"0"&amp;A181,A181)</f>
        <v>1819-09</v>
      </c>
      <c r="AE181" s="85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s3://rtdc.mdm.uploadarchive.raw/RTDC4008/ "%USERPROFILE%\AppData\Local\Temp\OnboardLogs"\RTDC4008\2017-04-09 --exclude "*" --recursive --include "*20170409*" &amp; "%USERPROFILE%\Documents\GitHub\mrs-test-scripts\Headless Mode &amp; Sideloading\WalkAndUnGZ.bat" "%USERPROFILE%\AppData\Local\Temp\OnboardLogs"\RTDC4008\2017-04-09 &amp; aws s3 cp s3://rtdc.mdm.uploadarchive.raw/RTDC4008/ "%USERPROFILE%\AppData\Local\Temp\OnboardLogs"\RTDC4008\2017-04-10 --exclude "*" --recursive --include "*20170410*" &amp; "%USERPROFILE%\Documents\GitHub\mrs-test-scripts\Headless Mode &amp; Sideloading\WalkAndUnGZ.bat" "%USERPROFILE%\AppData\Local\Temp\OnboardLogs"\RTDC4008\2017-04-10</v>
      </c>
      <c r="AF181" s="82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/stypes="app*4008*20170409*" /stext=" 21:.+((SYSTEM_STATE.+slice.+state.+changed )|(ment ac)|(multiple cpu faults)|(system.+state.+changed )|(\[timeout)|(PRM\|1\|D)|(kpr)|(kdp)|(\|lc)|(penalty))"</v>
      </c>
      <c r="AG181" s="1" t="str">
        <f>IFERROR(IF(VALUE(LEFT(AD181,2))&lt;=2,"EC",IF(OR(VALUE(LEFT(AD181,2))=8,VALUE(LEFT(AD181,2))=18),"NW","Other")),"Other")</f>
        <v>NW</v>
      </c>
      <c r="AH181" s="86" t="str">
        <f t="shared" si="17"/>
        <v>"%USERPROFILE%\Documents\GitHub\eaglep3\Utilities\RefineRTDCRunTimes.py" --tripid 1819-09 --locoid 4008 --swversion DE.1.0.9.0 --startMP 204:1044 --initTime 2017-04-09T15:18:14 --startdatetime 2017-04-09T15:21:30 --delay 1 --endMP 300:58948 --enddatetime 2017-04-09T15:25:07 --enforcementcount 0 &gt;&gt;C:\Users\stu\Documents\GitHub\eaglep3-reporting\EC\2017-04-09-refined-times.txt</v>
      </c>
      <c r="AI181" s="104" t="str">
        <f t="shared" si="18"/>
        <v>echo {"issue":{"subject":"Blown fuse caused false occupancy","project_id":79,"tracker_id":40,"status_id":1,"priority_id":2,"assigned_to_id":23,"start_date":"2017-04-09","description":"","custom_fields":[{"id":1,"name":"Subdivision","value":"NW"},{"id":4,"name":"Milepost","value":"1.2751"},{"id":17,"name":"Train ID","value":"1819-09"},{"id":16,"name":"Locomotive ID","value":"4008"},{"id":130,"name":"Impact","value":""},{"id":150,"name":"Time of Event (Mountain Time)","value":"15:25:07"},{"id":151,"name":"Denver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8"/>
      <c r="AL181" s="48"/>
      <c r="AM181" s="150" t="str">
        <f t="shared" si="19"/>
        <v>start /low /b %USERPROFILE%\Documents\GitHub\eaglep3\Utilities\DownloadLogsFromS3.py --loco 4008 --day 2017-04-09</v>
      </c>
      <c r="AN181" s="159" t="str">
        <f t="shared" si="20"/>
        <v>echo {"issue":{"subject":"Blown fuse caused false occupancy","project_id":30,"tracker_id":4,"status_id":1,"priority_id":1,"assigned_to_id":10,"start_date":"2017-04-09","description":"","custom_fields":[{"id":30,"name":"Category","value":"Issue"},{"id":3,"name":"Functional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21:25:07"},{"id":29,"name":"Sharepoint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3" t="s">
        <v>757</v>
      </c>
      <c r="B182" s="7">
        <v>4007</v>
      </c>
      <c r="C182" s="21" t="s">
        <v>215</v>
      </c>
      <c r="D182" s="21" t="s">
        <v>595</v>
      </c>
      <c r="E182" s="13">
        <v>42834.652754629627</v>
      </c>
      <c r="F182" s="13">
        <v>42834.653969907406</v>
      </c>
      <c r="G182" s="7">
        <v>1</v>
      </c>
      <c r="H182" s="21" t="s">
        <v>894</v>
      </c>
      <c r="I182" s="13">
        <v>42834.658750000002</v>
      </c>
      <c r="J182" s="7">
        <v>0</v>
      </c>
      <c r="K182" s="97" t="str">
        <f>IF(ISEVEN(B182),(B182-1)&amp;"/"&amp;B182,B182&amp;"/"&amp;(B182+1))</f>
        <v>4007/4008</v>
      </c>
      <c r="L182" s="21" t="str">
        <f>VLOOKUP(A182,'Trips&amp;Operators'!$C$1:$G$99999,5,FALSE)</f>
        <v>HELVIE ADAM</v>
      </c>
      <c r="M182" s="6">
        <f>I182-F182</f>
        <v>4.7800925967749208E-3</v>
      </c>
      <c r="N182" s="7"/>
      <c r="O182" s="7"/>
      <c r="P182" s="7">
        <f>24*60*SUM($M182:$M182)</f>
        <v>6.883333339355886</v>
      </c>
      <c r="Q182" s="22"/>
      <c r="R182" s="22" t="s">
        <v>986</v>
      </c>
      <c r="S182" s="31">
        <f>SUM(U182:U182)/IF(AG182="EC",12,1)</f>
        <v>0</v>
      </c>
      <c r="T182" s="46" t="str">
        <f>IF(ISEVEN(LEFT(AD182,4)),"Southbound","NorthBound")</f>
        <v>Southbound</v>
      </c>
      <c r="U182" s="18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0</v>
      </c>
      <c r="V182" s="182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-04-09T14:39:58-0600',mode:absolute,to:'2017-04-09T16:48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2" s="183" t="str">
        <f>IF(AA182&lt;IF(AG182="EC",23,5.65),"Y","N")</f>
        <v>Y</v>
      </c>
      <c r="X182" s="183">
        <f>VALUE(LEFT(AD182,4))-VALUE(LEFT(AD181,4))</f>
        <v>1</v>
      </c>
      <c r="Y182" s="62">
        <f>RIGHT(D182,LEN(D182)-4)/10000</f>
        <v>5.8630000000000004</v>
      </c>
      <c r="Z182" s="62">
        <v>2.5024999999999999</v>
      </c>
      <c r="AA182" s="62">
        <f>ABS(Z182-Y182)</f>
        <v>3.3605000000000005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>IF(LEN(A182)=6,"0"&amp;A182,A182)</f>
        <v>1820-09</v>
      </c>
      <c r="AE182" s="85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s3://rtdc.mdm.uploadarchive.raw/RTDC4007/ "%USERPROFILE%\AppData\Local\Temp\OnboardLogs"\RTDC4007\2017-04-09 --exclude "*" --recursive --include "*20170409*" &amp; "%USERPROFILE%\Documents\GitHub\mrs-test-scripts\Headless Mode &amp; Sideloading\WalkAndUnGZ.bat" "%USERPROFILE%\AppData\Local\Temp\OnboardLogs"\RTDC4007\2017-04-09 &amp; aws s3 cp s3://rtdc.mdm.uploadarchive.raw/RTDC4007/ "%USERPROFILE%\AppData\Local\Temp\OnboardLogs"\RTDC4007\2017-04-10 --exclude "*" --recursive --include "*20170410*" &amp; "%USERPROFILE%\Documents\GitHub\mrs-test-scripts\Headless Mode &amp; Sideloading\WalkAndUnGZ.bat" "%USERPROFILE%\AppData\Local\Temp\OnboardLogs"\RTDC4007\2017-04-10</v>
      </c>
      <c r="AF182" s="82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/stypes="app*4007*20170409*" /stext=" 21:.+((SYSTEM_STATE.+slice.+state.+changed )|(ment ac)|(multiple cpu faults)|(system.+state.+changed )|(\[timeout)|(PRM\|1\|D)|(kpr)|(kdp)|(\|lc)|(penalty))"</v>
      </c>
      <c r="AG182" s="1" t="str">
        <f>IFERROR(IF(VALUE(LEFT(AD182,2))&lt;=2,"EC",IF(OR(VALUE(LEFT(AD182,2))=8,VALUE(LEFT(AD182,2))=18),"NW","Other")),"Other")</f>
        <v>NW</v>
      </c>
      <c r="AH182" s="86" t="str">
        <f t="shared" si="17"/>
        <v>"%USERPROFILE%\Documents\GitHub\eaglep3\Utilities\RefineRTDCRunTimes.py" --tripid 1820-09 --locoid 4007 --swversion DE.1.0.9.0 --startMP 300:58630 --initTime 2017-04-09T15:39:58 --startdatetime 2017-04-09T15:41:43 --delay 1 --endMP 204:747 --enddatetime 2017-04-09T15:48:36 --enforcementcount 0 &gt;&gt;C:\Users\stu\Documents\GitHub\eaglep3-reporting\EC\2017-04-09-refined-times.txt</v>
      </c>
      <c r="AI182" s="104" t="str">
        <f t="shared" si="18"/>
        <v>echo {"issue":{"subject":"Blown fuse caused false occupancy","project_id":79,"tracker_id":40,"status_id":1,"priority_id":2,"assigned_to_id":23,"start_date":"2017-04-09","description":"","custom_fields":[{"id":1,"name":"Subdivision","value":"NW"},{"id":4,"name":"Milepost","value":"2.5025"},{"id":17,"name":"Train ID","value":"1820-09"},{"id":16,"name":"Locomotive ID","value":"4007"},{"id":130,"name":"Impact","value":""},{"id":150,"name":"Time of Event (Mountain Time)","value":"15:48:36"},{"id":151,"name":"Denver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8"/>
      <c r="AL182" s="48"/>
      <c r="AM182" s="150" t="str">
        <f t="shared" si="19"/>
        <v>start /low /b %USERPROFILE%\Documents\GitHub\eaglep3\Utilities\DownloadLogsFromS3.py --loco 4007 --day 2017-04-09</v>
      </c>
      <c r="AN182" s="159" t="str">
        <f t="shared" si="20"/>
        <v>echo {"issue":{"subject":"Blown fuse caused false occupancy","project_id":30,"tracker_id":4,"status_id":1,"priority_id":1,"assigned_to_id":10,"start_date":"2017-04-09","description":"","custom_fields":[{"id":30,"name":"Category","value":"Issue"},{"id":3,"name":"Functional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21:48:36"},{"id":29,"name":"Sharepoint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3" t="s">
        <v>762</v>
      </c>
      <c r="B183" s="7">
        <v>4008</v>
      </c>
      <c r="C183" s="21" t="s">
        <v>215</v>
      </c>
      <c r="D183" s="21" t="s">
        <v>600</v>
      </c>
      <c r="E183" s="13">
        <v>42834.677847222221</v>
      </c>
      <c r="F183" s="13">
        <v>42834.681458333333</v>
      </c>
      <c r="G183" s="7">
        <v>0</v>
      </c>
      <c r="H183" s="21" t="s">
        <v>529</v>
      </c>
      <c r="I183" s="13">
        <v>42834.683900462966</v>
      </c>
      <c r="J183" s="7">
        <v>0</v>
      </c>
      <c r="K183" s="97" t="str">
        <f>IF(ISEVEN(B183),(B183-1)&amp;"/"&amp;B183,B183&amp;"/"&amp;(B183+1))</f>
        <v>4007/4008</v>
      </c>
      <c r="L183" s="21" t="str">
        <f>VLOOKUP(A183,'Trips&amp;Operators'!$C$1:$G$99999,5,FALSE)</f>
        <v>HELVIE ADAM</v>
      </c>
      <c r="M183" s="6">
        <f>I183-F183</f>
        <v>2.4421296329819597E-3</v>
      </c>
      <c r="N183" s="7"/>
      <c r="O183" s="7"/>
      <c r="P183" s="7">
        <f>24*60*SUM($M183:$M183)</f>
        <v>3.516666671494022</v>
      </c>
      <c r="Q183" s="22"/>
      <c r="R183" s="22" t="s">
        <v>986</v>
      </c>
      <c r="S183" s="31">
        <f>SUM(U183:U183)/IF(AG183="EC",12,1)</f>
        <v>1</v>
      </c>
      <c r="T183" s="46" t="str">
        <f>IF(ISEVEN(LEFT(AD183,4)),"Southbound","NorthBound")</f>
        <v>NorthBound</v>
      </c>
      <c r="U183" s="18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2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-04-09T15:16:06-0600',mode:absolute,to:'2017-04-09T17:24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3" s="183" t="str">
        <f>IF(AA183&lt;IF(AG183="EC",23,5.65),"Y","N")</f>
        <v>Y</v>
      </c>
      <c r="X183" s="183">
        <f>VALUE(LEFT(AD183,4))-VALUE(LEFT(AD182,4))</f>
        <v>1</v>
      </c>
      <c r="Y183" s="62">
        <f>RIGHT(D183,LEN(D183)-4)/10000</f>
        <v>0.10249999999999999</v>
      </c>
      <c r="Z183" s="62">
        <v>1.2911999999999999</v>
      </c>
      <c r="AA183" s="62">
        <f>ABS(Z183-Y183)</f>
        <v>1.1886999999999999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>IF(LEN(A183)=6,"0"&amp;A183,A183)</f>
        <v>1821-09</v>
      </c>
      <c r="AE183" s="85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s3://rtdc.mdm.uploadarchive.raw/RTDC4008/ "%USERPROFILE%\AppData\Local\Temp\OnboardLogs"\RTDC4008\2017-04-09 --exclude "*" --recursive --include "*20170409*" &amp; "%USERPROFILE%\Documents\GitHub\mrs-test-scripts\Headless Mode &amp; Sideloading\WalkAndUnGZ.bat" "%USERPROFILE%\AppData\Local\Temp\OnboardLogs"\RTDC4008\2017-04-09 &amp; aws s3 cp s3://rtdc.mdm.uploadarchive.raw/RTDC4008/ "%USERPROFILE%\AppData\Local\Temp\OnboardLogs"\RTDC4008\2017-04-10 --exclude "*" --recursive --include "*20170410*" &amp; "%USERPROFILE%\Documents\GitHub\mrs-test-scripts\Headless Mode &amp; Sideloading\WalkAndUnGZ.bat" "%USERPROFILE%\AppData\Local\Temp\OnboardLogs"\RTDC4008\2017-04-10</v>
      </c>
      <c r="AF183" s="82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/stypes="app*4008*20170409*" /stext=" 22:.+((SYSTEM_STATE.+slice.+state.+changed )|(ment ac)|(multiple cpu faults)|(system.+state.+changed )|(\[timeout)|(PRM\|1\|D)|(kpr)|(kdp)|(\|lc)|(penalty))"</v>
      </c>
      <c r="AG183" s="1" t="str">
        <f>IFERROR(IF(VALUE(LEFT(AD183,2))&lt;=2,"EC",IF(OR(VALUE(LEFT(AD183,2))=8,VALUE(LEFT(AD183,2))=18),"NW","Other")),"Other")</f>
        <v>NW</v>
      </c>
      <c r="AH183" s="86" t="str">
        <f t="shared" si="17"/>
        <v>"%USERPROFILE%\Documents\GitHub\eaglep3\Utilities\RefineRTDCRunTimes.py" --tripid 1821-09 --locoid 4008 --swversion DE.1.0.9.0 --startMP 204:1025 --initTime 2017-04-09T16:16:06 --startdatetime 2017-04-09T16:21:18 --delay 0 --endMP 300:58941 --enddatetime 2017-04-09T16:24:49 --enforcementcount 0 &gt;&gt;C:\Users\stu\Documents\GitHub\eaglep3-reporting\EC\2017-04-09-refined-times.txt</v>
      </c>
      <c r="AI183" s="104" t="str">
        <f t="shared" si="18"/>
        <v>echo {"issue":{"subject":"Blown fuse caused false occupancy","project_id":79,"tracker_id":40,"status_id":1,"priority_id":2,"assigned_to_id":23,"start_date":"2017-04-09","description":"","custom_fields":[{"id":1,"name":"Subdivision","value":"NW"},{"id":4,"name":"Milepost","value":"1.2912"},{"id":17,"name":"Train ID","value":"1821-09"},{"id":16,"name":"Locomotive ID","value":"4008"},{"id":130,"name":"Impact","value":""},{"id":150,"name":"Time of Event (Mountain Time)","value":"16:24:49"},{"id":151,"name":"Denver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8"/>
      <c r="AL183" s="48"/>
      <c r="AM183" s="150" t="str">
        <f t="shared" si="19"/>
        <v>start /low /b %USERPROFILE%\Documents\GitHub\eaglep3\Utilities\DownloadLogsFromS3.py --loco 4008 --day 2017-04-09</v>
      </c>
      <c r="AN183" s="159" t="str">
        <f t="shared" si="20"/>
        <v>echo {"issue":{"subject":"Blown fuse caused false occupancy","project_id":30,"tracker_id":4,"status_id":1,"priority_id":1,"assigned_to_id":10,"start_date":"2017-04-09","description":"","custom_fields":[{"id":30,"name":"Category","value":"Issue"},{"id":3,"name":"Functional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22:24:49"},{"id":29,"name":"Sharepoint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3" t="s">
        <v>766</v>
      </c>
      <c r="B184" s="7">
        <v>4007</v>
      </c>
      <c r="C184" s="21" t="s">
        <v>215</v>
      </c>
      <c r="D184" s="21" t="s">
        <v>886</v>
      </c>
      <c r="E184" s="13">
        <v>42834.69263888889</v>
      </c>
      <c r="F184" s="13">
        <v>42834.694826388892</v>
      </c>
      <c r="G184" s="7">
        <v>1</v>
      </c>
      <c r="H184" s="21" t="s">
        <v>594</v>
      </c>
      <c r="I184" s="13">
        <v>42834.704143518517</v>
      </c>
      <c r="J184" s="7">
        <v>0</v>
      </c>
      <c r="K184" s="97" t="str">
        <f>IF(ISEVEN(B184),(B184-1)&amp;"/"&amp;B184,B184&amp;"/"&amp;(B184+1))</f>
        <v>4007/4008</v>
      </c>
      <c r="L184" s="21" t="str">
        <f>VLOOKUP(A184,'Trips&amp;Operators'!$C$1:$G$99999,5,FALSE)</f>
        <v>HELVIE ADAM</v>
      </c>
      <c r="M184" s="6">
        <f>I184-F184</f>
        <v>9.3171296248328872E-3</v>
      </c>
      <c r="N184" s="7">
        <f>24*60*SUM($M184:$M184)</f>
        <v>13.416666659759358</v>
      </c>
      <c r="O184" s="7"/>
      <c r="P184" s="7"/>
      <c r="Q184" s="22"/>
      <c r="R184" s="22"/>
      <c r="S184" s="31">
        <f>SUM(U184:U184)/IF(AG184="EC",12,1)</f>
        <v>1</v>
      </c>
      <c r="T184" s="46" t="str">
        <f>IF(ISEVEN(LEFT(AD184,4)),"Southbound","NorthBound")</f>
        <v>Southbound</v>
      </c>
      <c r="U184" s="18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2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-04-09T15:37:24-0600',mode:absolute,to:'2017-04-09T17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4" s="183" t="str">
        <f>IF(AA184&lt;IF(AG184="EC",23,5.65),"Y","N")</f>
        <v>N</v>
      </c>
      <c r="X184" s="183">
        <f>VALUE(LEFT(AD184,4))-VALUE(LEFT(AD183,4))</f>
        <v>1</v>
      </c>
      <c r="Y184" s="62">
        <f>RIGHT(D184,LEN(D184)-4)/10000</f>
        <v>5.8623000000000003</v>
      </c>
      <c r="Z184" s="62">
        <f>RIGHT(H184,LEN(H184)-4)/10000</f>
        <v>7.2400000000000006E-2</v>
      </c>
      <c r="AA184" s="62">
        <f>ABS(Z184-Y184)</f>
        <v>5.7899000000000003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>IF(LEN(A184)=6,"0"&amp;A184,A184)</f>
        <v>1822-09</v>
      </c>
      <c r="AE184" s="85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s3://rtdc.mdm.uploadarchive.raw/RTDC4007/ "%USERPROFILE%\AppData\Local\Temp\OnboardLogs"\RTDC4007\2017-04-09 --exclude "*" --recursive --include "*20170409*" &amp; "%USERPROFILE%\Documents\GitHub\mrs-test-scripts\Headless Mode &amp; Sideloading\WalkAndUnGZ.bat" "%USERPROFILE%\AppData\Local\Temp\OnboardLogs"\RTDC4007\2017-04-09 &amp; aws s3 cp s3://rtdc.mdm.uploadarchive.raw/RTDC4007/ "%USERPROFILE%\AppData\Local\Temp\OnboardLogs"\RTDC4007\2017-04-10 --exclude "*" --recursive --include "*20170410*" &amp; "%USERPROFILE%\Documents\GitHub\mrs-test-scripts\Headless Mode &amp; Sideloading\WalkAndUnGZ.bat" "%USERPROFILE%\AppData\Local\Temp\OnboardLogs"\RTDC4007\2017-04-10</v>
      </c>
      <c r="AF184" s="82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/stypes="app*4007*20170409*" /stext=" 22:.+((SYSTEM_STATE.+slice.+state.+changed )|(ment ac)|(multiple cpu faults)|(system.+state.+changed )|(\[timeout)|(PRM\|1\|D)|(kpr)|(kdp)|(\|lc)|(penalty))"</v>
      </c>
      <c r="AG184" s="1" t="str">
        <f>IFERROR(IF(VALUE(LEFT(AD184,2))&lt;=2,"EC",IF(OR(VALUE(LEFT(AD184,2))=8,VALUE(LEFT(AD184,2))=18),"NW","Other")),"Other")</f>
        <v>NW</v>
      </c>
      <c r="AH184" s="86" t="str">
        <f t="shared" si="17"/>
        <v>"%USERPROFILE%\Documents\GitHub\eaglep3\Utilities\RefineRTDCRunTimes.py" --tripid 1822-09 --locoid 4007 --swversion DE.1.0.9.0 --startMP 300:58623 --initTime 2017-04-09T16:37:24 --startdatetime 2017-04-09T16:40:33 --delay 1 --endMP 204:724 --enddatetime 2017-04-09T16:53:58 --enforcementcount 0 &gt;&gt;C:\Users\stu\Documents\GitHub\eaglep3-reporting\EC\2017-04-09-refined-times.txt</v>
      </c>
      <c r="AI184" s="104" t="str">
        <f t="shared" si="18"/>
        <v>echo {"issue":{"subject":"","project_id":79,"tracker_id":40,"status_id":1,"priority_id":2,"assigned_to_id":23,"start_date":"2017-04-09","description":"","custom_fields":[{"id":1,"name":"Subdivision","value":"NW"},{"id":4,"name":"Milepost","value":"0.0724"},{"id":17,"name":"Train ID","value":"1822-09"},{"id":16,"name":"Locomotive ID","value":"4007"},{"id":130,"name":"Impact","value":""},{"id":150,"name":"Time of Event (Mountain Time)","value":"16:53:58"},{"id":151,"name":"Denver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8"/>
      <c r="AL184" s="48"/>
      <c r="AM184" s="150" t="str">
        <f t="shared" si="19"/>
        <v>start /low /b %USERPROFILE%\Documents\GitHub\eaglep3\Utilities\DownloadLogsFromS3.py --loco 4007 --day 2017-04-09</v>
      </c>
      <c r="AN184" s="159" t="str">
        <f t="shared" si="20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22:53:58"},{"id":29,"name":"Sharepoint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s="20" customFormat="1" x14ac:dyDescent="0.25">
      <c r="A185" s="33" t="s">
        <v>771</v>
      </c>
      <c r="B185" s="7">
        <v>4008</v>
      </c>
      <c r="C185" s="21" t="s">
        <v>215</v>
      </c>
      <c r="D185" s="21" t="s">
        <v>901</v>
      </c>
      <c r="E185" s="13">
        <v>42834.718124999999</v>
      </c>
      <c r="F185" s="13">
        <v>42834.723229166666</v>
      </c>
      <c r="G185" s="7">
        <v>1</v>
      </c>
      <c r="H185" s="21" t="s">
        <v>452</v>
      </c>
      <c r="I185" s="13">
        <v>42834.732499999998</v>
      </c>
      <c r="J185" s="7">
        <v>0</v>
      </c>
      <c r="K185" s="97" t="str">
        <f>IF(ISEVEN(B185),(B185-1)&amp;"/"&amp;B185,B185&amp;"/"&amp;(B185+1))</f>
        <v>4007/4008</v>
      </c>
      <c r="L185" s="21" t="str">
        <f>VLOOKUP(A185,'Trips&amp;Operators'!$C$1:$G$99999,5,FALSE)</f>
        <v>HELVIE ADAM</v>
      </c>
      <c r="M185" s="6">
        <f>I185-F185</f>
        <v>9.2708333322661929E-3</v>
      </c>
      <c r="N185" s="7">
        <f>24*60*SUM($M185:$M185)</f>
        <v>13.349999998463318</v>
      </c>
      <c r="O185" s="7"/>
      <c r="P185" s="7"/>
      <c r="Q185" s="22"/>
      <c r="R185" s="22"/>
      <c r="S185" s="31">
        <f>SUM(U185:U185)/IF(AG185="EC",12,1)</f>
        <v>1</v>
      </c>
      <c r="T185" s="46" t="str">
        <f>IF(ISEVEN(LEFT(AD185,4)),"Southbound","NorthBound")</f>
        <v>NorthBound</v>
      </c>
      <c r="U185" s="18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2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-04-09T16:14:06-0600',mode:absolute,to:'2017-04-09T18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5" s="183" t="str">
        <f>IF(AA185&lt;IF(AG185="EC",23,5.65),"Y","N")</f>
        <v>N</v>
      </c>
      <c r="X185" s="183">
        <f>VALUE(LEFT(AD185,4))-VALUE(LEFT(AD184,4))</f>
        <v>1</v>
      </c>
      <c r="Y185" s="62">
        <f>RIGHT(D185,LEN(D185)-4)/10000</f>
        <v>0.10299999999999999</v>
      </c>
      <c r="Z185" s="62">
        <f>RIGHT(H185,LEN(H185)-4)/10000</f>
        <v>5.8930999999999996</v>
      </c>
      <c r="AA185" s="62">
        <f>ABS(Z185-Y185)</f>
        <v>5.7900999999999998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>IF(LEN(A185)=6,"0"&amp;A185,A185)</f>
        <v>1823-09</v>
      </c>
      <c r="AE185" s="85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s3://rtdc.mdm.uploadarchive.raw/RTDC4008/ "%USERPROFILE%\AppData\Local\Temp\OnboardLogs"\RTDC4008\2017-04-09 --exclude "*" --recursive --include "*20170409*" &amp; "%USERPROFILE%\Documents\GitHub\mrs-test-scripts\Headless Mode &amp; Sideloading\WalkAndUnGZ.bat" "%USERPROFILE%\AppData\Local\Temp\OnboardLogs"\RTDC4008\2017-04-09 &amp; aws s3 cp s3://rtdc.mdm.uploadarchive.raw/RTDC4008/ "%USERPROFILE%\AppData\Local\Temp\OnboardLogs"\RTDC4008\2017-04-10 --exclude "*" --recursive --include "*20170410*" &amp; "%USERPROFILE%\Documents\GitHub\mrs-test-scripts\Headless Mode &amp; Sideloading\WalkAndUnGZ.bat" "%USERPROFILE%\AppData\Local\Temp\OnboardLogs"\RTDC4008\2017-04-10</v>
      </c>
      <c r="AF185" s="82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/stypes="app*4008*20170409*" /stext=" 23:.+((SYSTEM_STATE.+slice.+state.+changed )|(ment ac)|(multiple cpu faults)|(system.+state.+changed )|(\[timeout)|(PRM\|1\|D)|(kpr)|(kdp)|(\|lc)|(penalty))"</v>
      </c>
      <c r="AG185" s="1" t="str">
        <f>IFERROR(IF(VALUE(LEFT(AD185,2))&lt;=2,"EC",IF(OR(VALUE(LEFT(AD185,2))=8,VALUE(LEFT(AD185,2))=18),"NW","Other")),"Other")</f>
        <v>NW</v>
      </c>
      <c r="AH185" s="86" t="str">
        <f t="shared" si="17"/>
        <v>"%USERPROFILE%\Documents\GitHub\eaglep3\Utilities\RefineRTDCRunTimes.py" --tripid 1823-09 --locoid 4008 --swversion DE.1.0.9.0 --startMP 204:1030 --initTime 2017-04-09T17:14:06 --startdatetime 2017-04-09T17:21:27 --delay 1 --endMP 300:58931 --enddatetime 2017-04-09T17:34:48 --enforcementcount 0 &gt;&gt;C:\Users\stu\Documents\GitHub\eaglep3-reporting\EC\2017-04-09-refined-times.txt</v>
      </c>
      <c r="AI185" s="104" t="str">
        <f t="shared" si="18"/>
        <v>echo {"issue":{"subject":"","project_id":79,"tracker_id":40,"status_id":1,"priority_id":2,"assigned_to_id":23,"start_date":"2017-04-09","description":"","custom_fields":[{"id":1,"name":"Subdivision","value":"NW"},{"id":4,"name":"Milepost","value":"5.8931"},{"id":17,"name":"Train ID","value":"1823-09"},{"id":16,"name":"Locomotive ID","value":"4008"},{"id":130,"name":"Impact","value":""},{"id":150,"name":"Time of Event (Mountain Time)","value":"17:34:48"},{"id":151,"name":"Denver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8"/>
      <c r="AL185" s="48"/>
      <c r="AM185" s="150" t="str">
        <f t="shared" si="19"/>
        <v>start /low /b %USERPROFILE%\Documents\GitHub\eaglep3\Utilities\DownloadLogsFromS3.py --loco 4008 --day 2017-04-09</v>
      </c>
      <c r="AN185" s="159" t="str">
        <f t="shared" si="20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23:34:48"},{"id":29,"name":"Sharepoint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3" t="s">
        <v>774</v>
      </c>
      <c r="B186" s="7">
        <v>4007</v>
      </c>
      <c r="C186" s="21" t="s">
        <v>215</v>
      </c>
      <c r="D186" s="21" t="s">
        <v>888</v>
      </c>
      <c r="E186" s="13">
        <v>42834.734548611108</v>
      </c>
      <c r="F186" s="13">
        <v>42834.73641203704</v>
      </c>
      <c r="G186" s="7">
        <v>1</v>
      </c>
      <c r="H186" s="21" t="s">
        <v>596</v>
      </c>
      <c r="I186" s="13">
        <v>42834.74591435185</v>
      </c>
      <c r="J186" s="7">
        <v>0</v>
      </c>
      <c r="K186" s="97" t="str">
        <f>IF(ISEVEN(B186),(B186-1)&amp;"/"&amp;B186,B186&amp;"/"&amp;(B186+1))</f>
        <v>4007/4008</v>
      </c>
      <c r="L186" s="21" t="str">
        <f>VLOOKUP(A186,'Trips&amp;Operators'!$C$1:$G$99999,5,FALSE)</f>
        <v>HELVIE ADAM</v>
      </c>
      <c r="M186" s="6">
        <f>I186-F186</f>
        <v>9.5023148096515797E-3</v>
      </c>
      <c r="N186" s="7">
        <f>24*60*SUM($M186:$M186)</f>
        <v>13.683333325898275</v>
      </c>
      <c r="O186" s="7"/>
      <c r="P186" s="7"/>
      <c r="Q186" s="22"/>
      <c r="R186" s="22"/>
      <c r="S186" s="31">
        <f>SUM(U186:U186)/IF(AG186="EC",12,1)</f>
        <v>1</v>
      </c>
      <c r="T186" s="46" t="str">
        <f>IF(ISEVEN(LEFT(AD186,4)),"Southbound","NorthBound")</f>
        <v>Southbound</v>
      </c>
      <c r="U186" s="18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2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-04-09T16:37:45-0600',mode:absolute,to:'2017-04-09T18:54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6" s="183" t="str">
        <f>IF(AA186&lt;IF(AG186="EC",23,5.65),"Y","N")</f>
        <v>N</v>
      </c>
      <c r="X186" s="183">
        <f>VALUE(LEFT(AD186,4))-VALUE(LEFT(AD185,4))</f>
        <v>1</v>
      </c>
      <c r="Y186" s="62">
        <f>RIGHT(D186,LEN(D186)-4)/10000</f>
        <v>5.8619000000000003</v>
      </c>
      <c r="Z186" s="62">
        <f>RIGHT(H186,LEN(H186)-4)/10000</f>
        <v>7.0599999999999996E-2</v>
      </c>
      <c r="AA186" s="62">
        <f>ABS(Z186-Y186)</f>
        <v>5.7913000000000006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>IF(LEN(A186)=6,"0"&amp;A186,A186)</f>
        <v>1824-09</v>
      </c>
      <c r="AE186" s="85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s3://rtdc.mdm.uploadarchive.raw/RTDC4007/ "%USERPROFILE%\AppData\Local\Temp\OnboardLogs"\RTDC4007\2017-04-09 --exclude "*" --recursive --include "*20170409*" &amp; "%USERPROFILE%\Documents\GitHub\mrs-test-scripts\Headless Mode &amp; Sideloading\WalkAndUnGZ.bat" "%USERPROFILE%\AppData\Local\Temp\OnboardLogs"\RTDC4007\2017-04-09 &amp; aws s3 cp s3://rtdc.mdm.uploadarchive.raw/RTDC4007/ "%USERPROFILE%\AppData\Local\Temp\OnboardLogs"\RTDC4007\2017-04-10 --exclude "*" --recursive --include "*20170410*" &amp; "%USERPROFILE%\Documents\GitHub\mrs-test-scripts\Headless Mode &amp; Sideloading\WalkAndUnGZ.bat" "%USERPROFILE%\AppData\Local\Temp\OnboardLogs"\RTDC4007\2017-04-10</v>
      </c>
      <c r="AF186" s="82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/stypes="app*4007*20170409*" /stext=" 23:.+((SYSTEM_STATE.+slice.+state.+changed )|(ment ac)|(multiple cpu faults)|(system.+state.+changed )|(\[timeout)|(PRM\|1\|D)|(kpr)|(kdp)|(\|lc)|(penalty))"</v>
      </c>
      <c r="AG186" s="1" t="str">
        <f>IFERROR(IF(VALUE(LEFT(AD186,2))&lt;=2,"EC",IF(OR(VALUE(LEFT(AD186,2))=8,VALUE(LEFT(AD186,2))=18),"NW","Other")),"Other")</f>
        <v>NW</v>
      </c>
      <c r="AH186" s="86" t="str">
        <f t="shared" si="17"/>
        <v>"%USERPROFILE%\Documents\GitHub\eaglep3\Utilities\RefineRTDCRunTimes.py" --tripid 1824-09 --locoid 4007 --swversion DE.1.0.9.0 --startMP 300:58619 --initTime 2017-04-09T17:37:45 --startdatetime 2017-04-09T17:40:26 --delay 1 --endMP 204:706 --enddatetime 2017-04-09T17:54:07 --enforcementcount 0 &gt;&gt;C:\Users\stu\Documents\GitHub\eaglep3-reporting\EC\2017-04-09-refined-times.txt</v>
      </c>
      <c r="AI186" s="104" t="str">
        <f t="shared" si="18"/>
        <v>echo {"issue":{"subject":"","project_id":79,"tracker_id":40,"status_id":1,"priority_id":2,"assigned_to_id":23,"start_date":"2017-04-09","description":"","custom_fields":[{"id":1,"name":"Subdivision","value":"NW"},{"id":4,"name":"Milepost","value":"0.0706"},{"id":17,"name":"Train ID","value":"1824-09"},{"id":16,"name":"Locomotive ID","value":"4007"},{"id":130,"name":"Impact","value":""},{"id":150,"name":"Time of Event (Mountain Time)","value":"17:54:07"},{"id":151,"name":"Denver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8"/>
      <c r="AL186" s="48"/>
      <c r="AM186" s="150" t="str">
        <f t="shared" si="19"/>
        <v>start /low /b %USERPROFILE%\Documents\GitHub\eaglep3\Utilities\DownloadLogsFromS3.py --loco 4007 --day 2017-04-09</v>
      </c>
      <c r="AN186" s="159" t="str">
        <f t="shared" si="20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23:54:07"},{"id":29,"name":"Sharepoint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3" t="s">
        <v>786</v>
      </c>
      <c r="B187" s="7">
        <v>4008</v>
      </c>
      <c r="C187" s="21" t="s">
        <v>215</v>
      </c>
      <c r="D187" s="21" t="s">
        <v>914</v>
      </c>
      <c r="E187" s="13">
        <v>42834.762372685182</v>
      </c>
      <c r="F187" s="13">
        <v>42834.764791666668</v>
      </c>
      <c r="G187" s="7">
        <v>1</v>
      </c>
      <c r="H187" s="21" t="s">
        <v>915</v>
      </c>
      <c r="I187" s="13">
        <v>42834.774375000001</v>
      </c>
      <c r="J187" s="7">
        <v>0</v>
      </c>
      <c r="K187" s="97" t="str">
        <f>IF(ISEVEN(B187),(B187-1)&amp;"/"&amp;B187,B187&amp;"/"&amp;(B187+1))</f>
        <v>4007/4008</v>
      </c>
      <c r="L187" s="21" t="str">
        <f>VLOOKUP(A187,'Trips&amp;Operators'!$C$1:$G$99999,5,FALSE)</f>
        <v>HELVIE ADAM</v>
      </c>
      <c r="M187" s="6">
        <f>I187-F187</f>
        <v>9.5833333325572312E-3</v>
      </c>
      <c r="N187" s="7">
        <f>24*60*SUM($M187:$M187)</f>
        <v>13.799999998882413</v>
      </c>
      <c r="O187" s="7"/>
      <c r="P187" s="7"/>
      <c r="Q187" s="22"/>
      <c r="R187" s="22"/>
      <c r="S187" s="31">
        <f>SUM(U187:U187)/IF(AG187="EC",12,1)</f>
        <v>1</v>
      </c>
      <c r="T187" s="46" t="str">
        <f>IF(ISEVEN(LEFT(AD187,4)),"Southbound","NorthBound")</f>
        <v>NorthBound</v>
      </c>
      <c r="U187" s="18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2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-04-09T17:17:49-0600',mode:absolute,to:'2017-04-09T19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7" s="183" t="str">
        <f>IF(AA187&lt;IF(AG187="EC",23,5.65),"Y","N")</f>
        <v>N</v>
      </c>
      <c r="X187" s="183">
        <f>VALUE(LEFT(AD187,4))-VALUE(LEFT(AD186,4))</f>
        <v>1</v>
      </c>
      <c r="Y187" s="62">
        <f>RIGHT(D187,LEN(D187)-4)/10000</f>
        <v>9.9900000000000003E-2</v>
      </c>
      <c r="Z187" s="62">
        <f>RIGHT(H187,LEN(H187)-4)/10000</f>
        <v>5.8929</v>
      </c>
      <c r="AA187" s="62">
        <f>ABS(Z187-Y187)</f>
        <v>5.7930000000000001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>IF(LEN(A187)=6,"0"&amp;A187,A187)</f>
        <v>1825-09</v>
      </c>
      <c r="AE187" s="85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s3://rtdc.mdm.uploadarchive.raw/RTDC4008/ "%USERPROFILE%\AppData\Local\Temp\OnboardLogs"\RTDC4008\2017-04-09 --exclude "*" --recursive --include "*20170409*" &amp; "%USERPROFILE%\Documents\GitHub\mrs-test-scripts\Headless Mode &amp; Sideloading\WalkAndUnGZ.bat" "%USERPROFILE%\AppData\Local\Temp\OnboardLogs"\RTDC4008\2017-04-09 &amp; aws s3 cp s3://rtdc.mdm.uploadarchive.raw/RTDC4008/ "%USERPROFILE%\AppData\Local\Temp\OnboardLogs"\RTDC4008\2017-04-10 --exclude "*" --recursive --include "*20170410*" &amp; "%USERPROFILE%\Documents\GitHub\mrs-test-scripts\Headless Mode &amp; Sideloading\WalkAndUnGZ.bat" "%USERPROFILE%\AppData\Local\Temp\OnboardLogs"\RTDC4008\2017-04-10</v>
      </c>
      <c r="AF187" s="82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/stypes="app*4008*20170410*" /stext=" 00:.+((SYSTEM_STATE.+slice.+state.+changed )|(ment ac)|(multiple cpu faults)|(system.+state.+changed )|(\[timeout)|(PRM\|1\|D)|(kpr)|(kdp)|(\|lc)|(penalty))"</v>
      </c>
      <c r="AG187" s="1" t="str">
        <f>IFERROR(IF(VALUE(LEFT(AD187,2))&lt;=2,"EC",IF(OR(VALUE(LEFT(AD187,2))=8,VALUE(LEFT(AD187,2))=18),"NW","Other")),"Other")</f>
        <v>NW</v>
      </c>
      <c r="AH187" s="86" t="str">
        <f t="shared" si="17"/>
        <v>"%USERPROFILE%\Documents\GitHub\eaglep3\Utilities\RefineRTDCRunTimes.py" --tripid 1825-09 --locoid 4008 --swversion DE.1.0.9.0 --startMP 204:999 --initTime 2017-04-09T18:17:49 --startdatetime 2017-04-09T18:21:18 --delay 1 --endMP 300:58929 --enddatetime 2017-04-09T18:35:06 --enforcementcount 0 &gt;&gt;C:\Users\stu\Documents\GitHub\eaglep3-reporting\EC\2017-04-09-refined-times.txt</v>
      </c>
      <c r="AI187" s="104" t="str">
        <f t="shared" si="18"/>
        <v>echo {"issue":{"subject":"","project_id":79,"tracker_id":40,"status_id":1,"priority_id":2,"assigned_to_id":23,"start_date":"2017-04-09","description":"","custom_fields":[{"id":1,"name":"Subdivision","value":"NW"},{"id":4,"name":"Milepost","value":"5.8929"},{"id":17,"name":"Train ID","value":"1825-09"},{"id":16,"name":"Locomotive ID","value":"4008"},{"id":130,"name":"Impact","value":""},{"id":150,"name":"Time of Event (Mountain Time)","value":"18:35:06"},{"id":151,"name":"Denver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7" s="48"/>
      <c r="AL187" s="48"/>
      <c r="AM187" s="150" t="str">
        <f t="shared" si="19"/>
        <v>start /low /b %USERPROFILE%\Documents\GitHub\eaglep3\Utilities\DownloadLogsFromS3.py --loco 4008 --day 2017-04-09</v>
      </c>
      <c r="AN187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00:35:06"},{"id":29,"name":"Sharepoint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3" t="s">
        <v>791</v>
      </c>
      <c r="B188" s="7">
        <v>4007</v>
      </c>
      <c r="C188" s="21" t="s">
        <v>215</v>
      </c>
      <c r="D188" s="21" t="s">
        <v>897</v>
      </c>
      <c r="E188" s="13">
        <v>42834.776018518518</v>
      </c>
      <c r="F188" s="13">
        <v>42834.778564814813</v>
      </c>
      <c r="G188" s="7">
        <v>1</v>
      </c>
      <c r="H188" s="21" t="s">
        <v>916</v>
      </c>
      <c r="I188" s="13">
        <v>42834.790219907409</v>
      </c>
      <c r="J188" s="7">
        <v>0</v>
      </c>
      <c r="K188" s="97" t="str">
        <f>IF(ISEVEN(B188),(B188-1)&amp;"/"&amp;B188,B188&amp;"/"&amp;(B188+1))</f>
        <v>4007/4008</v>
      </c>
      <c r="L188" s="21" t="str">
        <f>VLOOKUP(A188,'Trips&amp;Operators'!$C$1:$G$99999,5,FALSE)</f>
        <v>HELVIE ADAM</v>
      </c>
      <c r="M188" s="6">
        <f>I188-F188</f>
        <v>1.1655092595901806E-2</v>
      </c>
      <c r="N188" s="7">
        <f>24*60*SUM($M188:$M188)</f>
        <v>16.783333338098601</v>
      </c>
      <c r="O188" s="7"/>
      <c r="P188" s="7"/>
      <c r="Q188" s="22"/>
      <c r="R188" s="22"/>
      <c r="S188" s="31">
        <f>SUM(U188:U188)/IF(AG188="EC",12,1)</f>
        <v>1</v>
      </c>
      <c r="T188" s="46" t="str">
        <f>IF(ISEVEN(LEFT(AD188,4)),"Southbound","NorthBound")</f>
        <v>Southbound</v>
      </c>
      <c r="U188" s="18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2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-04-09T17:37:28-0600',mode:absolute,to:'2017-04-09T19:57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8" s="183" t="str">
        <f>IF(AA188&lt;IF(AG188="EC",23,5.65),"Y","N")</f>
        <v>N</v>
      </c>
      <c r="X188" s="183">
        <f>VALUE(LEFT(AD188,4))-VALUE(LEFT(AD187,4))</f>
        <v>1</v>
      </c>
      <c r="Y188" s="62">
        <f>RIGHT(D188,LEN(D188)-4)/10000</f>
        <v>5.8615000000000004</v>
      </c>
      <c r="Z188" s="62">
        <f>RIGHT(H188,LEN(H188)-4)/10000</f>
        <v>8.3599999999999994E-2</v>
      </c>
      <c r="AA188" s="62">
        <f>ABS(Z188-Y188)</f>
        <v>5.7779000000000007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>IF(LEN(A188)=6,"0"&amp;A188,A188)</f>
        <v>1826-09</v>
      </c>
      <c r="AE188" s="85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s3://rtdc.mdm.uploadarchive.raw/RTDC4007/ "%USERPROFILE%\AppData\Local\Temp\OnboardLogs"\RTDC4007\2017-04-09 --exclude "*" --recursive --include "*20170409*" &amp; "%USERPROFILE%\Documents\GitHub\mrs-test-scripts\Headless Mode &amp; Sideloading\WalkAndUnGZ.bat" "%USERPROFILE%\AppData\Local\Temp\OnboardLogs"\RTDC4007\2017-04-09 &amp; aws s3 cp s3://rtdc.mdm.uploadarchive.raw/RTDC4007/ "%USERPROFILE%\AppData\Local\Temp\OnboardLogs"\RTDC4007\2017-04-10 --exclude "*" --recursive --include "*20170410*" &amp; "%USERPROFILE%\Documents\GitHub\mrs-test-scripts\Headless Mode &amp; Sideloading\WalkAndUnGZ.bat" "%USERPROFILE%\AppData\Local\Temp\OnboardLogs"\RTDC4007\2017-04-10</v>
      </c>
      <c r="AF188" s="82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/stypes="app*4007*20170410*" /stext=" 00:.+((SYSTEM_STATE.+slice.+state.+changed )|(ment ac)|(multiple cpu faults)|(system.+state.+changed )|(\[timeout)|(PRM\|1\|D)|(kpr)|(kdp)|(\|lc)|(penalty))"</v>
      </c>
      <c r="AG188" s="1" t="str">
        <f>IFERROR(IF(VALUE(LEFT(AD188,2))&lt;=2,"EC",IF(OR(VALUE(LEFT(AD188,2))=8,VALUE(LEFT(AD188,2))=18),"NW","Other")),"Other")</f>
        <v>NW</v>
      </c>
      <c r="AH188" s="86" t="str">
        <f t="shared" si="17"/>
        <v>"%USERPROFILE%\Documents\GitHub\eaglep3\Utilities\RefineRTDCRunTimes.py" --tripid 1826-09 --locoid 4007 --swversion DE.1.0.9.0 --startMP 300:58615 --initTime 2017-04-09T18:37:28 --startdatetime 2017-04-09T18:41:08 --delay 1 --endMP 204:836 --enddatetime 2017-04-09T18:57:55 --enforcementcount 0 &gt;&gt;C:\Users\stu\Documents\GitHub\eaglep3-reporting\EC\2017-04-09-refined-times.txt</v>
      </c>
      <c r="AI188" s="104" t="str">
        <f t="shared" si="18"/>
        <v>echo {"issue":{"subject":"","project_id":79,"tracker_id":40,"status_id":1,"priority_id":2,"assigned_to_id":23,"start_date":"2017-04-09","description":"","custom_fields":[{"id":1,"name":"Subdivision","value":"NW"},{"id":4,"name":"Milepost","value":"0.0836"},{"id":17,"name":"Train ID","value":"1826-09"},{"id":16,"name":"Locomotive ID","value":"4007"},{"id":130,"name":"Impact","value":""},{"id":150,"name":"Time of Event (Mountain Time)","value":"18:57:55"},{"id":151,"name":"Denver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8"/>
      <c r="AL188" s="48"/>
      <c r="AM188" s="150" t="str">
        <f t="shared" si="19"/>
        <v>start /low /b %USERPROFILE%\Documents\GitHub\eaglep3\Utilities\DownloadLogsFromS3.py --loco 4007 --day 2017-04-09</v>
      </c>
      <c r="AN188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00:57:55"},{"id":29,"name":"Sharepoint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3" t="s">
        <v>797</v>
      </c>
      <c r="B189" s="7">
        <v>4008</v>
      </c>
      <c r="C189" s="21" t="s">
        <v>215</v>
      </c>
      <c r="D189" s="21" t="s">
        <v>917</v>
      </c>
      <c r="E189" s="13">
        <v>42834.80400462963</v>
      </c>
      <c r="F189" s="13">
        <v>42834.806504629632</v>
      </c>
      <c r="G189" s="7">
        <v>1</v>
      </c>
      <c r="H189" s="21" t="s">
        <v>915</v>
      </c>
      <c r="I189" s="13">
        <v>42834.81894675926</v>
      </c>
      <c r="J189" s="7">
        <v>0</v>
      </c>
      <c r="K189" s="97" t="str">
        <f>IF(ISEVEN(B189),(B189-1)&amp;"/"&amp;B189,B189&amp;"/"&amp;(B189+1))</f>
        <v>4007/4008</v>
      </c>
      <c r="L189" s="21" t="str">
        <f>VLOOKUP(A189,'Trips&amp;Operators'!$C$1:$G$99999,5,FALSE)</f>
        <v>HELVIE ADAM</v>
      </c>
      <c r="M189" s="6">
        <f>I189-F189</f>
        <v>1.244212962774327E-2</v>
      </c>
      <c r="N189" s="7">
        <f>24*60*SUM($M189:$M189)</f>
        <v>17.916666663950309</v>
      </c>
      <c r="O189" s="7"/>
      <c r="P189" s="7"/>
      <c r="Q189" s="22"/>
      <c r="R189" s="22"/>
      <c r="S189" s="31">
        <f>SUM(U189:U189)/IF(AG189="EC",12,1)</f>
        <v>1</v>
      </c>
      <c r="T189" s="46" t="str">
        <f>IF(ISEVEN(LEFT(AD189,4)),"Southbound","NorthBound")</f>
        <v>NorthBound</v>
      </c>
      <c r="U189" s="18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2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-04-09T18:17:46-0600',mode:absolute,to:'2017-04-09T20:39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9" s="183" t="str">
        <f>IF(AA189&lt;IF(AG189="EC",23,5.65),"Y","N")</f>
        <v>N</v>
      </c>
      <c r="X189" s="183">
        <f>VALUE(LEFT(AD189,4))-VALUE(LEFT(AD188,4))</f>
        <v>1</v>
      </c>
      <c r="Y189" s="62">
        <f>RIGHT(D189,LEN(D189)-4)/10000</f>
        <v>0.1119</v>
      </c>
      <c r="Z189" s="62">
        <f>RIGHT(H189,LEN(H189)-4)/10000</f>
        <v>5.8929</v>
      </c>
      <c r="AA189" s="62">
        <f>ABS(Z189-Y189)</f>
        <v>5.7809999999999997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>IF(LEN(A189)=6,"0"&amp;A189,A189)</f>
        <v>1827-09</v>
      </c>
      <c r="AE189" s="85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s3://rtdc.mdm.uploadarchive.raw/RTDC4008/ "%USERPROFILE%\AppData\Local\Temp\OnboardLogs"\RTDC4008\2017-04-09 --exclude "*" --recursive --include "*20170409*" &amp; "%USERPROFILE%\Documents\GitHub\mrs-test-scripts\Headless Mode &amp; Sideloading\WalkAndUnGZ.bat" "%USERPROFILE%\AppData\Local\Temp\OnboardLogs"\RTDC4008\2017-04-09 &amp; aws s3 cp s3://rtdc.mdm.uploadarchive.raw/RTDC4008/ "%USERPROFILE%\AppData\Local\Temp\OnboardLogs"\RTDC4008\2017-04-10 --exclude "*" --recursive --include "*20170410*" &amp; "%USERPROFILE%\Documents\GitHub\mrs-test-scripts\Headless Mode &amp; Sideloading\WalkAndUnGZ.bat" "%USERPROFILE%\AppData\Local\Temp\OnboardLogs"\RTDC4008\2017-04-10</v>
      </c>
      <c r="AF189" s="82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/stypes="app*4008*20170410*" /stext=" 01:.+((SYSTEM_STATE.+slice.+state.+changed )|(ment ac)|(multiple cpu faults)|(system.+state.+changed )|(\[timeout)|(PRM\|1\|D)|(kpr)|(kdp)|(\|lc)|(penalty))"</v>
      </c>
      <c r="AG189" s="1" t="str">
        <f>IFERROR(IF(VALUE(LEFT(AD189,2))&lt;=2,"EC",IF(OR(VALUE(LEFT(AD189,2))=8,VALUE(LEFT(AD189,2))=18),"NW","Other")),"Other")</f>
        <v>NW</v>
      </c>
      <c r="AH189" s="86" t="str">
        <f t="shared" si="17"/>
        <v>"%USERPROFILE%\Documents\GitHub\eaglep3\Utilities\RefineRTDCRunTimes.py" --tripid 1827-09 --locoid 4008 --swversion DE.1.0.9.0 --startMP 204:1119 --initTime 2017-04-09T19:17:46 --startdatetime 2017-04-09T19:21:22 --delay 1 --endMP 300:58929 --enddatetime 2017-04-09T19:39:17 --enforcementcount 0 &gt;&gt;C:\Users\stu\Documents\GitHub\eaglep3-reporting\EC\2017-04-09-refined-times.txt</v>
      </c>
      <c r="AI189" s="104" t="str">
        <f t="shared" si="18"/>
        <v>echo {"issue":{"subject":"","project_id":79,"tracker_id":40,"status_id":1,"priority_id":2,"assigned_to_id":23,"start_date":"2017-04-09","description":"","custom_fields":[{"id":1,"name":"Subdivision","value":"NW"},{"id":4,"name":"Milepost","value":"5.8929"},{"id":17,"name":"Train ID","value":"1827-09"},{"id":16,"name":"Locomotive ID","value":"4008"},{"id":130,"name":"Impact","value":""},{"id":150,"name":"Time of Event (Mountain Time)","value":"19:39:17"},{"id":151,"name":"Denver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8"/>
      <c r="AL189" s="48"/>
      <c r="AM189" s="150" t="str">
        <f t="shared" si="19"/>
        <v>start /low /b %USERPROFILE%\Documents\GitHub\eaglep3\Utilities\DownloadLogsFromS3.py --loco 4008 --day 2017-04-09</v>
      </c>
      <c r="AN189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01:39:17"},{"id":29,"name":"Sharepoint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3" t="s">
        <v>800</v>
      </c>
      <c r="B190" s="7">
        <v>4007</v>
      </c>
      <c r="C190" s="21" t="s">
        <v>215</v>
      </c>
      <c r="D190" s="21" t="s">
        <v>886</v>
      </c>
      <c r="E190" s="13">
        <v>42834.820347222223</v>
      </c>
      <c r="F190" s="13">
        <v>42834.821666666663</v>
      </c>
      <c r="G190" s="7">
        <v>1</v>
      </c>
      <c r="H190" s="21" t="s">
        <v>918</v>
      </c>
      <c r="I190" s="13">
        <v>42834.830335648148</v>
      </c>
      <c r="J190" s="7">
        <v>0</v>
      </c>
      <c r="K190" s="97" t="str">
        <f>IF(ISEVEN(B190),(B190-1)&amp;"/"&amp;B190,B190&amp;"/"&amp;(B190+1))</f>
        <v>4007/4008</v>
      </c>
      <c r="L190" s="21" t="str">
        <f>VLOOKUP(A190,'Trips&amp;Operators'!$C$1:$G$99999,5,FALSE)</f>
        <v>HELVIE ADAM</v>
      </c>
      <c r="M190" s="6">
        <f>I190-F190</f>
        <v>8.668981485243421E-3</v>
      </c>
      <c r="N190" s="7">
        <f>24*60*SUM($M190:$M190)</f>
        <v>12.483333338750526</v>
      </c>
      <c r="O190" s="7"/>
      <c r="P190" s="7"/>
      <c r="Q190" s="22"/>
      <c r="R190" s="22"/>
      <c r="S190" s="31">
        <f>SUM(U190:U190)/IF(AG190="EC",12,1)</f>
        <v>1</v>
      </c>
      <c r="T190" s="46" t="str">
        <f>IF(ISEVEN(LEFT(AD190,4)),"Southbound","NorthBound")</f>
        <v>Southbound</v>
      </c>
      <c r="U190" s="18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2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-04-09T18:41:18-0600',mode:absolute,to:'2017-04-09T20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0" s="183" t="str">
        <f>IF(AA190&lt;IF(AG190="EC",23,5.65),"Y","N")</f>
        <v>N</v>
      </c>
      <c r="X190" s="183">
        <f>VALUE(LEFT(AD190,4))-VALUE(LEFT(AD189,4))</f>
        <v>1</v>
      </c>
      <c r="Y190" s="62">
        <f>RIGHT(D190,LEN(D190)-4)/10000</f>
        <v>5.8623000000000003</v>
      </c>
      <c r="Z190" s="62">
        <f>RIGHT(H190,LEN(H190)-4)/10000</f>
        <v>7.6899999999999996E-2</v>
      </c>
      <c r="AA190" s="62">
        <f>ABS(Z190-Y190)</f>
        <v>5.7854000000000001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>IF(LEN(A190)=6,"0"&amp;A190,A190)</f>
        <v>1828-09</v>
      </c>
      <c r="AE190" s="85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s3://rtdc.mdm.uploadarchive.raw/RTDC4007/ "%USERPROFILE%\AppData\Local\Temp\OnboardLogs"\RTDC4007\2017-04-09 --exclude "*" --recursive --include "*20170409*" &amp; "%USERPROFILE%\Documents\GitHub\mrs-test-scripts\Headless Mode &amp; Sideloading\WalkAndUnGZ.bat" "%USERPROFILE%\AppData\Local\Temp\OnboardLogs"\RTDC4007\2017-04-09 &amp; aws s3 cp s3://rtdc.mdm.uploadarchive.raw/RTDC4007/ "%USERPROFILE%\AppData\Local\Temp\OnboardLogs"\RTDC4007\2017-04-10 --exclude "*" --recursive --include "*20170410*" &amp; "%USERPROFILE%\Documents\GitHub\mrs-test-scripts\Headless Mode &amp; Sideloading\WalkAndUnGZ.bat" "%USERPROFILE%\AppData\Local\Temp\OnboardLogs"\RTDC4007\2017-04-10</v>
      </c>
      <c r="AF190" s="82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/stypes="app*4007*20170410*" /stext=" 01:.+((SYSTEM_STATE.+slice.+state.+changed )|(ment ac)|(multiple cpu faults)|(system.+state.+changed )|(\[timeout)|(PRM\|1\|D)|(kpr)|(kdp)|(\|lc)|(penalty))"</v>
      </c>
      <c r="AG190" s="1" t="str">
        <f>IFERROR(IF(VALUE(LEFT(AD190,2))&lt;=2,"EC",IF(OR(VALUE(LEFT(AD190,2))=8,VALUE(LEFT(AD190,2))=18),"NW","Other")),"Other")</f>
        <v>NW</v>
      </c>
      <c r="AH190" s="86" t="str">
        <f t="shared" si="17"/>
        <v>"%USERPROFILE%\Documents\GitHub\eaglep3\Utilities\RefineRTDCRunTimes.py" --tripid 1828-09 --locoid 4007 --swversion DE.1.0.9.0 --startMP 300:58623 --initTime 2017-04-09T19:41:18 --startdatetime 2017-04-09T19:43:12 --delay 1 --endMP 204:769 --enddatetime 2017-04-09T19:55:41 --enforcementcount 0 &gt;&gt;C:\Users\stu\Documents\GitHub\eaglep3-reporting\EC\2017-04-09-refined-times.txt</v>
      </c>
      <c r="AI190" s="104" t="str">
        <f t="shared" si="18"/>
        <v>echo {"issue":{"subject":"","project_id":79,"tracker_id":40,"status_id":1,"priority_id":2,"assigned_to_id":23,"start_date":"2017-04-09","description":"","custom_fields":[{"id":1,"name":"Subdivision","value":"NW"},{"id":4,"name":"Milepost","value":"0.0769"},{"id":17,"name":"Train ID","value":"1828-09"},{"id":16,"name":"Locomotive ID","value":"4007"},{"id":130,"name":"Impact","value":""},{"id":150,"name":"Time of Event (Mountain Time)","value":"19:55:41"},{"id":151,"name":"Denver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8"/>
      <c r="AL190" s="48"/>
      <c r="AM190" s="150" t="str">
        <f t="shared" si="19"/>
        <v>start /low /b %USERPROFILE%\Documents\GitHub\eaglep3\Utilities\DownloadLogsFromS3.py --loco 4007 --day 2017-04-09</v>
      </c>
      <c r="AN190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01:55:41"},{"id":29,"name":"Sharepoint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3" t="s">
        <v>804</v>
      </c>
      <c r="B191" s="7">
        <v>4008</v>
      </c>
      <c r="C191" s="21" t="s">
        <v>215</v>
      </c>
      <c r="D191" s="21" t="s">
        <v>919</v>
      </c>
      <c r="E191" s="13">
        <v>42834.845555555556</v>
      </c>
      <c r="F191" s="13">
        <v>42834.848124999997</v>
      </c>
      <c r="G191" s="7">
        <v>1</v>
      </c>
      <c r="H191" s="21" t="s">
        <v>599</v>
      </c>
      <c r="I191" s="13">
        <v>42834.857731481483</v>
      </c>
      <c r="J191" s="7">
        <v>0</v>
      </c>
      <c r="K191" s="97" t="str">
        <f>IF(ISEVEN(B191),(B191-1)&amp;"/"&amp;B191,B191&amp;"/"&amp;(B191+1))</f>
        <v>4007/4008</v>
      </c>
      <c r="L191" s="21" t="str">
        <f>VLOOKUP(A191,'Trips&amp;Operators'!$C$1:$G$99999,5,FALSE)</f>
        <v>HELVIE ADAM</v>
      </c>
      <c r="M191" s="6">
        <f>I191-F191</f>
        <v>9.606481486116536E-3</v>
      </c>
      <c r="N191" s="7">
        <f>24*60*SUM($M191:$M191)</f>
        <v>13.833333340007812</v>
      </c>
      <c r="O191" s="7"/>
      <c r="P191" s="7"/>
      <c r="Q191" s="22"/>
      <c r="R191" s="22"/>
      <c r="S191" s="31">
        <f>SUM(U191:U191)/IF(AG191="EC",12,1)</f>
        <v>1</v>
      </c>
      <c r="T191" s="46" t="str">
        <f>IF(ISEVEN(LEFT(AD191,4)),"Southbound","NorthBound")</f>
        <v>NorthBound</v>
      </c>
      <c r="U191" s="18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2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-04-09T19:17:36-0600',mode:absolute,to:'2017-04-09T21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1" s="183" t="str">
        <f>IF(AA191&lt;IF(AG191="EC",23,5.65),"Y","N")</f>
        <v>N</v>
      </c>
      <c r="X191" s="183">
        <f>VALUE(LEFT(AD191,4))-VALUE(LEFT(AD190,4))</f>
        <v>1</v>
      </c>
      <c r="Y191" s="62">
        <f>RIGHT(D191,LEN(D191)-4)/10000</f>
        <v>0.107</v>
      </c>
      <c r="Z191" s="62">
        <f>RIGHT(H191,LEN(H191)-4)/10000</f>
        <v>5.8933</v>
      </c>
      <c r="AA191" s="62">
        <f>ABS(Z191-Y191)</f>
        <v>5.7862999999999998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>IF(LEN(A191)=6,"0"&amp;A191,A191)</f>
        <v>1829-09</v>
      </c>
      <c r="AE191" s="85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s3://rtdc.mdm.uploadarchive.raw/RTDC4008/ "%USERPROFILE%\AppData\Local\Temp\OnboardLogs"\RTDC4008\2017-04-09 --exclude "*" --recursive --include "*20170409*" &amp; "%USERPROFILE%\Documents\GitHub\mrs-test-scripts\Headless Mode &amp; Sideloading\WalkAndUnGZ.bat" "%USERPROFILE%\AppData\Local\Temp\OnboardLogs"\RTDC4008\2017-04-09 &amp; aws s3 cp s3://rtdc.mdm.uploadarchive.raw/RTDC4008/ "%USERPROFILE%\AppData\Local\Temp\OnboardLogs"\RTDC4008\2017-04-10 --exclude "*" --recursive --include "*20170410*" &amp; "%USERPROFILE%\Documents\GitHub\mrs-test-scripts\Headless Mode &amp; Sideloading\WalkAndUnGZ.bat" "%USERPROFILE%\AppData\Local\Temp\OnboardLogs"\RTDC4008\2017-04-10</v>
      </c>
      <c r="AF191" s="82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/stypes="app*4008*20170410*" /stext=" 02:.+((SYSTEM_STATE.+slice.+state.+changed )|(ment ac)|(multiple cpu faults)|(system.+state.+changed )|(\[timeout)|(PRM\|1\|D)|(kpr)|(kdp)|(\|lc)|(penalty))"</v>
      </c>
      <c r="AG191" s="1" t="str">
        <f>IFERROR(IF(VALUE(LEFT(AD191,2))&lt;=2,"EC",IF(OR(VALUE(LEFT(AD191,2))=8,VALUE(LEFT(AD191,2))=18),"NW","Other")),"Other")</f>
        <v>NW</v>
      </c>
      <c r="AH191" s="86" t="str">
        <f t="shared" si="17"/>
        <v>"%USERPROFILE%\Documents\GitHub\eaglep3\Utilities\RefineRTDCRunTimes.py" --tripid 1829-09 --locoid 4008 --swversion DE.1.0.9.0 --startMP 204:1070 --initTime 2017-04-09T20:17:36 --startdatetime 2017-04-09T20:21:18 --delay 1 --endMP 300:58933 --enddatetime 2017-04-09T20:35:08 --enforcementcount 0 &gt;&gt;C:\Users\stu\Documents\GitHub\eaglep3-reporting\EC\2017-04-09-refined-times.txt</v>
      </c>
      <c r="AI191" s="104" t="str">
        <f t="shared" si="18"/>
        <v>echo {"issue":{"subject":"","project_id":79,"tracker_id":40,"status_id":1,"priority_id":2,"assigned_to_id":23,"start_date":"2017-04-09","description":"","custom_fields":[{"id":1,"name":"Subdivision","value":"NW"},{"id":4,"name":"Milepost","value":"5.8933"},{"id":17,"name":"Train ID","value":"1829-09"},{"id":16,"name":"Locomotive ID","value":"4008"},{"id":130,"name":"Impact","value":""},{"id":150,"name":"Time of Event (Mountain Time)","value":"20:35:08"},{"id":151,"name":"Denver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8"/>
      <c r="AL191" s="48"/>
      <c r="AM191" s="150" t="str">
        <f t="shared" si="19"/>
        <v>start /low /b %USERPROFILE%\Documents\GitHub\eaglep3\Utilities\DownloadLogsFromS3.py --loco 4008 --day 2017-04-09</v>
      </c>
      <c r="AN191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02:35:08"},{"id":29,"name":"Sharepoint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3" t="s">
        <v>806</v>
      </c>
      <c r="B192" s="7">
        <v>4007</v>
      </c>
      <c r="C192" s="21" t="s">
        <v>215</v>
      </c>
      <c r="D192" s="21" t="s">
        <v>886</v>
      </c>
      <c r="E192" s="13">
        <v>42834.858935185184</v>
      </c>
      <c r="F192" s="13">
        <v>42834.86215277778</v>
      </c>
      <c r="G192" s="7">
        <v>1</v>
      </c>
      <c r="H192" s="21" t="s">
        <v>920</v>
      </c>
      <c r="I192" s="13">
        <v>42834.870694444442</v>
      </c>
      <c r="J192" s="7">
        <v>0</v>
      </c>
      <c r="K192" s="97" t="str">
        <f>IF(ISEVEN(B192),(B192-1)&amp;"/"&amp;B192,B192&amp;"/"&amp;(B192+1))</f>
        <v>4007/4008</v>
      </c>
      <c r="L192" s="21" t="str">
        <f>VLOOKUP(A192,'Trips&amp;Operators'!$C$1:$G$99999,5,FALSE)</f>
        <v>HELVIE ADAM</v>
      </c>
      <c r="M192" s="6">
        <f>I192-F192</f>
        <v>8.5416666624951176E-3</v>
      </c>
      <c r="N192" s="7">
        <f>24*60*SUM($M192:$M192)</f>
        <v>12.299999993992969</v>
      </c>
      <c r="O192" s="7"/>
      <c r="P192" s="7"/>
      <c r="Q192" s="22"/>
      <c r="R192" s="22"/>
      <c r="S192" s="31">
        <f>SUM(U192:U192)/IF(AG192="EC",12,1)</f>
        <v>1</v>
      </c>
      <c r="T192" s="46" t="str">
        <f>IF(ISEVEN(LEFT(AD192,4)),"Southbound","NorthBound")</f>
        <v>Southbound</v>
      </c>
      <c r="U192" s="18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2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-04-09T19:36:52-0600',mode:absolute,to:'2017-04-09T21:53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2" s="183" t="str">
        <f>IF(AA192&lt;IF(AG192="EC",23,5.65),"Y","N")</f>
        <v>N</v>
      </c>
      <c r="X192" s="183">
        <f>VALUE(LEFT(AD192,4))-VALUE(LEFT(AD191,4))</f>
        <v>1</v>
      </c>
      <c r="Y192" s="62">
        <f>RIGHT(D192,LEN(D192)-4)/10000</f>
        <v>5.8623000000000003</v>
      </c>
      <c r="Z192" s="62">
        <f>RIGHT(H192,LEN(H192)-4)/10000</f>
        <v>8.2699999999999996E-2</v>
      </c>
      <c r="AA192" s="62">
        <f>ABS(Z192-Y192)</f>
        <v>5.7796000000000003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>IF(LEN(A192)=6,"0"&amp;A192,A192)</f>
        <v>1830-09</v>
      </c>
      <c r="AE192" s="85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s3://rtdc.mdm.uploadarchive.raw/RTDC4007/ "%USERPROFILE%\AppData\Local\Temp\OnboardLogs"\RTDC4007\2017-04-09 --exclude "*" --recursive --include "*20170409*" &amp; "%USERPROFILE%\Documents\GitHub\mrs-test-scripts\Headless Mode &amp; Sideloading\WalkAndUnGZ.bat" "%USERPROFILE%\AppData\Local\Temp\OnboardLogs"\RTDC4007\2017-04-09 &amp; aws s3 cp s3://rtdc.mdm.uploadarchive.raw/RTDC4007/ "%USERPROFILE%\AppData\Local\Temp\OnboardLogs"\RTDC4007\2017-04-10 --exclude "*" --recursive --include "*20170410*" &amp; "%USERPROFILE%\Documents\GitHub\mrs-test-scripts\Headless Mode &amp; Sideloading\WalkAndUnGZ.bat" "%USERPROFILE%\AppData\Local\Temp\OnboardLogs"\RTDC4007\2017-04-10</v>
      </c>
      <c r="AF192" s="82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/stypes="app*4007*20170410*" /stext=" 02:.+((SYSTEM_STATE.+slice.+state.+changed )|(ment ac)|(multiple cpu faults)|(system.+state.+changed )|(\[timeout)|(PRM\|1\|D)|(kpr)|(kdp)|(\|lc)|(penalty))"</v>
      </c>
      <c r="AG192" s="1" t="str">
        <f>IFERROR(IF(VALUE(LEFT(AD192,2))&lt;=2,"EC",IF(OR(VALUE(LEFT(AD192,2))=8,VALUE(LEFT(AD192,2))=18),"NW","Other")),"Other")</f>
        <v>NW</v>
      </c>
      <c r="AH192" s="86" t="str">
        <f t="shared" si="17"/>
        <v>"%USERPROFILE%\Documents\GitHub\eaglep3\Utilities\RefineRTDCRunTimes.py" --tripid 1830-09 --locoid 4007 --swversion DE.1.0.9.0 --startMP 300:58623 --initTime 2017-04-09T20:36:52 --startdatetime 2017-04-09T20:41:30 --delay 1 --endMP 204:827 --enddatetime 2017-04-09T20:53:48 --enforcementcount 0 &gt;&gt;C:\Users\stu\Documents\GitHub\eaglep3-reporting\EC\2017-04-09-refined-times.txt</v>
      </c>
      <c r="AI192" s="104" t="str">
        <f t="shared" si="18"/>
        <v>echo {"issue":{"subject":"","project_id":79,"tracker_id":40,"status_id":1,"priority_id":2,"assigned_to_id":23,"start_date":"2017-04-09","description":"","custom_fields":[{"id":1,"name":"Subdivision","value":"NW"},{"id":4,"name":"Milepost","value":"0.0827"},{"id":17,"name":"Train ID","value":"1830-09"},{"id":16,"name":"Locomotive ID","value":"4007"},{"id":130,"name":"Impact","value":""},{"id":150,"name":"Time of Event (Mountain Time)","value":"20:53:48"},{"id":151,"name":"Denver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8"/>
      <c r="AL192" s="48"/>
      <c r="AM192" s="150" t="str">
        <f t="shared" si="19"/>
        <v>start /low /b %USERPROFILE%\Documents\GitHub\eaglep3\Utilities\DownloadLogsFromS3.py --loco 4007 --day 2017-04-09</v>
      </c>
      <c r="AN192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02:53:48"},{"id":29,"name":"Sharepoint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40" x14ac:dyDescent="0.25">
      <c r="A193" s="33" t="s">
        <v>809</v>
      </c>
      <c r="B193" s="7">
        <v>4008</v>
      </c>
      <c r="C193" s="21" t="s">
        <v>215</v>
      </c>
      <c r="D193" s="21" t="s">
        <v>921</v>
      </c>
      <c r="E193" s="13">
        <v>42834.88789351852</v>
      </c>
      <c r="F193" s="13">
        <v>42834.889814814815</v>
      </c>
      <c r="G193" s="7">
        <v>1</v>
      </c>
      <c r="H193" s="21" t="s">
        <v>915</v>
      </c>
      <c r="I193" s="13">
        <v>42834.898460648146</v>
      </c>
      <c r="J193" s="7">
        <v>0</v>
      </c>
      <c r="K193" s="97" t="str">
        <f>IF(ISEVEN(B193),(B193-1)&amp;"/"&amp;B193,B193&amp;"/"&amp;(B193+1))</f>
        <v>4007/4008</v>
      </c>
      <c r="L193" s="21" t="str">
        <f>VLOOKUP(A193,'Trips&amp;Operators'!$C$1:$G$99999,5,FALSE)</f>
        <v>HELVIE ADAM</v>
      </c>
      <c r="M193" s="6">
        <f>I193-F193</f>
        <v>8.6458333316841163E-3</v>
      </c>
      <c r="N193" s="7">
        <f>24*60*SUM($M193:$M193)</f>
        <v>12.449999997625127</v>
      </c>
      <c r="O193" s="7"/>
      <c r="P193" s="7"/>
      <c r="Q193" s="22"/>
      <c r="R193" s="22"/>
      <c r="S193" s="31">
        <f>SUM(U193:U193)/IF(AG193="EC",12,1)</f>
        <v>1</v>
      </c>
      <c r="T193" s="46" t="str">
        <f>IF(ISEVEN(LEFT(AD193,4)),"Southbound","NorthBound")</f>
        <v>NorthBound</v>
      </c>
      <c r="U193" s="18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2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-04-09T20:18:34-0600',mode:absolute,to:'2017-04-09T22:33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3" s="183" t="str">
        <f>IF(AA193&lt;IF(AG193="EC",23,5.65),"Y","N")</f>
        <v>N</v>
      </c>
      <c r="X193" s="183">
        <f>VALUE(LEFT(AD193,4))-VALUE(LEFT(AD192,4))</f>
        <v>1</v>
      </c>
      <c r="Y193" s="62">
        <f>RIGHT(D193,LEN(D193)-4)/10000</f>
        <v>0.11070000000000001</v>
      </c>
      <c r="Z193" s="62">
        <f>RIGHT(H193,LEN(H193)-4)/10000</f>
        <v>5.8929</v>
      </c>
      <c r="AA193" s="62">
        <f>ABS(Z193-Y193)</f>
        <v>5.7822000000000005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>IF(LEN(A193)=6,"0"&amp;A193,A193)</f>
        <v>1831-09</v>
      </c>
      <c r="AE193" s="85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s3://rtdc.mdm.uploadarchive.raw/RTDC4008/ "%USERPROFILE%\AppData\Local\Temp\OnboardLogs"\RTDC4008\2017-04-09 --exclude "*" --recursive --include "*20170409*" &amp; "%USERPROFILE%\Documents\GitHub\mrs-test-scripts\Headless Mode &amp; Sideloading\WalkAndUnGZ.bat" "%USERPROFILE%\AppData\Local\Temp\OnboardLogs"\RTDC4008\2017-04-09 &amp; aws s3 cp s3://rtdc.mdm.uploadarchive.raw/RTDC4008/ "%USERPROFILE%\AppData\Local\Temp\OnboardLogs"\RTDC4008\2017-04-10 --exclude "*" --recursive --include "*20170410*" &amp; "%USERPROFILE%\Documents\GitHub\mrs-test-scripts\Headless Mode &amp; Sideloading\WalkAndUnGZ.bat" "%USERPROFILE%\AppData\Local\Temp\OnboardLogs"\RTDC4008\2017-04-10</v>
      </c>
      <c r="AF193" s="82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/stypes="app*4008*20170410*" /stext=" 03:.+((SYSTEM_STATE.+slice.+state.+changed )|(ment ac)|(multiple cpu faults)|(system.+state.+changed )|(\[timeout)|(PRM\|1\|D)|(kpr)|(kdp)|(\|lc)|(penalty))"</v>
      </c>
      <c r="AG193" s="1" t="str">
        <f>IFERROR(IF(VALUE(LEFT(AD193,2))&lt;=2,"EC",IF(OR(VALUE(LEFT(AD193,2))=8,VALUE(LEFT(AD193,2))=18),"NW","Other")),"Other")</f>
        <v>NW</v>
      </c>
      <c r="AH193" s="86" t="str">
        <f t="shared" si="17"/>
        <v>"%USERPROFILE%\Documents\GitHub\eaglep3\Utilities\RefineRTDCRunTimes.py" --tripid 1831-09 --locoid 4008 --swversion DE.1.0.9.0 --startMP 204:1107 --initTime 2017-04-09T21:18:34 --startdatetime 2017-04-09T21:21:20 --delay 1 --endMP 300:58929 --enddatetime 2017-04-09T21:33:47 --enforcementcount 0 &gt;&gt;C:\Users\stu\Documents\GitHub\eaglep3-reporting\EC\2017-04-09-refined-times.txt</v>
      </c>
      <c r="AI193" s="104" t="str">
        <f t="shared" si="18"/>
        <v>echo {"issue":{"subject":"","project_id":79,"tracker_id":40,"status_id":1,"priority_id":2,"assigned_to_id":23,"start_date":"2017-04-09","description":"","custom_fields":[{"id":1,"name":"Subdivision","value":"NW"},{"id":4,"name":"Milepost","value":"5.8929"},{"id":17,"name":"Train ID","value":"1831-09"},{"id":16,"name":"Locomotive ID","value":"4008"},{"id":130,"name":"Impact","value":""},{"id":150,"name":"Time of Event (Mountain Time)","value":"21:33:47"},{"id":151,"name":"Denver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8"/>
      <c r="AL193" s="48"/>
      <c r="AM193" s="150" t="str">
        <f t="shared" si="19"/>
        <v>start /low /b %USERPROFILE%\Documents\GitHub\eaglep3\Utilities\DownloadLogsFromS3.py --loco 4008 --day 2017-04-09</v>
      </c>
      <c r="AN193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03:33:47"},{"id":29,"name":"Sharepoint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40" x14ac:dyDescent="0.25">
      <c r="A194" s="33" t="s">
        <v>812</v>
      </c>
      <c r="B194" s="7">
        <v>4007</v>
      </c>
      <c r="C194" s="21" t="s">
        <v>215</v>
      </c>
      <c r="D194" s="21" t="s">
        <v>907</v>
      </c>
      <c r="E194" s="13">
        <v>42834.899733796294</v>
      </c>
      <c r="F194" s="13">
        <v>42834.902754629627</v>
      </c>
      <c r="G194" s="7">
        <v>1</v>
      </c>
      <c r="H194" s="21" t="s">
        <v>922</v>
      </c>
      <c r="I194" s="13">
        <v>42834.912210648145</v>
      </c>
      <c r="J194" s="7">
        <v>0</v>
      </c>
      <c r="K194" s="97" t="str">
        <f>IF(ISEVEN(B194),(B194-1)&amp;"/"&amp;B194,B194&amp;"/"&amp;(B194+1))</f>
        <v>4007/4008</v>
      </c>
      <c r="L194" s="21" t="str">
        <f>VLOOKUP(A194,'Trips&amp;Operators'!$C$1:$G$99999,5,FALSE)</f>
        <v>HELVIE ADAM</v>
      </c>
      <c r="M194" s="6">
        <f>I194-F194</f>
        <v>9.4560185170848854E-3</v>
      </c>
      <c r="N194" s="7">
        <f>24*60*SUM($M194:$M194)</f>
        <v>13.616666664602235</v>
      </c>
      <c r="O194" s="7"/>
      <c r="P194" s="7"/>
      <c r="Q194" s="22"/>
      <c r="R194" s="22"/>
      <c r="S194" s="31">
        <f>SUM(U194:U194)/IF(AG194="EC",12,1)</f>
        <v>1</v>
      </c>
      <c r="T194" s="46" t="str">
        <f>IF(ISEVEN(LEFT(AD194,4)),"Southbound","NorthBound")</f>
        <v>Southbound</v>
      </c>
      <c r="U194" s="18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2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-04-09T20:35:37-0600',mode:absolute,to:'2017-04-09T22:53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4" s="183" t="str">
        <f>IF(AA194&lt;IF(AG194="EC",23,5.65),"Y","N")</f>
        <v>N</v>
      </c>
      <c r="X194" s="183">
        <f>VALUE(LEFT(AD194,4))-VALUE(LEFT(AD193,4))</f>
        <v>1</v>
      </c>
      <c r="Y194" s="62">
        <f>RIGHT(D194,LEN(D194)-4)/10000</f>
        <v>5.8624000000000001</v>
      </c>
      <c r="Z194" s="62">
        <f>RIGHT(H194,LEN(H194)-4)/10000</f>
        <v>8.3799999999999999E-2</v>
      </c>
      <c r="AA194" s="62">
        <f>ABS(Z194-Y194)</f>
        <v>5.7786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>IF(LEN(A194)=6,"0"&amp;A194,A194)</f>
        <v>1832-09</v>
      </c>
      <c r="AE194" s="85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s3://rtdc.mdm.uploadarchive.raw/RTDC4007/ "%USERPROFILE%\AppData\Local\Temp\OnboardLogs"\RTDC4007\2017-04-09 --exclude "*" --recursive --include "*20170409*" &amp; "%USERPROFILE%\Documents\GitHub\mrs-test-scripts\Headless Mode &amp; Sideloading\WalkAndUnGZ.bat" "%USERPROFILE%\AppData\Local\Temp\OnboardLogs"\RTDC4007\2017-04-09 &amp; aws s3 cp s3://rtdc.mdm.uploadarchive.raw/RTDC4007/ "%USERPROFILE%\AppData\Local\Temp\OnboardLogs"\RTDC4007\2017-04-10 --exclude "*" --recursive --include "*20170410*" &amp; "%USERPROFILE%\Documents\GitHub\mrs-test-scripts\Headless Mode &amp; Sideloading\WalkAndUnGZ.bat" "%USERPROFILE%\AppData\Local\Temp\OnboardLogs"\RTDC4007\2017-04-10</v>
      </c>
      <c r="AF194" s="82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/stypes="app*4007*20170410*" /stext=" 03:.+((SYSTEM_STATE.+slice.+state.+changed )|(ment ac)|(multiple cpu faults)|(system.+state.+changed )|(\[timeout)|(PRM\|1\|D)|(kpr)|(kdp)|(\|lc)|(penalty))"</v>
      </c>
      <c r="AG194" s="1" t="str">
        <f>IFERROR(IF(VALUE(LEFT(AD194,2))&lt;=2,"EC",IF(OR(VALUE(LEFT(AD194,2))=8,VALUE(LEFT(AD194,2))=18),"NW","Other")),"Other")</f>
        <v>NW</v>
      </c>
      <c r="AH194" s="86" t="str">
        <f t="shared" si="17"/>
        <v>"%USERPROFILE%\Documents\GitHub\eaglep3\Utilities\RefineRTDCRunTimes.py" --tripid 1832-09 --locoid 4007 --swversion DE.1.0.9.0 --startMP 300:58624 --initTime 2017-04-09T21:35:37 --startdatetime 2017-04-09T21:39:58 --delay 1 --endMP 204:838 --enddatetime 2017-04-09T21:53:35 --enforcementcount 0 &gt;&gt;C:\Users\stu\Documents\GitHub\eaglep3-reporting\EC\2017-04-09-refined-times.txt</v>
      </c>
      <c r="AI194" s="104" t="str">
        <f t="shared" si="18"/>
        <v>echo {"issue":{"subject":"","project_id":79,"tracker_id":40,"status_id":1,"priority_id":2,"assigned_to_id":23,"start_date":"2017-04-09","description":"","custom_fields":[{"id":1,"name":"Subdivision","value":"NW"},{"id":4,"name":"Milepost","value":"0.0838"},{"id":17,"name":"Train ID","value":"1832-09"},{"id":16,"name":"Locomotive ID","value":"4007"},{"id":130,"name":"Impact","value":""},{"id":150,"name":"Time of Event (Mountain Time)","value":"21:53:35"},{"id":151,"name":"Denver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8"/>
      <c r="AL194" s="48"/>
      <c r="AM194" s="150" t="str">
        <f t="shared" si="19"/>
        <v>start /low /b %USERPROFILE%\Documents\GitHub\eaglep3\Utilities\DownloadLogsFromS3.py --loco 4007 --day 2017-04-09</v>
      </c>
      <c r="AN194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03:53:35"},{"id":29,"name":"Sharepoint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40" x14ac:dyDescent="0.25">
      <c r="A195" s="33" t="s">
        <v>816</v>
      </c>
      <c r="B195" s="7">
        <v>4008</v>
      </c>
      <c r="C195" s="21" t="s">
        <v>215</v>
      </c>
      <c r="D195" s="21" t="s">
        <v>923</v>
      </c>
      <c r="E195" s="13">
        <v>42834.92728009259</v>
      </c>
      <c r="F195" s="13">
        <v>42834.931435185186</v>
      </c>
      <c r="G195" s="7">
        <v>1</v>
      </c>
      <c r="H195" s="21" t="s">
        <v>452</v>
      </c>
      <c r="I195" s="13">
        <v>42834.941157407404</v>
      </c>
      <c r="J195" s="7">
        <v>0</v>
      </c>
      <c r="K195" s="97" t="str">
        <f>IF(ISEVEN(B195),(B195-1)&amp;"/"&amp;B195,B195&amp;"/"&amp;(B195+1))</f>
        <v>4007/4008</v>
      </c>
      <c r="L195" s="21" t="str">
        <f>VLOOKUP(A195,'Trips&amp;Operators'!$C$1:$G$99999,5,FALSE)</f>
        <v>HELVIE ADAM</v>
      </c>
      <c r="M195" s="6">
        <f>I195-F195</f>
        <v>9.7222222175332718E-3</v>
      </c>
      <c r="N195" s="7">
        <f>24*60*SUM($M195:$M195)</f>
        <v>13.999999993247911</v>
      </c>
      <c r="O195" s="7"/>
      <c r="P195" s="7"/>
      <c r="Q195" s="22"/>
      <c r="R195" s="22"/>
      <c r="S195" s="31">
        <f>SUM(U195:U195)/IF(AG195="EC",12,1)</f>
        <v>1</v>
      </c>
      <c r="T195" s="46" t="str">
        <f>IF(ISEVEN(LEFT(AD195,4)),"Southbound","NorthBound")</f>
        <v>NorthBound</v>
      </c>
      <c r="U195" s="18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2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-04-09T21:15:17-0600',mode:absolute,to:'2017-04-09T23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5" s="183" t="str">
        <f>IF(AA195&lt;IF(AG195="EC",23,5.65),"Y","N")</f>
        <v>N</v>
      </c>
      <c r="X195" s="183">
        <f>VALUE(LEFT(AD195,4))-VALUE(LEFT(AD194,4))</f>
        <v>1</v>
      </c>
      <c r="Y195" s="62">
        <f>RIGHT(D195,LEN(D195)-4)/10000</f>
        <v>0.1144</v>
      </c>
      <c r="Z195" s="62">
        <f>RIGHT(H195,LEN(H195)-4)/10000</f>
        <v>5.8930999999999996</v>
      </c>
      <c r="AA195" s="62">
        <f>ABS(Z195-Y195)</f>
        <v>5.7786999999999997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>IF(LEN(A195)=6,"0"&amp;A195,A195)</f>
        <v>1833-09</v>
      </c>
      <c r="AE195" s="85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s3://rtdc.mdm.uploadarchive.raw/RTDC4008/ "%USERPROFILE%\AppData\Local\Temp\OnboardLogs"\RTDC4008\2017-04-09 --exclude "*" --recursive --include "*20170409*" &amp; "%USERPROFILE%\Documents\GitHub\mrs-test-scripts\Headless Mode &amp; Sideloading\WalkAndUnGZ.bat" "%USERPROFILE%\AppData\Local\Temp\OnboardLogs"\RTDC4008\2017-04-09 &amp; aws s3 cp s3://rtdc.mdm.uploadarchive.raw/RTDC4008/ "%USERPROFILE%\AppData\Local\Temp\OnboardLogs"\RTDC4008\2017-04-10 --exclude "*" --recursive --include "*20170410*" &amp; "%USERPROFILE%\Documents\GitHub\mrs-test-scripts\Headless Mode &amp; Sideloading\WalkAndUnGZ.bat" "%USERPROFILE%\AppData\Local\Temp\OnboardLogs"\RTDC4008\2017-04-10</v>
      </c>
      <c r="AF195" s="82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/stypes="app*4008*20170410*" /stext=" 04:.+((SYSTEM_STATE.+slice.+state.+changed )|(ment ac)|(multiple cpu faults)|(system.+state.+changed )|(\[timeout)|(PRM\|1\|D)|(kpr)|(kdp)|(\|lc)|(penalty))"</v>
      </c>
      <c r="AG195" s="1" t="str">
        <f>IFERROR(IF(VALUE(LEFT(AD195,2))&lt;=2,"EC",IF(OR(VALUE(LEFT(AD195,2))=8,VALUE(LEFT(AD195,2))=18),"NW","Other")),"Other")</f>
        <v>NW</v>
      </c>
      <c r="AH195" s="86" t="str">
        <f t="shared" si="17"/>
        <v>"%USERPROFILE%\Documents\GitHub\eaglep3\Utilities\RefineRTDCRunTimes.py" --tripid 1833-09 --locoid 4008 --swversion DE.1.0.9.0 --startMP 204:1144 --initTime 2017-04-09T22:15:17 --startdatetime 2017-04-09T22:21:16 --delay 1 --endMP 300:58931 --enddatetime 2017-04-09T22:35:16 --enforcementcount 0 &gt;&gt;C:\Users\stu\Documents\GitHub\eaglep3-reporting\EC\2017-04-09-refined-times.txt</v>
      </c>
      <c r="AI195" s="104" t="str">
        <f t="shared" si="18"/>
        <v>echo {"issue":{"subject":"","project_id":79,"tracker_id":40,"status_id":1,"priority_id":2,"assigned_to_id":23,"start_date":"2017-04-09","description":"","custom_fields":[{"id":1,"name":"Subdivision","value":"NW"},{"id":4,"name":"Milepost","value":"5.8931"},{"id":17,"name":"Train ID","value":"1833-09"},{"id":16,"name":"Locomotive ID","value":"4008"},{"id":130,"name":"Impact","value":""},{"id":150,"name":"Time of Event (Mountain Time)","value":"22:35:16"},{"id":151,"name":"Denver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8"/>
      <c r="AL195" s="48"/>
      <c r="AM195" s="150" t="str">
        <f t="shared" si="19"/>
        <v>start /low /b %USERPROFILE%\Documents\GitHub\eaglep3\Utilities\DownloadLogsFromS3.py --loco 4008 --day 2017-04-09</v>
      </c>
      <c r="AN195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04:35:16"},{"id":29,"name":"Sharepoint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40" x14ac:dyDescent="0.25">
      <c r="A196" s="33" t="s">
        <v>632</v>
      </c>
      <c r="B196" s="7">
        <v>4031</v>
      </c>
      <c r="C196" s="21" t="s">
        <v>215</v>
      </c>
      <c r="D196" s="21" t="s">
        <v>956</v>
      </c>
      <c r="E196" s="13">
        <v>42834.118101851855</v>
      </c>
      <c r="F196" s="13">
        <v>42834.121342592596</v>
      </c>
      <c r="G196" s="7">
        <v>4</v>
      </c>
      <c r="H196" s="21" t="s">
        <v>525</v>
      </c>
      <c r="I196" s="13">
        <v>42834.1253125</v>
      </c>
      <c r="J196" s="7">
        <v>0</v>
      </c>
      <c r="K196" s="97" t="str">
        <f>IF(ISEVEN(B196),(B196-1)&amp;"/"&amp;B196,B196&amp;"/"&amp;(B196+1))</f>
        <v>4031/4032</v>
      </c>
      <c r="L196" s="21" t="str">
        <f>VLOOKUP(A196,'Trips&amp;Operators'!$C$1:$G$99999,5,FALSE)</f>
        <v>SANTIZO D. EDY</v>
      </c>
      <c r="M196" s="6">
        <f>I196-F196</f>
        <v>3.9699074040981941E-3</v>
      </c>
      <c r="N196" s="7">
        <f>24*60*SUM($M196:$M196)</f>
        <v>5.7166666619013995</v>
      </c>
      <c r="O196" s="7"/>
      <c r="P196" s="7"/>
      <c r="Q196" s="22"/>
      <c r="R196" s="22"/>
      <c r="S196" s="31">
        <f>SUM(U196:U196)/IF(AG196="EC",12,1)</f>
        <v>1</v>
      </c>
      <c r="T196" s="46" t="str">
        <f>IF(ISEVEN(LEFT(AD196,4)),"Southbound","NorthBound")</f>
        <v>Southbound</v>
      </c>
      <c r="U196" s="18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2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-04-09T01:50:04-0600',mode:absolute,to:'2017-04-09T04:00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6" s="183" t="str">
        <f>IF(AA196&lt;IF(AG196="EC",23,5.65),"Y","N")</f>
        <v>Y</v>
      </c>
      <c r="X196" s="183">
        <f>VALUE(LEFT(AD196,4))-VALUE(LEFT(AD195,4))</f>
        <v>-1531</v>
      </c>
      <c r="Y196" s="62">
        <f>RIGHT(D196,LEN(D196)-4)/10000</f>
        <v>1.9571000000000001</v>
      </c>
      <c r="Z196" s="62">
        <f>RIGHT(H196,LEN(H196)-4)/10000</f>
        <v>1.2699999999999999E-2</v>
      </c>
      <c r="AA196" s="62">
        <f>ABS(Z196-Y196)</f>
        <v>1.9444000000000001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>IF(LEN(A196)=6,"0"&amp;A196,A196)</f>
        <v>0302-09</v>
      </c>
      <c r="AE196" s="85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s3://rtdc.mdm.uploadarchive.raw/RTDC4031/ "%USERPROFILE%\AppData\Local\Temp\OnboardLogs"\RTDC4031\2017-04-09 --exclude "*" --recursive --include "*20170409*" &amp; "%USERPROFILE%\Documents\GitHub\mrs-test-scripts\Headless Mode &amp; Sideloading\WalkAndUnGZ.bat" "%USERPROFILE%\AppData\Local\Temp\OnboardLogs"\RTDC4031\2017-04-09 &amp; aws s3 cp s3://rtdc.mdm.uploadarchive.raw/RTDC4031/ "%USERPROFILE%\AppData\Local\Temp\OnboardLogs"\RTDC4031\2017-04-10 --exclude "*" --recursive --include "*20170410*" &amp; "%USERPROFILE%\Documents\GitHub\mrs-test-scripts\Headless Mode &amp; Sideloading\WalkAndUnGZ.bat" "%USERPROFILE%\AppData\Local\Temp\OnboardLogs"\RTDC4031\2017-04-10</v>
      </c>
      <c r="AF196" s="82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/stypes="app*4031*20170409*" /stext=" 09:.+((SYSTEM_STATE.+slice.+state.+changed )|(ment ac)|(multiple cpu faults)|(system.+state.+changed )|(\[timeout)|(PRM\|1\|D)|(kpr)|(kdp)|(\|lc)|(penalty))"</v>
      </c>
      <c r="AG196" s="1" t="str">
        <f>IFERROR(IF(VALUE(LEFT(AD196,2))&lt;=2,"EC",IF(OR(VALUE(LEFT(AD196,2))=8,VALUE(LEFT(AD196,2))=18),"NW","Other")),"Other")</f>
        <v>Other</v>
      </c>
      <c r="AH196" s="86" t="str">
        <f t="shared" si="17"/>
        <v>"%USERPROFILE%\Documents\GitHub\eaglep3\Utilities\RefineRTDCRunTimes.py" --tripid 302-09 --locoid 4031 --swversion DE.1.0.9.0 --startMP 300:19571 --initTime 2017-04-09T02:50:04 --startdatetime 2017-04-09T02:54:44 --delay 4 --endMP 204:127 --enddatetime 2017-04-09T03:00:27 --enforcementcount 0 &gt;&gt;C:\Users\stu\Documents\GitHub\eaglep3-reporting\EC\2017-04-09-refined-times.txt</v>
      </c>
      <c r="AI196" s="104" t="str">
        <f t="shared" si="18"/>
        <v>echo {"issue":{"subject":"","project_id":79,"tracker_id":40,"status_id":1,"priority_id":2,"assigned_to_id":23,"start_date":"2017-04-09","description":"","custom_fields":[{"id":1,"name":"Subdivision","value":"Other"},{"id":4,"name":"Milepost","value":"0.0127"},{"id":17,"name":"Train ID","value":"302-09"},{"id":16,"name":"Locomotive ID","value":"4031"},{"id":130,"name":"Impact","value":""},{"id":150,"name":"Time of Event (Mountain Time)","value":"03:00:27"},{"id":151,"name":"Denver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8"/>
      <c r="AL196" s="48"/>
      <c r="AM196" s="150" t="str">
        <f t="shared" si="19"/>
        <v>start /low /b %USERPROFILE%\Documents\GitHub\eaglep3\Utilities\DownloadLogsFromS3.py --loco 4031 --day 2017-04-09</v>
      </c>
      <c r="AN196" s="159" t="str">
        <f t="shared" si="20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09:00:27"},{"id":29,"name":"Sharepoint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40" x14ac:dyDescent="0.25">
      <c r="A197" s="33" t="s">
        <v>793</v>
      </c>
      <c r="B197" s="7">
        <v>4044</v>
      </c>
      <c r="C197" s="21" t="s">
        <v>215</v>
      </c>
      <c r="D197" s="21" t="s">
        <v>428</v>
      </c>
      <c r="E197" s="13">
        <v>42834.778136574074</v>
      </c>
      <c r="F197" s="13">
        <v>42834.780740740738</v>
      </c>
      <c r="G197" s="7">
        <v>1</v>
      </c>
      <c r="H197" s="21" t="s">
        <v>483</v>
      </c>
      <c r="I197" s="13">
        <v>42834.787118055552</v>
      </c>
      <c r="J197" s="7">
        <v>0</v>
      </c>
      <c r="K197" s="97" t="str">
        <f>IF(ISEVEN(B197),(B197-1)&amp;"/"&amp;B197,B197&amp;"/"&amp;(B197+1))</f>
        <v>4043/4044</v>
      </c>
      <c r="L197" s="21" t="str">
        <f>VLOOKUP(A197,'Trips&amp;Operators'!$C$1:$G$99999,5,FALSE)</f>
        <v>BRUDER RICHARD</v>
      </c>
      <c r="M197" s="6">
        <f>I197-F197</f>
        <v>6.3773148140171543E-3</v>
      </c>
      <c r="N197" s="7">
        <f>24*60*SUM($M197:$M197)</f>
        <v>9.1833333321847022</v>
      </c>
      <c r="O197" s="7"/>
      <c r="P197" s="7"/>
      <c r="Q197" s="22"/>
      <c r="R197" s="22"/>
      <c r="S197" s="31">
        <f>SUM(U197:U197)/IF(AG197="EC",12,1)</f>
        <v>1</v>
      </c>
      <c r="T197" s="46" t="str">
        <f>IF(ISEVEN(LEFT(AD197,4)),"Southbound","NorthBound")</f>
        <v>NorthBound</v>
      </c>
      <c r="U197" s="18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2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-04-09T17:40:31-0600',mode:absolute,to:'2017-04-09T19:53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7" s="183" t="str">
        <f>IF(AA197&lt;IF(AG197="EC",23,5.65),"Y","N")</f>
        <v>Y</v>
      </c>
      <c r="X197" s="183">
        <f>VALUE(LEFT(AD197,4))-VALUE(LEFT(AD196,4))</f>
        <v>1</v>
      </c>
      <c r="Y197" s="62">
        <f>RIGHT(D197,LEN(D197)-4)/10000</f>
        <v>4.7100000000000003E-2</v>
      </c>
      <c r="Z197" s="62">
        <f>RIGHT(H197,LEN(H197)-4)/10000</f>
        <v>2.3304</v>
      </c>
      <c r="AA197" s="62">
        <f>ABS(Z197-Y197)</f>
        <v>2.2833000000000001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>IF(LEN(A197)=6,"0"&amp;A197,A197)</f>
        <v>0303-09</v>
      </c>
      <c r="AE197" s="85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s3://rtdc.mdm.uploadarchive.raw/RTDC4044/ "%USERPROFILE%\AppData\Local\Temp\OnboardLogs"\RTDC4044\2017-04-09 --exclude "*" --recursive --include "*20170409*" &amp; "%USERPROFILE%\Documents\GitHub\mrs-test-scripts\Headless Mode &amp; Sideloading\WalkAndUnGZ.bat" "%USERPROFILE%\AppData\Local\Temp\OnboardLogs"\RTDC4044\2017-04-09 &amp; aws s3 cp s3://rtdc.mdm.uploadarchive.raw/RTDC4044/ "%USERPROFILE%\AppData\Local\Temp\OnboardLogs"\RTDC4044\2017-04-10 --exclude "*" --recursive --include "*20170410*" &amp; "%USERPROFILE%\Documents\GitHub\mrs-test-scripts\Headless Mode &amp; Sideloading\WalkAndUnGZ.bat" "%USERPROFILE%\AppData\Local\Temp\OnboardLogs"\RTDC4044\2017-04-10</v>
      </c>
      <c r="AF197" s="82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/stypes="app*4044*20170410*" /stext=" 00:.+((SYSTEM_STATE.+slice.+state.+changed )|(ment ac)|(multiple cpu faults)|(system.+state.+changed )|(\[timeout)|(PRM\|1\|D)|(kpr)|(kdp)|(\|lc)|(penalty))"</v>
      </c>
      <c r="AG197" s="1" t="str">
        <f>IFERROR(IF(VALUE(LEFT(AD197,2))&lt;=2,"EC",IF(OR(VALUE(LEFT(AD197,2))=8,VALUE(LEFT(AD197,2))=18),"NW","Other")),"Other")</f>
        <v>Other</v>
      </c>
      <c r="AH197" s="86" t="str">
        <f t="shared" si="17"/>
        <v>"%USERPROFILE%\Documents\GitHub\eaglep3\Utilities\RefineRTDCRunTimes.py" --tripid 303-09 --locoid 4044 --swversion DE.1.0.9.0 --startMP 204:471 --initTime 2017-04-09T18:40:31 --startdatetime 2017-04-09T18:44:16 --delay 1 --endMP 300:23304 --enddatetime 2017-04-09T18:53:27 --enforcementcount 0 &gt;&gt;C:\Users\stu\Documents\GitHub\eaglep3-reporting\EC\2017-04-09-refined-times.txt</v>
      </c>
      <c r="AI197" s="104" t="str">
        <f t="shared" si="18"/>
        <v>echo {"issue":{"subject":"","project_id":79,"tracker_id":40,"status_id":1,"priority_id":2,"assigned_to_id":23,"start_date":"2017-04-09","description":"","custom_fields":[{"id":1,"name":"Subdivision","value":"Other"},{"id":4,"name":"Milepost","value":"2.3304"},{"id":17,"name":"Train ID","value":"303-09"},{"id":16,"name":"Locomotive ID","value":"4044"},{"id":130,"name":"Impact","value":""},{"id":150,"name":"Time of Event (Mountain Time)","value":"18:53:27"},{"id":151,"name":"Denver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8"/>
      <c r="AL197" s="48"/>
      <c r="AM197" s="150" t="str">
        <f t="shared" si="19"/>
        <v>start /low /b %USERPROFILE%\Documents\GitHub\eaglep3\Utilities\DownloadLogsFromS3.py --loco 4044 --day 2017-04-09</v>
      </c>
      <c r="AN197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00:53:27"},{"id":29,"name":"Sharepoint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40" s="20" customFormat="1" x14ac:dyDescent="0.25">
      <c r="A198" s="33" t="s">
        <v>636</v>
      </c>
      <c r="B198" s="7">
        <v>4029</v>
      </c>
      <c r="C198" s="21" t="s">
        <v>215</v>
      </c>
      <c r="D198" s="21" t="s">
        <v>957</v>
      </c>
      <c r="E198" s="13">
        <v>42834.137719907405</v>
      </c>
      <c r="F198" s="13">
        <v>42834.140717592592</v>
      </c>
      <c r="G198" s="7">
        <v>4</v>
      </c>
      <c r="H198" s="21" t="s">
        <v>408</v>
      </c>
      <c r="I198" s="13">
        <v>42834.146793981483</v>
      </c>
      <c r="J198" s="7">
        <v>0</v>
      </c>
      <c r="K198" s="97" t="str">
        <f>IF(ISEVEN(B198),(B198-1)&amp;"/"&amp;B198,B198&amp;"/"&amp;(B198+1))</f>
        <v>4029/4030</v>
      </c>
      <c r="L198" s="21" t="str">
        <f>VLOOKUP(A198,'Trips&amp;Operators'!$C$1:$G$99999,5,FALSE)</f>
        <v>MAELZER KURT</v>
      </c>
      <c r="M198" s="6">
        <f>I198-F198</f>
        <v>6.0763888905057684E-3</v>
      </c>
      <c r="N198" s="7">
        <f>24*60*SUM($M198:$M198)</f>
        <v>8.7500000023283064</v>
      </c>
      <c r="O198" s="7"/>
      <c r="P198" s="7"/>
      <c r="Q198" s="22"/>
      <c r="R198" s="22"/>
      <c r="S198" s="31">
        <f>SUM(U198:U198)/IF(AG198="EC",12,1)</f>
        <v>1</v>
      </c>
      <c r="T198" s="46" t="str">
        <f>IF(ISEVEN(LEFT(AD198,4)),"Southbound","NorthBound")</f>
        <v>Southbound</v>
      </c>
      <c r="U198" s="18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2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-04-09T02:18:19-0600',mode:absolute,to:'2017-04-09T04:31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8" s="183" t="str">
        <f>IF(AA198&lt;IF(AG198="EC",23,5.65),"Y","N")</f>
        <v>Y</v>
      </c>
      <c r="X198" s="183">
        <f>VALUE(LEFT(AD198,4))-VALUE(LEFT(AD197,4))</f>
        <v>1</v>
      </c>
      <c r="Y198" s="62">
        <f>RIGHT(D198,LEN(D198)-4)/10000</f>
        <v>2.355</v>
      </c>
      <c r="Z198" s="62">
        <f>RIGHT(H198,LEN(H198)-4)/10000</f>
        <v>1.41E-2</v>
      </c>
      <c r="AA198" s="62">
        <f>ABS(Z198-Y198)</f>
        <v>2.3409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>IF(LEN(A198)=6,"0"&amp;A198,A198)</f>
        <v>0304-09</v>
      </c>
      <c r="AE198" s="85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s3://rtdc.mdm.uploadarchive.raw/RTDC4029/ "%USERPROFILE%\AppData\Local\Temp\OnboardLogs"\RTDC4029\2017-04-09 --exclude "*" --recursive --include "*20170409*" &amp; "%USERPROFILE%\Documents\GitHub\mrs-test-scripts\Headless Mode &amp; Sideloading\WalkAndUnGZ.bat" "%USERPROFILE%\AppData\Local\Temp\OnboardLogs"\RTDC4029\2017-04-09 &amp; aws s3 cp s3://rtdc.mdm.uploadarchive.raw/RTDC4029/ "%USERPROFILE%\AppData\Local\Temp\OnboardLogs"\RTDC4029\2017-04-10 --exclude "*" --recursive --include "*20170410*" &amp; "%USERPROFILE%\Documents\GitHub\mrs-test-scripts\Headless Mode &amp; Sideloading\WalkAndUnGZ.bat" "%USERPROFILE%\AppData\Local\Temp\OnboardLogs"\RTDC4029\2017-04-10</v>
      </c>
      <c r="AF198" s="82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/stypes="app*4029*20170409*" /stext=" 09:.+((SYSTEM_STATE.+slice.+state.+changed )|(ment ac)|(multiple cpu faults)|(system.+state.+changed )|(\[timeout)|(PRM\|1\|D)|(kpr)|(kdp)|(\|lc)|(penalty))"</v>
      </c>
      <c r="AG198" s="1" t="str">
        <f>IFERROR(IF(VALUE(LEFT(AD198,2))&lt;=2,"EC",IF(OR(VALUE(LEFT(AD198,2))=8,VALUE(LEFT(AD198,2))=18),"NW","Other")),"Other")</f>
        <v>Other</v>
      </c>
      <c r="AH198" s="86" t="str">
        <f t="shared" si="17"/>
        <v>"%USERPROFILE%\Documents\GitHub\eaglep3\Utilities\RefineRTDCRunTimes.py" --tripid 304-09 --locoid 4029 --swversion DE.1.0.9.0 --startMP 300:23550 --initTime 2017-04-09T03:18:19 --startdatetime 2017-04-09T03:22:38 --delay 4 --endMP 204:141 --enddatetime 2017-04-09T03:31:23 --enforcementcount 0 &gt;&gt;C:\Users\stu\Documents\GitHub\eaglep3-reporting\EC\2017-04-09-refined-times.txt</v>
      </c>
      <c r="AI198" s="104" t="str">
        <f t="shared" si="18"/>
        <v>echo {"issue":{"subject":"","project_id":79,"tracker_id":40,"status_id":1,"priority_id":2,"assigned_to_id":23,"start_date":"2017-04-09","description":"","custom_fields":[{"id":1,"name":"Subdivision","value":"Other"},{"id":4,"name":"Milepost","value":"0.0141"},{"id":17,"name":"Train ID","value":"304-09"},{"id":16,"name":"Locomotive ID","value":"4029"},{"id":130,"name":"Impact","value":""},{"id":150,"name":"Time of Event (Mountain Time)","value":"03:31:23"},{"id":151,"name":"Denver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8" s="48"/>
      <c r="AL198" s="48"/>
      <c r="AM198" s="150" t="str">
        <f t="shared" si="19"/>
        <v>start /low /b %USERPROFILE%\Documents\GitHub\eaglep3\Utilities\DownloadLogsFromS3.py --loco 4029 --day 2017-04-09</v>
      </c>
      <c r="AN198" s="159" t="str">
        <f t="shared" si="20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09:31:23"},{"id":29,"name":"Sharepoint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40" x14ac:dyDescent="0.25">
      <c r="A199" s="33" t="s">
        <v>640</v>
      </c>
      <c r="B199" s="7">
        <v>4045</v>
      </c>
      <c r="C199" s="21" t="s">
        <v>215</v>
      </c>
      <c r="D199" s="21" t="s">
        <v>958</v>
      </c>
      <c r="E199" s="13">
        <v>42834.158113425925</v>
      </c>
      <c r="F199" s="13">
        <v>42834.16265046296</v>
      </c>
      <c r="G199" s="7">
        <v>6</v>
      </c>
      <c r="H199" s="21" t="s">
        <v>197</v>
      </c>
      <c r="I199" s="13">
        <v>42834.16878472222</v>
      </c>
      <c r="J199" s="7">
        <v>0</v>
      </c>
      <c r="K199" s="97" t="str">
        <f>IF(ISEVEN(B199),(B199-1)&amp;"/"&amp;B199,B199&amp;"/"&amp;(B199+1))</f>
        <v>4045/4046</v>
      </c>
      <c r="L199" s="21" t="str">
        <f>VLOOKUP(A199,'Trips&amp;Operators'!$C$1:$G$99999,5,FALSE)</f>
        <v>BADERTSCHER DIANE</v>
      </c>
      <c r="M199" s="6">
        <f>I199-F199</f>
        <v>6.1342592598521151E-3</v>
      </c>
      <c r="N199" s="7">
        <f>24*60*SUM($M199:$M199)</f>
        <v>8.8333333341870457</v>
      </c>
      <c r="O199" s="7"/>
      <c r="P199" s="7"/>
      <c r="Q199" s="22"/>
      <c r="R199" s="22"/>
      <c r="S199" s="31">
        <f>SUM(U199:U199)/IF(AG199="EC",12,1)</f>
        <v>1</v>
      </c>
      <c r="T199" s="46" t="str">
        <f>IF(ISEVEN(LEFT(AD199,4)),"Southbound","NorthBound")</f>
        <v>Southbound</v>
      </c>
      <c r="U199" s="18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2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-04-09T02:47:41-0600',mode:absolute,to:'2017-04-09T05:03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9" s="183" t="str">
        <f>IF(AA199&lt;IF(AG199="EC",23,5.65),"Y","N")</f>
        <v>Y</v>
      </c>
      <c r="X199" s="183">
        <f>VALUE(LEFT(AD199,4))-VALUE(LEFT(AD198,4))</f>
        <v>2</v>
      </c>
      <c r="Y199" s="62">
        <f>RIGHT(D199,LEN(D199)-4)/10000</f>
        <v>2.2768000000000002</v>
      </c>
      <c r="Z199" s="62">
        <f>RIGHT(H199,LEN(H199)-4)/10000</f>
        <v>1.52E-2</v>
      </c>
      <c r="AA199" s="62">
        <f>ABS(Z199-Y199)</f>
        <v>2.2616000000000001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>IF(LEN(A199)=6,"0"&amp;A199,A199)</f>
        <v>0306-09</v>
      </c>
      <c r="AE199" s="85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s3://rtdc.mdm.uploadarchive.raw/RTDC4045/ "%USERPROFILE%\AppData\Local\Temp\OnboardLogs"\RTDC4045\2017-04-09 --exclude "*" --recursive --include "*20170409*" &amp; "%USERPROFILE%\Documents\GitHub\mrs-test-scripts\Headless Mode &amp; Sideloading\WalkAndUnGZ.bat" "%USERPROFILE%\AppData\Local\Temp\OnboardLogs"\RTDC4045\2017-04-09 &amp; aws s3 cp s3://rtdc.mdm.uploadarchive.raw/RTDC4045/ "%USERPROFILE%\AppData\Local\Temp\OnboardLogs"\RTDC4045\2017-04-10 --exclude "*" --recursive --include "*20170410*" &amp; "%USERPROFILE%\Documents\GitHub\mrs-test-scripts\Headless Mode &amp; Sideloading\WalkAndUnGZ.bat" "%USERPROFILE%\AppData\Local\Temp\OnboardLogs"\RTDC4045\2017-04-10</v>
      </c>
      <c r="AF199" s="82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/stypes="app*4045*20170409*" /stext=" 10:.+((SYSTEM_STATE.+slice.+state.+changed )|(ment ac)|(multiple cpu faults)|(system.+state.+changed )|(\[timeout)|(PRM\|1\|D)|(kpr)|(kdp)|(\|lc)|(penalty))"</v>
      </c>
      <c r="AG199" s="1" t="str">
        <f>IFERROR(IF(VALUE(LEFT(AD199,2))&lt;=2,"EC",IF(OR(VALUE(LEFT(AD199,2))=8,VALUE(LEFT(AD199,2))=18),"NW","Other")),"Other")</f>
        <v>Other</v>
      </c>
      <c r="AH199" s="86" t="str">
        <f t="shared" si="17"/>
        <v>"%USERPROFILE%\Documents\GitHub\eaglep3\Utilities\RefineRTDCRunTimes.py" --tripid 306-09 --locoid 4045 --swversion DE.1.0.9.0 --startMP 300:22768 --initTime 2017-04-09T03:47:41 --startdatetime 2017-04-09T03:54:13 --delay 6 --endMP 204:152 --enddatetime 2017-04-09T04:03:03 --enforcementcount 0 &gt;&gt;C:\Users\stu\Documents\GitHub\eaglep3-reporting\EC\2017-04-09-refined-times.txt</v>
      </c>
      <c r="AI199" s="104" t="str">
        <f t="shared" si="18"/>
        <v>echo {"issue":{"subject":"","project_id":79,"tracker_id":40,"status_id":1,"priority_id":2,"assigned_to_id":23,"start_date":"2017-04-09","description":"","custom_fields":[{"id":1,"name":"Subdivision","value":"Other"},{"id":4,"name":"Milepost","value":"0.0152"},{"id":17,"name":"Train ID","value":"306-09"},{"id":16,"name":"Locomotive ID","value":"4045"},{"id":130,"name":"Impact","value":""},{"id":150,"name":"Time of Event (Mountain Time)","value":"04:03:03"},{"id":151,"name":"Denver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8"/>
      <c r="AL199" s="48"/>
      <c r="AM199" s="150" t="str">
        <f t="shared" si="19"/>
        <v>start /low /b %USERPROFILE%\Documents\GitHub\eaglep3\Utilities\DownloadLogsFromS3.py --loco 4045 --day 2017-04-09</v>
      </c>
      <c r="AN199" s="159" t="str">
        <f t="shared" si="20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10:03:03"},{"id":29,"name":"Sharepoint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40" x14ac:dyDescent="0.25">
      <c r="A200" s="33" t="s">
        <v>622</v>
      </c>
      <c r="B200" s="7">
        <v>4030</v>
      </c>
      <c r="C200" s="21" t="s">
        <v>215</v>
      </c>
      <c r="D200" s="21" t="s">
        <v>574</v>
      </c>
      <c r="E200" s="13">
        <v>42834.823171296295</v>
      </c>
      <c r="F200" s="13">
        <v>42834.830370370371</v>
      </c>
      <c r="G200" s="7">
        <v>2</v>
      </c>
      <c r="H200" s="21" t="s">
        <v>959</v>
      </c>
      <c r="I200" s="13">
        <v>42834.835694444446</v>
      </c>
      <c r="J200" s="7">
        <v>0</v>
      </c>
      <c r="K200" s="97" t="str">
        <f>IF(ISEVEN(B200),(B200-1)&amp;"/"&amp;B200,B200&amp;"/"&amp;(B200+1))</f>
        <v>4029/4030</v>
      </c>
      <c r="L200" s="21" t="str">
        <f>VLOOKUP(A200,'Trips&amp;Operators'!$C$1:$G$99999,5,FALSE)</f>
        <v>BRANDNER MELINDA</v>
      </c>
      <c r="M200" s="6">
        <f>I200-F200</f>
        <v>5.324074074451346E-3</v>
      </c>
      <c r="N200" s="7">
        <f>24*60*SUM($M200:$M200)</f>
        <v>7.6666666672099382</v>
      </c>
      <c r="O200" s="7"/>
      <c r="P200" s="7"/>
      <c r="Q200" s="22"/>
      <c r="R200" s="22"/>
      <c r="S200" s="31">
        <f>SUM(U200:U200)/IF(AG200="EC",12,1)</f>
        <v>1</v>
      </c>
      <c r="T200" s="46" t="str">
        <f>IF(ISEVEN(LEFT(AD200,4)),"Southbound","NorthBound")</f>
        <v>NorthBound</v>
      </c>
      <c r="U200" s="18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2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-04-09T18:45:22-0600',mode:absolute,to:'2017-04-09T21:03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0" s="183" t="str">
        <f>IF(AA200&lt;IF(AG200="EC",23,5.65),"Y","N")</f>
        <v>Y</v>
      </c>
      <c r="X200" s="183">
        <f>VALUE(LEFT(AD200,4))-VALUE(LEFT(AD199,4))</f>
        <v>1</v>
      </c>
      <c r="Y200" s="62">
        <f>RIGHT(D200,LEN(D200)-4)/10000</f>
        <v>4.4200000000000003E-2</v>
      </c>
      <c r="Z200" s="62">
        <f>RIGHT(H200,LEN(H200)-4)/10000</f>
        <v>2.2603</v>
      </c>
      <c r="AA200" s="62">
        <f>ABS(Z200-Y200)</f>
        <v>2.2161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>IF(LEN(A200)=6,"0"&amp;A200,A200)</f>
        <v>0307-09</v>
      </c>
      <c r="AE200" s="85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s3://rtdc.mdm.uploadarchive.raw/RTDC4030/ "%USERPROFILE%\AppData\Local\Temp\OnboardLogs"\RTDC4030\2017-04-09 --exclude "*" --recursive --include "*20170409*" &amp; "%USERPROFILE%\Documents\GitHub\mrs-test-scripts\Headless Mode &amp; Sideloading\WalkAndUnGZ.bat" "%USERPROFILE%\AppData\Local\Temp\OnboardLogs"\RTDC4030\2017-04-09 &amp; aws s3 cp s3://rtdc.mdm.uploadarchive.raw/RTDC4030/ "%USERPROFILE%\AppData\Local\Temp\OnboardLogs"\RTDC4030\2017-04-10 --exclude "*" --recursive --include "*20170410*" &amp; "%USERPROFILE%\Documents\GitHub\mrs-test-scripts\Headless Mode &amp; Sideloading\WalkAndUnGZ.bat" "%USERPROFILE%\AppData\Local\Temp\OnboardLogs"\RTDC4030\2017-04-10</v>
      </c>
      <c r="AF200" s="82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/stypes="app*4030*20170410*" /stext=" 02:.+((SYSTEM_STATE.+slice.+state.+changed )|(ment ac)|(multiple cpu faults)|(system.+state.+changed )|(\[timeout)|(PRM\|1\|D)|(kpr)|(kdp)|(\|lc)|(penalty))"</v>
      </c>
      <c r="AG200" s="1" t="str">
        <f>IFERROR(IF(VALUE(LEFT(AD200,2))&lt;=2,"EC",IF(OR(VALUE(LEFT(AD200,2))=8,VALUE(LEFT(AD200,2))=18),"NW","Other")),"Other")</f>
        <v>Other</v>
      </c>
      <c r="AH200" s="86" t="str">
        <f t="shared" si="17"/>
        <v>"%USERPROFILE%\Documents\GitHub\eaglep3\Utilities\RefineRTDCRunTimes.py" --tripid 307-09 --locoid 4030 --swversion DE.1.0.9.0 --startMP 204:442 --initTime 2017-04-09T19:45:22 --startdatetime 2017-04-09T19:55:44 --delay 2 --endMP 300:22603 --enddatetime 2017-04-09T20:03:24 --enforcementcount 0 &gt;&gt;C:\Users\stu\Documents\GitHub\eaglep3-reporting\EC\2017-04-09-refined-times.txt</v>
      </c>
      <c r="AI200" s="104" t="str">
        <f t="shared" si="18"/>
        <v>echo {"issue":{"subject":"","project_id":79,"tracker_id":40,"status_id":1,"priority_id":2,"assigned_to_id":23,"start_date":"2017-04-09","description":"","custom_fields":[{"id":1,"name":"Subdivision","value":"Other"},{"id":4,"name":"Milepost","value":"2.2603"},{"id":17,"name":"Train ID","value":"307-09"},{"id":16,"name":"Locomotive ID","value":"4030"},{"id":130,"name":"Impact","value":""},{"id":150,"name":"Time of Event (Mountain Time)","value":"20:03:24"},{"id":151,"name":"Denver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8"/>
      <c r="AL200" s="48"/>
      <c r="AM200" s="150" t="str">
        <f t="shared" si="19"/>
        <v>start /low /b %USERPROFILE%\Documents\GitHub\eaglep3\Utilities\DownloadLogsFromS3.py --loco 4030 --day 2017-04-09</v>
      </c>
      <c r="AN200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02:03:24"},{"id":29,"name":"Sharepoint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40" x14ac:dyDescent="0.25">
      <c r="A201" s="33" t="s">
        <v>643</v>
      </c>
      <c r="B201" s="7">
        <v>4019</v>
      </c>
      <c r="C201" s="21" t="s">
        <v>215</v>
      </c>
      <c r="D201" s="21" t="s">
        <v>960</v>
      </c>
      <c r="E201" s="13">
        <v>42834.173587962963</v>
      </c>
      <c r="F201" s="13">
        <v>42834.175879629627</v>
      </c>
      <c r="G201" s="7">
        <v>3</v>
      </c>
      <c r="H201" s="21" t="s">
        <v>843</v>
      </c>
      <c r="I201" s="13">
        <v>42834.181527777779</v>
      </c>
      <c r="J201" s="7">
        <v>0</v>
      </c>
      <c r="K201" s="97" t="str">
        <f>IF(ISEVEN(B201),(B201-1)&amp;"/"&amp;B201,B201&amp;"/"&amp;(B201+1))</f>
        <v>4019/4020</v>
      </c>
      <c r="L201" s="21" t="str">
        <f>VLOOKUP(A201,'Trips&amp;Operators'!$C$1:$G$99999,5,FALSE)</f>
        <v>DAVIS WENDY</v>
      </c>
      <c r="M201" s="6">
        <f>I201-F201</f>
        <v>5.6481481515220366E-3</v>
      </c>
      <c r="N201" s="7">
        <f>24*60*SUM($M201:$M201)</f>
        <v>8.1333333381917328</v>
      </c>
      <c r="O201" s="7"/>
      <c r="P201" s="7"/>
      <c r="Q201" s="22"/>
      <c r="R201" s="22"/>
      <c r="S201" s="31">
        <f>SUM(U201:U201)/IF(AG201="EC",12,1)</f>
        <v>1</v>
      </c>
      <c r="T201" s="46" t="str">
        <f>IF(ISEVEN(LEFT(AD201,4)),"Southbound","NorthBound")</f>
        <v>Southbound</v>
      </c>
      <c r="U201" s="18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2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-04-09T03:09:58-0600',mode:absolute,to:'2017-04-09T05:21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1" s="183" t="str">
        <f>IF(AA201&lt;IF(AG201="EC",23,5.65),"Y","N")</f>
        <v>Y</v>
      </c>
      <c r="X201" s="183">
        <f>VALUE(LEFT(AD201,4))-VALUE(LEFT(AD200,4))</f>
        <v>1</v>
      </c>
      <c r="Y201" s="62">
        <f>RIGHT(D201,LEN(D201)-4)/10000</f>
        <v>2.3700999999999999</v>
      </c>
      <c r="Z201" s="62">
        <f>RIGHT(H201,LEN(H201)-4)/10000</f>
        <v>1.4999999999999999E-2</v>
      </c>
      <c r="AA201" s="62">
        <f>ABS(Z201-Y201)</f>
        <v>2.3550999999999997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>IF(LEN(A201)=6,"0"&amp;A201,A201)</f>
        <v>0308-09</v>
      </c>
      <c r="AE201" s="85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s3://rtdc.mdm.uploadarchive.raw/RTDC4019/ "%USERPROFILE%\AppData\Local\Temp\OnboardLogs"\RTDC4019\2017-04-09 --exclude "*" --recursive --include "*20170409*" &amp; "%USERPROFILE%\Documents\GitHub\mrs-test-scripts\Headless Mode &amp; Sideloading\WalkAndUnGZ.bat" "%USERPROFILE%\AppData\Local\Temp\OnboardLogs"\RTDC4019\2017-04-09 &amp; aws s3 cp s3://rtdc.mdm.uploadarchive.raw/RTDC4019/ "%USERPROFILE%\AppData\Local\Temp\OnboardLogs"\RTDC4019\2017-04-10 --exclude "*" --recursive --include "*20170410*" &amp; "%USERPROFILE%\Documents\GitHub\mrs-test-scripts\Headless Mode &amp; Sideloading\WalkAndUnGZ.bat" "%USERPROFILE%\AppData\Local\Temp\OnboardLogs"\RTDC4019\2017-04-10</v>
      </c>
      <c r="AF201" s="82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/stypes="app*4019*20170409*" /stext=" 10:.+((SYSTEM_STATE.+slice.+state.+changed )|(ment ac)|(multiple cpu faults)|(system.+state.+changed )|(\[timeout)|(PRM\|1\|D)|(kpr)|(kdp)|(\|lc)|(penalty))"</v>
      </c>
      <c r="AG201" s="1" t="str">
        <f>IFERROR(IF(VALUE(LEFT(AD201,2))&lt;=2,"EC",IF(OR(VALUE(LEFT(AD201,2))=8,VALUE(LEFT(AD201,2))=18),"NW","Other")),"Other")</f>
        <v>Other</v>
      </c>
      <c r="AH201" s="86" t="str">
        <f t="shared" si="17"/>
        <v>"%USERPROFILE%\Documents\GitHub\eaglep3\Utilities\RefineRTDCRunTimes.py" --tripid 308-09 --locoid 4019 --swversion DE.1.0.9.0 --startMP 300:23701 --initTime 2017-04-09T04:09:58 --startdatetime 2017-04-09T04:13:16 --delay 3 --endMP 204:150 --enddatetime 2017-04-09T04:21:24 --enforcementcount 0 &gt;&gt;C:\Users\stu\Documents\GitHub\eaglep3-reporting\EC\2017-04-09-refined-times.txt</v>
      </c>
      <c r="AI201" s="104" t="str">
        <f t="shared" si="18"/>
        <v>echo {"issue":{"subject":"","project_id":79,"tracker_id":40,"status_id":1,"priority_id":2,"assigned_to_id":23,"start_date":"2017-04-09","description":"","custom_fields":[{"id":1,"name":"Subdivision","value":"Other"},{"id":4,"name":"Milepost","value":"0.015"},{"id":17,"name":"Train ID","value":"308-09"},{"id":16,"name":"Locomotive ID","value":"4019"},{"id":130,"name":"Impact","value":""},{"id":150,"name":"Time of Event (Mountain Time)","value":"04:21:24"},{"id":151,"name":"Denver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8"/>
      <c r="AL201" s="48"/>
      <c r="AM201" s="150" t="str">
        <f t="shared" si="19"/>
        <v>start /low /b %USERPROFILE%\Documents\GitHub\eaglep3\Utilities\DownloadLogsFromS3.py --loco 4019 --day 2017-04-09</v>
      </c>
      <c r="AN201" s="159" t="str">
        <f t="shared" si="20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10:21:24"},{"id":29,"name":"Sharepoint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40" x14ac:dyDescent="0.25">
      <c r="A202" s="33" t="s">
        <v>828</v>
      </c>
      <c r="B202" s="7">
        <v>4012</v>
      </c>
      <c r="C202" s="21" t="s">
        <v>215</v>
      </c>
      <c r="D202" s="21" t="s">
        <v>394</v>
      </c>
      <c r="E202" s="13">
        <v>42835.04959490741</v>
      </c>
      <c r="F202" s="13">
        <v>42835.051342592589</v>
      </c>
      <c r="G202" s="7">
        <v>1</v>
      </c>
      <c r="H202" s="21" t="s">
        <v>421</v>
      </c>
      <c r="I202" s="13">
        <v>42835.061041666668</v>
      </c>
      <c r="J202" s="7">
        <v>0</v>
      </c>
      <c r="K202" s="97" t="str">
        <f>IF(ISEVEN(B202),(B202-1)&amp;"/"&amp;B202,B202&amp;"/"&amp;(B202+1))</f>
        <v>4011/4012</v>
      </c>
      <c r="L202" s="21" t="str">
        <f>VLOOKUP(A202,'Trips&amp;Operators'!$C$1:$G$99999,5,FALSE)</f>
        <v>DUNCAN SHEILA</v>
      </c>
      <c r="M202" s="6">
        <f>I202-F202</f>
        <v>9.6990740785258822E-3</v>
      </c>
      <c r="N202" s="7">
        <f>24*60*SUM($M202:$M202)</f>
        <v>13.96666667307727</v>
      </c>
      <c r="O202" s="7"/>
      <c r="P202" s="7"/>
      <c r="Q202" s="22"/>
      <c r="R202" s="22"/>
      <c r="S202" s="31">
        <f>SUM(U202:U202)/IF(AG202="EC",12,1)</f>
        <v>1</v>
      </c>
      <c r="T202" s="46" t="str">
        <f>IF(ISEVEN(LEFT(AD202,4)),"Southbound","NorthBound")</f>
        <v>NorthBound</v>
      </c>
      <c r="U202" s="18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2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-04-10T00:11:25-0600',mode:absolute,to:'2017-04-10T02:27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2" s="183" t="str">
        <f>IF(AA202&lt;IF(AG202="EC",23,5.65),"Y","N")</f>
        <v>Y</v>
      </c>
      <c r="X202" s="183">
        <f>VALUE(LEFT(AD202,4))-VALUE(LEFT(AD201,4))</f>
        <v>1</v>
      </c>
      <c r="Y202" s="62">
        <f>RIGHT(D202,LEN(D202)-4)/10000</f>
        <v>4.4900000000000002E-2</v>
      </c>
      <c r="Z202" s="62">
        <f>RIGHT(H202,LEN(H202)-4)/10000</f>
        <v>2.3346</v>
      </c>
      <c r="AA202" s="62">
        <f>ABS(Z202-Y202)</f>
        <v>2.2896999999999998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>IF(LEN(A202)=6,"0"&amp;A202,A202)</f>
        <v>0309-09</v>
      </c>
      <c r="AE202" s="85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s3://rtdc.mdm.uploadarchive.raw/RTDC4012/ "%USERPROFILE%\AppData\Local\Temp\OnboardLogs"\RTDC4012\2017-04-10 --exclude "*" --recursive --include "*20170410*" &amp; "%USERPROFILE%\Documents\GitHub\mrs-test-scripts\Headless Mode &amp; Sideloading\WalkAndUnGZ.bat" "%USERPROFILE%\AppData\Local\Temp\OnboardLogs"\RTDC4012\2017-04-10 &amp; aws s3 cp s3://rtdc.mdm.uploadarchive.raw/RTDC4012/ "%USERPROFILE%\AppData\Local\Temp\OnboardLogs"\RTDC4012\2017-04-11 --exclude "*" --recursive --include "*20170411*" &amp; "%USERPROFILE%\Documents\GitHub\mrs-test-scripts\Headless Mode &amp; Sideloading\WalkAndUnGZ.bat" "%USERPROFILE%\AppData\Local\Temp\OnboardLogs"\RTDC4012\2017-04-11</v>
      </c>
      <c r="AF202" s="82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/stypes="app*4012*20170410*" /stext=" 07:.+((SYSTEM_STATE.+slice.+state.+changed )|(ment ac)|(multiple cpu faults)|(system.+state.+changed )|(\[timeout)|(PRM\|1\|D)|(kpr)|(kdp)|(\|lc)|(penalty))"</v>
      </c>
      <c r="AG202" s="1" t="str">
        <f>IFERROR(IF(VALUE(LEFT(AD202,2))&lt;=2,"EC",IF(OR(VALUE(LEFT(AD202,2))=8,VALUE(LEFT(AD202,2))=18),"NW","Other")),"Other")</f>
        <v>Other</v>
      </c>
      <c r="AH202" s="86" t="str">
        <f t="shared" si="17"/>
        <v>"%USERPROFILE%\Documents\GitHub\eaglep3\Utilities\RefineRTDCRunTimes.py" --tripid 309-09 --locoid 4012 --swversion DE.1.0.9.0 --startMP 204:449 --initTime 2017-04-10T01:11:25 --startdatetime 2017-04-10T01:13:56 --delay 1 --endMP 300:23346 --enddatetime 2017-04-10T01:27:54 --enforcementcount 0 &gt;&gt;C:\Users\stu\Documents\GitHub\eaglep3-reporting\EC\2017-04-09-refined-times.txt</v>
      </c>
      <c r="AI202" s="104" t="str">
        <f t="shared" si="18"/>
        <v>echo {"issue":{"subject":"","project_id":79,"tracker_id":40,"status_id":1,"priority_id":2,"assigned_to_id":23,"start_date":"2017-04-10","description":"","custom_fields":[{"id":1,"name":"Subdivision","value":"Other"},{"id":4,"name":"Milepost","value":"2.3346"},{"id":17,"name":"Train ID","value":"309-09"},{"id":16,"name":"Locomotive ID","value":"4012"},{"id":130,"name":"Impact","value":""},{"id":150,"name":"Time of Event (Mountain Time)","value":"01:27:54"},{"id":151,"name":"Denver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8"/>
      <c r="AL202" s="48"/>
      <c r="AM202" s="150" t="str">
        <f t="shared" si="19"/>
        <v>start /low /b %USERPROFILE%\Documents\GitHub\eaglep3\Utilities\DownloadLogsFromS3.py --loco 4012 --day 2017-04-10</v>
      </c>
      <c r="AN202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07:27:54"},{"id":29,"name":"Sharepoint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40" x14ac:dyDescent="0.25">
      <c r="A203" s="33" t="s">
        <v>646</v>
      </c>
      <c r="B203" s="7">
        <v>4043</v>
      </c>
      <c r="C203" s="21" t="s">
        <v>215</v>
      </c>
      <c r="D203" s="21" t="s">
        <v>961</v>
      </c>
      <c r="E203" s="13">
        <v>42834.181319444448</v>
      </c>
      <c r="F203" s="13">
        <v>42834.184293981481</v>
      </c>
      <c r="G203" s="7">
        <v>4</v>
      </c>
      <c r="H203" s="21" t="s">
        <v>409</v>
      </c>
      <c r="I203" s="13">
        <v>42834.191874999997</v>
      </c>
      <c r="J203" s="7">
        <v>0</v>
      </c>
      <c r="K203" s="97" t="str">
        <f>IF(ISEVEN(B203),(B203-1)&amp;"/"&amp;B203,B203&amp;"/"&amp;(B203+1))</f>
        <v>4043/4044</v>
      </c>
      <c r="L203" s="21" t="str">
        <f>VLOOKUP(A203,'Trips&amp;Operators'!$C$1:$G$99999,5,FALSE)</f>
        <v>ROBINSON KADDIBA</v>
      </c>
      <c r="M203" s="6">
        <f>I203-F203</f>
        <v>7.5810185153386556E-3</v>
      </c>
      <c r="N203" s="7">
        <f>24*60*SUM($M203:$M203)</f>
        <v>10.916666662087664</v>
      </c>
      <c r="O203" s="7"/>
      <c r="P203" s="7"/>
      <c r="Q203" s="22"/>
      <c r="R203" s="22"/>
      <c r="S203" s="31">
        <f>SUM(U203:U203)/IF(AG203="EC",12,1)</f>
        <v>1</v>
      </c>
      <c r="T203" s="46" t="str">
        <f>IF(ISEVEN(LEFT(AD203,4)),"Southbound","NorthBound")</f>
        <v>Southbound</v>
      </c>
      <c r="U203" s="18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2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-04-09T03:21:06-0600',mode:absolute,to:'2017-04-09T05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3" s="183" t="str">
        <f>IF(AA203&lt;IF(AG203="EC",23,5.65),"Y","N")</f>
        <v>Y</v>
      </c>
      <c r="X203" s="183">
        <f>VALUE(LEFT(AD203,4))-VALUE(LEFT(AD202,4))</f>
        <v>1</v>
      </c>
      <c r="Y203" s="62">
        <f>RIGHT(D203,LEN(D203)-4)/10000</f>
        <v>2.3426999999999998</v>
      </c>
      <c r="Z203" s="62">
        <f>RIGHT(H203,LEN(H203)-4)/10000</f>
        <v>1.6299999999999999E-2</v>
      </c>
      <c r="AA203" s="62">
        <f>ABS(Z203-Y203)</f>
        <v>2.3263999999999996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>IF(LEN(A203)=6,"0"&amp;A203,A203)</f>
        <v>0310-09</v>
      </c>
      <c r="AE203" s="85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s3://rtdc.mdm.uploadarchive.raw/RTDC4043/ "%USERPROFILE%\AppData\Local\Temp\OnboardLogs"\RTDC4043\2017-04-09 --exclude "*" --recursive --include "*20170409*" &amp; "%USERPROFILE%\Documents\GitHub\mrs-test-scripts\Headless Mode &amp; Sideloading\WalkAndUnGZ.bat" "%USERPROFILE%\AppData\Local\Temp\OnboardLogs"\RTDC4043\2017-04-09 &amp; aws s3 cp s3://rtdc.mdm.uploadarchive.raw/RTDC4043/ "%USERPROFILE%\AppData\Local\Temp\OnboardLogs"\RTDC4043\2017-04-10 --exclude "*" --recursive --include "*20170410*" &amp; "%USERPROFILE%\Documents\GitHub\mrs-test-scripts\Headless Mode &amp; Sideloading\WalkAndUnGZ.bat" "%USERPROFILE%\AppData\Local\Temp\OnboardLogs"\RTDC4043\2017-04-10</v>
      </c>
      <c r="AF203" s="82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/stypes="app*4043*20170409*" /stext=" 10:.+((SYSTEM_STATE.+slice.+state.+changed )|(ment ac)|(multiple cpu faults)|(system.+state.+changed )|(\[timeout)|(PRM\|1\|D)|(kpr)|(kdp)|(\|lc)|(penalty))"</v>
      </c>
      <c r="AG203" s="1" t="str">
        <f>IFERROR(IF(VALUE(LEFT(AD203,2))&lt;=2,"EC",IF(OR(VALUE(LEFT(AD203,2))=8,VALUE(LEFT(AD203,2))=18),"NW","Other")),"Other")</f>
        <v>Other</v>
      </c>
      <c r="AH203" s="86" t="str">
        <f t="shared" si="17"/>
        <v>"%USERPROFILE%\Documents\GitHub\eaglep3\Utilities\RefineRTDCRunTimes.py" --tripid 310-09 --locoid 4043 --swversion DE.1.0.9.0 --startMP 300:23427 --initTime 2017-04-09T04:21:06 --startdatetime 2017-04-09T04:25:23 --delay 4 --endMP 204:163 --enddatetime 2017-04-09T04:36:18 --enforcementcount 0 &gt;&gt;C:\Users\stu\Documents\GitHub\eaglep3-reporting\EC\2017-04-09-refined-times.txt</v>
      </c>
      <c r="AI203" s="104" t="str">
        <f t="shared" si="18"/>
        <v>echo {"issue":{"subject":"","project_id":79,"tracker_id":40,"status_id":1,"priority_id":2,"assigned_to_id":23,"start_date":"2017-04-09","description":"","custom_fields":[{"id":1,"name":"Subdivision","value":"Other"},{"id":4,"name":"Milepost","value":"0.0163"},{"id":17,"name":"Train ID","value":"310-09"},{"id":16,"name":"Locomotive ID","value":"4043"},{"id":130,"name":"Impact","value":""},{"id":150,"name":"Time of Event (Mountain Time)","value":"04:36:18"},{"id":151,"name":"Denver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8"/>
      <c r="AL203" s="48"/>
      <c r="AM203" s="150" t="str">
        <f t="shared" si="19"/>
        <v>start /low /b %USERPROFILE%\Documents\GitHub\eaglep3\Utilities\DownloadLogsFromS3.py --loco 4043 --day 2017-04-09</v>
      </c>
      <c r="AN203" s="159" t="str">
        <f t="shared" si="20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10:36:18"},{"id":29,"name":"Sharepoint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40" x14ac:dyDescent="0.25">
      <c r="A204" s="33" t="s">
        <v>830</v>
      </c>
      <c r="B204" s="7">
        <v>4004</v>
      </c>
      <c r="C204" s="21" t="s">
        <v>215</v>
      </c>
      <c r="D204" s="21" t="s">
        <v>418</v>
      </c>
      <c r="E204" s="13">
        <v>42835.068414351852</v>
      </c>
      <c r="F204" s="13">
        <v>42835.073599537034</v>
      </c>
      <c r="G204" s="7">
        <v>1</v>
      </c>
      <c r="H204" s="21" t="s">
        <v>483</v>
      </c>
      <c r="I204" s="13">
        <v>42835.081550925926</v>
      </c>
      <c r="J204" s="7">
        <v>0</v>
      </c>
      <c r="K204" s="97" t="str">
        <f>IF(ISEVEN(B204),(B204-1)&amp;"/"&amp;B204,B204&amp;"/"&amp;(B204+1))</f>
        <v>4003/4004</v>
      </c>
      <c r="L204" s="21" t="str">
        <f>VLOOKUP(A204,'Trips&amp;Operators'!$C$1:$G$99999,5,FALSE)</f>
        <v>SMITH MICHAEL</v>
      </c>
      <c r="M204" s="6">
        <f>I204-F204</f>
        <v>7.9513888922519982E-3</v>
      </c>
      <c r="N204" s="7">
        <f>24*60*SUM($M204:$M204)</f>
        <v>11.450000004842877</v>
      </c>
      <c r="O204" s="7"/>
      <c r="P204" s="7"/>
      <c r="Q204" s="22"/>
      <c r="R204" s="22"/>
      <c r="S204" s="31">
        <f>SUM(U204:U204)/IF(AG204="EC",12,1)</f>
        <v>1</v>
      </c>
      <c r="T204" s="46" t="str">
        <f>IF(ISEVEN(LEFT(AD204,4)),"Southbound","NorthBound")</f>
        <v>NorthBound</v>
      </c>
      <c r="U204" s="18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2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-04-10T00:38:31-0600',mode:absolute,to:'2017-04-10T02:57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4" s="183" t="str">
        <f>IF(AA204&lt;IF(AG204="EC",23,5.65),"Y","N")</f>
        <v>Y</v>
      </c>
      <c r="X204" s="183">
        <f>VALUE(LEFT(AD204,4))-VALUE(LEFT(AD203,4))</f>
        <v>1</v>
      </c>
      <c r="Y204" s="62">
        <f>RIGHT(D204,LEN(D204)-4)/10000</f>
        <v>4.3999999999999997E-2</v>
      </c>
      <c r="Z204" s="62">
        <f>RIGHT(H204,LEN(H204)-4)/10000</f>
        <v>2.3304</v>
      </c>
      <c r="AA204" s="62">
        <f>ABS(Z204-Y204)</f>
        <v>2.2864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>IF(LEN(A204)=6,"0"&amp;A204,A204)</f>
        <v>0311-09</v>
      </c>
      <c r="AE204" s="85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s3://rtdc.mdm.uploadarchive.raw/RTDC4004/ "%USERPROFILE%\AppData\Local\Temp\OnboardLogs"\RTDC4004\2017-04-10 --exclude "*" --recursive --include "*20170410*" &amp; "%USERPROFILE%\Documents\GitHub\mrs-test-scripts\Headless Mode &amp; Sideloading\WalkAndUnGZ.bat" "%USERPROFILE%\AppData\Local\Temp\OnboardLogs"\RTDC4004\2017-04-10 &amp; aws s3 cp s3://rtdc.mdm.uploadarchive.raw/RTDC4004/ "%USERPROFILE%\AppData\Local\Temp\OnboardLogs"\RTDC4004\2017-04-11 --exclude "*" --recursive --include "*20170411*" &amp; "%USERPROFILE%\Documents\GitHub\mrs-test-scripts\Headless Mode &amp; Sideloading\WalkAndUnGZ.bat" "%USERPROFILE%\AppData\Local\Temp\OnboardLogs"\RTDC4004\2017-04-11</v>
      </c>
      <c r="AF204" s="82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/stypes="app*4004*20170410*" /stext=" 07:.+((SYSTEM_STATE.+slice.+state.+changed )|(ment ac)|(multiple cpu faults)|(system.+state.+changed )|(\[timeout)|(PRM\|1\|D)|(kpr)|(kdp)|(\|lc)|(penalty))"</v>
      </c>
      <c r="AG204" s="1" t="str">
        <f>IFERROR(IF(VALUE(LEFT(AD204,2))&lt;=2,"EC",IF(OR(VALUE(LEFT(AD204,2))=8,VALUE(LEFT(AD204,2))=18),"NW","Other")),"Other")</f>
        <v>Other</v>
      </c>
      <c r="AH204" s="86" t="str">
        <f t="shared" si="17"/>
        <v>"%USERPROFILE%\Documents\GitHub\eaglep3\Utilities\RefineRTDCRunTimes.py" --tripid 311-09 --locoid 4004 --swversion DE.1.0.9.0 --startMP 204:440 --initTime 2017-04-10T01:38:31 --startdatetime 2017-04-10T01:45:59 --delay 1 --endMP 300:23304 --enddatetime 2017-04-10T01:57:26 --enforcementcount 0 &gt;&gt;C:\Users\stu\Documents\GitHub\eaglep3-reporting\EC\2017-04-09-refined-times.txt</v>
      </c>
      <c r="AI204" s="104" t="str">
        <f t="shared" si="18"/>
        <v>echo {"issue":{"subject":"","project_id":79,"tracker_id":40,"status_id":1,"priority_id":2,"assigned_to_id":23,"start_date":"2017-04-10","description":"","custom_fields":[{"id":1,"name":"Subdivision","value":"Other"},{"id":4,"name":"Milepost","value":"2.3304"},{"id":17,"name":"Train ID","value":"311-09"},{"id":16,"name":"Locomotive ID","value":"4004"},{"id":130,"name":"Impact","value":""},{"id":150,"name":"Time of Event (Mountain Time)","value":"01:57:26"},{"id":151,"name":"Denver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8"/>
      <c r="AL204" s="48"/>
      <c r="AM204" s="150" t="str">
        <f t="shared" si="19"/>
        <v>start /low /b %USERPROFILE%\Documents\GitHub\eaglep3\Utilities\DownloadLogsFromS3.py --loco 4004 --day 2017-04-10</v>
      </c>
      <c r="AN204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07:57:26"},{"id":29,"name":"Sharepoint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40" s="20" customFormat="1" x14ac:dyDescent="0.25">
      <c r="A205" s="33" t="s">
        <v>630</v>
      </c>
      <c r="B205" s="7">
        <v>4014</v>
      </c>
      <c r="C205" s="21" t="s">
        <v>215</v>
      </c>
      <c r="D205" s="21" t="s">
        <v>431</v>
      </c>
      <c r="E205" s="13">
        <v>42834.091458333336</v>
      </c>
      <c r="F205" s="13">
        <v>42834.092835648145</v>
      </c>
      <c r="G205" s="7">
        <v>1</v>
      </c>
      <c r="H205" s="21" t="s">
        <v>421</v>
      </c>
      <c r="I205" s="13">
        <v>42834.101238425923</v>
      </c>
      <c r="J205" s="7">
        <v>0</v>
      </c>
      <c r="K205" s="97" t="str">
        <f>IF(ISEVEN(B205),(B205-1)&amp;"/"&amp;B205,B205&amp;"/"&amp;(B205+1))</f>
        <v>4013/4014</v>
      </c>
      <c r="L205" s="21" t="str">
        <f>VLOOKUP(A205,'Trips&amp;Operators'!$C$1:$G$99999,5,FALSE)</f>
        <v>SWANSON BRYCE</v>
      </c>
      <c r="M205" s="6">
        <f>I205-F205</f>
        <v>8.4027777775190771E-3</v>
      </c>
      <c r="N205" s="7">
        <f>24*60*SUM($M205:$M205)</f>
        <v>12.099999999627471</v>
      </c>
      <c r="O205" s="7"/>
      <c r="P205" s="7"/>
      <c r="Q205" s="22"/>
      <c r="R205" s="22"/>
      <c r="S205" s="31">
        <f>SUM(U205:U205)/IF(AG205="EC",12,1)</f>
        <v>1</v>
      </c>
      <c r="T205" s="46" t="str">
        <f>IF(ISEVEN(LEFT(AD205,4)),"Southbound","NorthBound")</f>
        <v>NorthBound</v>
      </c>
      <c r="U205" s="18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2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-04-09T01:11:42-0600',mode:absolute,to:'2017-04-09T03:25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5" s="183" t="str">
        <f>IF(AA205&lt;IF(AG205="EC",23,5.65),"Y","N")</f>
        <v>Y</v>
      </c>
      <c r="X205" s="183">
        <f>VALUE(LEFT(AD205,4))-VALUE(LEFT(AD204,4))</f>
        <v>2</v>
      </c>
      <c r="Y205" s="62">
        <f>RIGHT(D205,LEN(D205)-4)/10000</f>
        <v>4.6600000000000003E-2</v>
      </c>
      <c r="Z205" s="62">
        <f>RIGHT(H205,LEN(H205)-4)/10000</f>
        <v>2.3346</v>
      </c>
      <c r="AA205" s="62">
        <f>ABS(Z205-Y205)</f>
        <v>2.2879999999999998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>IF(LEN(A205)=6,"0"&amp;A205,A205)</f>
        <v>0313-08</v>
      </c>
      <c r="AE205" s="85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s3://rtdc.mdm.uploadarchive.raw/RTDC4014/ "%USERPROFILE%\AppData\Local\Temp\OnboardLogs"\RTDC4014\2017-04-09 --exclude "*" --recursive --include "*20170409*" &amp; "%USERPROFILE%\Documents\GitHub\mrs-test-scripts\Headless Mode &amp; Sideloading\WalkAndUnGZ.bat" "%USERPROFILE%\AppData\Local\Temp\OnboardLogs"\RTDC4014\2017-04-09 &amp; aws s3 cp s3://rtdc.mdm.uploadarchive.raw/RTDC4014/ "%USERPROFILE%\AppData\Local\Temp\OnboardLogs"\RTDC4014\2017-04-10 --exclude "*" --recursive --include "*20170410*" &amp; "%USERPROFILE%\Documents\GitHub\mrs-test-scripts\Headless Mode &amp; Sideloading\WalkAndUnGZ.bat" "%USERPROFILE%\AppData\Local\Temp\OnboardLogs"\RTDC4014\2017-04-10</v>
      </c>
      <c r="AF205" s="82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/stypes="app*4014*20170409*" /stext=" 08:.+((SYSTEM_STATE.+slice.+state.+changed )|(ment ac)|(multiple cpu faults)|(system.+state.+changed )|(\[timeout)|(PRM\|1\|D)|(kpr)|(kdp)|(\|lc)|(penalty))"</v>
      </c>
      <c r="AG205" s="1" t="str">
        <f>IFERROR(IF(VALUE(LEFT(AD205,2))&lt;=2,"EC",IF(OR(VALUE(LEFT(AD205,2))=8,VALUE(LEFT(AD205,2))=18),"NW","Other")),"Other")</f>
        <v>Other</v>
      </c>
      <c r="AH205" s="86" t="str">
        <f t="shared" ref="AH205:AH216" si="23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313-08 --locoid 4014 --swversion DE.1.0.9.0 --startMP 204:466 --initTime 2017-04-09T02:11:42 --startdatetime 2017-04-09T02:13:41 --delay 1 --endMP 300:23346 --enddatetime 2017-04-09T02:25:47 --enforcementcount 0 &gt;&gt;C:\Users\stu\Documents\GitHub\eaglep3-reporting\EC\2017-04-09-refined-times.txt</v>
      </c>
      <c r="AI205" s="104" t="str">
        <f t="shared" ref="AI205:AI216" si="24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{"issue":{"subject":"","project_id":79,"tracker_id":40,"status_id":1,"priority_id":2,"assigned_to_id":23,"start_date":"2017-04-09","description":"","custom_fields":[{"id":1,"name":"Subdivision","value":"Other"},{"id":4,"name":"Milepost","value":"2.3346"},{"id":17,"name":"Train ID","value":"313-08"},{"id":16,"name":"Locomotive ID","value":"4014"},{"id":130,"name":"Impact","value":""},{"id":150,"name":"Time of Event (Mountain Time)","value":"02:25:47"},{"id":151,"name":"Denver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5" s="48"/>
      <c r="AL205" s="48"/>
      <c r="AM205" s="150" t="str">
        <f t="shared" ref="AM205:AM216" si="25">"start /low /b "&amp;dls3logs&amp;" --loco "&amp;B205&amp;" --day "&amp;TEXT(F205,"YYYY-MM-DD")</f>
        <v>start /low /b %USERPROFILE%\Documents\GitHub\eaglep3\Utilities\DownloadLogsFromS3.py --loco 4014 --day 2017-04-09</v>
      </c>
      <c r="AN205" s="159" t="str">
        <f t="shared" ref="AN205:AN216" si="26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08:25:47"},{"id":29,"name":"Sharepoint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40" x14ac:dyDescent="0.25">
      <c r="A206" s="33" t="s">
        <v>831</v>
      </c>
      <c r="B206" s="7">
        <v>4046</v>
      </c>
      <c r="C206" s="21" t="s">
        <v>215</v>
      </c>
      <c r="D206" s="21" t="s">
        <v>528</v>
      </c>
      <c r="E206" s="13">
        <v>42835.088854166665</v>
      </c>
      <c r="F206" s="13">
        <v>42835.090532407405</v>
      </c>
      <c r="G206" s="7">
        <v>1</v>
      </c>
      <c r="H206" s="21" t="s">
        <v>962</v>
      </c>
      <c r="I206" s="13">
        <v>42835.09815972222</v>
      </c>
      <c r="J206" s="7">
        <v>0</v>
      </c>
      <c r="K206" s="97" t="str">
        <f>IF(ISEVEN(B206),(B206-1)&amp;"/"&amp;B206,B206&amp;"/"&amp;(B206+1))</f>
        <v>4045/4046</v>
      </c>
      <c r="L206" s="21" t="str">
        <f>VLOOKUP(A206,'Trips&amp;Operators'!$C$1:$G$99999,5,FALSE)</f>
        <v>STAMBAUGH JAMES</v>
      </c>
      <c r="M206" s="6">
        <f>I206-F206</f>
        <v>7.6273148151813075E-3</v>
      </c>
      <c r="N206" s="7">
        <f>24*60*SUM($M206:$M206)</f>
        <v>10.983333333861083</v>
      </c>
      <c r="O206" s="7"/>
      <c r="P206" s="7"/>
      <c r="Q206" s="22"/>
      <c r="R206" s="22"/>
      <c r="S206" s="31">
        <f>SUM(U206:U206)/IF(AG206="EC",12,1)</f>
        <v>1</v>
      </c>
      <c r="T206" s="46" t="str">
        <f>IF(ISEVEN(LEFT(AD206,4)),"Southbound","NorthBound")</f>
        <v>NorthBound</v>
      </c>
      <c r="U206" s="18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2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-04-10T01:07:57-0600',mode:absolute,to:'2017-04-10T03:21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6" s="183" t="str">
        <f>IF(AA206&lt;IF(AG206="EC",23,5.65),"Y","N")</f>
        <v>Y</v>
      </c>
      <c r="X206" s="183">
        <f>VALUE(LEFT(AD206,4))-VALUE(LEFT(AD205,4))</f>
        <v>0</v>
      </c>
      <c r="Y206" s="62">
        <f>RIGHT(D206,LEN(D206)-4)/10000</f>
        <v>4.6399999999999997E-2</v>
      </c>
      <c r="Z206" s="62">
        <f>RIGHT(H206,LEN(H206)-4)/10000</f>
        <v>2.331</v>
      </c>
      <c r="AA206" s="62">
        <f>ABS(Z206-Y206)</f>
        <v>2.2846000000000002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>IF(LEN(A206)=6,"0"&amp;A206,A206)</f>
        <v>0313-09</v>
      </c>
      <c r="AE206" s="85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s3://rtdc.mdm.uploadarchive.raw/RTDC4046/ "%USERPROFILE%\AppData\Local\Temp\OnboardLogs"\RTDC4046\2017-04-10 --exclude "*" --recursive --include "*20170410*" &amp; "%USERPROFILE%\Documents\GitHub\mrs-test-scripts\Headless Mode &amp; Sideloading\WalkAndUnGZ.bat" "%USERPROFILE%\AppData\Local\Temp\OnboardLogs"\RTDC4046\2017-04-10 &amp; aws s3 cp s3://rtdc.mdm.uploadarchive.raw/RTDC4046/ "%USERPROFILE%\AppData\Local\Temp\OnboardLogs"\RTDC4046\2017-04-11 --exclude "*" --recursive --include "*20170411*" &amp; "%USERPROFILE%\Documents\GitHub\mrs-test-scripts\Headless Mode &amp; Sideloading\WalkAndUnGZ.bat" "%USERPROFILE%\AppData\Local\Temp\OnboardLogs"\RTDC4046\2017-04-11</v>
      </c>
      <c r="AF206" s="82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/stypes="app*4046*20170410*" /stext=" 08:.+((SYSTEM_STATE.+slice.+state.+changed )|(ment ac)|(multiple cpu faults)|(system.+state.+changed )|(\[timeout)|(PRM\|1\|D)|(kpr)|(kdp)|(\|lc)|(penalty))"</v>
      </c>
      <c r="AG206" s="1" t="str">
        <f>IFERROR(IF(VALUE(LEFT(AD206,2))&lt;=2,"EC",IF(OR(VALUE(LEFT(AD206,2))=8,VALUE(LEFT(AD206,2))=18),"NW","Other")),"Other")</f>
        <v>Other</v>
      </c>
      <c r="AH206" s="86" t="str">
        <f t="shared" si="23"/>
        <v>"%USERPROFILE%\Documents\GitHub\eaglep3\Utilities\RefineRTDCRunTimes.py" --tripid 313-09 --locoid 4046 --swversion DE.1.0.9.0 --startMP 204:464 --initTime 2017-04-10T02:07:57 --startdatetime 2017-04-10T02:10:22 --delay 1 --endMP 300:23310 --enddatetime 2017-04-10T02:21:21 --enforcementcount 0 &gt;&gt;C:\Users\stu\Documents\GitHub\eaglep3-reporting\EC\2017-04-09-refined-times.txt</v>
      </c>
      <c r="AI206" s="104" t="str">
        <f t="shared" si="24"/>
        <v>echo {"issue":{"subject":"","project_id":79,"tracker_id":40,"status_id":1,"priority_id":2,"assigned_to_id":23,"start_date":"2017-04-10","description":"","custom_fields":[{"id":1,"name":"Subdivision","value":"Other"},{"id":4,"name":"Milepost","value":"2.331"},{"id":17,"name":"Train ID","value":"313-09"},{"id":16,"name":"Locomotive ID","value":"4046"},{"id":130,"name":"Impact","value":""},{"id":150,"name":"Time of Event (Mountain Time)","value":"02:21:21"},{"id":151,"name":"Denver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8"/>
      <c r="AL206" s="48"/>
      <c r="AM206" s="150" t="str">
        <f t="shared" si="25"/>
        <v>start /low /b %USERPROFILE%\Documents\GitHub\eaglep3\Utilities\DownloadLogsFromS3.py --loco 4046 --day 2017-04-10</v>
      </c>
      <c r="AN206" s="159" t="str">
        <f t="shared" si="26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08:21:21"},{"id":29,"name":"Sharepoint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40" x14ac:dyDescent="0.25">
      <c r="A207" s="33" t="s">
        <v>631</v>
      </c>
      <c r="B207" s="7">
        <v>4042</v>
      </c>
      <c r="C207" s="21" t="s">
        <v>215</v>
      </c>
      <c r="D207" s="21" t="s">
        <v>528</v>
      </c>
      <c r="E207" s="13">
        <v>42834.109571759262</v>
      </c>
      <c r="F207" s="13">
        <v>42834.111342592594</v>
      </c>
      <c r="G207" s="7">
        <v>2</v>
      </c>
      <c r="H207" s="21" t="s">
        <v>421</v>
      </c>
      <c r="I207" s="13">
        <v>25568.708333333332</v>
      </c>
      <c r="J207" s="7">
        <v>0</v>
      </c>
      <c r="K207" s="97" t="str">
        <f>IF(ISEVEN(B207),(B207-1)&amp;"/"&amp;B207,B207&amp;"/"&amp;(B207+1))</f>
        <v>4041/4042</v>
      </c>
      <c r="L207" s="21" t="str">
        <f>VLOOKUP(A207,'Trips&amp;Operators'!$C$1:$G$99999,5,FALSE)</f>
        <v>BROWN JACOB</v>
      </c>
      <c r="M207" s="6">
        <f>I207-F207</f>
        <v>-17265.403009259262</v>
      </c>
      <c r="N207" s="7">
        <f>24*60*SUM($M207:$M207)</f>
        <v>-24862180.333333336</v>
      </c>
      <c r="O207" s="7"/>
      <c r="P207" s="7"/>
      <c r="Q207" s="22"/>
      <c r="R207" s="22"/>
      <c r="S207" s="31">
        <f>SUM(U207:U207)/IF(AG207="EC",12,1)</f>
        <v>1</v>
      </c>
      <c r="T207" s="46" t="str">
        <f>IF(ISEVEN(LEFT(AD207,4)),"Southbound","NorthBound")</f>
        <v>NorthBound</v>
      </c>
      <c r="U207" s="18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2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-04-09T01:37:47-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7" s="183" t="str">
        <f>IF(AA207&lt;IF(AG207="EC",23,5.65),"Y","N")</f>
        <v>Y</v>
      </c>
      <c r="X207" s="183">
        <f>VALUE(LEFT(AD207,4))-VALUE(LEFT(AD206,4))</f>
        <v>2</v>
      </c>
      <c r="Y207" s="62">
        <f>RIGHT(D207,LEN(D207)-4)/10000</f>
        <v>4.6399999999999997E-2</v>
      </c>
      <c r="Z207" s="62">
        <f>RIGHT(H207,LEN(H207)-4)/10000</f>
        <v>2.3346</v>
      </c>
      <c r="AA207" s="62">
        <f>ABS(Z207-Y207)</f>
        <v>2.2881999999999998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>IF(LEN(A207)=6,"0"&amp;A207,A207)</f>
        <v>0315-08</v>
      </c>
      <c r="AE207" s="85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s3://rtdc.mdm.uploadarchive.raw/RTDC4042/ "%USERPROFILE%\AppData\Local\Temp\OnboardLogs"\RTDC4042\2017-04-09 --exclude "*" --recursive --include "*20170409*" &amp; "%USERPROFILE%\Documents\GitHub\mrs-test-scripts\Headless Mode &amp; Sideloading\WalkAndUnGZ.bat" "%USERPROFILE%\AppData\Local\Temp\OnboardLogs"\RTDC4042\2017-04-09 &amp; aws s3 cp s3://rtdc.mdm.uploadarchive.raw/RTDC4042/ "%USERPROFILE%\AppData\Local\Temp\OnboardLogs"\RTDC4042\2017-04-10 --exclude "*" --recursive --include "*20170410*" &amp; "%USERPROFILE%\Documents\GitHub\mrs-test-scripts\Headless Mode &amp; Sideloading\WalkAndUnGZ.bat" "%USERPROFILE%\AppData\Local\Temp\OnboardLogs"\RTDC4042\2017-04-10</v>
      </c>
      <c r="AF207" s="82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/stypes="app*4042*19691231*" /stext=" 23:.+((SYSTEM_STATE.+slice.+state.+changed )|(ment ac)|(multiple cpu faults)|(system.+state.+changed )|(\[timeout)|(PRM\|1\|D)|(kpr)|(kdp)|(\|lc)|(penalty))"</v>
      </c>
      <c r="AG207" s="1" t="str">
        <f>IFERROR(IF(VALUE(LEFT(AD207,2))&lt;=2,"EC",IF(OR(VALUE(LEFT(AD207,2))=8,VALUE(LEFT(AD207,2))=18),"NW","Other")),"Other")</f>
        <v>Other</v>
      </c>
      <c r="AH207" s="86" t="str">
        <f t="shared" si="23"/>
        <v>"%USERPROFILE%\Documents\GitHub\eaglep3\Utilities\RefineRTDCRunTimes.py" --tripid 315-08 --locoid 4042 --swversion DE.1.0.9.0 --startMP 204:464 --initTime 2017-04-09T02:37:47 --startdatetime 2017-04-09T02:40:20 --delay 2 --endMP 300:23346 --enddatetime 1969-12-31T17:00:00 --enforcementcount 0 &gt;&gt;C:\Users\stu\Documents\GitHub\eaglep3-reporting\EC\2017-04-09-refined-times.txt</v>
      </c>
      <c r="AI207" s="104" t="str">
        <f t="shared" si="24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ID","value":"315-08"},{"id":16,"name":"Locomotive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8"/>
      <c r="AL207" s="48"/>
      <c r="AM207" s="150" t="str">
        <f t="shared" si="25"/>
        <v>start /low /b %USERPROFILE%\Documents\GitHub\eaglep3\Utilities\DownloadLogsFromS3.py --loco 4042 --day 2017-04-09</v>
      </c>
      <c r="AN207" s="159" t="str">
        <f t="shared" si="26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40" x14ac:dyDescent="0.25">
      <c r="A208" s="33" t="s">
        <v>631</v>
      </c>
      <c r="B208" s="7">
        <v>4042</v>
      </c>
      <c r="C208" s="21" t="s">
        <v>215</v>
      </c>
      <c r="D208" s="21" t="s">
        <v>421</v>
      </c>
      <c r="E208" s="13">
        <v>42834.109571759262</v>
      </c>
      <c r="F208" s="13">
        <v>42834.111342592594</v>
      </c>
      <c r="G208" s="7">
        <v>11</v>
      </c>
      <c r="H208" s="21" t="s">
        <v>421</v>
      </c>
      <c r="I208" s="13">
        <v>25568.708333333332</v>
      </c>
      <c r="J208" s="7">
        <v>0</v>
      </c>
      <c r="K208" s="97" t="str">
        <f>IF(ISEVEN(B208),(B208-1)&amp;"/"&amp;B208,B208&amp;"/"&amp;(B208+1))</f>
        <v>4041/4042</v>
      </c>
      <c r="L208" s="21" t="str">
        <f>VLOOKUP(A208,'Trips&amp;Operators'!$C$1:$G$99999,5,FALSE)</f>
        <v>BROWN JACOB</v>
      </c>
      <c r="M208" s="6">
        <f>I208-F208</f>
        <v>-17265.403009259262</v>
      </c>
      <c r="N208" s="7">
        <f>24*60*SUM($M208:$M208)</f>
        <v>-24862180.333333336</v>
      </c>
      <c r="O208" s="7"/>
      <c r="P208" s="7"/>
      <c r="Q208" s="22"/>
      <c r="R208" s="22"/>
      <c r="S208" s="31">
        <f>SUM(U208:U208)/IF(AG208="EC",12,1)</f>
        <v>0</v>
      </c>
      <c r="T208" s="46" t="str">
        <f>IF(ISEVEN(LEFT(AD208,4)),"Southbound","NorthBound")</f>
        <v>NorthBound</v>
      </c>
      <c r="U208" s="18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82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-04-09T01:37:47-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8" s="183" t="str">
        <f>IF(AA208&lt;IF(AG208="EC",23,5.65),"Y","N")</f>
        <v>Y</v>
      </c>
      <c r="X208" s="183">
        <f>VALUE(LEFT(AD208,4))-VALUE(LEFT(AD207,4))</f>
        <v>0</v>
      </c>
      <c r="Y208" s="62">
        <f>RIGHT(D208,LEN(D208)-4)/10000</f>
        <v>2.3346</v>
      </c>
      <c r="Z208" s="62">
        <f>RIGHT(H208,LEN(H208)-4)/10000</f>
        <v>2.3346</v>
      </c>
      <c r="AA208" s="62">
        <f>ABS(Z208-Y208)</f>
        <v>0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>IF(LEN(A208)=6,"0"&amp;A208,A208)</f>
        <v>0315-08</v>
      </c>
      <c r="AE208" s="85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s3://rtdc.mdm.uploadarchive.raw/RTDC4042/ "%USERPROFILE%\AppData\Local\Temp\OnboardLogs"\RTDC4042\2017-04-09 --exclude "*" --recursive --include "*20170409*" &amp; "%USERPROFILE%\Documents\GitHub\mrs-test-scripts\Headless Mode &amp; Sideloading\WalkAndUnGZ.bat" "%USERPROFILE%\AppData\Local\Temp\OnboardLogs"\RTDC4042\2017-04-09 &amp; aws s3 cp s3://rtdc.mdm.uploadarchive.raw/RTDC4042/ "%USERPROFILE%\AppData\Local\Temp\OnboardLogs"\RTDC4042\2017-04-10 --exclude "*" --recursive --include "*20170410*" &amp; "%USERPROFILE%\Documents\GitHub\mrs-test-scripts\Headless Mode &amp; Sideloading\WalkAndUnGZ.bat" "%USERPROFILE%\AppData\Local\Temp\OnboardLogs"\RTDC4042\2017-04-10</v>
      </c>
      <c r="AF208" s="82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/stypes="app*4042*19691231*" /stext=" 23:.+((SYSTEM_STATE.+slice.+state.+changed )|(ment ac)|(multiple cpu faults)|(system.+state.+changed )|(\[timeout)|(PRM\|1\|D)|(kpr)|(kdp)|(\|lc)|(penalty))"</v>
      </c>
      <c r="AG208" s="1" t="str">
        <f>IFERROR(IF(VALUE(LEFT(AD208,2))&lt;=2,"EC",IF(OR(VALUE(LEFT(AD208,2))=8,VALUE(LEFT(AD208,2))=18),"NW","Other")),"Other")</f>
        <v>Other</v>
      </c>
      <c r="AH208" s="86" t="str">
        <f t="shared" si="23"/>
        <v>"%USERPROFILE%\Documents\GitHub\eaglep3\Utilities\RefineRTDCRunTimes.py" --tripid 315-08 --locoid 4042 --swversion DE.1.0.9.0 --startMP 300:23346 --initTime 2017-04-09T02:37:47 --startdatetime 2017-04-09T02:40:20 --delay 11 --endMP 300:23346 --enddatetime 1969-12-31T17:00:00 --enforcementcount 0 &gt;&gt;C:\Users\stu\Documents\GitHub\eaglep3-reporting\EC\2017-04-09-refined-times.txt</v>
      </c>
      <c r="AI208" s="104" t="str">
        <f t="shared" si="24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ID","value":"315-08"},{"id":16,"name":"Locomotive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8"/>
      <c r="AL208" s="48"/>
      <c r="AM208" s="150" t="str">
        <f t="shared" si="25"/>
        <v>start /low /b %USERPROFILE%\Documents\GitHub\eaglep3\Utilities\DownloadLogsFromS3.py --loco 4042 --day 2017-04-09</v>
      </c>
      <c r="AN208" s="159" t="str">
        <f t="shared" si="26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3" t="s">
        <v>826</v>
      </c>
      <c r="B209" s="7">
        <v>4024</v>
      </c>
      <c r="C209" s="21" t="s">
        <v>215</v>
      </c>
      <c r="D209" s="21" t="s">
        <v>516</v>
      </c>
      <c r="E209" s="13">
        <v>42835.028726851851</v>
      </c>
      <c r="F209" s="13">
        <v>42835.030381944445</v>
      </c>
      <c r="G209" s="7">
        <v>1</v>
      </c>
      <c r="H209" s="21" t="s">
        <v>591</v>
      </c>
      <c r="I209" s="13">
        <v>42835.037523148145</v>
      </c>
      <c r="J209" s="7">
        <v>0</v>
      </c>
      <c r="K209" s="97" t="str">
        <f>IF(ISEVEN(B209),(B209-1)&amp;"/"&amp;B209,B209&amp;"/"&amp;(B209+1))</f>
        <v>4023/4024</v>
      </c>
      <c r="L209" s="21" t="str">
        <f>VLOOKUP(A209,'Trips&amp;Operators'!$C$1:$G$99999,5,FALSE)</f>
        <v>CHANDLER KELVIN</v>
      </c>
      <c r="M209" s="6">
        <f>I209-F209</f>
        <v>7.1412036995752715E-3</v>
      </c>
      <c r="N209" s="7">
        <f>24*60*SUM($M209:$M209)</f>
        <v>10.283333327388391</v>
      </c>
      <c r="O209" s="7"/>
      <c r="P209" s="7"/>
      <c r="Q209" s="22"/>
      <c r="R209" s="22"/>
      <c r="S209" s="31">
        <f>SUM(U209:U209)/IF(AG209="EC",12,1)</f>
        <v>1</v>
      </c>
      <c r="T209" s="46" t="str">
        <f>IF(ISEVEN(LEFT(AD209,4)),"Southbound","NorthBound")</f>
        <v>NorthBound</v>
      </c>
      <c r="U209" s="18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2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-04-09T23:41:22-0600',mode:absolute,to:'2017-04-10T01:54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9" s="183" t="str">
        <f>IF(AA209&lt;IF(AG209="EC",23,5.65),"Y","N")</f>
        <v>Y</v>
      </c>
      <c r="X209" s="183">
        <f>VALUE(LEFT(AD209,4))-VALUE(LEFT(AD208,4))</f>
        <v>0</v>
      </c>
      <c r="Y209" s="62">
        <f>RIGHT(D209,LEN(D209)-4)/10000</f>
        <v>4.6699999999999998E-2</v>
      </c>
      <c r="Z209" s="62">
        <f>RIGHT(H209,LEN(H209)-4)/10000</f>
        <v>2.3302</v>
      </c>
      <c r="AA209" s="62">
        <f>ABS(Z209-Y209)</f>
        <v>2.2835000000000001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>IF(LEN(A209)=6,"0"&amp;A209,A209)</f>
        <v>0315-09</v>
      </c>
      <c r="AE209" s="85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s3://rtdc.mdm.uploadarchive.raw/RTDC4024/ "%USERPROFILE%\AppData\Local\Temp\OnboardLogs"\RTDC4024\2017-04-10 --exclude "*" --recursive --include "*20170410*" &amp; "%USERPROFILE%\Documents\GitHub\mrs-test-scripts\Headless Mode &amp; Sideloading\WalkAndUnGZ.bat" "%USERPROFILE%\AppData\Local\Temp\OnboardLogs"\RTDC4024\2017-04-10 &amp; aws s3 cp s3://rtdc.mdm.uploadarchive.raw/RTDC4024/ "%USERPROFILE%\AppData\Local\Temp\OnboardLogs"\RTDC4024\2017-04-11 --exclude "*" --recursive --include "*20170411*" &amp; "%USERPROFILE%\Documents\GitHub\mrs-test-scripts\Headless Mode &amp; Sideloading\WalkAndUnGZ.bat" "%USERPROFILE%\AppData\Local\Temp\OnboardLogs"\RTDC4024\2017-04-11</v>
      </c>
      <c r="AF209" s="82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/stypes="app*4024*20170410*" /stext=" 06:.+((SYSTEM_STATE.+slice.+state.+changed )|(ment ac)|(multiple cpu faults)|(system.+state.+changed )|(\[timeout)|(PRM\|1\|D)|(kpr)|(kdp)|(\|lc)|(penalty))"</v>
      </c>
      <c r="AG209" s="1" t="str">
        <f>IFERROR(IF(VALUE(LEFT(AD209,2))&lt;=2,"EC",IF(OR(VALUE(LEFT(AD209,2))=8,VALUE(LEFT(AD209,2))=18),"NW","Other")),"Other")</f>
        <v>Other</v>
      </c>
      <c r="AH209" s="86" t="str">
        <f t="shared" si="23"/>
        <v>"%USERPROFILE%\Documents\GitHub\eaglep3\Utilities\RefineRTDCRunTimes.py" --tripid 315-09 --locoid 4024 --swversion DE.1.0.9.0 --startMP 204:467 --initTime 2017-04-10T00:41:22 --startdatetime 2017-04-10T00:43:45 --delay 1 --endMP 300:23302 --enddatetime 2017-04-10T00:54:02 --enforcementcount 0 &gt;&gt;C:\Users\stu\Documents\GitHub\eaglep3-reporting\EC\2017-04-09-refined-times.txt</v>
      </c>
      <c r="AI209" s="104" t="str">
        <f t="shared" si="24"/>
        <v>echo {"issue":{"subject":"","project_id":79,"tracker_id":40,"status_id":1,"priority_id":2,"assigned_to_id":23,"start_date":"2017-04-10","description":"","custom_fields":[{"id":1,"name":"Subdivision","value":"Other"},{"id":4,"name":"Milepost","value":"2.3302"},{"id":17,"name":"Train ID","value":"315-09"},{"id":16,"name":"Locomotive ID","value":"4024"},{"id":130,"name":"Impact","value":""},{"id":150,"name":"Time of Event (Mountain Time)","value":"00:54:02"},{"id":151,"name":"Denver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8"/>
      <c r="AL209" s="48"/>
      <c r="AM209" s="150" t="str">
        <f t="shared" si="25"/>
        <v>start /low /b %USERPROFILE%\Documents\GitHub\eaglep3\Utilities\DownloadLogsFromS3.py --loco 4024 --day 2017-04-10</v>
      </c>
      <c r="AN209" s="159" t="str">
        <f t="shared" si="26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06:54:02"},{"id":29,"name":"Sharepoint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3" t="s">
        <v>654</v>
      </c>
      <c r="B210" s="7">
        <v>4008</v>
      </c>
      <c r="C210" s="21" t="s">
        <v>215</v>
      </c>
      <c r="D210" s="21" t="s">
        <v>924</v>
      </c>
      <c r="E210" s="13">
        <v>42834.219282407408</v>
      </c>
      <c r="F210" s="13">
        <v>42834.22210648148</v>
      </c>
      <c r="G210" s="7">
        <v>3</v>
      </c>
      <c r="H210" s="21" t="s">
        <v>599</v>
      </c>
      <c r="I210" s="13">
        <v>42834.227037037039</v>
      </c>
      <c r="J210" s="7">
        <v>0</v>
      </c>
      <c r="K210" s="97" t="str">
        <f>IF(ISEVEN(B210),(B210-1)&amp;"/"&amp;B210,B210&amp;"/"&amp;(B210+1))</f>
        <v>4007/4008</v>
      </c>
      <c r="L210" s="21" t="str">
        <f>VLOOKUP(A210,'Trips&amp;Operators'!$C$1:$G$99999,5,FALSE)</f>
        <v>YORK EDGAR</v>
      </c>
      <c r="M210" s="6">
        <f>I210-F210</f>
        <v>4.9305555585306138E-3</v>
      </c>
      <c r="N210" s="7">
        <f>24*60*SUM($M210:$M210)</f>
        <v>7.1000000042840838</v>
      </c>
      <c r="O210" s="7"/>
      <c r="P210" s="7"/>
      <c r="Q210" s="22"/>
      <c r="R210" s="22"/>
      <c r="S210" s="31">
        <f>SUM(U210:U210)/IF(AG210="EC",12,1)</f>
        <v>0</v>
      </c>
      <c r="T210" s="46" t="str">
        <f>IF(ISEVEN(LEFT(AD210,4)),"Southbound","NorthBound")</f>
        <v>NorthBound</v>
      </c>
      <c r="U210" s="18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82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-04-09T04:15:46-0600',mode:absolute,to:'2017-04-09T06:26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0" s="183" t="str">
        <f>IF(AA210&lt;IF(AG210="EC",23,5.65),"Y","N")</f>
        <v>Y</v>
      </c>
      <c r="X210" s="183">
        <f>VALUE(LEFT(AD210,4))-VALUE(LEFT(AD209,4))</f>
        <v>1586</v>
      </c>
      <c r="Y210" s="62">
        <f>RIGHT(D210,LEN(D210)-4)/10000</f>
        <v>2.9851000000000001</v>
      </c>
      <c r="Z210" s="62">
        <f>RIGHT(H210,LEN(H210)-4)/10000</f>
        <v>5.8933</v>
      </c>
      <c r="AA210" s="62">
        <f>ABS(Z210-Y210)</f>
        <v>2.9081999999999999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>IF(LEN(A210)=6,"0"&amp;A210,A210)</f>
        <v>1901-09</v>
      </c>
      <c r="AE210" s="85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s3://rtdc.mdm.uploadarchive.raw/RTDC4008/ "%USERPROFILE%\AppData\Local\Temp\OnboardLogs"\RTDC4008\2017-04-09 --exclude "*" --recursive --include "*20170409*" &amp; "%USERPROFILE%\Documents\GitHub\mrs-test-scripts\Headless Mode &amp; Sideloading\WalkAndUnGZ.bat" "%USERPROFILE%\AppData\Local\Temp\OnboardLogs"\RTDC4008\2017-04-09 &amp; aws s3 cp s3://rtdc.mdm.uploadarchive.raw/RTDC4008/ "%USERPROFILE%\AppData\Local\Temp\OnboardLogs"\RTDC4008\2017-04-10 --exclude "*" --recursive --include "*20170410*" &amp; "%USERPROFILE%\Documents\GitHub\mrs-test-scripts\Headless Mode &amp; Sideloading\WalkAndUnGZ.bat" "%USERPROFILE%\AppData\Local\Temp\OnboardLogs"\RTDC4008\2017-04-10</v>
      </c>
      <c r="AF210" s="82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/stypes="app*4008*20170409*" /stext=" 11:.+((SYSTEM_STATE.+slice.+state.+changed )|(ment ac)|(multiple cpu faults)|(system.+state.+changed )|(\[timeout)|(PRM\|1\|D)|(kpr)|(kdp)|(\|lc)|(penalty))"</v>
      </c>
      <c r="AG210" s="1" t="str">
        <f>IFERROR(IF(VALUE(LEFT(AD210,2))&lt;=2,"EC",IF(OR(VALUE(LEFT(AD210,2))=8,VALUE(LEFT(AD210,2))=18),"NW","Other")),"Other")</f>
        <v>Other</v>
      </c>
      <c r="AH210" s="86" t="str">
        <f t="shared" si="23"/>
        <v>"%USERPROFILE%\Documents\GitHub\eaglep3\Utilities\RefineRTDCRunTimes.py" --tripid 1901-09 --locoid 4008 --swversion DE.1.0.9.0 --startMP 300:29851 --initTime 2017-04-09T05:15:46 --startdatetime 2017-04-09T05:19:50 --delay 3 --endMP 300:58933 --enddatetime 2017-04-09T05:26:56 --enforcementcount 0 &gt;&gt;C:\Users\stu\Documents\GitHub\eaglep3-reporting\EC\2017-04-09-refined-times.txt</v>
      </c>
      <c r="AI210" s="104" t="str">
        <f t="shared" si="24"/>
        <v>echo {"issue":{"subject":"","project_id":79,"tracker_id":40,"status_id":1,"priority_id":2,"assigned_to_id":23,"start_date":"2017-04-09","description":"","custom_fields":[{"id":1,"name":"Subdivision","value":"Other"},{"id":4,"name":"Milepost","value":"5.8933"},{"id":17,"name":"Train ID","value":"1901-09"},{"id":16,"name":"Locomotive ID","value":"4008"},{"id":130,"name":"Impact","value":""},{"id":150,"name":"Time of Event (Mountain Time)","value":"05:26:56"},{"id":151,"name":"Denver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8"/>
      <c r="AL210" s="48"/>
      <c r="AM210" s="150" t="str">
        <f t="shared" si="25"/>
        <v>start /low /b %USERPROFILE%\Documents\GitHub\eaglep3\Utilities\DownloadLogsFromS3.py --loco 4008 --day 2017-04-09</v>
      </c>
      <c r="AN210" s="159" t="str">
        <f t="shared" si="26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11:26:56"},{"id":29,"name":"Sharepoint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3" t="s">
        <v>817</v>
      </c>
      <c r="B211" s="7">
        <v>4007</v>
      </c>
      <c r="C211" s="21" t="s">
        <v>215</v>
      </c>
      <c r="D211" s="21" t="s">
        <v>437</v>
      </c>
      <c r="E211" s="13">
        <v>42834.942164351851</v>
      </c>
      <c r="F211" s="13">
        <v>42834.943553240744</v>
      </c>
      <c r="G211" s="7">
        <v>1</v>
      </c>
      <c r="H211" s="21" t="s">
        <v>925</v>
      </c>
      <c r="I211" s="13">
        <v>42834.947951388887</v>
      </c>
      <c r="J211" s="7">
        <v>0</v>
      </c>
      <c r="K211" s="97" t="str">
        <f>IF(ISEVEN(B211),(B211-1)&amp;"/"&amp;B211,B211&amp;"/"&amp;(B211+1))</f>
        <v>4007/4008</v>
      </c>
      <c r="L211" s="21" t="str">
        <f>VLOOKUP(A211,'Trips&amp;Operators'!$C$1:$G$99999,5,FALSE)</f>
        <v>HELVIE ADAM</v>
      </c>
      <c r="M211" s="6">
        <f>I211-F211</f>
        <v>4.3981481430819258E-3</v>
      </c>
      <c r="N211" s="7">
        <f>24*60*SUM($M211:$M211)</f>
        <v>6.3333333260379732</v>
      </c>
      <c r="O211" s="7"/>
      <c r="P211" s="7"/>
      <c r="Q211" s="22"/>
      <c r="R211" s="22"/>
      <c r="S211" s="31">
        <f>SUM(U211:U211)/IF(AG211="EC",12,1)</f>
        <v>0</v>
      </c>
      <c r="T211" s="46" t="str">
        <f>IF(ISEVEN(LEFT(AD211,4)),"Southbound","NorthBound")</f>
        <v>Southbound</v>
      </c>
      <c r="U211" s="18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82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-04-09T21:36:43-0600',mode:absolute,to:'2017-04-09T23:45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1" s="183" t="str">
        <f>IF(AA211&lt;IF(AG211="EC",23,5.65),"Y","N")</f>
        <v>Y</v>
      </c>
      <c r="X211" s="183">
        <f>VALUE(LEFT(AD211,4))-VALUE(LEFT(AD210,4))</f>
        <v>1</v>
      </c>
      <c r="Y211" s="62">
        <f>RIGHT(D211,LEN(D211)-4)/10000</f>
        <v>5.8616999999999999</v>
      </c>
      <c r="Z211" s="62">
        <f>RIGHT(H211,LEN(H211)-4)/10000</f>
        <v>2.17</v>
      </c>
      <c r="AA211" s="62">
        <f>ABS(Z211-Y211)</f>
        <v>3.6917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>IF(LEN(A211)=6,"0"&amp;A211,A211)</f>
        <v>1902-09</v>
      </c>
      <c r="AE211" s="85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s3://rtdc.mdm.uploadarchive.raw/RTDC4007/ "%USERPROFILE%\AppData\Local\Temp\OnboardLogs"\RTDC4007\2017-04-09 --exclude "*" --recursive --include "*20170409*" &amp; "%USERPROFILE%\Documents\GitHub\mrs-test-scripts\Headless Mode &amp; Sideloading\WalkAndUnGZ.bat" "%USERPROFILE%\AppData\Local\Temp\OnboardLogs"\RTDC4007\2017-04-09 &amp; aws s3 cp s3://rtdc.mdm.uploadarchive.raw/RTDC4007/ "%USERPROFILE%\AppData\Local\Temp\OnboardLogs"\RTDC4007\2017-04-10 --exclude "*" --recursive --include "*20170410*" &amp; "%USERPROFILE%\Documents\GitHub\mrs-test-scripts\Headless Mode &amp; Sideloading\WalkAndUnGZ.bat" "%USERPROFILE%\AppData\Local\Temp\OnboardLogs"\RTDC4007\2017-04-10</v>
      </c>
      <c r="AF211" s="82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/stypes="app*4007*20170410*" /stext=" 04:.+((SYSTEM_STATE.+slice.+state.+changed )|(ment ac)|(multiple cpu faults)|(system.+state.+changed )|(\[timeout)|(PRM\|1\|D)|(kpr)|(kdp)|(\|lc)|(penalty))"</v>
      </c>
      <c r="AG211" s="1" t="str">
        <f>IFERROR(IF(VALUE(LEFT(AD211,2))&lt;=2,"EC",IF(OR(VALUE(LEFT(AD211,2))=8,VALUE(LEFT(AD211,2))=18),"NW","Other")),"Other")</f>
        <v>Other</v>
      </c>
      <c r="AH211" s="86" t="str">
        <f t="shared" si="23"/>
        <v>"%USERPROFILE%\Documents\GitHub\eaglep3\Utilities\RefineRTDCRunTimes.py" --tripid 1902-09 --locoid 4007 --swversion DE.1.0.9.0 --startMP 300:58617 --initTime 2017-04-09T22:36:43 --startdatetime 2017-04-09T22:38:43 --delay 1 --endMP 300:21700 --enddatetime 2017-04-09T22:45:03 --enforcementcount 0 &gt;&gt;C:\Users\stu\Documents\GitHub\eaglep3-reporting\EC\2017-04-09-refined-times.txt</v>
      </c>
      <c r="AI211" s="104" t="str">
        <f t="shared" si="24"/>
        <v>echo {"issue":{"subject":"","project_id":79,"tracker_id":40,"status_id":1,"priority_id":2,"assigned_to_id":23,"start_date":"2017-04-09","description":"","custom_fields":[{"id":1,"name":"Subdivision","value":"Other"},{"id":4,"name":"Milepost","value":"2.17"},{"id":17,"name":"Train ID","value":"1902-09"},{"id":16,"name":"Locomotive ID","value":"4007"},{"id":130,"name":"Impact","value":""},{"id":150,"name":"Time of Event (Mountain Time)","value":"22:45:03"},{"id":151,"name":"Denver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8"/>
      <c r="AL211" s="48"/>
      <c r="AM211" s="150" t="str">
        <f t="shared" si="25"/>
        <v>start /low /b %USERPROFILE%\Documents\GitHub\eaglep3\Utilities\DownloadLogsFromS3.py --loco 4007 --day 2017-04-09</v>
      </c>
      <c r="AN211" s="159" t="str">
        <f t="shared" si="26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04:45:03"},{"id":29,"name":"Sharepoint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3" t="s">
        <v>781</v>
      </c>
      <c r="B212" s="7">
        <v>4039</v>
      </c>
      <c r="C212" s="21" t="s">
        <v>215</v>
      </c>
      <c r="D212" s="21" t="s">
        <v>963</v>
      </c>
      <c r="E212" s="13">
        <v>42834.772002314814</v>
      </c>
      <c r="F212" s="13">
        <v>42834.774363425924</v>
      </c>
      <c r="G212" s="7">
        <v>3</v>
      </c>
      <c r="H212" s="21" t="s">
        <v>964</v>
      </c>
      <c r="I212" s="13">
        <v>42834.780462962961</v>
      </c>
      <c r="J212" s="7">
        <v>0</v>
      </c>
      <c r="K212" s="97" t="str">
        <f>IF(ISEVEN(B212),(B212-1)&amp;"/"&amp;B212,B212&amp;"/"&amp;(B212+1))</f>
        <v>4039/4040</v>
      </c>
      <c r="L212" s="21" t="str">
        <f>VLOOKUP(A212,'Trips&amp;Operators'!$C$1:$G$99999,5,FALSE)</f>
        <v>MAGEE KENYA</v>
      </c>
      <c r="M212" s="6">
        <f>I212-F212</f>
        <v>6.0995370367891155E-3</v>
      </c>
      <c r="N212" s="7">
        <f>24*60*SUM($M212:$M212)</f>
        <v>8.7833333329763263</v>
      </c>
      <c r="O212" s="7"/>
      <c r="P212" s="7"/>
      <c r="Q212" s="22"/>
      <c r="R212" s="22"/>
      <c r="S212" s="31">
        <f>SUM(U212:U212)/IF(AG212="EC",12,1)</f>
        <v>0</v>
      </c>
      <c r="T212" s="46" t="e">
        <f>IF(ISEVEN(LEFT(AD212,4)),"Southbound","NorthBound")</f>
        <v>#VALUE!</v>
      </c>
      <c r="U212" s="18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82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-04-09T17:31:41-0600',mode:absolute,to:'2017-04-09T19:43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2" s="183" t="str">
        <f>IF(AA212&lt;IF(AG212="EC",23,5.65),"Y","N")</f>
        <v>Y</v>
      </c>
      <c r="X212" s="183" t="e">
        <f>VALUE(LEFT(AD212,4))-VALUE(LEFT(AD211,4))</f>
        <v>#VALUE!</v>
      </c>
      <c r="Y212" s="62">
        <f>RIGHT(D212,LEN(D212)-4)/10000</f>
        <v>2.3481000000000001</v>
      </c>
      <c r="Z212" s="62">
        <f>RIGHT(H212,LEN(H212)-4)/10000</f>
        <v>9.9599999999999994E-2</v>
      </c>
      <c r="AA212" s="62">
        <f>ABS(Z212-Y212)</f>
        <v>2.2484999999999999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>IF(LEN(A212)=6,"0"&amp;A212,A212)</f>
        <v>50-09</v>
      </c>
      <c r="AE212" s="85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s3://rtdc.mdm.uploadarchive.raw/RTDC4039/ "%USERPROFILE%\AppData\Local\Temp\OnboardLogs"\RTDC4039\2017-04-09 --exclude "*" --recursive --include "*20170409*" &amp; "%USERPROFILE%\Documents\GitHub\mrs-test-scripts\Headless Mode &amp; Sideloading\WalkAndUnGZ.bat" "%USERPROFILE%\AppData\Local\Temp\OnboardLogs"\RTDC4039\2017-04-09 &amp; aws s3 cp s3://rtdc.mdm.uploadarchive.raw/RTDC4039/ "%USERPROFILE%\AppData\Local\Temp\OnboardLogs"\RTDC4039\2017-04-10 --exclude "*" --recursive --include "*20170410*" &amp; "%USERPROFILE%\Documents\GitHub\mrs-test-scripts\Headless Mode &amp; Sideloading\WalkAndUnGZ.bat" "%USERPROFILE%\AppData\Local\Temp\OnboardLogs"\RTDC4039\2017-04-10</v>
      </c>
      <c r="AF212" s="82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/stypes="app*4039*20170410*" /stext=" 00:.+((SYSTEM_STATE.+slice.+state.+changed )|(ment ac)|(multiple cpu faults)|(system.+state.+changed )|(\[timeout)|(PRM\|1\|D)|(kpr)|(kdp)|(\|lc)|(penalty))"</v>
      </c>
      <c r="AG212" s="1" t="str">
        <f>IFERROR(IF(VALUE(LEFT(AD212,2))&lt;=2,"EC",IF(OR(VALUE(LEFT(AD212,2))=8,VALUE(LEFT(AD212,2))=18),"NW","Other")),"Other")</f>
        <v>Other</v>
      </c>
      <c r="AH212" s="86" t="str">
        <f t="shared" si="23"/>
        <v>"%USERPROFILE%\Documents\GitHub\eaglep3\Utilities\RefineRTDCRunTimes.py" --tripid 50-09 --locoid 4039 --swversion DE.1.0.9.0 --startMP 300:23481 --initTime 2017-04-09T18:31:41 --startdatetime 2017-04-09T18:35:05 --delay 3 --endMP 204:996 --enddatetime 2017-04-09T18:43:52 --enforcementcount 0 &gt;&gt;C:\Users\stu\Documents\GitHub\eaglep3-reporting\EC\2017-04-09-refined-times.txt</v>
      </c>
      <c r="AI212" s="104" t="str">
        <f t="shared" si="24"/>
        <v>echo {"issue":{"subject":"","project_id":79,"tracker_id":40,"status_id":1,"priority_id":2,"assigned_to_id":23,"start_date":"2017-04-09","description":"","custom_fields":[{"id":1,"name":"Subdivision","value":"Other"},{"id":4,"name":"Milepost","value":"0.0996"},{"id":17,"name":"Train ID","value":"50-09"},{"id":16,"name":"Locomotive ID","value":"4039"},{"id":130,"name":"Impact","value":""},{"id":150,"name":"Time of Event (Mountain Time)","value":"18:43:52"},{"id":151,"name":"Denver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8"/>
      <c r="AL212" s="48"/>
      <c r="AM212" s="150" t="str">
        <f t="shared" si="25"/>
        <v>start /low /b %USERPROFILE%\Documents\GitHub\eaglep3\Utilities\DownloadLogsFromS3.py --loco 4039 --day 2017-04-09</v>
      </c>
      <c r="AN212" s="159" t="str">
        <f t="shared" si="26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00:43:52"},{"id":29,"name":"Sharepoint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3" t="s">
        <v>833</v>
      </c>
      <c r="B213" s="7">
        <v>4040</v>
      </c>
      <c r="C213" s="21" t="s">
        <v>215</v>
      </c>
      <c r="D213" s="21" t="s">
        <v>965</v>
      </c>
      <c r="E213" s="13">
        <v>42835.113159722219</v>
      </c>
      <c r="F213" s="13">
        <v>42835.115671296298</v>
      </c>
      <c r="G213" s="7">
        <v>1</v>
      </c>
      <c r="H213" s="21" t="s">
        <v>966</v>
      </c>
      <c r="I213" s="13">
        <v>42835.135601851849</v>
      </c>
      <c r="J213" s="7">
        <v>0</v>
      </c>
      <c r="K213" s="97" t="str">
        <f>IF(ISEVEN(B213),(B213-1)&amp;"/"&amp;B213,B213&amp;"/"&amp;(B213+1))</f>
        <v>4039/4040</v>
      </c>
      <c r="L213" s="21" t="str">
        <f>VLOOKUP(A213,'Trips&amp;Operators'!$C$1:$G$99999,5,FALSE)</f>
        <v>YANAI IAN</v>
      </c>
      <c r="M213" s="6">
        <f>I213-F213</f>
        <v>1.993055555067258E-2</v>
      </c>
      <c r="N213" s="7">
        <f>24*60*SUM($M213:$M213)</f>
        <v>28.699999992968515</v>
      </c>
      <c r="O213" s="7"/>
      <c r="P213" s="7"/>
      <c r="Q213" s="22"/>
      <c r="R213" s="22"/>
      <c r="S213" s="31">
        <f>SUM(U213:U213)/IF(AG213="EC",12,1)</f>
        <v>0</v>
      </c>
      <c r="T213" s="46" t="e">
        <f>IF(ISEVEN(LEFT(AD213,4)),"Southbound","NorthBound")</f>
        <v>#VALUE!</v>
      </c>
      <c r="U213" s="18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82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-04-10T01:42:57-0600',mode:absolute,to:'2017-04-10T04:15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3" s="183" t="str">
        <f>IF(AA213&lt;IF(AG213="EC",23,5.65),"Y","N")</f>
        <v>N</v>
      </c>
      <c r="X213" s="183" t="e">
        <f>VALUE(LEFT(AD213,4))-VALUE(LEFT(AD212,4))</f>
        <v>#VALUE!</v>
      </c>
      <c r="Y213" s="62">
        <f>RIGHT(D213,LEN(D213)-4)/10000</f>
        <v>0.11650000000000001</v>
      </c>
      <c r="Z213" s="62">
        <f>RIGHT(H213,LEN(H213)-4)/10000</f>
        <v>10.732200000000001</v>
      </c>
      <c r="AA213" s="62">
        <f>ABS(Z213-Y213)</f>
        <v>10.6157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>IF(LEN(A213)=6,"0"&amp;A213,A213)</f>
        <v>51-10</v>
      </c>
      <c r="AE213" s="85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s3://rtdc.mdm.uploadarchive.raw/RTDC4040/ "%USERPROFILE%\AppData\Local\Temp\OnboardLogs"\RTDC4040\2017-04-10 --exclude "*" --recursive --include "*20170410*" &amp; "%USERPROFILE%\Documents\GitHub\mrs-test-scripts\Headless Mode &amp; Sideloading\WalkAndUnGZ.bat" "%USERPROFILE%\AppData\Local\Temp\OnboardLogs"\RTDC4040\2017-04-10 &amp; aws s3 cp s3://rtdc.mdm.uploadarchive.raw/RTDC4040/ "%USERPROFILE%\AppData\Local\Temp\OnboardLogs"\RTDC4040\2017-04-11 --exclude "*" --recursive --include "*20170411*" &amp; "%USERPROFILE%\Documents\GitHub\mrs-test-scripts\Headless Mode &amp; Sideloading\WalkAndUnGZ.bat" "%USERPROFILE%\AppData\Local\Temp\OnboardLogs"\RTDC4040\2017-04-11</v>
      </c>
      <c r="AF213" s="82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/stypes="app*4040*20170410*" /stext=" 09:.+((SYSTEM_STATE.+slice.+state.+changed )|(ment ac)|(multiple cpu faults)|(system.+state.+changed )|(\[timeout)|(PRM\|1\|D)|(kpr)|(kdp)|(\|lc)|(penalty))"</v>
      </c>
      <c r="AG213" s="1" t="str">
        <f>IFERROR(IF(VALUE(LEFT(AD213,2))&lt;=2,"EC",IF(OR(VALUE(LEFT(AD213,2))=8,VALUE(LEFT(AD213,2))=18),"NW","Other")),"Other")</f>
        <v>Other</v>
      </c>
      <c r="AH213" s="86" t="str">
        <f t="shared" si="23"/>
        <v>"%USERPROFILE%\Documents\GitHub\eaglep3\Utilities\RefineRTDCRunTimes.py" --tripid 51-10 --locoid 4040 --swversion DE.1.0.9.0 --startMP 204:1165 --initTime 2017-04-10T02:42:57 --startdatetime 2017-04-10T02:46:34 --delay 1 --endMP 204:107322 --enddatetime 2017-04-10T03:15:16 --enforcementcount 0 &gt;&gt;C:\Users\stu\Documents\GitHub\eaglep3-reporting\EC\2017-04-09-refined-times.txt</v>
      </c>
      <c r="AI213" s="104" t="str">
        <f t="shared" si="24"/>
        <v>echo {"issue":{"subject":"","project_id":79,"tracker_id":40,"status_id":1,"priority_id":2,"assigned_to_id":23,"start_date":"2017-04-10","description":"","custom_fields":[{"id":1,"name":"Subdivision","value":"Other"},{"id":4,"name":"Milepost","value":"10.7322"},{"id":17,"name":"Train ID","value":"51-10"},{"id":16,"name":"Locomotive ID","value":"4040"},{"id":130,"name":"Impact","value":""},{"id":150,"name":"Time of Event (Mountain Time)","value":"03:15:16"},{"id":151,"name":"Denver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8"/>
      <c r="AL213" s="48"/>
      <c r="AM213" s="150" t="str">
        <f t="shared" si="25"/>
        <v>start /low /b %USERPROFILE%\Documents\GitHub\eaglep3\Utilities\DownloadLogsFromS3.py --loco 4040 --day 2017-04-10</v>
      </c>
      <c r="AN213" s="159" t="str">
        <f t="shared" si="26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09:15:16"},{"id":29,"name":"Sharepoint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3" t="s">
        <v>607</v>
      </c>
      <c r="B214" s="7">
        <v>4009</v>
      </c>
      <c r="C214" s="21" t="s">
        <v>215</v>
      </c>
      <c r="D214" s="21" t="s">
        <v>967</v>
      </c>
      <c r="E214" s="13">
        <v>42834.476122685184</v>
      </c>
      <c r="F214" s="13">
        <v>42834.478483796294</v>
      </c>
      <c r="G214" s="7">
        <v>3</v>
      </c>
      <c r="H214" s="21" t="s">
        <v>968</v>
      </c>
      <c r="I214" s="13">
        <v>42834.48474537037</v>
      </c>
      <c r="J214" s="7">
        <v>0</v>
      </c>
      <c r="K214" s="97" t="str">
        <f>IF(ISEVEN(B214),(B214-1)&amp;"/"&amp;B214,B214&amp;"/"&amp;(B214+1))</f>
        <v>4009/4010</v>
      </c>
      <c r="L214" s="21" t="str">
        <f>VLOOKUP(A214,'Trips&amp;Operators'!$C$1:$G$99999,5,FALSE)</f>
        <v>LALONDE GREGORY</v>
      </c>
      <c r="M214" s="6">
        <f>I214-F214</f>
        <v>6.2615740753244609E-3</v>
      </c>
      <c r="N214" s="7">
        <f>24*60*SUM($M214:$M214)</f>
        <v>9.0166666684672236</v>
      </c>
      <c r="O214" s="7"/>
      <c r="P214" s="7"/>
      <c r="Q214" s="22"/>
      <c r="R214" s="22"/>
      <c r="S214" s="31">
        <f>SUM(U214:U214)/IF(AG214="EC",12,1)</f>
        <v>0</v>
      </c>
      <c r="T214" s="46" t="e">
        <f>IF(ISEVEN(LEFT(AD214,4)),"Southbound","NorthBound")</f>
        <v>#VALUE!</v>
      </c>
      <c r="U214" s="18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82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-04-09T10:25:37-0600',mode:absolute,to:'2017-04-09T12:38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4" s="183" t="str">
        <f>IF(AA214&lt;IF(AG214="EC",23,5.65),"Y","N")</f>
        <v>Y</v>
      </c>
      <c r="X214" s="183" t="e">
        <f>VALUE(LEFT(AD214,4))-VALUE(LEFT(AD213,4))</f>
        <v>#VALUE!</v>
      </c>
      <c r="Y214" s="62">
        <f>RIGHT(D214,LEN(D214)-4)/10000</f>
        <v>2.3534999999999999</v>
      </c>
      <c r="Z214" s="62">
        <f>RIGHT(H214,LEN(H214)-4)/10000</f>
        <v>1.46E-2</v>
      </c>
      <c r="AA214" s="62">
        <f>ABS(Z214-Y214)</f>
        <v>2.3388999999999998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>IF(LEN(A214)=6,"0"&amp;A214,A214)</f>
        <v>52-09</v>
      </c>
      <c r="AE214" s="85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s3://rtdc.mdm.uploadarchive.raw/RTDC4009/ "%USERPROFILE%\AppData\Local\Temp\OnboardLogs"\RTDC4009\2017-04-09 --exclude "*" --recursive --include "*20170409*" &amp; "%USERPROFILE%\Documents\GitHub\mrs-test-scripts\Headless Mode &amp; Sideloading\WalkAndUnGZ.bat" "%USERPROFILE%\AppData\Local\Temp\OnboardLogs"\RTDC4009\2017-04-09 &amp; aws s3 cp s3://rtdc.mdm.uploadarchive.raw/RTDC4009/ "%USERPROFILE%\AppData\Local\Temp\OnboardLogs"\RTDC4009\2017-04-10 --exclude "*" --recursive --include "*20170410*" &amp; "%USERPROFILE%\Documents\GitHub\mrs-test-scripts\Headless Mode &amp; Sideloading\WalkAndUnGZ.bat" "%USERPROFILE%\AppData\Local\Temp\OnboardLogs"\RTDC4009\2017-04-10</v>
      </c>
      <c r="AF214" s="82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/stypes="app*4009*20170409*" /stext=" 17:.+((SYSTEM_STATE.+slice.+state.+changed )|(ment ac)|(multiple cpu faults)|(system.+state.+changed )|(\[timeout)|(PRM\|1\|D)|(kpr)|(kdp)|(\|lc)|(penalty))"</v>
      </c>
      <c r="AG214" s="1" t="str">
        <f>IFERROR(IF(VALUE(LEFT(AD214,2))&lt;=2,"EC",IF(OR(VALUE(LEFT(AD214,2))=8,VALUE(LEFT(AD214,2))=18),"NW","Other")),"Other")</f>
        <v>Other</v>
      </c>
      <c r="AH214" s="86" t="str">
        <f t="shared" si="23"/>
        <v>"%USERPROFILE%\Documents\GitHub\eaglep3\Utilities\RefineRTDCRunTimes.py" --tripid 52-09 --locoid 4009 --swversion DE.1.0.9.0 --startMP 300:23535 --initTime 2017-04-09T11:25:37 --startdatetime 2017-04-09T11:29:01 --delay 3 --endMP 204:146 --enddatetime 2017-04-09T11:38:02 --enforcementcount 0 &gt;&gt;C:\Users\stu\Documents\GitHub\eaglep3-reporting\EC\2017-04-09-refined-times.txt</v>
      </c>
      <c r="AI214" s="104" t="str">
        <f t="shared" si="24"/>
        <v>echo {"issue":{"subject":"","project_id":79,"tracker_id":40,"status_id":1,"priority_id":2,"assigned_to_id":23,"start_date":"2017-04-09","description":"","custom_fields":[{"id":1,"name":"Subdivision","value":"Other"},{"id":4,"name":"Milepost","value":"0.0146"},{"id":17,"name":"Train ID","value":"52-09"},{"id":16,"name":"Locomotive ID","value":"4009"},{"id":130,"name":"Impact","value":""},{"id":150,"name":"Time of Event (Mountain Time)","value":"11:38:02"},{"id":151,"name":"Denver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8"/>
      <c r="AL214" s="48"/>
      <c r="AM214" s="150" t="str">
        <f t="shared" si="25"/>
        <v>start /low /b %USERPROFILE%\Documents\GitHub\eaglep3\Utilities\DownloadLogsFromS3.py --loco 4009 --day 2017-04-09</v>
      </c>
      <c r="AN214" s="159" t="str">
        <f t="shared" si="26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17:38:02"},{"id":29,"name":"Sharepoint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3" t="s">
        <v>727</v>
      </c>
      <c r="B215" s="7">
        <v>4010</v>
      </c>
      <c r="C215" s="21" t="s">
        <v>215</v>
      </c>
      <c r="D215" s="21" t="s">
        <v>205</v>
      </c>
      <c r="E215" s="13">
        <v>42834.499085648145</v>
      </c>
      <c r="F215" s="13">
        <v>42834.500972222224</v>
      </c>
      <c r="G215" s="7">
        <v>2</v>
      </c>
      <c r="H215" s="21" t="s">
        <v>969</v>
      </c>
      <c r="I215" s="13">
        <v>42834.507870370369</v>
      </c>
      <c r="J215" s="7">
        <v>0</v>
      </c>
      <c r="K215" s="97" t="str">
        <f>IF(ISEVEN(B215),(B215-1)&amp;"/"&amp;B215,B215&amp;"/"&amp;(B215+1))</f>
        <v>4009/4010</v>
      </c>
      <c r="L215" s="21" t="str">
        <f>VLOOKUP(A215,'Trips&amp;Operators'!$C$1:$G$99999,5,FALSE)</f>
        <v>GEBRETEKLE DAGNEW</v>
      </c>
      <c r="M215" s="6">
        <f>I215-F215</f>
        <v>6.8981481454102322E-3</v>
      </c>
      <c r="N215" s="7">
        <f>24*60*SUM($M215:$M215)</f>
        <v>9.9333333293907344</v>
      </c>
      <c r="O215" s="7"/>
      <c r="P215" s="7"/>
      <c r="Q215" s="22"/>
      <c r="R215" s="22"/>
      <c r="S215" s="31">
        <f>SUM(U215:U215)/IF(AG215="EC",12,1)</f>
        <v>0</v>
      </c>
      <c r="T215" s="46" t="e">
        <f>IF(ISEVEN(LEFT(AD215,4)),"Southbound","NorthBound")</f>
        <v>#VALUE!</v>
      </c>
      <c r="U215" s="18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82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-04-09T10:58:41-0600',mode:absolute,to:'2017-04-09T13:11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5" s="183" t="str">
        <f>IF(AA215&lt;IF(AG215="EC",23,5.65),"Y","N")</f>
        <v>Y</v>
      </c>
      <c r="X215" s="183" t="e">
        <f>VALUE(LEFT(AD215,4))-VALUE(LEFT(AD214,4))</f>
        <v>#VALUE!</v>
      </c>
      <c r="Y215" s="62">
        <f>RIGHT(D215,LEN(D215)-4)/10000</f>
        <v>4.5699999999999998E-2</v>
      </c>
      <c r="Z215" s="62">
        <f>RIGHT(H215,LEN(H215)-4)/10000</f>
        <v>2.4247999999999998</v>
      </c>
      <c r="AA215" s="62">
        <f>ABS(Z215-Y215)</f>
        <v>2.3790999999999998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>IF(LEN(A215)=6,"0"&amp;A215,A215)</f>
        <v>53-09</v>
      </c>
      <c r="AE215" s="85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s3://rtdc.mdm.uploadarchive.raw/RTDC4010/ "%USERPROFILE%\AppData\Local\Temp\OnboardLogs"\RTDC4010\2017-04-09 --exclude "*" --recursive --include "*20170409*" &amp; "%USERPROFILE%\Documents\GitHub\mrs-test-scripts\Headless Mode &amp; Sideloading\WalkAndUnGZ.bat" "%USERPROFILE%\AppData\Local\Temp\OnboardLogs"\RTDC4010\2017-04-09 &amp; aws s3 cp s3://rtdc.mdm.uploadarchive.raw/RTDC4010/ "%USERPROFILE%\AppData\Local\Temp\OnboardLogs"\RTDC4010\2017-04-10 --exclude "*" --recursive --include "*20170410*" &amp; "%USERPROFILE%\Documents\GitHub\mrs-test-scripts\Headless Mode &amp; Sideloading\WalkAndUnGZ.bat" "%USERPROFILE%\AppData\Local\Temp\OnboardLogs"\RTDC4010\2017-04-10</v>
      </c>
      <c r="AF215" s="82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/stypes="app*4010*20170409*" /stext=" 18:.+((SYSTEM_STATE.+slice.+state.+changed )|(ment ac)|(multiple cpu faults)|(system.+state.+changed )|(\[timeout)|(PRM\|1\|D)|(kpr)|(kdp)|(\|lc)|(penalty))"</v>
      </c>
      <c r="AG215" s="1" t="str">
        <f>IFERROR(IF(VALUE(LEFT(AD215,2))&lt;=2,"EC",IF(OR(VALUE(LEFT(AD215,2))=8,VALUE(LEFT(AD215,2))=18),"NW","Other")),"Other")</f>
        <v>Other</v>
      </c>
      <c r="AH215" s="86" t="str">
        <f t="shared" si="23"/>
        <v>"%USERPROFILE%\Documents\GitHub\eaglep3\Utilities\RefineRTDCRunTimes.py" --tripid 53-09 --locoid 4010 --swversion DE.1.0.9.0 --startMP 204:457 --initTime 2017-04-09T11:58:41 --startdatetime 2017-04-09T12:01:24 --delay 2 --endMP 300:24248 --enddatetime 2017-04-09T12:11:20 --enforcementcount 0 &gt;&gt;C:\Users\stu\Documents\GitHub\eaglep3-reporting\EC\2017-04-09-refined-times.txt</v>
      </c>
      <c r="AI215" s="104" t="str">
        <f t="shared" si="24"/>
        <v>echo {"issue":{"subject":"","project_id":79,"tracker_id":40,"status_id":1,"priority_id":2,"assigned_to_id":23,"start_date":"2017-04-09","description":"","custom_fields":[{"id":1,"name":"Subdivision","value":"Other"},{"id":4,"name":"Milepost","value":"2.4248"},{"id":17,"name":"Train ID","value":"53-09"},{"id":16,"name":"Locomotive ID","value":"4010"},{"id":130,"name":"Impact","value":""},{"id":150,"name":"Time of Event (Mountain Time)","value":"12:11:20"},{"id":151,"name":"Denver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8"/>
      <c r="AL215" s="48"/>
      <c r="AM215" s="150" t="str">
        <f t="shared" si="25"/>
        <v>start /low /b %USERPROFILE%\Documents\GitHub\eaglep3\Utilities\DownloadLogsFromS3.py --loco 4010 --day 2017-04-09</v>
      </c>
      <c r="AN215" s="159" t="str">
        <f t="shared" si="26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18:11:20"},{"id":29,"name":"Sharepoint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3" t="s">
        <v>775</v>
      </c>
      <c r="B216" s="7">
        <v>4020</v>
      </c>
      <c r="C216" s="21" t="s">
        <v>215</v>
      </c>
      <c r="D216" s="21" t="s">
        <v>970</v>
      </c>
      <c r="E216" s="13">
        <v>42834.735949074071</v>
      </c>
      <c r="F216" s="13">
        <v>42834.760844907411</v>
      </c>
      <c r="G216" s="7">
        <v>1</v>
      </c>
      <c r="H216" s="21" t="s">
        <v>591</v>
      </c>
      <c r="I216" s="13">
        <v>42834.767696759256</v>
      </c>
      <c r="J216" s="7">
        <v>0</v>
      </c>
      <c r="K216" s="97" t="str">
        <f>IF(ISEVEN(B216),(B216-1)&amp;"/"&amp;B216,B216&amp;"/"&amp;(B216+1))</f>
        <v>4019/4020</v>
      </c>
      <c r="L216" s="21" t="str">
        <f>VLOOKUP(A216,'Trips&amp;Operators'!$C$1:$G$99999,5,FALSE)</f>
        <v>LALONDE GREGORY</v>
      </c>
      <c r="M216" s="6">
        <f>I216-F216</f>
        <v>6.8518518455675803E-3</v>
      </c>
      <c r="N216" s="7">
        <f>24*60*SUM($M216:$M216)</f>
        <v>9.8666666576173156</v>
      </c>
      <c r="O216" s="7"/>
      <c r="P216" s="7"/>
      <c r="Q216" s="22"/>
      <c r="R216" s="22"/>
      <c r="S216" s="31">
        <f>SUM(U216:U216)/IF(AG216="EC",12,1)</f>
        <v>0</v>
      </c>
      <c r="T216" s="46" t="e">
        <f>IF(ISEVEN(LEFT(AD216,4)),"Southbound","NorthBound")</f>
        <v>#VALUE!</v>
      </c>
      <c r="U216" s="18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82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-04-09T16:39:46-0600',mode:absolute,to:'2017-04-09T19:25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6" s="183" t="str">
        <f>IF(AA216&lt;IF(AG216="EC",23,5.65),"Y","N")</f>
        <v>Y</v>
      </c>
      <c r="X216" s="183" t="e">
        <f>VALUE(LEFT(AD216,4))-VALUE(LEFT(AD215,4))</f>
        <v>#VALUE!</v>
      </c>
      <c r="Y216" s="62">
        <f>RIGHT(D216,LEN(D216)-4)/10000</f>
        <v>0.14729999999999999</v>
      </c>
      <c r="Z216" s="62">
        <f>RIGHT(H216,LEN(H216)-4)/10000</f>
        <v>2.3302</v>
      </c>
      <c r="AA216" s="62">
        <f>ABS(Z216-Y216)</f>
        <v>2.1829000000000001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>IF(LEN(A216)=6,"0"&amp;A216,A216)</f>
        <v>65-09</v>
      </c>
      <c r="AE216" s="85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s3://rtdc.mdm.uploadarchive.raw/RTDC4020/ "%USERPROFILE%\AppData\Local\Temp\OnboardLogs"\RTDC4020\2017-04-09 --exclude "*" --recursive --include "*20170409*" &amp; "%USERPROFILE%\Documents\GitHub\mrs-test-scripts\Headless Mode &amp; Sideloading\WalkAndUnGZ.bat" "%USERPROFILE%\AppData\Local\Temp\OnboardLogs"\RTDC4020\2017-04-09 &amp; aws s3 cp s3://rtdc.mdm.uploadarchive.raw/RTDC4020/ "%USERPROFILE%\AppData\Local\Temp\OnboardLogs"\RTDC4020\2017-04-10 --exclude "*" --recursive --include "*20170410*" &amp; "%USERPROFILE%\Documents\GitHub\mrs-test-scripts\Headless Mode &amp; Sideloading\WalkAndUnGZ.bat" "%USERPROFILE%\AppData\Local\Temp\OnboardLogs"\RTDC4020\2017-04-10</v>
      </c>
      <c r="AF216" s="82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/stypes="app*4020*20170410*" /stext=" 00:.+((SYSTEM_STATE.+slice.+state.+changed )|(ment ac)|(multiple cpu faults)|(system.+state.+changed )|(\[timeout)|(PRM\|1\|D)|(kpr)|(kdp)|(\|lc)|(penalty))"</v>
      </c>
      <c r="AG216" s="1" t="str">
        <f>IFERROR(IF(VALUE(LEFT(AD216,2))&lt;=2,"EC",IF(OR(VALUE(LEFT(AD216,2))=8,VALUE(LEFT(AD216,2))=18),"NW","Other")),"Other")</f>
        <v>Other</v>
      </c>
      <c r="AH216" s="86" t="str">
        <f t="shared" si="23"/>
        <v>"%USERPROFILE%\Documents\GitHub\eaglep3\Utilities\RefineRTDCRunTimes.py" --tripid 65-09 --locoid 4020 --swversion DE.1.0.9.0 --startMP 204:1473 --initTime 2017-04-09T17:39:46 --startdatetime 2017-04-09T18:15:37 --delay 1 --endMP 300:23302 --enddatetime 2017-04-09T18:25:29 --enforcementcount 0 &gt;&gt;C:\Users\stu\Documents\GitHub\eaglep3-reporting\EC\2017-04-09-refined-times.txt</v>
      </c>
      <c r="AI216" s="104" t="str">
        <f t="shared" si="24"/>
        <v>echo {"issue":{"subject":"","project_id":79,"tracker_id":40,"status_id":1,"priority_id":2,"assigned_to_id":23,"start_date":"2017-04-09","description":"","custom_fields":[{"id":1,"name":"Subdivision","value":"Other"},{"id":4,"name":"Milepost","value":"2.3302"},{"id":17,"name":"Train ID","value":"65-09"},{"id":16,"name":"Locomotive ID","value":"4020"},{"id":130,"name":"Impact","value":""},{"id":150,"name":"Time of Event (Mountain Time)","value":"18:25:29"},{"id":151,"name":"Denver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8"/>
      <c r="AL216" s="48"/>
      <c r="AM216" s="150" t="str">
        <f t="shared" si="25"/>
        <v>start /low /b %USERPROFILE%\Documents\GitHub\eaglep3\Utilities\DownloadLogsFromS3.py --loco 4020 --day 2017-04-09</v>
      </c>
      <c r="AN216" s="159" t="str">
        <f t="shared" si="26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00:25:29"},{"id":29,"name":"Sharepoint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S217"/>
      <c r="U217"/>
      <c r="V217"/>
      <c r="W217"/>
      <c r="X217"/>
      <c r="Y217"/>
      <c r="Z217"/>
      <c r="AA217"/>
      <c r="AB217"/>
      <c r="AC217"/>
      <c r="AD217"/>
      <c r="AE217"/>
      <c r="AF217"/>
      <c r="AH217"/>
      <c r="AI217"/>
      <c r="AM217"/>
    </row>
    <row r="218" spans="1:40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  <c r="AM218"/>
    </row>
    <row r="219" spans="1:40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  <c r="AM219"/>
    </row>
    <row r="220" spans="1:40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  <c r="AM220"/>
    </row>
    <row r="221" spans="1:40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  <c r="AM221"/>
    </row>
    <row r="222" spans="1:40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  <c r="AM222"/>
    </row>
    <row r="223" spans="1:40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</row>
    <row r="224" spans="1:40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40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40" s="20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</row>
    <row r="227" spans="1:40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40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40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40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40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40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40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</sheetData>
  <autoFilter ref="A12:AG261">
    <sortState ref="A13:AG262">
      <sortCondition ref="AG13:AG217"/>
      <sortCondition ref="AD13:AD217"/>
    </sortState>
  </autoFilter>
  <sortState ref="A13:AH200">
    <sortCondition ref="AG13:AG200"/>
    <sortCondition ref="AD13:AD200"/>
  </sortState>
  <mergeCells count="1">
    <mergeCell ref="A11:P11"/>
  </mergeCells>
  <conditionalFormatting sqref="W11:W12 W268:X1048576 W13:X216">
    <cfRule type="cellIs" dxfId="10" priority="370" operator="equal">
      <formula>"Y"</formula>
    </cfRule>
  </conditionalFormatting>
  <conditionalFormatting sqref="X268:X1048576 X13:X216">
    <cfRule type="cellIs" dxfId="9" priority="353" operator="greaterThan">
      <formula>1</formula>
    </cfRule>
  </conditionalFormatting>
  <conditionalFormatting sqref="X268:X1048576 X12:X216">
    <cfRule type="cellIs" dxfId="8" priority="350" operator="equal">
      <formula>0</formula>
    </cfRule>
  </conditionalFormatting>
  <conditionalFormatting sqref="A13:S216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A13:S216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AK13:AK216</xm:sqref>
        </x14:dataValidation>
        <x14:dataValidation type="list" allowBlank="1" showInputMessage="1" showErrorMessage="1">
          <x14:formula1>
            <xm:f>'Redmine List Values'!$C$2:$C$15</xm:f>
          </x14:formula1>
          <xm:sqref>AL13:AL216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1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1" customWidth="1"/>
    <col min="5" max="5" width="14.85546875" style="121" customWidth="1"/>
    <col min="6" max="6" width="5.7109375" style="121" customWidth="1"/>
    <col min="7" max="7" width="5.85546875" style="121" customWidth="1"/>
    <col min="8" max="8" width="7.85546875" style="121" customWidth="1"/>
    <col min="9" max="9" width="9" style="121" customWidth="1"/>
    <col min="10" max="10" width="11.5703125" style="121" hidden="1" customWidth="1"/>
    <col min="11" max="11" width="9.140625" style="121" customWidth="1"/>
    <col min="12" max="12" width="7.85546875" style="121" customWidth="1"/>
    <col min="13" max="13" width="7.85546875" style="2" customWidth="1"/>
    <col min="14" max="14" width="14.28515625" style="120" customWidth="1"/>
    <col min="15" max="15" width="5.140625" style="164" customWidth="1"/>
    <col min="16" max="16" width="30.28515625" style="121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16" customWidth="1"/>
    <col min="27" max="27" width="5.28515625" customWidth="1"/>
    <col min="28" max="28" width="5.5703125" customWidth="1"/>
    <col min="29" max="29" width="5.28515625" style="123" customWidth="1"/>
    <col min="30" max="30" width="6.7109375" customWidth="1"/>
    <col min="31" max="31" width="9.140625" style="150"/>
  </cols>
  <sheetData>
    <row r="1" spans="1:32" s="20" customFormat="1" ht="15.75" hidden="1" thickBot="1" x14ac:dyDescent="0.3">
      <c r="A1" s="8"/>
      <c r="D1" s="121"/>
      <c r="E1" s="121"/>
      <c r="F1" s="121"/>
      <c r="G1" s="121"/>
      <c r="H1" s="121"/>
      <c r="I1" s="121"/>
      <c r="J1" s="121"/>
      <c r="K1" s="121"/>
      <c r="L1" s="121"/>
      <c r="M1" s="2"/>
      <c r="N1" s="120"/>
      <c r="O1" s="164"/>
      <c r="P1" s="121"/>
      <c r="R1" s="83"/>
      <c r="S1" s="90"/>
      <c r="T1" s="80"/>
      <c r="V1" s="44"/>
      <c r="Z1" s="216"/>
      <c r="AC1" s="123"/>
      <c r="AE1" s="150"/>
    </row>
    <row r="2" spans="1:32" s="20" customFormat="1" x14ac:dyDescent="0.25">
      <c r="A2" s="8"/>
      <c r="D2" s="121"/>
      <c r="E2" s="121"/>
      <c r="F2" s="121"/>
      <c r="G2" s="121"/>
      <c r="H2" s="121"/>
      <c r="I2" s="121"/>
      <c r="J2" s="121"/>
      <c r="K2" s="121"/>
      <c r="L2" s="132" t="s">
        <v>80</v>
      </c>
      <c r="M2" s="116"/>
      <c r="N2" s="133"/>
      <c r="O2" s="187">
        <f>COUNTIF($O$7:$O$301,"=Y")</f>
        <v>1</v>
      </c>
      <c r="P2" s="118"/>
      <c r="R2" s="83"/>
      <c r="S2" s="90"/>
      <c r="T2" s="80"/>
      <c r="V2" s="44"/>
      <c r="Z2" s="216"/>
      <c r="AC2" s="124"/>
      <c r="AE2" s="150"/>
    </row>
    <row r="3" spans="1:32" s="20" customFormat="1" ht="15.75" thickBot="1" x14ac:dyDescent="0.3">
      <c r="A3" s="8"/>
      <c r="D3" s="121"/>
      <c r="E3" s="121"/>
      <c r="F3" s="121"/>
      <c r="G3" s="121"/>
      <c r="H3" s="121"/>
      <c r="I3" s="121"/>
      <c r="J3" s="121"/>
      <c r="K3" s="121"/>
      <c r="L3" s="134" t="s">
        <v>81</v>
      </c>
      <c r="M3" s="117"/>
      <c r="N3" s="135"/>
      <c r="O3" s="188">
        <f>COUNTA($O$7:$O$301)-O2</f>
        <v>25</v>
      </c>
      <c r="P3" s="118"/>
      <c r="R3" s="83"/>
      <c r="S3" s="90"/>
      <c r="T3" s="80"/>
      <c r="V3" s="44"/>
      <c r="Z3" s="216"/>
      <c r="AC3" s="124"/>
      <c r="AE3" s="150"/>
    </row>
    <row r="4" spans="1:32" s="20" customFormat="1" x14ac:dyDescent="0.25">
      <c r="A4" s="8"/>
      <c r="D4" s="121"/>
      <c r="E4" s="121"/>
      <c r="F4" s="121"/>
      <c r="G4" s="121"/>
      <c r="H4" s="121"/>
      <c r="I4" s="121"/>
      <c r="J4" s="121"/>
      <c r="K4" s="121"/>
      <c r="L4" s="121"/>
      <c r="M4" s="2"/>
      <c r="N4" s="120"/>
      <c r="O4" s="164"/>
      <c r="P4" s="121"/>
      <c r="R4" s="83"/>
      <c r="S4" s="90"/>
      <c r="T4" s="80"/>
      <c r="V4" s="44"/>
      <c r="Z4" s="216"/>
      <c r="AC4" s="124"/>
      <c r="AE4" s="150"/>
    </row>
    <row r="5" spans="1:32" s="10" customFormat="1" ht="15" customHeight="1" x14ac:dyDescent="0.25">
      <c r="A5" s="222" t="str">
        <f>"Eagle P3 Braking Events - "&amp;TEXT(Variables!$A$2,"YYYY-mm-dd")</f>
        <v>Eagle P3 Braking Events - 2017-04-09</v>
      </c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136"/>
      <c r="R5" s="88"/>
      <c r="S5" s="91"/>
      <c r="T5" s="93"/>
      <c r="V5" s="45"/>
      <c r="AC5" s="125"/>
      <c r="AE5" s="152"/>
    </row>
    <row r="6" spans="1:32" s="115" customFormat="1" ht="69.75" customHeight="1" x14ac:dyDescent="0.2">
      <c r="A6" s="105" t="s">
        <v>38</v>
      </c>
      <c r="B6" s="106" t="s">
        <v>37</v>
      </c>
      <c r="C6" s="106" t="s">
        <v>36</v>
      </c>
      <c r="D6" s="122" t="s">
        <v>35</v>
      </c>
      <c r="E6" s="122" t="s">
        <v>34</v>
      </c>
      <c r="F6" s="122" t="s">
        <v>33</v>
      </c>
      <c r="G6" s="122" t="s">
        <v>32</v>
      </c>
      <c r="H6" s="122" t="s">
        <v>31</v>
      </c>
      <c r="I6" s="122" t="s">
        <v>153</v>
      </c>
      <c r="J6" s="122" t="s">
        <v>30</v>
      </c>
      <c r="K6" s="122" t="s">
        <v>29</v>
      </c>
      <c r="L6" s="122" t="s">
        <v>28</v>
      </c>
      <c r="M6" s="107" t="s">
        <v>154</v>
      </c>
      <c r="N6" s="137" t="s">
        <v>47</v>
      </c>
      <c r="O6" s="189" t="s">
        <v>27</v>
      </c>
      <c r="P6" s="122" t="s">
        <v>24</v>
      </c>
      <c r="Q6" s="108"/>
      <c r="R6" s="109" t="s">
        <v>89</v>
      </c>
      <c r="S6" s="110" t="s">
        <v>55</v>
      </c>
      <c r="T6" s="111" t="s">
        <v>88</v>
      </c>
      <c r="U6" s="106" t="s">
        <v>83</v>
      </c>
      <c r="V6" s="112" t="s">
        <v>84</v>
      </c>
      <c r="W6" s="108" t="s">
        <v>96</v>
      </c>
      <c r="X6" s="108" t="s">
        <v>97</v>
      </c>
      <c r="Y6" s="113" t="s">
        <v>147</v>
      </c>
      <c r="Z6" s="217" t="s">
        <v>148</v>
      </c>
      <c r="AA6" s="114" t="s">
        <v>121</v>
      </c>
      <c r="AB6" s="114" t="s">
        <v>149</v>
      </c>
      <c r="AC6" s="126" t="s">
        <v>173</v>
      </c>
      <c r="AD6" s="115" t="s">
        <v>190</v>
      </c>
      <c r="AE6" s="151" t="s">
        <v>200</v>
      </c>
    </row>
    <row r="7" spans="1:32" s="1" customFormat="1" x14ac:dyDescent="0.25">
      <c r="A7" s="32">
        <v>42834.648425925923</v>
      </c>
      <c r="B7" s="30" t="s">
        <v>378</v>
      </c>
      <c r="C7" s="30" t="s">
        <v>616</v>
      </c>
      <c r="D7" s="30" t="s">
        <v>98</v>
      </c>
      <c r="E7" s="30" t="s">
        <v>191</v>
      </c>
      <c r="F7" s="43">
        <v>0</v>
      </c>
      <c r="G7" s="43">
        <v>138</v>
      </c>
      <c r="H7" s="43">
        <v>27347</v>
      </c>
      <c r="I7" s="43">
        <v>27187</v>
      </c>
      <c r="J7" s="30" t="s">
        <v>192</v>
      </c>
      <c r="K7" s="43">
        <v>27350</v>
      </c>
      <c r="L7" s="139" t="s">
        <v>51</v>
      </c>
      <c r="M7" s="140">
        <f>CONVERT((I7-K7)/10000,"mi","ft")*IF(L7="Increasing Mileposts (1)",-1,1)</f>
        <v>-86.063999999999993</v>
      </c>
      <c r="N7" s="141" t="str">
        <f>VLOOKUP(C7,'Trips&amp;Operators'!$C$1:$G$99999,5,FALSE)</f>
        <v>PERKINS DARREN</v>
      </c>
      <c r="O7" s="190" t="s">
        <v>184</v>
      </c>
      <c r="P7" s="142" t="s">
        <v>453</v>
      </c>
      <c r="Q7" s="30"/>
      <c r="R7" s="89" t="e">
        <f>IF(VLOOKUP(C7,'Train Runs'!$A$13:$AE$9937,1,1)=C7,VLOOKUP(C7,'Train Runs'!$A$13:$AE$9937,31,1),NA())</f>
        <v>#N/A</v>
      </c>
      <c r="S7" s="92" t="str">
        <f>VLOOKUP(C7,'Train Runs'!$A$13:$AE$9937,22,0)</f>
        <v>https://d0f6bd738d7f1b3e5a7ca70fe4ff75f0.us-east-1.aws.found.io/app/kibana#/discover/Steve-Slow-Train-Analysis-(2080s-and-2083s)?_g=(refreshInterval:(display:Off,pause:!f,section:0,value:0),time:(from:'2017-04-09T13:48:57-0600',mode:absolute,to:'2017-04-09T16:41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7" s="94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/stypes="*4031*201704092*" /stext=" 21:.+((SYSTEM_STATE.+slice.+state.+changed )|(ment ac)|(multiple cpu faults)|(system.+state.+changed )|(\[timeout)|(PRM\|1\|D)|(kpr)|(kdp)|(\|lc)|(penalty))"</v>
      </c>
      <c r="U7" s="9" t="str">
        <f>MID(B7,13,4)</f>
        <v>4031</v>
      </c>
      <c r="V7" s="32">
        <f>A7-utc_offset/24</f>
        <v>42834.898425925923</v>
      </c>
      <c r="W7" s="46" t="str">
        <f>IFERROR(IF(VALUE(LEFT(IF(LEN(C7)=6,"0"&amp;C7,C7),2))&lt;=2,"EC",IF(OR(VALUE(LEFT(IF(LEN(C7)=6,"0"&amp;C7,C7),2))=8,VALUE(LEFT(IF(LEN(C7)=6,"0"&amp;C7,C7),2))=18),"NW","Other")),"Other")</f>
        <v>EC</v>
      </c>
      <c r="X7" s="46" t="str">
        <f>IF(AND(E7="TRACK WARRANT AUTHORITY",G7&lt;10),"OMIT","KEEP")</f>
        <v>KEEP</v>
      </c>
      <c r="Y7" s="104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arrival","project_id":79,"tracker_id":40,"status_id":1,"priority_id":2,"assigned_to_id":23,"start_date":"2017-04-09","description":"","custom_fields":[{"id":1,"name":"Subdivision","value":"EC"},{"id":4,"name":"Milepost","value":"2.735"},{"id":17,"name":"Train ID","value":"184-09"},{"id":16,"name":"Locomotive ID","value":"4031"},{"id":130,"name":"Impact","value":""},{"id":150,"name":"Time of Event (Mountain Time)","value":"15:33:44"},{"id":151,"name":"Denver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18"/>
      <c r="AA7" s="48"/>
      <c r="AB7" s="48"/>
      <c r="AC7" s="123" t="str">
        <f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"%USERPROFILE%\AppData\Local\Temp\OnboardLogs"\RTDC4031\*4031*201704092*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"%USERPROFILE%\AppData\Local\Temp\OnboardLogs"\RTDC4031\*4031*201704092* &gt;&gt; 2017-04-09-SliceDisagreementCheck.txt</v>
      </c>
      <c r="AE7" s="153" t="str">
        <f t="shared" ref="AE7" si="0">"start /low /b "&amp;dls3logs&amp;" --loco "&amp;U7&amp;" --day "&amp;TEXT(V7,"YYYY-MM-DD")</f>
        <v>start /low /b %USERPROFILE%\Documents\GitHub\eaglep3\Utilities\DownloadLogsFromS3.py --loco 4031 --day 2017-04-09</v>
      </c>
    </row>
    <row r="8" spans="1:32" s="1" customFormat="1" x14ac:dyDescent="0.25">
      <c r="A8" s="32">
        <v>42834.574988425928</v>
      </c>
      <c r="B8" s="30" t="s">
        <v>378</v>
      </c>
      <c r="C8" s="30" t="s">
        <v>611</v>
      </c>
      <c r="D8" s="30" t="s">
        <v>49</v>
      </c>
      <c r="E8" s="30" t="s">
        <v>191</v>
      </c>
      <c r="F8" s="43">
        <v>0</v>
      </c>
      <c r="G8" s="43">
        <v>228</v>
      </c>
      <c r="H8" s="43">
        <v>33355</v>
      </c>
      <c r="I8" s="43">
        <v>33052</v>
      </c>
      <c r="J8" s="30" t="s">
        <v>192</v>
      </c>
      <c r="K8" s="43">
        <v>33257</v>
      </c>
      <c r="L8" s="139" t="s">
        <v>51</v>
      </c>
      <c r="M8" s="140">
        <f>CONVERT((I8-K8)/10000,"mi","ft")*IF(L8="Increasing Mileposts (1)",-1,1)</f>
        <v>-108.24</v>
      </c>
      <c r="N8" s="141" t="str">
        <f>VLOOKUP(C8,'Trips&amp;Operators'!$C$1:$G$99999,5,FALSE)</f>
        <v>LOPES KIMBERLY</v>
      </c>
      <c r="O8" s="190" t="s">
        <v>184</v>
      </c>
      <c r="P8" s="142" t="s">
        <v>453</v>
      </c>
      <c r="Q8" s="30"/>
      <c r="R8" s="89" t="str">
        <f>IF(VLOOKUP(C8,'Train Runs'!$A$13:$AE$9937,1,1)=C8,VLOOKUP(C8,'Train Runs'!$A$13:$AE$9937,31,1),NA())</f>
        <v>aws s3 cp s3://rtdc.mdm.uploadarchive.raw/RTDC4031/ "%USERPROFILE%\AppData\Local\Temp\OnboardLogs"\RTDC4031\2017-04-09 --exclude "*" --recursive --include "*20170409*" &amp; "%USERPROFILE%\Documents\GitHub\mrs-test-scripts\Headless Mode &amp; Sideloading\WalkAndUnGZ.bat" "%USERPROFILE%\AppData\Local\Temp\OnboardLogs"\RTDC4031\2017-04-09 &amp; aws s3 cp s3://rtdc.mdm.uploadarchive.raw/RTDC4031/ "%USERPROFILE%\AppData\Local\Temp\OnboardLogs"\RTDC4031\2017-04-10 --exclude "*" --recursive --include "*20170410*" &amp; "%USERPROFILE%\Documents\GitHub\mrs-test-scripts\Headless Mode &amp; Sideloading\WalkAndUnGZ.bat" "%USERPROFILE%\AppData\Local\Temp\OnboardLogs"\RTDC4031\2017-04-10</v>
      </c>
      <c r="S8" s="92" t="str">
        <f>VLOOKUP(C8,'Train Runs'!$A$13:$AE$9937,22,0)</f>
        <v>https://d0f6bd738d7f1b3e5a7ca70fe4ff75f0.us-east-1.aws.found.io/app/kibana#/discover/Steve-Slow-Train-Analysis-(2080s-and-2083s)?_g=(refreshInterval:(display:Off,pause:!f,section:0,value:0),time:(from:'2017-04-09T12:01:34-0600',mode:absolute,to:'2017-04-09T14:57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8" s="94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/stypes="*4031*201704091*" /stext=" 19:.+((SYSTEM_STATE.+slice.+state.+changed )|(ment ac)|(multiple cpu faults)|(system.+state.+changed )|(\[timeout)|(PRM\|1\|D)|(kpr)|(kdp)|(\|lc)|(penalty))"</v>
      </c>
      <c r="U8" s="9" t="str">
        <f>MID(B8,13,4)</f>
        <v>4031</v>
      </c>
      <c r="V8" s="32">
        <f>A8-utc_offset/24</f>
        <v>42834.824988425928</v>
      </c>
      <c r="W8" s="46" t="str">
        <f>IFERROR(IF(VALUE(LEFT(IF(LEN(C8)=6,"0"&amp;C8,C8),2))&lt;=2,"EC",IF(OR(VALUE(LEFT(IF(LEN(C8)=6,"0"&amp;C8,C8),2))=8,VALUE(LEFT(IF(LEN(C8)=6,"0"&amp;C8,C8),2))=18),"NW","Other")),"Other")</f>
        <v>EC</v>
      </c>
      <c r="X8" s="46" t="str">
        <f>IF(AND(E8="TRACK WARRANT AUTHORITY",G8&lt;10),"OMIT","KEEP")</f>
        <v>KEEP</v>
      </c>
      <c r="Y8" s="104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arrival","project_id":79,"tracker_id":40,"status_id":1,"priority_id":2,"assigned_to_id":23,"start_date":"2017-04-09","description":"","custom_fields":[{"id":1,"name":"Subdivision","value":"EC"},{"id":4,"name":"Milepost","value":"3.3257"},{"id":17,"name":"Train ID","value":"170-09"},{"id":16,"name":"Locomotive ID","value":"4031"},{"id":130,"name":"Impact","value":""},{"id":150,"name":"Time of Event (Mountain Time)","value":"13:47:59"},{"id":151,"name":"Denver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18"/>
      <c r="AA8" s="48"/>
      <c r="AB8" s="48"/>
      <c r="AC8" s="123" t="str">
        <f>"grep -hSE -A400 ""Enforcement Action"" "&amp;search_path&amp;"\RTDC"&amp;U8&amp;"\*"&amp;U8&amp;"*"&amp;TEXT(A8-utc_offset/24,"YYYYMMDD")&amp;LEFT(TEXT(A8-utc_offset/24,"HH"),1)&amp;"* | grep -SE ""((Enforcement Ac)|(PRM.+XING))"" -"</f>
        <v>grep -hSE -A400 "Enforcement Action" "%USERPROFILE%\AppData\Local\Temp\OnboardLogs"\RTDC4031\*4031*201704091*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"%USERPROFILE%\AppData\Local\Temp\OnboardLogs"\RTDC4031\*4031*201704091* &gt;&gt; 2017-04-09-SliceDisagreementCheck.txt</v>
      </c>
      <c r="AE8" s="153" t="str">
        <f t="shared" ref="AE8:AE32" si="1">"start /low /b "&amp;dls3logs&amp;" --loco "&amp;U8&amp;" --day "&amp;TEXT(V8,"YYYY-MM-DD")</f>
        <v>start /low /b %USERPROFILE%\Documents\GitHub\eaglep3\Utilities\DownloadLogsFromS3.py --loco 4031 --day 2017-04-09</v>
      </c>
    </row>
    <row r="9" spans="1:32" s="1" customFormat="1" x14ac:dyDescent="0.25">
      <c r="A9" s="32">
        <v>42834.371979166666</v>
      </c>
      <c r="B9" s="30" t="s">
        <v>377</v>
      </c>
      <c r="C9" s="30" t="s">
        <v>603</v>
      </c>
      <c r="D9" s="30" t="s">
        <v>49</v>
      </c>
      <c r="E9" s="30" t="s">
        <v>191</v>
      </c>
      <c r="F9" s="43">
        <v>0</v>
      </c>
      <c r="G9" s="43">
        <v>312</v>
      </c>
      <c r="H9" s="43">
        <v>42622</v>
      </c>
      <c r="I9" s="43">
        <v>43252</v>
      </c>
      <c r="J9" s="30" t="s">
        <v>192</v>
      </c>
      <c r="K9" s="43">
        <v>42779</v>
      </c>
      <c r="L9" s="139" t="s">
        <v>50</v>
      </c>
      <c r="M9" s="140">
        <f>CONVERT((I9-K9)/10000,"mi","ft")*IF(L9="Increasing Mileposts (1)",-1,1)</f>
        <v>-249.744</v>
      </c>
      <c r="N9" s="141" t="str">
        <f>VLOOKUP(C9,'Trips&amp;Operators'!$C$1:$G$99999,5,FALSE)</f>
        <v>PERKINS DARREN</v>
      </c>
      <c r="O9" s="190" t="s">
        <v>184</v>
      </c>
      <c r="P9" s="142" t="s">
        <v>453</v>
      </c>
      <c r="Q9" s="30"/>
      <c r="R9" s="89" t="str">
        <f>IF(VLOOKUP(C9,'Train Runs'!$A$13:$AE$9937,1,1)=C9,VLOOKUP(C9,'Train Runs'!$A$13:$AE$9937,31,1),NA())</f>
        <v>aws s3 cp s3://rtdc.mdm.uploadarchive.raw/RTDC4032/ "%USERPROFILE%\AppData\Local\Temp\OnboardLogs"\RTDC4032\2017-04-09 --exclude "*" --recursive --include "*20170409*" &amp; "%USERPROFILE%\Documents\GitHub\mrs-test-scripts\Headless Mode &amp; Sideloading\WalkAndUnGZ.bat" "%USERPROFILE%\AppData\Local\Temp\OnboardLogs"\RTDC4032\2017-04-09 &amp; aws s3 cp s3://rtdc.mdm.uploadarchive.raw/RTDC4032/ "%USERPROFILE%\AppData\Local\Temp\OnboardLogs"\RTDC4032\2017-04-10 --exclude "*" --recursive --include "*20170410*" &amp; "%USERPROFILE%\Documents\GitHub\mrs-test-scripts\Headless Mode &amp; Sideloading\WalkAndUnGZ.bat" "%USERPROFILE%\AppData\Local\Temp\OnboardLogs"\RTDC4032\2017-04-10</v>
      </c>
      <c r="S9" s="92" t="str">
        <f>VLOOKUP(C9,'Train Runs'!$A$13:$AE$9937,22,0)</f>
        <v>https://d0f6bd738d7f1b3e5a7ca70fe4ff75f0.us-east-1.aws.found.io/app/kibana#/discover/Steve-Slow-Train-Analysis-(2080s-and-2083s)?_g=(refreshInterval:(display:Off,pause:!f,section:0,value:0),time:(from:'2017-04-09T07:39:11-0600',mode:absolute,to:'2017-04-09T10:21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9" s="94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/stypes="*4032*201704091*" /stext=" 14:.+((SYSTEM_STATE.+slice.+state.+changed )|(ment ac)|(multiple cpu faults)|(system.+state.+changed )|(\[timeout)|(PRM\|1\|D)|(kpr)|(kdp)|(\|lc)|(penalty))"</v>
      </c>
      <c r="U9" s="9" t="str">
        <f>MID(B9,13,4)</f>
        <v>4032</v>
      </c>
      <c r="V9" s="32">
        <f>A9-utc_offset/24</f>
        <v>42834.621979166666</v>
      </c>
      <c r="W9" s="46" t="str">
        <f>IFERROR(IF(VALUE(LEFT(IF(LEN(C9)=6,"0"&amp;C9,C9),2))&lt;=2,"EC",IF(OR(VALUE(LEFT(IF(LEN(C9)=6,"0"&amp;C9,C9),2))=8,VALUE(LEFT(IF(LEN(C9)=6,"0"&amp;C9,C9),2))=18),"NW","Other")),"Other")</f>
        <v>EC</v>
      </c>
      <c r="X9" s="46" t="str">
        <f>IF(AND(E9="TRACK WARRANT AUTHORITY",G9&lt;10),"OMIT","KEEP")</f>
        <v>KEEP</v>
      </c>
      <c r="Y9" s="104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arrival","project_id":79,"tracker_id":40,"status_id":1,"priority_id":2,"assigned_to_id":23,"start_date":"2017-04-09","description":"","custom_fields":[{"id":1,"name":"Subdivision","value":"EC"},{"id":4,"name":"Milepost","value":"4.2779"},{"id":17,"name":"Train ID","value":"141-09"},{"id":16,"name":"Locomotive ID","value":"4032"},{"id":130,"name":"Impact","value":""},{"id":150,"name":"Time of Event (Mountain Time)","value":"08:55:39"},{"id":151,"name":"Denver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18"/>
      <c r="AA9" s="48"/>
      <c r="AB9" s="48"/>
      <c r="AC9" s="123" t="str">
        <f>"grep -hSE -A400 ""Enforcement Action"" "&amp;search_path&amp;"\RTDC"&amp;U9&amp;"\*"&amp;U9&amp;"*"&amp;TEXT(A9-utc_offset/24,"YYYYMMDD")&amp;LEFT(TEXT(A9-utc_offset/24,"HH"),1)&amp;"* | grep -SE ""((Enforcement Ac)|(PRM.+XING))"" -"</f>
        <v>grep -hSE -A400 "Enforcement Action" "%USERPROFILE%\AppData\Local\Temp\OnboardLogs"\RTDC4032\*4032*201704091*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"%USERPROFILE%\AppData\Local\Temp\OnboardLogs"\RTDC4032\*4032*201704091* &gt;&gt; 2017-04-09-SliceDisagreementCheck.txt</v>
      </c>
      <c r="AE9" s="153" t="str">
        <f t="shared" si="1"/>
        <v>start /low /b %USERPROFILE%\Documents\GitHub\eaglep3\Utilities\DownloadLogsFromS3.py --loco 4032 --day 2017-04-09</v>
      </c>
    </row>
    <row r="10" spans="1:32" s="1" customFormat="1" x14ac:dyDescent="0.25">
      <c r="A10" s="32">
        <v>42834.745324074072</v>
      </c>
      <c r="B10" s="30" t="s">
        <v>377</v>
      </c>
      <c r="C10" s="30" t="s">
        <v>618</v>
      </c>
      <c r="D10" s="30" t="s">
        <v>49</v>
      </c>
      <c r="E10" s="30" t="s">
        <v>191</v>
      </c>
      <c r="F10" s="43">
        <v>0</v>
      </c>
      <c r="G10" s="43">
        <v>186</v>
      </c>
      <c r="H10" s="43">
        <v>41940</v>
      </c>
      <c r="I10" s="43">
        <v>42226</v>
      </c>
      <c r="J10" s="30" t="s">
        <v>192</v>
      </c>
      <c r="K10" s="43">
        <v>42779</v>
      </c>
      <c r="L10" s="139" t="s">
        <v>50</v>
      </c>
      <c r="M10" s="140">
        <f>CONVERT((I10-K10)/10000,"mi","ft")*IF(L10="Increasing Mileposts (1)",-1,1)</f>
        <v>291.98399999999998</v>
      </c>
      <c r="N10" s="141" t="str">
        <f>VLOOKUP(C10,'Trips&amp;Operators'!$C$1:$G$99999,5,FALSE)</f>
        <v>MCREYNOLDS KYLE</v>
      </c>
      <c r="O10" s="190" t="s">
        <v>184</v>
      </c>
      <c r="P10" s="142" t="s">
        <v>987</v>
      </c>
      <c r="Q10" s="30"/>
      <c r="R10" s="89" t="e">
        <f>IF(VLOOKUP(C10,'Train Runs'!$A$13:$AE$9937,1,1)=C10,VLOOKUP(C10,'Train Runs'!$A$13:$AE$9937,31,1),NA())</f>
        <v>#N/A</v>
      </c>
      <c r="S10" s="92" t="str">
        <f>VLOOKUP(C10,'Train Runs'!$A$13:$AE$9937,22,0)</f>
        <v>https://d0f6bd738d7f1b3e5a7ca70fe4ff75f0.us-east-1.aws.found.io/app/kibana#/discover/Steve-Slow-Train-Analysis-(2080s-and-2083s)?_g=(refreshInterval:(display:Off,pause:!f,section:0,value:0),time:(from:'2017-04-09T16:43:43-0600',mode:absolute,to:'2017-04-09T19:20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0" s="94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/stypes="*4032*201704092*" /stext=" 23:.+((SYSTEM_STATE.+slice.+state.+changed )|(ment ac)|(multiple cpu faults)|(system.+state.+changed )|(\[timeout)|(PRM\|1\|D)|(kpr)|(kdp)|(\|lc)|(penalty))"</v>
      </c>
      <c r="U10" s="9" t="str">
        <f>MID(B10,13,4)</f>
        <v>4032</v>
      </c>
      <c r="V10" s="32">
        <f>A10-utc_offset/24</f>
        <v>42834.995324074072</v>
      </c>
      <c r="W10" s="46" t="str">
        <f>IFERROR(IF(VALUE(LEFT(IF(LEN(C10)=6,"0"&amp;C10,C10),2))&lt;=2,"EC",IF(OR(VALUE(LEFT(IF(LEN(C10)=6,"0"&amp;C10,C10),2))=8,VALUE(LEFT(IF(LEN(C10)=6,"0"&amp;C10,C10),2))=18),"NW","Other")),"Other")</f>
        <v>EC</v>
      </c>
      <c r="X10" s="46" t="str">
        <f>IF(AND(E10="TRACK WARRANT AUTHORITY",G10&lt;10),"OMIT","KEEP")</f>
        <v>KEEP</v>
      </c>
      <c r="Y10" s="104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C","project_id":79,"tracker_id":40,"status_id":1,"priority_id":2,"assigned_to_id":23,"start_date":"2017-04-09","description":"","custom_fields":[{"id":1,"name":"Subdivision","value":"EC"},{"id":4,"name":"Milepost","value":"4.2779"},{"id":17,"name":"Train ID","value":"211-09"},{"id":16,"name":"Locomotive ID","value":"4032"},{"id":130,"name":"Impact","value":""},{"id":150,"name":"Time of Event (Mountain Time)","value":"17:53:16"},{"id":151,"name":"Denver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18"/>
      <c r="AA10" s="48"/>
      <c r="AB10" s="48"/>
      <c r="AC10" s="123" t="str">
        <f>"grep -hSE -A400 ""Enforcement Action"" "&amp;search_path&amp;"\RTDC"&amp;U10&amp;"\*"&amp;U10&amp;"*"&amp;TEXT(A10-utc_offset/24,"YYYYMMDD")&amp;LEFT(TEXT(A10-utc_offset/24,"HH"),1)&amp;"* | grep -SE ""((Enforcement Ac)|(PRM.+XING))"" -"</f>
        <v>grep -hSE -A400 "Enforcement Action" "%USERPROFILE%\AppData\Local\Temp\OnboardLogs"\RTDC4032\*4032*201704092*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"%USERPROFILE%\AppData\Local\Temp\OnboardLogs"\RTDC4032\*4032*201704092* &gt;&gt; 2017-04-09-SliceDisagreementCheck.txt</v>
      </c>
      <c r="AE10" s="153" t="str">
        <f t="shared" si="1"/>
        <v>start /low /b %USERPROFILE%\Documents\GitHub\eaglep3\Utilities\DownloadLogsFromS3.py --loco 4032 --day 2017-04-09</v>
      </c>
    </row>
    <row r="11" spans="1:32" s="1" customFormat="1" x14ac:dyDescent="0.25">
      <c r="A11" s="32">
        <v>42834.95517361111</v>
      </c>
      <c r="B11" s="30" t="s">
        <v>612</v>
      </c>
      <c r="C11" s="30" t="s">
        <v>623</v>
      </c>
      <c r="D11" s="30" t="s">
        <v>49</v>
      </c>
      <c r="E11" s="30" t="s">
        <v>191</v>
      </c>
      <c r="F11" s="43">
        <v>450</v>
      </c>
      <c r="G11" s="43">
        <v>513</v>
      </c>
      <c r="H11" s="43">
        <v>44218</v>
      </c>
      <c r="I11" s="43">
        <v>42468</v>
      </c>
      <c r="J11" s="30" t="s">
        <v>192</v>
      </c>
      <c r="K11" s="43">
        <v>42961</v>
      </c>
      <c r="L11" s="139" t="s">
        <v>51</v>
      </c>
      <c r="M11" s="140">
        <f>CONVERT((I11-K11)/10000,"mi","ft")*IF(L11="Increasing Mileposts (1)",-1,1)</f>
        <v>-260.30399999999997</v>
      </c>
      <c r="N11" s="141" t="str">
        <f>VLOOKUP(C11,'Trips&amp;Operators'!$C$1:$G$99999,5,FALSE)</f>
        <v>DUNCAN SHEILA</v>
      </c>
      <c r="O11" s="190" t="s">
        <v>184</v>
      </c>
      <c r="P11" s="142" t="s">
        <v>453</v>
      </c>
      <c r="Q11" s="30"/>
      <c r="R11" s="89" t="e">
        <f>IF(VLOOKUP(C11,'Train Runs'!$A$13:$AE$9937,1,1)=C11,VLOOKUP(C11,'Train Runs'!$A$13:$AE$9937,31,1),NA())</f>
        <v>#N/A</v>
      </c>
      <c r="S11" s="92" t="str">
        <f>VLOOKUP(C11,'Train Runs'!$A$13:$AE$9937,22,0)</f>
        <v>https://d0f6bd738d7f1b3e5a7ca70fe4ff75f0.us-east-1.aws.found.io/app/kibana#/discover/Steve-Slow-Train-Analysis-(2080s-and-2083s)?_g=(refreshInterval:(display:Off,pause:!f,section:0,value:0),time:(from:'2017-04-09T21:21:12-0600',mode:absolute,to:'2017-04-10T00:09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1" s="94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/stypes="*4011*201704100*" /stext=" 04:.+((SYSTEM_STATE.+slice.+state.+changed )|(ment ac)|(multiple cpu faults)|(system.+state.+changed )|(\[timeout)|(PRM\|1\|D)|(kpr)|(kdp)|(\|lc)|(penalty))"</v>
      </c>
      <c r="U11" s="9" t="str">
        <f>MID(B11,13,4)</f>
        <v>4011</v>
      </c>
      <c r="V11" s="32">
        <f>A11-utc_offset/24</f>
        <v>42835.20517361111</v>
      </c>
      <c r="W11" s="46" t="str">
        <f>IFERROR(IF(VALUE(LEFT(IF(LEN(C11)=6,"0"&amp;C11,C11),2))&lt;=2,"EC",IF(OR(VALUE(LEFT(IF(LEN(C11)=6,"0"&amp;C11,C11),2))=8,VALUE(LEFT(IF(LEN(C11)=6,"0"&amp;C11,C11),2))=18),"NW","Other")),"Other")</f>
        <v>EC</v>
      </c>
      <c r="X11" s="46" t="str">
        <f>IF(AND(E11="TRACK WARRANT AUTHORITY",G11&lt;10),"OMIT","KEEP")</f>
        <v>KEEP</v>
      </c>
      <c r="Y11" s="104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arrival","project_id":79,"tracker_id":40,"status_id":1,"priority_id":2,"assigned_to_id":23,"start_date":"2017-04-09","description":"","custom_fields":[{"id":1,"name":"Subdivision","value":"EC"},{"id":4,"name":"Milepost","value":"4.2961"},{"id":17,"name":"Train ID","value":"232-09"},{"id":16,"name":"Locomotive ID","value":"4011"},{"id":130,"name":"Impact","value":""},{"id":150,"name":"Time of Event (Mountain Time)","value":"22:55:27"},{"id":151,"name":"Denver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18"/>
      <c r="AA11" s="48"/>
      <c r="AB11" s="48"/>
      <c r="AC11" s="123" t="str">
        <f>"grep -hSE -A400 ""Enforcement Action"" "&amp;search_path&amp;"\RTDC"&amp;U11&amp;"\*"&amp;U11&amp;"*"&amp;TEXT(A11-utc_offset/24,"YYYYMMDD")&amp;LEFT(TEXT(A11-utc_offset/24,"HH"),1)&amp;"* | grep -SE ""((Enforcement Ac)|(PRM.+XING))"" -"</f>
        <v>grep -hSE -A400 "Enforcement Action" "%USERPROFILE%\AppData\Local\Temp\OnboardLogs"\RTDC4011\*4011*201704100*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"%USERPROFILE%\AppData\Local\Temp\OnboardLogs"\RTDC4011\*4011*201704100* &gt;&gt; 2017-04-09-SliceDisagreementCheck.txt</v>
      </c>
      <c r="AE11" s="153" t="str">
        <f t="shared" si="1"/>
        <v>start /low /b %USERPROFILE%\Documents\GitHub\eaglep3\Utilities\DownloadLogsFromS3.py --loco 4011 --day 2017-04-10</v>
      </c>
    </row>
    <row r="12" spans="1:32" s="1" customFormat="1" x14ac:dyDescent="0.25">
      <c r="A12" s="32">
        <v>42834.527824074074</v>
      </c>
      <c r="B12" s="30" t="s">
        <v>440</v>
      </c>
      <c r="C12" s="30" t="s">
        <v>608</v>
      </c>
      <c r="D12" s="30" t="s">
        <v>49</v>
      </c>
      <c r="E12" s="30" t="s">
        <v>191</v>
      </c>
      <c r="F12" s="43">
        <v>0</v>
      </c>
      <c r="G12" s="43">
        <v>245</v>
      </c>
      <c r="H12" s="43">
        <v>49079</v>
      </c>
      <c r="I12" s="43">
        <v>48677</v>
      </c>
      <c r="J12" s="30" t="s">
        <v>192</v>
      </c>
      <c r="K12" s="43">
        <v>48048</v>
      </c>
      <c r="L12" s="139" t="s">
        <v>51</v>
      </c>
      <c r="M12" s="140">
        <f>CONVERT((I12-K12)/10000,"mi","ft")*IF(L12="Increasing Mileposts (1)",-1,1)</f>
        <v>332.11200000000002</v>
      </c>
      <c r="N12" s="141" t="str">
        <f>VLOOKUP(C12,'Trips&amp;Operators'!$C$1:$G$99999,5,FALSE)</f>
        <v>DAVIS MICHAEL</v>
      </c>
      <c r="O12" s="190" t="s">
        <v>184</v>
      </c>
      <c r="P12" s="142" t="s">
        <v>987</v>
      </c>
      <c r="Q12" s="30"/>
      <c r="R12" s="89" t="str">
        <f>IF(VLOOKUP(C12,'Train Runs'!$A$13:$AE$9937,1,1)=C12,VLOOKUP(C12,'Train Runs'!$A$13:$AE$9937,31,1),NA())</f>
        <v>aws s3 cp s3://rtdc.mdm.uploadarchive.raw/RTDC4003/ "%USERPROFILE%\AppData\Local\Temp\OnboardLogs"\RTDC4003\2017-04-09 --exclude "*" --recursive --include "*20170409*" &amp; "%USERPROFILE%\Documents\GitHub\mrs-test-scripts\Headless Mode &amp; Sideloading\WalkAndUnGZ.bat" "%USERPROFILE%\AppData\Local\Temp\OnboardLogs"\RTDC4003\2017-04-09 &amp; aws s3 cp s3://rtdc.mdm.uploadarchive.raw/RTDC4003/ "%USERPROFILE%\AppData\Local\Temp\OnboardLogs"\RTDC4003\2017-04-10 --exclude "*" --recursive --include "*20170410*" &amp; "%USERPROFILE%\Documents\GitHub\mrs-test-scripts\Headless Mode &amp; Sideloading\WalkAndUnGZ.bat" "%USERPROFILE%\AppData\Local\Temp\OnboardLogs"\RTDC4003\2017-04-10</v>
      </c>
      <c r="S12" s="92" t="str">
        <f>VLOOKUP(C12,'Train Runs'!$A$13:$AE$9937,22,0)</f>
        <v>https://d0f6bd738d7f1b3e5a7ca70fe4ff75f0.us-east-1.aws.found.io/app/kibana#/discover/Steve-Slow-Train-Analysis-(2080s-and-2083s)?_g=(refreshInterval:(display:Off,pause:!f,section:0,value:0),time:(from:'2017-04-09T11:06:45-0600',mode:absolute,to:'2017-04-09T13:57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2" s="94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/stypes="*4003*201704091*" /stext=" 18:.+((SYSTEM_STATE.+slice.+state.+changed )|(ment ac)|(multiple cpu faults)|(system.+state.+changed )|(\[timeout)|(PRM\|1\|D)|(kpr)|(kdp)|(\|lc)|(penalty))"</v>
      </c>
      <c r="U12" s="9" t="str">
        <f>MID(B12,13,4)</f>
        <v>4003</v>
      </c>
      <c r="V12" s="32">
        <f>A12-utc_offset/24</f>
        <v>42834.777824074074</v>
      </c>
      <c r="W12" s="46" t="str">
        <f>IFERROR(IF(VALUE(LEFT(IF(LEN(C12)=6,"0"&amp;C12,C12),2))&lt;=2,"EC",IF(OR(VALUE(LEFT(IF(LEN(C12)=6,"0"&amp;C12,C12),2))=8,VALUE(LEFT(IF(LEN(C12)=6,"0"&amp;C12,C12),2))=18),"NW","Other")),"Other")</f>
        <v>EC</v>
      </c>
      <c r="X12" s="46" t="str">
        <f>IF(AND(E12="TRACK WARRANT AUTHORITY",G12&lt;10),"OMIT","KEEP")</f>
        <v>KEEP</v>
      </c>
      <c r="Y12" s="104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C","project_id":79,"tracker_id":40,"status_id":1,"priority_id":2,"assigned_to_id":23,"start_date":"2017-04-09","description":"","custom_fields":[{"id":1,"name":"Subdivision","value":"EC"},{"id":4,"name":"Milepost","value":"4.8048"},{"id":17,"name":"Train ID","value":"162-09"},{"id":16,"name":"Locomotive ID","value":"4003"},{"id":130,"name":"Impact","value":""},{"id":150,"name":"Time of Event (Mountain Time)","value":"12:40:04"},{"id":151,"name":"Denver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18"/>
      <c r="AA12" s="48"/>
      <c r="AB12" s="48"/>
      <c r="AC12" s="123" t="str">
        <f>"grep -hSE -A400 ""Enforcement Action"" "&amp;search_path&amp;"\RTDC"&amp;U12&amp;"\*"&amp;U12&amp;"*"&amp;TEXT(A12-utc_offset/24,"YYYYMMDD")&amp;LEFT(TEXT(A12-utc_offset/24,"HH"),1)&amp;"* | grep -SE ""((Enforcement Ac)|(PRM.+XING))"" -"</f>
        <v>grep -hSE -A400 "Enforcement Action" "%USERPROFILE%\AppData\Local\Temp\OnboardLogs"\RTDC4003\*4003*201704091*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"%USERPROFILE%\AppData\Local\Temp\OnboardLogs"\RTDC4003\*4003*201704091* &gt;&gt; 2017-04-09-SliceDisagreementCheck.txt</v>
      </c>
      <c r="AE12" s="153" t="str">
        <f t="shared" si="1"/>
        <v>start /low /b %USERPROFILE%\Documents\GitHub\eaglep3\Utilities\DownloadLogsFromS3.py --loco 4003 --day 2017-04-09</v>
      </c>
    </row>
    <row r="13" spans="1:32" s="1" customFormat="1" x14ac:dyDescent="0.25">
      <c r="A13" s="32">
        <v>42834.426493055558</v>
      </c>
      <c r="B13" s="30" t="s">
        <v>383</v>
      </c>
      <c r="C13" s="30" t="s">
        <v>605</v>
      </c>
      <c r="D13" s="30" t="s">
        <v>49</v>
      </c>
      <c r="E13" s="30" t="s">
        <v>191</v>
      </c>
      <c r="F13" s="43">
        <v>0</v>
      </c>
      <c r="G13" s="43">
        <v>530</v>
      </c>
      <c r="H13" s="43">
        <v>58085</v>
      </c>
      <c r="I13" s="43">
        <v>59425</v>
      </c>
      <c r="J13" s="30" t="s">
        <v>192</v>
      </c>
      <c r="K13" s="43">
        <v>58783</v>
      </c>
      <c r="L13" s="139" t="s">
        <v>50</v>
      </c>
      <c r="M13" s="140">
        <f>CONVERT((I13-K13)/10000,"mi","ft")*IF(L13="Increasing Mileposts (1)",-1,1)</f>
        <v>-338.97599999999994</v>
      </c>
      <c r="N13" s="141" t="str">
        <f>VLOOKUP(C13,'Trips&amp;Operators'!$C$1:$G$99999,5,FALSE)</f>
        <v>ROBINSON KADDIBA</v>
      </c>
      <c r="O13" s="190" t="s">
        <v>184</v>
      </c>
      <c r="P13" s="142" t="s">
        <v>453</v>
      </c>
      <c r="Q13" s="30"/>
      <c r="R13" s="89" t="str">
        <f>IF(VLOOKUP(C13,'Train Runs'!$A$13:$AE$9937,1,1)=C13,VLOOKUP(C13,'Train Runs'!$A$13:$AE$9937,31,1),NA())</f>
        <v>aws s3 cp s3://rtdc.mdm.uploadarchive.raw/RTDC4044/ "%USERPROFILE%\AppData\Local\Temp\OnboardLogs"\RTDC4044\2017-04-09 --exclude "*" --recursive --include "*20170409*" &amp; "%USERPROFILE%\Documents\GitHub\mrs-test-scripts\Headless Mode &amp; Sideloading\WalkAndUnGZ.bat" "%USERPROFILE%\AppData\Local\Temp\OnboardLogs"\RTDC4044\2017-04-09 &amp; aws s3 cp s3://rtdc.mdm.uploadarchive.raw/RTDC4044/ "%USERPROFILE%\AppData\Local\Temp\OnboardLogs"\RTDC4044\2017-04-10 --exclude "*" --recursive --include "*20170410*" &amp; "%USERPROFILE%\Documents\GitHub\mrs-test-scripts\Headless Mode &amp; Sideloading\WalkAndUnGZ.bat" "%USERPROFILE%\AppData\Local\Temp\OnboardLogs"\RTDC4044\2017-04-10</v>
      </c>
      <c r="S13" s="92" t="str">
        <f>VLOOKUP(C13,'Train Runs'!$A$13:$AE$9937,22,0)</f>
        <v>https://d0f6bd738d7f1b3e5a7ca70fe4ff75f0.us-east-1.aws.found.io/app/kibana#/discover/Steve-Slow-Train-Analysis-(2080s-and-2083s)?_g=(refreshInterval:(display:Off,pause:!f,section:0,value:0),time:(from:'2017-04-09T09:05:06-0600',mode:absolute,to:'2017-04-09T11:38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3" s="94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/stypes="*4044*201704091*" /stext=" 16:.+((SYSTEM_STATE.+slice.+state.+changed )|(ment ac)|(multiple cpu faults)|(system.+state.+changed )|(\[timeout)|(PRM\|1\|D)|(kpr)|(kdp)|(\|lc)|(penalty))"</v>
      </c>
      <c r="U13" s="9" t="str">
        <f>MID(B13,13,4)</f>
        <v>4044</v>
      </c>
      <c r="V13" s="32">
        <f>A13-utc_offset/24</f>
        <v>42834.676493055558</v>
      </c>
      <c r="W13" s="46" t="str">
        <f>IFERROR(IF(VALUE(LEFT(IF(LEN(C13)=6,"0"&amp;C13,C13),2))&lt;=2,"EC",IF(OR(VALUE(LEFT(IF(LEN(C13)=6,"0"&amp;C13,C13),2))=8,VALUE(LEFT(IF(LEN(C13)=6,"0"&amp;C13,C13),2))=18),"NW","Other")),"Other")</f>
        <v>EC</v>
      </c>
      <c r="X13" s="46" t="str">
        <f>IF(AND(E13="TRACK WARRANT AUTHORITY",G13&lt;10),"OMIT","KEEP")</f>
        <v>KEEP</v>
      </c>
      <c r="Y13" s="104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arrival","project_id":79,"tracker_id":40,"status_id":1,"priority_id":2,"assigned_to_id":23,"start_date":"2017-04-09","description":"","custom_fields":[{"id":1,"name":"Subdivision","value":"EC"},{"id":4,"name":"Milepost","value":"5.8783"},{"id":17,"name":"Train ID","value":"151-09"},{"id":16,"name":"Locomotive ID","value":"4044"},{"id":130,"name":"Impact","value":""},{"id":150,"name":"Time of Event (Mountain Time)","value":"10:14:09"},{"id":151,"name":"Denver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18"/>
      <c r="AA13" s="48"/>
      <c r="AB13" s="48"/>
      <c r="AC13" s="123" t="str">
        <f>"grep -hSE -A400 ""Enforcement Action"" "&amp;search_path&amp;"\RTDC"&amp;U13&amp;"\*"&amp;U13&amp;"*"&amp;TEXT(A13-utc_offset/24,"YYYYMMDD")&amp;LEFT(TEXT(A13-utc_offset/24,"HH"),1)&amp;"* | grep -SE ""((Enforcement Ac)|(PRM.+XING))"" -"</f>
        <v>grep -hSE -A400 "Enforcement Action" "%USERPROFILE%\AppData\Local\Temp\OnboardLogs"\RTDC4044\*4044*201704091*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"%USERPROFILE%\AppData\Local\Temp\OnboardLogs"\RTDC4044\*4044*201704091* &gt;&gt; 2017-04-09-SliceDisagreementCheck.txt</v>
      </c>
      <c r="AE13" s="153" t="str">
        <f t="shared" si="1"/>
        <v>start /low /b %USERPROFILE%\Documents\GitHub\eaglep3\Utilities\DownloadLogsFromS3.py --loco 4044 --day 2017-04-09</v>
      </c>
    </row>
    <row r="14" spans="1:32" x14ac:dyDescent="0.25">
      <c r="A14" s="32">
        <v>42834.808078703703</v>
      </c>
      <c r="B14" s="30" t="s">
        <v>386</v>
      </c>
      <c r="C14" s="30" t="s">
        <v>621</v>
      </c>
      <c r="D14" s="30" t="s">
        <v>49</v>
      </c>
      <c r="E14" s="30" t="s">
        <v>191</v>
      </c>
      <c r="F14" s="43">
        <v>80</v>
      </c>
      <c r="G14" s="43">
        <v>144</v>
      </c>
      <c r="H14" s="43">
        <v>64016</v>
      </c>
      <c r="I14" s="43">
        <v>63790</v>
      </c>
      <c r="J14" s="30" t="s">
        <v>192</v>
      </c>
      <c r="K14" s="43">
        <v>63309</v>
      </c>
      <c r="L14" s="139" t="s">
        <v>51</v>
      </c>
      <c r="M14" s="140">
        <f>CONVERT((I14-K14)/10000,"mi","ft")*IF(L14="Increasing Mileposts (1)",-1,1)</f>
        <v>253.96799999999999</v>
      </c>
      <c r="N14" s="141" t="str">
        <f>VLOOKUP(C14,'Trips&amp;Operators'!$C$1:$G$99999,5,FALSE)</f>
        <v>BRANDNER MELINDA</v>
      </c>
      <c r="O14" s="190" t="s">
        <v>184</v>
      </c>
      <c r="P14" s="142" t="s">
        <v>453</v>
      </c>
      <c r="Q14" s="30"/>
      <c r="R14" s="89" t="e">
        <f>IF(VLOOKUP(C14,'Train Runs'!$A$13:$AE$9937,1,1)=C14,VLOOKUP(C14,'Train Runs'!$A$13:$AE$9937,31,1),NA())</f>
        <v>#N/A</v>
      </c>
      <c r="S14" s="92" t="str">
        <f>VLOOKUP(C14,'Train Runs'!$A$13:$AE$9937,22,0)</f>
        <v>https://d0f6bd738d7f1b3e5a7ca70fe4ff75f0.us-east-1.aws.found.io/app/kibana#/discover/Steve-Slow-Train-Analysis-(2080s-and-2083s)?_g=(refreshInterval:(display:Off,pause:!f,section:0,value:0),time:(from:'2017-04-09T17:55:04-0600',mode:absolute,to:'2017-04-09T20:42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4" s="94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/stypes="*4029*201704100*" /stext=" 01:.+((SYSTEM_STATE.+slice.+state.+changed )|(ment ac)|(multiple cpu faults)|(system.+state.+changed )|(\[timeout)|(PRM\|1\|D)|(kpr)|(kdp)|(\|lc)|(penalty))"</v>
      </c>
      <c r="U14" s="9" t="str">
        <f>MID(B14,13,4)</f>
        <v>4029</v>
      </c>
      <c r="V14" s="32">
        <f>A14-utc_offset/24</f>
        <v>42835.058078703703</v>
      </c>
      <c r="W14" s="46" t="str">
        <f>IFERROR(IF(VALUE(LEFT(IF(LEN(C14)=6,"0"&amp;C14,C14),2))&lt;=2,"EC",IF(OR(VALUE(LEFT(IF(LEN(C14)=6,"0"&amp;C14,C14),2))=8,VALUE(LEFT(IF(LEN(C14)=6,"0"&amp;C14,C14),2))=18),"NW","Other")),"Other")</f>
        <v>EC</v>
      </c>
      <c r="X14" s="46" t="str">
        <f>IF(AND(E14="TRACK WARRANT AUTHORITY",G14&lt;10),"OMIT","KEEP")</f>
        <v>KEEP</v>
      </c>
      <c r="Y14" s="104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arrival","project_id":79,"tracker_id":40,"status_id":1,"priority_id":2,"assigned_to_id":23,"start_date":"2017-04-09","description":"","custom_fields":[{"id":1,"name":"Subdivision","value":"EC"},{"id":4,"name":"Milepost","value":"6.3309"},{"id":17,"name":"Train ID","value":"216-09"},{"id":16,"name":"Locomotive ID","value":"4029"},{"id":130,"name":"Impact","value":""},{"id":150,"name":"Time of Event (Mountain Time)","value":"19:23:38"},{"id":151,"name":"Denver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218"/>
      <c r="AA14" s="48"/>
      <c r="AB14" s="48"/>
      <c r="AC14" s="123" t="str">
        <f>"grep -hSE -A400 ""Enforcement Action"" "&amp;search_path&amp;"\RTDC"&amp;U14&amp;"\*"&amp;U14&amp;"*"&amp;TEXT(A14-utc_offset/24,"YYYYMMDD")&amp;LEFT(TEXT(A14-utc_offset/24,"HH"),1)&amp;"* | grep -SE ""((Enforcement Ac)|(PRM.+XING))"" -"</f>
        <v>grep -hSE -A400 "Enforcement Action" "%USERPROFILE%\AppData\Local\Temp\OnboardLogs"\RTDC4029\*4029*201704100*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"%USERPROFILE%\AppData\Local\Temp\OnboardLogs"\RTDC4029\*4029*201704100* &gt;&gt; 2017-04-09-SliceDisagreementCheck.txt</v>
      </c>
      <c r="AE14" s="153" t="str">
        <f t="shared" si="1"/>
        <v>start /low /b %USERPROFILE%\Documents\GitHub\eaglep3\Utilities\DownloadLogsFromS3.py --loco 4029 --day 2017-04-10</v>
      </c>
      <c r="AF14" s="1"/>
    </row>
    <row r="15" spans="1:32" x14ac:dyDescent="0.25">
      <c r="A15" s="32">
        <v>42834.547986111109</v>
      </c>
      <c r="B15" s="30" t="s">
        <v>199</v>
      </c>
      <c r="C15" s="30" t="s">
        <v>609</v>
      </c>
      <c r="D15" s="30" t="s">
        <v>49</v>
      </c>
      <c r="E15" s="30" t="s">
        <v>191</v>
      </c>
      <c r="F15" s="43">
        <v>710</v>
      </c>
      <c r="G15" s="43">
        <v>784</v>
      </c>
      <c r="H15" s="43">
        <v>106498</v>
      </c>
      <c r="I15" s="43">
        <v>110229</v>
      </c>
      <c r="J15" s="30" t="s">
        <v>192</v>
      </c>
      <c r="K15" s="43">
        <v>108954</v>
      </c>
      <c r="L15" s="139" t="s">
        <v>50</v>
      </c>
      <c r="M15" s="140">
        <f>CONVERT((I15-K15)/10000,"mi","ft")*IF(L15="Increasing Mileposts (1)",-1,1)</f>
        <v>-673.2</v>
      </c>
      <c r="N15" s="141" t="str">
        <f>VLOOKUP(C15,'Trips&amp;Operators'!$C$1:$G$99999,5,FALSE)</f>
        <v>STEWART MICHAEL</v>
      </c>
      <c r="O15" s="190" t="s">
        <v>184</v>
      </c>
      <c r="P15" s="142" t="s">
        <v>453</v>
      </c>
      <c r="Q15" s="30"/>
      <c r="R15" s="89" t="str">
        <f>IF(VLOOKUP(C15,'Train Runs'!$A$13:$AE$9937,1,1)=C15,VLOOKUP(C15,'Train Runs'!$A$13:$AE$9937,31,1),NA())</f>
        <v>aws s3 cp s3://rtdc.mdm.uploadarchive.raw/RTDC4030/ "%USERPROFILE%\AppData\Local\Temp\OnboardLogs"\RTDC4030\2017-04-09 --exclude "*" --recursive --include "*20170409*" &amp; "%USERPROFILE%\Documents\GitHub\mrs-test-scripts\Headless Mode &amp; Sideloading\WalkAndUnGZ.bat" "%USERPROFILE%\AppData\Local\Temp\OnboardLogs"\RTDC4030\2017-04-09 &amp; aws s3 cp s3://rtdc.mdm.uploadarchive.raw/RTDC4030/ "%USERPROFILE%\AppData\Local\Temp\OnboardLogs"\RTDC4030\2017-04-10 --exclude "*" --recursive --include "*20170410*" &amp; "%USERPROFILE%\Documents\GitHub\mrs-test-scripts\Headless Mode &amp; Sideloading\WalkAndUnGZ.bat" "%USERPROFILE%\AppData\Local\Temp\OnboardLogs"\RTDC4030\2017-04-10</v>
      </c>
      <c r="S15" s="92" t="str">
        <f>VLOOKUP(C15,'Train Runs'!$A$13:$AE$9937,22,0)</f>
        <v>https://d0f6bd738d7f1b3e5a7ca70fe4ff75f0.us-east-1.aws.found.io/app/kibana#/discover/Steve-Slow-Train-Analysis-(2080s-and-2083s)?_g=(refreshInterval:(display:Off,pause:!f,section:0,value:0),time:(from:'2017-04-09T11:44:12-0600',mode:absolute,to:'2017-04-09T14:25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5" s="94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/stypes="*4030*201704091*" /stext=" 19:.+((SYSTEM_STATE.+slice.+state.+changed )|(ment ac)|(multiple cpu faults)|(system.+state.+changed )|(\[timeout)|(PRM\|1\|D)|(kpr)|(kdp)|(\|lc)|(penalty))"</v>
      </c>
      <c r="U15" s="9" t="str">
        <f>MID(B15,13,4)</f>
        <v>4030</v>
      </c>
      <c r="V15" s="32">
        <f>A15-utc_offset/24</f>
        <v>42834.797986111109</v>
      </c>
      <c r="W15" s="46" t="str">
        <f>IFERROR(IF(VALUE(LEFT(IF(LEN(C15)=6,"0"&amp;C15,C15),2))&lt;=2,"EC",IF(OR(VALUE(LEFT(IF(LEN(C15)=6,"0"&amp;C15,C15),2))=8,VALUE(LEFT(IF(LEN(C15)=6,"0"&amp;C15,C15),2))=18),"NW","Other")),"Other")</f>
        <v>EC</v>
      </c>
      <c r="X15" s="46" t="str">
        <f>IF(AND(E15="TRACK WARRANT AUTHORITY",G15&lt;10),"OMIT","KEEP")</f>
        <v>KEEP</v>
      </c>
      <c r="Y15" s="104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arrival","project_id":79,"tracker_id":40,"status_id":1,"priority_id":2,"assigned_to_id":23,"start_date":"2017-04-09","description":"","custom_fields":[{"id":1,"name":"Subdivision","value":"EC"},{"id":4,"name":"Milepost","value":"10.8954"},{"id":17,"name":"Train ID","value":"173-09"},{"id":16,"name":"Locomotive ID","value":"4030"},{"id":130,"name":"Impact","value":""},{"id":150,"name":"Time of Event (Mountain Time)","value":"13:09:06"},{"id":151,"name":"Denver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218"/>
      <c r="AA15" s="48"/>
      <c r="AB15" s="48"/>
      <c r="AC15" s="123" t="str">
        <f>"grep -hSE -A400 ""Enforcement Action"" "&amp;search_path&amp;"\RTDC"&amp;U15&amp;"\*"&amp;U15&amp;"*"&amp;TEXT(A15-utc_offset/24,"YYYYMMDD")&amp;LEFT(TEXT(A15-utc_offset/24,"HH"),1)&amp;"* | grep -SE ""((Enforcement Ac)|(PRM.+XING))"" -"</f>
        <v>grep -hSE -A400 "Enforcement Action" "%USERPROFILE%\AppData\Local\Temp\OnboardLogs"\RTDC4030\*4030*201704091*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"%USERPROFILE%\AppData\Local\Temp\OnboardLogs"\RTDC4030\*4030*201704091* &gt;&gt; 2017-04-09-SliceDisagreementCheck.txt</v>
      </c>
      <c r="AE15" s="153" t="str">
        <f t="shared" si="1"/>
        <v>start /low /b %USERPROFILE%\Documents\GitHub\eaglep3\Utilities\DownloadLogsFromS3.py --loco 4030 --day 2017-04-09</v>
      </c>
      <c r="AF15" s="1"/>
    </row>
    <row r="16" spans="1:32" x14ac:dyDescent="0.25">
      <c r="A16" s="32">
        <v>42834.269560185188</v>
      </c>
      <c r="B16" s="30" t="s">
        <v>378</v>
      </c>
      <c r="C16" s="30" t="s">
        <v>601</v>
      </c>
      <c r="D16" s="30" t="s">
        <v>49</v>
      </c>
      <c r="E16" s="30" t="s">
        <v>191</v>
      </c>
      <c r="F16" s="43">
        <v>400</v>
      </c>
      <c r="G16" s="43">
        <v>465</v>
      </c>
      <c r="H16" s="43">
        <v>110196</v>
      </c>
      <c r="I16" s="43">
        <v>108670</v>
      </c>
      <c r="J16" s="30" t="s">
        <v>192</v>
      </c>
      <c r="K16" s="43">
        <v>109135</v>
      </c>
      <c r="L16" s="139" t="s">
        <v>51</v>
      </c>
      <c r="M16" s="140">
        <f>CONVERT((I16-K16)/10000,"mi","ft")*IF(L16="Increasing Mileposts (1)",-1,1)</f>
        <v>-245.52</v>
      </c>
      <c r="N16" s="141" t="str">
        <f>VLOOKUP(C16,'Trips&amp;Operators'!$C$1:$G$99999,5,FALSE)</f>
        <v>SANTIZO D. EDY</v>
      </c>
      <c r="O16" s="190" t="s">
        <v>184</v>
      </c>
      <c r="P16" s="142" t="s">
        <v>453</v>
      </c>
      <c r="Q16" s="30"/>
      <c r="R16" s="89" t="str">
        <f>IF(VLOOKUP(C16,'Train Runs'!$A$13:$AE$9937,1,1)=C16,VLOOKUP(C16,'Train Runs'!$A$13:$AE$9937,31,1),NA())</f>
        <v>aws s3 cp s3://rtdc.mdm.uploadarchive.raw/RTDC4031/ "%USERPROFILE%\AppData\Local\Temp\OnboardLogs"\RTDC4031\2017-04-09 --exclude "*" --recursive --include "*20170409*" &amp; "%USERPROFILE%\Documents\GitHub\mrs-test-scripts\Headless Mode &amp; Sideloading\WalkAndUnGZ.bat" "%USERPROFILE%\AppData\Local\Temp\OnboardLogs"\RTDC4031\2017-04-09 &amp; aws s3 cp s3://rtdc.mdm.uploadarchive.raw/RTDC4031/ "%USERPROFILE%\AppData\Local\Temp\OnboardLogs"\RTDC4031\2017-04-10 --exclude "*" --recursive --include "*20170410*" &amp; "%USERPROFILE%\Documents\GitHub\mrs-test-scripts\Headless Mode &amp; Sideloading\WalkAndUnGZ.bat" "%USERPROFILE%\AppData\Local\Temp\OnboardLogs"\RTDC4031\2017-04-10</v>
      </c>
      <c r="S16" s="92" t="str">
        <f>VLOOKUP(C16,'Train Runs'!$A$13:$AE$9937,22,0)</f>
        <v>https://d0f6bd738d7f1b3e5a7ca70fe4ff75f0.us-east-1.aws.found.io/app/kibana#/discover/Steve-Slow-Train-Analysis-(2080s-and-2083s)?_g=(refreshInterval:(display:Off,pause:!f,section:0,value:0),time:(from:'2017-04-09T04:54:16-0600',mode:absolute,to:'2017-04-09T07:49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6" s="94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/stypes="*4031*201704091*" /stext=" 12:.+((SYSTEM_STATE.+slice.+state.+changed )|(ment ac)|(multiple cpu faults)|(system.+state.+changed )|(\[timeout)|(PRM\|1\|D)|(kpr)|(kdp)|(\|lc)|(penalty))"</v>
      </c>
      <c r="U16" s="9" t="str">
        <f>MID(B16,13,4)</f>
        <v>4031</v>
      </c>
      <c r="V16" s="32">
        <f>A16-utc_offset/24</f>
        <v>42834.519560185188</v>
      </c>
      <c r="W16" s="46" t="str">
        <f>IFERROR(IF(VALUE(LEFT(IF(LEN(C16)=6,"0"&amp;C16,C16),2))&lt;=2,"EC",IF(OR(VALUE(LEFT(IF(LEN(C16)=6,"0"&amp;C16,C16),2))=8,VALUE(LEFT(IF(LEN(C16)=6,"0"&amp;C16,C16),2))=18),"NW","Other")),"Other")</f>
        <v>EC</v>
      </c>
      <c r="X16" s="46" t="str">
        <f>IF(AND(E16="TRACK WARRANT AUTHORITY",G16&lt;10),"OMIT","KEEP")</f>
        <v>KEEP</v>
      </c>
      <c r="Y16" s="104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arrival","project_id":79,"tracker_id":40,"status_id":1,"priority_id":2,"assigned_to_id":23,"start_date":"2017-04-09","description":"","custom_fields":[{"id":1,"name":"Subdivision","value":"EC"},{"id":4,"name":"Milepost","value":"10.9135"},{"id":17,"name":"Train ID","value":"114-09"},{"id":16,"name":"Locomotive ID","value":"4031"},{"id":130,"name":"Impact","value":""},{"id":150,"name":"Time of Event (Mountain Time)","value":"06:28:10"},{"id":151,"name":"Denver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218"/>
      <c r="AA16" s="48"/>
      <c r="AB16" s="48"/>
      <c r="AC16" s="123" t="str">
        <f>"grep -hSE -A400 ""Enforcement Action"" "&amp;search_path&amp;"\RTDC"&amp;U16&amp;"\*"&amp;U16&amp;"*"&amp;TEXT(A16-utc_offset/24,"YYYYMMDD")&amp;LEFT(TEXT(A16-utc_offset/24,"HH"),1)&amp;"* | grep -SE ""((Enforcement Ac)|(PRM.+XING))"" -"</f>
        <v>grep -hSE -A400 "Enforcement Action" "%USERPROFILE%\AppData\Local\Temp\OnboardLogs"\RTDC4031\*4031*201704091*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"%USERPROFILE%\AppData\Local\Temp\OnboardLogs"\RTDC4031\*4031*201704091* &gt;&gt; 2017-04-09-SliceDisagreementCheck.txt</v>
      </c>
      <c r="AE16" s="153" t="str">
        <f t="shared" si="1"/>
        <v>start /low /b %USERPROFILE%\Documents\GitHub\eaglep3\Utilities\DownloadLogsFromS3.py --loco 4031 --day 2017-04-09</v>
      </c>
      <c r="AF16" s="1"/>
    </row>
    <row r="17" spans="1:32" x14ac:dyDescent="0.25">
      <c r="A17" s="32">
        <v>42834.760625000003</v>
      </c>
      <c r="B17" s="30" t="s">
        <v>427</v>
      </c>
      <c r="C17" s="30" t="s">
        <v>619</v>
      </c>
      <c r="D17" s="30" t="s">
        <v>98</v>
      </c>
      <c r="E17" s="30" t="s">
        <v>213</v>
      </c>
      <c r="F17" s="43">
        <v>300</v>
      </c>
      <c r="G17" s="43">
        <v>353</v>
      </c>
      <c r="H17" s="43">
        <v>20433</v>
      </c>
      <c r="I17" s="43">
        <v>19440</v>
      </c>
      <c r="J17" s="30" t="s">
        <v>214</v>
      </c>
      <c r="K17" s="43">
        <v>21848</v>
      </c>
      <c r="L17" s="139" t="s">
        <v>51</v>
      </c>
      <c r="M17" s="140">
        <f>CONVERT((I17-K17)/10000,"mi","ft")*IF(L17="Increasing Mileposts (1)",-1,1)</f>
        <v>-1271.424</v>
      </c>
      <c r="N17" s="141" t="str">
        <f>VLOOKUP(C17,'Trips&amp;Operators'!$C$1:$G$99999,5,FALSE)</f>
        <v>LEVIN SCOTT</v>
      </c>
      <c r="O17" s="190" t="s">
        <v>184</v>
      </c>
      <c r="P17" s="142"/>
      <c r="Q17" s="30"/>
      <c r="R17" s="89" t="e">
        <f>IF(VLOOKUP(C17,'Train Runs'!$A$13:$AE$9937,1,1)=C17,VLOOKUP(C17,'Train Runs'!$A$13:$AE$9937,31,1),NA())</f>
        <v>#N/A</v>
      </c>
      <c r="S17" s="92" t="str">
        <f>VLOOKUP(C17,'Train Runs'!$A$13:$AE$9937,22,0)</f>
        <v>https://d0f6bd738d7f1b3e5a7ca70fe4ff75f0.us-east-1.aws.found.io/app/kibana#/discover/Steve-Slow-Train-Analysis-(2080s-and-2083s)?_g=(refreshInterval:(display:Off,pause:!f,section:0,value:0),time:(from:'2017-04-09T16:32:15-0600',mode:absolute,to:'2017-04-09T19:21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7" s="94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/stypes="*4045*201704100*" /stext=" 00:.+((SYSTEM_STATE.+slice.+state.+changed )|(ment ac)|(multiple cpu faults)|(system.+state.+changed )|(\[timeout)|(PRM\|1\|D)|(kpr)|(kdp)|(\|lc)|(penalty))"</v>
      </c>
      <c r="U17" s="9" t="str">
        <f>MID(B17,13,4)</f>
        <v>4045</v>
      </c>
      <c r="V17" s="32">
        <f>A17-utc_offset/24</f>
        <v>42835.010625000003</v>
      </c>
      <c r="W17" s="46" t="str">
        <f>IFERROR(IF(VALUE(LEFT(IF(LEN(C17)=6,"0"&amp;C17,C17),2))&lt;=2,"EC",IF(OR(VALUE(LEFT(IF(LEN(C17)=6,"0"&amp;C17,C17),2))=8,VALUE(LEFT(IF(LEN(C17)=6,"0"&amp;C17,C17),2))=18),"NW","Other")),"Other")</f>
        <v>EC</v>
      </c>
      <c r="X17" s="46" t="str">
        <f>IF(AND(E17="TRACK WARRANT AUTHORITY",G17&lt;10),"OMIT","KEEP")</f>
        <v>KEEP</v>
      </c>
      <c r="Y17" s="104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{"issue":{"subject":"","project_id":79,"tracker_id":40,"status_id":1,"priority_id":2,"assigned_to_id":23,"start_date":"2017-04-09","description":"","custom_fields":[{"id":1,"name":"Subdivision","value":"EC"},{"id":4,"name":"Milepost","value":"2.1848"},{"id":17,"name":"Train ID","value":"206-09"},{"id":16,"name":"Locomotive ID","value":"4045"},{"id":130,"name":"Impact","value":""},{"id":150,"name":"Time of Event (Mountain Time)","value":"18:15:18"},{"id":151,"name":"Denver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218"/>
      <c r="AA17" s="48"/>
      <c r="AB17" s="48"/>
      <c r="AC17" s="123" t="str">
        <f>"grep -hSE -A400 ""Enforcement Action"" "&amp;search_path&amp;"\RTDC"&amp;U17&amp;"\*"&amp;U17&amp;"*"&amp;TEXT(A17-utc_offset/24,"YYYYMMDD")&amp;LEFT(TEXT(A17-utc_offset/24,"HH"),1)&amp;"* | grep -SE ""((Enforcement Ac)|(PRM.+XING))"" -"</f>
        <v>grep -hSE -A400 "Enforcement Action" "%USERPROFILE%\AppData\Local\Temp\OnboardLogs"\RTDC4045\*4045*201704100*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"%USERPROFILE%\AppData\Local\Temp\OnboardLogs"\RTDC4045\*4045*201704100* &gt;&gt; 2017-04-09-SliceDisagreementCheck.txt</v>
      </c>
      <c r="AE17" s="153" t="str">
        <f t="shared" si="1"/>
        <v>start /low /b %USERPROFILE%\Documents\GitHub\eaglep3\Utilities\DownloadLogsFromS3.py --loco 4045 --day 2017-04-10</v>
      </c>
      <c r="AF17" s="1"/>
    </row>
    <row r="18" spans="1:32" ht="15" customHeight="1" x14ac:dyDescent="0.25">
      <c r="A18" s="32">
        <v>42834.80195601852</v>
      </c>
      <c r="B18" s="30" t="s">
        <v>386</v>
      </c>
      <c r="C18" s="30" t="s">
        <v>621</v>
      </c>
      <c r="D18" s="30" t="s">
        <v>49</v>
      </c>
      <c r="E18" s="30" t="s">
        <v>213</v>
      </c>
      <c r="F18" s="43">
        <v>400</v>
      </c>
      <c r="G18" s="43">
        <v>489</v>
      </c>
      <c r="H18" s="43">
        <v>121149</v>
      </c>
      <c r="I18" s="43">
        <v>119512</v>
      </c>
      <c r="J18" s="30" t="s">
        <v>214</v>
      </c>
      <c r="K18" s="43">
        <v>119716</v>
      </c>
      <c r="L18" s="139" t="s">
        <v>51</v>
      </c>
      <c r="M18" s="140">
        <f>CONVERT((I18-K18)/10000,"mi","ft")*IF(L18="Increasing Mileposts (1)",-1,1)</f>
        <v>-107.712</v>
      </c>
      <c r="N18" s="141" t="str">
        <f>VLOOKUP(C18,'Trips&amp;Operators'!$C$1:$G$99999,5,FALSE)</f>
        <v>BRANDNER MELINDA</v>
      </c>
      <c r="O18" s="190" t="s">
        <v>184</v>
      </c>
      <c r="P18" s="142"/>
      <c r="Q18" s="30"/>
      <c r="R18" s="89" t="e">
        <f>IF(VLOOKUP(C18,'Train Runs'!$A$13:$AE$9937,1,1)=C18,VLOOKUP(C18,'Train Runs'!$A$13:$AE$9937,31,1),NA())</f>
        <v>#N/A</v>
      </c>
      <c r="S18" s="92" t="str">
        <f>VLOOKUP(C18,'Train Runs'!$A$13:$AE$9937,22,0)</f>
        <v>https://d0f6bd738d7f1b3e5a7ca70fe4ff75f0.us-east-1.aws.found.io/app/kibana#/discover/Steve-Slow-Train-Analysis-(2080s-and-2083s)?_g=(refreshInterval:(display:Off,pause:!f,section:0,value:0),time:(from:'2017-04-09T17:55:04-0600',mode:absolute,to:'2017-04-09T20:42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8" s="94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/stypes="*4029*201704100*" /stext=" 01:.+((SYSTEM_STATE.+slice.+state.+changed )|(ment ac)|(multiple cpu faults)|(system.+state.+changed )|(\[timeout)|(PRM\|1\|D)|(kpr)|(kdp)|(\|lc)|(penalty))"</v>
      </c>
      <c r="U18" s="9" t="str">
        <f>MID(B18,13,4)</f>
        <v>4029</v>
      </c>
      <c r="V18" s="32">
        <f>A18-utc_offset/24</f>
        <v>42835.05195601852</v>
      </c>
      <c r="W18" s="46" t="str">
        <f>IFERROR(IF(VALUE(LEFT(IF(LEN(C18)=6,"0"&amp;C18,C18),2))&lt;=2,"EC",IF(OR(VALUE(LEFT(IF(LEN(C18)=6,"0"&amp;C18,C18),2))=8,VALUE(LEFT(IF(LEN(C18)=6,"0"&amp;C18,C18),2))=18),"NW","Other")),"Other")</f>
        <v>EC</v>
      </c>
      <c r="X18" s="46" t="str">
        <f>IF(AND(E18="TRACK WARRANT AUTHORITY",G18&lt;10),"OMIT","KEEP")</f>
        <v>KEEP</v>
      </c>
      <c r="Y18" s="104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{"issue":{"subject":"","project_id":79,"tracker_id":40,"status_id":1,"priority_id":2,"assigned_to_id":23,"start_date":"2017-04-09","description":"","custom_fields":[{"id":1,"name":"Subdivision","value":"EC"},{"id":4,"name":"Milepost","value":"11.9716"},{"id":17,"name":"Train ID","value":"216-09"},{"id":16,"name":"Locomotive ID","value":"4029"},{"id":130,"name":"Impact","value":""},{"id":150,"name":"Time of Event (Mountain Time)","value":"19:14:49"},{"id":151,"name":"Denver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218"/>
      <c r="AA18" s="48"/>
      <c r="AB18" s="48"/>
      <c r="AC18" s="123" t="str">
        <f>"grep -hSE -A400 ""Enforcement Action"" "&amp;search_path&amp;"\RTDC"&amp;U18&amp;"\*"&amp;U18&amp;"*"&amp;TEXT(A18-utc_offset/24,"YYYYMMDD")&amp;LEFT(TEXT(A18-utc_offset/24,"HH"),1)&amp;"* | grep -SE ""((Enforcement Ac)|(PRM.+XING))"" -"</f>
        <v>grep -hSE -A400 "Enforcement Action" "%USERPROFILE%\AppData\Local\Temp\OnboardLogs"\RTDC4029\*4029*201704100*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"%USERPROFILE%\AppData\Local\Temp\OnboardLogs"\RTDC4029\*4029*201704100* &gt;&gt; 2017-04-09-SliceDisagreementCheck.txt</v>
      </c>
      <c r="AE18" s="153" t="str">
        <f t="shared" si="1"/>
        <v>start /low /b %USERPROFILE%\Documents\GitHub\eaglep3\Utilities\DownloadLogsFromS3.py --loco 4029 --day 2017-04-10</v>
      </c>
      <c r="AF18" s="1"/>
    </row>
    <row r="19" spans="1:32" x14ac:dyDescent="0.25">
      <c r="A19" s="32">
        <v>42834.641041666669</v>
      </c>
      <c r="B19" s="30" t="s">
        <v>439</v>
      </c>
      <c r="C19" s="30" t="s">
        <v>615</v>
      </c>
      <c r="D19" s="30" t="s">
        <v>49</v>
      </c>
      <c r="E19" s="30" t="s">
        <v>213</v>
      </c>
      <c r="F19" s="43">
        <v>550</v>
      </c>
      <c r="G19" s="43">
        <v>763</v>
      </c>
      <c r="H19" s="43">
        <v>218411</v>
      </c>
      <c r="I19" s="43">
        <v>221793</v>
      </c>
      <c r="J19" s="30" t="s">
        <v>214</v>
      </c>
      <c r="K19" s="43">
        <v>222091</v>
      </c>
      <c r="L19" s="139" t="s">
        <v>50</v>
      </c>
      <c r="M19" s="140">
        <f>CONVERT((I19-K19)/10000,"mi","ft")*IF(L19="Increasing Mileposts (1)",-1,1)</f>
        <v>157.34399999999999</v>
      </c>
      <c r="N19" s="141" t="str">
        <f>VLOOKUP(C19,'Trips&amp;Operators'!$C$1:$G$99999,5,FALSE)</f>
        <v>DAVIS MICHAEL</v>
      </c>
      <c r="O19" s="190" t="s">
        <v>184</v>
      </c>
      <c r="P19" s="142"/>
      <c r="Q19" s="30"/>
      <c r="R19" s="89" t="e">
        <f>IF(VLOOKUP(C19,'Train Runs'!$A$13:$AE$9937,1,1)=C19,VLOOKUP(C19,'Train Runs'!$A$13:$AE$9937,31,1),NA())</f>
        <v>#N/A</v>
      </c>
      <c r="S19" s="92" t="str">
        <f>VLOOKUP(C19,'Train Runs'!$A$13:$AE$9937,22,0)</f>
        <v>https://d0f6bd738d7f1b3e5a7ca70fe4ff75f0.us-east-1.aws.found.io/app/kibana#/discover/Steve-Slow-Train-Analysis-(2080s-and-2083s)?_g=(refreshInterval:(display:Off,pause:!f,section:0,value:0),time:(from:'2017-04-09T13:41:59-0600',mode:absolute,to:'2017-04-09T16:26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9" s="94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/stypes="*4004*201704092*" /stext=" 21:.+((SYSTEM_STATE.+slice.+state.+changed )|(ment ac)|(multiple cpu faults)|(system.+state.+changed )|(\[timeout)|(PRM\|1\|D)|(kpr)|(kdp)|(\|lc)|(penalty))"</v>
      </c>
      <c r="U19" s="9" t="str">
        <f>MID(B19,13,4)</f>
        <v>4004</v>
      </c>
      <c r="V19" s="32">
        <f>A19-utc_offset/24</f>
        <v>42834.891041666669</v>
      </c>
      <c r="W19" s="46" t="str">
        <f>IFERROR(IF(VALUE(LEFT(IF(LEN(C19)=6,"0"&amp;C19,C19),2))&lt;=2,"EC",IF(OR(VALUE(LEFT(IF(LEN(C19)=6,"0"&amp;C19,C19),2))=8,VALUE(LEFT(IF(LEN(C19)=6,"0"&amp;C19,C19),2))=18),"NW","Other")),"Other")</f>
        <v>EC</v>
      </c>
      <c r="X19" s="46" t="str">
        <f>IF(AND(E19="TRACK WARRANT AUTHORITY",G19&lt;10),"OMIT","KEEP")</f>
        <v>KEEP</v>
      </c>
      <c r="Y19" s="104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{"issue":{"subject":"","project_id":79,"tracker_id":40,"status_id":1,"priority_id":2,"assigned_to_id":23,"start_date":"2017-04-09","description":"","custom_fields":[{"id":1,"name":"Subdivision","value":"EC"},{"id":4,"name":"Milepost","value":"22.2091"},{"id":17,"name":"Train ID","value":"189-09"},{"id":16,"name":"Locomotive ID","value":"4004"},{"id":130,"name":"Impact","value":""},{"id":150,"name":"Time of Event (Mountain Time)","value":"15:23:06"},{"id":151,"name":"Denver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218"/>
      <c r="AA19" s="48"/>
      <c r="AB19" s="48"/>
      <c r="AC19" s="123" t="str">
        <f>"grep -hSE -A400 ""Enforcement Action"" "&amp;search_path&amp;"\RTDC"&amp;U19&amp;"\*"&amp;U19&amp;"*"&amp;TEXT(A19-utc_offset/24,"YYYYMMDD")&amp;LEFT(TEXT(A19-utc_offset/24,"HH"),1)&amp;"* | grep -SE ""((Enforcement Ac)|(PRM.+XING))"" -"</f>
        <v>grep -hSE -A400 "Enforcement Action" "%USERPROFILE%\AppData\Local\Temp\OnboardLogs"\RTDC4004\*4004*201704092*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"%USERPROFILE%\AppData\Local\Temp\OnboardLogs"\RTDC4004\*4004*201704092* &gt;&gt; 2017-04-09-SliceDisagreementCheck.txt</v>
      </c>
      <c r="AE19" s="153" t="str">
        <f t="shared" si="1"/>
        <v>start /low /b %USERPROFILE%\Documents\GitHub\eaglep3\Utilities\DownloadLogsFromS3.py --loco 4004 --day 2017-04-09</v>
      </c>
      <c r="AF19" s="1"/>
    </row>
    <row r="20" spans="1:32" x14ac:dyDescent="0.25">
      <c r="A20" s="32">
        <v>42834.627534722225</v>
      </c>
      <c r="B20" s="30" t="s">
        <v>384</v>
      </c>
      <c r="C20" s="30" t="s">
        <v>614</v>
      </c>
      <c r="D20" s="30" t="s">
        <v>49</v>
      </c>
      <c r="E20" s="30" t="s">
        <v>441</v>
      </c>
      <c r="F20" s="43">
        <v>0</v>
      </c>
      <c r="G20" s="43">
        <v>302</v>
      </c>
      <c r="H20" s="43">
        <v>21385</v>
      </c>
      <c r="I20" s="43">
        <v>20592</v>
      </c>
      <c r="J20" s="30" t="s">
        <v>442</v>
      </c>
      <c r="K20" s="43">
        <v>20632</v>
      </c>
      <c r="L20" s="139" t="s">
        <v>51</v>
      </c>
      <c r="M20" s="140">
        <f>CONVERT((I20-K20)/10000,"mi","ft")*IF(L20="Increasing Mileposts (1)",-1,1)</f>
        <v>-21.12</v>
      </c>
      <c r="N20" s="141" t="str">
        <f>VLOOKUP(C20,'Trips&amp;Operators'!$C$1:$G$99999,5,FALSE)</f>
        <v>BRUDER RICHARD</v>
      </c>
      <c r="O20" s="190" t="s">
        <v>443</v>
      </c>
      <c r="P20" s="142" t="s">
        <v>486</v>
      </c>
      <c r="Q20" s="30"/>
      <c r="R20" s="89" t="str">
        <f>IF(VLOOKUP(C20,'Train Runs'!$A$13:$AE$9937,1,1)=C20,VLOOKUP(C20,'Train Runs'!$A$13:$AE$9937,31,1),NA())</f>
        <v>aws s3 cp s3://rtdc.mdm.uploadarchive.raw/RTDC4043/ "%USERPROFILE%\AppData\Local\Temp\OnboardLogs"\RTDC4043\2017-04-09 --exclude "*" --recursive --include "*20170409*" &amp; "%USERPROFILE%\Documents\GitHub\mrs-test-scripts\Headless Mode &amp; Sideloading\WalkAndUnGZ.bat" "%USERPROFILE%\AppData\Local\Temp\OnboardLogs"\RTDC4043\2017-04-09 &amp; aws s3 cp s3://rtdc.mdm.uploadarchive.raw/RTDC4043/ "%USERPROFILE%\AppData\Local\Temp\OnboardLogs"\RTDC4043\2017-04-10 --exclude "*" --recursive --include "*20170410*" &amp; "%USERPROFILE%\Documents\GitHub\mrs-test-scripts\Headless Mode &amp; Sideloading\WalkAndUnGZ.bat" "%USERPROFILE%\AppData\Local\Temp\OnboardLogs"\RTDC4043\2017-04-10</v>
      </c>
      <c r="S20" s="92" t="str">
        <f>VLOOKUP(C20,'Train Runs'!$A$13:$AE$9937,22,0)</f>
        <v>https://d0f6bd738d7f1b3e5a7ca70fe4ff75f0.us-east-1.aws.found.io/app/kibana#/discover/Steve-Slow-Train-Analysis-(2080s-and-2083s)?_g=(refreshInterval:(display:Off,pause:!f,section:0,value:0),time:(from:'2017-04-09T13:16:14-0600',mode:absolute,to:'2017-04-09T16:03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0" s="94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/stypes="*4043*201704092*" /stext=" 21:.+((SYSTEM_STATE.+slice.+state.+changed )|(ment ac)|(multiple cpu faults)|(system.+state.+changed )|(\[timeout)|(PRM\|1\|D)|(kpr)|(kdp)|(\|lc)|(penalty))"</v>
      </c>
      <c r="U20" s="9" t="str">
        <f>MID(B20,13,4)</f>
        <v>4043</v>
      </c>
      <c r="V20" s="32">
        <f>A20-utc_offset/24</f>
        <v>42834.877534722225</v>
      </c>
      <c r="W20" s="46" t="str">
        <f>IFERROR(IF(VALUE(LEFT(IF(LEN(C20)=6,"0"&amp;C20,C20),2))&lt;=2,"EC",IF(OR(VALUE(LEFT(IF(LEN(C20)=6,"0"&amp;C20,C20),2))=8,VALUE(LEFT(IF(LEN(C20)=6,"0"&amp;C20,C20),2))=18),"NW","Other")),"Other")</f>
        <v>EC</v>
      </c>
      <c r="X20" s="46" t="str">
        <f>IF(AND(E20="TRACK WARRANT AUTHORITY",G20&lt;10),"OMIT","KEEP")</f>
        <v>KEEP</v>
      </c>
      <c r="Y20" s="104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drop","project_id":79,"tracker_id":40,"status_id":1,"priority_id":2,"assigned_to_id":23,"start_date":"2017-04-09","description":"","custom_fields":[{"id":1,"name":"Subdivision","value":"EC"},{"id":4,"name":"Milepost","value":"2.0632"},{"id":17,"name":"Train ID","value":"180-09"},{"id":16,"name":"Locomotive ID","value":"4043"},{"id":130,"name":"Impact","value":""},{"id":150,"name":"Time of Event (Mountain Time)","value":"15:03:39"},{"id":151,"name":"Denver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18"/>
      <c r="AA20" s="48"/>
      <c r="AB20" s="48"/>
      <c r="AC20" s="123" t="str">
        <f>"grep -hSE -A400 ""Enforcement Action"" "&amp;search_path&amp;"\RTDC"&amp;U20&amp;"\*"&amp;U20&amp;"*"&amp;TEXT(A20-utc_offset/24,"YYYYMMDD")&amp;LEFT(TEXT(A20-utc_offset/24,"HH"),1)&amp;"* | grep -SE ""((Enforcement Ac)|(PRM.+XING))"" -"</f>
        <v>grep -hSE -A400 "Enforcement Action" "%USERPROFILE%\AppData\Local\Temp\OnboardLogs"\RTDC4043\*4043*201704092*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"%USERPROFILE%\AppData\Local\Temp\OnboardLogs"\RTDC4043\*4043*201704092* &gt;&gt; 2017-04-09-SliceDisagreementCheck.txt</v>
      </c>
      <c r="AE20" s="153" t="str">
        <f t="shared" si="1"/>
        <v>start /low /b %USERPROFILE%\Documents\GitHub\eaglep3\Utilities\DownloadLogsFromS3.py --loco 4043 --day 2017-04-09</v>
      </c>
      <c r="AF20" s="1"/>
    </row>
    <row r="21" spans="1:32" x14ac:dyDescent="0.25">
      <c r="A21" s="32">
        <v>42834.388935185183</v>
      </c>
      <c r="B21" s="30" t="s">
        <v>440</v>
      </c>
      <c r="C21" s="30" t="s">
        <v>604</v>
      </c>
      <c r="D21" s="30" t="s">
        <v>49</v>
      </c>
      <c r="E21" s="30" t="s">
        <v>185</v>
      </c>
      <c r="F21" s="43">
        <v>0</v>
      </c>
      <c r="G21" s="43">
        <v>86</v>
      </c>
      <c r="H21" s="43">
        <v>311</v>
      </c>
      <c r="I21" s="43">
        <v>223</v>
      </c>
      <c r="J21" s="30" t="s">
        <v>186</v>
      </c>
      <c r="K21" s="43">
        <v>1</v>
      </c>
      <c r="L21" s="139" t="s">
        <v>51</v>
      </c>
      <c r="M21" s="140">
        <f>CONVERT((I21-K21)/10000,"mi","ft")*IF(L21="Increasing Mileposts (1)",-1,1)</f>
        <v>117.21599999999999</v>
      </c>
      <c r="N21" s="141" t="str">
        <f>VLOOKUP(C21,'Trips&amp;Operators'!$C$1:$G$99999,5,FALSE)</f>
        <v>BADERTSCHER DIANE</v>
      </c>
      <c r="O21" s="190" t="s">
        <v>184</v>
      </c>
      <c r="P21" s="142"/>
      <c r="Q21" s="30"/>
      <c r="R21" s="89" t="str">
        <f>IF(VLOOKUP(C21,'Train Runs'!$A$13:$AE$9937,1,1)=C21,VLOOKUP(C21,'Train Runs'!$A$13:$AE$9937,31,1),NA())</f>
        <v>aws s3 cp s3://rtdc.mdm.uploadarchive.raw/RTDC4003/ "%USERPROFILE%\AppData\Local\Temp\OnboardLogs"\RTDC4003\2017-04-09 --exclude "*" --recursive --include "*20170409*" &amp; "%USERPROFILE%\Documents\GitHub\mrs-test-scripts\Headless Mode &amp; Sideloading\WalkAndUnGZ.bat" "%USERPROFILE%\AppData\Local\Temp\OnboardLogs"\RTDC4003\2017-04-09 &amp; aws s3 cp s3://rtdc.mdm.uploadarchive.raw/RTDC4003/ "%USERPROFILE%\AppData\Local\Temp\OnboardLogs"\RTDC4003\2017-04-10 --exclude "*" --recursive --include "*20170410*" &amp; "%USERPROFILE%\Documents\GitHub\mrs-test-scripts\Headless Mode &amp; Sideloading\WalkAndUnGZ.bat" "%USERPROFILE%\AppData\Local\Temp\OnboardLogs"\RTDC4003\2017-04-10</v>
      </c>
      <c r="S21" s="92" t="str">
        <f>VLOOKUP(C21,'Train Runs'!$A$13:$AE$9937,22,0)</f>
        <v>https://d0f6bd738d7f1b3e5a7ca70fe4ff75f0.us-east-1.aws.found.io/app/kibana#/discover/Steve-Slow-Train-Analysis-(2080s-and-2083s)?_g=(refreshInterval:(display:Off,pause:!f,section:0,value:0),time:(from:'2017-04-09T07:33:55-0600',mode:absolute,to:'2017-04-09T10:20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1" s="94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/stypes="*4003*201704091*" /stext=" 15:.+((SYSTEM_STATE.+slice.+state.+changed )|(ment ac)|(multiple cpu faults)|(system.+state.+changed )|(\[timeout)|(PRM\|1\|D)|(kpr)|(kdp)|(\|lc)|(penalty))"</v>
      </c>
      <c r="U21" s="9" t="str">
        <f>MID(B21,13,4)</f>
        <v>4003</v>
      </c>
      <c r="V21" s="32">
        <f>A21-utc_offset/24</f>
        <v>42834.638935185183</v>
      </c>
      <c r="W21" s="46" t="str">
        <f>IFERROR(IF(VALUE(LEFT(IF(LEN(C21)=6,"0"&amp;C21,C21),2))&lt;=2,"EC",IF(OR(VALUE(LEFT(IF(LEN(C21)=6,"0"&amp;C21,C21),2))=8,VALUE(LEFT(IF(LEN(C21)=6,"0"&amp;C21,C21),2))=18),"NW","Other")),"Other")</f>
        <v>EC</v>
      </c>
      <c r="X21" s="46" t="str">
        <f>IF(AND(E21="TRACK WARRANT AUTHORITY",G21&lt;10),"OMIT","KEEP")</f>
        <v>KEEP</v>
      </c>
      <c r="Y21" s="104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{"issue":{"subject":"","project_id":79,"tracker_id":40,"status_id":1,"priority_id":2,"assigned_to_id":23,"start_date":"2017-04-09","description":"","custom_fields":[{"id":1,"name":"Subdivision","value":"EC"},{"id":4,"name":"Milepost","value":"0.0001"},{"id":17,"name":"Train ID","value":"134-09"},{"id":16,"name":"Locomotive ID","value":"4003"},{"id":130,"name":"Impact","value":""},{"id":150,"name":"Time of Event (Mountain Time)","value":"09:20:04"},{"id":151,"name":"Denver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218"/>
      <c r="AA21" s="48"/>
      <c r="AB21" s="48"/>
      <c r="AC21" s="123" t="str">
        <f>"grep -hSE -A400 ""Enforcement Action"" "&amp;search_path&amp;"\RTDC"&amp;U21&amp;"\*"&amp;U21&amp;"*"&amp;TEXT(A21-utc_offset/24,"YYYYMMDD")&amp;LEFT(TEXT(A21-utc_offset/24,"HH"),1)&amp;"* | grep -SE ""((Enforcement Ac)|(PRM.+XING))"" -"</f>
        <v>grep -hSE -A400 "Enforcement Action" "%USERPROFILE%\AppData\Local\Temp\OnboardLogs"\RTDC4003\*4003*201704091*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"%USERPROFILE%\AppData\Local\Temp\OnboardLogs"\RTDC4003\*4003*201704091* &gt;&gt; 2017-04-09-SliceDisagreementCheck.txt</v>
      </c>
      <c r="AE21" s="153" t="str">
        <f t="shared" si="1"/>
        <v>start /low /b %USERPROFILE%\Documents\GitHub\eaglep3\Utilities\DownloadLogsFromS3.py --loco 4003 --day 2017-04-09</v>
      </c>
      <c r="AF21" s="1"/>
    </row>
    <row r="22" spans="1:32" x14ac:dyDescent="0.25">
      <c r="A22" s="32">
        <v>42834.430914351855</v>
      </c>
      <c r="B22" s="30" t="s">
        <v>378</v>
      </c>
      <c r="C22" s="30" t="s">
        <v>606</v>
      </c>
      <c r="D22" s="30" t="s">
        <v>49</v>
      </c>
      <c r="E22" s="30" t="s">
        <v>185</v>
      </c>
      <c r="F22" s="43">
        <v>0</v>
      </c>
      <c r="G22" s="43">
        <v>72</v>
      </c>
      <c r="H22" s="43">
        <v>238</v>
      </c>
      <c r="I22" s="43">
        <v>161</v>
      </c>
      <c r="J22" s="30" t="s">
        <v>186</v>
      </c>
      <c r="K22" s="43">
        <v>1</v>
      </c>
      <c r="L22" s="139" t="s">
        <v>51</v>
      </c>
      <c r="M22" s="140">
        <f>CONVERT((I22-K22)/10000,"mi","ft")*IF(L22="Increasing Mileposts (1)",-1,1)</f>
        <v>84.48</v>
      </c>
      <c r="N22" s="141" t="str">
        <f>VLOOKUP(C22,'Trips&amp;Operators'!$C$1:$G$99999,5,FALSE)</f>
        <v>PERKINS DARREN</v>
      </c>
      <c r="O22" s="190" t="s">
        <v>184</v>
      </c>
      <c r="P22" s="142"/>
      <c r="Q22" s="30"/>
      <c r="R22" s="89" t="str">
        <f>IF(VLOOKUP(C22,'Train Runs'!$A$13:$AE$9937,1,1)=C22,VLOOKUP(C22,'Train Runs'!$A$13:$AE$9937,31,1),NA())</f>
        <v>aws s3 cp s3://rtdc.mdm.uploadarchive.raw/RTDC4031/ "%USERPROFILE%\AppData\Local\Temp\OnboardLogs"\RTDC4031\2017-04-09 --exclude "*" --recursive --include "*20170409*" &amp; "%USERPROFILE%\Documents\GitHub\mrs-test-scripts\Headless Mode &amp; Sideloading\WalkAndUnGZ.bat" "%USERPROFILE%\AppData\Local\Temp\OnboardLogs"\RTDC4031\2017-04-09 &amp; aws s3 cp s3://rtdc.mdm.uploadarchive.raw/RTDC4031/ "%USERPROFILE%\AppData\Local\Temp\OnboardLogs"\RTDC4031\2017-04-10 --exclude "*" --recursive --include "*20170410*" &amp; "%USERPROFILE%\Documents\GitHub\mrs-test-scripts\Headless Mode &amp; Sideloading\WalkAndUnGZ.bat" "%USERPROFILE%\AppData\Local\Temp\OnboardLogs"\RTDC4031\2017-04-10</v>
      </c>
      <c r="S22" s="92" t="str">
        <f>VLOOKUP(C22,'Train Runs'!$A$13:$AE$9937,22,0)</f>
        <v>https://d0f6bd738d7f1b3e5a7ca70fe4ff75f0.us-east-1.aws.found.io/app/kibana#/discover/Steve-Slow-Train-Analysis-(2080s-and-2083s)?_g=(refreshInterval:(display:Off,pause:!f,section:0,value:0),time:(from:'2017-04-09T08:25:59-0600',mode:absolute,to:'2017-04-09T11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2" s="94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/stypes="*4031*201704091*" /stext=" 16:.+((SYSTEM_STATE.+slice.+state.+changed )|(ment ac)|(multiple cpu faults)|(system.+state.+changed )|(\[timeout)|(PRM\|1\|D)|(kpr)|(kdp)|(\|lc)|(penalty))"</v>
      </c>
      <c r="U22" s="9" t="str">
        <f>MID(B22,13,4)</f>
        <v>4031</v>
      </c>
      <c r="V22" s="32">
        <f>A22-utc_offset/24</f>
        <v>42834.680914351855</v>
      </c>
      <c r="W22" s="46" t="str">
        <f>IFERROR(IF(VALUE(LEFT(IF(LEN(C22)=6,"0"&amp;C22,C22),2))&lt;=2,"EC",IF(OR(VALUE(LEFT(IF(LEN(C22)=6,"0"&amp;C22,C22),2))=8,VALUE(LEFT(IF(LEN(C22)=6,"0"&amp;C22,C22),2))=18),"NW","Other")),"Other")</f>
        <v>EC</v>
      </c>
      <c r="X22" s="46" t="str">
        <f>IF(AND(E22="TRACK WARRANT AUTHORITY",G22&lt;10),"OMIT","KEEP")</f>
        <v>KEEP</v>
      </c>
      <c r="Y22" s="104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{"issue":{"subject":"","project_id":79,"tracker_id":40,"status_id":1,"priority_id":2,"assigned_to_id":23,"start_date":"2017-04-09","description":"","custom_fields":[{"id":1,"name":"Subdivision","value":"EC"},{"id":4,"name":"Milepost","value":"0.0001"},{"id":17,"name":"Train ID","value":"142-09"},{"id":16,"name":"Locomotive ID","value":"4031"},{"id":130,"name":"Impact","value":""},{"id":150,"name":"Time of Event (Mountain Time)","value":"10:20:31"},{"id":151,"name":"Denver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218"/>
      <c r="AA22" s="48"/>
      <c r="AB22" s="48"/>
      <c r="AC22" s="123" t="str">
        <f>"grep -hSE -A400 ""Enforcement Action"" "&amp;search_path&amp;"\RTDC"&amp;U22&amp;"\*"&amp;U22&amp;"*"&amp;TEXT(A22-utc_offset/24,"YYYYMMDD")&amp;LEFT(TEXT(A22-utc_offset/24,"HH"),1)&amp;"* | grep -SE ""((Enforcement Ac)|(PRM.+XING))"" -"</f>
        <v>grep -hSE -A400 "Enforcement Action" "%USERPROFILE%\AppData\Local\Temp\OnboardLogs"\RTDC4031\*4031*201704091* | grep -SE "((Enforcement Ac)|(PRM.+XING))"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"%USERPROFILE%\AppData\Local\Temp\OnboardLogs"\RTDC4031\*4031*201704091* &gt;&gt; 2017-04-09-SliceDisagreementCheck.txt</v>
      </c>
      <c r="AE22" s="153" t="str">
        <f t="shared" si="1"/>
        <v>start /low /b %USERPROFILE%\Documents\GitHub\eaglep3\Utilities\DownloadLogsFromS3.py --loco 4031 --day 2017-04-09</v>
      </c>
      <c r="AF22" s="1"/>
    </row>
    <row r="23" spans="1:32" x14ac:dyDescent="0.25">
      <c r="A23" s="32">
        <v>42834.581377314818</v>
      </c>
      <c r="B23" s="30" t="s">
        <v>378</v>
      </c>
      <c r="C23" s="30" t="s">
        <v>611</v>
      </c>
      <c r="D23" s="30" t="s">
        <v>49</v>
      </c>
      <c r="E23" s="30" t="s">
        <v>185</v>
      </c>
      <c r="F23" s="43">
        <v>0</v>
      </c>
      <c r="G23" s="43">
        <v>53</v>
      </c>
      <c r="H23" s="43">
        <v>180</v>
      </c>
      <c r="I23" s="43">
        <v>121</v>
      </c>
      <c r="J23" s="30" t="s">
        <v>186</v>
      </c>
      <c r="K23" s="43">
        <v>1</v>
      </c>
      <c r="L23" s="139" t="s">
        <v>51</v>
      </c>
      <c r="M23" s="140">
        <f>CONVERT((I23-K23)/10000,"mi","ft")*IF(L23="Increasing Mileposts (1)",-1,1)</f>
        <v>63.36</v>
      </c>
      <c r="N23" s="141" t="str">
        <f>VLOOKUP(C23,'Trips&amp;Operators'!$C$1:$G$99999,5,FALSE)</f>
        <v>LOPES KIMBERLY</v>
      </c>
      <c r="O23" s="190" t="s">
        <v>184</v>
      </c>
      <c r="P23" s="142"/>
      <c r="Q23" s="30"/>
      <c r="R23" s="89" t="str">
        <f>IF(VLOOKUP(C23,'Train Runs'!$A$13:$AE$9937,1,1)=C23,VLOOKUP(C23,'Train Runs'!$A$13:$AE$9937,31,1),NA())</f>
        <v>aws s3 cp s3://rtdc.mdm.uploadarchive.raw/RTDC4031/ "%USERPROFILE%\AppData\Local\Temp\OnboardLogs"\RTDC4031\2017-04-09 --exclude "*" --recursive --include "*20170409*" &amp; "%USERPROFILE%\Documents\GitHub\mrs-test-scripts\Headless Mode &amp; Sideloading\WalkAndUnGZ.bat" "%USERPROFILE%\AppData\Local\Temp\OnboardLogs"\RTDC4031\2017-04-09 &amp; aws s3 cp s3://rtdc.mdm.uploadarchive.raw/RTDC4031/ "%USERPROFILE%\AppData\Local\Temp\OnboardLogs"\RTDC4031\2017-04-10 --exclude "*" --recursive --include "*20170410*" &amp; "%USERPROFILE%\Documents\GitHub\mrs-test-scripts\Headless Mode &amp; Sideloading\WalkAndUnGZ.bat" "%USERPROFILE%\AppData\Local\Temp\OnboardLogs"\RTDC4031\2017-04-10</v>
      </c>
      <c r="S23" s="92" t="str">
        <f>VLOOKUP(C23,'Train Runs'!$A$13:$AE$9937,22,0)</f>
        <v>https://d0f6bd738d7f1b3e5a7ca70fe4ff75f0.us-east-1.aws.found.io/app/kibana#/discover/Steve-Slow-Train-Analysis-(2080s-and-2083s)?_g=(refreshInterval:(display:Off,pause:!f,section:0,value:0),time:(from:'2017-04-09T12:01:34-0600',mode:absolute,to:'2017-04-09T14:57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3" s="94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/stypes="*4031*201704091*" /stext=" 19:.+((SYSTEM_STATE.+slice.+state.+changed )|(ment ac)|(multiple cpu faults)|(system.+state.+changed )|(\[timeout)|(PRM\|1\|D)|(kpr)|(kdp)|(\|lc)|(penalty))"</v>
      </c>
      <c r="U23" s="9" t="str">
        <f>MID(B23,13,4)</f>
        <v>4031</v>
      </c>
      <c r="V23" s="32">
        <f>A23-utc_offset/24</f>
        <v>42834.831377314818</v>
      </c>
      <c r="W23" s="46" t="str">
        <f>IFERROR(IF(VALUE(LEFT(IF(LEN(C23)=6,"0"&amp;C23,C23),2))&lt;=2,"EC",IF(OR(VALUE(LEFT(IF(LEN(C23)=6,"0"&amp;C23,C23),2))=8,VALUE(LEFT(IF(LEN(C23)=6,"0"&amp;C23,C23),2))=18),"NW","Other")),"Other")</f>
        <v>EC</v>
      </c>
      <c r="X23" s="46" t="str">
        <f>IF(AND(E23="TRACK WARRANT AUTHORITY",G23&lt;10),"OMIT","KEEP")</f>
        <v>KEEP</v>
      </c>
      <c r="Y23" s="104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{"issue":{"subject":"","project_id":79,"tracker_id":40,"status_id":1,"priority_id":2,"assigned_to_id":23,"start_date":"2017-04-09","description":"","custom_fields":[{"id":1,"name":"Subdivision","value":"EC"},{"id":4,"name":"Milepost","value":"0.0001"},{"id":17,"name":"Train ID","value":"170-09"},{"id":16,"name":"Locomotive ID","value":"4031"},{"id":130,"name":"Impact","value":""},{"id":150,"name":"Time of Event (Mountain Time)","value":"13:57:11"},{"id":151,"name":"Denver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218"/>
      <c r="AA23" s="48"/>
      <c r="AB23" s="48"/>
      <c r="AC23" s="123" t="str">
        <f>"grep -hSE -A400 ""Enforcement Action"" "&amp;search_path&amp;"\RTDC"&amp;U23&amp;"\*"&amp;U23&amp;"*"&amp;TEXT(A23-utc_offset/24,"YYYYMMDD")&amp;LEFT(TEXT(A23-utc_offset/24,"HH"),1)&amp;"* | grep -SE ""((Enforcement Ac)|(PRM.+XING))"" -"</f>
        <v>grep -hSE -A400 "Enforcement Action" "%USERPROFILE%\AppData\Local\Temp\OnboardLogs"\RTDC4031\*4031*201704091* | grep -SE "((Enforcement Ac)|(PRM.+XING))"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"%USERPROFILE%\AppData\Local\Temp\OnboardLogs"\RTDC4031\*4031*201704091* &gt;&gt; 2017-04-09-SliceDisagreementCheck.txt</v>
      </c>
      <c r="AE23" s="153" t="str">
        <f t="shared" si="1"/>
        <v>start /low /b %USERPROFILE%\Documents\GitHub\eaglep3\Utilities\DownloadLogsFromS3.py --loco 4031 --day 2017-04-09</v>
      </c>
      <c r="AF23" s="1"/>
    </row>
    <row r="24" spans="1:32" x14ac:dyDescent="0.25">
      <c r="A24" s="32">
        <v>42834.588692129626</v>
      </c>
      <c r="B24" s="30" t="s">
        <v>612</v>
      </c>
      <c r="C24" s="30" t="s">
        <v>613</v>
      </c>
      <c r="D24" s="30" t="s">
        <v>49</v>
      </c>
      <c r="E24" s="30" t="s">
        <v>185</v>
      </c>
      <c r="F24" s="43">
        <v>0</v>
      </c>
      <c r="G24" s="43">
        <v>40</v>
      </c>
      <c r="H24" s="43">
        <v>138</v>
      </c>
      <c r="I24" s="43">
        <v>107</v>
      </c>
      <c r="J24" s="30" t="s">
        <v>186</v>
      </c>
      <c r="K24" s="43">
        <v>1</v>
      </c>
      <c r="L24" s="139" t="s">
        <v>51</v>
      </c>
      <c r="M24" s="140">
        <f>CONVERT((I24-K24)/10000,"mi","ft")*IF(L24="Increasing Mileposts (1)",-1,1)</f>
        <v>55.968000000000004</v>
      </c>
      <c r="N24" s="141" t="str">
        <f>VLOOKUP(C24,'Trips&amp;Operators'!$C$1:$G$99999,5,FALSE)</f>
        <v>BRANDNER MELINDA</v>
      </c>
      <c r="O24" s="190" t="s">
        <v>184</v>
      </c>
      <c r="P24" s="142"/>
      <c r="Q24" s="30"/>
      <c r="R24" s="89" t="str">
        <f>IF(VLOOKUP(C24,'Train Runs'!$A$13:$AE$9937,1,1)=C24,VLOOKUP(C24,'Train Runs'!$A$13:$AE$9937,31,1),NA())</f>
        <v>aws s3 cp s3://rtdc.mdm.uploadarchive.raw/RTDC4011/ "%USERPROFILE%\AppData\Local\Temp\OnboardLogs"\RTDC4011\2017-04-09 --exclude "*" --recursive --include "*20170409*" &amp; "%USERPROFILE%\Documents\GitHub\mrs-test-scripts\Headless Mode &amp; Sideloading\WalkAndUnGZ.bat" "%USERPROFILE%\AppData\Local\Temp\OnboardLogs"\RTDC4011\2017-04-09 &amp; aws s3 cp s3://rtdc.mdm.uploadarchive.raw/RTDC4011/ "%USERPROFILE%\AppData\Local\Temp\OnboardLogs"\RTDC4011\2017-04-10 --exclude "*" --recursive --include "*20170410*" &amp; "%USERPROFILE%\Documents\GitHub\mrs-test-scripts\Headless Mode &amp; Sideloading\WalkAndUnGZ.bat" "%USERPROFILE%\AppData\Local\Temp\OnboardLogs"\RTDC4011\2017-04-10</v>
      </c>
      <c r="S24" s="92" t="str">
        <f>VLOOKUP(C24,'Train Runs'!$A$13:$AE$9937,22,0)</f>
        <v>https://d0f6bd738d7f1b3e5a7ca70fe4ff75f0.us-east-1.aws.found.io/app/kibana#/discover/Steve-Slow-Train-Analysis-(2080s-and-2083s)?_g=(refreshInterval:(display:Off,pause:!f,section:0,value:0),time:(from:'2017-04-09T12:22:58-0600',mode:absolute,to:'2017-04-09T15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4" s="94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/stypes="*4011*201704092*" /stext=" 20:.+((SYSTEM_STATE.+slice.+state.+changed )|(ment ac)|(multiple cpu faults)|(system.+state.+changed )|(\[timeout)|(PRM\|1\|D)|(kpr)|(kdp)|(\|lc)|(penalty))"</v>
      </c>
      <c r="U24" s="9" t="str">
        <f>MID(B24,13,4)</f>
        <v>4011</v>
      </c>
      <c r="V24" s="32">
        <f>A24-utc_offset/24</f>
        <v>42834.838692129626</v>
      </c>
      <c r="W24" s="46" t="str">
        <f>IFERROR(IF(VALUE(LEFT(IF(LEN(C24)=6,"0"&amp;C24,C24),2))&lt;=2,"EC",IF(OR(VALUE(LEFT(IF(LEN(C24)=6,"0"&amp;C24,C24),2))=8,VALUE(LEFT(IF(LEN(C24)=6,"0"&amp;C24,C24),2))=18),"NW","Other")),"Other")</f>
        <v>EC</v>
      </c>
      <c r="X24" s="46" t="str">
        <f>IF(AND(E24="TRACK WARRANT AUTHORITY",G24&lt;10),"OMIT","KEEP")</f>
        <v>KEEP</v>
      </c>
      <c r="Y24" s="104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{"issue":{"subject":"","project_id":79,"tracker_id":40,"status_id":1,"priority_id":2,"assigned_to_id":23,"start_date":"2017-04-09","description":"","custom_fields":[{"id":1,"name":"Subdivision","value":"EC"},{"id":4,"name":"Milepost","value":"0.0001"},{"id":17,"name":"Train ID","value":"172-09"},{"id":16,"name":"Locomotive ID","value":"4011"},{"id":130,"name":"Impact","value":""},{"id":150,"name":"Time of Event (Mountain Time)","value":"14:07:43"},{"id":151,"name":"Denver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218"/>
      <c r="AA24" s="48"/>
      <c r="AB24" s="48"/>
      <c r="AC24" s="123" t="str">
        <f>"grep -hSE -A400 ""Enforcement Action"" "&amp;search_path&amp;"\RTDC"&amp;U24&amp;"\*"&amp;U24&amp;"*"&amp;TEXT(A24-utc_offset/24,"YYYYMMDD")&amp;LEFT(TEXT(A24-utc_offset/24,"HH"),1)&amp;"* | grep -SE ""((Enforcement Ac)|(PRM.+XING))"" -"</f>
        <v>grep -hSE -A400 "Enforcement Action" "%USERPROFILE%\AppData\Local\Temp\OnboardLogs"\RTDC4011\*4011*201704092* | grep -SE "((Enforcement Ac)|(PRM.+XING))"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"%USERPROFILE%\AppData\Local\Temp\OnboardLogs"\RTDC4011\*4011*201704092* &gt;&gt; 2017-04-09-SliceDisagreementCheck.txt</v>
      </c>
      <c r="AE24" s="153" t="str">
        <f t="shared" si="1"/>
        <v>start /low /b %USERPROFILE%\Documents\GitHub\eaglep3\Utilities\DownloadLogsFromS3.py --loco 4011 --day 2017-04-09</v>
      </c>
      <c r="AF24" s="1"/>
    </row>
    <row r="25" spans="1:32" x14ac:dyDescent="0.25">
      <c r="A25" s="32">
        <v>42834.306076388886</v>
      </c>
      <c r="B25" s="30" t="s">
        <v>542</v>
      </c>
      <c r="C25" s="30" t="s">
        <v>602</v>
      </c>
      <c r="D25" s="30" t="s">
        <v>49</v>
      </c>
      <c r="E25" s="30" t="s">
        <v>185</v>
      </c>
      <c r="F25" s="43">
        <v>0</v>
      </c>
      <c r="G25" s="43">
        <v>102</v>
      </c>
      <c r="H25" s="43">
        <v>233193</v>
      </c>
      <c r="I25" s="43">
        <v>233300</v>
      </c>
      <c r="J25" s="30" t="s">
        <v>186</v>
      </c>
      <c r="K25" s="43">
        <v>233491</v>
      </c>
      <c r="L25" s="139" t="s">
        <v>50</v>
      </c>
      <c r="M25" s="140">
        <f>CONVERT((I25-K25)/10000,"mi","ft")*IF(L25="Increasing Mileposts (1)",-1,1)</f>
        <v>100.848</v>
      </c>
      <c r="N25" s="141" t="str">
        <f>VLOOKUP(C25,'Trips&amp;Operators'!$C$1:$G$99999,5,FALSE)</f>
        <v>GEBRETEKLE DAGNEW</v>
      </c>
      <c r="O25" s="190" t="s">
        <v>184</v>
      </c>
      <c r="P25" s="142"/>
      <c r="Q25" s="30"/>
      <c r="R25" s="89" t="str">
        <f>IF(VLOOKUP(C25,'Train Runs'!$A$13:$AE$9937,1,1)=C25,VLOOKUP(C25,'Train Runs'!$A$13:$AE$9937,31,1),NA())</f>
        <v>aws s3 cp s3://rtdc.mdm.uploadarchive.raw/RTDC4024/ "%USERPROFILE%\AppData\Local\Temp\OnboardLogs"\RTDC4024\2017-04-09 --exclude "*" --recursive --include "*20170409*" &amp; "%USERPROFILE%\Documents\GitHub\mrs-test-scripts\Headless Mode &amp; Sideloading\WalkAndUnGZ.bat" "%USERPROFILE%\AppData\Local\Temp\OnboardLogs"\RTDC4024\2017-04-09 &amp; aws s3 cp s3://rtdc.mdm.uploadarchive.raw/RTDC4024/ "%USERPROFILE%\AppData\Local\Temp\OnboardLogs"\RTDC4024\2017-04-10 --exclude "*" --recursive --include "*20170410*" &amp; "%USERPROFILE%\Documents\GitHub\mrs-test-scripts\Headless Mode &amp; Sideloading\WalkAndUnGZ.bat" "%USERPROFILE%\AppData\Local\Temp\OnboardLogs"\RTDC4024\2017-04-10</v>
      </c>
      <c r="S25" s="92" t="str">
        <f>VLOOKUP(C25,'Train Runs'!$A$13:$AE$9937,22,0)</f>
        <v>https://d0f6bd738d7f1b3e5a7ca70fe4ff75f0.us-east-1.aws.found.io/app/kibana#/discover/Steve-Slow-Train-Analysis-(2080s-and-2083s)?_g=(refreshInterval:(display:Off,pause:!f,section:0,value:0),time:(from:'2017-04-09T05:37:23-0600',mode:absolute,to:'2017-04-09T08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25" s="94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/stypes="*4024*201704091*" /stext=" 13:.+((SYSTEM_STATE.+slice.+state.+changed )|(ment ac)|(multiple cpu faults)|(system.+state.+changed )|(\[timeout)|(PRM\|1\|D)|(kpr)|(kdp)|(\|lc)|(penalty))"</v>
      </c>
      <c r="U25" s="9" t="str">
        <f>MID(B25,13,4)</f>
        <v>4024</v>
      </c>
      <c r="V25" s="32">
        <f>A25-utc_offset/24</f>
        <v>42834.556076388886</v>
      </c>
      <c r="W25" s="46" t="str">
        <f>IFERROR(IF(VALUE(LEFT(IF(LEN(C25)=6,"0"&amp;C25,C25),2))&lt;=2,"EC",IF(OR(VALUE(LEFT(IF(LEN(C25)=6,"0"&amp;C25,C25),2))=8,VALUE(LEFT(IF(LEN(C25)=6,"0"&amp;C25,C25),2))=18),"NW","Other")),"Other")</f>
        <v>EC</v>
      </c>
      <c r="X25" s="46" t="str">
        <f>IF(AND(E25="TRACK WARRANT AUTHORITY",G25&lt;10),"OMIT","KEEP")</f>
        <v>KEEP</v>
      </c>
      <c r="Y25" s="104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{"issue":{"subject":"","project_id":79,"tracker_id":40,"status_id":1,"priority_id":2,"assigned_to_id":23,"start_date":"2017-04-09","description":"","custom_fields":[{"id":1,"name":"Subdivision","value":"EC"},{"id":4,"name":"Milepost","value":"23.3491"},{"id":17,"name":"Train ID","value":"125-09"},{"id":16,"name":"Locomotive ID","value":"4024"},{"id":130,"name":"Impact","value":""},{"id":150,"name":"Time of Event (Mountain Time)","value":"07:20:45"},{"id":151,"name":"Denver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218"/>
      <c r="AA25" s="48"/>
      <c r="AB25" s="48"/>
      <c r="AC25" s="123" t="str">
        <f>"grep -hSE -A400 ""Enforcement Action"" "&amp;search_path&amp;"\RTDC"&amp;U25&amp;"\*"&amp;U25&amp;"*"&amp;TEXT(A25-utc_offset/24,"YYYYMMDD")&amp;LEFT(TEXT(A25-utc_offset/24,"HH"),1)&amp;"* | grep -SE ""((Enforcement Ac)|(PRM.+XING))"" -"</f>
        <v>grep -hSE -A400 "Enforcement Action" "%USERPROFILE%\AppData\Local\Temp\OnboardLogs"\RTDC4024\*4024*201704091* | grep -SE "((Enforcement Ac)|(PRM.+XING))"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"%USERPROFILE%\AppData\Local\Temp\OnboardLogs"\RTDC4024\*4024*201704091* &gt;&gt; 2017-04-09-SliceDisagreementCheck.txt</v>
      </c>
      <c r="AE25" s="153" t="str">
        <f t="shared" si="1"/>
        <v>start /low /b %USERPROFILE%\Documents\GitHub\eaglep3\Utilities\DownloadLogsFromS3.py --loco 4024 --day 2017-04-09</v>
      </c>
      <c r="AF25" s="1"/>
    </row>
    <row r="26" spans="1:32" x14ac:dyDescent="0.25">
      <c r="A26" s="32">
        <v>42834.390138888892</v>
      </c>
      <c r="B26" s="30" t="s">
        <v>377</v>
      </c>
      <c r="C26" s="30" t="s">
        <v>603</v>
      </c>
      <c r="D26" s="30" t="s">
        <v>49</v>
      </c>
      <c r="E26" s="30" t="s">
        <v>185</v>
      </c>
      <c r="F26" s="43">
        <v>0</v>
      </c>
      <c r="G26" s="43">
        <v>71</v>
      </c>
      <c r="H26" s="43">
        <v>233225</v>
      </c>
      <c r="I26" s="43">
        <v>233308</v>
      </c>
      <c r="J26" s="30" t="s">
        <v>186</v>
      </c>
      <c r="K26" s="43">
        <v>233491</v>
      </c>
      <c r="L26" s="139" t="s">
        <v>50</v>
      </c>
      <c r="M26" s="140">
        <f>CONVERT((I26-K26)/10000,"mi","ft")*IF(L26="Increasing Mileposts (1)",-1,1)</f>
        <v>96.623999999999995</v>
      </c>
      <c r="N26" s="141" t="str">
        <f>VLOOKUP(C26,'Trips&amp;Operators'!$C$1:$G$99999,5,FALSE)</f>
        <v>PERKINS DARREN</v>
      </c>
      <c r="O26" s="190" t="s">
        <v>184</v>
      </c>
      <c r="P26" s="142"/>
      <c r="Q26" s="30"/>
      <c r="R26" s="89" t="str">
        <f>IF(VLOOKUP(C26,'Train Runs'!$A$13:$AE$9937,1,1)=C26,VLOOKUP(C26,'Train Runs'!$A$13:$AE$9937,31,1),NA())</f>
        <v>aws s3 cp s3://rtdc.mdm.uploadarchive.raw/RTDC4032/ "%USERPROFILE%\AppData\Local\Temp\OnboardLogs"\RTDC4032\2017-04-09 --exclude "*" --recursive --include "*20170409*" &amp; "%USERPROFILE%\Documents\GitHub\mrs-test-scripts\Headless Mode &amp; Sideloading\WalkAndUnGZ.bat" "%USERPROFILE%\AppData\Local\Temp\OnboardLogs"\RTDC4032\2017-04-09 &amp; aws s3 cp s3://rtdc.mdm.uploadarchive.raw/RTDC4032/ "%USERPROFILE%\AppData\Local\Temp\OnboardLogs"\RTDC4032\2017-04-10 --exclude "*" --recursive --include "*20170410*" &amp; "%USERPROFILE%\Documents\GitHub\mrs-test-scripts\Headless Mode &amp; Sideloading\WalkAndUnGZ.bat" "%USERPROFILE%\AppData\Local\Temp\OnboardLogs"\RTDC4032\2017-04-10</v>
      </c>
      <c r="S26" s="92" t="str">
        <f>VLOOKUP(C26,'Train Runs'!$A$13:$AE$9937,22,0)</f>
        <v>https://d0f6bd738d7f1b3e5a7ca70fe4ff75f0.us-east-1.aws.found.io/app/kibana#/discover/Steve-Slow-Train-Analysis-(2080s-and-2083s)?_g=(refreshInterval:(display:Off,pause:!f,section:0,value:0),time:(from:'2017-04-09T07:39:11-0600',mode:absolute,to:'2017-04-09T10:21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6" s="94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/stypes="*4032*201704091*" /stext=" 15:.+((SYSTEM_STATE.+slice.+state.+changed )|(ment ac)|(multiple cpu faults)|(system.+state.+changed )|(\[timeout)|(PRM\|1\|D)|(kpr)|(kdp)|(\|lc)|(penalty))"</v>
      </c>
      <c r="U26" s="9" t="str">
        <f>MID(B26,13,4)</f>
        <v>4032</v>
      </c>
      <c r="V26" s="32">
        <f>A26-utc_offset/24</f>
        <v>42834.640138888892</v>
      </c>
      <c r="W26" s="46" t="str">
        <f>IFERROR(IF(VALUE(LEFT(IF(LEN(C26)=6,"0"&amp;C26,C26),2))&lt;=2,"EC",IF(OR(VALUE(LEFT(IF(LEN(C26)=6,"0"&amp;C26,C26),2))=8,VALUE(LEFT(IF(LEN(C26)=6,"0"&amp;C26,C26),2))=18),"NW","Other")),"Other")</f>
        <v>EC</v>
      </c>
      <c r="X26" s="46" t="str">
        <f>IF(AND(E26="TRACK WARRANT AUTHORITY",G26&lt;10),"OMIT","KEEP")</f>
        <v>KEEP</v>
      </c>
      <c r="Y26" s="104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{"issue":{"subject":"","project_id":79,"tracker_id":40,"status_id":1,"priority_id":2,"assigned_to_id":23,"start_date":"2017-04-09","description":"","custom_fields":[{"id":1,"name":"Subdivision","value":"EC"},{"id":4,"name":"Milepost","value":"23.3491"},{"id":17,"name":"Train ID","value":"141-09"},{"id":16,"name":"Locomotive ID","value":"4032"},{"id":130,"name":"Impact","value":""},{"id":150,"name":"Time of Event (Mountain Time)","value":"09:21:48"},{"id":151,"name":"Denver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218"/>
      <c r="AA26" s="48"/>
      <c r="AB26" s="48"/>
      <c r="AC26" s="123" t="str">
        <f>"grep -hSE -A400 ""Enforcement Action"" "&amp;search_path&amp;"\RTDC"&amp;U26&amp;"\*"&amp;U26&amp;"*"&amp;TEXT(A26-utc_offset/24,"YYYYMMDD")&amp;LEFT(TEXT(A26-utc_offset/24,"HH"),1)&amp;"* | grep -SE ""((Enforcement Ac)|(PRM.+XING))"" -"</f>
        <v>grep -hSE -A400 "Enforcement Action" "%USERPROFILE%\AppData\Local\Temp\OnboardLogs"\RTDC4032\*4032*201704091* | grep -SE "((Enforcement Ac)|(PRM.+XING))"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"%USERPROFILE%\AppData\Local\Temp\OnboardLogs"\RTDC4032\*4032*201704091* &gt;&gt; 2017-04-09-SliceDisagreementCheck.txt</v>
      </c>
      <c r="AE26" s="153" t="str">
        <f t="shared" si="1"/>
        <v>start /low /b %USERPROFILE%\Documents\GitHub\eaglep3\Utilities\DownloadLogsFromS3.py --loco 4032 --day 2017-04-09</v>
      </c>
      <c r="AF26" s="1"/>
    </row>
    <row r="27" spans="1:32" x14ac:dyDescent="0.25">
      <c r="A27" s="32">
        <v>42834.574062500003</v>
      </c>
      <c r="B27" s="30" t="s">
        <v>439</v>
      </c>
      <c r="C27" s="30" t="s">
        <v>610</v>
      </c>
      <c r="D27" s="30" t="s">
        <v>49</v>
      </c>
      <c r="E27" s="30" t="s">
        <v>185</v>
      </c>
      <c r="F27" s="43">
        <v>0</v>
      </c>
      <c r="G27" s="43">
        <v>101</v>
      </c>
      <c r="H27" s="43">
        <v>233134</v>
      </c>
      <c r="I27" s="43">
        <v>233259</v>
      </c>
      <c r="J27" s="30" t="s">
        <v>186</v>
      </c>
      <c r="K27" s="43">
        <v>233491</v>
      </c>
      <c r="L27" s="139" t="s">
        <v>50</v>
      </c>
      <c r="M27" s="140">
        <f>CONVERT((I27-K27)/10000,"mi","ft")*IF(L27="Increasing Mileposts (1)",-1,1)</f>
        <v>122.496</v>
      </c>
      <c r="N27" s="141" t="str">
        <f>VLOOKUP(C27,'Trips&amp;Operators'!$C$1:$G$99999,5,FALSE)</f>
        <v>DAVIS MICHAEL</v>
      </c>
      <c r="O27" s="190" t="s">
        <v>184</v>
      </c>
      <c r="P27" s="142"/>
      <c r="Q27" s="30"/>
      <c r="R27" s="89" t="str">
        <f>IF(VLOOKUP(C27,'Train Runs'!$A$13:$AE$9937,1,1)=C27,VLOOKUP(C27,'Train Runs'!$A$13:$AE$9937,31,1),NA())</f>
        <v>aws s3 cp s3://rtdc.mdm.uploadarchive.raw/RTDC4004/ "%USERPROFILE%\AppData\Local\Temp\OnboardLogs"\RTDC4004\2017-04-09 --exclude "*" --recursive --include "*20170409*" &amp; "%USERPROFILE%\Documents\GitHub\mrs-test-scripts\Headless Mode &amp; Sideloading\WalkAndUnGZ.bat" "%USERPROFILE%\AppData\Local\Temp\OnboardLogs"\RTDC4004\2017-04-09 &amp; aws s3 cp s3://rtdc.mdm.uploadarchive.raw/RTDC4004/ "%USERPROFILE%\AppData\Local\Temp\OnboardLogs"\RTDC4004\2017-04-10 --exclude "*" --recursive --include "*20170410*" &amp; "%USERPROFILE%\Documents\GitHub\mrs-test-scripts\Headless Mode &amp; Sideloading\WalkAndUnGZ.bat" "%USERPROFILE%\AppData\Local\Temp\OnboardLogs"\RTDC4004\2017-04-10</v>
      </c>
      <c r="S27" s="92" t="str">
        <f>VLOOKUP(C27,'Train Runs'!$A$13:$AE$9937,22,0)</f>
        <v>https://d0f6bd738d7f1b3e5a7ca70fe4ff75f0.us-east-1.aws.found.io/app/kibana#/discover/Steve-Slow-Train-Analysis-(2080s-and-2083s)?_g=(refreshInterval:(display:Off,pause:!f,section:0,value:0),time:(from:'2017-04-09T12:02:03-0600',mode:absolute,to:'2017-04-09T14:46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7" s="94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/stypes="*4004*201704091*" /stext=" 19:.+((SYSTEM_STATE.+slice.+state.+changed )|(ment ac)|(multiple cpu faults)|(system.+state.+changed )|(\[timeout)|(PRM\|1\|D)|(kpr)|(kdp)|(\|lc)|(penalty))"</v>
      </c>
      <c r="U27" s="9" t="str">
        <f>MID(B27,13,4)</f>
        <v>4004</v>
      </c>
      <c r="V27" s="32">
        <f>A27-utc_offset/24</f>
        <v>42834.824062500003</v>
      </c>
      <c r="W27" s="46" t="str">
        <f>IFERROR(IF(VALUE(LEFT(IF(LEN(C27)=6,"0"&amp;C27,C27),2))&lt;=2,"EC",IF(OR(VALUE(LEFT(IF(LEN(C27)=6,"0"&amp;C27,C27),2))=8,VALUE(LEFT(IF(LEN(C27)=6,"0"&amp;C27,C27),2))=18),"NW","Other")),"Other")</f>
        <v>EC</v>
      </c>
      <c r="X27" s="46" t="str">
        <f>IF(AND(E27="TRACK WARRANT AUTHORITY",G27&lt;10),"OMIT","KEEP")</f>
        <v>KEEP</v>
      </c>
      <c r="Y27" s="104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{"issue":{"subject":"","project_id":79,"tracker_id":40,"status_id":1,"priority_id":2,"assigned_to_id":23,"start_date":"2017-04-09","description":"","custom_fields":[{"id":1,"name":"Subdivision","value":"EC"},{"id":4,"name":"Milepost","value":"23.3491"},{"id":17,"name":"Train ID","value":"175-09"},{"id":16,"name":"Locomotive ID","value":"4004"},{"id":130,"name":"Impact","value":""},{"id":150,"name":"Time of Event (Mountain Time)","value":"13:46:39"},{"id":151,"name":"Denver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218"/>
      <c r="AA27" s="48"/>
      <c r="AB27" s="48"/>
      <c r="AC27" s="123" t="str">
        <f>"grep -hSE -A400 ""Enforcement Action"" "&amp;search_path&amp;"\RTDC"&amp;U27&amp;"\*"&amp;U27&amp;"*"&amp;TEXT(A27-utc_offset/24,"YYYYMMDD")&amp;LEFT(TEXT(A27-utc_offset/24,"HH"),1)&amp;"* | grep -SE ""((Enforcement Ac)|(PRM.+XING))"" -"</f>
        <v>grep -hSE -A400 "Enforcement Action" "%USERPROFILE%\AppData\Local\Temp\OnboardLogs"\RTDC4004\*4004*201704091* | grep -SE "((Enforcement Ac)|(PRM.+XING))"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"%USERPROFILE%\AppData\Local\Temp\OnboardLogs"\RTDC4004\*4004*201704091* &gt;&gt; 2017-04-09-SliceDisagreementCheck.txt</v>
      </c>
      <c r="AE27" s="153" t="str">
        <f t="shared" si="1"/>
        <v>start /low /b %USERPROFILE%\Documents\GitHub\eaglep3\Utilities\DownloadLogsFromS3.py --loco 4004 --day 2017-04-09</v>
      </c>
      <c r="AF27" s="1"/>
    </row>
    <row r="28" spans="1:32" x14ac:dyDescent="0.25">
      <c r="A28" s="32">
        <v>42834.704814814817</v>
      </c>
      <c r="B28" s="30" t="s">
        <v>199</v>
      </c>
      <c r="C28" s="30" t="s">
        <v>617</v>
      </c>
      <c r="D28" s="30" t="s">
        <v>49</v>
      </c>
      <c r="E28" s="30" t="s">
        <v>185</v>
      </c>
      <c r="F28" s="43">
        <v>0</v>
      </c>
      <c r="G28" s="43">
        <v>107</v>
      </c>
      <c r="H28" s="43">
        <v>233072</v>
      </c>
      <c r="I28" s="43">
        <v>233210</v>
      </c>
      <c r="J28" s="30" t="s">
        <v>186</v>
      </c>
      <c r="K28" s="43">
        <v>233491</v>
      </c>
      <c r="L28" s="139" t="s">
        <v>50</v>
      </c>
      <c r="M28" s="140">
        <f>CONVERT((I28-K28)/10000,"mi","ft")*IF(L28="Increasing Mileposts (1)",-1,1)</f>
        <v>148.36799999999999</v>
      </c>
      <c r="N28" s="141" t="str">
        <f>VLOOKUP(C28,'Trips&amp;Operators'!$C$1:$G$99999,5,FALSE)</f>
        <v>STEWART MICHAEL</v>
      </c>
      <c r="O28" s="190" t="s">
        <v>184</v>
      </c>
      <c r="P28" s="142"/>
      <c r="Q28" s="30"/>
      <c r="R28" s="89" t="e">
        <f>IF(VLOOKUP(C28,'Train Runs'!$A$13:$AE$9937,1,1)=C28,VLOOKUP(C28,'Train Runs'!$A$13:$AE$9937,31,1),NA())</f>
        <v>#N/A</v>
      </c>
      <c r="S28" s="92" t="str">
        <f>VLOOKUP(C28,'Train Runs'!$A$13:$AE$9937,22,0)</f>
        <v>https://d0f6bd738d7f1b3e5a7ca70fe4ff75f0.us-east-1.aws.found.io/app/kibana#/discover/Steve-Slow-Train-Analysis-(2080s-and-2083s)?_g=(refreshInterval:(display:Off,pause:!f,section:0,value:0),time:(from:'2017-04-09T15:15:04-0600',mode:absolute,to:'2017-04-09T17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8" s="94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/stypes="*4030*201704092*" /stext=" 22:.+((SYSTEM_STATE.+slice.+state.+changed )|(ment ac)|(multiple cpu faults)|(system.+state.+changed )|(\[timeout)|(PRM\|1\|D)|(kpr)|(kdp)|(\|lc)|(penalty))"</v>
      </c>
      <c r="U28" s="9" t="str">
        <f>MID(B28,13,4)</f>
        <v>4030</v>
      </c>
      <c r="V28" s="32">
        <f>A28-utc_offset/24</f>
        <v>42834.954814814817</v>
      </c>
      <c r="W28" s="46" t="str">
        <f>IFERROR(IF(VALUE(LEFT(IF(LEN(C28)=6,"0"&amp;C28,C28),2))&lt;=2,"EC",IF(OR(VALUE(LEFT(IF(LEN(C28)=6,"0"&amp;C28,C28),2))=8,VALUE(LEFT(IF(LEN(C28)=6,"0"&amp;C28,C28),2))=18),"NW","Other")),"Other")</f>
        <v>EC</v>
      </c>
      <c r="X28" s="46" t="str">
        <f>IF(AND(E28="TRACK WARRANT AUTHORITY",G28&lt;10),"OMIT","KEEP")</f>
        <v>KEEP</v>
      </c>
      <c r="Y28" s="104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{"issue":{"subject":"","project_id":79,"tracker_id":40,"status_id":1,"priority_id":2,"assigned_to_id":23,"start_date":"2017-04-09","description":"","custom_fields":[{"id":1,"name":"Subdivision","value":"EC"},{"id":4,"name":"Milepost","value":"23.3491"},{"id":17,"name":"Train ID","value":"201-09"},{"id":16,"name":"Locomotive ID","value":"4030"},{"id":130,"name":"Impact","value":""},{"id":150,"name":"Time of Event (Mountain Time)","value":"16:54:56"},{"id":151,"name":"Denver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218"/>
      <c r="AA28" s="48"/>
      <c r="AB28" s="48"/>
      <c r="AC28" s="123" t="str">
        <f>"grep -hSE -A400 ""Enforcement Action"" "&amp;search_path&amp;"\RTDC"&amp;U28&amp;"\*"&amp;U28&amp;"*"&amp;TEXT(A28-utc_offset/24,"YYYYMMDD")&amp;LEFT(TEXT(A28-utc_offset/24,"HH"),1)&amp;"* | grep -SE ""((Enforcement Ac)|(PRM.+XING))"" -"</f>
        <v>grep -hSE -A400 "Enforcement Action" "%USERPROFILE%\AppData\Local\Temp\OnboardLogs"\RTDC4030\*4030*201704092* | grep -SE "((Enforcement Ac)|(PRM.+XING))"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"%USERPROFILE%\AppData\Local\Temp\OnboardLogs"\RTDC4030\*4030*201704092* &gt;&gt; 2017-04-09-SliceDisagreementCheck.txt</v>
      </c>
      <c r="AE28" s="153" t="str">
        <f t="shared" si="1"/>
        <v>start /low /b %USERPROFILE%\Documents\GitHub\eaglep3\Utilities\DownloadLogsFromS3.py --loco 4030 --day 2017-04-09</v>
      </c>
      <c r="AF28" s="1"/>
    </row>
    <row r="29" spans="1:32" x14ac:dyDescent="0.25">
      <c r="A29" s="32">
        <v>42834.797349537039</v>
      </c>
      <c r="B29" s="30" t="s">
        <v>379</v>
      </c>
      <c r="C29" s="30" t="s">
        <v>620</v>
      </c>
      <c r="D29" s="30" t="s">
        <v>49</v>
      </c>
      <c r="E29" s="30" t="s">
        <v>185</v>
      </c>
      <c r="F29" s="43">
        <v>0</v>
      </c>
      <c r="G29" s="43">
        <v>37</v>
      </c>
      <c r="H29" s="43">
        <v>233382</v>
      </c>
      <c r="I29" s="43">
        <v>233401</v>
      </c>
      <c r="J29" s="30" t="s">
        <v>186</v>
      </c>
      <c r="K29" s="43">
        <v>233491</v>
      </c>
      <c r="L29" s="139" t="s">
        <v>50</v>
      </c>
      <c r="M29" s="140">
        <f>CONVERT((I29-K29)/10000,"mi","ft")*IF(L29="Increasing Mileposts (1)",-1,1)</f>
        <v>47.52</v>
      </c>
      <c r="N29" s="141" t="str">
        <f>VLOOKUP(C29,'Trips&amp;Operators'!$C$1:$G$99999,5,FALSE)</f>
        <v>STAMBAUGH JAMES</v>
      </c>
      <c r="O29" s="190" t="s">
        <v>184</v>
      </c>
      <c r="P29" s="142"/>
      <c r="Q29" s="30"/>
      <c r="R29" s="89" t="e">
        <f>IF(VLOOKUP(C29,'Train Runs'!$A$13:$AE$9937,1,1)=C29,VLOOKUP(C29,'Train Runs'!$A$13:$AE$9937,31,1),NA())</f>
        <v>#N/A</v>
      </c>
      <c r="S29" s="92" t="str">
        <f>VLOOKUP(C29,'Train Runs'!$A$13:$AE$9937,22,0)</f>
        <v>https://d0f6bd738d7f1b3e5a7ca70fe4ff75f0.us-east-1.aws.found.io/app/kibana#/discover/Steve-Slow-Train-Analysis-(2080s-and-2083s)?_g=(refreshInterval:(display:Off,pause:!f,section:0,value:0),time:(from:'2017-04-09T17:26:15-0600',mode:absolute,to:'2017-04-09T20:08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9" s="94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/stypes="*4046*201704100*" /stext=" 01:.+((SYSTEM_STATE.+slice.+state.+changed )|(ment ac)|(multiple cpu faults)|(system.+state.+changed )|(\[timeout)|(PRM\|1\|D)|(kpr)|(kdp)|(\|lc)|(penalty))"</v>
      </c>
      <c r="U29" s="9" t="str">
        <f>MID(B29,13,4)</f>
        <v>4046</v>
      </c>
      <c r="V29" s="32">
        <f>A29-utc_offset/24</f>
        <v>42835.047349537039</v>
      </c>
      <c r="W29" s="46" t="str">
        <f>IFERROR(IF(VALUE(LEFT(IF(LEN(C29)=6,"0"&amp;C29,C29),2))&lt;=2,"EC",IF(OR(VALUE(LEFT(IF(LEN(C29)=6,"0"&amp;C29,C29),2))=8,VALUE(LEFT(IF(LEN(C29)=6,"0"&amp;C29,C29),2))=18),"NW","Other")),"Other")</f>
        <v>EC</v>
      </c>
      <c r="X29" s="46" t="str">
        <f>IF(AND(E29="TRACK WARRANT AUTHORITY",G29&lt;10),"OMIT","KEEP")</f>
        <v>KEEP</v>
      </c>
      <c r="Y29" s="104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{"issue":{"subject":"","project_id":79,"tracker_id":40,"status_id":1,"priority_id":2,"assigned_to_id":23,"start_date":"2017-04-09","description":"","custom_fields":[{"id":1,"name":"Subdivision","value":"EC"},{"id":4,"name":"Milepost","value":"23.3491"},{"id":17,"name":"Train ID","value":"219-09"},{"id":16,"name":"Locomotive ID","value":"4046"},{"id":130,"name":"Impact","value":""},{"id":150,"name":"Time of Event (Mountain Time)","value":"19:08:11"},{"id":151,"name":"Denver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218"/>
      <c r="AA29" s="48"/>
      <c r="AB29" s="48"/>
      <c r="AC29" s="123" t="str">
        <f>"grep -hSE -A400 ""Enforcement Action"" "&amp;search_path&amp;"\RTDC"&amp;U29&amp;"\*"&amp;U29&amp;"*"&amp;TEXT(A29-utc_offset/24,"YYYYMMDD")&amp;LEFT(TEXT(A29-utc_offset/24,"HH"),1)&amp;"* | grep -SE ""((Enforcement Ac)|(PRM.+XING))"" -"</f>
        <v>grep -hSE -A400 "Enforcement Action" "%USERPROFILE%\AppData\Local\Temp\OnboardLogs"\RTDC4046\*4046*201704100* | grep -SE "((Enforcement Ac)|(PRM.+XING))"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"%USERPROFILE%\AppData\Local\Temp\OnboardLogs"\RTDC4046\*4046*201704100* &gt;&gt; 2017-04-09-SliceDisagreementCheck.txt</v>
      </c>
      <c r="AE29" s="153" t="str">
        <f t="shared" si="1"/>
        <v>start /low /b %USERPROFILE%\Documents\GitHub\eaglep3\Utilities\DownloadLogsFromS3.py --loco 4046 --day 2017-04-10</v>
      </c>
      <c r="AF29" s="1"/>
    </row>
    <row r="30" spans="1:32" x14ac:dyDescent="0.25">
      <c r="A30" s="32">
        <v>42834.480092592596</v>
      </c>
      <c r="B30" s="30" t="s">
        <v>426</v>
      </c>
      <c r="C30" s="30" t="s">
        <v>607</v>
      </c>
      <c r="D30" s="30" t="s">
        <v>49</v>
      </c>
      <c r="E30" s="30" t="s">
        <v>441</v>
      </c>
      <c r="F30" s="43">
        <v>0</v>
      </c>
      <c r="G30" s="43">
        <v>217</v>
      </c>
      <c r="H30" s="43">
        <v>18468</v>
      </c>
      <c r="I30" s="43">
        <v>17922</v>
      </c>
      <c r="J30" s="30" t="s">
        <v>442</v>
      </c>
      <c r="K30" s="43">
        <v>16590</v>
      </c>
      <c r="L30" s="139" t="s">
        <v>51</v>
      </c>
      <c r="M30" s="140">
        <f>CONVERT((I30-K30)/10000,"mi","ft")*IF(L30="Increasing Mileposts (1)",-1,1)</f>
        <v>703.29600000000005</v>
      </c>
      <c r="N30" s="141" t="str">
        <f>VLOOKUP(C30,'Trips&amp;Operators'!$C$1:$G$99999,5,FALSE)</f>
        <v>LALONDE GREGORY</v>
      </c>
      <c r="O30" s="190" t="s">
        <v>184</v>
      </c>
      <c r="P30" s="142"/>
      <c r="Q30" s="30"/>
      <c r="R30" s="89" t="str">
        <f>IF(VLOOKUP(C30,'Train Runs'!$A$13:$AE$9937,1,1)=C30,VLOOKUP(C30,'Train Runs'!$A$13:$AE$9937,31,1),NA())</f>
        <v>aws s3 cp s3://rtdc.mdm.uploadarchive.raw/RTDC4009/ "%USERPROFILE%\AppData\Local\Temp\OnboardLogs"\RTDC4009\2017-04-09 --exclude "*" --recursive --include "*20170409*" &amp; "%USERPROFILE%\Documents\GitHub\mrs-test-scripts\Headless Mode &amp; Sideloading\WalkAndUnGZ.bat" "%USERPROFILE%\AppData\Local\Temp\OnboardLogs"\RTDC4009\2017-04-09 &amp; aws s3 cp s3://rtdc.mdm.uploadarchive.raw/RTDC4009/ "%USERPROFILE%\AppData\Local\Temp\OnboardLogs"\RTDC4009\2017-04-10 --exclude "*" --recursive --include "*20170410*" &amp; "%USERPROFILE%\Documents\GitHub\mrs-test-scripts\Headless Mode &amp; Sideloading\WalkAndUnGZ.bat" "%USERPROFILE%\AppData\Local\Temp\OnboardLogs"\RTDC4009\2017-04-10</v>
      </c>
      <c r="S30" s="92" t="str">
        <f>VLOOKUP(C30,'Train Runs'!$A$13:$AE$9937,22,0)</f>
        <v>https://d0f6bd738d7f1b3e5a7ca70fe4ff75f0.us-east-1.aws.found.io/app/kibana#/discover/Steve-Slow-Train-Analysis-(2080s-and-2083s)?_g=(refreshInterval:(display:Off,pause:!f,section:0,value:0),time:(from:'2017-04-09T10:25:37-0600',mode:absolute,to:'2017-04-09T12:38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30" s="94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/stypes="*4009*201704091*" /stext=" 17:.+((SYSTEM_STATE.+slice.+state.+changed )|(ment ac)|(multiple cpu faults)|(system.+state.+changed )|(\[timeout)|(PRM\|1\|D)|(kpr)|(kdp)|(\|lc)|(penalty))"</v>
      </c>
      <c r="U30" s="9" t="str">
        <f>MID(B30,13,4)</f>
        <v>4009</v>
      </c>
      <c r="V30" s="32">
        <f>A30-utc_offset/24</f>
        <v>42834.730092592596</v>
      </c>
      <c r="W30" s="46" t="str">
        <f>IFERROR(IF(VALUE(LEFT(IF(LEN(C30)=6,"0"&amp;C30,C30),2))&lt;=2,"EC",IF(OR(VALUE(LEFT(IF(LEN(C30)=6,"0"&amp;C30,C30),2))=8,VALUE(LEFT(IF(LEN(C30)=6,"0"&amp;C30,C30),2))=18),"NW","Other")),"Other")</f>
        <v>Other</v>
      </c>
      <c r="X30" s="46" t="str">
        <f>IF(AND(E30="TRACK WARRANT AUTHORITY",G30&lt;10),"OMIT","KEEP")</f>
        <v>KEEP</v>
      </c>
      <c r="Y30" s="104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{"issue":{"subject":"","project_id":79,"tracker_id":40,"status_id":1,"priority_id":2,"assigned_to_id":23,"start_date":"2017-04-09","description":"","custom_fields":[{"id":1,"name":"Subdivision","value":"Other"},{"id":4,"name":"Milepost","value":"1.659"},{"id":17,"name":"Train ID","value":"52-09"},{"id":16,"name":"Locomotive ID","value":"4009"},{"id":130,"name":"Impact","value":""},{"id":150,"name":"Time of Event (Mountain Time)","value":"11:31:20"},{"id":151,"name":"Denver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218"/>
      <c r="AA30" s="48"/>
      <c r="AB30" s="48"/>
      <c r="AC30" s="123" t="str">
        <f>"grep -hSE -A400 ""Enforcement Action"" "&amp;search_path&amp;"\RTDC"&amp;U30&amp;"\*"&amp;U30&amp;"*"&amp;TEXT(A30-utc_offset/24,"YYYYMMDD")&amp;LEFT(TEXT(A30-utc_offset/24,"HH"),1)&amp;"* | grep -SE ""((Enforcement Ac)|(PRM.+XING))"" -"</f>
        <v>grep -hSE -A400 "Enforcement Action" "%USERPROFILE%\AppData\Local\Temp\OnboardLogs"\RTDC4009\*4009*201704091* | grep -SE "((Enforcement Ac)|(PRM.+XING))"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"%USERPROFILE%\AppData\Local\Temp\OnboardLogs"\RTDC4009\*4009*201704091* &gt;&gt; 2017-04-09-SliceDisagreementCheck.txt</v>
      </c>
      <c r="AE30" s="153" t="str">
        <f t="shared" si="1"/>
        <v>start /low /b %USERPROFILE%\Documents\GitHub\eaglep3\Utilities\DownloadLogsFromS3.py --loco 4009 --day 2017-04-09</v>
      </c>
      <c r="AF30" s="1"/>
    </row>
    <row r="31" spans="1:32" x14ac:dyDescent="0.25">
      <c r="A31" s="32">
        <v>42834.835694444446</v>
      </c>
      <c r="B31" s="30" t="s">
        <v>199</v>
      </c>
      <c r="C31" s="30" t="s">
        <v>622</v>
      </c>
      <c r="D31" s="30" t="s">
        <v>98</v>
      </c>
      <c r="E31" s="30" t="s">
        <v>441</v>
      </c>
      <c r="F31" s="43">
        <v>0</v>
      </c>
      <c r="G31" s="43">
        <v>97</v>
      </c>
      <c r="H31" s="43">
        <v>22417</v>
      </c>
      <c r="I31" s="43">
        <v>22572</v>
      </c>
      <c r="J31" s="30" t="s">
        <v>442</v>
      </c>
      <c r="K31" s="43">
        <v>22314</v>
      </c>
      <c r="L31" s="139" t="s">
        <v>50</v>
      </c>
      <c r="M31" s="140">
        <f>CONVERT((I31-K31)/10000,"mi","ft")*IF(L31="Increasing Mileposts (1)",-1,1)</f>
        <v>-136.22399999999999</v>
      </c>
      <c r="N31" s="141" t="str">
        <f>VLOOKUP(C31,'Trips&amp;Operators'!$C$1:$G$99999,5,FALSE)</f>
        <v>BRANDNER MELINDA</v>
      </c>
      <c r="O31" s="190" t="s">
        <v>184</v>
      </c>
      <c r="P31" s="142"/>
      <c r="Q31" s="30"/>
      <c r="R31" s="89" t="str">
        <f>IF(VLOOKUP(C31,'Train Runs'!$A$13:$AE$9937,1,1)=C31,VLOOKUP(C31,'Train Runs'!$A$13:$AE$9937,31,1),NA())</f>
        <v>aws s3 cp s3://rtdc.mdm.uploadarchive.raw/RTDC4030/ "%USERPROFILE%\AppData\Local\Temp\OnboardLogs"\RTDC4030\2017-04-09 --exclude "*" --recursive --include "*20170409*" &amp; "%USERPROFILE%\Documents\GitHub\mrs-test-scripts\Headless Mode &amp; Sideloading\WalkAndUnGZ.bat" "%USERPROFILE%\AppData\Local\Temp\OnboardLogs"\RTDC4030\2017-04-09 &amp; aws s3 cp s3://rtdc.mdm.uploadarchive.raw/RTDC4030/ "%USERPROFILE%\AppData\Local\Temp\OnboardLogs"\RTDC4030\2017-04-10 --exclude "*" --recursive --include "*20170410*" &amp; "%USERPROFILE%\Documents\GitHub\mrs-test-scripts\Headless Mode &amp; Sideloading\WalkAndUnGZ.bat" "%USERPROFILE%\AppData\Local\Temp\OnboardLogs"\RTDC4030\2017-04-10</v>
      </c>
      <c r="S31" s="92" t="str">
        <f>VLOOKUP(C31,'Train Runs'!$A$13:$AE$9937,22,0)</f>
        <v>https://d0f6bd738d7f1b3e5a7ca70fe4ff75f0.us-east-1.aws.found.io/app/kibana#/discover/Steve-Slow-Train-Analysis-(2080s-and-2083s)?_g=(refreshInterval:(display:Off,pause:!f,section:0,value:0),time:(from:'2017-04-09T18:45:22-0600',mode:absolute,to:'2017-04-09T21:03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1" s="94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/stypes="*4030*201704100*" /stext=" 02:.+((SYSTEM_STATE.+slice.+state.+changed )|(ment ac)|(multiple cpu faults)|(system.+state.+changed )|(\[timeout)|(PRM\|1\|D)|(kpr)|(kdp)|(\|lc)|(penalty))"</v>
      </c>
      <c r="U31" s="9" t="str">
        <f>MID(B31,13,4)</f>
        <v>4030</v>
      </c>
      <c r="V31" s="32">
        <f>A31-utc_offset/24</f>
        <v>42835.085694444446</v>
      </c>
      <c r="W31" s="46" t="str">
        <f>IFERROR(IF(VALUE(LEFT(IF(LEN(C31)=6,"0"&amp;C31,C31),2))&lt;=2,"EC",IF(OR(VALUE(LEFT(IF(LEN(C31)=6,"0"&amp;C31,C31),2))=8,VALUE(LEFT(IF(LEN(C31)=6,"0"&amp;C31,C31),2))=18),"NW","Other")),"Other")</f>
        <v>Other</v>
      </c>
      <c r="X31" s="46" t="str">
        <f>IF(AND(E31="TRACK WARRANT AUTHORITY",G31&lt;10),"OMIT","KEEP")</f>
        <v>KEEP</v>
      </c>
      <c r="Y31" s="104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{"issue":{"subject":"","project_id":79,"tracker_id":40,"status_id":1,"priority_id":2,"assigned_to_id":23,"start_date":"2017-04-09","description":"","custom_fields":[{"id":1,"name":"Subdivision","value":"Other"},{"id":4,"name":"Milepost","value":"2.2314"},{"id":17,"name":"Train ID","value":"307-09"},{"id":16,"name":"Locomotive ID","value":"4030"},{"id":130,"name":"Impact","value":""},{"id":150,"name":"Time of Event (Mountain Time)","value":"20:03:24"},{"id":151,"name":"Denver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218"/>
      <c r="AA31" s="48"/>
      <c r="AB31" s="48"/>
      <c r="AC31" s="123" t="str">
        <f>"grep -hSE -A400 ""Enforcement Action"" "&amp;search_path&amp;"\RTDC"&amp;U31&amp;"\*"&amp;U31&amp;"*"&amp;TEXT(A31-utc_offset/24,"YYYYMMDD")&amp;LEFT(TEXT(A31-utc_offset/24,"HH"),1)&amp;"* | grep -SE ""((Enforcement Ac)|(PRM.+XING))"" -"</f>
        <v>grep -hSE -A400 "Enforcement Action" "%USERPROFILE%\AppData\Local\Temp\OnboardLogs"\RTDC4030\*4030*201704100* | grep -SE "((Enforcement Ac)|(PRM.+XING))"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"%USERPROFILE%\AppData\Local\Temp\OnboardLogs"\RTDC4030\*4030*201704100* &gt;&gt; 2017-04-09-SliceDisagreementCheck.txt</v>
      </c>
      <c r="AE31" s="153" t="str">
        <f t="shared" si="1"/>
        <v>start /low /b %USERPROFILE%\Documents\GitHub\eaglep3\Utilities\DownloadLogsFromS3.py --loco 4030 --day 2017-04-10</v>
      </c>
      <c r="AF31" s="1"/>
    </row>
    <row r="32" spans="1:32" x14ac:dyDescent="0.25">
      <c r="A32" s="32">
        <v>42834.836273148147</v>
      </c>
      <c r="B32" s="30" t="s">
        <v>199</v>
      </c>
      <c r="C32" s="30" t="s">
        <v>622</v>
      </c>
      <c r="D32" s="30" t="s">
        <v>98</v>
      </c>
      <c r="E32" s="30" t="s">
        <v>441</v>
      </c>
      <c r="F32" s="43">
        <v>0</v>
      </c>
      <c r="G32" s="43">
        <v>8</v>
      </c>
      <c r="H32" s="43">
        <v>22580</v>
      </c>
      <c r="I32" s="43">
        <v>22637</v>
      </c>
      <c r="J32" s="30" t="s">
        <v>442</v>
      </c>
      <c r="K32" s="43">
        <v>22314</v>
      </c>
      <c r="L32" s="139" t="s">
        <v>50</v>
      </c>
      <c r="M32" s="140">
        <f>CONVERT((I32-K32)/10000,"mi","ft")*IF(L32="Increasing Mileposts (1)",-1,1)</f>
        <v>-170.54400000000001</v>
      </c>
      <c r="N32" s="141" t="str">
        <f>VLOOKUP(C32,'Trips&amp;Operators'!$C$1:$G$99999,5,FALSE)</f>
        <v>BRANDNER MELINDA</v>
      </c>
      <c r="O32" s="190" t="s">
        <v>184</v>
      </c>
      <c r="P32" s="142"/>
      <c r="Q32" s="30"/>
      <c r="R32" s="89" t="str">
        <f>IF(VLOOKUP(C32,'Train Runs'!$A$13:$AE$9937,1,1)=C32,VLOOKUP(C32,'Train Runs'!$A$13:$AE$9937,31,1),NA())</f>
        <v>aws s3 cp s3://rtdc.mdm.uploadarchive.raw/RTDC4030/ "%USERPROFILE%\AppData\Local\Temp\OnboardLogs"\RTDC4030\2017-04-09 --exclude "*" --recursive --include "*20170409*" &amp; "%USERPROFILE%\Documents\GitHub\mrs-test-scripts\Headless Mode &amp; Sideloading\WalkAndUnGZ.bat" "%USERPROFILE%\AppData\Local\Temp\OnboardLogs"\RTDC4030\2017-04-09 &amp; aws s3 cp s3://rtdc.mdm.uploadarchive.raw/RTDC4030/ "%USERPROFILE%\AppData\Local\Temp\OnboardLogs"\RTDC4030\2017-04-10 --exclude "*" --recursive --include "*20170410*" &amp; "%USERPROFILE%\Documents\GitHub\mrs-test-scripts\Headless Mode &amp; Sideloading\WalkAndUnGZ.bat" "%USERPROFILE%\AppData\Local\Temp\OnboardLogs"\RTDC4030\2017-04-10</v>
      </c>
      <c r="S32" s="92" t="str">
        <f>VLOOKUP(C32,'Train Runs'!$A$13:$AE$9937,22,0)</f>
        <v>https://d0f6bd738d7f1b3e5a7ca70fe4ff75f0.us-east-1.aws.found.io/app/kibana#/discover/Steve-Slow-Train-Analysis-(2080s-and-2083s)?_g=(refreshInterval:(display:Off,pause:!f,section:0,value:0),time:(from:'2017-04-09T18:45:22-0600',mode:absolute,to:'2017-04-09T21:03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2" s="94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/stypes="*4030*201704100*" /stext=" 02:.+((SYSTEM_STATE.+slice.+state.+changed )|(ment ac)|(multiple cpu faults)|(system.+state.+changed )|(\[timeout)|(PRM\|1\|D)|(kpr)|(kdp)|(\|lc)|(penalty))"</v>
      </c>
      <c r="U32" s="9" t="str">
        <f>MID(B32,13,4)</f>
        <v>4030</v>
      </c>
      <c r="V32" s="32">
        <f>A32-utc_offset/24</f>
        <v>42835.086273148147</v>
      </c>
      <c r="W32" s="46" t="str">
        <f>IFERROR(IF(VALUE(LEFT(IF(LEN(C32)=6,"0"&amp;C32,C32),2))&lt;=2,"EC",IF(OR(VALUE(LEFT(IF(LEN(C32)=6,"0"&amp;C32,C32),2))=8,VALUE(LEFT(IF(LEN(C32)=6,"0"&amp;C32,C32),2))=18),"NW","Other")),"Other")</f>
        <v>Other</v>
      </c>
      <c r="X32" s="46" t="str">
        <f>IF(AND(E32="TRACK WARRANT AUTHORITY",G32&lt;10),"OMIT","KEEP")</f>
        <v>KEEP</v>
      </c>
      <c r="Y32" s="104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{"issue":{"subject":"","project_id":79,"tracker_id":40,"status_id":1,"priority_id":2,"assigned_to_id":23,"start_date":"2017-04-09","description":"","custom_fields":[{"id":1,"name":"Subdivision","value":"Other"},{"id":4,"name":"Milepost","value":"2.2314"},{"id":17,"name":"Train ID","value":"307-09"},{"id":16,"name":"Locomotive ID","value":"4030"},{"id":130,"name":"Impact","value":""},{"id":150,"name":"Time of Event (Mountain Time)","value":"20:04:14"},{"id":151,"name":"Denver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218"/>
      <c r="AA32" s="48"/>
      <c r="AB32" s="48"/>
      <c r="AC32" s="123" t="str">
        <f>"grep -hSE -A400 ""Enforcement Action"" "&amp;search_path&amp;"\RTDC"&amp;U32&amp;"\*"&amp;U32&amp;"*"&amp;TEXT(A32-utc_offset/24,"YYYYMMDD")&amp;LEFT(TEXT(A32-utc_offset/24,"HH"),1)&amp;"* | grep -SE ""((Enforcement Ac)|(PRM.+XING))"" -"</f>
        <v>grep -hSE -A400 "Enforcement Action" "%USERPROFILE%\AppData\Local\Temp\OnboardLogs"\RTDC4030\*4030*201704100* | grep -SE "((Enforcement Ac)|(PRM.+XING))"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"%USERPROFILE%\AppData\Local\Temp\OnboardLogs"\RTDC4030\*4030*201704100* &gt;&gt; 2017-04-09-SliceDisagreementCheck.txt</v>
      </c>
      <c r="AE32" s="153" t="str">
        <f t="shared" si="1"/>
        <v>start /low /b %USERPROFILE%\Documents\GitHub\eaglep3\Utilities\DownloadLogsFromS3.py --loco 4030 --day 2017-04-10</v>
      </c>
      <c r="AF32" s="1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Z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Z34"/>
      <c r="AC34"/>
      <c r="AE34"/>
    </row>
    <row r="35" spans="1:31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Z35"/>
      <c r="AC35"/>
      <c r="AE35"/>
    </row>
    <row r="36" spans="1:31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Z36"/>
      <c r="AC36"/>
      <c r="AE36"/>
    </row>
    <row r="37" spans="1:31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Z37"/>
      <c r="AC37"/>
      <c r="AE37"/>
    </row>
    <row r="38" spans="1:31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Z38"/>
      <c r="AC38"/>
      <c r="AE38"/>
    </row>
    <row r="39" spans="1:31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Z39"/>
      <c r="AC39"/>
      <c r="AE39"/>
    </row>
    <row r="40" spans="1:31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Z40"/>
      <c r="AC40"/>
      <c r="AE40"/>
    </row>
    <row r="41" spans="1:31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Z41"/>
      <c r="AC41"/>
      <c r="AE41"/>
    </row>
    <row r="42" spans="1:31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Z42"/>
      <c r="AC42"/>
      <c r="AE42"/>
    </row>
    <row r="43" spans="1:31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Z43"/>
      <c r="AC43"/>
      <c r="AE43"/>
    </row>
    <row r="44" spans="1:31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1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1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1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1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</sheetData>
  <autoFilter ref="A6:AC61">
    <sortState ref="A7:AC62">
      <sortCondition ref="W7:W33"/>
      <sortCondition ref="E7:E33"/>
      <sortCondition ref="K7:K33"/>
      <sortCondition ref="F7:F33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2:O1048576 O7:O32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2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AA7:AA32</xm:sqref>
        </x14:dataValidation>
        <x14:dataValidation type="list" allowBlank="1" showInputMessage="1" showErrorMessage="1">
          <x14:formula1>
            <xm:f>'Redmine List Values'!$C$2:$C$15</xm:f>
          </x14:formula1>
          <xm:sqref>AB7:AB32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5"/>
  <sheetViews>
    <sheetView workbookViewId="0">
      <selection activeCell="A3" sqref="A3:XFD3"/>
    </sheetView>
  </sheetViews>
  <sheetFormatPr defaultRowHeight="15" x14ac:dyDescent="0.25"/>
  <cols>
    <col min="1" max="1" width="9.140625" style="164"/>
    <col min="2" max="2" width="9.140625" style="2" customWidth="1"/>
    <col min="3" max="3" width="8" style="96" bestFit="1" customWidth="1"/>
    <col min="4" max="4" width="9.85546875" style="14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4"/>
      <c r="B1" s="223" t="str">
        <f>"Trips that did not appear in PTC Data "&amp;TEXT(Variables!$A$2,"YYYY-mm-dd")</f>
        <v>Trips that did not appear in PTC Data 2017-04-09</v>
      </c>
      <c r="C1" s="223"/>
      <c r="D1" s="223"/>
      <c r="E1" s="223"/>
      <c r="F1" s="223"/>
    </row>
    <row r="2" spans="1:10" s="23" customFormat="1" ht="45" x14ac:dyDescent="0.25">
      <c r="A2" s="185" t="s">
        <v>152</v>
      </c>
      <c r="B2" s="98" t="s">
        <v>58</v>
      </c>
      <c r="C2" s="95" t="s">
        <v>59</v>
      </c>
      <c r="D2" s="16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1"/>
      <c r="B3" s="43" t="str">
        <f>A3&amp;"-"&amp;IF(DAY(Variables!$A$2)&lt;10,0,"")&amp;DAY(Variables!$A$2)</f>
        <v>-09</v>
      </c>
      <c r="C3" s="143"/>
      <c r="D3" s="161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31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" s="30" t="e">
        <f>VLOOKUP(B3,'Train Runs'!$A$13:$A$99934,1,FALSE)</f>
        <v>#N/A</v>
      </c>
    </row>
    <row r="4" spans="1:10" x14ac:dyDescent="0.25">
      <c r="A4" s="181"/>
      <c r="B4" s="43" t="str">
        <f>A4&amp;"-"&amp;IF(DAY(Variables!$A$2)&lt;10,0,"")&amp;DAY(Variables!$A$2)</f>
        <v>-09</v>
      </c>
      <c r="C4" s="143"/>
      <c r="D4" s="161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" s="30" t="e">
        <f>VLOOKUP(B4,'Train Runs'!$A$13:$A$99934,1,FALSE)</f>
        <v>#N/A</v>
      </c>
    </row>
    <row r="5" spans="1:10" x14ac:dyDescent="0.25">
      <c r="A5" s="181"/>
      <c r="B5" s="43" t="str">
        <f>A5&amp;"-"&amp;IF(DAY(Variables!$A$2)&lt;10,0,"")&amp;DAY(Variables!$A$2)</f>
        <v>-09</v>
      </c>
      <c r="C5" s="143"/>
      <c r="D5" s="161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" s="30" t="e">
        <f>VLOOKUP(B5,'Train Runs'!$A$13:$A$99934,1,FALSE)</f>
        <v>#N/A</v>
      </c>
    </row>
    <row r="6" spans="1:10" x14ac:dyDescent="0.25">
      <c r="A6" s="181"/>
      <c r="B6" s="43" t="str">
        <f>A6&amp;"-"&amp;IF(DAY(Variables!$A$2)&lt;10,0,"")&amp;DAY(Variables!$A$2)</f>
        <v>-09</v>
      </c>
      <c r="C6" s="143"/>
      <c r="D6" s="161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" s="30" t="e">
        <f>VLOOKUP(B6,'Train Runs'!$A$13:$A$99934,1,FALSE)</f>
        <v>#N/A</v>
      </c>
    </row>
    <row r="7" spans="1:10" x14ac:dyDescent="0.25">
      <c r="A7" s="181"/>
      <c r="B7" s="43" t="str">
        <f>A7&amp;"-"&amp;IF(DAY(Variables!$A$2)&lt;10,0,"")&amp;DAY(Variables!$A$2)</f>
        <v>-09</v>
      </c>
      <c r="C7" s="143"/>
      <c r="D7" s="161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" s="30" t="e">
        <f>VLOOKUP(B7,'Train Runs'!$A$13:$A$99934,1,FALSE)</f>
        <v>#N/A</v>
      </c>
    </row>
    <row r="8" spans="1:10" x14ac:dyDescent="0.25">
      <c r="A8" s="181"/>
      <c r="B8" s="43" t="str">
        <f>A8&amp;"-"&amp;IF(DAY(Variables!$A$2)&lt;10,0,"")&amp;DAY(Variables!$A$2)</f>
        <v>-09</v>
      </c>
      <c r="C8" s="143"/>
      <c r="D8" s="161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" s="30" t="e">
        <f>VLOOKUP(B8,'Train Runs'!$A$13:$A$99934,1,FALSE)</f>
        <v>#N/A</v>
      </c>
    </row>
    <row r="9" spans="1:10" x14ac:dyDescent="0.25">
      <c r="A9" s="181"/>
      <c r="B9" s="43" t="str">
        <f>A9&amp;"-"&amp;IF(DAY(Variables!$A$2)&lt;10,0,"")&amp;DAY(Variables!$A$2)</f>
        <v>-09</v>
      </c>
      <c r="C9" s="143"/>
      <c r="D9" s="161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" s="30" t="e">
        <f>VLOOKUP(B9,'Train Runs'!$A$13:$A$99934,1,FALSE)</f>
        <v>#N/A</v>
      </c>
    </row>
    <row r="10" spans="1:10" x14ac:dyDescent="0.25">
      <c r="A10" s="181"/>
      <c r="B10" s="43" t="str">
        <f>A10&amp;"-"&amp;IF(DAY(Variables!$A$2)&lt;10,0,"")&amp;DAY(Variables!$A$2)</f>
        <v>-09</v>
      </c>
      <c r="C10" s="143"/>
      <c r="D10" s="161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0" s="30" t="e">
        <f>VLOOKUP(B10,'Train Runs'!$A$13:$A$99934,1,FALSE)</f>
        <v>#N/A</v>
      </c>
    </row>
    <row r="11" spans="1:10" x14ac:dyDescent="0.25">
      <c r="A11" s="181"/>
      <c r="B11" s="43" t="str">
        <f>A11&amp;"-"&amp;IF(DAY(Variables!$A$2)&lt;10,0,"")&amp;DAY(Variables!$A$2)</f>
        <v>-09</v>
      </c>
      <c r="C11" s="143"/>
      <c r="D11" s="161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1" s="30" t="e">
        <f>VLOOKUP(B11,'Train Runs'!$A$13:$A$99934,1,FALSE)</f>
        <v>#N/A</v>
      </c>
    </row>
    <row r="12" spans="1:10" x14ac:dyDescent="0.25">
      <c r="A12" s="181"/>
      <c r="B12" s="43" t="str">
        <f>A12&amp;"-"&amp;IF(DAY(Variables!$A$2)&lt;10,0,"")&amp;DAY(Variables!$A$2)</f>
        <v>-09</v>
      </c>
      <c r="C12" s="143"/>
      <c r="D12" s="161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2" s="30" t="e">
        <f>VLOOKUP(B12,'Train Runs'!$A$13:$A$99934,1,FALSE)</f>
        <v>#N/A</v>
      </c>
    </row>
    <row r="13" spans="1:10" x14ac:dyDescent="0.25">
      <c r="A13" s="181"/>
      <c r="B13" s="43" t="str">
        <f>A13&amp;"-"&amp;IF(DAY(Variables!$A$2)&lt;10,0,"")&amp;DAY(Variables!$A$2)</f>
        <v>-09</v>
      </c>
      <c r="C13" s="143"/>
      <c r="D13" s="161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3" s="30" t="e">
        <f>VLOOKUP(B13,'Train Runs'!$A$13:$A$99934,1,FALSE)</f>
        <v>#N/A</v>
      </c>
    </row>
    <row r="14" spans="1:10" x14ac:dyDescent="0.25">
      <c r="A14" s="181"/>
      <c r="B14" s="43" t="str">
        <f>A14&amp;"-"&amp;IF(DAY(Variables!$A$2)&lt;10,0,"")&amp;DAY(Variables!$A$2)</f>
        <v>-09</v>
      </c>
      <c r="C14" s="143"/>
      <c r="D14" s="161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4" s="30" t="e">
        <f>VLOOKUP(B14,'Train Runs'!$A$13:$A$99934,1,FALSE)</f>
        <v>#N/A</v>
      </c>
    </row>
    <row r="15" spans="1:10" x14ac:dyDescent="0.25">
      <c r="A15" s="181"/>
      <c r="B15" s="43" t="str">
        <f>A15&amp;"-"&amp;IF(DAY(Variables!$A$2)&lt;10,0,"")&amp;DAY(Variables!$A$2)</f>
        <v>-09</v>
      </c>
      <c r="C15" s="143"/>
      <c r="D15" s="161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5" s="30" t="e">
        <f>VLOOKUP(B15,'Train Runs'!$A$13:$A$99934,1,FALSE)</f>
        <v>#N/A</v>
      </c>
    </row>
    <row r="16" spans="1:10" x14ac:dyDescent="0.25">
      <c r="A16" s="181"/>
      <c r="B16" s="43" t="str">
        <f>A16&amp;"-"&amp;IF(DAY(Variables!$A$2)&lt;10,0,"")&amp;DAY(Variables!$A$2)</f>
        <v>-09</v>
      </c>
      <c r="C16" s="143"/>
      <c r="D16" s="161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6" s="30" t="e">
        <f>VLOOKUP(B16,'Train Runs'!$A$13:$A$99934,1,FALSE)</f>
        <v>#N/A</v>
      </c>
    </row>
    <row r="17" spans="1:10" x14ac:dyDescent="0.25">
      <c r="A17" s="181"/>
      <c r="B17" s="43" t="str">
        <f>A17&amp;"-"&amp;IF(DAY(Variables!$A$2)&lt;10,0,"")&amp;DAY(Variables!$A$2)</f>
        <v>-09</v>
      </c>
      <c r="C17" s="143"/>
      <c r="D17" s="161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7" s="30" t="e">
        <f>VLOOKUP(B17,'Train Runs'!$A$13:$A$99934,1,FALSE)</f>
        <v>#N/A</v>
      </c>
    </row>
    <row r="18" spans="1:10" x14ac:dyDescent="0.25">
      <c r="A18" s="181"/>
      <c r="B18" s="43" t="str">
        <f>A18&amp;"-"&amp;IF(DAY(Variables!$A$2)&lt;10,0,"")&amp;DAY(Variables!$A$2)</f>
        <v>-09</v>
      </c>
      <c r="C18" s="143"/>
      <c r="D18" s="161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8" s="30" t="e">
        <f>VLOOKUP(B18,'Train Runs'!$A$13:$A$99934,1,FALSE)</f>
        <v>#N/A</v>
      </c>
    </row>
    <row r="19" spans="1:10" x14ac:dyDescent="0.25">
      <c r="A19" s="181"/>
      <c r="B19" s="43" t="str">
        <f>A19&amp;"-"&amp;IF(DAY(Variables!$A$2)&lt;10,0,"")&amp;DAY(Variables!$A$2)</f>
        <v>-09</v>
      </c>
      <c r="C19" s="143"/>
      <c r="D19" s="161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9" s="30" t="e">
        <f>VLOOKUP(B19,'Train Runs'!$A$13:$A$99934,1,FALSE)</f>
        <v>#N/A</v>
      </c>
    </row>
    <row r="20" spans="1:10" x14ac:dyDescent="0.25">
      <c r="A20" s="181"/>
      <c r="B20" s="43" t="str">
        <f>A20&amp;"-"&amp;IF(DAY(Variables!$A$2)&lt;10,0,"")&amp;DAY(Variables!$A$2)</f>
        <v>-09</v>
      </c>
      <c r="C20" s="143"/>
      <c r="D20" s="161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0" s="30" t="e">
        <f>VLOOKUP(B20,'Train Runs'!$A$13:$A$99934,1,FALSE)</f>
        <v>#N/A</v>
      </c>
    </row>
    <row r="21" spans="1:10" x14ac:dyDescent="0.25">
      <c r="A21" s="181"/>
      <c r="B21" s="43" t="str">
        <f>A21&amp;"-"&amp;IF(DAY(Variables!$A$2)&lt;10,0,"")&amp;DAY(Variables!$A$2)</f>
        <v>-09</v>
      </c>
      <c r="C21" s="143"/>
      <c r="D21" s="161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1" s="30" t="e">
        <f>VLOOKUP(B21,'Train Runs'!$A$13:$A$99934,1,FALSE)</f>
        <v>#N/A</v>
      </c>
    </row>
    <row r="22" spans="1:10" x14ac:dyDescent="0.25">
      <c r="A22" s="181"/>
      <c r="B22" s="43" t="str">
        <f>A22&amp;"-"&amp;IF(DAY(Variables!$A$2)&lt;10,0,"")&amp;DAY(Variables!$A$2)</f>
        <v>-09</v>
      </c>
      <c r="C22" s="143"/>
      <c r="D22" s="161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2" s="30" t="e">
        <f>VLOOKUP(B22,'Train Runs'!$A$13:$A$99934,1,FALSE)</f>
        <v>#N/A</v>
      </c>
    </row>
    <row r="23" spans="1:10" x14ac:dyDescent="0.25">
      <c r="A23" s="181"/>
      <c r="B23" s="43" t="str">
        <f>A23&amp;"-"&amp;IF(DAY(Variables!$A$2)&lt;10,0,"")&amp;DAY(Variables!$A$2)</f>
        <v>-09</v>
      </c>
      <c r="C23" s="143"/>
      <c r="D23" s="161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3" s="30" t="e">
        <f>VLOOKUP(B23,'Train Runs'!$A$13:$A$99934,1,FALSE)</f>
        <v>#N/A</v>
      </c>
    </row>
    <row r="24" spans="1:10" x14ac:dyDescent="0.25">
      <c r="A24" s="181"/>
      <c r="B24" s="43" t="str">
        <f>A24&amp;"-"&amp;IF(DAY(Variables!$A$2)&lt;10,0,"")&amp;DAY(Variables!$A$2)</f>
        <v>-09</v>
      </c>
      <c r="C24" s="143"/>
      <c r="D24" s="161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4" s="30" t="e">
        <f>VLOOKUP(B24,'Train Runs'!$A$13:$A$99934,1,FALSE)</f>
        <v>#N/A</v>
      </c>
    </row>
    <row r="25" spans="1:10" x14ac:dyDescent="0.25">
      <c r="A25" s="181"/>
      <c r="B25" s="43" t="str">
        <f>A25&amp;"-"&amp;IF(DAY(Variables!$A$2)&lt;10,0,"")&amp;DAY(Variables!$A$2)</f>
        <v>-09</v>
      </c>
      <c r="C25" s="143"/>
      <c r="D25" s="161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5" s="30" t="e">
        <f>VLOOKUP(B25,'Train Runs'!$A$13:$A$99934,1,FALSE)</f>
        <v>#N/A</v>
      </c>
    </row>
    <row r="26" spans="1:10" x14ac:dyDescent="0.25">
      <c r="A26" s="181"/>
      <c r="B26" s="43" t="str">
        <f>A26&amp;"-"&amp;IF(DAY(Variables!$A$2)&lt;10,0,"")&amp;DAY(Variables!$A$2)</f>
        <v>-09</v>
      </c>
      <c r="C26" s="143"/>
      <c r="D26" s="161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6" s="30" t="e">
        <f>VLOOKUP(B26,'Train Runs'!$A$13:$A$99934,1,FALSE)</f>
        <v>#N/A</v>
      </c>
    </row>
    <row r="27" spans="1:10" x14ac:dyDescent="0.25">
      <c r="A27" s="181"/>
      <c r="B27" s="43" t="str">
        <f>A27&amp;"-"&amp;IF(DAY(Variables!$A$2)&lt;10,0,"")&amp;DAY(Variables!$A$2)</f>
        <v>-09</v>
      </c>
      <c r="C27" s="143"/>
      <c r="D27" s="161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7" s="30" t="e">
        <f>VLOOKUP(B27,'Train Runs'!$A$13:$A$99934,1,FALSE)</f>
        <v>#N/A</v>
      </c>
    </row>
    <row r="28" spans="1:10" x14ac:dyDescent="0.25">
      <c r="A28" s="181"/>
      <c r="B28" s="43" t="str">
        <f>A28&amp;"-"&amp;IF(DAY(Variables!$A$2)&lt;10,0,"")&amp;DAY(Variables!$A$2)</f>
        <v>-09</v>
      </c>
      <c r="C28" s="143"/>
      <c r="D28" s="161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8" s="30" t="e">
        <f>VLOOKUP(B28,'Train Runs'!$A$13:$A$99934,1,FALSE)</f>
        <v>#N/A</v>
      </c>
    </row>
    <row r="29" spans="1:10" x14ac:dyDescent="0.25">
      <c r="A29" s="181"/>
      <c r="B29" s="43" t="str">
        <f>A29&amp;"-"&amp;IF(DAY(Variables!$A$2)&lt;10,0,"")&amp;DAY(Variables!$A$2)</f>
        <v>-09</v>
      </c>
      <c r="C29" s="143"/>
      <c r="D29" s="161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9" s="30" t="e">
        <f>VLOOKUP(B29,'Train Runs'!$A$13:$A$99934,1,FALSE)</f>
        <v>#N/A</v>
      </c>
    </row>
    <row r="30" spans="1:10" x14ac:dyDescent="0.25">
      <c r="A30" s="181"/>
      <c r="B30" s="43" t="str">
        <f>A30&amp;"-"&amp;IF(DAY(Variables!$A$2)&lt;10,0,"")&amp;DAY(Variables!$A$2)</f>
        <v>-09</v>
      </c>
      <c r="C30" s="143"/>
      <c r="D30" s="161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0" s="30" t="e">
        <f>VLOOKUP(B30,'Train Runs'!$A$13:$A$99934,1,FALSE)</f>
        <v>#N/A</v>
      </c>
    </row>
    <row r="31" spans="1:10" x14ac:dyDescent="0.25">
      <c r="A31" s="181"/>
      <c r="B31" s="43" t="str">
        <f>A31&amp;"-"&amp;IF(DAY(Variables!$A$2)&lt;10,0,"")&amp;DAY(Variables!$A$2)</f>
        <v>-09</v>
      </c>
      <c r="C31" s="143"/>
      <c r="D31" s="161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1" s="30" t="e">
        <f>VLOOKUP(B31,'Train Runs'!$A$13:$A$99934,1,FALSE)</f>
        <v>#N/A</v>
      </c>
    </row>
    <row r="32" spans="1:10" x14ac:dyDescent="0.25">
      <c r="A32" s="181"/>
      <c r="B32" s="43" t="str">
        <f>A32&amp;"-"&amp;IF(DAY(Variables!$A$2)&lt;10,0,"")&amp;DAY(Variables!$A$2)</f>
        <v>-09</v>
      </c>
      <c r="C32" s="143"/>
      <c r="D32" s="161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ref="I32:I6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2" s="30" t="e">
        <f>VLOOKUP(B32,'Train Runs'!$A$13:$A$99934,1,FALSE)</f>
        <v>#N/A</v>
      </c>
    </row>
    <row r="33" spans="1:10" x14ac:dyDescent="0.25">
      <c r="A33" s="181"/>
      <c r="B33" s="43" t="str">
        <f>A33&amp;"-"&amp;IF(DAY(Variables!$A$2)&lt;10,0,"")&amp;DAY(Variables!$A$2)</f>
        <v>-09</v>
      </c>
      <c r="C33" s="143"/>
      <c r="D33" s="161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3" s="30" t="e">
        <f>VLOOKUP(B33,'Train Runs'!$A$13:$A$99934,1,FALSE)</f>
        <v>#N/A</v>
      </c>
    </row>
    <row r="34" spans="1:10" x14ac:dyDescent="0.25">
      <c r="A34" s="181"/>
      <c r="B34" s="43" t="str">
        <f>A34&amp;"-"&amp;IF(DAY(Variables!$A$2)&lt;10,0,"")&amp;DAY(Variables!$A$2)</f>
        <v>-09</v>
      </c>
      <c r="C34" s="143"/>
      <c r="D34" s="161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4" s="30" t="e">
        <f>VLOOKUP(B34,'Train Runs'!$A$13:$A$99934,1,FALSE)</f>
        <v>#N/A</v>
      </c>
    </row>
    <row r="35" spans="1:10" x14ac:dyDescent="0.25">
      <c r="A35" s="181"/>
      <c r="B35" s="43" t="str">
        <f>A35&amp;"-"&amp;IF(DAY(Variables!$A$2)&lt;10,0,"")&amp;DAY(Variables!$A$2)</f>
        <v>-09</v>
      </c>
      <c r="C35" s="143"/>
      <c r="D35" s="161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5" s="30" t="e">
        <f>VLOOKUP(B35,'Train Runs'!$A$13:$A$99934,1,FALSE)</f>
        <v>#N/A</v>
      </c>
    </row>
    <row r="36" spans="1:10" x14ac:dyDescent="0.25">
      <c r="A36" s="181"/>
      <c r="B36" s="43" t="str">
        <f>A36&amp;"-"&amp;IF(DAY(Variables!$A$2)&lt;10,0,"")&amp;DAY(Variables!$A$2)</f>
        <v>-09</v>
      </c>
      <c r="C36" s="143"/>
      <c r="D36" s="161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6" s="30" t="e">
        <f>VLOOKUP(B36,'Train Runs'!$A$13:$A$99934,1,FALSE)</f>
        <v>#N/A</v>
      </c>
    </row>
    <row r="37" spans="1:10" x14ac:dyDescent="0.25">
      <c r="A37" s="181"/>
      <c r="B37" s="43" t="str">
        <f>A37&amp;"-"&amp;IF(DAY(Variables!$A$2)&lt;10,0,"")&amp;DAY(Variables!$A$2)</f>
        <v>-09</v>
      </c>
      <c r="C37" s="143"/>
      <c r="D37" s="161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7" s="30" t="e">
        <f>VLOOKUP(B37,'Train Runs'!$A$13:$A$99934,1,FALSE)</f>
        <v>#N/A</v>
      </c>
    </row>
    <row r="38" spans="1:10" x14ac:dyDescent="0.25">
      <c r="A38" s="181"/>
      <c r="B38" s="43" t="str">
        <f>A38&amp;"-"&amp;IF(DAY(Variables!$A$2)&lt;10,0,"")&amp;DAY(Variables!$A$2)</f>
        <v>-09</v>
      </c>
      <c r="C38" s="143"/>
      <c r="D38" s="161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8" s="30" t="e">
        <f>VLOOKUP(B38,'Train Runs'!$A$13:$A$99934,1,FALSE)</f>
        <v>#N/A</v>
      </c>
    </row>
    <row r="39" spans="1:10" x14ac:dyDescent="0.25">
      <c r="A39" s="181"/>
      <c r="B39" s="43" t="str">
        <f>A39&amp;"-"&amp;IF(DAY(Variables!$A$2)&lt;10,0,"")&amp;DAY(Variables!$A$2)</f>
        <v>-09</v>
      </c>
      <c r="C39" s="143"/>
      <c r="D39" s="161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9" s="30" t="e">
        <f>VLOOKUP(B39,'Train Runs'!$A$13:$A$99934,1,FALSE)</f>
        <v>#N/A</v>
      </c>
    </row>
    <row r="40" spans="1:10" x14ac:dyDescent="0.25">
      <c r="A40" s="181"/>
      <c r="B40" s="43" t="str">
        <f>A40&amp;"-"&amp;IF(DAY(Variables!$A$2)&lt;10,0,"")&amp;DAY(Variables!$A$2)</f>
        <v>-09</v>
      </c>
      <c r="C40" s="143"/>
      <c r="D40" s="161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0" s="30" t="e">
        <f>VLOOKUP(B40,'Train Runs'!$A$13:$A$99934,1,FALSE)</f>
        <v>#N/A</v>
      </c>
    </row>
    <row r="41" spans="1:10" x14ac:dyDescent="0.25">
      <c r="A41" s="181"/>
      <c r="B41" s="43" t="str">
        <f>A41&amp;"-"&amp;IF(DAY(Variables!$A$2)&lt;10,0,"")&amp;DAY(Variables!$A$2)</f>
        <v>-09</v>
      </c>
      <c r="C41" s="143"/>
      <c r="D41" s="161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1" s="30" t="e">
        <f>VLOOKUP(B41,'Train Runs'!$A$13:$A$99934,1,FALSE)</f>
        <v>#N/A</v>
      </c>
    </row>
    <row r="42" spans="1:10" x14ac:dyDescent="0.25">
      <c r="A42" s="181"/>
      <c r="B42" s="43" t="str">
        <f>A42&amp;"-"&amp;IF(DAY(Variables!$A$2)&lt;10,0,"")&amp;DAY(Variables!$A$2)</f>
        <v>-09</v>
      </c>
      <c r="C42" s="143"/>
      <c r="D42" s="161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2" s="30" t="e">
        <f>VLOOKUP(B42,'Train Runs'!$A$13:$A$99934,1,FALSE)</f>
        <v>#N/A</v>
      </c>
    </row>
    <row r="43" spans="1:10" x14ac:dyDescent="0.25">
      <c r="A43" s="181"/>
      <c r="B43" s="43" t="str">
        <f>A43&amp;"-"&amp;IF(DAY(Variables!$A$2)&lt;10,0,"")&amp;DAY(Variables!$A$2)</f>
        <v>-09</v>
      </c>
      <c r="C43" s="143"/>
      <c r="D43" s="161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3" s="30" t="e">
        <f>VLOOKUP(B43,'Train Runs'!$A$13:$A$99934,1,FALSE)</f>
        <v>#N/A</v>
      </c>
    </row>
    <row r="44" spans="1:10" x14ac:dyDescent="0.25">
      <c r="A44" s="181"/>
      <c r="B44" s="43" t="str">
        <f>A44&amp;"-"&amp;IF(DAY(Variables!$A$2)&lt;10,0,"")&amp;DAY(Variables!$A$2)</f>
        <v>-09</v>
      </c>
      <c r="C44" s="143"/>
      <c r="D44" s="161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4" s="30" t="e">
        <f>VLOOKUP(B44,'Train Runs'!$A$13:$A$99934,1,FALSE)</f>
        <v>#N/A</v>
      </c>
    </row>
    <row r="45" spans="1:10" x14ac:dyDescent="0.25">
      <c r="A45" s="181"/>
      <c r="B45" s="43" t="str">
        <f>A45&amp;"-"&amp;IF(DAY(Variables!$A$2)&lt;10,0,"")&amp;DAY(Variables!$A$2)</f>
        <v>-09</v>
      </c>
      <c r="C45" s="143"/>
      <c r="D45" s="161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5" s="30" t="e">
        <f>VLOOKUP(B45,'Train Runs'!$A$13:$A$99934,1,FALSE)</f>
        <v>#N/A</v>
      </c>
    </row>
    <row r="46" spans="1:10" x14ac:dyDescent="0.25">
      <c r="A46" s="181"/>
      <c r="B46" s="43" t="str">
        <f>A46&amp;"-"&amp;IF(DAY(Variables!$A$2)&lt;10,0,"")&amp;DAY(Variables!$A$2)</f>
        <v>-09</v>
      </c>
      <c r="C46" s="143"/>
      <c r="D46" s="161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6" s="30" t="e">
        <f>VLOOKUP(B46,'Train Runs'!$A$13:$A$99934,1,FALSE)</f>
        <v>#N/A</v>
      </c>
    </row>
    <row r="47" spans="1:10" x14ac:dyDescent="0.25">
      <c r="A47" s="181"/>
      <c r="B47" s="43" t="str">
        <f>A47&amp;"-"&amp;IF(DAY(Variables!$A$2)&lt;10,0,"")&amp;DAY(Variables!$A$2)</f>
        <v>-09</v>
      </c>
      <c r="C47" s="143"/>
      <c r="D47" s="161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7" s="30" t="e">
        <f>VLOOKUP(B47,'Train Runs'!$A$13:$A$99934,1,FALSE)</f>
        <v>#N/A</v>
      </c>
    </row>
    <row r="48" spans="1:10" x14ac:dyDescent="0.25">
      <c r="A48" s="181"/>
      <c r="B48" s="43" t="str">
        <f>A48&amp;"-"&amp;IF(DAY(Variables!$A$2)&lt;10,0,"")&amp;DAY(Variables!$A$2)</f>
        <v>-09</v>
      </c>
      <c r="C48" s="143"/>
      <c r="D48" s="161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8" s="30" t="e">
        <f>VLOOKUP(B48,'Train Runs'!$A$13:$A$99934,1,FALSE)</f>
        <v>#N/A</v>
      </c>
    </row>
    <row r="49" spans="1:10" x14ac:dyDescent="0.25">
      <c r="A49" s="181"/>
      <c r="B49" s="43" t="str">
        <f>A49&amp;"-"&amp;IF(DAY(Variables!$A$2)&lt;10,0,"")&amp;DAY(Variables!$A$2)</f>
        <v>-09</v>
      </c>
      <c r="C49" s="143"/>
      <c r="D49" s="161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9" s="30" t="e">
        <f>VLOOKUP(B49,'Train Runs'!$A$13:$A$99934,1,FALSE)</f>
        <v>#N/A</v>
      </c>
    </row>
    <row r="50" spans="1:10" x14ac:dyDescent="0.25">
      <c r="A50" s="181"/>
      <c r="B50" s="43" t="str">
        <f>A50&amp;"-"&amp;IF(DAY(Variables!$A$2)&lt;10,0,"")&amp;DAY(Variables!$A$2)</f>
        <v>-09</v>
      </c>
      <c r="C50" s="143"/>
      <c r="D50" s="161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0" s="30" t="e">
        <f>VLOOKUP(B50,'Train Runs'!$A$13:$A$99934,1,FALSE)</f>
        <v>#N/A</v>
      </c>
    </row>
    <row r="51" spans="1:10" x14ac:dyDescent="0.25">
      <c r="A51" s="181"/>
      <c r="B51" s="43" t="str">
        <f>A51&amp;"-"&amp;IF(DAY(Variables!$A$2)&lt;10,0,"")&amp;DAY(Variables!$A$2)</f>
        <v>-09</v>
      </c>
      <c r="C51" s="143"/>
      <c r="D51" s="161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1" s="30" t="e">
        <f>VLOOKUP(B51,'Train Runs'!$A$13:$A$99934,1,FALSE)</f>
        <v>#N/A</v>
      </c>
    </row>
    <row r="52" spans="1:10" x14ac:dyDescent="0.25">
      <c r="A52" s="181"/>
      <c r="B52" s="43" t="str">
        <f>A52&amp;"-"&amp;IF(DAY(Variables!$A$2)&lt;10,0,"")&amp;DAY(Variables!$A$2)</f>
        <v>-09</v>
      </c>
      <c r="C52" s="143"/>
      <c r="D52" s="161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2" s="30" t="e">
        <f>VLOOKUP(B52,'Train Runs'!$A$13:$A$99934,1,FALSE)</f>
        <v>#N/A</v>
      </c>
    </row>
    <row r="53" spans="1:10" x14ac:dyDescent="0.25">
      <c r="A53" s="181"/>
      <c r="B53" s="43" t="str">
        <f>A53&amp;"-"&amp;IF(DAY(Variables!$A$2)&lt;10,0,"")&amp;DAY(Variables!$A$2)</f>
        <v>-09</v>
      </c>
      <c r="C53" s="143"/>
      <c r="D53" s="161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3" s="30" t="e">
        <f>VLOOKUP(B53,'Train Runs'!$A$13:$A$99934,1,FALSE)</f>
        <v>#N/A</v>
      </c>
    </row>
    <row r="54" spans="1:10" x14ac:dyDescent="0.25">
      <c r="A54" s="181"/>
      <c r="B54" s="43" t="str">
        <f>A54&amp;"-"&amp;IF(DAY(Variables!$A$2)&lt;10,0,"")&amp;DAY(Variables!$A$2)</f>
        <v>-09</v>
      </c>
      <c r="C54" s="143"/>
      <c r="D54" s="161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4" s="30" t="e">
        <f>VLOOKUP(B54,'Train Runs'!$A$13:$A$99934,1,FALSE)</f>
        <v>#N/A</v>
      </c>
    </row>
    <row r="55" spans="1:10" x14ac:dyDescent="0.25">
      <c r="A55" s="181"/>
      <c r="B55" s="43" t="str">
        <f>A55&amp;"-"&amp;IF(DAY(Variables!$A$2)&lt;10,0,"")&amp;DAY(Variables!$A$2)</f>
        <v>-09</v>
      </c>
      <c r="C55" s="143"/>
      <c r="D55" s="161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5" s="30" t="e">
        <f>VLOOKUP(B55,'Train Runs'!$A$13:$A$99934,1,FALSE)</f>
        <v>#N/A</v>
      </c>
    </row>
    <row r="56" spans="1:10" x14ac:dyDescent="0.25">
      <c r="A56" s="181"/>
      <c r="B56" s="43" t="str">
        <f>A56&amp;"-"&amp;IF(DAY(Variables!$A$2)&lt;10,0,"")&amp;DAY(Variables!$A$2)</f>
        <v>-09</v>
      </c>
      <c r="C56" s="143"/>
      <c r="D56" s="161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6" s="30" t="e">
        <f>VLOOKUP(B56,'Train Runs'!$A$13:$A$99934,1,FALSE)</f>
        <v>#N/A</v>
      </c>
    </row>
    <row r="57" spans="1:10" x14ac:dyDescent="0.25">
      <c r="A57" s="181"/>
      <c r="B57" s="43" t="str">
        <f>A57&amp;"-"&amp;IF(DAY(Variables!$A$2)&lt;10,0,"")&amp;DAY(Variables!$A$2)</f>
        <v>-09</v>
      </c>
      <c r="C57" s="143"/>
      <c r="D57" s="161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7" s="30" t="e">
        <f>VLOOKUP(B57,'Train Runs'!$A$13:$A$99934,1,FALSE)</f>
        <v>#N/A</v>
      </c>
    </row>
    <row r="58" spans="1:10" x14ac:dyDescent="0.25">
      <c r="A58" s="181"/>
      <c r="B58" s="43" t="str">
        <f>A58&amp;"-"&amp;IF(DAY(Variables!$A$2)&lt;10,0,"")&amp;DAY(Variables!$A$2)</f>
        <v>-09</v>
      </c>
      <c r="C58" s="143"/>
      <c r="D58" s="161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8" s="30" t="e">
        <f>VLOOKUP(B58,'Train Runs'!$A$13:$A$99934,1,FALSE)</f>
        <v>#N/A</v>
      </c>
    </row>
    <row r="59" spans="1:10" x14ac:dyDescent="0.25">
      <c r="A59" s="181"/>
      <c r="B59" s="43" t="str">
        <f>A59&amp;"-"&amp;IF(DAY(Variables!$A$2)&lt;10,0,"")&amp;DAY(Variables!$A$2)</f>
        <v>-09</v>
      </c>
      <c r="C59" s="143"/>
      <c r="D59" s="161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9" s="30" t="e">
        <f>VLOOKUP(B59,'Train Runs'!$A$13:$A$99934,1,FALSE)</f>
        <v>#N/A</v>
      </c>
    </row>
    <row r="60" spans="1:10" x14ac:dyDescent="0.25">
      <c r="A60" s="181"/>
      <c r="B60" s="43" t="str">
        <f>A60&amp;"-"&amp;IF(DAY(Variables!$A$2)&lt;10,0,"")&amp;DAY(Variables!$A$2)</f>
        <v>-09</v>
      </c>
      <c r="C60" s="143"/>
      <c r="D60" s="161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0" s="30" t="e">
        <f>VLOOKUP(B60,'Train Runs'!$A$13:$A$99934,1,FALSE)</f>
        <v>#N/A</v>
      </c>
    </row>
    <row r="61" spans="1:10" x14ac:dyDescent="0.25">
      <c r="A61" s="181"/>
      <c r="B61" s="43" t="str">
        <f>A61&amp;"-"&amp;IF(DAY(Variables!$A$2)&lt;10,0,"")&amp;DAY(Variables!$A$2)</f>
        <v>-09</v>
      </c>
      <c r="C61" s="143"/>
      <c r="D61" s="161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1" s="30" t="e">
        <f>VLOOKUP(B61,'Train Runs'!$A$13:$A$99934,1,FALSE)</f>
        <v>#N/A</v>
      </c>
    </row>
    <row r="62" spans="1:10" x14ac:dyDescent="0.25">
      <c r="A62" s="181"/>
      <c r="B62" s="43" t="str">
        <f>A62&amp;"-"&amp;IF(DAY(Variables!$A$2)&lt;10,0,"")&amp;DAY(Variables!$A$2)</f>
        <v>-09</v>
      </c>
      <c r="C62" s="143"/>
      <c r="D62" s="161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2" s="30" t="e">
        <f>VLOOKUP(B62,'Train Runs'!$A$13:$A$99934,1,FALSE)</f>
        <v>#N/A</v>
      </c>
    </row>
    <row r="63" spans="1:10" x14ac:dyDescent="0.25">
      <c r="A63" s="181"/>
      <c r="B63" s="43" t="str">
        <f>A63&amp;"-"&amp;IF(DAY(Variables!$A$2)&lt;10,0,"")&amp;DAY(Variables!$A$2)</f>
        <v>-09</v>
      </c>
      <c r="C63" s="143"/>
      <c r="D63" s="161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3" s="30" t="e">
        <f>VLOOKUP(B63,'Train Runs'!$A$13:$A$99934,1,FALSE)</f>
        <v>#N/A</v>
      </c>
    </row>
    <row r="64" spans="1:10" x14ac:dyDescent="0.25">
      <c r="A64" s="181"/>
      <c r="B64" s="43" t="str">
        <f>A64&amp;"-"&amp;IF(DAY(Variables!$A$2)&lt;10,0,"")&amp;DAY(Variables!$A$2)</f>
        <v>-09</v>
      </c>
      <c r="C64" s="143"/>
      <c r="D64" s="161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ref="I64:I85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4" s="30" t="e">
        <f>VLOOKUP(B64,'Train Runs'!$A$13:$A$99934,1,FALSE)</f>
        <v>#N/A</v>
      </c>
    </row>
    <row r="65" spans="1:10" x14ac:dyDescent="0.25">
      <c r="A65" s="181"/>
      <c r="B65" s="43" t="str">
        <f>A65&amp;"-"&amp;IF(DAY(Variables!$A$2)&lt;10,0,"")&amp;DAY(Variables!$A$2)</f>
        <v>-09</v>
      </c>
      <c r="C65" s="143"/>
      <c r="D65" s="161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5" s="30" t="e">
        <f>VLOOKUP(B65,'Train Runs'!$A$13:$A$99934,1,FALSE)</f>
        <v>#N/A</v>
      </c>
    </row>
    <row r="66" spans="1:10" x14ac:dyDescent="0.25">
      <c r="A66" s="181"/>
      <c r="B66" s="43" t="str">
        <f>A66&amp;"-"&amp;IF(DAY(Variables!$A$2)&lt;10,0,"")&amp;DAY(Variables!$A$2)</f>
        <v>-09</v>
      </c>
      <c r="C66" s="143"/>
      <c r="D66" s="161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6" s="30" t="e">
        <f>VLOOKUP(B66,'Train Runs'!$A$13:$A$99934,1,FALSE)</f>
        <v>#N/A</v>
      </c>
    </row>
    <row r="67" spans="1:10" x14ac:dyDescent="0.25">
      <c r="A67" s="181"/>
      <c r="B67" s="43" t="str">
        <f>A67&amp;"-"&amp;IF(DAY(Variables!$A$2)&lt;10,0,"")&amp;DAY(Variables!$A$2)</f>
        <v>-09</v>
      </c>
      <c r="C67" s="143"/>
      <c r="D67" s="161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7" s="30" t="e">
        <f>VLOOKUP(B67,'Train Runs'!$A$13:$A$99934,1,FALSE)</f>
        <v>#N/A</v>
      </c>
    </row>
    <row r="68" spans="1:10" x14ac:dyDescent="0.25">
      <c r="A68" s="181"/>
      <c r="B68" s="43" t="str">
        <f>A68&amp;"-"&amp;IF(DAY(Variables!$A$2)&lt;10,0,"")&amp;DAY(Variables!$A$2)</f>
        <v>-09</v>
      </c>
      <c r="C68" s="143"/>
      <c r="D68" s="161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8" s="30" t="e">
        <f>VLOOKUP(B68,'Train Runs'!$A$13:$A$99934,1,FALSE)</f>
        <v>#N/A</v>
      </c>
    </row>
    <row r="69" spans="1:10" x14ac:dyDescent="0.25">
      <c r="A69" s="181"/>
      <c r="B69" s="43" t="str">
        <f>A69&amp;"-"&amp;IF(DAY(Variables!$A$2)&lt;10,0,"")&amp;DAY(Variables!$A$2)</f>
        <v>-09</v>
      </c>
      <c r="C69" s="143"/>
      <c r="D69" s="161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9" s="30" t="e">
        <f>VLOOKUP(B69,'Train Runs'!$A$13:$A$99934,1,FALSE)</f>
        <v>#N/A</v>
      </c>
    </row>
    <row r="70" spans="1:10" x14ac:dyDescent="0.25">
      <c r="A70" s="181"/>
      <c r="B70" s="43" t="str">
        <f>A70&amp;"-"&amp;IF(DAY(Variables!$A$2)&lt;10,0,"")&amp;DAY(Variables!$A$2)</f>
        <v>-09</v>
      </c>
      <c r="C70" s="143"/>
      <c r="D70" s="161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0" s="30" t="e">
        <f>VLOOKUP(B70,'Train Runs'!$A$13:$A$99934,1,FALSE)</f>
        <v>#N/A</v>
      </c>
    </row>
    <row r="71" spans="1:10" x14ac:dyDescent="0.25">
      <c r="A71" s="181"/>
      <c r="B71" s="43" t="str">
        <f>A71&amp;"-"&amp;IF(DAY(Variables!$A$2)&lt;10,0,"")&amp;DAY(Variables!$A$2)</f>
        <v>-09</v>
      </c>
      <c r="C71" s="143"/>
      <c r="D71" s="161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1" s="30" t="e">
        <f>VLOOKUP(B71,'Train Runs'!$A$13:$A$99934,1,FALSE)</f>
        <v>#N/A</v>
      </c>
    </row>
    <row r="72" spans="1:10" x14ac:dyDescent="0.25">
      <c r="A72" s="181"/>
      <c r="B72" s="43" t="str">
        <f>A72&amp;"-"&amp;IF(DAY(Variables!$A$2)&lt;10,0,"")&amp;DAY(Variables!$A$2)</f>
        <v>-09</v>
      </c>
      <c r="C72" s="143"/>
      <c r="D72" s="161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2" s="30" t="e">
        <f>VLOOKUP(B72,'Train Runs'!$A$13:$A$99934,1,FALSE)</f>
        <v>#N/A</v>
      </c>
    </row>
    <row r="73" spans="1:10" x14ac:dyDescent="0.25">
      <c r="A73" s="181"/>
      <c r="B73" s="43" t="str">
        <f>A73&amp;"-"&amp;IF(DAY(Variables!$A$2)&lt;10,0,"")&amp;DAY(Variables!$A$2)</f>
        <v>-09</v>
      </c>
      <c r="C73" s="143"/>
      <c r="D73" s="161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3" s="30" t="e">
        <f>VLOOKUP(B73,'Train Runs'!$A$13:$A$99934,1,FALSE)</f>
        <v>#N/A</v>
      </c>
    </row>
    <row r="74" spans="1:10" x14ac:dyDescent="0.25">
      <c r="A74" s="181"/>
      <c r="B74" s="43" t="str">
        <f>A74&amp;"-"&amp;IF(DAY(Variables!$A$2)&lt;10,0,"")&amp;DAY(Variables!$A$2)</f>
        <v>-09</v>
      </c>
      <c r="C74" s="143"/>
      <c r="D74" s="161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4" s="30" t="e">
        <f>VLOOKUP(B74,'Train Runs'!$A$13:$A$99934,1,FALSE)</f>
        <v>#N/A</v>
      </c>
    </row>
    <row r="75" spans="1:10" x14ac:dyDescent="0.25">
      <c r="A75" s="181"/>
      <c r="B75" s="43" t="str">
        <f>A75&amp;"-"&amp;IF(DAY(Variables!$A$2)&lt;10,0,"")&amp;DAY(Variables!$A$2)</f>
        <v>-09</v>
      </c>
      <c r="C75" s="143"/>
      <c r="D75" s="161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5" s="30" t="e">
        <f>VLOOKUP(B75,'Train Runs'!$A$13:$A$99934,1,FALSE)</f>
        <v>#N/A</v>
      </c>
    </row>
    <row r="76" spans="1:10" x14ac:dyDescent="0.25">
      <c r="A76" s="181"/>
      <c r="B76" s="43" t="str">
        <f>A76&amp;"-"&amp;IF(DAY(Variables!$A$2)&lt;10,0,"")&amp;DAY(Variables!$A$2)</f>
        <v>-09</v>
      </c>
      <c r="C76" s="143"/>
      <c r="D76" s="161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6" s="30" t="e">
        <f>VLOOKUP(B76,'Train Runs'!$A$13:$A$99934,1,FALSE)</f>
        <v>#N/A</v>
      </c>
    </row>
    <row r="77" spans="1:10" x14ac:dyDescent="0.25">
      <c r="A77" s="181"/>
      <c r="B77" s="43" t="str">
        <f>A77&amp;"-"&amp;IF(DAY(Variables!$A$2)&lt;10,0,"")&amp;DAY(Variables!$A$2)</f>
        <v>-09</v>
      </c>
      <c r="C77" s="143"/>
      <c r="D77" s="161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7" s="30" t="e">
        <f>VLOOKUP(B77,'Train Runs'!$A$13:$A$99934,1,FALSE)</f>
        <v>#N/A</v>
      </c>
    </row>
    <row r="78" spans="1:10" x14ac:dyDescent="0.25">
      <c r="A78" s="181"/>
      <c r="B78" s="43" t="str">
        <f>A78&amp;"-"&amp;IF(DAY(Variables!$A$2)&lt;10,0,"")&amp;DAY(Variables!$A$2)</f>
        <v>-09</v>
      </c>
      <c r="C78" s="143"/>
      <c r="D78" s="161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8" s="30" t="e">
        <f>VLOOKUP(B78,'Train Runs'!$A$13:$A$99934,1,FALSE)</f>
        <v>#N/A</v>
      </c>
    </row>
    <row r="79" spans="1:10" x14ac:dyDescent="0.25">
      <c r="A79" s="181"/>
      <c r="B79" s="43" t="str">
        <f>A79&amp;"-"&amp;IF(DAY(Variables!$A$2)&lt;10,0,"")&amp;DAY(Variables!$A$2)</f>
        <v>-09</v>
      </c>
      <c r="C79" s="143"/>
      <c r="D79" s="161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9" s="30" t="e">
        <f>VLOOKUP(B79,'Train Runs'!$A$13:$A$99934,1,FALSE)</f>
        <v>#N/A</v>
      </c>
    </row>
    <row r="80" spans="1:10" x14ac:dyDescent="0.25">
      <c r="A80" s="181"/>
      <c r="B80" s="43" t="str">
        <f>A80&amp;"-"&amp;IF(DAY(Variables!$A$2)&lt;10,0,"")&amp;DAY(Variables!$A$2)</f>
        <v>-09</v>
      </c>
      <c r="C80" s="143"/>
      <c r="D80" s="161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0" s="30" t="e">
        <f>VLOOKUP(B80,'Train Runs'!$A$13:$A$99934,1,FALSE)</f>
        <v>#N/A</v>
      </c>
    </row>
    <row r="81" spans="1:10" x14ac:dyDescent="0.25">
      <c r="A81" s="181"/>
      <c r="B81" s="43" t="str">
        <f>A81&amp;"-"&amp;IF(DAY(Variables!$A$2)&lt;10,0,"")&amp;DAY(Variables!$A$2)</f>
        <v>-09</v>
      </c>
      <c r="C81" s="143"/>
      <c r="D81" s="161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1" s="30" t="e">
        <f>VLOOKUP(B81,'Train Runs'!$A$13:$A$99934,1,FALSE)</f>
        <v>#N/A</v>
      </c>
    </row>
    <row r="82" spans="1:10" x14ac:dyDescent="0.25">
      <c r="A82" s="181"/>
      <c r="B82" s="43" t="str">
        <f>A82&amp;"-"&amp;IF(DAY(Variables!$A$2)&lt;10,0,"")&amp;DAY(Variables!$A$2)</f>
        <v>-09</v>
      </c>
      <c r="C82" s="143"/>
      <c r="D82" s="161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2" s="30" t="e">
        <f>VLOOKUP(B82,'Train Runs'!$A$13:$A$99934,1,FALSE)</f>
        <v>#N/A</v>
      </c>
    </row>
    <row r="83" spans="1:10" x14ac:dyDescent="0.25">
      <c r="A83" s="181"/>
      <c r="B83" s="43" t="str">
        <f>A83&amp;"-"&amp;IF(DAY(Variables!$A$2)&lt;10,0,"")&amp;DAY(Variables!$A$2)</f>
        <v>-09</v>
      </c>
      <c r="C83" s="143"/>
      <c r="D83" s="161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3" s="30" t="e">
        <f>VLOOKUP(B83,'Train Runs'!$A$13:$A$99934,1,FALSE)</f>
        <v>#N/A</v>
      </c>
    </row>
    <row r="84" spans="1:10" x14ac:dyDescent="0.25">
      <c r="A84" s="181"/>
      <c r="B84" s="43" t="str">
        <f>A84&amp;"-"&amp;IF(DAY(Variables!$A$2)&lt;10,0,"")&amp;DAY(Variables!$A$2)</f>
        <v>-09</v>
      </c>
      <c r="C84" s="143"/>
      <c r="D84" s="161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4" s="30" t="e">
        <f>VLOOKUP(B84,'Train Runs'!$A$13:$A$99934,1,FALSE)</f>
        <v>#N/A</v>
      </c>
    </row>
    <row r="85" spans="1:10" x14ac:dyDescent="0.25">
      <c r="A85" s="181"/>
      <c r="B85" s="43" t="str">
        <f>A85&amp;"-"&amp;IF(DAY(Variables!$A$2)&lt;10,0,"")&amp;DAY(Variables!$A$2)</f>
        <v>-09</v>
      </c>
      <c r="C85" s="143"/>
      <c r="D85" s="161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5" s="30" t="e">
        <f>VLOOKUP(B85,'Train Runs'!$A$13:$A$99934,1,FALSE)</f>
        <v>#N/A</v>
      </c>
    </row>
  </sheetData>
  <autoFilter ref="A2:J85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198" bestFit="1" customWidth="1"/>
    <col min="2" max="2" width="26.5703125" style="204" customWidth="1"/>
    <col min="3" max="3" width="8.85546875" style="194" customWidth="1"/>
    <col min="4" max="4" width="10.5703125" style="208" customWidth="1"/>
    <col min="5" max="5" width="39.5703125" bestFit="1" customWidth="1"/>
    <col min="6" max="6" width="16.5703125" style="208" customWidth="1"/>
    <col min="7" max="7" width="7" style="212" customWidth="1"/>
    <col min="8" max="8" width="6.5703125" style="214" customWidth="1"/>
    <col min="9" max="9" width="6.5703125" style="210" customWidth="1"/>
    <col min="10" max="10" width="9.42578125" style="206" bestFit="1" customWidth="1"/>
    <col min="11" max="11" width="9.42578125" style="206" customWidth="1"/>
    <col min="12" max="12" width="10.140625" style="202" customWidth="1"/>
    <col min="13" max="13" width="6.42578125" style="202" customWidth="1"/>
    <col min="14" max="15" width="6" style="202" customWidth="1"/>
    <col min="16" max="16" width="6.28515625" style="202" customWidth="1"/>
    <col min="17" max="17" width="7.28515625" style="201" customWidth="1"/>
  </cols>
  <sheetData>
    <row r="1" spans="1:17" s="191" customFormat="1" ht="35.25" customHeight="1" x14ac:dyDescent="0.25">
      <c r="A1" s="196" t="s">
        <v>349</v>
      </c>
      <c r="B1" s="203" t="s">
        <v>350</v>
      </c>
      <c r="C1" s="195" t="s">
        <v>358</v>
      </c>
      <c r="D1" s="207" t="s">
        <v>58</v>
      </c>
      <c r="E1" s="192" t="s">
        <v>24</v>
      </c>
      <c r="F1" s="207" t="s">
        <v>364</v>
      </c>
      <c r="G1" s="211" t="s">
        <v>94</v>
      </c>
      <c r="H1" s="213" t="s">
        <v>368</v>
      </c>
      <c r="I1" s="209" t="s">
        <v>367</v>
      </c>
      <c r="J1" s="205" t="s">
        <v>84</v>
      </c>
      <c r="K1" s="205" t="s">
        <v>363</v>
      </c>
      <c r="L1" s="200" t="s">
        <v>360</v>
      </c>
      <c r="M1" s="200" t="s">
        <v>351</v>
      </c>
      <c r="N1" s="200" t="s">
        <v>353</v>
      </c>
      <c r="O1" s="200" t="s">
        <v>354</v>
      </c>
      <c r="P1" s="200" t="s">
        <v>355</v>
      </c>
      <c r="Q1" s="199" t="s">
        <v>352</v>
      </c>
    </row>
    <row r="2" spans="1:17" x14ac:dyDescent="0.25">
      <c r="A2" s="197">
        <v>42800.21875</v>
      </c>
      <c r="B2" s="204" t="s">
        <v>357</v>
      </c>
      <c r="C2" s="194" t="s">
        <v>359</v>
      </c>
      <c r="D2" s="208">
        <v>104</v>
      </c>
      <c r="E2" s="30" t="s">
        <v>362</v>
      </c>
      <c r="G2" s="212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/stypes="*4029*201703061*" /stext=" 11:.+((SYSTEM_STATE.+slice.+state.+changed )|(ment ac)|(multiple cpu faults)|(system.+state.+changed )|(\[timeout)|(PRM\|1\|D)|(kpr)|(kdp)|(\|loc)|(penalty)|(\|PRM\|1\|D)|(crossing.((167)|(168)|(199)|(200))))"</v>
      </c>
      <c r="H2" s="214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"%USERPROFILE%\AppData\Local\Temp\OnboardLogs"\RTDC4029\*4029*201703061*</v>
      </c>
      <c r="I2" s="210" t="str">
        <f>IF(VLOOKUP(K2,'Train Runs'!$A$13:$V$990,1,TRUE)=K2,VLOOKUP(K2,'Train Runs'!$A$13:$V$990,22,TRUE),NA())</f>
        <v>https://d0f6bd738d7f1b3e5a7ca70fe4ff75f0.us-east-1.aws.found.io/app/kibana#/discover/Steve-Slow-Train-Analysis-(2080s-and-2083s)?_g=(refreshInterval:(display:Off,pause:!f,section:0,value:0),time:(from:'2017-04-09T03:30:22-0600',mode:absolute,to:'2017-04-09T06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2" s="206">
        <f t="shared" ref="J2:J35" si="2">A2-utc_offset/24</f>
        <v>42800.46875</v>
      </c>
      <c r="K2" s="206" t="str">
        <f>D2&amp;"-"&amp;IF(DAY(Variables!$A$2)&lt;10,0,"")&amp;DAY(Variables!$A$2)</f>
        <v>104-09</v>
      </c>
      <c r="L2" s="202">
        <f>IF(VLOOKUP(K2,'Train Runs'!$A$12:$B$990,1,TRUE)=K2,VLOOKUP(K2,'Train Runs'!$A$12:$B$990,2,TRUE),NA())</f>
        <v>4029</v>
      </c>
      <c r="M2" s="202">
        <f>VLOOKUP(B2,Variables!$T$2:$X$99,2,FALSE)</f>
        <v>167</v>
      </c>
      <c r="N2" s="202">
        <f>VLOOKUP(B2,Variables!$T$2:$X$99,3,FALSE)</f>
        <v>168</v>
      </c>
      <c r="O2" s="202">
        <f>VLOOKUP(B2,Variables!$T$2:$X$99,4,FALSE)</f>
        <v>199</v>
      </c>
      <c r="P2" s="202">
        <f>VLOOKUP(B2,Variables!$T$2:$X$99,5,FALSE)</f>
        <v>200</v>
      </c>
      <c r="Q2" s="201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197">
        <v>42800.343055555553</v>
      </c>
      <c r="B3" s="204" t="s">
        <v>357</v>
      </c>
      <c r="C3" s="194" t="s">
        <v>359</v>
      </c>
      <c r="D3" s="208">
        <v>126</v>
      </c>
      <c r="E3" s="30" t="s">
        <v>361</v>
      </c>
      <c r="F3" s="208" t="b">
        <v>1</v>
      </c>
      <c r="G3" s="212" t="str">
        <f t="shared" si="0"/>
        <v>"C:\Program Files (x86)\AstroGrep\AstroGrep.exe" /e /r /s /spath="%USERPROFILE%\AppData\Local\Temp\OnboardLogs" /stypes="*4023*201703061*" /stext=" 14:.+((SYSTEM_STATE.+slice.+state.+changed )|(ment ac)|(multiple cpu faults)|(system.+state.+changed )|(\[timeout)|(PRM\|1\|D)|(kpr)|(kdp)|(\|lc)|(penalty)|(\|PRM\|1\|D)|(crossing.((167)|(168)|(199)|(200))))"</v>
      </c>
      <c r="H3" s="214" t="str">
        <f t="shared" si="1"/>
        <v>grep -hSE " 14:.+((\|PRM\|1\|D)|(crossing.((167)|(168)|(199)|(200))))" "%USERPROFILE%\AppData\Local\Temp\OnboardLogs"\RTDC4023\*4023*201703061*</v>
      </c>
      <c r="I3" s="210" t="str">
        <f>IF(VLOOKUP(K3,'Train Runs'!$A$13:$V$990,1,TRUE)=K3,VLOOKUP(K3,'Train Runs'!$A$13:$V$990,22,TRUE),NA())</f>
        <v>https://d0f6bd738d7f1b3e5a7ca70fe4ff75f0.us-east-1.aws.found.io/app/kibana#/discover/Steve-Slow-Train-Analysis-(2080s-and-2083s)?_g=(refreshInterval:(display:Off,pause:!f,section:0,value:0),time:(from:'2017-04-09T06:36:49-0600',mode:absolute,to:'2017-04-09T09:18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J3" s="206">
        <f t="shared" si="2"/>
        <v>42800.593055555553</v>
      </c>
      <c r="K3" s="206" t="str">
        <f>D3&amp;"-"&amp;IF(DAY(Variables!$A$2)&lt;10,0,"")&amp;DAY(Variables!$A$2)</f>
        <v>126-09</v>
      </c>
      <c r="L3" s="202">
        <f>IF(VLOOKUP(K3,'Train Runs'!$A$12:$B$990,1,TRUE)=K3,VLOOKUP(K3,'Train Runs'!$A$12:$B$990,2,TRUE),NA())</f>
        <v>4023</v>
      </c>
      <c r="M3" s="202">
        <f>VLOOKUP(B3,Variables!$T$2:$X$99,2,FALSE)</f>
        <v>167</v>
      </c>
      <c r="N3" s="202">
        <f>VLOOKUP(B3,Variables!$T$2:$X$99,3,FALSE)</f>
        <v>168</v>
      </c>
      <c r="O3" s="202">
        <f>VLOOKUP(B3,Variables!$T$2:$X$99,4,FALSE)</f>
        <v>199</v>
      </c>
      <c r="P3" s="202">
        <f>VLOOKUP(B3,Variables!$T$2:$X$99,5,FALSE)</f>
        <v>200</v>
      </c>
      <c r="Q3" s="201" t="str">
        <f t="shared" si="3"/>
        <v>(\|PRM\|1\|D)|(crossing.((167)|(168)|(199)|(200)))</v>
      </c>
    </row>
    <row r="4" spans="1:17" x14ac:dyDescent="0.25">
      <c r="A4" s="197">
        <v>42800.354861111111</v>
      </c>
      <c r="B4" s="204" t="s">
        <v>357</v>
      </c>
      <c r="C4" s="194" t="s">
        <v>359</v>
      </c>
      <c r="D4" s="208">
        <v>128</v>
      </c>
      <c r="E4" s="30" t="s">
        <v>361</v>
      </c>
      <c r="F4" s="208" t="b">
        <v>1</v>
      </c>
      <c r="G4" s="212" t="str">
        <f t="shared" si="0"/>
        <v>"C:\Program Files (x86)\AstroGrep\AstroGrep.exe" /e /r /s /spath="%USERPROFILE%\AppData\Local\Temp\OnboardLogs" /stypes="*4031*201703061*" /stext=" 14:.+((SYSTEM_STATE.+slice.+state.+changed )|(ment ac)|(multiple cpu faults)|(system.+state.+changed )|(\[timeout)|(PRM\|1\|D)|(kpr)|(kdp)|(\|lc)|(penalty)|(\|PRM\|1\|D)|(crossing.((167)|(168)|(199)|(200))))"</v>
      </c>
      <c r="H4" s="214" t="str">
        <f t="shared" si="1"/>
        <v>grep -hSE " 14:.+((\|PRM\|1\|D)|(crossing.((167)|(168)|(199)|(200))))" "%USERPROFILE%\AppData\Local\Temp\OnboardLogs"\RTDC4031\*4031*201703061*</v>
      </c>
      <c r="I4" s="210" t="str">
        <f>IF(VLOOKUP(K4,'Train Runs'!$A$13:$V$990,1,TRUE)=K4,VLOOKUP(K4,'Train Runs'!$A$13:$V$990,22,TRUE),NA())</f>
        <v>https://d0f6bd738d7f1b3e5a7ca70fe4ff75f0.us-east-1.aws.found.io/app/kibana#/discover/Steve-Slow-Train-Analysis-(2080s-and-2083s)?_g=(refreshInterval:(display:Off,pause:!f,section:0,value:0),time:(from:'2017-04-09T06:38:05-0600',mode:absolute,to:'2017-04-09T09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4" s="206">
        <f t="shared" si="2"/>
        <v>42800.604861111111</v>
      </c>
      <c r="K4" s="206" t="str">
        <f>D4&amp;"-"&amp;IF(DAY(Variables!$A$2)&lt;10,0,"")&amp;DAY(Variables!$A$2)</f>
        <v>128-09</v>
      </c>
      <c r="L4" s="202">
        <f>IF(VLOOKUP(K4,'Train Runs'!$A$12:$B$990,1,TRUE)=K4,VLOOKUP(K4,'Train Runs'!$A$12:$B$990,2,TRUE),NA())</f>
        <v>4031</v>
      </c>
      <c r="M4" s="202">
        <f>VLOOKUP(B4,Variables!$T$2:$X$99,2,FALSE)</f>
        <v>167</v>
      </c>
      <c r="N4" s="202">
        <f>VLOOKUP(B4,Variables!$T$2:$X$99,3,FALSE)</f>
        <v>168</v>
      </c>
      <c r="O4" s="202">
        <f>VLOOKUP(B4,Variables!$T$2:$X$99,4,FALSE)</f>
        <v>199</v>
      </c>
      <c r="P4" s="202">
        <f>VLOOKUP(B4,Variables!$T$2:$X$99,5,FALSE)</f>
        <v>200</v>
      </c>
      <c r="Q4" s="201" t="str">
        <f t="shared" si="3"/>
        <v>(\|PRM\|1\|D)|(crossing.((167)|(168)|(199)|(200)))</v>
      </c>
    </row>
    <row r="5" spans="1:17" x14ac:dyDescent="0.25">
      <c r="A5" s="197">
        <v>42800.364583333336</v>
      </c>
      <c r="B5" s="204" t="s">
        <v>357</v>
      </c>
      <c r="C5" s="194" t="s">
        <v>359</v>
      </c>
      <c r="D5" s="208">
        <f>D4+2</f>
        <v>130</v>
      </c>
      <c r="E5" s="30" t="s">
        <v>361</v>
      </c>
      <c r="F5" s="208" t="b">
        <v>1</v>
      </c>
      <c r="G5" s="212" t="str">
        <f t="shared" si="0"/>
        <v>"C:\Program Files (x86)\AstroGrep\AstroGrep.exe" /e /r /s /spath="%USERPROFILE%\AppData\Local\Temp\OnboardLogs" /stypes="*4011*201703061*" /stext=" 14:.+((SYSTEM_STATE.+slice.+state.+changed )|(ment ac)|(multiple cpu faults)|(system.+state.+changed )|(\[timeout)|(PRM\|1\|D)|(kpr)|(kdp)|(\|lc)|(penalty)|(\|PRM\|1\|D)|(crossing.((167)|(168)|(199)|(200))))"</v>
      </c>
      <c r="H5" s="214" t="str">
        <f t="shared" si="1"/>
        <v>grep -hSE " 14:.+((\|PRM\|1\|D)|(crossing.((167)|(168)|(199)|(200))))" "%USERPROFILE%\AppData\Local\Temp\OnboardLogs"\RTDC4011\*4011*201703061*</v>
      </c>
      <c r="I5" s="210" t="str">
        <f>IF(VLOOKUP(K5,'Train Runs'!$A$13:$V$990,1,TRUE)=K5,VLOOKUP(K5,'Train Runs'!$A$13:$V$990,22,TRUE),NA())</f>
        <v>https://d0f6bd738d7f1b3e5a7ca70fe4ff75f0.us-east-1.aws.found.io/app/kibana#/discover/Steve-Slow-Train-Analysis-(2080s-and-2083s)?_g=(refreshInterval:(display:Off,pause:!f,section:0,value:0),time:(from:'2017-04-09T06:54:47-0600',mode:absolute,to:'2017-04-09T09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J5" s="206">
        <f t="shared" si="2"/>
        <v>42800.614583333336</v>
      </c>
      <c r="K5" s="206" t="str">
        <f>D5&amp;"-"&amp;IF(DAY(Variables!$A$2)&lt;10,0,"")&amp;DAY(Variables!$A$2)</f>
        <v>130-09</v>
      </c>
      <c r="L5" s="202">
        <f>IF(VLOOKUP(K5,'Train Runs'!$A$12:$B$990,1,TRUE)=K5,VLOOKUP(K5,'Train Runs'!$A$12:$B$990,2,TRUE),NA())</f>
        <v>4011</v>
      </c>
      <c r="M5" s="202">
        <f>VLOOKUP(B5,Variables!$T$2:$X$99,2,FALSE)</f>
        <v>167</v>
      </c>
      <c r="N5" s="202">
        <f>VLOOKUP(B5,Variables!$T$2:$X$99,3,FALSE)</f>
        <v>168</v>
      </c>
      <c r="O5" s="202">
        <f>VLOOKUP(B5,Variables!$T$2:$X$99,4,FALSE)</f>
        <v>199</v>
      </c>
      <c r="P5" s="202">
        <f>VLOOKUP(B5,Variables!$T$2:$X$99,5,FALSE)</f>
        <v>200</v>
      </c>
      <c r="Q5" s="201" t="str">
        <f t="shared" si="3"/>
        <v>(\|PRM\|1\|D)|(crossing.((167)|(168)|(199)|(200)))</v>
      </c>
    </row>
    <row r="6" spans="1:17" x14ac:dyDescent="0.25">
      <c r="A6" s="197">
        <v>42800.375</v>
      </c>
      <c r="B6" s="204" t="s">
        <v>357</v>
      </c>
      <c r="C6" s="194" t="s">
        <v>359</v>
      </c>
      <c r="D6" s="208">
        <f>D5+2</f>
        <v>132</v>
      </c>
      <c r="E6" s="30" t="s">
        <v>361</v>
      </c>
      <c r="F6" s="208" t="b">
        <v>1</v>
      </c>
      <c r="G6" s="212" t="str">
        <f t="shared" si="0"/>
        <v>"C:\Program Files (x86)\AstroGrep\AstroGrep.exe" /e /r /s /spath="%USERPROFILE%\AppData\Local\Temp\OnboardLogs" /stypes="*4029*201703061*" /stext=" 15:.+((SYSTEM_STATE.+slice.+state.+changed )|(ment ac)|(multiple cpu faults)|(system.+state.+changed )|(\[timeout)|(PRM\|1\|D)|(kpr)|(kdp)|(\|lc)|(penalty)|(\|PRM\|1\|D)|(crossing.((167)|(168)|(199)|(200))))"</v>
      </c>
      <c r="H6" s="214" t="str">
        <f t="shared" si="1"/>
        <v>grep -hSE " 15:.+((\|PRM\|1\|D)|(crossing.((167)|(168)|(199)|(200))))" "%USERPROFILE%\AppData\Local\Temp\OnboardLogs"\RTDC4029\*4029*201703061*</v>
      </c>
      <c r="I6" s="210" t="str">
        <f>IF(VLOOKUP(K6,'Train Runs'!$A$13:$V$990,1,TRUE)=K6,VLOOKUP(K6,'Train Runs'!$A$13:$V$990,22,TRUE),NA())</f>
        <v>https://d0f6bd738d7f1b3e5a7ca70fe4ff75f0.us-east-1.aws.found.io/app/kibana#/discover/Steve-Slow-Train-Analysis-(2080s-and-2083s)?_g=(refreshInterval:(display:Off,pause:!f,section:0,value:0),time:(from:'2017-04-09T07:23:25-0600',mode:absolute,to:'2017-04-09T10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6" s="206">
        <f t="shared" si="2"/>
        <v>42800.625</v>
      </c>
      <c r="K6" s="206" t="str">
        <f>D6&amp;"-"&amp;IF(DAY(Variables!$A$2)&lt;10,0,"")&amp;DAY(Variables!$A$2)</f>
        <v>132-09</v>
      </c>
      <c r="L6" s="202">
        <f>IF(VLOOKUP(K6,'Train Runs'!$A$12:$B$990,1,TRUE)=K6,VLOOKUP(K6,'Train Runs'!$A$12:$B$990,2,TRUE),NA())</f>
        <v>4029</v>
      </c>
      <c r="M6" s="202">
        <f>VLOOKUP(B6,Variables!$T$2:$X$99,2,FALSE)</f>
        <v>167</v>
      </c>
      <c r="N6" s="202">
        <f>VLOOKUP(B6,Variables!$T$2:$X$99,3,FALSE)</f>
        <v>168</v>
      </c>
      <c r="O6" s="202">
        <f>VLOOKUP(B6,Variables!$T$2:$X$99,4,FALSE)</f>
        <v>199</v>
      </c>
      <c r="P6" s="202">
        <f>VLOOKUP(B6,Variables!$T$2:$X$99,5,FALSE)</f>
        <v>200</v>
      </c>
      <c r="Q6" s="201" t="str">
        <f t="shared" si="3"/>
        <v>(\|PRM\|1\|D)|(crossing.((167)|(168)|(199)|(200)))</v>
      </c>
    </row>
    <row r="7" spans="1:17" x14ac:dyDescent="0.25">
      <c r="A7" s="197">
        <v>42800.383333333331</v>
      </c>
      <c r="B7" s="204" t="s">
        <v>357</v>
      </c>
      <c r="C7" s="194" t="s">
        <v>359</v>
      </c>
      <c r="D7" s="208">
        <f t="shared" ref="D7:D11" si="4">D6+2</f>
        <v>134</v>
      </c>
      <c r="E7" s="30" t="s">
        <v>361</v>
      </c>
      <c r="F7" s="208" t="b">
        <v>1</v>
      </c>
      <c r="G7" s="212" t="str">
        <f t="shared" si="0"/>
        <v>"C:\Program Files (x86)\AstroGrep\AstroGrep.exe" /e /r /s /spath="%USERPROFILE%\AppData\Local\Temp\OnboardLogs" /stypes="*4003*201703061*" /stext=" 15:.+((SYSTEM_STATE.+slice.+state.+changed )|(ment ac)|(multiple cpu faults)|(system.+state.+changed )|(\[timeout)|(PRM\|1\|D)|(kpr)|(kdp)|(\|lc)|(penalty)|(\|PRM\|1\|D)|(crossing.((167)|(168)|(199)|(200))))"</v>
      </c>
      <c r="H7" s="214" t="str">
        <f t="shared" si="1"/>
        <v>grep -hSE " 15:.+((\|PRM\|1\|D)|(crossing.((167)|(168)|(199)|(200))))" "%USERPROFILE%\AppData\Local\Temp\OnboardLogs"\RTDC4003\*4003*201703061*</v>
      </c>
      <c r="I7" s="210" t="str">
        <f>IF(VLOOKUP(K7,'Train Runs'!$A$13:$V$990,1,TRUE)=K7,VLOOKUP(K7,'Train Runs'!$A$13:$V$990,22,TRUE),NA())</f>
        <v>https://d0f6bd738d7f1b3e5a7ca70fe4ff75f0.us-east-1.aws.found.io/app/kibana#/discover/Steve-Slow-Train-Analysis-(2080s-and-2083s)?_g=(refreshInterval:(display:Off,pause:!f,section:0,value:0),time:(from:'2017-04-09T07:33:55-0600',mode:absolute,to:'2017-04-09T10:20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7" s="206">
        <f t="shared" si="2"/>
        <v>42800.633333333331</v>
      </c>
      <c r="K7" s="206" t="str">
        <f>D7&amp;"-"&amp;IF(DAY(Variables!$A$2)&lt;10,0,"")&amp;DAY(Variables!$A$2)</f>
        <v>134-09</v>
      </c>
      <c r="L7" s="202">
        <f>IF(VLOOKUP(K7,'Train Runs'!$A$12:$B$990,1,TRUE)=K7,VLOOKUP(K7,'Train Runs'!$A$12:$B$990,2,TRUE),NA())</f>
        <v>4003</v>
      </c>
      <c r="M7" s="202">
        <f>VLOOKUP(B7,Variables!$T$2:$X$99,2,FALSE)</f>
        <v>167</v>
      </c>
      <c r="N7" s="202">
        <f>VLOOKUP(B7,Variables!$T$2:$X$99,3,FALSE)</f>
        <v>168</v>
      </c>
      <c r="O7" s="202">
        <f>VLOOKUP(B7,Variables!$T$2:$X$99,4,FALSE)</f>
        <v>199</v>
      </c>
      <c r="P7" s="202">
        <f>VLOOKUP(B7,Variables!$T$2:$X$99,5,FALSE)</f>
        <v>200</v>
      </c>
      <c r="Q7" s="201" t="str">
        <f t="shared" si="3"/>
        <v>(\|PRM\|1\|D)|(crossing.((167)|(168)|(199)|(200)))</v>
      </c>
    </row>
    <row r="8" spans="1:17" x14ac:dyDescent="0.25">
      <c r="A8" s="197">
        <v>42800.393750000003</v>
      </c>
      <c r="B8" s="204" t="s">
        <v>357</v>
      </c>
      <c r="C8" s="194" t="s">
        <v>359</v>
      </c>
      <c r="D8" s="208">
        <f t="shared" si="4"/>
        <v>136</v>
      </c>
      <c r="E8" s="30" t="s">
        <v>361</v>
      </c>
      <c r="F8" s="208" t="b">
        <v>1</v>
      </c>
      <c r="G8" s="212" t="str">
        <f t="shared" si="0"/>
        <v>"C:\Program Files (x86)\AstroGrep\AstroGrep.exe" /e /r /s /spath="%USERPROFILE%\AppData\Local\Temp\OnboardLogs" /stypes="*4019*201703061*" /stext=" 15:.+((SYSTEM_STATE.+slice.+state.+changed )|(ment ac)|(multiple cpu faults)|(system.+state.+changed )|(\[timeout)|(PRM\|1\|D)|(kpr)|(kdp)|(\|lc)|(penalty)|(\|PRM\|1\|D)|(crossing.((167)|(168)|(199)|(200))))"</v>
      </c>
      <c r="H8" s="214" t="str">
        <f t="shared" si="1"/>
        <v>grep -hSE " 15:.+((\|PRM\|1\|D)|(crossing.((167)|(168)|(199)|(200))))" "%USERPROFILE%\AppData\Local\Temp\OnboardLogs"\RTDC4019\*4019*201703061*</v>
      </c>
      <c r="I8" s="210" t="str">
        <f>IF(VLOOKUP(K8,'Train Runs'!$A$13:$V$990,1,TRUE)=K8,VLOOKUP(K8,'Train Runs'!$A$13:$V$990,22,TRUE),NA())</f>
        <v>https://d0f6bd738d7f1b3e5a7ca70fe4ff75f0.us-east-1.aws.found.io/app/kibana#/discover/Steve-Slow-Train-Analysis-(2080s-and-2083s)?_g=(refreshInterval:(display:Off,pause:!f,section:0,value:0),time:(from:'2017-04-09T07:51:46-0600',mode:absolute,to:'2017-04-09T10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8" s="206">
        <f t="shared" si="2"/>
        <v>42800.643750000003</v>
      </c>
      <c r="K8" s="206" t="str">
        <f>D8&amp;"-"&amp;IF(DAY(Variables!$A$2)&lt;10,0,"")&amp;DAY(Variables!$A$2)</f>
        <v>136-09</v>
      </c>
      <c r="L8" s="202">
        <f>IF(VLOOKUP(K8,'Train Runs'!$A$12:$B$990,1,TRUE)=K8,VLOOKUP(K8,'Train Runs'!$A$12:$B$990,2,TRUE),NA())</f>
        <v>4019</v>
      </c>
      <c r="M8" s="202">
        <f>VLOOKUP(B8,Variables!$T$2:$X$99,2,FALSE)</f>
        <v>167</v>
      </c>
      <c r="N8" s="202">
        <f>VLOOKUP(B8,Variables!$T$2:$X$99,3,FALSE)</f>
        <v>168</v>
      </c>
      <c r="O8" s="202">
        <f>VLOOKUP(B8,Variables!$T$2:$X$99,4,FALSE)</f>
        <v>199</v>
      </c>
      <c r="P8" s="202">
        <f>VLOOKUP(B8,Variables!$T$2:$X$99,5,FALSE)</f>
        <v>200</v>
      </c>
      <c r="Q8" s="201" t="str">
        <f t="shared" si="3"/>
        <v>(\|PRM\|1\|D)|(crossing.((167)|(168)|(199)|(200)))</v>
      </c>
    </row>
    <row r="9" spans="1:17" x14ac:dyDescent="0.25">
      <c r="A9" s="197">
        <v>42800.404861111114</v>
      </c>
      <c r="B9" s="204" t="s">
        <v>357</v>
      </c>
      <c r="C9" s="194" t="s">
        <v>359</v>
      </c>
      <c r="D9" s="208">
        <f t="shared" si="4"/>
        <v>138</v>
      </c>
      <c r="E9" s="30" t="s">
        <v>361</v>
      </c>
      <c r="F9" s="208" t="b">
        <v>1</v>
      </c>
      <c r="G9" s="212" t="str">
        <f t="shared" si="0"/>
        <v>"C:\Program Files (x86)\AstroGrep\AstroGrep.exe" /e /r /s /spath="%USERPROFILE%\AppData\Local\Temp\OnboardLogs" /stypes="*4043*201703061*" /stext=" 15:.+((SYSTEM_STATE.+slice.+state.+changed )|(ment ac)|(multiple cpu faults)|(system.+state.+changed )|(\[timeout)|(PRM\|1\|D)|(kpr)|(kdp)|(\|lc)|(penalty)|(\|PRM\|1\|D)|(crossing.((167)|(168)|(199)|(200))))"</v>
      </c>
      <c r="H9" s="214" t="str">
        <f t="shared" si="1"/>
        <v>grep -hSE " 15:.+((\|PRM\|1\|D)|(crossing.((167)|(168)|(199)|(200))))" "%USERPROFILE%\AppData\Local\Temp\OnboardLogs"\RTDC4043\*4043*201703061*</v>
      </c>
      <c r="I9" s="210" t="str">
        <f>IF(VLOOKUP(K9,'Train Runs'!$A$13:$V$990,1,TRUE)=K9,VLOOKUP(K9,'Train Runs'!$A$13:$V$990,22,TRUE),NA())</f>
        <v>https://d0f6bd738d7f1b3e5a7ca70fe4ff75f0.us-east-1.aws.found.io/app/kibana#/discover/Steve-Slow-Train-Analysis-(2080s-and-2083s)?_g=(refreshInterval:(display:Off,pause:!f,section:0,value:0),time:(from:'2017-04-09T08:03:10-0600',mode:absolute,to:'2017-04-09T10:49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9" s="206">
        <f t="shared" si="2"/>
        <v>42800.654861111114</v>
      </c>
      <c r="K9" s="206" t="str">
        <f>D9&amp;"-"&amp;IF(DAY(Variables!$A$2)&lt;10,0,"")&amp;DAY(Variables!$A$2)</f>
        <v>138-09</v>
      </c>
      <c r="L9" s="202">
        <f>IF(VLOOKUP(K9,'Train Runs'!$A$12:$B$990,1,TRUE)=K9,VLOOKUP(K9,'Train Runs'!$A$12:$B$990,2,TRUE),NA())</f>
        <v>4043</v>
      </c>
      <c r="M9" s="202">
        <f>VLOOKUP(B9,Variables!$T$2:$X$99,2,FALSE)</f>
        <v>167</v>
      </c>
      <c r="N9" s="202">
        <f>VLOOKUP(B9,Variables!$T$2:$X$99,3,FALSE)</f>
        <v>168</v>
      </c>
      <c r="O9" s="202">
        <f>VLOOKUP(B9,Variables!$T$2:$X$99,4,FALSE)</f>
        <v>199</v>
      </c>
      <c r="P9" s="202">
        <f>VLOOKUP(B9,Variables!$T$2:$X$99,5,FALSE)</f>
        <v>200</v>
      </c>
      <c r="Q9" s="201" t="str">
        <f t="shared" si="3"/>
        <v>(\|PRM\|1\|D)|(crossing.((167)|(168)|(199)|(200)))</v>
      </c>
    </row>
    <row r="10" spans="1:17" x14ac:dyDescent="0.25">
      <c r="A10" s="197">
        <v>42800.415972222225</v>
      </c>
      <c r="B10" s="204" t="s">
        <v>357</v>
      </c>
      <c r="C10" s="194" t="s">
        <v>359</v>
      </c>
      <c r="D10" s="208">
        <f t="shared" si="4"/>
        <v>140</v>
      </c>
      <c r="E10" s="30" t="s">
        <v>361</v>
      </c>
      <c r="F10" s="208" t="b">
        <v>1</v>
      </c>
      <c r="G10" s="212" t="str">
        <f t="shared" si="0"/>
        <v>"C:\Program Files (x86)\AstroGrep\AstroGrep.exe" /e /r /s /spath="%USERPROFILE%\AppData\Local\Temp\OnboardLogs" /stypes="*4023*201703061*" /stext=" 15:.+((SYSTEM_STATE.+slice.+state.+changed )|(ment ac)|(multiple cpu faults)|(system.+state.+changed )|(\[timeout)|(PRM\|1\|D)|(kpr)|(kdp)|(\|lc)|(penalty)|(\|PRM\|1\|D)|(crossing.((167)|(168)|(199)|(200))))"</v>
      </c>
      <c r="H10" s="214" t="str">
        <f t="shared" si="1"/>
        <v>grep -hSE " 15:.+((\|PRM\|1\|D)|(crossing.((167)|(168)|(199)|(200))))" "%USERPROFILE%\AppData\Local\Temp\OnboardLogs"\RTDC4023\*4023*201703061*</v>
      </c>
      <c r="I10" s="210" t="str">
        <f>IF(VLOOKUP(K10,'Train Runs'!$A$13:$V$990,1,TRUE)=K10,VLOOKUP(K10,'Train Runs'!$A$13:$V$990,22,TRUE),NA())</f>
        <v>https://d0f6bd738d7f1b3e5a7ca70fe4ff75f0.us-east-1.aws.found.io/app/kibana#/discover/Steve-Slow-Train-Analysis-(2080s-and-2083s)?_g=(refreshInterval:(display:Off,pause:!f,section:0,value:0),time:(from:'2017-04-09T08:17:32-0600',mode:absolute,to:'2017-04-09T11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J10" s="206">
        <f t="shared" si="2"/>
        <v>42800.665972222225</v>
      </c>
      <c r="K10" s="206" t="str">
        <f>D10&amp;"-"&amp;IF(DAY(Variables!$A$2)&lt;10,0,"")&amp;DAY(Variables!$A$2)</f>
        <v>140-09</v>
      </c>
      <c r="L10" s="202">
        <f>IF(VLOOKUP(K10,'Train Runs'!$A$12:$B$990,1,TRUE)=K10,VLOOKUP(K10,'Train Runs'!$A$12:$B$990,2,TRUE),NA())</f>
        <v>4023</v>
      </c>
      <c r="M10" s="202">
        <f>VLOOKUP(B10,Variables!$T$2:$X$99,2,FALSE)</f>
        <v>167</v>
      </c>
      <c r="N10" s="202">
        <f>VLOOKUP(B10,Variables!$T$2:$X$99,3,FALSE)</f>
        <v>168</v>
      </c>
      <c r="O10" s="202">
        <f>VLOOKUP(B10,Variables!$T$2:$X$99,4,FALSE)</f>
        <v>199</v>
      </c>
      <c r="P10" s="202">
        <f>VLOOKUP(B10,Variables!$T$2:$X$99,5,FALSE)</f>
        <v>200</v>
      </c>
      <c r="Q10" s="201" t="str">
        <f t="shared" si="3"/>
        <v>(\|PRM\|1\|D)|(crossing.((167)|(168)|(199)|(200)))</v>
      </c>
    </row>
    <row r="11" spans="1:17" x14ac:dyDescent="0.25">
      <c r="A11" s="197">
        <v>42800.425000000003</v>
      </c>
      <c r="B11" s="204" t="s">
        <v>357</v>
      </c>
      <c r="C11" s="194" t="s">
        <v>359</v>
      </c>
      <c r="D11" s="208">
        <f t="shared" si="4"/>
        <v>142</v>
      </c>
      <c r="E11" s="30" t="s">
        <v>361</v>
      </c>
      <c r="F11" s="208" t="b">
        <v>1</v>
      </c>
      <c r="G11" s="212" t="str">
        <f t="shared" si="0"/>
        <v>"C:\Program Files (x86)\AstroGrep\AstroGrep.exe" /e /r /s /spath="%USERPROFILE%\AppData\Local\Temp\OnboardLogs" /stypes="*4031*201703061*" /stext=" 16:.+((SYSTEM_STATE.+slice.+state.+changed )|(ment ac)|(multiple cpu faults)|(system.+state.+changed )|(\[timeout)|(PRM\|1\|D)|(kpr)|(kdp)|(\|lc)|(penalty)|(\|PRM\|1\|D)|(crossing.((167)|(168)|(199)|(200))))"</v>
      </c>
      <c r="H11" s="214" t="str">
        <f t="shared" si="1"/>
        <v>grep -hSE " 16:.+((\|PRM\|1\|D)|(crossing.((167)|(168)|(199)|(200))))" "%USERPROFILE%\AppData\Local\Temp\OnboardLogs"\RTDC4031\*4031*201703061*</v>
      </c>
      <c r="I11" s="210" t="str">
        <f>IF(VLOOKUP(K11,'Train Runs'!$A$13:$V$990,1,TRUE)=K11,VLOOKUP(K11,'Train Runs'!$A$13:$V$990,22,TRUE),NA())</f>
        <v>https://d0f6bd738d7f1b3e5a7ca70fe4ff75f0.us-east-1.aws.found.io/app/kibana#/discover/Steve-Slow-Train-Analysis-(2080s-and-2083s)?_g=(refreshInterval:(display:Off,pause:!f,section:0,value:0),time:(from:'2017-04-09T08:25:59-0600',mode:absolute,to:'2017-04-09T11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11" s="206">
        <f t="shared" si="2"/>
        <v>42800.675000000003</v>
      </c>
      <c r="K11" s="206" t="str">
        <f>D11&amp;"-"&amp;IF(DAY(Variables!$A$2)&lt;10,0,"")&amp;DAY(Variables!$A$2)</f>
        <v>142-09</v>
      </c>
      <c r="L11" s="202">
        <f>IF(VLOOKUP(K11,'Train Runs'!$A$12:$B$990,1,TRUE)=K11,VLOOKUP(K11,'Train Runs'!$A$12:$B$990,2,TRUE),NA())</f>
        <v>4031</v>
      </c>
      <c r="M11" s="202">
        <f>VLOOKUP(B11,Variables!$T$2:$X$99,2,FALSE)</f>
        <v>167</v>
      </c>
      <c r="N11" s="202">
        <f>VLOOKUP(B11,Variables!$T$2:$X$99,3,FALSE)</f>
        <v>168</v>
      </c>
      <c r="O11" s="202">
        <f>VLOOKUP(B11,Variables!$T$2:$X$99,4,FALSE)</f>
        <v>199</v>
      </c>
      <c r="P11" s="202">
        <f>VLOOKUP(B11,Variables!$T$2:$X$99,5,FALSE)</f>
        <v>200</v>
      </c>
      <c r="Q11" s="201" t="str">
        <f t="shared" si="3"/>
        <v>(\|PRM\|1\|D)|(crossing.((167)|(168)|(199)|(200)))</v>
      </c>
    </row>
    <row r="12" spans="1:17" x14ac:dyDescent="0.25">
      <c r="A12" s="197">
        <v>42800.435416666667</v>
      </c>
      <c r="B12" s="204" t="s">
        <v>357</v>
      </c>
      <c r="C12" s="194" t="s">
        <v>359</v>
      </c>
      <c r="D12" s="208">
        <v>144</v>
      </c>
      <c r="E12" s="30" t="s">
        <v>361</v>
      </c>
      <c r="F12" s="208" t="b">
        <v>1</v>
      </c>
      <c r="G12" s="212" t="str">
        <f t="shared" si="0"/>
        <v>"C:\Program Files (x86)\AstroGrep\AstroGrep.exe" /e /r /s /spath="%USERPROFILE%\AppData\Local\Temp\OnboardLogs" /stypes="*4011*201703061*" /stext=" 16:.+((SYSTEM_STATE.+slice.+state.+changed )|(ment ac)|(multiple cpu faults)|(system.+state.+changed )|(\[timeout)|(PRM\|1\|D)|(kpr)|(kdp)|(\|lc)|(penalty)|(\|PRM\|1\|D)|(crossing.((167)|(168)|(199)|(200))))"</v>
      </c>
      <c r="H12" s="214" t="str">
        <f t="shared" si="1"/>
        <v>grep -hSE " 16:.+((\|PRM\|1\|D)|(crossing.((167)|(168)|(199)|(200))))" "%USERPROFILE%\AppData\Local\Temp\OnboardLogs"\RTDC4011\*4011*201703061*</v>
      </c>
      <c r="I12" s="210" t="str">
        <f>IF(VLOOKUP(K12,'Train Runs'!$A$13:$V$990,1,TRUE)=K12,VLOOKUP(K12,'Train Runs'!$A$13:$V$990,22,TRUE),NA())</f>
        <v>https://d0f6bd738d7f1b3e5a7ca70fe4ff75f0.us-east-1.aws.found.io/app/kibana#/discover/Steve-Slow-Train-Analysis-(2080s-and-2083s)?_g=(refreshInterval:(display:Off,pause:!f,section:0,value:0),time:(from:'2017-04-09T08:39:03-0600',mode:absolute,to:'2017-04-09T11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J12" s="206">
        <f t="shared" si="2"/>
        <v>42800.685416666667</v>
      </c>
      <c r="K12" s="206" t="str">
        <f>D12&amp;"-"&amp;IF(DAY(Variables!$A$2)&lt;10,0,"")&amp;DAY(Variables!$A$2)</f>
        <v>144-09</v>
      </c>
      <c r="L12" s="202">
        <f>IF(VLOOKUP(K12,'Train Runs'!$A$12:$B$990,1,TRUE)=K12,VLOOKUP(K12,'Train Runs'!$A$12:$B$990,2,TRUE),NA())</f>
        <v>4011</v>
      </c>
      <c r="M12" s="202">
        <f>VLOOKUP(B12,Variables!$T$2:$X$99,2,FALSE)</f>
        <v>167</v>
      </c>
      <c r="N12" s="202">
        <f>VLOOKUP(B12,Variables!$T$2:$X$99,3,FALSE)</f>
        <v>168</v>
      </c>
      <c r="O12" s="202">
        <f>VLOOKUP(B12,Variables!$T$2:$X$99,4,FALSE)</f>
        <v>199</v>
      </c>
      <c r="P12" s="202">
        <f>VLOOKUP(B12,Variables!$T$2:$X$99,5,FALSE)</f>
        <v>200</v>
      </c>
      <c r="Q12" s="201" t="str">
        <f t="shared" si="3"/>
        <v>(\|PRM\|1\|D)|(crossing.((167)|(168)|(199)|(200)))</v>
      </c>
    </row>
    <row r="13" spans="1:17" x14ac:dyDescent="0.25">
      <c r="A13" s="197">
        <v>42800.445833333331</v>
      </c>
      <c r="B13" s="204" t="s">
        <v>357</v>
      </c>
      <c r="C13" s="194" t="s">
        <v>359</v>
      </c>
      <c r="D13" s="208">
        <v>146</v>
      </c>
      <c r="E13" s="30" t="s">
        <v>361</v>
      </c>
      <c r="F13" s="208" t="b">
        <v>1</v>
      </c>
      <c r="G13" s="212" t="str">
        <f t="shared" si="0"/>
        <v>"C:\Program Files (x86)\AstroGrep\AstroGrep.exe" /e /r /s /spath="%USERPROFILE%\AppData\Local\Temp\OnboardLogs" /stypes="*4029*201703061*" /stext=" 16:.+((SYSTEM_STATE.+slice.+state.+changed )|(ment ac)|(multiple cpu faults)|(system.+state.+changed )|(\[timeout)|(PRM\|1\|D)|(kpr)|(kdp)|(\|lc)|(penalty)|(\|PRM\|1\|D)|(crossing.((167)|(168)|(199)|(200))))"</v>
      </c>
      <c r="H13" s="214" t="str">
        <f t="shared" si="1"/>
        <v>grep -hSE " 16:.+((\|PRM\|1\|D)|(crossing.((167)|(168)|(199)|(200))))" "%USERPROFILE%\AppData\Local\Temp\OnboardLogs"\RTDC4029\*4029*201703061*</v>
      </c>
      <c r="I13" s="210" t="str">
        <f>IF(VLOOKUP(K13,'Train Runs'!$A$13:$V$990,1,TRUE)=K13,VLOOKUP(K13,'Train Runs'!$A$13:$V$990,22,TRUE),NA())</f>
        <v>https://d0f6bd738d7f1b3e5a7ca70fe4ff75f0.us-east-1.aws.found.io/app/kibana#/discover/Steve-Slow-Train-Analysis-(2080s-and-2083s)?_g=(refreshInterval:(display:Off,pause:!f,section:0,value:0),time:(from:'2017-04-09T09:03:18-0600',mode:absolute,to:'2017-04-09T11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13" s="206">
        <f t="shared" si="2"/>
        <v>42800.695833333331</v>
      </c>
      <c r="K13" s="206" t="str">
        <f>D13&amp;"-"&amp;IF(DAY(Variables!$A$2)&lt;10,0,"")&amp;DAY(Variables!$A$2)</f>
        <v>146-09</v>
      </c>
      <c r="L13" s="202">
        <f>IF(VLOOKUP(K13,'Train Runs'!$A$12:$B$990,1,TRUE)=K13,VLOOKUP(K13,'Train Runs'!$A$12:$B$990,2,TRUE),NA())</f>
        <v>4029</v>
      </c>
      <c r="M13" s="202">
        <f>VLOOKUP(B13,Variables!$T$2:$X$99,2,FALSE)</f>
        <v>167</v>
      </c>
      <c r="N13" s="202">
        <f>VLOOKUP(B13,Variables!$T$2:$X$99,3,FALSE)</f>
        <v>168</v>
      </c>
      <c r="O13" s="202">
        <f>VLOOKUP(B13,Variables!$T$2:$X$99,4,FALSE)</f>
        <v>199</v>
      </c>
      <c r="P13" s="202">
        <f>VLOOKUP(B13,Variables!$T$2:$X$99,5,FALSE)</f>
        <v>200</v>
      </c>
      <c r="Q13" s="201" t="str">
        <f t="shared" si="3"/>
        <v>(\|PRM\|1\|D)|(crossing.((167)|(168)|(199)|(200)))</v>
      </c>
    </row>
    <row r="14" spans="1:17" x14ac:dyDescent="0.25">
      <c r="A14" s="197">
        <v>42800.456944444442</v>
      </c>
      <c r="B14" s="204" t="s">
        <v>357</v>
      </c>
      <c r="C14" s="194" t="s">
        <v>359</v>
      </c>
      <c r="D14" s="208">
        <v>148</v>
      </c>
      <c r="E14" s="30" t="s">
        <v>365</v>
      </c>
      <c r="F14" s="208" t="b">
        <v>1</v>
      </c>
      <c r="G14" s="212" t="str">
        <f t="shared" si="0"/>
        <v>"C:\Program Files (x86)\AstroGrep\AstroGrep.exe" /e /r /s /spath="%USERPROFILE%\AppData\Local\Temp\OnboardLogs" /stypes="*4003*201703061*" /stext=" 16:.+((SYSTEM_STATE.+slice.+state.+changed )|(ment ac)|(multiple cpu faults)|(system.+state.+changed )|(\[timeout)|(PRM\|1\|D)|(kpr)|(kdp)|(\|lc)|(penalty)|(\|PRM\|1\|D)|(crossing.((167)|(168)|(199)|(200))))"</v>
      </c>
      <c r="H14" s="214" t="str">
        <f t="shared" si="1"/>
        <v>grep -hSE " 16:.+((\|PRM\|1\|D)|(crossing.((167)|(168)|(199)|(200))))" "%USERPROFILE%\AppData\Local\Temp\OnboardLogs"\RTDC4003\*4003*201703061*</v>
      </c>
      <c r="I14" s="210" t="str">
        <f>IF(VLOOKUP(K14,'Train Runs'!$A$13:$V$990,1,TRUE)=K14,VLOOKUP(K14,'Train Runs'!$A$13:$V$990,22,TRUE),NA())</f>
        <v>https://d0f6bd738d7f1b3e5a7ca70fe4ff75f0.us-east-1.aws.found.io/app/kibana#/discover/Steve-Slow-Train-Analysis-(2080s-and-2083s)?_g=(refreshInterval:(display:Off,pause:!f,section:0,value:0),time:(from:'2017-04-09T09:20:45-0600',mode:absolute,to:'2017-04-09T12:07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14" s="206">
        <f t="shared" si="2"/>
        <v>42800.706944444442</v>
      </c>
      <c r="K14" s="206" t="str">
        <f>D14&amp;"-"&amp;IF(DAY(Variables!$A$2)&lt;10,0,"")&amp;DAY(Variables!$A$2)</f>
        <v>148-09</v>
      </c>
      <c r="L14" s="202">
        <f>IF(VLOOKUP(K14,'Train Runs'!$A$12:$B$990,1,TRUE)=K14,VLOOKUP(K14,'Train Runs'!$A$12:$B$990,2,TRUE),NA())</f>
        <v>4003</v>
      </c>
      <c r="M14" s="202">
        <f>VLOOKUP(B14,Variables!$T$2:$X$99,2,FALSE)</f>
        <v>167</v>
      </c>
      <c r="N14" s="202">
        <f>VLOOKUP(B14,Variables!$T$2:$X$99,3,FALSE)</f>
        <v>168</v>
      </c>
      <c r="O14" s="202">
        <f>VLOOKUP(B14,Variables!$T$2:$X$99,4,FALSE)</f>
        <v>199</v>
      </c>
      <c r="P14" s="202">
        <f>VLOOKUP(B14,Variables!$T$2:$X$99,5,FALSE)</f>
        <v>200</v>
      </c>
      <c r="Q14" s="201" t="str">
        <f t="shared" si="3"/>
        <v>(\|PRM\|1\|D)|(crossing.((167)|(168)|(199)|(200)))</v>
      </c>
    </row>
    <row r="15" spans="1:17" x14ac:dyDescent="0.25">
      <c r="A15" s="197">
        <v>42800.614583333336</v>
      </c>
      <c r="B15" s="204" t="s">
        <v>357</v>
      </c>
      <c r="C15" s="194" t="s">
        <v>359</v>
      </c>
      <c r="D15" s="208">
        <v>178</v>
      </c>
      <c r="E15" s="30" t="s">
        <v>366</v>
      </c>
      <c r="F15" s="208" t="b">
        <v>1</v>
      </c>
      <c r="G15" s="212" t="str">
        <f t="shared" si="0"/>
        <v>"C:\Program Files (x86)\AstroGrep\AstroGrep.exe" /e /r /s /spath="%USERPROFILE%\AppData\Local\Temp\OnboardLogs" /stypes="*4019*201703062*" /stext=" 20:.+((SYSTEM_STATE.+slice.+state.+changed )|(ment ac)|(multiple cpu faults)|(system.+state.+changed )|(\[timeout)|(PRM\|1\|D)|(kpr)|(kdp)|(\|lc)|(penalty)|(\|PRM\|1\|D)|(crossing.((167)|(168)|(199)|(200))))"</v>
      </c>
      <c r="H15" s="214" t="str">
        <f t="shared" si="1"/>
        <v>grep -hSE " 20:.+((\|PRM\|1\|D)|(crossing.((167)|(168)|(199)|(200))))" "%USERPROFILE%\AppData\Local\Temp\OnboardLogs"\RTDC4019\*4019*201703062*</v>
      </c>
      <c r="I15" s="210" t="str">
        <f>IF(VLOOKUP(K15,'Train Runs'!$A$13:$V$990,1,TRUE)=K15,VLOOKUP(K15,'Train Runs'!$A$13:$V$990,22,TRUE),NA())</f>
        <v>https://d0f6bd738d7f1b3e5a7ca70fe4ff75f0.us-east-1.aws.found.io/app/kibana#/discover/Steve-Slow-Train-Analysis-(2080s-and-2083s)?_g=(refreshInterval:(display:Off,pause:!f,section:0,value:0),time:(from:'2017-04-09T13:03:02-0600',mode:absolute,to:'2017-04-09T15:50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15" s="206">
        <f t="shared" si="2"/>
        <v>42800.864583333336</v>
      </c>
      <c r="K15" s="206" t="str">
        <f>D15&amp;"-"&amp;IF(DAY(Variables!$A$2)&lt;10,0,"")&amp;DAY(Variables!$A$2)</f>
        <v>178-09</v>
      </c>
      <c r="L15" s="202">
        <f>IF(VLOOKUP(K15,'Train Runs'!$A$12:$B$990,1,TRUE)=K15,VLOOKUP(K15,'Train Runs'!$A$12:$B$990,2,TRUE),NA())</f>
        <v>4019</v>
      </c>
      <c r="M15" s="202">
        <f>VLOOKUP(B15,Variables!$T$2:$X$99,2,FALSE)</f>
        <v>167</v>
      </c>
      <c r="N15" s="202">
        <f>VLOOKUP(B15,Variables!$T$2:$X$99,3,FALSE)</f>
        <v>168</v>
      </c>
      <c r="O15" s="202">
        <f>VLOOKUP(B15,Variables!$T$2:$X$99,4,FALSE)</f>
        <v>199</v>
      </c>
      <c r="P15" s="202">
        <f>VLOOKUP(B15,Variables!$T$2:$X$99,5,FALSE)</f>
        <v>200</v>
      </c>
      <c r="Q15" s="201" t="str">
        <f t="shared" si="3"/>
        <v>(\|PRM\|1\|D)|(crossing.((167)|(168)|(199)|(200)))</v>
      </c>
    </row>
    <row r="16" spans="1:17" x14ac:dyDescent="0.25">
      <c r="A16" s="197">
        <v>42800.699305555558</v>
      </c>
      <c r="B16" s="204" t="s">
        <v>357</v>
      </c>
      <c r="C16" s="194" t="s">
        <v>359</v>
      </c>
      <c r="D16" s="208">
        <v>194</v>
      </c>
      <c r="E16" s="30" t="s">
        <v>366</v>
      </c>
      <c r="F16" s="208" t="b">
        <v>1</v>
      </c>
      <c r="G16" s="212" t="str">
        <f t="shared" si="0"/>
        <v>"C:\Program Files (x86)\AstroGrep\AstroGrep.exe" /e /r /s /spath="%USERPROFILE%\AppData\Local\Temp\OnboardLogs" /stypes="*4043*201703062*" /stext=" 22:.+((SYSTEM_STATE.+slice.+state.+changed )|(ment ac)|(multiple cpu faults)|(system.+state.+changed )|(\[timeout)|(PRM\|1\|D)|(kpr)|(kdp)|(\|lc)|(penalty)|(\|PRM\|1\|D)|(crossing.((167)|(168)|(199)|(200))))"</v>
      </c>
      <c r="H16" s="214" t="str">
        <f t="shared" si="1"/>
        <v>grep -hSE " 22:.+((\|PRM\|1\|D)|(crossing.((167)|(168)|(199)|(200))))" "%USERPROFILE%\AppData\Local\Temp\OnboardLogs"\RTDC4043\*4043*201703062*</v>
      </c>
      <c r="I16" s="210" t="str">
        <f>IF(VLOOKUP(K16,'Train Runs'!$A$13:$V$990,1,TRUE)=K16,VLOOKUP(K16,'Train Runs'!$A$13:$V$990,22,TRUE),NA())</f>
        <v>https://d0f6bd738d7f1b3e5a7ca70fe4ff75f0.us-east-1.aws.found.io/app/kibana#/discover/Steve-Slow-Train-Analysis-(2080s-and-2083s)?_g=(refreshInterval:(display:Off,pause:!f,section:0,value:0),time:(from:'2017-04-09T15:02:32-0600',mode:absolute,to:'2017-04-09T17:54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16" s="206">
        <f t="shared" si="2"/>
        <v>42800.949305555558</v>
      </c>
      <c r="K16" s="206" t="str">
        <f>D16&amp;"-"&amp;IF(DAY(Variables!$A$2)&lt;10,0,"")&amp;DAY(Variables!$A$2)</f>
        <v>194-09</v>
      </c>
      <c r="L16" s="202">
        <f>IF(VLOOKUP(K16,'Train Runs'!$A$12:$B$990,1,TRUE)=K16,VLOOKUP(K16,'Train Runs'!$A$12:$B$990,2,TRUE),NA())</f>
        <v>4043</v>
      </c>
      <c r="M16" s="202">
        <f>VLOOKUP(B16,Variables!$T$2:$X$99,2,FALSE)</f>
        <v>167</v>
      </c>
      <c r="N16" s="202">
        <f>VLOOKUP(B16,Variables!$T$2:$X$99,3,FALSE)</f>
        <v>168</v>
      </c>
      <c r="O16" s="202">
        <f>VLOOKUP(B16,Variables!$T$2:$X$99,4,FALSE)</f>
        <v>199</v>
      </c>
      <c r="P16" s="202">
        <f>VLOOKUP(B16,Variables!$T$2:$X$99,5,FALSE)</f>
        <v>200</v>
      </c>
      <c r="Q16" s="201" t="str">
        <f t="shared" si="3"/>
        <v>(\|PRM\|1\|D)|(crossing.((167)|(168)|(199)|(200)))</v>
      </c>
    </row>
    <row r="17" spans="1:17" x14ac:dyDescent="0.25">
      <c r="A17" s="197">
        <v>42800.771527777775</v>
      </c>
      <c r="B17" s="204" t="s">
        <v>357</v>
      </c>
      <c r="C17" s="194" t="s">
        <v>359</v>
      </c>
      <c r="D17" s="208">
        <v>206</v>
      </c>
      <c r="E17" s="30" t="s">
        <v>361</v>
      </c>
      <c r="F17" s="208" t="b">
        <v>1</v>
      </c>
      <c r="G17" s="212" t="str">
        <f t="shared" si="0"/>
        <v>"C:\Program Files (x86)\AstroGrep\AstroGrep.exe" /e /r /s /spath="%USERPROFILE%\AppData\Local\Temp\OnboardLogs" /stypes="*4045*201703070*" /stext=" 00:.+((SYSTEM_STATE.+slice.+state.+changed )|(ment ac)|(multiple cpu faults)|(system.+state.+changed )|(\[timeout)|(PRM\|1\|D)|(kpr)|(kdp)|(\|lc)|(penalty)|(\|PRM\|1\|D)|(crossing.((167)|(168)|(199)|(200))))"</v>
      </c>
      <c r="H17" s="214" t="str">
        <f t="shared" si="1"/>
        <v>grep -hSE " 00:.+((\|PRM\|1\|D)|(crossing.((167)|(168)|(199)|(200))))" "%USERPROFILE%\AppData\Local\Temp\OnboardLogs"\RTDC4045\*4045*201703070*</v>
      </c>
      <c r="I17" s="210" t="str">
        <f>IF(VLOOKUP(K17,'Train Runs'!$A$13:$V$990,1,TRUE)=K17,VLOOKUP(K17,'Train Runs'!$A$13:$V$990,22,TRUE),NA())</f>
        <v>https://d0f6bd738d7f1b3e5a7ca70fe4ff75f0.us-east-1.aws.found.io/app/kibana#/discover/Steve-Slow-Train-Analysis-(2080s-and-2083s)?_g=(refreshInterval:(display:Off,pause:!f,section:0,value:0),time:(from:'2017-04-09T16:32:15-0600',mode:absolute,to:'2017-04-09T19:21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17" s="206">
        <f t="shared" si="2"/>
        <v>42801.021527777775</v>
      </c>
      <c r="K17" s="206" t="str">
        <f>D17&amp;"-"&amp;IF(DAY(Variables!$A$2)&lt;10,0,"")&amp;DAY(Variables!$A$2)</f>
        <v>206-09</v>
      </c>
      <c r="L17" s="202">
        <f>IF(VLOOKUP(K17,'Train Runs'!$A$12:$B$990,1,TRUE)=K17,VLOOKUP(K17,'Train Runs'!$A$12:$B$990,2,TRUE),NA())</f>
        <v>4045</v>
      </c>
      <c r="M17" s="202">
        <f>VLOOKUP(B17,Variables!$T$2:$X$99,2,FALSE)</f>
        <v>167</v>
      </c>
      <c r="N17" s="202">
        <f>VLOOKUP(B17,Variables!$T$2:$X$99,3,FALSE)</f>
        <v>168</v>
      </c>
      <c r="O17" s="202">
        <f>VLOOKUP(B17,Variables!$T$2:$X$99,4,FALSE)</f>
        <v>199</v>
      </c>
      <c r="P17" s="202">
        <f>VLOOKUP(B17,Variables!$T$2:$X$99,5,FALSE)</f>
        <v>200</v>
      </c>
      <c r="Q17" s="201" t="str">
        <f t="shared" si="3"/>
        <v>(\|PRM\|1\|D)|(crossing.((167)|(168)|(199)|(200)))</v>
      </c>
    </row>
    <row r="18" spans="1:17" x14ac:dyDescent="0.25">
      <c r="A18" s="197">
        <v>42800.784722222219</v>
      </c>
      <c r="B18" s="204" t="s">
        <v>357</v>
      </c>
      <c r="C18" s="194" t="s">
        <v>359</v>
      </c>
      <c r="D18" s="208">
        <v>210</v>
      </c>
      <c r="E18" s="30" t="s">
        <v>361</v>
      </c>
      <c r="F18" s="208" t="b">
        <v>1</v>
      </c>
      <c r="G18" s="212" t="str">
        <f t="shared" si="0"/>
        <v>"C:\Program Files (x86)\AstroGrep\AstroGrep.exe" /e /r /s /spath="%USERPROFILE%\AppData\Local\Temp\OnboardLogs" /stypes="*4023*201703070*" /stext=" 00:.+((SYSTEM_STATE.+slice.+state.+changed )|(ment ac)|(multiple cpu faults)|(system.+state.+changed )|(\[timeout)|(PRM\|1\|D)|(kpr)|(kdp)|(\|lc)|(penalty)|(\|PRM\|1\|D)|(crossing.((167)|(168)|(199)|(200))))"</v>
      </c>
      <c r="H18" s="214" t="str">
        <f t="shared" si="1"/>
        <v>grep -hSE " 00:.+((\|PRM\|1\|D)|(crossing.((167)|(168)|(199)|(200))))" "%USERPROFILE%\AppData\Local\Temp\OnboardLogs"\RTDC4023\*4023*201703070*</v>
      </c>
      <c r="I18" s="210" t="str">
        <f>IF(VLOOKUP(K18,'Train Runs'!$A$13:$V$990,1,TRUE)=K18,VLOOKUP(K18,'Train Runs'!$A$13:$V$990,22,TRUE),NA())</f>
        <v>https://d0f6bd738d7f1b3e5a7ca70fe4ff75f0.us-east-1.aws.found.io/app/kibana#/discover/Steve-Slow-Train-Analysis-(2080s-and-2083s)?_g=(refreshInterval:(display:Off,pause:!f,section:0,value:0),time:(from:'2017-04-09T17:09:05-0600',mode:absolute,to:'2017-04-09T19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J18" s="206">
        <f t="shared" si="2"/>
        <v>42801.034722222219</v>
      </c>
      <c r="K18" s="206" t="str">
        <f>D18&amp;"-"&amp;IF(DAY(Variables!$A$2)&lt;10,0,"")&amp;DAY(Variables!$A$2)</f>
        <v>210-09</v>
      </c>
      <c r="L18" s="202">
        <f>IF(VLOOKUP(K18,'Train Runs'!$A$12:$B$990,1,TRUE)=K18,VLOOKUP(K18,'Train Runs'!$A$12:$B$990,2,TRUE),NA())</f>
        <v>4023</v>
      </c>
      <c r="M18" s="202">
        <f>VLOOKUP(B18,Variables!$T$2:$X$99,2,FALSE)</f>
        <v>167</v>
      </c>
      <c r="N18" s="202">
        <f>VLOOKUP(B18,Variables!$T$2:$X$99,3,FALSE)</f>
        <v>168</v>
      </c>
      <c r="O18" s="202">
        <f>VLOOKUP(B18,Variables!$T$2:$X$99,4,FALSE)</f>
        <v>199</v>
      </c>
      <c r="P18" s="202">
        <f>VLOOKUP(B18,Variables!$T$2:$X$99,5,FALSE)</f>
        <v>200</v>
      </c>
      <c r="Q18" s="201" t="str">
        <f t="shared" si="3"/>
        <v>(\|PRM\|1\|D)|(crossing.((167)|(168)|(199)|(200)))</v>
      </c>
    </row>
    <row r="19" spans="1:17" x14ac:dyDescent="0.25">
      <c r="A19" s="197">
        <v>42800.790277777778</v>
      </c>
      <c r="B19" s="204" t="s">
        <v>357</v>
      </c>
      <c r="C19" s="194" t="s">
        <v>359</v>
      </c>
      <c r="D19" s="208">
        <f>D18+2</f>
        <v>212</v>
      </c>
      <c r="E19" s="30" t="s">
        <v>361</v>
      </c>
      <c r="F19" s="208" t="b">
        <v>1</v>
      </c>
      <c r="G19" s="212" t="str">
        <f t="shared" si="0"/>
        <v>"C:\Program Files (x86)\AstroGrep\AstroGrep.exe" /e /r /s /spath="%USERPROFILE%\AppData\Local\Temp\OnboardLogs" /stypes="*4031*201703070*" /stext=" 00:.+((SYSTEM_STATE.+slice.+state.+changed )|(ment ac)|(multiple cpu faults)|(system.+state.+changed )|(\[timeout)|(PRM\|1\|D)|(kpr)|(kdp)|(\|lc)|(penalty)|(\|PRM\|1\|D)|(crossing.((167)|(168)|(199)|(200))))"</v>
      </c>
      <c r="H19" s="214" t="str">
        <f t="shared" si="1"/>
        <v>grep -hSE " 00:.+((\|PRM\|1\|D)|(crossing.((167)|(168)|(199)|(200))))" "%USERPROFILE%\AppData\Local\Temp\OnboardLogs"\RTDC4031\*4031*201703070*</v>
      </c>
      <c r="I19" s="210" t="str">
        <f>IF(VLOOKUP(K19,'Train Runs'!$A$13:$V$990,1,TRUE)=K19,VLOOKUP(K19,'Train Runs'!$A$13:$V$990,22,TRUE),NA())</f>
        <v>https://d0f6bd738d7f1b3e5a7ca70fe4ff75f0.us-east-1.aws.found.io/app/kibana#/discover/Steve-Slow-Train-Analysis-(2080s-and-2083s)?_g=(refreshInterval:(display:Off,pause:!f,section:0,value:0),time:(from:'2017-04-09T17:22:58-0600',mode:absolute,to:'2017-04-09T20:08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19" s="206">
        <f t="shared" si="2"/>
        <v>42801.040277777778</v>
      </c>
      <c r="K19" s="206" t="str">
        <f>D19&amp;"-"&amp;IF(DAY(Variables!$A$2)&lt;10,0,"")&amp;DAY(Variables!$A$2)</f>
        <v>212-09</v>
      </c>
      <c r="L19" s="202">
        <f>IF(VLOOKUP(K19,'Train Runs'!$A$12:$B$990,1,TRUE)=K19,VLOOKUP(K19,'Train Runs'!$A$12:$B$990,2,TRUE),NA())</f>
        <v>4031</v>
      </c>
      <c r="M19" s="202">
        <f>VLOOKUP(B19,Variables!$T$2:$X$99,2,FALSE)</f>
        <v>167</v>
      </c>
      <c r="N19" s="202">
        <f>VLOOKUP(B19,Variables!$T$2:$X$99,3,FALSE)</f>
        <v>168</v>
      </c>
      <c r="O19" s="202">
        <f>VLOOKUP(B19,Variables!$T$2:$X$99,4,FALSE)</f>
        <v>199</v>
      </c>
      <c r="P19" s="202">
        <f>VLOOKUP(B19,Variables!$T$2:$X$99,5,FALSE)</f>
        <v>200</v>
      </c>
      <c r="Q19" s="201" t="str">
        <f t="shared" si="3"/>
        <v>(\|PRM\|1\|D)|(crossing.((167)|(168)|(199)|(200)))</v>
      </c>
    </row>
    <row r="20" spans="1:17" x14ac:dyDescent="0.25">
      <c r="A20" s="197">
        <v>42800.803472222222</v>
      </c>
      <c r="B20" s="204" t="s">
        <v>357</v>
      </c>
      <c r="C20" s="194" t="s">
        <v>359</v>
      </c>
      <c r="D20" s="208">
        <v>214</v>
      </c>
      <c r="E20" s="30" t="s">
        <v>361</v>
      </c>
      <c r="F20" s="208" t="b">
        <v>1</v>
      </c>
      <c r="G20" s="212" t="str">
        <f t="shared" si="0"/>
        <v>"C:\Program Files (x86)\AstroGrep\AstroGrep.exe" /e /r /s /spath="%USERPROFILE%\AppData\Local\Temp\OnboardLogs" /stypes="*4011*201703070*" /stext=" 01:.+((SYSTEM_STATE.+slice.+state.+changed )|(ment ac)|(multiple cpu faults)|(system.+state.+changed )|(\[timeout)|(PRM\|1\|D)|(kpr)|(kdp)|(\|lc)|(penalty)|(\|PRM\|1\|D)|(crossing.((167)|(168)|(199)|(200))))"</v>
      </c>
      <c r="H20" s="214" t="str">
        <f t="shared" si="1"/>
        <v>grep -hSE " 01:.+((\|PRM\|1\|D)|(crossing.((167)|(168)|(199)|(200))))" "%USERPROFILE%\AppData\Local\Temp\OnboardLogs"\RTDC4011\*4011*201703070*</v>
      </c>
      <c r="I20" s="210" t="str">
        <f>IF(VLOOKUP(K20,'Train Runs'!$A$13:$V$990,1,TRUE)=K20,VLOOKUP(K20,'Train Runs'!$A$13:$V$990,22,TRUE),NA())</f>
        <v>https://d0f6bd738d7f1b3e5a7ca70fe4ff75f0.us-east-1.aws.found.io/app/kibana#/discover/Steve-Slow-Train-Analysis-(2080s-and-2083s)?_g=(refreshInterval:(display:Off,pause:!f,section:0,value:0),time:(from:'2017-04-09T17:37:37-0600',mode:absolute,to:'2017-04-09T20:26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J20" s="206">
        <f t="shared" si="2"/>
        <v>42801.053472222222</v>
      </c>
      <c r="K20" s="206" t="str">
        <f>D20&amp;"-"&amp;IF(DAY(Variables!$A$2)&lt;10,0,"")&amp;DAY(Variables!$A$2)</f>
        <v>214-09</v>
      </c>
      <c r="L20" s="202">
        <f>IF(VLOOKUP(K20,'Train Runs'!$A$12:$B$990,1,TRUE)=K20,VLOOKUP(K20,'Train Runs'!$A$12:$B$990,2,TRUE),NA())</f>
        <v>4011</v>
      </c>
      <c r="M20" s="202">
        <f>VLOOKUP(B20,Variables!$T$2:$X$99,2,FALSE)</f>
        <v>167</v>
      </c>
      <c r="N20" s="202">
        <f>VLOOKUP(B20,Variables!$T$2:$X$99,3,FALSE)</f>
        <v>168</v>
      </c>
      <c r="O20" s="202">
        <f>VLOOKUP(B20,Variables!$T$2:$X$99,4,FALSE)</f>
        <v>199</v>
      </c>
      <c r="P20" s="202">
        <f>VLOOKUP(B20,Variables!$T$2:$X$99,5,FALSE)</f>
        <v>200</v>
      </c>
      <c r="Q20" s="201" t="str">
        <f t="shared" si="3"/>
        <v>(\|PRM\|1\|D)|(crossing.((167)|(168)|(199)|(200)))</v>
      </c>
    </row>
    <row r="21" spans="1:17" x14ac:dyDescent="0.25">
      <c r="A21" s="197">
        <v>42800.819444444445</v>
      </c>
      <c r="B21" s="204" t="s">
        <v>357</v>
      </c>
      <c r="C21" s="194" t="s">
        <v>359</v>
      </c>
      <c r="D21" s="208">
        <v>216</v>
      </c>
      <c r="E21" s="30" t="s">
        <v>361</v>
      </c>
      <c r="F21" s="208" t="b">
        <v>1</v>
      </c>
      <c r="G21" s="212" t="str">
        <f t="shared" si="0"/>
        <v>"C:\Program Files (x86)\AstroGrep\AstroGrep.exe" /e /r /s /spath="%USERPROFILE%\AppData\Local\Temp\OnboardLogs" /stypes="*4029*201703070*" /stext=" 01:.+((SYSTEM_STATE.+slice.+state.+changed )|(ment ac)|(multiple cpu faults)|(system.+state.+changed )|(\[timeout)|(PRM\|1\|D)|(kpr)|(kdp)|(\|lc)|(penalty)|(\|PRM\|1\|D)|(crossing.((167)|(168)|(199)|(200))))"</v>
      </c>
      <c r="H21" s="214" t="str">
        <f t="shared" si="1"/>
        <v>grep -hSE " 01:.+((\|PRM\|1\|D)|(crossing.((167)|(168)|(199)|(200))))" "%USERPROFILE%\AppData\Local\Temp\OnboardLogs"\RTDC4029\*4029*201703070*</v>
      </c>
      <c r="I21" s="210" t="str">
        <f>IF(VLOOKUP(K21,'Train Runs'!$A$13:$V$990,1,TRUE)=K21,VLOOKUP(K21,'Train Runs'!$A$13:$V$990,22,TRUE),NA())</f>
        <v>https://d0f6bd738d7f1b3e5a7ca70fe4ff75f0.us-east-1.aws.found.io/app/kibana#/discover/Steve-Slow-Train-Analysis-(2080s-and-2083s)?_g=(refreshInterval:(display:Off,pause:!f,section:0,value:0),time:(from:'2017-04-09T17:55:04-0600',mode:absolute,to:'2017-04-09T20:42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21" s="206">
        <f t="shared" si="2"/>
        <v>42801.069444444445</v>
      </c>
      <c r="K21" s="206" t="str">
        <f>D21&amp;"-"&amp;IF(DAY(Variables!$A$2)&lt;10,0,"")&amp;DAY(Variables!$A$2)</f>
        <v>216-09</v>
      </c>
      <c r="L21" s="202">
        <f>IF(VLOOKUP(K21,'Train Runs'!$A$12:$B$990,1,TRUE)=K21,VLOOKUP(K21,'Train Runs'!$A$12:$B$990,2,TRUE),NA())</f>
        <v>4029</v>
      </c>
      <c r="M21" s="202">
        <f>VLOOKUP(B21,Variables!$T$2:$X$99,2,FALSE)</f>
        <v>167</v>
      </c>
      <c r="N21" s="202">
        <f>VLOOKUP(B21,Variables!$T$2:$X$99,3,FALSE)</f>
        <v>168</v>
      </c>
      <c r="O21" s="202">
        <f>VLOOKUP(B21,Variables!$T$2:$X$99,4,FALSE)</f>
        <v>199</v>
      </c>
      <c r="P21" s="202">
        <f>VLOOKUP(B21,Variables!$T$2:$X$99,5,FALSE)</f>
        <v>200</v>
      </c>
      <c r="Q21" s="201" t="str">
        <f t="shared" si="3"/>
        <v>(\|PRM\|1\|D)|(crossing.((167)|(168)|(199)|(200)))</v>
      </c>
    </row>
    <row r="22" spans="1:17" x14ac:dyDescent="0.25">
      <c r="A22" s="197">
        <v>42800.828472222223</v>
      </c>
      <c r="B22" s="204" t="s">
        <v>357</v>
      </c>
      <c r="C22" s="194" t="s">
        <v>359</v>
      </c>
      <c r="D22" s="208">
        <f>D21+2</f>
        <v>218</v>
      </c>
      <c r="E22" s="30" t="s">
        <v>361</v>
      </c>
      <c r="F22" s="208" t="b">
        <v>1</v>
      </c>
      <c r="G22" s="212" t="e">
        <f t="shared" si="0"/>
        <v>#N/A</v>
      </c>
      <c r="H22" s="214" t="e">
        <f t="shared" si="1"/>
        <v>#N/A</v>
      </c>
      <c r="I22" s="210" t="e">
        <f>IF(VLOOKUP(K22,'Train Runs'!$A$13:$V$990,1,TRUE)=K22,VLOOKUP(K22,'Train Runs'!$A$13:$V$990,22,TRUE),NA())</f>
        <v>#N/A</v>
      </c>
      <c r="J22" s="206">
        <f t="shared" si="2"/>
        <v>42801.078472222223</v>
      </c>
      <c r="K22" s="206" t="str">
        <f>D22&amp;"-"&amp;IF(DAY(Variables!$A$2)&lt;10,0,"")&amp;DAY(Variables!$A$2)</f>
        <v>218-09</v>
      </c>
      <c r="L22" s="202" t="e">
        <f>IF(VLOOKUP(K22,'Train Runs'!$A$12:$B$990,1,TRUE)=K22,VLOOKUP(K22,'Train Runs'!$A$12:$B$990,2,TRUE),NA())</f>
        <v>#N/A</v>
      </c>
      <c r="M22" s="202">
        <f>VLOOKUP(B22,Variables!$T$2:$X$99,2,FALSE)</f>
        <v>167</v>
      </c>
      <c r="N22" s="202">
        <f>VLOOKUP(B22,Variables!$T$2:$X$99,3,FALSE)</f>
        <v>168</v>
      </c>
      <c r="O22" s="202">
        <f>VLOOKUP(B22,Variables!$T$2:$X$99,4,FALSE)</f>
        <v>199</v>
      </c>
      <c r="P22" s="202">
        <f>VLOOKUP(B22,Variables!$T$2:$X$99,5,FALSE)</f>
        <v>200</v>
      </c>
      <c r="Q22" s="201" t="str">
        <f t="shared" si="3"/>
        <v>(\|PRM\|1\|D)|(crossing.((167)|(168)|(199)|(200)))</v>
      </c>
    </row>
    <row r="23" spans="1:17" x14ac:dyDescent="0.25">
      <c r="A23" s="197">
        <v>42800.835416666669</v>
      </c>
      <c r="B23" s="204" t="s">
        <v>357</v>
      </c>
      <c r="C23" s="194" t="s">
        <v>359</v>
      </c>
      <c r="D23" s="208">
        <f>D22+2</f>
        <v>220</v>
      </c>
      <c r="E23" s="30" t="s">
        <v>361</v>
      </c>
      <c r="F23" s="208" t="b">
        <v>1</v>
      </c>
      <c r="G23" s="212" t="e">
        <f t="shared" si="0"/>
        <v>#N/A</v>
      </c>
      <c r="H23" s="214" t="e">
        <f t="shared" si="1"/>
        <v>#N/A</v>
      </c>
      <c r="I23" s="210" t="e">
        <f>IF(VLOOKUP(K23,'Train Runs'!$A$13:$V$990,1,TRUE)=K23,VLOOKUP(K23,'Train Runs'!$A$13:$V$990,22,TRUE),NA())</f>
        <v>#N/A</v>
      </c>
      <c r="J23" s="206">
        <f t="shared" si="2"/>
        <v>42801.085416666669</v>
      </c>
      <c r="K23" s="206" t="str">
        <f>D23&amp;"-"&amp;IF(DAY(Variables!$A$2)&lt;10,0,"")&amp;DAY(Variables!$A$2)</f>
        <v>220-09</v>
      </c>
      <c r="L23" s="202" t="e">
        <f>IF(VLOOKUP(K23,'Train Runs'!$A$12:$B$990,1,TRUE)=K23,VLOOKUP(K23,'Train Runs'!$A$12:$B$990,2,TRUE),NA())</f>
        <v>#N/A</v>
      </c>
      <c r="M23" s="202">
        <f>VLOOKUP(B23,Variables!$T$2:$X$99,2,FALSE)</f>
        <v>167</v>
      </c>
      <c r="N23" s="202">
        <f>VLOOKUP(B23,Variables!$T$2:$X$99,3,FALSE)</f>
        <v>168</v>
      </c>
      <c r="O23" s="202">
        <f>VLOOKUP(B23,Variables!$T$2:$X$99,4,FALSE)</f>
        <v>199</v>
      </c>
      <c r="P23" s="202">
        <f>VLOOKUP(B23,Variables!$T$2:$X$99,5,FALSE)</f>
        <v>200</v>
      </c>
      <c r="Q23" s="201" t="str">
        <f t="shared" si="3"/>
        <v>(\|PRM\|1\|D)|(crossing.((167)|(168)|(199)|(200)))</v>
      </c>
    </row>
    <row r="24" spans="1:17" x14ac:dyDescent="0.25">
      <c r="A24" s="197">
        <v>42800.854166666664</v>
      </c>
      <c r="B24" s="204" t="s">
        <v>357</v>
      </c>
      <c r="C24" s="194" t="s">
        <v>359</v>
      </c>
      <c r="D24" s="208">
        <f>D23+2</f>
        <v>222</v>
      </c>
      <c r="E24" s="30" t="s">
        <v>361</v>
      </c>
      <c r="F24" s="208" t="b">
        <v>1</v>
      </c>
      <c r="G24" s="212" t="e">
        <f t="shared" si="0"/>
        <v>#N/A</v>
      </c>
      <c r="H24" s="214" t="e">
        <f t="shared" si="1"/>
        <v>#N/A</v>
      </c>
      <c r="I24" s="210" t="e">
        <f>IF(VLOOKUP(K24,'Train Runs'!$A$13:$V$990,1,TRUE)=K24,VLOOKUP(K24,'Train Runs'!$A$13:$V$990,22,TRUE),NA())</f>
        <v>#N/A</v>
      </c>
      <c r="J24" s="206">
        <f t="shared" si="2"/>
        <v>42801.104166666664</v>
      </c>
      <c r="K24" s="206" t="str">
        <f>D24&amp;"-"&amp;IF(DAY(Variables!$A$2)&lt;10,0,"")&amp;DAY(Variables!$A$2)</f>
        <v>222-09</v>
      </c>
      <c r="L24" s="202" t="e">
        <f>IF(VLOOKUP(K24,'Train Runs'!$A$12:$B$990,1,TRUE)=K24,VLOOKUP(K24,'Train Runs'!$A$12:$B$990,2,TRUE),NA())</f>
        <v>#N/A</v>
      </c>
      <c r="M24" s="202">
        <f>VLOOKUP(B24,Variables!$T$2:$X$99,2,FALSE)</f>
        <v>167</v>
      </c>
      <c r="N24" s="202">
        <f>VLOOKUP(B24,Variables!$T$2:$X$99,3,FALSE)</f>
        <v>168</v>
      </c>
      <c r="O24" s="202">
        <f>VLOOKUP(B24,Variables!$T$2:$X$99,4,FALSE)</f>
        <v>199</v>
      </c>
      <c r="P24" s="202">
        <f>VLOOKUP(B24,Variables!$T$2:$X$99,5,FALSE)</f>
        <v>200</v>
      </c>
      <c r="Q24" s="201" t="str">
        <f t="shared" si="3"/>
        <v>(\|PRM\|1\|D)|(crossing.((167)|(168)|(199)|(200)))</v>
      </c>
    </row>
    <row r="25" spans="1:17" x14ac:dyDescent="0.25">
      <c r="A25" s="197">
        <v>42800.872916666667</v>
      </c>
      <c r="B25" s="204" t="s">
        <v>357</v>
      </c>
      <c r="C25" s="194" t="s">
        <v>359</v>
      </c>
      <c r="D25" s="208">
        <f>D24+2</f>
        <v>224</v>
      </c>
      <c r="E25" s="30" t="s">
        <v>361</v>
      </c>
      <c r="F25" s="208" t="b">
        <v>1</v>
      </c>
      <c r="G25" s="212" t="e">
        <f t="shared" si="0"/>
        <v>#N/A</v>
      </c>
      <c r="H25" s="214" t="e">
        <f t="shared" si="1"/>
        <v>#N/A</v>
      </c>
      <c r="I25" s="210" t="e">
        <f>IF(VLOOKUP(K25,'Train Runs'!$A$13:$V$990,1,TRUE)=K25,VLOOKUP(K25,'Train Runs'!$A$13:$V$990,22,TRUE),NA())</f>
        <v>#N/A</v>
      </c>
      <c r="J25" s="206">
        <f t="shared" si="2"/>
        <v>42801.122916666667</v>
      </c>
      <c r="K25" s="206" t="str">
        <f>D25&amp;"-"&amp;IF(DAY(Variables!$A$2)&lt;10,0,"")&amp;DAY(Variables!$A$2)</f>
        <v>224-09</v>
      </c>
      <c r="L25" s="202" t="e">
        <f>IF(VLOOKUP(K25,'Train Runs'!$A$12:$B$990,1,TRUE)=K25,VLOOKUP(K25,'Train Runs'!$A$12:$B$990,2,TRUE),NA())</f>
        <v>#N/A</v>
      </c>
      <c r="M25" s="202">
        <f>VLOOKUP(B25,Variables!$T$2:$X$99,2,FALSE)</f>
        <v>167</v>
      </c>
      <c r="N25" s="202">
        <f>VLOOKUP(B25,Variables!$T$2:$X$99,3,FALSE)</f>
        <v>168</v>
      </c>
      <c r="O25" s="202">
        <f>VLOOKUP(B25,Variables!$T$2:$X$99,4,FALSE)</f>
        <v>199</v>
      </c>
      <c r="P25" s="202">
        <f>VLOOKUP(B25,Variables!$T$2:$X$99,5,FALSE)</f>
        <v>200</v>
      </c>
      <c r="Q25" s="201" t="str">
        <f t="shared" si="3"/>
        <v>(\|PRM\|1\|D)|(crossing.((167)|(168)|(199)|(200)))</v>
      </c>
    </row>
    <row r="26" spans="1:17" x14ac:dyDescent="0.25">
      <c r="A26" s="197">
        <v>42800.895138888889</v>
      </c>
      <c r="B26" s="204" t="s">
        <v>357</v>
      </c>
      <c r="C26" s="194" t="s">
        <v>359</v>
      </c>
      <c r="D26" s="208">
        <f>D25+2</f>
        <v>226</v>
      </c>
      <c r="E26" s="30" t="s">
        <v>361</v>
      </c>
      <c r="F26" s="208" t="b">
        <v>1</v>
      </c>
      <c r="G26" s="212" t="e">
        <f t="shared" si="0"/>
        <v>#N/A</v>
      </c>
      <c r="H26" s="214" t="e">
        <f t="shared" si="1"/>
        <v>#N/A</v>
      </c>
      <c r="I26" s="210" t="e">
        <f>IF(VLOOKUP(K26,'Train Runs'!$A$13:$V$990,1,TRUE)=K26,VLOOKUP(K26,'Train Runs'!$A$13:$V$990,22,TRUE),NA())</f>
        <v>#N/A</v>
      </c>
      <c r="J26" s="206">
        <f t="shared" si="2"/>
        <v>42801.145138888889</v>
      </c>
      <c r="K26" s="206" t="str">
        <f>D26&amp;"-"&amp;IF(DAY(Variables!$A$2)&lt;10,0,"")&amp;DAY(Variables!$A$2)</f>
        <v>226-09</v>
      </c>
      <c r="L26" s="202" t="e">
        <f>IF(VLOOKUP(K26,'Train Runs'!$A$12:$B$990,1,TRUE)=K26,VLOOKUP(K26,'Train Runs'!$A$12:$B$990,2,TRUE),NA())</f>
        <v>#N/A</v>
      </c>
      <c r="M26" s="202">
        <f>VLOOKUP(B26,Variables!$T$2:$X$99,2,FALSE)</f>
        <v>167</v>
      </c>
      <c r="N26" s="202">
        <f>VLOOKUP(B26,Variables!$T$2:$X$99,3,FALSE)</f>
        <v>168</v>
      </c>
      <c r="O26" s="202">
        <f>VLOOKUP(B26,Variables!$T$2:$X$99,4,FALSE)</f>
        <v>199</v>
      </c>
      <c r="P26" s="202">
        <f>VLOOKUP(B26,Variables!$T$2:$X$99,5,FALSE)</f>
        <v>200</v>
      </c>
      <c r="Q26" s="201" t="str">
        <f t="shared" si="3"/>
        <v>(\|PRM\|1\|D)|(crossing.((167)|(168)|(199)|(200)))</v>
      </c>
    </row>
    <row r="27" spans="1:17" x14ac:dyDescent="0.25">
      <c r="A27" s="197">
        <v>42800.916666666664</v>
      </c>
      <c r="B27" s="204" t="s">
        <v>357</v>
      </c>
      <c r="C27" s="194" t="s">
        <v>359</v>
      </c>
      <c r="D27" s="208">
        <f t="shared" ref="D27:D33" si="5">D26+2</f>
        <v>228</v>
      </c>
      <c r="E27" s="30" t="s">
        <v>361</v>
      </c>
      <c r="F27" s="208" t="b">
        <v>1</v>
      </c>
      <c r="G27" s="212" t="e">
        <f t="shared" si="0"/>
        <v>#N/A</v>
      </c>
      <c r="H27" s="214" t="e">
        <f t="shared" si="1"/>
        <v>#N/A</v>
      </c>
      <c r="I27" s="210" t="e">
        <f>IF(VLOOKUP(K27,'Train Runs'!$A$13:$V$990,1,TRUE)=K27,VLOOKUP(K27,'Train Runs'!$A$13:$V$990,22,TRUE),NA())</f>
        <v>#N/A</v>
      </c>
      <c r="J27" s="206">
        <f t="shared" si="2"/>
        <v>42801.166666666664</v>
      </c>
      <c r="K27" s="206" t="str">
        <f>D27&amp;"-"&amp;IF(DAY(Variables!$A$2)&lt;10,0,"")&amp;DAY(Variables!$A$2)</f>
        <v>228-09</v>
      </c>
      <c r="L27" s="202" t="e">
        <f>IF(VLOOKUP(K27,'Train Runs'!$A$12:$B$990,1,TRUE)=K27,VLOOKUP(K27,'Train Runs'!$A$12:$B$990,2,TRUE),NA())</f>
        <v>#N/A</v>
      </c>
      <c r="M27" s="202">
        <f>VLOOKUP(B27,Variables!$T$2:$X$99,2,FALSE)</f>
        <v>167</v>
      </c>
      <c r="N27" s="202">
        <f>VLOOKUP(B27,Variables!$T$2:$X$99,3,FALSE)</f>
        <v>168</v>
      </c>
      <c r="O27" s="202">
        <f>VLOOKUP(B27,Variables!$T$2:$X$99,4,FALSE)</f>
        <v>199</v>
      </c>
      <c r="P27" s="202">
        <f>VLOOKUP(B27,Variables!$T$2:$X$99,5,FALSE)</f>
        <v>200</v>
      </c>
      <c r="Q27" s="201" t="str">
        <f t="shared" si="3"/>
        <v>(\|PRM\|1\|D)|(crossing.((167)|(168)|(199)|(200)))</v>
      </c>
    </row>
    <row r="28" spans="1:17" x14ac:dyDescent="0.25">
      <c r="A28" s="197">
        <v>42800.939583333333</v>
      </c>
      <c r="B28" s="204" t="s">
        <v>357</v>
      </c>
      <c r="C28" s="194" t="s">
        <v>359</v>
      </c>
      <c r="D28" s="208">
        <f t="shared" si="5"/>
        <v>230</v>
      </c>
      <c r="E28" s="30" t="s">
        <v>361</v>
      </c>
      <c r="F28" s="208" t="b">
        <v>1</v>
      </c>
      <c r="G28" s="212" t="e">
        <f t="shared" si="0"/>
        <v>#N/A</v>
      </c>
      <c r="H28" s="214" t="e">
        <f t="shared" si="1"/>
        <v>#N/A</v>
      </c>
      <c r="I28" s="210" t="e">
        <f>IF(VLOOKUP(K28,'Train Runs'!$A$13:$V$990,1,TRUE)=K28,VLOOKUP(K28,'Train Runs'!$A$13:$V$990,22,TRUE),NA())</f>
        <v>#N/A</v>
      </c>
      <c r="J28" s="206">
        <f t="shared" si="2"/>
        <v>42801.189583333333</v>
      </c>
      <c r="K28" s="206" t="str">
        <f>D28&amp;"-"&amp;IF(DAY(Variables!$A$2)&lt;10,0,"")&amp;DAY(Variables!$A$2)</f>
        <v>230-09</v>
      </c>
      <c r="L28" s="202" t="e">
        <f>IF(VLOOKUP(K28,'Train Runs'!$A$12:$B$990,1,TRUE)=K28,VLOOKUP(K28,'Train Runs'!$A$12:$B$990,2,TRUE),NA())</f>
        <v>#N/A</v>
      </c>
      <c r="M28" s="202">
        <f>VLOOKUP(B28,Variables!$T$2:$X$99,2,FALSE)</f>
        <v>167</v>
      </c>
      <c r="N28" s="202">
        <f>VLOOKUP(B28,Variables!$T$2:$X$99,3,FALSE)</f>
        <v>168</v>
      </c>
      <c r="O28" s="202">
        <f>VLOOKUP(B28,Variables!$T$2:$X$99,4,FALSE)</f>
        <v>199</v>
      </c>
      <c r="P28" s="202">
        <f>VLOOKUP(B28,Variables!$T$2:$X$99,5,FALSE)</f>
        <v>200</v>
      </c>
      <c r="Q28" s="201" t="str">
        <f t="shared" si="3"/>
        <v>(\|PRM\|1\|D)|(crossing.((167)|(168)|(199)|(200)))</v>
      </c>
    </row>
    <row r="29" spans="1:17" x14ac:dyDescent="0.25">
      <c r="A29" s="197">
        <v>42800.957638888889</v>
      </c>
      <c r="B29" s="204" t="s">
        <v>357</v>
      </c>
      <c r="C29" s="194" t="s">
        <v>359</v>
      </c>
      <c r="D29" s="208">
        <f t="shared" si="5"/>
        <v>232</v>
      </c>
      <c r="E29" s="30" t="s">
        <v>361</v>
      </c>
      <c r="F29" s="208" t="b">
        <v>1</v>
      </c>
      <c r="G29" s="212" t="e">
        <f t="shared" si="0"/>
        <v>#N/A</v>
      </c>
      <c r="H29" s="214" t="e">
        <f t="shared" si="1"/>
        <v>#N/A</v>
      </c>
      <c r="I29" s="210" t="e">
        <f>IF(VLOOKUP(K29,'Train Runs'!$A$13:$V$990,1,TRUE)=K29,VLOOKUP(K29,'Train Runs'!$A$13:$V$990,22,TRUE),NA())</f>
        <v>#N/A</v>
      </c>
      <c r="J29" s="206">
        <f t="shared" si="2"/>
        <v>42801.207638888889</v>
      </c>
      <c r="K29" s="206" t="str">
        <f>D29&amp;"-"&amp;IF(DAY(Variables!$A$2)&lt;10,0,"")&amp;DAY(Variables!$A$2)</f>
        <v>232-09</v>
      </c>
      <c r="L29" s="202" t="e">
        <f>IF(VLOOKUP(K29,'Train Runs'!$A$12:$B$990,1,TRUE)=K29,VLOOKUP(K29,'Train Runs'!$A$12:$B$990,2,TRUE),NA())</f>
        <v>#N/A</v>
      </c>
      <c r="M29" s="202">
        <f>VLOOKUP(B29,Variables!$T$2:$X$99,2,FALSE)</f>
        <v>167</v>
      </c>
      <c r="N29" s="202">
        <f>VLOOKUP(B29,Variables!$T$2:$X$99,3,FALSE)</f>
        <v>168</v>
      </c>
      <c r="O29" s="202">
        <f>VLOOKUP(B29,Variables!$T$2:$X$99,4,FALSE)</f>
        <v>199</v>
      </c>
      <c r="P29" s="202">
        <f>VLOOKUP(B29,Variables!$T$2:$X$99,5,FALSE)</f>
        <v>200</v>
      </c>
      <c r="Q29" s="201" t="str">
        <f t="shared" si="3"/>
        <v>(\|PRM\|1\|D)|(crossing.((167)|(168)|(199)|(200)))</v>
      </c>
    </row>
    <row r="30" spans="1:17" x14ac:dyDescent="0.25">
      <c r="A30" s="197">
        <v>42800.96875</v>
      </c>
      <c r="B30" s="204" t="s">
        <v>357</v>
      </c>
      <c r="C30" s="194" t="s">
        <v>359</v>
      </c>
      <c r="D30" s="208">
        <f t="shared" si="5"/>
        <v>234</v>
      </c>
      <c r="E30" s="30" t="s">
        <v>361</v>
      </c>
      <c r="F30" s="208" t="b">
        <v>1</v>
      </c>
      <c r="G30" s="212" t="e">
        <f t="shared" si="0"/>
        <v>#N/A</v>
      </c>
      <c r="H30" s="214" t="e">
        <f t="shared" si="1"/>
        <v>#N/A</v>
      </c>
      <c r="I30" s="210" t="e">
        <f>IF(VLOOKUP(K30,'Train Runs'!$A$13:$V$990,1,TRUE)=K30,VLOOKUP(K30,'Train Runs'!$A$13:$V$990,22,TRUE),NA())</f>
        <v>#N/A</v>
      </c>
      <c r="J30" s="206">
        <f t="shared" si="2"/>
        <v>42801.21875</v>
      </c>
      <c r="K30" s="206" t="str">
        <f>D30&amp;"-"&amp;IF(DAY(Variables!$A$2)&lt;10,0,"")&amp;DAY(Variables!$A$2)</f>
        <v>234-09</v>
      </c>
      <c r="L30" s="202" t="e">
        <f>IF(VLOOKUP(K30,'Train Runs'!$A$12:$B$990,1,TRUE)=K30,VLOOKUP(K30,'Train Runs'!$A$12:$B$990,2,TRUE),NA())</f>
        <v>#N/A</v>
      </c>
      <c r="M30" s="202">
        <f>VLOOKUP(B30,Variables!$T$2:$X$99,2,FALSE)</f>
        <v>167</v>
      </c>
      <c r="N30" s="202">
        <f>VLOOKUP(B30,Variables!$T$2:$X$99,3,FALSE)</f>
        <v>168</v>
      </c>
      <c r="O30" s="202">
        <f>VLOOKUP(B30,Variables!$T$2:$X$99,4,FALSE)</f>
        <v>199</v>
      </c>
      <c r="P30" s="202">
        <f>VLOOKUP(B30,Variables!$T$2:$X$99,5,FALSE)</f>
        <v>200</v>
      </c>
      <c r="Q30" s="201" t="str">
        <f t="shared" si="3"/>
        <v>(\|PRM\|1\|D)|(crossing.((167)|(168)|(199)|(200)))</v>
      </c>
    </row>
    <row r="31" spans="1:17" x14ac:dyDescent="0.25">
      <c r="A31" s="197">
        <v>42800.979861111111</v>
      </c>
      <c r="B31" s="204" t="s">
        <v>357</v>
      </c>
      <c r="C31" s="194" t="s">
        <v>359</v>
      </c>
      <c r="D31" s="208">
        <f t="shared" si="5"/>
        <v>236</v>
      </c>
      <c r="E31" s="30" t="s">
        <v>361</v>
      </c>
      <c r="F31" s="208" t="b">
        <v>1</v>
      </c>
      <c r="G31" s="212" t="e">
        <f t="shared" si="0"/>
        <v>#N/A</v>
      </c>
      <c r="H31" s="214" t="e">
        <f t="shared" si="1"/>
        <v>#N/A</v>
      </c>
      <c r="I31" s="210" t="e">
        <f>IF(VLOOKUP(K31,'Train Runs'!$A$13:$V$990,1,TRUE)=K31,VLOOKUP(K31,'Train Runs'!$A$13:$V$990,22,TRUE),NA())</f>
        <v>#N/A</v>
      </c>
      <c r="J31" s="206">
        <f t="shared" si="2"/>
        <v>42801.229861111111</v>
      </c>
      <c r="K31" s="206" t="str">
        <f>D31&amp;"-"&amp;IF(DAY(Variables!$A$2)&lt;10,0,"")&amp;DAY(Variables!$A$2)</f>
        <v>236-09</v>
      </c>
      <c r="L31" s="202" t="e">
        <f>IF(VLOOKUP(K31,'Train Runs'!$A$12:$B$990,1,TRUE)=K31,VLOOKUP(K31,'Train Runs'!$A$12:$B$990,2,TRUE),NA())</f>
        <v>#N/A</v>
      </c>
      <c r="M31" s="202">
        <f>VLOOKUP(B31,Variables!$T$2:$X$99,2,FALSE)</f>
        <v>167</v>
      </c>
      <c r="N31" s="202">
        <f>VLOOKUP(B31,Variables!$T$2:$X$99,3,FALSE)</f>
        <v>168</v>
      </c>
      <c r="O31" s="202">
        <f>VLOOKUP(B31,Variables!$T$2:$X$99,4,FALSE)</f>
        <v>199</v>
      </c>
      <c r="P31" s="202">
        <f>VLOOKUP(B31,Variables!$T$2:$X$99,5,FALSE)</f>
        <v>200</v>
      </c>
      <c r="Q31" s="201" t="str">
        <f t="shared" si="3"/>
        <v>(\|PRM\|1\|D)|(crossing.((167)|(168)|(199)|(200)))</v>
      </c>
    </row>
    <row r="32" spans="1:17" x14ac:dyDescent="0.25">
      <c r="A32" s="197">
        <v>42800.999305555553</v>
      </c>
      <c r="B32" s="204" t="s">
        <v>357</v>
      </c>
      <c r="C32" s="194" t="s">
        <v>359</v>
      </c>
      <c r="D32" s="208">
        <f t="shared" si="5"/>
        <v>238</v>
      </c>
      <c r="E32" s="30" t="s">
        <v>361</v>
      </c>
      <c r="F32" s="208" t="b">
        <v>1</v>
      </c>
      <c r="G32" s="212" t="e">
        <f t="shared" si="0"/>
        <v>#N/A</v>
      </c>
      <c r="H32" s="214" t="e">
        <f t="shared" si="1"/>
        <v>#N/A</v>
      </c>
      <c r="I32" s="210" t="e">
        <f>IF(VLOOKUP(K32,'Train Runs'!$A$13:$V$990,1,TRUE)=K32,VLOOKUP(K32,'Train Runs'!$A$13:$V$990,22,TRUE),NA())</f>
        <v>#N/A</v>
      </c>
      <c r="J32" s="206">
        <f t="shared" si="2"/>
        <v>42801.249305555553</v>
      </c>
      <c r="K32" s="206" t="str">
        <f>D32&amp;"-"&amp;IF(DAY(Variables!$A$2)&lt;10,0,"")&amp;DAY(Variables!$A$2)</f>
        <v>238-09</v>
      </c>
      <c r="L32" s="202" t="e">
        <f>IF(VLOOKUP(K32,'Train Runs'!$A$12:$B$990,1,TRUE)=K32,VLOOKUP(K32,'Train Runs'!$A$12:$B$990,2,TRUE),NA())</f>
        <v>#N/A</v>
      </c>
      <c r="M32" s="202">
        <f>VLOOKUP(B32,Variables!$T$2:$X$99,2,FALSE)</f>
        <v>167</v>
      </c>
      <c r="N32" s="202">
        <f>VLOOKUP(B32,Variables!$T$2:$X$99,3,FALSE)</f>
        <v>168</v>
      </c>
      <c r="O32" s="202">
        <f>VLOOKUP(B32,Variables!$T$2:$X$99,4,FALSE)</f>
        <v>199</v>
      </c>
      <c r="P32" s="202">
        <f>VLOOKUP(B32,Variables!$T$2:$X$99,5,FALSE)</f>
        <v>200</v>
      </c>
      <c r="Q32" s="201" t="str">
        <f t="shared" si="3"/>
        <v>(\|PRM\|1\|D)|(crossing.((167)|(168)|(199)|(200)))</v>
      </c>
    </row>
    <row r="33" spans="1:17" x14ac:dyDescent="0.25">
      <c r="A33" s="198">
        <v>42801.022222222222</v>
      </c>
      <c r="B33" s="204" t="s">
        <v>357</v>
      </c>
      <c r="C33" s="194" t="s">
        <v>359</v>
      </c>
      <c r="D33" s="208">
        <f t="shared" si="5"/>
        <v>240</v>
      </c>
      <c r="E33" s="30" t="s">
        <v>361</v>
      </c>
      <c r="F33" s="208" t="b">
        <v>1</v>
      </c>
      <c r="G33" s="212" t="e">
        <f t="shared" si="0"/>
        <v>#N/A</v>
      </c>
      <c r="H33" s="214" t="e">
        <f t="shared" si="1"/>
        <v>#N/A</v>
      </c>
      <c r="I33" s="210" t="e">
        <f>IF(VLOOKUP(K33,'Train Runs'!$A$13:$V$990,1,TRUE)=K33,VLOOKUP(K33,'Train Runs'!$A$13:$V$990,22,TRUE),NA())</f>
        <v>#N/A</v>
      </c>
      <c r="J33" s="206">
        <f t="shared" si="2"/>
        <v>42801.272222222222</v>
      </c>
      <c r="K33" s="206" t="str">
        <f>D33&amp;"-"&amp;IF(DAY(Variables!$A$2)&lt;10,0,"")&amp;DAY(Variables!$A$2)</f>
        <v>240-09</v>
      </c>
      <c r="L33" s="202" t="e">
        <f>IF(VLOOKUP(K33,'Train Runs'!$A$12:$B$990,1,TRUE)=K33,VLOOKUP(K33,'Train Runs'!$A$12:$B$990,2,TRUE),NA())</f>
        <v>#N/A</v>
      </c>
      <c r="M33" s="202">
        <f>VLOOKUP(B33,Variables!$T$2:$X$99,2,FALSE)</f>
        <v>167</v>
      </c>
      <c r="N33" s="202">
        <f>VLOOKUP(B33,Variables!$T$2:$X$99,3,FALSE)</f>
        <v>168</v>
      </c>
      <c r="O33" s="202">
        <f>VLOOKUP(B33,Variables!$T$2:$X$99,4,FALSE)</f>
        <v>199</v>
      </c>
      <c r="P33" s="202">
        <f>VLOOKUP(B33,Variables!$T$2:$X$99,5,FALSE)</f>
        <v>200</v>
      </c>
      <c r="Q33" s="201" t="str">
        <f t="shared" si="3"/>
        <v>(\|PRM\|1\|D)|(crossing.((167)|(168)|(199)|(200)))</v>
      </c>
    </row>
    <row r="34" spans="1:17" x14ac:dyDescent="0.25">
      <c r="A34" s="198">
        <v>42801.040277777778</v>
      </c>
      <c r="B34" s="204" t="s">
        <v>357</v>
      </c>
      <c r="C34" s="194" t="s">
        <v>359</v>
      </c>
      <c r="D34" s="208">
        <v>240</v>
      </c>
      <c r="E34" s="30" t="s">
        <v>361</v>
      </c>
      <c r="F34" s="208" t="b">
        <v>1</v>
      </c>
      <c r="G34" s="212" t="e">
        <f t="shared" si="0"/>
        <v>#N/A</v>
      </c>
      <c r="H34" s="214" t="e">
        <f t="shared" si="1"/>
        <v>#N/A</v>
      </c>
      <c r="I34" s="210" t="e">
        <f>IF(VLOOKUP(K34,'Train Runs'!$A$13:$V$990,1,TRUE)=K34,VLOOKUP(K34,'Train Runs'!$A$13:$V$990,22,TRUE),NA())</f>
        <v>#N/A</v>
      </c>
      <c r="J34" s="206">
        <f t="shared" si="2"/>
        <v>42801.290277777778</v>
      </c>
      <c r="K34" s="206" t="str">
        <f>D34&amp;"-"&amp;IF(DAY(Variables!$A$2)&lt;10,0,"")&amp;DAY(Variables!$A$2)</f>
        <v>240-09</v>
      </c>
      <c r="L34" s="202" t="e">
        <f>IF(VLOOKUP(K34,'Train Runs'!$A$12:$B$990,1,TRUE)=K34,VLOOKUP(K34,'Train Runs'!$A$12:$B$990,2,TRUE),NA())</f>
        <v>#N/A</v>
      </c>
      <c r="M34" s="202">
        <f>VLOOKUP(B34,Variables!$T$2:$X$99,2,FALSE)</f>
        <v>167</v>
      </c>
      <c r="N34" s="202">
        <f>VLOOKUP(B34,Variables!$T$2:$X$99,3,FALSE)</f>
        <v>168</v>
      </c>
      <c r="O34" s="202">
        <f>VLOOKUP(B34,Variables!$T$2:$X$99,4,FALSE)</f>
        <v>199</v>
      </c>
      <c r="P34" s="202">
        <f>VLOOKUP(B34,Variables!$T$2:$X$99,5,FALSE)</f>
        <v>200</v>
      </c>
      <c r="Q34" s="201" t="str">
        <f t="shared" si="3"/>
        <v>(\|PRM\|1\|D)|(crossing.((167)|(168)|(199)|(200)))</v>
      </c>
    </row>
    <row r="35" spans="1:17" x14ac:dyDescent="0.25">
      <c r="A35" s="198">
        <v>42801.061805555553</v>
      </c>
      <c r="B35" s="204" t="s">
        <v>357</v>
      </c>
      <c r="C35" s="194" t="s">
        <v>359</v>
      </c>
      <c r="D35" s="208">
        <v>242</v>
      </c>
      <c r="E35" s="30" t="s">
        <v>361</v>
      </c>
      <c r="F35" s="208" t="b">
        <v>1</v>
      </c>
      <c r="G35" s="212" t="e">
        <f t="shared" si="0"/>
        <v>#N/A</v>
      </c>
      <c r="H35" s="214" t="e">
        <f t="shared" si="1"/>
        <v>#N/A</v>
      </c>
      <c r="I35" s="210" t="e">
        <f>IF(VLOOKUP(K35,'Train Runs'!$A$13:$V$990,1,TRUE)=K35,VLOOKUP(K35,'Train Runs'!$A$13:$V$990,22,TRUE),NA())</f>
        <v>#N/A</v>
      </c>
      <c r="J35" s="206">
        <f t="shared" si="2"/>
        <v>42801.311805555553</v>
      </c>
      <c r="K35" s="206" t="str">
        <f>D35&amp;"-"&amp;IF(DAY(Variables!$A$2)&lt;10,0,"")&amp;DAY(Variables!$A$2)</f>
        <v>242-09</v>
      </c>
      <c r="L35" s="202" t="e">
        <f>IF(VLOOKUP(K35,'Train Runs'!$A$12:$B$990,1,TRUE)=K35,VLOOKUP(K35,'Train Runs'!$A$12:$B$990,2,TRUE),NA())</f>
        <v>#N/A</v>
      </c>
      <c r="M35" s="202">
        <f>VLOOKUP(B35,Variables!$T$2:$X$99,2,FALSE)</f>
        <v>167</v>
      </c>
      <c r="N35" s="202">
        <f>VLOOKUP(B35,Variables!$T$2:$X$99,3,FALSE)</f>
        <v>168</v>
      </c>
      <c r="O35" s="202">
        <f>VLOOKUP(B35,Variables!$T$2:$X$99,4,FALSE)</f>
        <v>199</v>
      </c>
      <c r="P35" s="202">
        <f>VLOOKUP(B35,Variables!$T$2:$X$99,5,FALSE)</f>
        <v>200</v>
      </c>
      <c r="Q35" s="201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1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6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42834.033645833333</v>
      </c>
      <c r="B2" s="20" t="s">
        <v>487</v>
      </c>
      <c r="C2" s="20" t="s">
        <v>624</v>
      </c>
      <c r="D2" s="146">
        <v>2000000</v>
      </c>
      <c r="E2" s="20" t="s">
        <v>376</v>
      </c>
      <c r="F2" s="20" t="s">
        <v>193</v>
      </c>
      <c r="G2" s="8" t="str">
        <f>E2&amp;" "&amp;F2</f>
        <v>STAMBAUGH JAMES</v>
      </c>
    </row>
    <row r="3" spans="1:7" x14ac:dyDescent="0.25">
      <c r="A3" s="8">
        <v>42834.038506944446</v>
      </c>
      <c r="B3" s="20" t="s">
        <v>444</v>
      </c>
      <c r="C3" s="20" t="s">
        <v>625</v>
      </c>
      <c r="D3" s="146">
        <v>2270000</v>
      </c>
      <c r="E3" s="20" t="s">
        <v>207</v>
      </c>
      <c r="F3" s="20" t="s">
        <v>208</v>
      </c>
      <c r="G3" s="8" t="str">
        <f t="shared" ref="G3:G66" si="0">E3&amp;" "&amp;F3</f>
        <v>BROWN JACOB</v>
      </c>
    </row>
    <row r="4" spans="1:7" x14ac:dyDescent="0.25">
      <c r="A4" s="8">
        <v>42834.049618055556</v>
      </c>
      <c r="B4" s="20" t="s">
        <v>381</v>
      </c>
      <c r="C4" s="20" t="s">
        <v>626</v>
      </c>
      <c r="D4" s="146">
        <v>2230000</v>
      </c>
      <c r="E4" s="20" t="s">
        <v>382</v>
      </c>
      <c r="F4" s="20" t="s">
        <v>196</v>
      </c>
      <c r="G4" s="8" t="str">
        <f t="shared" si="0"/>
        <v>SMITH MICHAEL</v>
      </c>
    </row>
    <row r="5" spans="1:7" x14ac:dyDescent="0.25">
      <c r="A5" s="8">
        <v>42834.056828703702</v>
      </c>
      <c r="B5" s="20" t="s">
        <v>404</v>
      </c>
      <c r="C5" s="20" t="s">
        <v>627</v>
      </c>
      <c r="D5" s="146">
        <v>2150000</v>
      </c>
      <c r="E5" s="20" t="s">
        <v>372</v>
      </c>
      <c r="F5" s="20" t="s">
        <v>373</v>
      </c>
      <c r="G5" s="8" t="str">
        <f t="shared" si="0"/>
        <v>SWANSON BRYCE</v>
      </c>
    </row>
    <row r="6" spans="1:7" x14ac:dyDescent="0.25">
      <c r="A6" s="8">
        <v>42834.067546296297</v>
      </c>
      <c r="B6" s="20" t="s">
        <v>490</v>
      </c>
      <c r="C6" s="20" t="s">
        <v>628</v>
      </c>
      <c r="D6" s="146">
        <v>2000000</v>
      </c>
      <c r="E6" s="20" t="s">
        <v>376</v>
      </c>
      <c r="F6" s="20" t="s">
        <v>193</v>
      </c>
      <c r="G6" s="8" t="str">
        <f t="shared" si="0"/>
        <v>STAMBAUGH JAMES</v>
      </c>
    </row>
    <row r="7" spans="1:7" x14ac:dyDescent="0.25">
      <c r="A7" s="8">
        <v>42834.078356481485</v>
      </c>
      <c r="B7" s="20" t="s">
        <v>438</v>
      </c>
      <c r="C7" s="20" t="s">
        <v>629</v>
      </c>
      <c r="D7" s="146">
        <v>2270000</v>
      </c>
      <c r="E7" s="20" t="s">
        <v>207</v>
      </c>
      <c r="F7" s="20" t="s">
        <v>208</v>
      </c>
      <c r="G7" s="8" t="str">
        <f t="shared" si="0"/>
        <v>BROWN JACOB</v>
      </c>
    </row>
    <row r="8" spans="1:7" x14ac:dyDescent="0.25">
      <c r="A8" s="8">
        <v>42834.091898148145</v>
      </c>
      <c r="B8" s="20" t="s">
        <v>403</v>
      </c>
      <c r="C8" s="20" t="s">
        <v>630</v>
      </c>
      <c r="D8" s="146">
        <v>2150000</v>
      </c>
      <c r="E8" s="20" t="s">
        <v>372</v>
      </c>
      <c r="F8" s="20" t="s">
        <v>373</v>
      </c>
      <c r="G8" s="8" t="str">
        <f t="shared" si="0"/>
        <v>SWANSON BRYCE</v>
      </c>
    </row>
    <row r="9" spans="1:7" ht="15.75" thickBot="1" x14ac:dyDescent="0.3">
      <c r="A9" s="24">
        <v>42834.110312500001</v>
      </c>
      <c r="B9" s="20" t="s">
        <v>444</v>
      </c>
      <c r="C9" s="20" t="s">
        <v>631</v>
      </c>
      <c r="D9" s="146">
        <v>2270000</v>
      </c>
      <c r="E9" s="20" t="s">
        <v>207</v>
      </c>
      <c r="F9" s="20" t="s">
        <v>208</v>
      </c>
      <c r="G9" s="8" t="str">
        <f t="shared" si="0"/>
        <v>BROWN JACOB</v>
      </c>
    </row>
    <row r="10" spans="1:7" x14ac:dyDescent="0.25">
      <c r="A10" s="8">
        <v>42834.118761574071</v>
      </c>
      <c r="B10" s="20" t="s">
        <v>378</v>
      </c>
      <c r="C10" s="20" t="s">
        <v>632</v>
      </c>
      <c r="D10" s="146">
        <v>1360000</v>
      </c>
      <c r="E10" s="20" t="s">
        <v>633</v>
      </c>
      <c r="F10" s="20" t="s">
        <v>634</v>
      </c>
      <c r="G10" s="8" t="str">
        <f t="shared" si="0"/>
        <v>SANTIZO D. EDY</v>
      </c>
    </row>
    <row r="11" spans="1:7" x14ac:dyDescent="0.25">
      <c r="A11" s="8">
        <v>42834.127824074072</v>
      </c>
      <c r="B11" s="20" t="s">
        <v>542</v>
      </c>
      <c r="C11" s="20" t="s">
        <v>635</v>
      </c>
      <c r="D11" s="146">
        <v>1360000</v>
      </c>
      <c r="E11" s="20" t="s">
        <v>633</v>
      </c>
      <c r="F11" s="20" t="s">
        <v>634</v>
      </c>
      <c r="G11" s="8" t="str">
        <f t="shared" si="0"/>
        <v>SANTIZO D. EDY</v>
      </c>
    </row>
    <row r="12" spans="1:7" x14ac:dyDescent="0.25">
      <c r="A12" s="8">
        <v>42834.138333333336</v>
      </c>
      <c r="B12" s="20" t="s">
        <v>386</v>
      </c>
      <c r="C12" s="20" t="s">
        <v>636</v>
      </c>
      <c r="D12" s="146">
        <v>2010000</v>
      </c>
      <c r="E12" s="20" t="s">
        <v>637</v>
      </c>
      <c r="F12" s="20" t="s">
        <v>638</v>
      </c>
      <c r="G12" s="8" t="str">
        <f t="shared" si="0"/>
        <v>MAELZER KURT</v>
      </c>
    </row>
    <row r="13" spans="1:7" x14ac:dyDescent="0.25">
      <c r="A13" s="8">
        <v>42834.150046296294</v>
      </c>
      <c r="B13" s="20" t="s">
        <v>385</v>
      </c>
      <c r="C13" s="20" t="s">
        <v>639</v>
      </c>
      <c r="D13" s="146">
        <v>2010000</v>
      </c>
      <c r="E13" s="20" t="s">
        <v>637</v>
      </c>
      <c r="F13" s="20" t="s">
        <v>638</v>
      </c>
      <c r="G13" s="8" t="str">
        <f t="shared" si="0"/>
        <v>MAELZER KURT</v>
      </c>
    </row>
    <row r="14" spans="1:7" x14ac:dyDescent="0.25">
      <c r="A14" s="8">
        <v>42834.158854166664</v>
      </c>
      <c r="B14" s="20" t="s">
        <v>427</v>
      </c>
      <c r="C14" s="20" t="s">
        <v>640</v>
      </c>
      <c r="D14" s="146">
        <v>2550000</v>
      </c>
      <c r="E14" s="20" t="s">
        <v>488</v>
      </c>
      <c r="F14" s="20" t="s">
        <v>489</v>
      </c>
      <c r="G14" s="8" t="str">
        <f t="shared" si="0"/>
        <v>BADERTSCHER DIANE</v>
      </c>
    </row>
    <row r="15" spans="1:7" x14ac:dyDescent="0.25">
      <c r="A15" s="8">
        <v>42834.162777777776</v>
      </c>
      <c r="B15" s="20" t="s">
        <v>378</v>
      </c>
      <c r="C15" s="20" t="s">
        <v>641</v>
      </c>
      <c r="D15" s="146">
        <v>1360000</v>
      </c>
      <c r="E15" s="20" t="s">
        <v>633</v>
      </c>
      <c r="F15" s="20" t="s">
        <v>634</v>
      </c>
      <c r="G15" s="8" t="str">
        <f t="shared" si="0"/>
        <v>SANTIZO D. EDY</v>
      </c>
    </row>
    <row r="16" spans="1:7" x14ac:dyDescent="0.25">
      <c r="A16" s="8">
        <v>42834.171990740739</v>
      </c>
      <c r="B16" s="20" t="s">
        <v>439</v>
      </c>
      <c r="C16" s="20" t="s">
        <v>642</v>
      </c>
      <c r="D16" s="146">
        <v>2550000</v>
      </c>
      <c r="E16" s="20" t="s">
        <v>488</v>
      </c>
      <c r="F16" s="20" t="s">
        <v>489</v>
      </c>
      <c r="G16" s="8" t="str">
        <f t="shared" si="0"/>
        <v>BADERTSCHER DIANE</v>
      </c>
    </row>
    <row r="17" spans="1:7" x14ac:dyDescent="0.25">
      <c r="A17" s="8">
        <v>42834.173101851855</v>
      </c>
      <c r="B17" s="20" t="s">
        <v>439</v>
      </c>
      <c r="C17" s="20" t="s">
        <v>642</v>
      </c>
      <c r="D17" s="146">
        <v>2550000</v>
      </c>
      <c r="E17" s="20" t="s">
        <v>488</v>
      </c>
      <c r="F17" s="20" t="s">
        <v>489</v>
      </c>
      <c r="G17" s="8" t="str">
        <f t="shared" si="0"/>
        <v>BADERTSCHER DIANE</v>
      </c>
    </row>
    <row r="18" spans="1:7" x14ac:dyDescent="0.25">
      <c r="A18" s="8">
        <v>42834.174131944441</v>
      </c>
      <c r="B18" s="20" t="s">
        <v>455</v>
      </c>
      <c r="C18" s="20" t="s">
        <v>643</v>
      </c>
      <c r="D18" s="146">
        <v>1990000</v>
      </c>
      <c r="E18" s="20" t="s">
        <v>644</v>
      </c>
      <c r="F18" s="20" t="s">
        <v>645</v>
      </c>
      <c r="G18" s="8" t="str">
        <f t="shared" si="0"/>
        <v>DAVIS WENDY</v>
      </c>
    </row>
    <row r="19" spans="1:7" x14ac:dyDescent="0.25">
      <c r="A19" s="8">
        <v>42834.181956018518</v>
      </c>
      <c r="B19" s="20" t="s">
        <v>384</v>
      </c>
      <c r="C19" s="20" t="s">
        <v>646</v>
      </c>
      <c r="D19" s="146">
        <v>2140000</v>
      </c>
      <c r="E19" s="20" t="s">
        <v>533</v>
      </c>
      <c r="F19" s="20" t="s">
        <v>534</v>
      </c>
      <c r="G19" s="8" t="str">
        <f t="shared" si="0"/>
        <v>ROBINSON KADDIBA</v>
      </c>
    </row>
    <row r="20" spans="1:7" x14ac:dyDescent="0.25">
      <c r="A20" s="8">
        <v>42834.183715277781</v>
      </c>
      <c r="B20" s="20" t="s">
        <v>458</v>
      </c>
      <c r="C20" s="20" t="s">
        <v>647</v>
      </c>
      <c r="D20" s="146">
        <v>1990000</v>
      </c>
      <c r="E20" s="20" t="s">
        <v>644</v>
      </c>
      <c r="F20" s="20" t="s">
        <v>645</v>
      </c>
      <c r="G20" s="8" t="str">
        <f t="shared" si="0"/>
        <v>DAVIS WENDY</v>
      </c>
    </row>
    <row r="21" spans="1:7" x14ac:dyDescent="0.25">
      <c r="A21" s="8">
        <v>42834.188078703701</v>
      </c>
      <c r="B21" s="20" t="s">
        <v>386</v>
      </c>
      <c r="C21" s="20" t="s">
        <v>648</v>
      </c>
      <c r="D21" s="146">
        <v>2010000</v>
      </c>
      <c r="E21" s="20" t="s">
        <v>637</v>
      </c>
      <c r="F21" s="20" t="s">
        <v>638</v>
      </c>
      <c r="G21" s="8" t="str">
        <f t="shared" si="0"/>
        <v>MAELZER KURT</v>
      </c>
    </row>
    <row r="22" spans="1:7" x14ac:dyDescent="0.25">
      <c r="A22" s="26">
        <v>42834.1952662037</v>
      </c>
      <c r="B22" s="20" t="s">
        <v>383</v>
      </c>
      <c r="C22" s="20" t="s">
        <v>649</v>
      </c>
      <c r="D22" s="146">
        <v>2140000</v>
      </c>
      <c r="E22" s="20" t="s">
        <v>533</v>
      </c>
      <c r="F22" s="20" t="s">
        <v>534</v>
      </c>
      <c r="G22" s="8" t="str">
        <f t="shared" si="0"/>
        <v>ROBINSON KADDIBA</v>
      </c>
    </row>
    <row r="23" spans="1:7" x14ac:dyDescent="0.25">
      <c r="A23" s="8">
        <v>42834.203414351854</v>
      </c>
      <c r="B23" s="20" t="s">
        <v>377</v>
      </c>
      <c r="C23" s="20" t="s">
        <v>650</v>
      </c>
      <c r="D23" s="146">
        <v>1360000</v>
      </c>
      <c r="E23" s="20" t="s">
        <v>633</v>
      </c>
      <c r="F23" s="20" t="s">
        <v>634</v>
      </c>
      <c r="G23" s="8" t="str">
        <f t="shared" si="0"/>
        <v>SANTIZO D. EDY</v>
      </c>
    </row>
    <row r="24" spans="1:7" x14ac:dyDescent="0.25">
      <c r="A24" s="8">
        <v>42834.203773148147</v>
      </c>
      <c r="B24" s="20" t="s">
        <v>542</v>
      </c>
      <c r="C24" s="20" t="s">
        <v>651</v>
      </c>
      <c r="D24" s="146">
        <v>1100000</v>
      </c>
      <c r="E24" s="20" t="s">
        <v>491</v>
      </c>
      <c r="F24" s="20" t="s">
        <v>492</v>
      </c>
      <c r="G24" s="8" t="str">
        <f t="shared" si="0"/>
        <v>GEBRETEKLE DAGNEW</v>
      </c>
    </row>
    <row r="25" spans="1:7" x14ac:dyDescent="0.25">
      <c r="A25" s="8">
        <v>42834.211006944446</v>
      </c>
      <c r="B25" s="20" t="s">
        <v>427</v>
      </c>
      <c r="C25" s="20" t="s">
        <v>652</v>
      </c>
      <c r="D25" s="146">
        <v>2550000</v>
      </c>
      <c r="E25" s="20" t="s">
        <v>488</v>
      </c>
      <c r="F25" s="20" t="s">
        <v>489</v>
      </c>
      <c r="G25" s="8" t="str">
        <f t="shared" si="0"/>
        <v>BADERTSCHER DIANE</v>
      </c>
    </row>
    <row r="26" spans="1:7" x14ac:dyDescent="0.25">
      <c r="A26" s="8">
        <v>42834.218831018516</v>
      </c>
      <c r="B26" s="20" t="s">
        <v>653</v>
      </c>
      <c r="C26" s="20" t="s">
        <v>654</v>
      </c>
      <c r="D26" s="146">
        <v>1830000</v>
      </c>
      <c r="E26" s="20" t="s">
        <v>422</v>
      </c>
      <c r="F26" s="20" t="s">
        <v>423</v>
      </c>
      <c r="G26" s="8" t="str">
        <f t="shared" si="0"/>
        <v>YORK EDGAR</v>
      </c>
    </row>
    <row r="27" spans="1:7" x14ac:dyDescent="0.25">
      <c r="A27" s="8">
        <v>42834.219571759262</v>
      </c>
      <c r="B27" s="20" t="s">
        <v>653</v>
      </c>
      <c r="C27" s="20" t="s">
        <v>654</v>
      </c>
      <c r="D27" s="146">
        <v>1830000</v>
      </c>
      <c r="E27" s="20" t="s">
        <v>422</v>
      </c>
      <c r="F27" s="20" t="s">
        <v>423</v>
      </c>
      <c r="G27" s="8" t="str">
        <f t="shared" si="0"/>
        <v>YORK EDGAR</v>
      </c>
    </row>
    <row r="28" spans="1:7" x14ac:dyDescent="0.25">
      <c r="A28" s="8">
        <v>42834.224675925929</v>
      </c>
      <c r="B28" s="20" t="s">
        <v>455</v>
      </c>
      <c r="C28" s="20" t="s">
        <v>655</v>
      </c>
      <c r="D28" s="146">
        <v>1990000</v>
      </c>
      <c r="E28" s="20" t="s">
        <v>644</v>
      </c>
      <c r="F28" s="20" t="s">
        <v>645</v>
      </c>
      <c r="G28" s="8" t="str">
        <f t="shared" si="0"/>
        <v>DAVIS WENDY</v>
      </c>
    </row>
    <row r="29" spans="1:7" x14ac:dyDescent="0.25">
      <c r="A29" s="8">
        <v>42834.226967592593</v>
      </c>
      <c r="B29" s="20" t="s">
        <v>385</v>
      </c>
      <c r="C29" s="20" t="s">
        <v>656</v>
      </c>
      <c r="D29" s="146">
        <v>2020000</v>
      </c>
      <c r="E29" s="20" t="s">
        <v>535</v>
      </c>
      <c r="F29" s="20" t="s">
        <v>495</v>
      </c>
      <c r="G29" s="8" t="str">
        <f t="shared" si="0"/>
        <v>SHOOK JOHN</v>
      </c>
    </row>
    <row r="30" spans="1:7" x14ac:dyDescent="0.25">
      <c r="A30" s="8">
        <v>42834.227939814817</v>
      </c>
      <c r="B30" s="20" t="s">
        <v>385</v>
      </c>
      <c r="C30" s="20" t="s">
        <v>656</v>
      </c>
      <c r="D30" s="146">
        <v>2020000</v>
      </c>
      <c r="E30" s="20" t="s">
        <v>535</v>
      </c>
      <c r="F30" s="20" t="s">
        <v>495</v>
      </c>
      <c r="G30" s="8" t="str">
        <f t="shared" si="0"/>
        <v>SHOOK JOHN</v>
      </c>
    </row>
    <row r="31" spans="1:7" x14ac:dyDescent="0.25">
      <c r="A31" s="8">
        <v>42834.228692129633</v>
      </c>
      <c r="B31" s="20" t="s">
        <v>657</v>
      </c>
      <c r="C31" s="20" t="s">
        <v>658</v>
      </c>
      <c r="D31" s="146">
        <v>1830000</v>
      </c>
      <c r="E31" s="20" t="s">
        <v>422</v>
      </c>
      <c r="F31" s="20" t="s">
        <v>423</v>
      </c>
      <c r="G31" s="8" t="str">
        <f t="shared" si="0"/>
        <v>YORK EDGAR</v>
      </c>
    </row>
    <row r="32" spans="1:7" x14ac:dyDescent="0.25">
      <c r="A32" s="8">
        <v>42834.232974537037</v>
      </c>
      <c r="B32" s="20" t="s">
        <v>199</v>
      </c>
      <c r="C32" s="20" t="s">
        <v>659</v>
      </c>
      <c r="D32" s="146">
        <v>2040000</v>
      </c>
      <c r="E32" s="20" t="s">
        <v>498</v>
      </c>
      <c r="F32" s="20" t="s">
        <v>499</v>
      </c>
      <c r="G32" s="8" t="str">
        <f t="shared" si="0"/>
        <v>MOSES BRADLEY</v>
      </c>
    </row>
    <row r="33" spans="1:7" x14ac:dyDescent="0.25">
      <c r="A33" s="8">
        <v>42834.234895833331</v>
      </c>
      <c r="B33" s="20" t="s">
        <v>384</v>
      </c>
      <c r="C33" s="20" t="s">
        <v>660</v>
      </c>
      <c r="D33" s="146">
        <v>2140000</v>
      </c>
      <c r="E33" s="20" t="s">
        <v>533</v>
      </c>
      <c r="F33" s="20" t="s">
        <v>534</v>
      </c>
      <c r="G33" s="8" t="str">
        <f t="shared" si="0"/>
        <v>ROBINSON KADDIBA</v>
      </c>
    </row>
    <row r="34" spans="1:7" x14ac:dyDescent="0.25">
      <c r="A34" s="8">
        <v>42834.243738425925</v>
      </c>
      <c r="B34" s="20" t="s">
        <v>538</v>
      </c>
      <c r="C34" s="20" t="s">
        <v>661</v>
      </c>
      <c r="D34" s="146">
        <v>1100000</v>
      </c>
      <c r="E34" s="20" t="s">
        <v>491</v>
      </c>
      <c r="F34" s="20" t="s">
        <v>492</v>
      </c>
      <c r="G34" s="8" t="str">
        <f t="shared" si="0"/>
        <v>GEBRETEKLE DAGNEW</v>
      </c>
    </row>
    <row r="35" spans="1:7" x14ac:dyDescent="0.25">
      <c r="A35" s="8">
        <v>42834.246412037035</v>
      </c>
      <c r="B35" s="20" t="s">
        <v>378</v>
      </c>
      <c r="C35" s="20" t="s">
        <v>601</v>
      </c>
      <c r="D35" s="146">
        <v>1360000</v>
      </c>
      <c r="E35" s="20" t="s">
        <v>633</v>
      </c>
      <c r="F35" s="20" t="s">
        <v>634</v>
      </c>
      <c r="G35" s="8" t="str">
        <f t="shared" si="0"/>
        <v>SANTIZO D. EDY</v>
      </c>
    </row>
    <row r="36" spans="1:7" x14ac:dyDescent="0.25">
      <c r="A36" s="8">
        <v>42834.247361111113</v>
      </c>
      <c r="B36" s="20" t="s">
        <v>653</v>
      </c>
      <c r="C36" s="20" t="s">
        <v>662</v>
      </c>
      <c r="D36" s="146">
        <v>1830000</v>
      </c>
      <c r="E36" s="20" t="s">
        <v>422</v>
      </c>
      <c r="F36" s="20" t="s">
        <v>423</v>
      </c>
      <c r="G36" s="8" t="str">
        <f t="shared" si="0"/>
        <v>YORK EDGAR</v>
      </c>
    </row>
    <row r="37" spans="1:7" x14ac:dyDescent="0.25">
      <c r="A37" s="8">
        <v>42834.247662037036</v>
      </c>
      <c r="B37" s="20" t="s">
        <v>439</v>
      </c>
      <c r="C37" s="20" t="s">
        <v>663</v>
      </c>
      <c r="D37" s="146">
        <v>2550000</v>
      </c>
      <c r="E37" s="20" t="s">
        <v>488</v>
      </c>
      <c r="F37" s="20" t="s">
        <v>489</v>
      </c>
      <c r="G37" s="8" t="str">
        <f t="shared" si="0"/>
        <v>BADERTSCHER DIANE</v>
      </c>
    </row>
    <row r="38" spans="1:7" x14ac:dyDescent="0.25">
      <c r="A38" s="8">
        <v>42834.256851851853</v>
      </c>
      <c r="B38" s="20" t="s">
        <v>612</v>
      </c>
      <c r="C38" s="20" t="s">
        <v>664</v>
      </c>
      <c r="D38" s="146">
        <v>2020000</v>
      </c>
      <c r="E38" s="20" t="s">
        <v>535</v>
      </c>
      <c r="F38" s="20" t="s">
        <v>495</v>
      </c>
      <c r="G38" s="8" t="str">
        <f t="shared" si="0"/>
        <v>SHOOK JOHN</v>
      </c>
    </row>
    <row r="39" spans="1:7" x14ac:dyDescent="0.25">
      <c r="A39" s="8">
        <v>42834.257928240739</v>
      </c>
      <c r="B39" s="20" t="s">
        <v>458</v>
      </c>
      <c r="C39" s="20" t="s">
        <v>665</v>
      </c>
      <c r="D39" s="146">
        <v>1990000</v>
      </c>
      <c r="E39" s="20" t="s">
        <v>644</v>
      </c>
      <c r="F39" s="20" t="s">
        <v>645</v>
      </c>
      <c r="G39" s="8" t="str">
        <f t="shared" si="0"/>
        <v>DAVIS WENDY</v>
      </c>
    </row>
    <row r="40" spans="1:7" x14ac:dyDescent="0.25">
      <c r="A40" s="8">
        <v>42834.26630787037</v>
      </c>
      <c r="B40" s="25" t="s">
        <v>383</v>
      </c>
      <c r="C40" s="20" t="s">
        <v>666</v>
      </c>
      <c r="D40" s="146">
        <v>2140000</v>
      </c>
      <c r="E40" s="20" t="s">
        <v>533</v>
      </c>
      <c r="F40" s="20" t="s">
        <v>534</v>
      </c>
      <c r="G40" s="8" t="str">
        <f t="shared" si="0"/>
        <v>ROBINSON KADDIBA</v>
      </c>
    </row>
    <row r="41" spans="1:7" x14ac:dyDescent="0.25">
      <c r="A41" s="8">
        <v>42834.274988425925</v>
      </c>
      <c r="B41" s="20" t="s">
        <v>386</v>
      </c>
      <c r="C41" s="20" t="s">
        <v>667</v>
      </c>
      <c r="D41" s="146">
        <v>2040000</v>
      </c>
      <c r="E41" s="20" t="s">
        <v>498</v>
      </c>
      <c r="F41" s="20" t="s">
        <v>499</v>
      </c>
      <c r="G41" s="8" t="str">
        <f t="shared" si="0"/>
        <v>MOSES BRADLEY</v>
      </c>
    </row>
    <row r="42" spans="1:7" x14ac:dyDescent="0.25">
      <c r="A42" s="8">
        <v>42834.275277777779</v>
      </c>
      <c r="B42" s="20" t="s">
        <v>657</v>
      </c>
      <c r="C42" s="20" t="s">
        <v>668</v>
      </c>
      <c r="D42" s="146">
        <v>1830000</v>
      </c>
      <c r="E42" s="20" t="s">
        <v>422</v>
      </c>
      <c r="F42" s="20" t="s">
        <v>423</v>
      </c>
      <c r="G42" s="8" t="str">
        <f t="shared" si="0"/>
        <v>YORK EDGAR</v>
      </c>
    </row>
    <row r="43" spans="1:7" x14ac:dyDescent="0.25">
      <c r="A43" s="8">
        <v>42834.276585648149</v>
      </c>
      <c r="B43" s="20" t="s">
        <v>542</v>
      </c>
      <c r="C43" s="20" t="s">
        <v>602</v>
      </c>
      <c r="D43" s="146">
        <v>1100000</v>
      </c>
      <c r="E43" s="20" t="s">
        <v>491</v>
      </c>
      <c r="F43" s="20" t="s">
        <v>492</v>
      </c>
      <c r="G43" s="8" t="str">
        <f t="shared" si="0"/>
        <v>GEBRETEKLE DAGNEW</v>
      </c>
    </row>
    <row r="44" spans="1:7" x14ac:dyDescent="0.25">
      <c r="A44" s="8">
        <v>42834.281643518516</v>
      </c>
      <c r="B44" s="20" t="s">
        <v>440</v>
      </c>
      <c r="C44" s="20" t="s">
        <v>669</v>
      </c>
      <c r="D44" s="146">
        <v>2550000</v>
      </c>
      <c r="E44" s="20" t="s">
        <v>488</v>
      </c>
      <c r="F44" s="20" t="s">
        <v>489</v>
      </c>
      <c r="G44" s="8" t="str">
        <f t="shared" si="0"/>
        <v>BADERTSCHER DIANE</v>
      </c>
    </row>
    <row r="45" spans="1:7" x14ac:dyDescent="0.25">
      <c r="A45" s="8">
        <v>42834.282650462963</v>
      </c>
      <c r="B45" s="20" t="s">
        <v>440</v>
      </c>
      <c r="C45" s="20" t="s">
        <v>669</v>
      </c>
      <c r="D45" s="146">
        <v>2550000</v>
      </c>
      <c r="E45" s="20" t="s">
        <v>488</v>
      </c>
      <c r="F45" s="20" t="s">
        <v>489</v>
      </c>
      <c r="G45" s="8" t="str">
        <f t="shared" si="0"/>
        <v>BADERTSCHER DIANE</v>
      </c>
    </row>
    <row r="46" spans="1:7" x14ac:dyDescent="0.25">
      <c r="A46" s="8">
        <v>42834.285393518519</v>
      </c>
      <c r="B46" s="20" t="s">
        <v>377</v>
      </c>
      <c r="C46" s="20" t="s">
        <v>670</v>
      </c>
      <c r="D46" s="146">
        <v>1360000</v>
      </c>
      <c r="E46" s="20" t="s">
        <v>633</v>
      </c>
      <c r="F46" s="20" t="s">
        <v>634</v>
      </c>
      <c r="G46" s="8" t="str">
        <f t="shared" si="0"/>
        <v>SANTIZO D. EDY</v>
      </c>
    </row>
    <row r="47" spans="1:7" x14ac:dyDescent="0.25">
      <c r="A47" s="8">
        <v>42834.288923611108</v>
      </c>
      <c r="B47" s="20" t="s">
        <v>653</v>
      </c>
      <c r="C47" s="20" t="s">
        <v>671</v>
      </c>
      <c r="D47" s="146">
        <v>1830000</v>
      </c>
      <c r="E47" s="20" t="s">
        <v>422</v>
      </c>
      <c r="F47" s="20" t="s">
        <v>423</v>
      </c>
      <c r="G47" s="8" t="str">
        <f t="shared" si="0"/>
        <v>YORK EDGAR</v>
      </c>
    </row>
    <row r="48" spans="1:7" x14ac:dyDescent="0.25">
      <c r="A48" s="8">
        <v>42834.298125000001</v>
      </c>
      <c r="B48" s="20" t="s">
        <v>455</v>
      </c>
      <c r="C48" s="20" t="s">
        <v>672</v>
      </c>
      <c r="D48" s="146">
        <v>1990000</v>
      </c>
      <c r="E48" s="20" t="s">
        <v>644</v>
      </c>
      <c r="F48" s="20" t="s">
        <v>645</v>
      </c>
      <c r="G48" s="8" t="str">
        <f t="shared" si="0"/>
        <v>DAVIS WENDY</v>
      </c>
    </row>
    <row r="49" spans="1:7" x14ac:dyDescent="0.25">
      <c r="A49" s="8">
        <v>42834.29855324074</v>
      </c>
      <c r="B49" s="20" t="s">
        <v>385</v>
      </c>
      <c r="C49" s="20" t="s">
        <v>673</v>
      </c>
      <c r="D49" s="146">
        <v>2020000</v>
      </c>
      <c r="E49" s="20" t="s">
        <v>535</v>
      </c>
      <c r="F49" s="20" t="s">
        <v>495</v>
      </c>
      <c r="G49" s="8" t="str">
        <f t="shared" si="0"/>
        <v>SHOOK JOHN</v>
      </c>
    </row>
    <row r="50" spans="1:7" x14ac:dyDescent="0.25">
      <c r="A50" s="8">
        <v>42834.303993055553</v>
      </c>
      <c r="B50" s="20" t="s">
        <v>384</v>
      </c>
      <c r="C50" s="20" t="s">
        <v>674</v>
      </c>
      <c r="D50" s="146">
        <v>2140000</v>
      </c>
      <c r="E50" s="20" t="s">
        <v>533</v>
      </c>
      <c r="F50" s="20" t="s">
        <v>534</v>
      </c>
      <c r="G50" s="8" t="str">
        <f t="shared" si="0"/>
        <v>ROBINSON KADDIBA</v>
      </c>
    </row>
    <row r="51" spans="1:7" x14ac:dyDescent="0.25">
      <c r="A51" s="8">
        <v>42834.308564814812</v>
      </c>
      <c r="B51" s="20" t="s">
        <v>199</v>
      </c>
      <c r="C51" s="20" t="s">
        <v>675</v>
      </c>
      <c r="D51" s="146">
        <v>2010000</v>
      </c>
      <c r="E51" s="20" t="s">
        <v>637</v>
      </c>
      <c r="F51" s="20" t="s">
        <v>638</v>
      </c>
      <c r="G51" s="8" t="str">
        <f t="shared" si="0"/>
        <v>MAELZER KURT</v>
      </c>
    </row>
    <row r="52" spans="1:7" x14ac:dyDescent="0.25">
      <c r="A52" s="8">
        <v>42834.315983796296</v>
      </c>
      <c r="B52" s="20" t="s">
        <v>657</v>
      </c>
      <c r="C52" s="20" t="s">
        <v>676</v>
      </c>
      <c r="D52" s="146">
        <v>1830000</v>
      </c>
      <c r="E52" s="20" t="s">
        <v>422</v>
      </c>
      <c r="F52" s="20" t="s">
        <v>423</v>
      </c>
      <c r="G52" s="8" t="str">
        <f t="shared" si="0"/>
        <v>YORK EDGAR</v>
      </c>
    </row>
    <row r="53" spans="1:7" x14ac:dyDescent="0.25">
      <c r="A53" s="8">
        <v>42834.317696759259</v>
      </c>
      <c r="B53" s="20" t="s">
        <v>538</v>
      </c>
      <c r="C53" s="20" t="s">
        <v>677</v>
      </c>
      <c r="D53" s="146">
        <v>1100000</v>
      </c>
      <c r="E53" s="20" t="s">
        <v>491</v>
      </c>
      <c r="F53" s="20" t="s">
        <v>492</v>
      </c>
      <c r="G53" s="8" t="str">
        <f t="shared" si="0"/>
        <v>GEBRETEKLE DAGNEW</v>
      </c>
    </row>
    <row r="54" spans="1:7" x14ac:dyDescent="0.25">
      <c r="A54" s="8">
        <v>42834.318437499998</v>
      </c>
      <c r="B54" s="20" t="s">
        <v>378</v>
      </c>
      <c r="C54" s="20" t="s">
        <v>678</v>
      </c>
      <c r="D54" s="146">
        <v>1360000</v>
      </c>
      <c r="E54" s="20" t="s">
        <v>633</v>
      </c>
      <c r="F54" s="20" t="s">
        <v>634</v>
      </c>
      <c r="G54" s="8" t="str">
        <f t="shared" si="0"/>
        <v>SANTIZO D. EDY</v>
      </c>
    </row>
    <row r="55" spans="1:7" x14ac:dyDescent="0.25">
      <c r="A55" s="8">
        <v>42834.319652777776</v>
      </c>
      <c r="B55" s="20" t="s">
        <v>439</v>
      </c>
      <c r="C55" s="20" t="s">
        <v>679</v>
      </c>
      <c r="D55" s="146">
        <v>2550000</v>
      </c>
      <c r="E55" s="20" t="s">
        <v>488</v>
      </c>
      <c r="F55" s="20" t="s">
        <v>489</v>
      </c>
      <c r="G55" s="8" t="str">
        <f t="shared" si="0"/>
        <v>BADERTSCHER DIANE</v>
      </c>
    </row>
    <row r="56" spans="1:7" x14ac:dyDescent="0.25">
      <c r="A56" s="8">
        <v>42834.328738425924</v>
      </c>
      <c r="B56" s="20" t="s">
        <v>458</v>
      </c>
      <c r="C56" s="20" t="s">
        <v>680</v>
      </c>
      <c r="D56" s="146">
        <v>1990000</v>
      </c>
      <c r="E56" s="20" t="s">
        <v>644</v>
      </c>
      <c r="F56" s="20" t="s">
        <v>645</v>
      </c>
      <c r="G56" s="8" t="str">
        <f t="shared" si="0"/>
        <v>DAVIS WENDY</v>
      </c>
    </row>
    <row r="57" spans="1:7" x14ac:dyDescent="0.25">
      <c r="A57" s="8">
        <v>42834.330046296294</v>
      </c>
      <c r="B57" s="20" t="s">
        <v>612</v>
      </c>
      <c r="C57" s="20" t="s">
        <v>681</v>
      </c>
      <c r="D57" s="146">
        <v>2020000</v>
      </c>
      <c r="E57" s="20" t="s">
        <v>535</v>
      </c>
      <c r="F57" s="20" t="s">
        <v>495</v>
      </c>
      <c r="G57" s="8" t="str">
        <f t="shared" si="0"/>
        <v>SHOOK JOHN</v>
      </c>
    </row>
    <row r="58" spans="1:7" x14ac:dyDescent="0.25">
      <c r="A58" s="8">
        <v>42834.331550925926</v>
      </c>
      <c r="B58" s="20" t="s">
        <v>653</v>
      </c>
      <c r="C58" s="20" t="s">
        <v>682</v>
      </c>
      <c r="D58" s="146">
        <v>1830000</v>
      </c>
      <c r="E58" s="20" t="s">
        <v>422</v>
      </c>
      <c r="F58" s="20" t="s">
        <v>423</v>
      </c>
      <c r="G58" s="8" t="str">
        <f t="shared" si="0"/>
        <v>YORK EDGAR</v>
      </c>
    </row>
    <row r="59" spans="1:7" x14ac:dyDescent="0.25">
      <c r="A59" s="8">
        <v>42834.338831018518</v>
      </c>
      <c r="B59" s="20" t="s">
        <v>383</v>
      </c>
      <c r="C59" s="20" t="s">
        <v>683</v>
      </c>
      <c r="D59" s="146">
        <v>2140000</v>
      </c>
      <c r="E59" s="20" t="s">
        <v>533</v>
      </c>
      <c r="F59" s="20" t="s">
        <v>534</v>
      </c>
      <c r="G59" s="8" t="str">
        <f t="shared" si="0"/>
        <v>ROBINSON KADDIBA</v>
      </c>
    </row>
    <row r="60" spans="1:7" x14ac:dyDescent="0.25">
      <c r="A60" s="8">
        <v>42834.348564814813</v>
      </c>
      <c r="B60" s="20" t="s">
        <v>542</v>
      </c>
      <c r="C60" s="20" t="s">
        <v>684</v>
      </c>
      <c r="D60" s="146">
        <v>1100000</v>
      </c>
      <c r="E60" s="20" t="s">
        <v>491</v>
      </c>
      <c r="F60" s="20" t="s">
        <v>492</v>
      </c>
      <c r="G60" s="8" t="str">
        <f t="shared" si="0"/>
        <v>GEBRETEKLE DAGNEW</v>
      </c>
    </row>
    <row r="61" spans="1:7" x14ac:dyDescent="0.25">
      <c r="A61" s="8">
        <v>42834.350011574075</v>
      </c>
      <c r="B61" s="20" t="s">
        <v>386</v>
      </c>
      <c r="C61" s="20" t="s">
        <v>685</v>
      </c>
      <c r="D61" s="146">
        <v>2010000</v>
      </c>
      <c r="E61" s="20" t="s">
        <v>637</v>
      </c>
      <c r="F61" s="20" t="s">
        <v>638</v>
      </c>
      <c r="G61" s="8" t="str">
        <f t="shared" si="0"/>
        <v>MAELZER KURT</v>
      </c>
    </row>
    <row r="62" spans="1:7" x14ac:dyDescent="0.25">
      <c r="A62" s="8">
        <v>42834.357372685183</v>
      </c>
      <c r="B62" s="20" t="s">
        <v>440</v>
      </c>
      <c r="C62" s="20" t="s">
        <v>604</v>
      </c>
      <c r="D62" s="146">
        <v>2550000</v>
      </c>
      <c r="E62" s="20" t="s">
        <v>488</v>
      </c>
      <c r="F62" s="20" t="s">
        <v>489</v>
      </c>
      <c r="G62" s="8" t="str">
        <f t="shared" si="0"/>
        <v>BADERTSCHER DIANE</v>
      </c>
    </row>
    <row r="63" spans="1:7" x14ac:dyDescent="0.25">
      <c r="A63" s="8">
        <v>42834.357997685183</v>
      </c>
      <c r="B63" s="20" t="s">
        <v>657</v>
      </c>
      <c r="C63" s="20" t="s">
        <v>686</v>
      </c>
      <c r="D63" s="146">
        <v>1830000</v>
      </c>
      <c r="E63" s="20" t="s">
        <v>422</v>
      </c>
      <c r="F63" s="20" t="s">
        <v>423</v>
      </c>
      <c r="G63" s="8" t="str">
        <f t="shared" si="0"/>
        <v>YORK EDGAR</v>
      </c>
    </row>
    <row r="64" spans="1:7" x14ac:dyDescent="0.25">
      <c r="A64" s="26">
        <v>42834.361608796295</v>
      </c>
      <c r="B64" s="20" t="s">
        <v>377</v>
      </c>
      <c r="C64" s="20" t="s">
        <v>603</v>
      </c>
      <c r="D64" s="146">
        <v>2620000</v>
      </c>
      <c r="E64" s="20" t="s">
        <v>687</v>
      </c>
      <c r="F64" s="20" t="s">
        <v>688</v>
      </c>
      <c r="G64" s="8" t="str">
        <f t="shared" si="0"/>
        <v>PERKINS DARREN</v>
      </c>
    </row>
    <row r="65" spans="1:7" x14ac:dyDescent="0.25">
      <c r="A65" s="8">
        <v>42834.369710648149</v>
      </c>
      <c r="B65" s="20" t="s">
        <v>455</v>
      </c>
      <c r="C65" s="20" t="s">
        <v>689</v>
      </c>
      <c r="D65" s="146">
        <v>1990000</v>
      </c>
      <c r="E65" s="20" t="s">
        <v>644</v>
      </c>
      <c r="F65" s="20" t="s">
        <v>645</v>
      </c>
      <c r="G65" s="8" t="str">
        <f t="shared" si="0"/>
        <v>DAVIS WENDY</v>
      </c>
    </row>
    <row r="66" spans="1:7" x14ac:dyDescent="0.25">
      <c r="A66" s="8">
        <v>42834.371030092596</v>
      </c>
      <c r="B66" s="20" t="s">
        <v>385</v>
      </c>
      <c r="C66" s="20" t="s">
        <v>690</v>
      </c>
      <c r="D66" s="146">
        <v>2020000</v>
      </c>
      <c r="E66" s="20" t="s">
        <v>535</v>
      </c>
      <c r="F66" s="20" t="s">
        <v>495</v>
      </c>
      <c r="G66" s="8" t="str">
        <f t="shared" si="0"/>
        <v>SHOOK JOHN</v>
      </c>
    </row>
    <row r="67" spans="1:7" x14ac:dyDescent="0.25">
      <c r="A67" s="8">
        <v>42834.373067129629</v>
      </c>
      <c r="B67" s="20" t="s">
        <v>653</v>
      </c>
      <c r="C67" s="20" t="s">
        <v>691</v>
      </c>
      <c r="D67" s="146">
        <v>1830000</v>
      </c>
      <c r="E67" s="20" t="s">
        <v>422</v>
      </c>
      <c r="F67" s="20" t="s">
        <v>423</v>
      </c>
      <c r="G67" s="8" t="str">
        <f t="shared" ref="G67:G130" si="1">E67&amp;" "&amp;F67</f>
        <v>YORK EDGAR</v>
      </c>
    </row>
    <row r="68" spans="1:7" x14ac:dyDescent="0.25">
      <c r="A68" s="8">
        <v>42834.377638888887</v>
      </c>
      <c r="B68" s="20" t="s">
        <v>384</v>
      </c>
      <c r="C68" s="20" t="s">
        <v>692</v>
      </c>
      <c r="D68" s="146">
        <v>2140000</v>
      </c>
      <c r="E68" s="20" t="s">
        <v>533</v>
      </c>
      <c r="F68" s="20" t="s">
        <v>534</v>
      </c>
      <c r="G68" s="8" t="str">
        <f t="shared" si="1"/>
        <v>ROBINSON KADDIBA</v>
      </c>
    </row>
    <row r="69" spans="1:7" x14ac:dyDescent="0.25">
      <c r="A69" s="8">
        <v>42834.382557870369</v>
      </c>
      <c r="B69" s="20" t="s">
        <v>199</v>
      </c>
      <c r="C69" s="20" t="s">
        <v>693</v>
      </c>
      <c r="D69" s="146">
        <v>2010000</v>
      </c>
      <c r="E69" s="20" t="s">
        <v>637</v>
      </c>
      <c r="F69" s="20" t="s">
        <v>638</v>
      </c>
      <c r="G69" s="8" t="str">
        <f t="shared" si="1"/>
        <v>MAELZER KURT</v>
      </c>
    </row>
    <row r="70" spans="1:7" x14ac:dyDescent="0.25">
      <c r="A70" s="8">
        <v>42834.387511574074</v>
      </c>
      <c r="B70" s="20" t="s">
        <v>538</v>
      </c>
      <c r="C70" s="20" t="s">
        <v>694</v>
      </c>
      <c r="D70" s="146">
        <v>1100000</v>
      </c>
      <c r="E70" s="20" t="s">
        <v>491</v>
      </c>
      <c r="F70" s="20" t="s">
        <v>492</v>
      </c>
      <c r="G70" s="8" t="str">
        <f t="shared" si="1"/>
        <v>GEBRETEKLE DAGNEW</v>
      </c>
    </row>
    <row r="71" spans="1:7" x14ac:dyDescent="0.25">
      <c r="A71" s="8">
        <v>42834.391608796293</v>
      </c>
      <c r="B71" s="20" t="s">
        <v>439</v>
      </c>
      <c r="C71" s="20" t="s">
        <v>695</v>
      </c>
      <c r="D71" s="146">
        <v>2550000</v>
      </c>
      <c r="E71" s="20" t="s">
        <v>488</v>
      </c>
      <c r="F71" s="20" t="s">
        <v>489</v>
      </c>
      <c r="G71" s="8" t="str">
        <f t="shared" si="1"/>
        <v>BADERTSCHER DIANE</v>
      </c>
    </row>
    <row r="72" spans="1:7" x14ac:dyDescent="0.25">
      <c r="A72" s="8">
        <v>42834.393553240741</v>
      </c>
      <c r="B72" s="20" t="s">
        <v>378</v>
      </c>
      <c r="C72" s="20" t="s">
        <v>606</v>
      </c>
      <c r="D72" s="146">
        <v>2620000</v>
      </c>
      <c r="E72" s="20" t="s">
        <v>687</v>
      </c>
      <c r="F72" s="20" t="s">
        <v>688</v>
      </c>
      <c r="G72" s="8" t="str">
        <f t="shared" si="1"/>
        <v>PERKINS DARREN</v>
      </c>
    </row>
    <row r="73" spans="1:7" x14ac:dyDescent="0.25">
      <c r="A73" s="8">
        <v>42834.39949074074</v>
      </c>
      <c r="B73" s="20" t="s">
        <v>657</v>
      </c>
      <c r="C73" s="20" t="s">
        <v>696</v>
      </c>
      <c r="D73" s="146">
        <v>1830000</v>
      </c>
      <c r="E73" s="20" t="s">
        <v>422</v>
      </c>
      <c r="F73" s="20" t="s">
        <v>423</v>
      </c>
      <c r="G73" s="8" t="str">
        <f t="shared" si="1"/>
        <v>YORK EDGAR</v>
      </c>
    </row>
    <row r="74" spans="1:7" x14ac:dyDescent="0.25">
      <c r="A74" s="8">
        <v>42834.402083333334</v>
      </c>
      <c r="B74" s="20" t="s">
        <v>458</v>
      </c>
      <c r="C74" s="20" t="s">
        <v>697</v>
      </c>
      <c r="D74" s="146">
        <v>1990000</v>
      </c>
      <c r="E74" s="20" t="s">
        <v>644</v>
      </c>
      <c r="F74" s="20" t="s">
        <v>645</v>
      </c>
      <c r="G74" s="8" t="str">
        <f t="shared" si="1"/>
        <v>DAVIS WENDY</v>
      </c>
    </row>
    <row r="75" spans="1:7" x14ac:dyDescent="0.25">
      <c r="A75" s="8">
        <v>42834.402430555558</v>
      </c>
      <c r="B75" s="20" t="s">
        <v>612</v>
      </c>
      <c r="C75" s="20" t="s">
        <v>698</v>
      </c>
      <c r="D75" s="146">
        <v>2020000</v>
      </c>
      <c r="E75" s="20" t="s">
        <v>535</v>
      </c>
      <c r="F75" s="20" t="s">
        <v>495</v>
      </c>
      <c r="G75" s="8" t="str">
        <f t="shared" si="1"/>
        <v>SHOOK JOHN</v>
      </c>
    </row>
    <row r="76" spans="1:7" x14ac:dyDescent="0.25">
      <c r="A76" s="8">
        <v>42834.412592592591</v>
      </c>
      <c r="B76" s="20" t="s">
        <v>383</v>
      </c>
      <c r="C76" s="20" t="s">
        <v>605</v>
      </c>
      <c r="D76" s="146">
        <v>2140000</v>
      </c>
      <c r="E76" s="20" t="s">
        <v>533</v>
      </c>
      <c r="F76" s="20" t="s">
        <v>534</v>
      </c>
      <c r="G76" s="8" t="str">
        <f t="shared" si="1"/>
        <v>ROBINSON KADDIBA</v>
      </c>
    </row>
    <row r="77" spans="1:7" x14ac:dyDescent="0.25">
      <c r="A77" s="8">
        <v>42834.416539351849</v>
      </c>
      <c r="B77" s="20" t="s">
        <v>653</v>
      </c>
      <c r="C77" s="20" t="s">
        <v>699</v>
      </c>
      <c r="D77" s="146">
        <v>1830000</v>
      </c>
      <c r="E77" s="20" t="s">
        <v>422</v>
      </c>
      <c r="F77" s="20" t="s">
        <v>423</v>
      </c>
      <c r="G77" s="8" t="str">
        <f t="shared" si="1"/>
        <v>YORK EDGAR</v>
      </c>
    </row>
    <row r="78" spans="1:7" x14ac:dyDescent="0.25">
      <c r="A78" s="8">
        <v>42834.41920138889</v>
      </c>
      <c r="B78" s="20" t="s">
        <v>386</v>
      </c>
      <c r="C78" s="20" t="s">
        <v>700</v>
      </c>
      <c r="D78" s="146">
        <v>2010000</v>
      </c>
      <c r="E78" s="20" t="s">
        <v>637</v>
      </c>
      <c r="F78" s="20" t="s">
        <v>638</v>
      </c>
      <c r="G78" s="8" t="str">
        <f t="shared" si="1"/>
        <v>MAELZER KURT</v>
      </c>
    </row>
    <row r="79" spans="1:7" x14ac:dyDescent="0.25">
      <c r="A79" s="8">
        <v>42834.420381944445</v>
      </c>
      <c r="B79" s="20" t="s">
        <v>383</v>
      </c>
      <c r="C79" s="20" t="s">
        <v>605</v>
      </c>
      <c r="D79" s="146">
        <v>2140000</v>
      </c>
      <c r="E79" s="20" t="s">
        <v>533</v>
      </c>
      <c r="F79" s="20" t="s">
        <v>534</v>
      </c>
      <c r="G79" s="8" t="str">
        <f t="shared" si="1"/>
        <v>ROBINSON KADDIBA</v>
      </c>
    </row>
    <row r="80" spans="1:7" x14ac:dyDescent="0.25">
      <c r="A80" s="8">
        <v>42834.42496527778</v>
      </c>
      <c r="B80" s="20" t="s">
        <v>542</v>
      </c>
      <c r="C80" s="20" t="s">
        <v>701</v>
      </c>
      <c r="D80" s="146">
        <v>1100000</v>
      </c>
      <c r="E80" s="20" t="s">
        <v>491</v>
      </c>
      <c r="F80" s="20" t="s">
        <v>492</v>
      </c>
      <c r="G80" s="8" t="str">
        <f t="shared" si="1"/>
        <v>GEBRETEKLE DAGNEW</v>
      </c>
    </row>
    <row r="81" spans="1:7" x14ac:dyDescent="0.25">
      <c r="A81" s="8">
        <v>42834.431423611109</v>
      </c>
      <c r="B81" s="20" t="s">
        <v>440</v>
      </c>
      <c r="C81" s="20" t="s">
        <v>702</v>
      </c>
      <c r="D81" s="146">
        <v>2550000</v>
      </c>
      <c r="E81" s="20" t="s">
        <v>488</v>
      </c>
      <c r="F81" s="20" t="s">
        <v>489</v>
      </c>
      <c r="G81" s="8" t="str">
        <f t="shared" si="1"/>
        <v>BADERTSCHER DIANE</v>
      </c>
    </row>
    <row r="82" spans="1:7" x14ac:dyDescent="0.25">
      <c r="A82" s="8">
        <v>42834.433321759258</v>
      </c>
      <c r="B82" s="20" t="s">
        <v>377</v>
      </c>
      <c r="C82" s="20" t="s">
        <v>703</v>
      </c>
      <c r="D82" s="146">
        <v>2440000</v>
      </c>
      <c r="E82" s="20" t="s">
        <v>504</v>
      </c>
      <c r="F82" s="20" t="s">
        <v>505</v>
      </c>
      <c r="G82" s="8" t="str">
        <f t="shared" si="1"/>
        <v>LOPES KIMBERLY</v>
      </c>
    </row>
    <row r="83" spans="1:7" x14ac:dyDescent="0.25">
      <c r="A83" s="8">
        <v>42834.44121527778</v>
      </c>
      <c r="B83" s="20" t="s">
        <v>657</v>
      </c>
      <c r="C83" s="20" t="s">
        <v>704</v>
      </c>
      <c r="D83" s="146">
        <v>1830000</v>
      </c>
      <c r="E83" s="20" t="s">
        <v>422</v>
      </c>
      <c r="F83" s="20" t="s">
        <v>423</v>
      </c>
      <c r="G83" s="8" t="str">
        <f t="shared" si="1"/>
        <v>YORK EDGAR</v>
      </c>
    </row>
    <row r="84" spans="1:7" x14ac:dyDescent="0.25">
      <c r="A84" s="8">
        <v>42834.441840277781</v>
      </c>
      <c r="B84" s="20" t="s">
        <v>455</v>
      </c>
      <c r="C84" s="20" t="s">
        <v>705</v>
      </c>
      <c r="D84" s="146">
        <v>1990000</v>
      </c>
      <c r="E84" s="20" t="s">
        <v>644</v>
      </c>
      <c r="F84" s="20" t="s">
        <v>645</v>
      </c>
      <c r="G84" s="8" t="str">
        <f t="shared" si="1"/>
        <v>DAVIS WENDY</v>
      </c>
    </row>
    <row r="85" spans="1:7" x14ac:dyDescent="0.25">
      <c r="A85" s="8">
        <v>42834.443877314814</v>
      </c>
      <c r="B85" s="20" t="s">
        <v>385</v>
      </c>
      <c r="C85" s="20" t="s">
        <v>706</v>
      </c>
      <c r="D85" s="146">
        <v>2020000</v>
      </c>
      <c r="E85" s="20" t="s">
        <v>535</v>
      </c>
      <c r="F85" s="20" t="s">
        <v>495</v>
      </c>
      <c r="G85" s="8" t="str">
        <f t="shared" si="1"/>
        <v>SHOOK JOHN</v>
      </c>
    </row>
    <row r="86" spans="1:7" x14ac:dyDescent="0.25">
      <c r="A86" s="8">
        <v>42834.450925925928</v>
      </c>
      <c r="B86" s="20" t="s">
        <v>384</v>
      </c>
      <c r="C86" s="20" t="s">
        <v>707</v>
      </c>
      <c r="D86" s="146">
        <v>2140000</v>
      </c>
      <c r="E86" s="20" t="s">
        <v>533</v>
      </c>
      <c r="F86" s="20" t="s">
        <v>534</v>
      </c>
      <c r="G86" s="8" t="str">
        <f t="shared" si="1"/>
        <v>ROBINSON KADDIBA</v>
      </c>
    </row>
    <row r="87" spans="1:7" x14ac:dyDescent="0.25">
      <c r="A87" s="8">
        <v>42834.455428240741</v>
      </c>
      <c r="B87" s="20" t="s">
        <v>199</v>
      </c>
      <c r="C87" s="20" t="s">
        <v>708</v>
      </c>
      <c r="D87" s="146">
        <v>880000</v>
      </c>
      <c r="E87" s="20" t="s">
        <v>709</v>
      </c>
      <c r="F87" s="20" t="s">
        <v>196</v>
      </c>
      <c r="G87" s="8" t="str">
        <f t="shared" si="1"/>
        <v>STEWART MICHAEL</v>
      </c>
    </row>
    <row r="88" spans="1:7" x14ac:dyDescent="0.25">
      <c r="A88" s="8">
        <v>42834.455763888887</v>
      </c>
      <c r="B88" s="20" t="s">
        <v>653</v>
      </c>
      <c r="C88" s="20" t="s">
        <v>710</v>
      </c>
      <c r="D88" s="146">
        <v>1830000</v>
      </c>
      <c r="E88" s="20" t="s">
        <v>422</v>
      </c>
      <c r="F88" s="20" t="s">
        <v>423</v>
      </c>
      <c r="G88" s="8" t="str">
        <f t="shared" si="1"/>
        <v>YORK EDGAR</v>
      </c>
    </row>
    <row r="89" spans="1:7" x14ac:dyDescent="0.25">
      <c r="A89" s="8">
        <v>42834.462939814817</v>
      </c>
      <c r="B89" s="20" t="s">
        <v>538</v>
      </c>
      <c r="C89" s="20" t="s">
        <v>711</v>
      </c>
      <c r="D89" s="146">
        <v>1100000</v>
      </c>
      <c r="E89" s="20" t="s">
        <v>491</v>
      </c>
      <c r="F89" s="20" t="s">
        <v>492</v>
      </c>
      <c r="G89" s="8" t="str">
        <f t="shared" si="1"/>
        <v>GEBRETEKLE DAGNEW</v>
      </c>
    </row>
    <row r="90" spans="1:7" x14ac:dyDescent="0.25">
      <c r="A90" s="8">
        <v>42834.467210648145</v>
      </c>
      <c r="B90" s="20" t="s">
        <v>439</v>
      </c>
      <c r="C90" s="20" t="s">
        <v>712</v>
      </c>
      <c r="D90" s="146">
        <v>920000</v>
      </c>
      <c r="E90" s="20" t="s">
        <v>644</v>
      </c>
      <c r="F90" s="20" t="s">
        <v>196</v>
      </c>
      <c r="G90" s="8" t="str">
        <f t="shared" si="1"/>
        <v>DAVIS MICHAEL</v>
      </c>
    </row>
    <row r="91" spans="1:7" x14ac:dyDescent="0.25">
      <c r="A91" s="8">
        <v>42834.469074074077</v>
      </c>
      <c r="B91" s="20" t="s">
        <v>378</v>
      </c>
      <c r="C91" s="20" t="s">
        <v>713</v>
      </c>
      <c r="D91" s="146">
        <v>2440000</v>
      </c>
      <c r="E91" s="20" t="s">
        <v>504</v>
      </c>
      <c r="F91" s="20" t="s">
        <v>505</v>
      </c>
      <c r="G91" s="8" t="str">
        <f t="shared" si="1"/>
        <v>LOPES KIMBERLY</v>
      </c>
    </row>
    <row r="92" spans="1:7" x14ac:dyDescent="0.25">
      <c r="A92" s="8">
        <v>42834.475300925929</v>
      </c>
      <c r="B92" s="20" t="s">
        <v>612</v>
      </c>
      <c r="C92" s="20" t="s">
        <v>714</v>
      </c>
      <c r="D92" s="146">
        <v>2020000</v>
      </c>
      <c r="E92" s="20" t="s">
        <v>535</v>
      </c>
      <c r="F92" s="20" t="s">
        <v>495</v>
      </c>
      <c r="G92" s="8" t="str">
        <f t="shared" si="1"/>
        <v>SHOOK JOHN</v>
      </c>
    </row>
    <row r="93" spans="1:7" x14ac:dyDescent="0.25">
      <c r="A93" s="8">
        <v>42834.475775462961</v>
      </c>
      <c r="B93" s="20" t="s">
        <v>458</v>
      </c>
      <c r="C93" s="20" t="s">
        <v>715</v>
      </c>
      <c r="D93" s="146">
        <v>1300000</v>
      </c>
      <c r="E93" s="20" t="s">
        <v>716</v>
      </c>
      <c r="F93" s="20" t="s">
        <v>717</v>
      </c>
      <c r="G93" s="8" t="str">
        <f t="shared" si="1"/>
        <v>LEVIN SCOTT</v>
      </c>
    </row>
    <row r="94" spans="1:7" x14ac:dyDescent="0.25">
      <c r="A94" s="8">
        <v>42834.4765625</v>
      </c>
      <c r="B94" s="20" t="s">
        <v>426</v>
      </c>
      <c r="C94" s="20" t="s">
        <v>607</v>
      </c>
      <c r="D94" s="146">
        <v>2530000</v>
      </c>
      <c r="E94" s="20" t="s">
        <v>718</v>
      </c>
      <c r="F94" s="20" t="s">
        <v>719</v>
      </c>
      <c r="G94" s="8" t="str">
        <f t="shared" si="1"/>
        <v>LALONDE GREGORY</v>
      </c>
    </row>
    <row r="95" spans="1:7" x14ac:dyDescent="0.25">
      <c r="A95" s="8">
        <v>42834.483460648145</v>
      </c>
      <c r="B95" s="20" t="s">
        <v>657</v>
      </c>
      <c r="C95" s="20" t="s">
        <v>720</v>
      </c>
      <c r="D95" s="146">
        <v>1830000</v>
      </c>
      <c r="E95" s="20" t="s">
        <v>422</v>
      </c>
      <c r="F95" s="20" t="s">
        <v>423</v>
      </c>
      <c r="G95" s="8" t="str">
        <f t="shared" si="1"/>
        <v>YORK EDGAR</v>
      </c>
    </row>
    <row r="96" spans="1:7" x14ac:dyDescent="0.25">
      <c r="A96" s="8">
        <v>42834.486747685187</v>
      </c>
      <c r="B96" s="20" t="s">
        <v>383</v>
      </c>
      <c r="C96" s="20" t="s">
        <v>721</v>
      </c>
      <c r="D96" s="146">
        <v>1770000</v>
      </c>
      <c r="E96" s="20" t="s">
        <v>722</v>
      </c>
      <c r="F96" s="20" t="s">
        <v>723</v>
      </c>
      <c r="G96" s="8" t="str">
        <f t="shared" si="1"/>
        <v>BRUDER RICHARD</v>
      </c>
    </row>
    <row r="97" spans="1:7" x14ac:dyDescent="0.25">
      <c r="A97" s="8">
        <v>42834.492997685185</v>
      </c>
      <c r="B97" s="20" t="s">
        <v>386</v>
      </c>
      <c r="C97" s="20" t="s">
        <v>724</v>
      </c>
      <c r="D97" s="146">
        <v>880000</v>
      </c>
      <c r="E97" s="20" t="s">
        <v>709</v>
      </c>
      <c r="F97" s="20" t="s">
        <v>196</v>
      </c>
      <c r="G97" s="8" t="str">
        <f t="shared" si="1"/>
        <v>STEWART MICHAEL</v>
      </c>
    </row>
    <row r="98" spans="1:7" x14ac:dyDescent="0.25">
      <c r="A98" s="8">
        <v>42834.496886574074</v>
      </c>
      <c r="B98" s="20" t="s">
        <v>542</v>
      </c>
      <c r="C98" s="20" t="s">
        <v>725</v>
      </c>
      <c r="D98" s="146">
        <v>2540000</v>
      </c>
      <c r="E98" s="20" t="s">
        <v>502</v>
      </c>
      <c r="F98" s="20" t="s">
        <v>503</v>
      </c>
      <c r="G98" s="8" t="str">
        <f t="shared" si="1"/>
        <v>MCREYNOLDS KYLE</v>
      </c>
    </row>
    <row r="99" spans="1:7" x14ac:dyDescent="0.25">
      <c r="A99" s="8">
        <v>42834.498923611114</v>
      </c>
      <c r="B99" s="20" t="s">
        <v>653</v>
      </c>
      <c r="C99" s="20" t="s">
        <v>726</v>
      </c>
      <c r="D99" s="146">
        <v>1830000</v>
      </c>
      <c r="E99" s="20" t="s">
        <v>422</v>
      </c>
      <c r="F99" s="20" t="s">
        <v>423</v>
      </c>
      <c r="G99" s="8" t="str">
        <f t="shared" si="1"/>
        <v>YORK EDGAR</v>
      </c>
    </row>
    <row r="100" spans="1:7" x14ac:dyDescent="0.25">
      <c r="A100" s="8">
        <v>42834.49962962963</v>
      </c>
      <c r="B100" s="20" t="s">
        <v>414</v>
      </c>
      <c r="C100" s="20" t="s">
        <v>727</v>
      </c>
      <c r="D100" s="146">
        <v>1100000</v>
      </c>
      <c r="E100" s="20" t="s">
        <v>491</v>
      </c>
      <c r="F100" s="20" t="s">
        <v>492</v>
      </c>
      <c r="G100" s="8" t="str">
        <f t="shared" si="1"/>
        <v>GEBRETEKLE DAGNEW</v>
      </c>
    </row>
    <row r="101" spans="1:7" x14ac:dyDescent="0.25">
      <c r="A101" s="8">
        <v>42834.505532407406</v>
      </c>
      <c r="B101" s="20" t="s">
        <v>440</v>
      </c>
      <c r="C101" s="20" t="s">
        <v>608</v>
      </c>
      <c r="D101" s="146">
        <v>920000</v>
      </c>
      <c r="E101" s="20" t="s">
        <v>644</v>
      </c>
      <c r="F101" s="20" t="s">
        <v>196</v>
      </c>
      <c r="G101" s="8" t="str">
        <f t="shared" si="1"/>
        <v>DAVIS MICHAEL</v>
      </c>
    </row>
    <row r="102" spans="1:7" x14ac:dyDescent="0.25">
      <c r="A102" s="8">
        <v>42834.507106481484</v>
      </c>
      <c r="B102" s="20" t="s">
        <v>377</v>
      </c>
      <c r="C102" s="20" t="s">
        <v>728</v>
      </c>
      <c r="D102" s="146">
        <v>2440000</v>
      </c>
      <c r="E102" s="20" t="s">
        <v>504</v>
      </c>
      <c r="F102" s="20" t="s">
        <v>505</v>
      </c>
      <c r="G102" s="8" t="str">
        <f t="shared" si="1"/>
        <v>LOPES KIMBERLY</v>
      </c>
    </row>
    <row r="103" spans="1:7" x14ac:dyDescent="0.25">
      <c r="A103" s="8">
        <v>42834.514016203706</v>
      </c>
      <c r="B103" s="20" t="s">
        <v>455</v>
      </c>
      <c r="C103" s="20" t="s">
        <v>729</v>
      </c>
      <c r="D103" s="146">
        <v>1300000</v>
      </c>
      <c r="E103" s="20" t="s">
        <v>716</v>
      </c>
      <c r="F103" s="20" t="s">
        <v>717</v>
      </c>
      <c r="G103" s="8" t="str">
        <f t="shared" si="1"/>
        <v>LEVIN SCOTT</v>
      </c>
    </row>
    <row r="104" spans="1:7" x14ac:dyDescent="0.25">
      <c r="A104" s="8">
        <v>42834.519965277781</v>
      </c>
      <c r="B104" s="20" t="s">
        <v>385</v>
      </c>
      <c r="C104" s="20" t="s">
        <v>730</v>
      </c>
      <c r="D104" s="146">
        <v>2360000</v>
      </c>
      <c r="E104" s="20" t="s">
        <v>536</v>
      </c>
      <c r="F104" s="20" t="s">
        <v>537</v>
      </c>
      <c r="G104" s="8" t="str">
        <f t="shared" si="1"/>
        <v>BRANDNER MELINDA</v>
      </c>
    </row>
    <row r="105" spans="1:7" x14ac:dyDescent="0.25">
      <c r="A105" s="8">
        <v>42834.524733796294</v>
      </c>
      <c r="B105" s="20" t="s">
        <v>384</v>
      </c>
      <c r="C105" s="20" t="s">
        <v>731</v>
      </c>
      <c r="D105" s="146">
        <v>1770000</v>
      </c>
      <c r="E105" s="20" t="s">
        <v>722</v>
      </c>
      <c r="F105" s="20" t="s">
        <v>723</v>
      </c>
      <c r="G105" s="8" t="str">
        <f t="shared" si="1"/>
        <v>BRUDER RICHARD</v>
      </c>
    </row>
    <row r="106" spans="1:7" x14ac:dyDescent="0.25">
      <c r="A106" s="8">
        <v>42834.526064814818</v>
      </c>
      <c r="B106" s="20" t="s">
        <v>657</v>
      </c>
      <c r="C106" s="20" t="s">
        <v>732</v>
      </c>
      <c r="D106" s="146">
        <v>1830000</v>
      </c>
      <c r="E106" s="20" t="s">
        <v>422</v>
      </c>
      <c r="F106" s="20" t="s">
        <v>423</v>
      </c>
      <c r="G106" s="8" t="str">
        <f t="shared" si="1"/>
        <v>YORK EDGAR</v>
      </c>
    </row>
    <row r="107" spans="1:7" x14ac:dyDescent="0.25">
      <c r="A107" s="8">
        <v>42834.530335648145</v>
      </c>
      <c r="B107" s="20" t="s">
        <v>199</v>
      </c>
      <c r="C107" s="20" t="s">
        <v>609</v>
      </c>
      <c r="D107" s="146">
        <v>880000</v>
      </c>
      <c r="E107" s="20" t="s">
        <v>709</v>
      </c>
      <c r="F107" s="20" t="s">
        <v>196</v>
      </c>
      <c r="G107" s="8" t="str">
        <f t="shared" si="1"/>
        <v>STEWART MICHAEL</v>
      </c>
    </row>
    <row r="108" spans="1:7" x14ac:dyDescent="0.25">
      <c r="A108" s="8">
        <v>42834.530995370369</v>
      </c>
      <c r="B108" s="20" t="s">
        <v>199</v>
      </c>
      <c r="C108" s="20" t="s">
        <v>609</v>
      </c>
      <c r="D108" s="146">
        <v>880000</v>
      </c>
      <c r="E108" s="20" t="s">
        <v>709</v>
      </c>
      <c r="F108" s="20" t="s">
        <v>196</v>
      </c>
      <c r="G108" s="8" t="str">
        <f t="shared" si="1"/>
        <v>STEWART MICHAEL</v>
      </c>
    </row>
    <row r="109" spans="1:7" x14ac:dyDescent="0.25">
      <c r="A109" s="8">
        <v>42834.533043981479</v>
      </c>
      <c r="B109" s="20" t="s">
        <v>538</v>
      </c>
      <c r="C109" s="20" t="s">
        <v>733</v>
      </c>
      <c r="D109" s="146">
        <v>2540000</v>
      </c>
      <c r="E109" s="20" t="s">
        <v>502</v>
      </c>
      <c r="F109" s="20" t="s">
        <v>503</v>
      </c>
      <c r="G109" s="8" t="str">
        <f t="shared" si="1"/>
        <v>MCREYNOLDS KYLE</v>
      </c>
    </row>
    <row r="110" spans="1:7" x14ac:dyDescent="0.25">
      <c r="A110" s="8">
        <v>42834.53869212963</v>
      </c>
      <c r="B110" s="20" t="s">
        <v>653</v>
      </c>
      <c r="C110" s="20" t="s">
        <v>734</v>
      </c>
      <c r="D110" s="146">
        <v>1830000</v>
      </c>
      <c r="E110" s="20" t="s">
        <v>422</v>
      </c>
      <c r="F110" s="20" t="s">
        <v>423</v>
      </c>
      <c r="G110" s="8" t="str">
        <f t="shared" si="1"/>
        <v>YORK EDGAR</v>
      </c>
    </row>
    <row r="111" spans="1:7" x14ac:dyDescent="0.25">
      <c r="A111" s="8">
        <v>42834.543217592596</v>
      </c>
      <c r="B111" s="20" t="s">
        <v>378</v>
      </c>
      <c r="C111" s="20" t="s">
        <v>611</v>
      </c>
      <c r="D111" s="146">
        <v>2440000</v>
      </c>
      <c r="E111" s="20" t="s">
        <v>504</v>
      </c>
      <c r="F111" s="20" t="s">
        <v>505</v>
      </c>
      <c r="G111" s="8" t="str">
        <f t="shared" si="1"/>
        <v>LOPES KIMBERLY</v>
      </c>
    </row>
    <row r="112" spans="1:7" x14ac:dyDescent="0.25">
      <c r="A112" s="8">
        <v>42834.543726851851</v>
      </c>
      <c r="B112" s="20" t="s">
        <v>439</v>
      </c>
      <c r="C112" s="20" t="s">
        <v>610</v>
      </c>
      <c r="D112" s="146">
        <v>920000</v>
      </c>
      <c r="E112" s="20" t="s">
        <v>644</v>
      </c>
      <c r="F112" s="20" t="s">
        <v>196</v>
      </c>
      <c r="G112" s="8" t="str">
        <f t="shared" si="1"/>
        <v>DAVIS MICHAEL</v>
      </c>
    </row>
    <row r="113" spans="1:7" x14ac:dyDescent="0.25">
      <c r="A113" s="8">
        <v>42834.548819444448</v>
      </c>
      <c r="B113" s="20" t="s">
        <v>458</v>
      </c>
      <c r="C113" s="20" t="s">
        <v>735</v>
      </c>
      <c r="D113" s="146">
        <v>1300000</v>
      </c>
      <c r="E113" s="20" t="s">
        <v>716</v>
      </c>
      <c r="F113" s="20" t="s">
        <v>717</v>
      </c>
      <c r="G113" s="8" t="str">
        <f t="shared" si="1"/>
        <v>LEVIN SCOTT</v>
      </c>
    </row>
    <row r="114" spans="1:7" x14ac:dyDescent="0.25">
      <c r="A114" s="8">
        <v>42834.558275462965</v>
      </c>
      <c r="B114" s="20" t="s">
        <v>612</v>
      </c>
      <c r="C114" s="20" t="s">
        <v>613</v>
      </c>
      <c r="D114" s="146">
        <v>2360000</v>
      </c>
      <c r="E114" s="20" t="s">
        <v>536</v>
      </c>
      <c r="F114" s="20" t="s">
        <v>537</v>
      </c>
      <c r="G114" s="8" t="str">
        <f t="shared" si="1"/>
        <v>BRANDNER MELINDA</v>
      </c>
    </row>
    <row r="115" spans="1:7" x14ac:dyDescent="0.25">
      <c r="A115" s="8">
        <v>42834.559363425928</v>
      </c>
      <c r="B115" s="20" t="s">
        <v>383</v>
      </c>
      <c r="C115" s="20" t="s">
        <v>736</v>
      </c>
      <c r="D115" s="146">
        <v>1770000</v>
      </c>
      <c r="E115" s="20" t="s">
        <v>722</v>
      </c>
      <c r="F115" s="20" t="s">
        <v>723</v>
      </c>
      <c r="G115" s="8" t="str">
        <f t="shared" si="1"/>
        <v>BRUDER RICHARD</v>
      </c>
    </row>
    <row r="116" spans="1:7" x14ac:dyDescent="0.25">
      <c r="A116" s="8">
        <v>42834.566562499997</v>
      </c>
      <c r="B116" s="20" t="s">
        <v>657</v>
      </c>
      <c r="C116" s="20" t="s">
        <v>737</v>
      </c>
      <c r="D116" s="146">
        <v>1830000</v>
      </c>
      <c r="E116" s="20" t="s">
        <v>422</v>
      </c>
      <c r="F116" s="20" t="s">
        <v>423</v>
      </c>
      <c r="G116" s="8" t="str">
        <f t="shared" si="1"/>
        <v>YORK EDGAR</v>
      </c>
    </row>
    <row r="117" spans="1:7" x14ac:dyDescent="0.25">
      <c r="A117" s="8">
        <v>42834.567916666667</v>
      </c>
      <c r="B117" s="20" t="s">
        <v>386</v>
      </c>
      <c r="C117" s="20" t="s">
        <v>738</v>
      </c>
      <c r="D117" s="146">
        <v>880000</v>
      </c>
      <c r="E117" s="20" t="s">
        <v>709</v>
      </c>
      <c r="F117" s="20" t="s">
        <v>196</v>
      </c>
      <c r="G117" s="8" t="str">
        <f t="shared" si="1"/>
        <v>STEWART MICHAEL</v>
      </c>
    </row>
    <row r="118" spans="1:7" x14ac:dyDescent="0.25">
      <c r="A118" s="8">
        <v>42834.570960648147</v>
      </c>
      <c r="B118" s="20" t="s">
        <v>542</v>
      </c>
      <c r="C118" s="20" t="s">
        <v>739</v>
      </c>
      <c r="D118" s="146">
        <v>2530000</v>
      </c>
      <c r="E118" s="20" t="s">
        <v>718</v>
      </c>
      <c r="F118" s="20" t="s">
        <v>719</v>
      </c>
      <c r="G118" s="8" t="str">
        <f t="shared" si="1"/>
        <v>LALONDE GREGORY</v>
      </c>
    </row>
    <row r="119" spans="1:7" x14ac:dyDescent="0.25">
      <c r="A119" s="8">
        <v>42834.579293981478</v>
      </c>
      <c r="B119" s="20" t="s">
        <v>440</v>
      </c>
      <c r="C119" s="20" t="s">
        <v>740</v>
      </c>
      <c r="D119" s="146">
        <v>920000</v>
      </c>
      <c r="E119" s="20" t="s">
        <v>644</v>
      </c>
      <c r="F119" s="20" t="s">
        <v>196</v>
      </c>
      <c r="G119" s="8" t="str">
        <f t="shared" si="1"/>
        <v>DAVIS MICHAEL</v>
      </c>
    </row>
    <row r="120" spans="1:7" x14ac:dyDescent="0.25">
      <c r="A120" s="8">
        <v>42834.583333333336</v>
      </c>
      <c r="B120" s="20" t="s">
        <v>377</v>
      </c>
      <c r="C120" s="20" t="s">
        <v>741</v>
      </c>
      <c r="D120" s="146">
        <v>2620000</v>
      </c>
      <c r="E120" s="20" t="s">
        <v>687</v>
      </c>
      <c r="F120" s="20" t="s">
        <v>688</v>
      </c>
      <c r="G120" s="8" t="str">
        <f t="shared" si="1"/>
        <v>PERKINS DARREN</v>
      </c>
    </row>
    <row r="121" spans="1:7" x14ac:dyDescent="0.25">
      <c r="A121" s="8">
        <v>42834.585787037038</v>
      </c>
      <c r="B121" s="20" t="s">
        <v>455</v>
      </c>
      <c r="C121" s="20" t="s">
        <v>742</v>
      </c>
      <c r="D121" s="146">
        <v>1300000</v>
      </c>
      <c r="E121" s="20" t="s">
        <v>716</v>
      </c>
      <c r="F121" s="20" t="s">
        <v>717</v>
      </c>
      <c r="G121" s="8" t="str">
        <f t="shared" si="1"/>
        <v>LEVIN SCOTT</v>
      </c>
    </row>
    <row r="122" spans="1:7" x14ac:dyDescent="0.25">
      <c r="A122" s="8">
        <v>42834.590474537035</v>
      </c>
      <c r="B122" s="25" t="s">
        <v>385</v>
      </c>
      <c r="C122" s="20" t="s">
        <v>743</v>
      </c>
      <c r="D122" s="146">
        <v>2360000</v>
      </c>
      <c r="E122" s="20" t="s">
        <v>536</v>
      </c>
      <c r="F122" s="20" t="s">
        <v>537</v>
      </c>
      <c r="G122" s="8" t="str">
        <f t="shared" si="1"/>
        <v>BRANDNER MELINDA</v>
      </c>
    </row>
    <row r="123" spans="1:7" x14ac:dyDescent="0.25">
      <c r="A123" s="8">
        <v>42834.594918981478</v>
      </c>
      <c r="B123" s="20" t="s">
        <v>653</v>
      </c>
      <c r="C123" s="20" t="s">
        <v>744</v>
      </c>
      <c r="D123" s="146">
        <v>1540000</v>
      </c>
      <c r="E123" s="20" t="s">
        <v>745</v>
      </c>
      <c r="F123" s="20" t="s">
        <v>746</v>
      </c>
      <c r="G123" s="8" t="str">
        <f t="shared" si="1"/>
        <v>HELVIE ADAM</v>
      </c>
    </row>
    <row r="124" spans="1:7" x14ac:dyDescent="0.25">
      <c r="A124" s="8">
        <v>42834.595185185186</v>
      </c>
      <c r="B124" s="20" t="s">
        <v>384</v>
      </c>
      <c r="C124" s="20" t="s">
        <v>614</v>
      </c>
      <c r="D124" s="146">
        <v>1770000</v>
      </c>
      <c r="E124" s="20" t="s">
        <v>722</v>
      </c>
      <c r="F124" s="20" t="s">
        <v>723</v>
      </c>
      <c r="G124" s="8" t="str">
        <f t="shared" si="1"/>
        <v>BRUDER RICHARD</v>
      </c>
    </row>
    <row r="125" spans="1:7" x14ac:dyDescent="0.25">
      <c r="A125" s="8">
        <v>42834.601111111115</v>
      </c>
      <c r="B125" s="20" t="s">
        <v>538</v>
      </c>
      <c r="C125" s="20" t="s">
        <v>747</v>
      </c>
      <c r="D125" s="146">
        <v>2530000</v>
      </c>
      <c r="E125" s="20" t="s">
        <v>718</v>
      </c>
      <c r="F125" s="20" t="s">
        <v>719</v>
      </c>
      <c r="G125" s="8" t="str">
        <f t="shared" si="1"/>
        <v>LALONDE GREGORY</v>
      </c>
    </row>
    <row r="126" spans="1:7" x14ac:dyDescent="0.25">
      <c r="A126" s="8">
        <v>42834.601655092592</v>
      </c>
      <c r="B126" s="20" t="s">
        <v>199</v>
      </c>
      <c r="C126" s="20" t="s">
        <v>748</v>
      </c>
      <c r="D126" s="146">
        <v>880000</v>
      </c>
      <c r="E126" s="20" t="s">
        <v>709</v>
      </c>
      <c r="F126" s="20" t="s">
        <v>196</v>
      </c>
      <c r="G126" s="8" t="str">
        <f t="shared" si="1"/>
        <v>STEWART MICHAEL</v>
      </c>
    </row>
    <row r="127" spans="1:7" x14ac:dyDescent="0.25">
      <c r="A127" s="8">
        <v>42834.610243055555</v>
      </c>
      <c r="B127" s="20" t="s">
        <v>657</v>
      </c>
      <c r="C127" s="20" t="s">
        <v>749</v>
      </c>
      <c r="D127" s="146">
        <v>1540000</v>
      </c>
      <c r="E127" s="20" t="s">
        <v>745</v>
      </c>
      <c r="F127" s="20" t="s">
        <v>746</v>
      </c>
      <c r="G127" s="8" t="str">
        <f t="shared" si="1"/>
        <v>HELVIE ADAM</v>
      </c>
    </row>
    <row r="128" spans="1:7" x14ac:dyDescent="0.25">
      <c r="A128" s="8">
        <v>42834.612858796296</v>
      </c>
      <c r="B128" s="20" t="s">
        <v>439</v>
      </c>
      <c r="C128" s="20" t="s">
        <v>615</v>
      </c>
      <c r="D128" s="146">
        <v>920000</v>
      </c>
      <c r="E128" s="20" t="s">
        <v>644</v>
      </c>
      <c r="F128" s="20" t="s">
        <v>196</v>
      </c>
      <c r="G128" s="8" t="str">
        <f t="shared" si="1"/>
        <v>DAVIS MICHAEL</v>
      </c>
    </row>
    <row r="129" spans="1:7" x14ac:dyDescent="0.25">
      <c r="A129" s="8">
        <v>42834.61791666667</v>
      </c>
      <c r="B129" s="20" t="s">
        <v>378</v>
      </c>
      <c r="C129" s="20" t="s">
        <v>616</v>
      </c>
      <c r="D129" s="146">
        <v>2620000</v>
      </c>
      <c r="E129" s="20" t="s">
        <v>687</v>
      </c>
      <c r="F129" s="20" t="s">
        <v>688</v>
      </c>
      <c r="G129" s="8" t="str">
        <f t="shared" si="1"/>
        <v>PERKINS DARREN</v>
      </c>
    </row>
    <row r="130" spans="1:7" x14ac:dyDescent="0.25">
      <c r="A130" s="8">
        <v>42834.622824074075</v>
      </c>
      <c r="B130" s="20" t="s">
        <v>379</v>
      </c>
      <c r="C130" s="20" t="s">
        <v>750</v>
      </c>
      <c r="D130" s="146">
        <v>1300000</v>
      </c>
      <c r="E130" s="20" t="s">
        <v>716</v>
      </c>
      <c r="F130" s="20" t="s">
        <v>717</v>
      </c>
      <c r="G130" s="8" t="str">
        <f t="shared" si="1"/>
        <v>LEVIN SCOTT</v>
      </c>
    </row>
    <row r="131" spans="1:7" x14ac:dyDescent="0.25">
      <c r="A131" s="8">
        <v>42834.627800925926</v>
      </c>
      <c r="B131" s="20" t="s">
        <v>612</v>
      </c>
      <c r="C131" s="20" t="s">
        <v>751</v>
      </c>
      <c r="D131" s="146">
        <v>2360000</v>
      </c>
      <c r="E131" s="20" t="s">
        <v>536</v>
      </c>
      <c r="F131" s="20" t="s">
        <v>537</v>
      </c>
      <c r="G131" s="8" t="str">
        <f t="shared" ref="G131:G194" si="2">E131&amp;" "&amp;F131</f>
        <v>BRANDNER MELINDA</v>
      </c>
    </row>
    <row r="132" spans="1:7" x14ac:dyDescent="0.25">
      <c r="A132" s="8">
        <v>42834.635138888887</v>
      </c>
      <c r="B132" s="20" t="s">
        <v>383</v>
      </c>
      <c r="C132" s="20" t="s">
        <v>752</v>
      </c>
      <c r="D132" s="146">
        <v>1770000</v>
      </c>
      <c r="E132" s="20" t="s">
        <v>722</v>
      </c>
      <c r="F132" s="20" t="s">
        <v>723</v>
      </c>
      <c r="G132" s="8" t="str">
        <f t="shared" si="2"/>
        <v>BRUDER RICHARD</v>
      </c>
    </row>
    <row r="133" spans="1:7" x14ac:dyDescent="0.25">
      <c r="A133" s="8">
        <v>42834.638032407405</v>
      </c>
      <c r="B133" s="20" t="s">
        <v>653</v>
      </c>
      <c r="C133" s="20" t="s">
        <v>753</v>
      </c>
      <c r="D133" s="146">
        <v>1540000</v>
      </c>
      <c r="E133" s="20" t="s">
        <v>745</v>
      </c>
      <c r="F133" s="20" t="s">
        <v>746</v>
      </c>
      <c r="G133" s="8" t="str">
        <f t="shared" si="2"/>
        <v>HELVIE ADAM</v>
      </c>
    </row>
    <row r="134" spans="1:7" x14ac:dyDescent="0.25">
      <c r="A134" s="8">
        <v>42834.641724537039</v>
      </c>
      <c r="B134" s="20" t="s">
        <v>386</v>
      </c>
      <c r="C134" s="20" t="s">
        <v>754</v>
      </c>
      <c r="D134" s="146">
        <v>880000</v>
      </c>
      <c r="E134" s="20" t="s">
        <v>709</v>
      </c>
      <c r="F134" s="20" t="s">
        <v>196</v>
      </c>
      <c r="G134" s="8" t="str">
        <f t="shared" si="2"/>
        <v>STEWART MICHAEL</v>
      </c>
    </row>
    <row r="135" spans="1:7" x14ac:dyDescent="0.25">
      <c r="A135" s="8">
        <v>42834.643090277779</v>
      </c>
      <c r="B135" s="20" t="s">
        <v>542</v>
      </c>
      <c r="C135" s="20" t="s">
        <v>755</v>
      </c>
      <c r="D135" s="146">
        <v>2480000</v>
      </c>
      <c r="E135" s="20" t="s">
        <v>500</v>
      </c>
      <c r="F135" s="20" t="s">
        <v>501</v>
      </c>
      <c r="G135" s="8" t="str">
        <f t="shared" si="2"/>
        <v>WHITED DUSTIN</v>
      </c>
    </row>
    <row r="136" spans="1:7" x14ac:dyDescent="0.25">
      <c r="A136" s="8">
        <v>42834.651006944441</v>
      </c>
      <c r="B136" s="20" t="s">
        <v>440</v>
      </c>
      <c r="C136" s="20" t="s">
        <v>756</v>
      </c>
      <c r="D136" s="146">
        <v>920000</v>
      </c>
      <c r="E136" s="20" t="s">
        <v>644</v>
      </c>
      <c r="F136" s="20" t="s">
        <v>196</v>
      </c>
      <c r="G136" s="8" t="str">
        <f t="shared" si="2"/>
        <v>DAVIS MICHAEL</v>
      </c>
    </row>
    <row r="137" spans="1:7" x14ac:dyDescent="0.25">
      <c r="A137" s="8">
        <v>42834.653171296297</v>
      </c>
      <c r="B137" s="20" t="s">
        <v>657</v>
      </c>
      <c r="C137" s="20" t="s">
        <v>757</v>
      </c>
      <c r="D137" s="146">
        <v>1540000</v>
      </c>
      <c r="E137" s="20" t="s">
        <v>745</v>
      </c>
      <c r="F137" s="20" t="s">
        <v>746</v>
      </c>
      <c r="G137" s="8" t="str">
        <f t="shared" si="2"/>
        <v>HELVIE ADAM</v>
      </c>
    </row>
    <row r="138" spans="1:7" x14ac:dyDescent="0.25">
      <c r="A138" s="8">
        <v>42834.655717592592</v>
      </c>
      <c r="B138" s="20" t="s">
        <v>377</v>
      </c>
      <c r="C138" s="20" t="s">
        <v>758</v>
      </c>
      <c r="D138" s="146">
        <v>2440000</v>
      </c>
      <c r="E138" s="20" t="s">
        <v>504</v>
      </c>
      <c r="F138" s="20" t="s">
        <v>505</v>
      </c>
      <c r="G138" s="8" t="str">
        <f t="shared" si="2"/>
        <v>LOPES KIMBERLY</v>
      </c>
    </row>
    <row r="139" spans="1:7" x14ac:dyDescent="0.25">
      <c r="A139" s="8">
        <v>42834.662407407406</v>
      </c>
      <c r="B139" s="20" t="s">
        <v>427</v>
      </c>
      <c r="C139" s="20" t="s">
        <v>759</v>
      </c>
      <c r="D139" s="146">
        <v>1300000</v>
      </c>
      <c r="E139" s="20" t="s">
        <v>716</v>
      </c>
      <c r="F139" s="20" t="s">
        <v>717</v>
      </c>
      <c r="G139" s="8" t="str">
        <f t="shared" si="2"/>
        <v>LEVIN SCOTT</v>
      </c>
    </row>
    <row r="140" spans="1:7" x14ac:dyDescent="0.25">
      <c r="A140" s="8">
        <v>42834.667824074073</v>
      </c>
      <c r="B140" s="20" t="s">
        <v>385</v>
      </c>
      <c r="C140" s="20" t="s">
        <v>760</v>
      </c>
      <c r="D140" s="146">
        <v>2360000</v>
      </c>
      <c r="E140" s="20" t="s">
        <v>536</v>
      </c>
      <c r="F140" s="20" t="s">
        <v>537</v>
      </c>
      <c r="G140" s="8" t="str">
        <f t="shared" si="2"/>
        <v>BRANDNER MELINDA</v>
      </c>
    </row>
    <row r="141" spans="1:7" x14ac:dyDescent="0.25">
      <c r="A141" s="8">
        <v>42834.668842592589</v>
      </c>
      <c r="B141" s="20" t="s">
        <v>384</v>
      </c>
      <c r="C141" s="20" t="s">
        <v>761</v>
      </c>
      <c r="D141" s="146">
        <v>1770000</v>
      </c>
      <c r="E141" s="20" t="s">
        <v>722</v>
      </c>
      <c r="F141" s="20" t="s">
        <v>723</v>
      </c>
      <c r="G141" s="8" t="str">
        <f t="shared" si="2"/>
        <v>BRUDER RICHARD</v>
      </c>
    </row>
    <row r="142" spans="1:7" x14ac:dyDescent="0.25">
      <c r="A142" s="8">
        <v>42834.677662037036</v>
      </c>
      <c r="B142" s="20" t="s">
        <v>199</v>
      </c>
      <c r="C142" s="20" t="s">
        <v>617</v>
      </c>
      <c r="D142" s="146">
        <v>880000</v>
      </c>
      <c r="E142" s="20" t="s">
        <v>709</v>
      </c>
      <c r="F142" s="20" t="s">
        <v>196</v>
      </c>
      <c r="G142" s="8" t="str">
        <f t="shared" si="2"/>
        <v>STEWART MICHAEL</v>
      </c>
    </row>
    <row r="143" spans="1:7" x14ac:dyDescent="0.25">
      <c r="A143" s="8">
        <v>42834.678182870368</v>
      </c>
      <c r="B143" s="20" t="s">
        <v>653</v>
      </c>
      <c r="C143" s="20" t="s">
        <v>762</v>
      </c>
      <c r="D143" s="146">
        <v>1540000</v>
      </c>
      <c r="E143" s="20" t="s">
        <v>745</v>
      </c>
      <c r="F143" s="20" t="s">
        <v>746</v>
      </c>
      <c r="G143" s="8" t="str">
        <f t="shared" si="2"/>
        <v>HELVIE ADAM</v>
      </c>
    </row>
    <row r="144" spans="1:7" x14ac:dyDescent="0.25">
      <c r="A144" s="8">
        <v>42834.682916666665</v>
      </c>
      <c r="B144" s="20" t="s">
        <v>538</v>
      </c>
      <c r="C144" s="20" t="s">
        <v>763</v>
      </c>
      <c r="D144" s="146">
        <v>2480000</v>
      </c>
      <c r="E144" s="20" t="s">
        <v>500</v>
      </c>
      <c r="F144" s="20" t="s">
        <v>501</v>
      </c>
      <c r="G144" s="8" t="str">
        <f t="shared" si="2"/>
        <v>WHITED DUSTIN</v>
      </c>
    </row>
    <row r="145" spans="1:7" x14ac:dyDescent="0.25">
      <c r="A145" s="8">
        <v>42834.688634259262</v>
      </c>
      <c r="B145" s="20" t="s">
        <v>439</v>
      </c>
      <c r="C145" s="20" t="s">
        <v>764</v>
      </c>
      <c r="D145" s="146">
        <v>920000</v>
      </c>
      <c r="E145" s="20" t="s">
        <v>644</v>
      </c>
      <c r="F145" s="20" t="s">
        <v>196</v>
      </c>
      <c r="G145" s="8" t="str">
        <f t="shared" si="2"/>
        <v>DAVIS MICHAEL</v>
      </c>
    </row>
    <row r="146" spans="1:7" x14ac:dyDescent="0.25">
      <c r="A146" s="8">
        <v>42834.689733796295</v>
      </c>
      <c r="B146" s="20" t="s">
        <v>378</v>
      </c>
      <c r="C146" s="20" t="s">
        <v>765</v>
      </c>
      <c r="D146" s="146">
        <v>2440000</v>
      </c>
      <c r="E146" s="20" t="s">
        <v>504</v>
      </c>
      <c r="F146" s="20" t="s">
        <v>505</v>
      </c>
      <c r="G146" s="8" t="str">
        <f t="shared" si="2"/>
        <v>LOPES KIMBERLY</v>
      </c>
    </row>
    <row r="147" spans="1:7" x14ac:dyDescent="0.25">
      <c r="A147" s="8">
        <v>42834.693159722221</v>
      </c>
      <c r="B147" s="20" t="s">
        <v>657</v>
      </c>
      <c r="C147" s="20" t="s">
        <v>766</v>
      </c>
      <c r="D147" s="146">
        <v>1540000</v>
      </c>
      <c r="E147" s="20" t="s">
        <v>745</v>
      </c>
      <c r="F147" s="20" t="s">
        <v>746</v>
      </c>
      <c r="G147" s="8" t="str">
        <f t="shared" si="2"/>
        <v>HELVIE ADAM</v>
      </c>
    </row>
    <row r="148" spans="1:7" x14ac:dyDescent="0.25">
      <c r="A148" s="8">
        <v>42834.696064814816</v>
      </c>
      <c r="B148" s="20" t="s">
        <v>379</v>
      </c>
      <c r="C148" s="20" t="s">
        <v>767</v>
      </c>
      <c r="D148" s="146">
        <v>1300000</v>
      </c>
      <c r="E148" s="20" t="s">
        <v>716</v>
      </c>
      <c r="F148" s="20" t="s">
        <v>717</v>
      </c>
      <c r="G148" s="8" t="str">
        <f t="shared" si="2"/>
        <v>LEVIN SCOTT</v>
      </c>
    </row>
    <row r="149" spans="1:7" x14ac:dyDescent="0.25">
      <c r="A149" s="8">
        <v>42834.704479166663</v>
      </c>
      <c r="B149" s="20" t="s">
        <v>612</v>
      </c>
      <c r="C149" s="20" t="s">
        <v>768</v>
      </c>
      <c r="D149" s="146">
        <v>2360000</v>
      </c>
      <c r="E149" s="20" t="s">
        <v>536</v>
      </c>
      <c r="F149" s="20" t="s">
        <v>537</v>
      </c>
      <c r="G149" s="8" t="str">
        <f t="shared" si="2"/>
        <v>BRANDNER MELINDA</v>
      </c>
    </row>
    <row r="150" spans="1:7" x14ac:dyDescent="0.25">
      <c r="A150" s="8">
        <v>42834.70648148148</v>
      </c>
      <c r="B150" s="20" t="s">
        <v>383</v>
      </c>
      <c r="C150" s="20" t="s">
        <v>769</v>
      </c>
      <c r="D150" s="146">
        <v>1770000</v>
      </c>
      <c r="E150" s="20" t="s">
        <v>722</v>
      </c>
      <c r="F150" s="20" t="s">
        <v>723</v>
      </c>
      <c r="G150" s="8" t="str">
        <f t="shared" si="2"/>
        <v>BRUDER RICHARD</v>
      </c>
    </row>
    <row r="151" spans="1:7" x14ac:dyDescent="0.25">
      <c r="A151" s="8">
        <v>42834.715173611112</v>
      </c>
      <c r="B151" s="20" t="s">
        <v>386</v>
      </c>
      <c r="C151" s="20" t="s">
        <v>770</v>
      </c>
      <c r="D151" s="146">
        <v>880000</v>
      </c>
      <c r="E151" s="20" t="s">
        <v>709</v>
      </c>
      <c r="F151" s="20" t="s">
        <v>196</v>
      </c>
      <c r="G151" s="8" t="str">
        <f t="shared" si="2"/>
        <v>STEWART MICHAEL</v>
      </c>
    </row>
    <row r="152" spans="1:7" x14ac:dyDescent="0.25">
      <c r="A152" s="8">
        <v>42834.719004629631</v>
      </c>
      <c r="B152" s="20" t="s">
        <v>653</v>
      </c>
      <c r="C152" s="20" t="s">
        <v>771</v>
      </c>
      <c r="D152" s="146">
        <v>1540000</v>
      </c>
      <c r="E152" s="20" t="s">
        <v>745</v>
      </c>
      <c r="F152" s="20" t="s">
        <v>746</v>
      </c>
      <c r="G152" s="8" t="str">
        <f t="shared" si="2"/>
        <v>HELVIE ADAM</v>
      </c>
    </row>
    <row r="153" spans="1:7" x14ac:dyDescent="0.25">
      <c r="A153" s="8">
        <v>42834.721886574072</v>
      </c>
      <c r="B153" s="20" t="s">
        <v>542</v>
      </c>
      <c r="C153" s="20" t="s">
        <v>772</v>
      </c>
      <c r="D153" s="146">
        <v>1800000</v>
      </c>
      <c r="E153" s="20" t="s">
        <v>395</v>
      </c>
      <c r="F153" s="20" t="s">
        <v>396</v>
      </c>
      <c r="G153" s="8" t="str">
        <f t="shared" si="2"/>
        <v>CHANDLER KELVIN</v>
      </c>
    </row>
    <row r="154" spans="1:7" x14ac:dyDescent="0.25">
      <c r="A154" s="8">
        <v>42834.725243055553</v>
      </c>
      <c r="B154" s="20" t="s">
        <v>440</v>
      </c>
      <c r="C154" s="20" t="s">
        <v>773</v>
      </c>
      <c r="D154" s="146">
        <v>920000</v>
      </c>
      <c r="E154" s="20" t="s">
        <v>644</v>
      </c>
      <c r="F154" s="20" t="s">
        <v>196</v>
      </c>
      <c r="G154" s="8" t="str">
        <f t="shared" si="2"/>
        <v>DAVIS MICHAEL</v>
      </c>
    </row>
    <row r="155" spans="1:7" x14ac:dyDescent="0.25">
      <c r="A155" s="8">
        <v>42834.729259259257</v>
      </c>
      <c r="B155" s="20" t="s">
        <v>386</v>
      </c>
      <c r="C155" s="20" t="s">
        <v>770</v>
      </c>
      <c r="D155" s="146">
        <v>880000</v>
      </c>
      <c r="E155" s="20" t="s">
        <v>709</v>
      </c>
      <c r="F155" s="20" t="s">
        <v>196</v>
      </c>
      <c r="G155" s="8" t="str">
        <f t="shared" si="2"/>
        <v>STEWART MICHAEL</v>
      </c>
    </row>
    <row r="156" spans="1:7" x14ac:dyDescent="0.25">
      <c r="A156" s="8">
        <v>42834.730127314811</v>
      </c>
      <c r="B156" s="20" t="s">
        <v>377</v>
      </c>
      <c r="C156" s="20" t="s">
        <v>618</v>
      </c>
      <c r="D156" s="146">
        <v>2540000</v>
      </c>
      <c r="E156" s="20" t="s">
        <v>502</v>
      </c>
      <c r="F156" s="20" t="s">
        <v>503</v>
      </c>
      <c r="G156" s="8" t="str">
        <f t="shared" si="2"/>
        <v>MCREYNOLDS KYLE</v>
      </c>
    </row>
    <row r="157" spans="1:7" x14ac:dyDescent="0.25">
      <c r="A157" s="8">
        <v>42834.730219907404</v>
      </c>
      <c r="B157" s="20" t="s">
        <v>386</v>
      </c>
      <c r="C157" s="20" t="s">
        <v>770</v>
      </c>
      <c r="D157" s="146">
        <v>880000</v>
      </c>
      <c r="E157" s="20" t="s">
        <v>709</v>
      </c>
      <c r="F157" s="20" t="s">
        <v>196</v>
      </c>
      <c r="G157" s="8" t="str">
        <f t="shared" si="2"/>
        <v>STEWART MICHAEL</v>
      </c>
    </row>
    <row r="158" spans="1:7" x14ac:dyDescent="0.25">
      <c r="A158" s="8">
        <v>42834.73133101852</v>
      </c>
      <c r="B158" s="20" t="s">
        <v>427</v>
      </c>
      <c r="C158" s="20" t="s">
        <v>619</v>
      </c>
      <c r="D158" s="146">
        <v>1300000</v>
      </c>
      <c r="E158" s="20" t="s">
        <v>716</v>
      </c>
      <c r="F158" s="20" t="s">
        <v>717</v>
      </c>
      <c r="G158" s="8" t="str">
        <f t="shared" si="2"/>
        <v>LEVIN SCOTT</v>
      </c>
    </row>
    <row r="159" spans="1:7" x14ac:dyDescent="0.25">
      <c r="A159" s="8">
        <v>42834.732314814813</v>
      </c>
      <c r="B159" s="20" t="s">
        <v>386</v>
      </c>
      <c r="C159" s="20" t="s">
        <v>770</v>
      </c>
      <c r="D159" s="146">
        <v>880000</v>
      </c>
      <c r="E159" s="20" t="s">
        <v>709</v>
      </c>
      <c r="F159" s="20" t="s">
        <v>196</v>
      </c>
      <c r="G159" s="8" t="str">
        <f t="shared" si="2"/>
        <v>STEWART MICHAEL</v>
      </c>
    </row>
    <row r="160" spans="1:7" x14ac:dyDescent="0.25">
      <c r="A160" s="8">
        <v>42834.734930555554</v>
      </c>
      <c r="B160" s="20" t="s">
        <v>657</v>
      </c>
      <c r="C160" s="20" t="s">
        <v>774</v>
      </c>
      <c r="D160" s="146">
        <v>1540000</v>
      </c>
      <c r="E160" s="20" t="s">
        <v>745</v>
      </c>
      <c r="F160" s="20" t="s">
        <v>746</v>
      </c>
      <c r="G160" s="8" t="str">
        <f t="shared" si="2"/>
        <v>HELVIE ADAM</v>
      </c>
    </row>
    <row r="161" spans="1:7" x14ac:dyDescent="0.25">
      <c r="A161" s="8">
        <v>42834.736319444448</v>
      </c>
      <c r="B161" s="20" t="s">
        <v>458</v>
      </c>
      <c r="C161" s="20" t="s">
        <v>775</v>
      </c>
      <c r="D161" s="146">
        <v>2530000</v>
      </c>
      <c r="E161" s="20" t="s">
        <v>718</v>
      </c>
      <c r="F161" s="20" t="s">
        <v>719</v>
      </c>
      <c r="G161" s="8" t="str">
        <f t="shared" si="2"/>
        <v>LALONDE GREGORY</v>
      </c>
    </row>
    <row r="162" spans="1:7" x14ac:dyDescent="0.25">
      <c r="A162" s="8">
        <v>42834.739305555559</v>
      </c>
      <c r="B162" s="20" t="s">
        <v>377</v>
      </c>
      <c r="C162" s="20" t="s">
        <v>618</v>
      </c>
      <c r="D162" s="146">
        <v>2540000</v>
      </c>
      <c r="E162" s="20" t="s">
        <v>502</v>
      </c>
      <c r="F162" s="20" t="s">
        <v>503</v>
      </c>
      <c r="G162" s="8" t="str">
        <f t="shared" si="2"/>
        <v>MCREYNOLDS KYLE</v>
      </c>
    </row>
    <row r="163" spans="1:7" x14ac:dyDescent="0.25">
      <c r="A163" s="8">
        <v>42834.742546296293</v>
      </c>
      <c r="B163" s="20" t="s">
        <v>385</v>
      </c>
      <c r="C163" s="20" t="s">
        <v>776</v>
      </c>
      <c r="D163" s="146">
        <v>2600000</v>
      </c>
      <c r="E163" s="20" t="s">
        <v>777</v>
      </c>
      <c r="F163" s="20" t="s">
        <v>778</v>
      </c>
      <c r="G163" s="8" t="str">
        <f t="shared" si="2"/>
        <v>DAVIDSON DAVID</v>
      </c>
    </row>
    <row r="164" spans="1:7" x14ac:dyDescent="0.25">
      <c r="A164" s="8">
        <v>42834.743854166663</v>
      </c>
      <c r="B164" s="20" t="s">
        <v>384</v>
      </c>
      <c r="C164" s="20" t="s">
        <v>779</v>
      </c>
      <c r="D164" s="146">
        <v>1770000</v>
      </c>
      <c r="E164" s="20" t="s">
        <v>722</v>
      </c>
      <c r="F164" s="20" t="s">
        <v>723</v>
      </c>
      <c r="G164" s="8" t="str">
        <f t="shared" si="2"/>
        <v>BRUDER RICHARD</v>
      </c>
    </row>
    <row r="165" spans="1:7" x14ac:dyDescent="0.25">
      <c r="A165" s="8">
        <v>42834.751122685186</v>
      </c>
      <c r="B165" s="20" t="s">
        <v>780</v>
      </c>
      <c r="C165" s="20" t="s">
        <v>781</v>
      </c>
      <c r="D165" s="146">
        <v>2610000</v>
      </c>
      <c r="E165" s="20" t="s">
        <v>782</v>
      </c>
      <c r="F165" s="20" t="s">
        <v>783</v>
      </c>
      <c r="G165" s="8" t="str">
        <f t="shared" si="2"/>
        <v>MAGEE KENYA</v>
      </c>
    </row>
    <row r="166" spans="1:7" x14ac:dyDescent="0.25">
      <c r="A166" s="8">
        <v>42834.756874999999</v>
      </c>
      <c r="B166" s="20" t="s">
        <v>199</v>
      </c>
      <c r="C166" s="20" t="s">
        <v>784</v>
      </c>
      <c r="D166" s="146">
        <v>2360000</v>
      </c>
      <c r="E166" s="20" t="s">
        <v>536</v>
      </c>
      <c r="F166" s="20" t="s">
        <v>537</v>
      </c>
      <c r="G166" s="8" t="str">
        <f t="shared" si="2"/>
        <v>BRANDNER MELINDA</v>
      </c>
    </row>
    <row r="167" spans="1:7" x14ac:dyDescent="0.25">
      <c r="A167" s="8">
        <v>42834.757002314815</v>
      </c>
      <c r="B167" s="20" t="s">
        <v>538</v>
      </c>
      <c r="C167" s="20" t="s">
        <v>785</v>
      </c>
      <c r="D167" s="146">
        <v>1800000</v>
      </c>
      <c r="E167" s="20" t="s">
        <v>395</v>
      </c>
      <c r="F167" s="20" t="s">
        <v>396</v>
      </c>
      <c r="G167" s="8" t="str">
        <f t="shared" si="2"/>
        <v>CHANDLER KELVIN</v>
      </c>
    </row>
    <row r="168" spans="1:7" x14ac:dyDescent="0.25">
      <c r="A168" s="8">
        <v>42834.762743055559</v>
      </c>
      <c r="B168" s="20" t="s">
        <v>653</v>
      </c>
      <c r="C168" s="20" t="s">
        <v>786</v>
      </c>
      <c r="D168" s="146">
        <v>1540000</v>
      </c>
      <c r="E168" s="20" t="s">
        <v>745</v>
      </c>
      <c r="F168" s="20" t="s">
        <v>746</v>
      </c>
      <c r="G168" s="8" t="str">
        <f t="shared" si="2"/>
        <v>HELVIE ADAM</v>
      </c>
    </row>
    <row r="169" spans="1:7" x14ac:dyDescent="0.25">
      <c r="A169" s="8">
        <v>42834.763981481483</v>
      </c>
      <c r="B169" s="20" t="s">
        <v>439</v>
      </c>
      <c r="C169" s="20" t="s">
        <v>787</v>
      </c>
      <c r="D169" s="146">
        <v>2230000</v>
      </c>
      <c r="E169" s="20" t="s">
        <v>382</v>
      </c>
      <c r="F169" s="20" t="s">
        <v>196</v>
      </c>
      <c r="G169" s="8" t="str">
        <f t="shared" si="2"/>
        <v>SMITH MICHAEL</v>
      </c>
    </row>
    <row r="170" spans="1:7" x14ac:dyDescent="0.25">
      <c r="A170" s="8">
        <v>42834.76662037037</v>
      </c>
      <c r="B170" s="20" t="s">
        <v>378</v>
      </c>
      <c r="C170" s="20" t="s">
        <v>788</v>
      </c>
      <c r="D170" s="146">
        <v>2540000</v>
      </c>
      <c r="E170" s="20" t="s">
        <v>502</v>
      </c>
      <c r="F170" s="20" t="s">
        <v>503</v>
      </c>
      <c r="G170" s="8" t="str">
        <f t="shared" si="2"/>
        <v>MCREYNOLDS KYLE</v>
      </c>
    </row>
    <row r="171" spans="1:7" x14ac:dyDescent="0.25">
      <c r="A171" s="8">
        <v>42834.768726851849</v>
      </c>
      <c r="B171" s="20" t="s">
        <v>379</v>
      </c>
      <c r="C171" s="20" t="s">
        <v>620</v>
      </c>
      <c r="D171" s="146">
        <v>2000000</v>
      </c>
      <c r="E171" s="20" t="s">
        <v>376</v>
      </c>
      <c r="F171" s="20" t="s">
        <v>193</v>
      </c>
      <c r="G171" s="8" t="str">
        <f t="shared" si="2"/>
        <v>STAMBAUGH JAMES</v>
      </c>
    </row>
    <row r="172" spans="1:7" x14ac:dyDescent="0.25">
      <c r="A172" s="8">
        <v>42834.772499999999</v>
      </c>
      <c r="B172" s="20" t="s">
        <v>780</v>
      </c>
      <c r="C172" s="20" t="s">
        <v>781</v>
      </c>
      <c r="D172" s="146">
        <v>2630000</v>
      </c>
      <c r="E172" s="20" t="s">
        <v>789</v>
      </c>
      <c r="F172" s="20" t="s">
        <v>790</v>
      </c>
      <c r="G172" s="8" t="str">
        <f t="shared" si="2"/>
        <v>SAFIEF AEIMEN</v>
      </c>
    </row>
    <row r="173" spans="1:7" x14ac:dyDescent="0.25">
      <c r="A173" s="8">
        <v>42834.776550925926</v>
      </c>
      <c r="B173" s="20" t="s">
        <v>657</v>
      </c>
      <c r="C173" s="20" t="s">
        <v>791</v>
      </c>
      <c r="D173" s="146">
        <v>1540000</v>
      </c>
      <c r="E173" s="20" t="s">
        <v>745</v>
      </c>
      <c r="F173" s="20" t="s">
        <v>746</v>
      </c>
      <c r="G173" s="8" t="str">
        <f t="shared" si="2"/>
        <v>HELVIE ADAM</v>
      </c>
    </row>
    <row r="174" spans="1:7" x14ac:dyDescent="0.25">
      <c r="A174" s="8">
        <v>42834.77684027778</v>
      </c>
      <c r="B174" s="20" t="s">
        <v>612</v>
      </c>
      <c r="C174" s="20" t="s">
        <v>792</v>
      </c>
      <c r="D174" s="146">
        <v>2600000</v>
      </c>
      <c r="E174" s="20" t="s">
        <v>777</v>
      </c>
      <c r="F174" s="20" t="s">
        <v>778</v>
      </c>
      <c r="G174" s="8" t="str">
        <f t="shared" si="2"/>
        <v>DAVIDSON DAVID</v>
      </c>
    </row>
    <row r="175" spans="1:7" x14ac:dyDescent="0.25">
      <c r="A175" s="8">
        <v>42834.778599537036</v>
      </c>
      <c r="B175" s="20" t="s">
        <v>383</v>
      </c>
      <c r="C175" s="20" t="s">
        <v>793</v>
      </c>
      <c r="D175" s="146">
        <v>1770000</v>
      </c>
      <c r="E175" s="20" t="s">
        <v>722</v>
      </c>
      <c r="F175" s="20" t="s">
        <v>723</v>
      </c>
      <c r="G175" s="8" t="str">
        <f t="shared" si="2"/>
        <v>BRUDER RICHARD</v>
      </c>
    </row>
    <row r="176" spans="1:7" x14ac:dyDescent="0.25">
      <c r="A176" s="8">
        <v>42834.789039351854</v>
      </c>
      <c r="B176" s="20" t="s">
        <v>386</v>
      </c>
      <c r="C176" s="20" t="s">
        <v>621</v>
      </c>
      <c r="D176" s="146">
        <v>2360000</v>
      </c>
      <c r="E176" s="20" t="s">
        <v>536</v>
      </c>
      <c r="F176" s="20" t="s">
        <v>537</v>
      </c>
      <c r="G176" s="8" t="str">
        <f t="shared" si="2"/>
        <v>BRANDNER MELINDA</v>
      </c>
    </row>
    <row r="177" spans="1:7" x14ac:dyDescent="0.25">
      <c r="A177" s="8">
        <v>42834.791875000003</v>
      </c>
      <c r="B177" s="20" t="s">
        <v>542</v>
      </c>
      <c r="C177" s="20" t="s">
        <v>794</v>
      </c>
      <c r="D177" s="146">
        <v>1800000</v>
      </c>
      <c r="E177" s="20" t="s">
        <v>395</v>
      </c>
      <c r="F177" s="20" t="s">
        <v>396</v>
      </c>
      <c r="G177" s="8" t="str">
        <f t="shared" si="2"/>
        <v>CHANDLER KELVIN</v>
      </c>
    </row>
    <row r="178" spans="1:7" x14ac:dyDescent="0.25">
      <c r="A178" s="8">
        <v>42834.795787037037</v>
      </c>
      <c r="B178" s="20" t="s">
        <v>440</v>
      </c>
      <c r="C178" s="20" t="s">
        <v>795</v>
      </c>
      <c r="D178" s="146">
        <v>2230000</v>
      </c>
      <c r="E178" s="20" t="s">
        <v>382</v>
      </c>
      <c r="F178" s="20" t="s">
        <v>196</v>
      </c>
      <c r="G178" s="8" t="str">
        <f t="shared" si="2"/>
        <v>SMITH MICHAEL</v>
      </c>
    </row>
    <row r="179" spans="1:7" x14ac:dyDescent="0.25">
      <c r="A179" s="8">
        <v>42834.800069444442</v>
      </c>
      <c r="B179" s="20" t="s">
        <v>377</v>
      </c>
      <c r="C179" s="20" t="s">
        <v>796</v>
      </c>
      <c r="D179" s="146">
        <v>2540000</v>
      </c>
      <c r="E179" s="20" t="s">
        <v>502</v>
      </c>
      <c r="F179" s="20" t="s">
        <v>503</v>
      </c>
      <c r="G179" s="8" t="str">
        <f t="shared" si="2"/>
        <v>MCREYNOLDS KYLE</v>
      </c>
    </row>
    <row r="180" spans="1:7" x14ac:dyDescent="0.25">
      <c r="A180" s="8">
        <v>42834.804351851853</v>
      </c>
      <c r="B180" s="20" t="s">
        <v>653</v>
      </c>
      <c r="C180" s="20" t="s">
        <v>797</v>
      </c>
      <c r="D180" s="146">
        <v>1540000</v>
      </c>
      <c r="E180" s="20" t="s">
        <v>745</v>
      </c>
      <c r="F180" s="20" t="s">
        <v>746</v>
      </c>
      <c r="G180" s="8" t="str">
        <f t="shared" si="2"/>
        <v>HELVIE ADAM</v>
      </c>
    </row>
    <row r="181" spans="1:7" x14ac:dyDescent="0.25">
      <c r="A181" s="8">
        <v>42834.805405092593</v>
      </c>
      <c r="B181" s="20" t="s">
        <v>427</v>
      </c>
      <c r="C181" s="20" t="s">
        <v>798</v>
      </c>
      <c r="D181" s="146">
        <v>2000000</v>
      </c>
      <c r="E181" s="20" t="s">
        <v>376</v>
      </c>
      <c r="F181" s="20" t="s">
        <v>193</v>
      </c>
      <c r="G181" s="8" t="str">
        <f t="shared" si="2"/>
        <v>STAMBAUGH JAMES</v>
      </c>
    </row>
    <row r="182" spans="1:7" x14ac:dyDescent="0.25">
      <c r="A182" s="8">
        <v>42834.812442129631</v>
      </c>
      <c r="B182" s="20" t="s">
        <v>385</v>
      </c>
      <c r="C182" s="20" t="s">
        <v>799</v>
      </c>
      <c r="D182" s="146">
        <v>2600000</v>
      </c>
      <c r="E182" s="20" t="s">
        <v>777</v>
      </c>
      <c r="F182" s="20" t="s">
        <v>778</v>
      </c>
      <c r="G182" s="8" t="str">
        <f t="shared" si="2"/>
        <v>DAVIDSON DAVID</v>
      </c>
    </row>
    <row r="183" spans="1:7" x14ac:dyDescent="0.25">
      <c r="A183" s="8">
        <v>42834.820648148147</v>
      </c>
      <c r="B183" s="20" t="s">
        <v>657</v>
      </c>
      <c r="C183" s="20" t="s">
        <v>800</v>
      </c>
      <c r="D183" s="146">
        <v>1540000</v>
      </c>
      <c r="E183" s="20" t="s">
        <v>745</v>
      </c>
      <c r="F183" s="20" t="s">
        <v>746</v>
      </c>
      <c r="G183" s="8" t="str">
        <f t="shared" si="2"/>
        <v>HELVIE ADAM</v>
      </c>
    </row>
    <row r="184" spans="1:7" x14ac:dyDescent="0.25">
      <c r="A184" s="8">
        <v>42834.824016203704</v>
      </c>
      <c r="B184" s="20" t="s">
        <v>199</v>
      </c>
      <c r="C184" s="20" t="s">
        <v>622</v>
      </c>
      <c r="D184" s="146">
        <v>2360000</v>
      </c>
      <c r="E184" s="20" t="s">
        <v>536</v>
      </c>
      <c r="F184" s="20" t="s">
        <v>537</v>
      </c>
      <c r="G184" s="8" t="str">
        <f t="shared" si="2"/>
        <v>BRANDNER MELINDA</v>
      </c>
    </row>
    <row r="185" spans="1:7" x14ac:dyDescent="0.25">
      <c r="A185" s="8">
        <v>42834.829004629632</v>
      </c>
      <c r="B185" s="20" t="s">
        <v>538</v>
      </c>
      <c r="C185" s="20" t="s">
        <v>801</v>
      </c>
      <c r="D185" s="146">
        <v>1800000</v>
      </c>
      <c r="E185" s="20" t="s">
        <v>395</v>
      </c>
      <c r="F185" s="20" t="s">
        <v>396</v>
      </c>
      <c r="G185" s="8" t="str">
        <f t="shared" si="2"/>
        <v>CHANDLER KELVIN</v>
      </c>
    </row>
    <row r="186" spans="1:7" x14ac:dyDescent="0.25">
      <c r="A186" s="8">
        <v>42834.831909722219</v>
      </c>
      <c r="B186" s="20" t="s">
        <v>439</v>
      </c>
      <c r="C186" s="20" t="s">
        <v>802</v>
      </c>
      <c r="D186" s="146">
        <v>2230000</v>
      </c>
      <c r="E186" s="20" t="s">
        <v>382</v>
      </c>
      <c r="F186" s="20" t="s">
        <v>196</v>
      </c>
      <c r="G186" s="8" t="str">
        <f t="shared" si="2"/>
        <v>SMITH MICHAEL</v>
      </c>
    </row>
    <row r="187" spans="1:7" x14ac:dyDescent="0.25">
      <c r="A187" s="8">
        <v>42834.840925925928</v>
      </c>
      <c r="B187" s="20" t="s">
        <v>379</v>
      </c>
      <c r="C187" s="20" t="s">
        <v>803</v>
      </c>
      <c r="D187" s="146">
        <v>2000000</v>
      </c>
      <c r="E187" s="20" t="s">
        <v>376</v>
      </c>
      <c r="F187" s="20" t="s">
        <v>193</v>
      </c>
      <c r="G187" s="8" t="str">
        <f t="shared" si="2"/>
        <v>STAMBAUGH JAMES</v>
      </c>
    </row>
    <row r="188" spans="1:7" x14ac:dyDescent="0.25">
      <c r="A188" s="8">
        <v>42834.845960648148</v>
      </c>
      <c r="B188" s="20" t="s">
        <v>653</v>
      </c>
      <c r="C188" s="20" t="s">
        <v>804</v>
      </c>
      <c r="D188" s="146">
        <v>1540000</v>
      </c>
      <c r="E188" s="20" t="s">
        <v>745</v>
      </c>
      <c r="F188" s="20" t="s">
        <v>746</v>
      </c>
      <c r="G188" s="8" t="str">
        <f t="shared" si="2"/>
        <v>HELVIE ADAM</v>
      </c>
    </row>
    <row r="189" spans="1:7" x14ac:dyDescent="0.25">
      <c r="A189" s="8">
        <v>42834.846076388887</v>
      </c>
      <c r="B189" s="20" t="s">
        <v>612</v>
      </c>
      <c r="C189" s="20" t="s">
        <v>805</v>
      </c>
      <c r="D189" s="146">
        <v>2600000</v>
      </c>
      <c r="E189" s="20" t="s">
        <v>777</v>
      </c>
      <c r="F189" s="20" t="s">
        <v>778</v>
      </c>
      <c r="G189" s="8" t="str">
        <f t="shared" si="2"/>
        <v>DAVIDSON DAVID</v>
      </c>
    </row>
    <row r="190" spans="1:7" x14ac:dyDescent="0.25">
      <c r="A190" s="8">
        <v>42834.859513888892</v>
      </c>
      <c r="B190" s="20" t="s">
        <v>657</v>
      </c>
      <c r="C190" s="20" t="s">
        <v>806</v>
      </c>
      <c r="D190" s="146">
        <v>1540000</v>
      </c>
      <c r="E190" s="20" t="s">
        <v>745</v>
      </c>
      <c r="F190" s="20" t="s">
        <v>746</v>
      </c>
      <c r="G190" s="8" t="str">
        <f t="shared" si="2"/>
        <v>HELVIE ADAM</v>
      </c>
    </row>
    <row r="191" spans="1:7" x14ac:dyDescent="0.25">
      <c r="A191" s="8">
        <v>42834.864571759259</v>
      </c>
      <c r="B191" s="20" t="s">
        <v>440</v>
      </c>
      <c r="C191" s="20" t="s">
        <v>807</v>
      </c>
      <c r="D191" s="146">
        <v>2230000</v>
      </c>
      <c r="E191" s="20" t="s">
        <v>382</v>
      </c>
      <c r="F191" s="20" t="s">
        <v>196</v>
      </c>
      <c r="G191" s="8" t="str">
        <f t="shared" si="2"/>
        <v>SMITH MICHAEL</v>
      </c>
    </row>
    <row r="192" spans="1:7" x14ac:dyDescent="0.25">
      <c r="A192" s="8">
        <v>42834.868344907409</v>
      </c>
      <c r="B192" s="20" t="s">
        <v>538</v>
      </c>
      <c r="C192" s="20" t="s">
        <v>801</v>
      </c>
      <c r="D192" s="146">
        <v>1800000</v>
      </c>
      <c r="E192" s="20" t="s">
        <v>395</v>
      </c>
      <c r="F192" s="20" t="s">
        <v>396</v>
      </c>
      <c r="G192" s="8" t="str">
        <f t="shared" si="2"/>
        <v>CHANDLER KELVIN</v>
      </c>
    </row>
    <row r="193" spans="1:7" x14ac:dyDescent="0.25">
      <c r="A193" s="8">
        <v>42834.873136574075</v>
      </c>
      <c r="B193" s="20" t="s">
        <v>542</v>
      </c>
      <c r="C193" s="20" t="s">
        <v>808</v>
      </c>
      <c r="D193" s="146">
        <v>1800000</v>
      </c>
      <c r="E193" s="20" t="s">
        <v>395</v>
      </c>
      <c r="F193" s="20" t="s">
        <v>396</v>
      </c>
      <c r="G193" s="8" t="str">
        <f t="shared" si="2"/>
        <v>CHANDLER KELVIN</v>
      </c>
    </row>
    <row r="194" spans="1:7" x14ac:dyDescent="0.25">
      <c r="A194" s="8">
        <v>42834.888344907406</v>
      </c>
      <c r="B194" s="20" t="s">
        <v>653</v>
      </c>
      <c r="C194" s="20" t="s">
        <v>809</v>
      </c>
      <c r="D194" s="146">
        <v>1540000</v>
      </c>
      <c r="E194" s="20" t="s">
        <v>745</v>
      </c>
      <c r="F194" s="20" t="s">
        <v>746</v>
      </c>
      <c r="G194" s="8" t="str">
        <f t="shared" si="2"/>
        <v>HELVIE ADAM</v>
      </c>
    </row>
    <row r="195" spans="1:7" x14ac:dyDescent="0.25">
      <c r="A195" s="8">
        <v>42834.890428240738</v>
      </c>
      <c r="B195" s="20" t="s">
        <v>427</v>
      </c>
      <c r="C195" s="20" t="s">
        <v>810</v>
      </c>
      <c r="D195" s="146">
        <v>2000000</v>
      </c>
      <c r="E195" s="20" t="s">
        <v>376</v>
      </c>
      <c r="F195" s="20" t="s">
        <v>193</v>
      </c>
      <c r="G195" s="8" t="str">
        <f t="shared" ref="G195:G258" si="3">E195&amp;" "&amp;F195</f>
        <v>STAMBAUGH JAMES</v>
      </c>
    </row>
    <row r="196" spans="1:7" x14ac:dyDescent="0.25">
      <c r="A196" s="8">
        <v>42834.891111111108</v>
      </c>
      <c r="B196" s="20" t="s">
        <v>385</v>
      </c>
      <c r="C196" s="20" t="s">
        <v>811</v>
      </c>
      <c r="D196" s="146">
        <v>2680000</v>
      </c>
      <c r="E196" s="20" t="s">
        <v>433</v>
      </c>
      <c r="F196" s="20" t="s">
        <v>434</v>
      </c>
      <c r="G196" s="8" t="str">
        <f t="shared" si="3"/>
        <v>DUNCAN SHEILA</v>
      </c>
    </row>
    <row r="197" spans="1:7" x14ac:dyDescent="0.25">
      <c r="A197" s="8">
        <v>42834.900266203702</v>
      </c>
      <c r="B197" s="20" t="s">
        <v>657</v>
      </c>
      <c r="C197" s="20" t="s">
        <v>812</v>
      </c>
      <c r="D197" s="146">
        <v>1540000</v>
      </c>
      <c r="E197" s="20" t="s">
        <v>745</v>
      </c>
      <c r="F197" s="20" t="s">
        <v>746</v>
      </c>
      <c r="G197" s="8" t="str">
        <f t="shared" si="3"/>
        <v>HELVIE ADAM</v>
      </c>
    </row>
    <row r="198" spans="1:7" x14ac:dyDescent="0.25">
      <c r="A198" s="8">
        <v>42834.906898148147</v>
      </c>
      <c r="B198" s="20" t="s">
        <v>439</v>
      </c>
      <c r="C198" s="20" t="s">
        <v>813</v>
      </c>
      <c r="D198" s="146">
        <v>2230000</v>
      </c>
      <c r="E198" s="20" t="s">
        <v>382</v>
      </c>
      <c r="F198" s="20" t="s">
        <v>196</v>
      </c>
      <c r="G198" s="8" t="str">
        <f t="shared" si="3"/>
        <v>SMITH MICHAEL</v>
      </c>
    </row>
    <row r="199" spans="1:7" x14ac:dyDescent="0.25">
      <c r="A199" s="8">
        <v>42834.910729166666</v>
      </c>
      <c r="B199" s="20" t="s">
        <v>538</v>
      </c>
      <c r="C199" s="20" t="s">
        <v>814</v>
      </c>
      <c r="D199" s="146">
        <v>1800000</v>
      </c>
      <c r="E199" s="20" t="s">
        <v>395</v>
      </c>
      <c r="F199" s="20" t="s">
        <v>396</v>
      </c>
      <c r="G199" s="8" t="str">
        <f t="shared" si="3"/>
        <v>CHANDLER KELVIN</v>
      </c>
    </row>
    <row r="200" spans="1:7" x14ac:dyDescent="0.25">
      <c r="A200" s="8">
        <v>42834.922453703701</v>
      </c>
      <c r="B200" s="20" t="s">
        <v>379</v>
      </c>
      <c r="C200" s="20" t="s">
        <v>815</v>
      </c>
      <c r="D200" s="146">
        <v>2000000</v>
      </c>
      <c r="E200" s="20" t="s">
        <v>376</v>
      </c>
      <c r="F200" s="20" t="s">
        <v>193</v>
      </c>
      <c r="G200" s="8" t="str">
        <f t="shared" si="3"/>
        <v>STAMBAUGH JAMES</v>
      </c>
    </row>
    <row r="201" spans="1:7" x14ac:dyDescent="0.25">
      <c r="A201" s="8">
        <v>42834.927916666667</v>
      </c>
      <c r="B201" s="20" t="s">
        <v>653</v>
      </c>
      <c r="C201" s="20" t="s">
        <v>816</v>
      </c>
      <c r="D201" s="146">
        <v>1540000</v>
      </c>
      <c r="E201" s="20" t="s">
        <v>745</v>
      </c>
      <c r="F201" s="20" t="s">
        <v>746</v>
      </c>
      <c r="G201" s="8" t="str">
        <f t="shared" si="3"/>
        <v>HELVIE ADAM</v>
      </c>
    </row>
    <row r="202" spans="1:7" x14ac:dyDescent="0.25">
      <c r="A202" s="26">
        <v>42834.932268518518</v>
      </c>
      <c r="B202" s="20" t="s">
        <v>612</v>
      </c>
      <c r="C202" s="20" t="s">
        <v>623</v>
      </c>
      <c r="D202" s="146">
        <v>2680000</v>
      </c>
      <c r="E202" s="20" t="s">
        <v>433</v>
      </c>
      <c r="F202" s="20" t="s">
        <v>434</v>
      </c>
      <c r="G202" s="8" t="str">
        <f t="shared" si="3"/>
        <v>DUNCAN SHEILA</v>
      </c>
    </row>
    <row r="203" spans="1:7" x14ac:dyDescent="0.25">
      <c r="A203" s="8">
        <v>42834.94259259259</v>
      </c>
      <c r="B203" s="20" t="s">
        <v>657</v>
      </c>
      <c r="C203" s="20" t="s">
        <v>817</v>
      </c>
      <c r="D203" s="146">
        <v>1540000</v>
      </c>
      <c r="E203" s="20" t="s">
        <v>745</v>
      </c>
      <c r="F203" s="20" t="s">
        <v>746</v>
      </c>
      <c r="G203" s="8" t="str">
        <f t="shared" si="3"/>
        <v>HELVIE ADAM</v>
      </c>
    </row>
    <row r="204" spans="1:7" x14ac:dyDescent="0.25">
      <c r="A204" s="8">
        <v>42834.948344907411</v>
      </c>
      <c r="B204" s="20" t="s">
        <v>440</v>
      </c>
      <c r="C204" s="20" t="s">
        <v>818</v>
      </c>
      <c r="D204" s="146">
        <v>2230000</v>
      </c>
      <c r="E204" s="20" t="s">
        <v>382</v>
      </c>
      <c r="F204" s="20" t="s">
        <v>196</v>
      </c>
      <c r="G204" s="8" t="str">
        <f t="shared" si="3"/>
        <v>SMITH MICHAEL</v>
      </c>
    </row>
    <row r="205" spans="1:7" x14ac:dyDescent="0.25">
      <c r="A205" s="8">
        <v>42834.956400462965</v>
      </c>
      <c r="B205" s="20" t="s">
        <v>542</v>
      </c>
      <c r="C205" s="20" t="s">
        <v>819</v>
      </c>
      <c r="D205" s="146">
        <v>1800000</v>
      </c>
      <c r="E205" s="20" t="s">
        <v>395</v>
      </c>
      <c r="F205" s="20" t="s">
        <v>396</v>
      </c>
      <c r="G205" s="8" t="str">
        <f t="shared" si="3"/>
        <v>CHANDLER KELVIN</v>
      </c>
    </row>
    <row r="206" spans="1:7" x14ac:dyDescent="0.25">
      <c r="A206" s="8">
        <v>42834.972824074073</v>
      </c>
      <c r="B206" s="20" t="s">
        <v>385</v>
      </c>
      <c r="C206" s="20" t="s">
        <v>820</v>
      </c>
      <c r="D206" s="146">
        <v>2680000</v>
      </c>
      <c r="E206" s="20" t="s">
        <v>433</v>
      </c>
      <c r="F206" s="20" t="s">
        <v>434</v>
      </c>
      <c r="G206" s="8" t="str">
        <f t="shared" si="3"/>
        <v>DUNCAN SHEILA</v>
      </c>
    </row>
    <row r="207" spans="1:7" x14ac:dyDescent="0.25">
      <c r="A207" s="8">
        <v>42834.973194444443</v>
      </c>
      <c r="B207" s="20" t="s">
        <v>427</v>
      </c>
      <c r="C207" s="20" t="s">
        <v>821</v>
      </c>
      <c r="D207" s="146">
        <v>2000000</v>
      </c>
      <c r="E207" s="20" t="s">
        <v>376</v>
      </c>
      <c r="F207" s="20" t="s">
        <v>193</v>
      </c>
      <c r="G207" s="8" t="str">
        <f t="shared" si="3"/>
        <v>STAMBAUGH JAMES</v>
      </c>
    </row>
    <row r="208" spans="1:7" x14ac:dyDescent="0.25">
      <c r="A208" s="8">
        <v>42834.991574074076</v>
      </c>
      <c r="B208" s="20" t="s">
        <v>439</v>
      </c>
      <c r="C208" s="20" t="s">
        <v>822</v>
      </c>
      <c r="D208" s="146">
        <v>2230000</v>
      </c>
      <c r="E208" s="20" t="s">
        <v>382</v>
      </c>
      <c r="F208" s="20" t="s">
        <v>196</v>
      </c>
      <c r="G208" s="8" t="str">
        <f t="shared" si="3"/>
        <v>SMITH MICHAEL</v>
      </c>
    </row>
    <row r="209" spans="1:7" x14ac:dyDescent="0.25">
      <c r="A209" s="8">
        <v>42834.994155092594</v>
      </c>
      <c r="B209" s="20" t="s">
        <v>538</v>
      </c>
      <c r="C209" s="20" t="s">
        <v>823</v>
      </c>
      <c r="D209" s="146">
        <v>1800000</v>
      </c>
      <c r="E209" s="20" t="s">
        <v>395</v>
      </c>
      <c r="F209" s="20" t="s">
        <v>396</v>
      </c>
      <c r="G209" s="8" t="str">
        <f t="shared" si="3"/>
        <v>CHANDLER KELVIN</v>
      </c>
    </row>
    <row r="210" spans="1:7" x14ac:dyDescent="0.25">
      <c r="A210" s="8">
        <v>42835.004756944443</v>
      </c>
      <c r="B210" s="20" t="s">
        <v>379</v>
      </c>
      <c r="C210" s="20" t="s">
        <v>824</v>
      </c>
      <c r="D210" s="146">
        <v>2000000</v>
      </c>
      <c r="E210" s="20" t="s">
        <v>376</v>
      </c>
      <c r="F210" s="20" t="s">
        <v>193</v>
      </c>
      <c r="G210" s="8" t="str">
        <f t="shared" si="3"/>
        <v>STAMBAUGH JAMES</v>
      </c>
    </row>
    <row r="211" spans="1:7" x14ac:dyDescent="0.25">
      <c r="A211" s="8">
        <v>42835.017094907409</v>
      </c>
      <c r="B211" s="20" t="s">
        <v>612</v>
      </c>
      <c r="C211" s="20" t="s">
        <v>825</v>
      </c>
      <c r="D211" s="146">
        <v>2680000</v>
      </c>
      <c r="E211" s="20" t="s">
        <v>433</v>
      </c>
      <c r="F211" s="20" t="s">
        <v>434</v>
      </c>
      <c r="G211" s="8" t="str">
        <f t="shared" si="3"/>
        <v>DUNCAN SHEILA</v>
      </c>
    </row>
    <row r="212" spans="1:7" x14ac:dyDescent="0.25">
      <c r="A212" s="8">
        <v>42835.029143518521</v>
      </c>
      <c r="B212" s="20" t="s">
        <v>542</v>
      </c>
      <c r="C212" s="20" t="s">
        <v>826</v>
      </c>
      <c r="D212" s="146">
        <v>1800000</v>
      </c>
      <c r="E212" s="20" t="s">
        <v>395</v>
      </c>
      <c r="F212" s="20" t="s">
        <v>396</v>
      </c>
      <c r="G212" s="8" t="str">
        <f t="shared" si="3"/>
        <v>CHANDLER KELVIN</v>
      </c>
    </row>
    <row r="213" spans="1:7" x14ac:dyDescent="0.25">
      <c r="A213" s="8">
        <v>42835.033113425925</v>
      </c>
      <c r="B213" s="20" t="s">
        <v>440</v>
      </c>
      <c r="C213" s="20" t="s">
        <v>827</v>
      </c>
      <c r="D213" s="146">
        <v>2230000</v>
      </c>
      <c r="E213" s="20" t="s">
        <v>382</v>
      </c>
      <c r="F213" s="20" t="s">
        <v>196</v>
      </c>
      <c r="G213" s="8" t="str">
        <f t="shared" si="3"/>
        <v>SMITH MICHAEL</v>
      </c>
    </row>
    <row r="214" spans="1:7" x14ac:dyDescent="0.25">
      <c r="A214" s="8">
        <v>42835.050034722219</v>
      </c>
      <c r="B214" s="20" t="s">
        <v>385</v>
      </c>
      <c r="C214" s="20" t="s">
        <v>828</v>
      </c>
      <c r="D214" s="146">
        <v>2680000</v>
      </c>
      <c r="E214" s="20" t="s">
        <v>433</v>
      </c>
      <c r="F214" s="20" t="s">
        <v>434</v>
      </c>
      <c r="G214" s="8" t="str">
        <f t="shared" si="3"/>
        <v>DUNCAN SHEILA</v>
      </c>
    </row>
    <row r="215" spans="1:7" x14ac:dyDescent="0.25">
      <c r="A215" s="8">
        <v>42835.057905092595</v>
      </c>
      <c r="B215" s="20" t="s">
        <v>427</v>
      </c>
      <c r="C215" s="20" t="s">
        <v>829</v>
      </c>
      <c r="D215" s="146">
        <v>2000000</v>
      </c>
      <c r="E215" s="20" t="s">
        <v>376</v>
      </c>
      <c r="F215" s="20" t="s">
        <v>193</v>
      </c>
      <c r="G215" s="8" t="str">
        <f t="shared" si="3"/>
        <v>STAMBAUGH JAMES</v>
      </c>
    </row>
    <row r="216" spans="1:7" x14ac:dyDescent="0.25">
      <c r="A216" s="8">
        <v>42835.068877314814</v>
      </c>
      <c r="B216" s="20" t="s">
        <v>439</v>
      </c>
      <c r="C216" s="20" t="s">
        <v>830</v>
      </c>
      <c r="D216" s="146">
        <v>2230000</v>
      </c>
      <c r="E216" s="20" t="s">
        <v>382</v>
      </c>
      <c r="F216" s="20" t="s">
        <v>196</v>
      </c>
      <c r="G216" s="8" t="str">
        <f t="shared" si="3"/>
        <v>SMITH MICHAEL</v>
      </c>
    </row>
    <row r="217" spans="1:7" x14ac:dyDescent="0.25">
      <c r="A217" s="8">
        <v>42835.089571759258</v>
      </c>
      <c r="B217" s="20" t="s">
        <v>379</v>
      </c>
      <c r="C217" s="20" t="s">
        <v>831</v>
      </c>
      <c r="D217" s="146">
        <v>2000000</v>
      </c>
      <c r="E217" s="20" t="s">
        <v>376</v>
      </c>
      <c r="F217" s="20" t="s">
        <v>193</v>
      </c>
      <c r="G217" s="8" t="str">
        <f t="shared" si="3"/>
        <v>STAMBAUGH JAMES</v>
      </c>
    </row>
    <row r="218" spans="1:7" x14ac:dyDescent="0.25">
      <c r="A218" s="8">
        <v>42835.113796296297</v>
      </c>
      <c r="B218" s="20" t="s">
        <v>832</v>
      </c>
      <c r="C218" s="20" t="s">
        <v>833</v>
      </c>
      <c r="D218" s="146">
        <v>1230000</v>
      </c>
      <c r="E218" s="20" t="s">
        <v>493</v>
      </c>
      <c r="F218" s="20" t="s">
        <v>494</v>
      </c>
      <c r="G218" s="8" t="str">
        <f t="shared" si="3"/>
        <v>YANAI IAN</v>
      </c>
    </row>
    <row r="219" spans="1:7" x14ac:dyDescent="0.25">
      <c r="A219" s="8">
        <v>42831.848738425928</v>
      </c>
      <c r="B219" s="20" t="s">
        <v>542</v>
      </c>
      <c r="C219" s="20" t="s">
        <v>543</v>
      </c>
      <c r="D219" s="146">
        <v>2560000</v>
      </c>
      <c r="E219" s="20" t="s">
        <v>540</v>
      </c>
      <c r="F219" s="20" t="s">
        <v>541</v>
      </c>
      <c r="G219" s="8" t="str">
        <f t="shared" si="3"/>
        <v>MACDONALD THOMAS</v>
      </c>
    </row>
    <row r="220" spans="1:7" x14ac:dyDescent="0.25">
      <c r="A220" s="8">
        <v>42831.849953703706</v>
      </c>
      <c r="B220" s="20" t="s">
        <v>444</v>
      </c>
      <c r="C220" s="20" t="s">
        <v>544</v>
      </c>
      <c r="D220" s="146">
        <v>2150000</v>
      </c>
      <c r="E220" s="20" t="s">
        <v>372</v>
      </c>
      <c r="F220" s="20" t="s">
        <v>373</v>
      </c>
      <c r="G220" s="8" t="str">
        <f t="shared" si="3"/>
        <v>SWANSON BRYCE</v>
      </c>
    </row>
    <row r="221" spans="1:7" x14ac:dyDescent="0.25">
      <c r="A221" s="8">
        <v>42831.859780092593</v>
      </c>
      <c r="B221" s="20" t="s">
        <v>487</v>
      </c>
      <c r="C221" s="20" t="s">
        <v>532</v>
      </c>
      <c r="D221" s="146">
        <v>3010000</v>
      </c>
      <c r="E221" s="20" t="s">
        <v>496</v>
      </c>
      <c r="F221" s="20" t="s">
        <v>497</v>
      </c>
      <c r="G221" s="8" t="str">
        <f t="shared" si="3"/>
        <v>SULLIVAN BRANDON</v>
      </c>
    </row>
    <row r="222" spans="1:7" x14ac:dyDescent="0.25">
      <c r="A222" s="8">
        <v>42831.868472222224</v>
      </c>
      <c r="B222" s="20" t="s">
        <v>454</v>
      </c>
      <c r="C222" s="20" t="s">
        <v>545</v>
      </c>
      <c r="D222" s="146">
        <v>2480000</v>
      </c>
      <c r="E222" s="20" t="s">
        <v>500</v>
      </c>
      <c r="F222" s="20" t="s">
        <v>501</v>
      </c>
      <c r="G222" s="8" t="str">
        <f t="shared" si="3"/>
        <v>WHITED DUSTIN</v>
      </c>
    </row>
    <row r="223" spans="1:7" x14ac:dyDescent="0.25">
      <c r="A223" s="8">
        <v>42831.872893518521</v>
      </c>
      <c r="B223" s="20" t="s">
        <v>439</v>
      </c>
      <c r="C223" s="20" t="s">
        <v>546</v>
      </c>
      <c r="D223" s="146">
        <v>1800000</v>
      </c>
      <c r="E223" s="20" t="s">
        <v>395</v>
      </c>
      <c r="F223" s="20" t="s">
        <v>396</v>
      </c>
      <c r="G223" s="8" t="str">
        <f t="shared" si="3"/>
        <v>CHANDLER KELVIN</v>
      </c>
    </row>
    <row r="224" spans="1:7" x14ac:dyDescent="0.25">
      <c r="A224" s="8">
        <v>42831.879432870373</v>
      </c>
      <c r="B224" t="s">
        <v>490</v>
      </c>
      <c r="C224" t="s">
        <v>547</v>
      </c>
      <c r="D224" s="146">
        <v>1740000</v>
      </c>
      <c r="E224" t="s">
        <v>399</v>
      </c>
      <c r="F224" s="20" t="s">
        <v>400</v>
      </c>
      <c r="G224" s="8" t="str">
        <f t="shared" si="3"/>
        <v>STORY SAMANTHA</v>
      </c>
    </row>
    <row r="225" spans="1:7" x14ac:dyDescent="0.25">
      <c r="A225" s="8">
        <v>42831.886805555558</v>
      </c>
      <c r="B225" t="s">
        <v>438</v>
      </c>
      <c r="C225" t="s">
        <v>548</v>
      </c>
      <c r="D225" s="146">
        <v>2150000</v>
      </c>
      <c r="E225" t="s">
        <v>372</v>
      </c>
      <c r="F225" s="20" t="s">
        <v>373</v>
      </c>
      <c r="G225" s="8" t="str">
        <f t="shared" si="3"/>
        <v>SWANSON BRYCE</v>
      </c>
    </row>
    <row r="226" spans="1:7" x14ac:dyDescent="0.25">
      <c r="A226" s="8">
        <v>42831.892974537041</v>
      </c>
      <c r="B226" t="s">
        <v>383</v>
      </c>
      <c r="C226" t="s">
        <v>549</v>
      </c>
      <c r="D226" s="146">
        <v>1810000</v>
      </c>
      <c r="E226" t="s">
        <v>397</v>
      </c>
      <c r="F226" s="20" t="s">
        <v>193</v>
      </c>
      <c r="G226" s="8" t="str">
        <f t="shared" si="3"/>
        <v>NEWELL JAMES</v>
      </c>
    </row>
    <row r="227" spans="1:7" x14ac:dyDescent="0.25">
      <c r="A227" s="8">
        <v>42831.895740740743</v>
      </c>
      <c r="B227" t="s">
        <v>538</v>
      </c>
      <c r="C227" t="s">
        <v>539</v>
      </c>
      <c r="D227" s="146">
        <v>2560000</v>
      </c>
      <c r="E227" t="s">
        <v>540</v>
      </c>
      <c r="F227" s="20" t="s">
        <v>541</v>
      </c>
      <c r="G227" s="8" t="str">
        <f t="shared" si="3"/>
        <v>MACDONALD THOMAS</v>
      </c>
    </row>
    <row r="228" spans="1:7" x14ac:dyDescent="0.25">
      <c r="A228" s="8">
        <v>42831.902094907404</v>
      </c>
      <c r="B228" t="s">
        <v>487</v>
      </c>
      <c r="C228" t="s">
        <v>550</v>
      </c>
      <c r="D228" s="146">
        <v>1740000</v>
      </c>
      <c r="E228" t="s">
        <v>399</v>
      </c>
      <c r="F228" s="20" t="s">
        <v>400</v>
      </c>
      <c r="G228" s="8" t="str">
        <f t="shared" si="3"/>
        <v>STORY SAMANTHA</v>
      </c>
    </row>
    <row r="229" spans="1:7" x14ac:dyDescent="0.25">
      <c r="A229" s="8">
        <v>42831.903310185182</v>
      </c>
      <c r="B229" t="s">
        <v>531</v>
      </c>
      <c r="C229" t="s">
        <v>551</v>
      </c>
      <c r="D229" s="146">
        <v>2440000</v>
      </c>
      <c r="E229" t="s">
        <v>504</v>
      </c>
      <c r="F229" s="20" t="s">
        <v>505</v>
      </c>
      <c r="G229" s="8" t="str">
        <f t="shared" si="3"/>
        <v>LOPES KIMBERLY</v>
      </c>
    </row>
    <row r="230" spans="1:7" x14ac:dyDescent="0.25">
      <c r="A230" s="8">
        <v>42831.909780092596</v>
      </c>
      <c r="B230" t="s">
        <v>440</v>
      </c>
      <c r="C230" t="s">
        <v>552</v>
      </c>
      <c r="D230" s="146">
        <v>1800000</v>
      </c>
      <c r="E230" t="s">
        <v>395</v>
      </c>
      <c r="F230" s="20" t="s">
        <v>396</v>
      </c>
      <c r="G230" s="8" t="str">
        <f t="shared" si="3"/>
        <v>CHANDLER KELVIN</v>
      </c>
    </row>
    <row r="231" spans="1:7" x14ac:dyDescent="0.25">
      <c r="A231" s="8">
        <v>42831.920694444445</v>
      </c>
      <c r="B231" t="s">
        <v>490</v>
      </c>
      <c r="C231" t="s">
        <v>553</v>
      </c>
      <c r="D231" s="146">
        <v>1740000</v>
      </c>
      <c r="E231" t="s">
        <v>399</v>
      </c>
      <c r="F231" s="20" t="s">
        <v>400</v>
      </c>
      <c r="G231" s="8" t="str">
        <f t="shared" si="3"/>
        <v>STORY SAMANTHA</v>
      </c>
    </row>
    <row r="232" spans="1:7" x14ac:dyDescent="0.25">
      <c r="A232" s="8">
        <v>42831.924513888887</v>
      </c>
      <c r="B232" t="s">
        <v>444</v>
      </c>
      <c r="C232" t="s">
        <v>554</v>
      </c>
      <c r="D232" s="146">
        <v>2150000</v>
      </c>
      <c r="E232" t="s">
        <v>372</v>
      </c>
      <c r="F232" s="20" t="s">
        <v>373</v>
      </c>
      <c r="G232" s="8" t="str">
        <f t="shared" si="3"/>
        <v>SWANSON BRYCE</v>
      </c>
    </row>
    <row r="233" spans="1:7" x14ac:dyDescent="0.25">
      <c r="A233" s="8">
        <v>42831.931944444441</v>
      </c>
      <c r="B233" t="s">
        <v>384</v>
      </c>
      <c r="C233" t="s">
        <v>555</v>
      </c>
      <c r="D233" s="146">
        <v>1810000</v>
      </c>
      <c r="E233" t="s">
        <v>397</v>
      </c>
      <c r="F233" s="20" t="s">
        <v>193</v>
      </c>
      <c r="G233" s="8" t="str">
        <f t="shared" si="3"/>
        <v>NEWELL JAMES</v>
      </c>
    </row>
    <row r="234" spans="1:7" x14ac:dyDescent="0.25">
      <c r="A234" s="8">
        <v>42831.933194444442</v>
      </c>
      <c r="B234" t="s">
        <v>542</v>
      </c>
      <c r="C234" t="s">
        <v>543</v>
      </c>
      <c r="D234" s="146">
        <v>2560000</v>
      </c>
      <c r="E234" t="s">
        <v>540</v>
      </c>
      <c r="F234" s="20" t="s">
        <v>541</v>
      </c>
      <c r="G234" s="8" t="str">
        <f t="shared" si="3"/>
        <v>MACDONALD THOMAS</v>
      </c>
    </row>
    <row r="235" spans="1:7" x14ac:dyDescent="0.25">
      <c r="A235" s="8">
        <v>42831.943298611113</v>
      </c>
      <c r="B235" t="s">
        <v>487</v>
      </c>
      <c r="C235" t="s">
        <v>556</v>
      </c>
      <c r="D235" s="146">
        <v>1740000</v>
      </c>
      <c r="E235" t="s">
        <v>399</v>
      </c>
      <c r="F235" s="20" t="s">
        <v>400</v>
      </c>
      <c r="G235" s="8" t="str">
        <f t="shared" si="3"/>
        <v>STORY SAMANTHA</v>
      </c>
    </row>
    <row r="236" spans="1:7" x14ac:dyDescent="0.25">
      <c r="A236" s="8">
        <v>42831.94939814815</v>
      </c>
      <c r="B236" t="s">
        <v>454</v>
      </c>
      <c r="C236" t="s">
        <v>557</v>
      </c>
      <c r="D236" s="146">
        <v>2440000</v>
      </c>
      <c r="E236" t="s">
        <v>504</v>
      </c>
      <c r="F236" s="20" t="s">
        <v>505</v>
      </c>
      <c r="G236" s="8" t="str">
        <f t="shared" si="3"/>
        <v>LOPES KIMBERLY</v>
      </c>
    </row>
    <row r="237" spans="1:7" x14ac:dyDescent="0.25">
      <c r="A237" s="8">
        <v>42831.951331018521</v>
      </c>
      <c r="B237" t="s">
        <v>490</v>
      </c>
      <c r="C237" t="s">
        <v>556</v>
      </c>
      <c r="D237" s="146">
        <v>1740000</v>
      </c>
      <c r="E237" t="s">
        <v>399</v>
      </c>
      <c r="F237" s="20" t="s">
        <v>400</v>
      </c>
      <c r="G237" s="8" t="str">
        <f t="shared" si="3"/>
        <v>STORY SAMANTHA</v>
      </c>
    </row>
    <row r="238" spans="1:7" x14ac:dyDescent="0.25">
      <c r="A238" s="8">
        <v>42831.9528125</v>
      </c>
      <c r="B238" t="s">
        <v>490</v>
      </c>
      <c r="C238" t="s">
        <v>556</v>
      </c>
      <c r="D238" s="146">
        <v>1740000</v>
      </c>
      <c r="E238" t="s">
        <v>399</v>
      </c>
      <c r="F238" s="20" t="s">
        <v>400</v>
      </c>
      <c r="G238" s="8" t="str">
        <f t="shared" si="3"/>
        <v>STORY SAMANTHA</v>
      </c>
    </row>
    <row r="239" spans="1:7" x14ac:dyDescent="0.25">
      <c r="A239" s="8">
        <v>42831.954918981479</v>
      </c>
      <c r="B239" t="s">
        <v>439</v>
      </c>
      <c r="C239" t="s">
        <v>558</v>
      </c>
      <c r="D239" s="146">
        <v>1800000</v>
      </c>
      <c r="E239" t="s">
        <v>395</v>
      </c>
      <c r="F239" s="20" t="s">
        <v>396</v>
      </c>
      <c r="G239" s="8" t="str">
        <f t="shared" si="3"/>
        <v>CHANDLER KELVIN</v>
      </c>
    </row>
    <row r="240" spans="1:7" x14ac:dyDescent="0.25">
      <c r="A240" s="8">
        <v>42831.968055555553</v>
      </c>
      <c r="B240" t="s">
        <v>438</v>
      </c>
      <c r="C240" t="s">
        <v>559</v>
      </c>
      <c r="D240" s="146">
        <v>2150000</v>
      </c>
      <c r="E240" t="s">
        <v>372</v>
      </c>
      <c r="F240" s="20" t="s">
        <v>373</v>
      </c>
      <c r="G240" s="8" t="str">
        <f t="shared" si="3"/>
        <v>SWANSON BRYCE</v>
      </c>
    </row>
    <row r="241" spans="1:7" x14ac:dyDescent="0.25">
      <c r="A241" s="8">
        <v>42831.976076388892</v>
      </c>
      <c r="B241" t="s">
        <v>383</v>
      </c>
      <c r="C241" t="s">
        <v>560</v>
      </c>
      <c r="D241" s="146">
        <v>1810000</v>
      </c>
      <c r="E241" t="s">
        <v>397</v>
      </c>
      <c r="F241" s="20" t="s">
        <v>193</v>
      </c>
      <c r="G241" s="8" t="str">
        <f t="shared" si="3"/>
        <v>NEWELL JAMES</v>
      </c>
    </row>
    <row r="242" spans="1:7" x14ac:dyDescent="0.25">
      <c r="A242" s="8">
        <v>42831.993622685186</v>
      </c>
      <c r="B242" t="s">
        <v>531</v>
      </c>
      <c r="C242" t="s">
        <v>561</v>
      </c>
      <c r="D242" s="146">
        <v>2480000</v>
      </c>
      <c r="E242" t="s">
        <v>500</v>
      </c>
      <c r="F242" s="20" t="s">
        <v>501</v>
      </c>
      <c r="G242" s="8" t="str">
        <f t="shared" si="3"/>
        <v>WHITED DUSTIN</v>
      </c>
    </row>
    <row r="243" spans="1:7" x14ac:dyDescent="0.25">
      <c r="A243" s="8">
        <v>42831.993622685186</v>
      </c>
      <c r="B243" t="s">
        <v>440</v>
      </c>
      <c r="C243" t="s">
        <v>562</v>
      </c>
      <c r="D243" s="146">
        <v>1800000</v>
      </c>
      <c r="E243" t="s">
        <v>395</v>
      </c>
      <c r="F243" s="20" t="s">
        <v>396</v>
      </c>
      <c r="G243" s="8" t="str">
        <f t="shared" si="3"/>
        <v>CHANDLER KELVIN</v>
      </c>
    </row>
    <row r="244" spans="1:7" x14ac:dyDescent="0.25">
      <c r="A244" s="8">
        <v>42832.00917824074</v>
      </c>
      <c r="B244" t="s">
        <v>444</v>
      </c>
      <c r="C244" t="s">
        <v>563</v>
      </c>
      <c r="D244" s="146">
        <v>2150000</v>
      </c>
      <c r="E244" t="s">
        <v>372</v>
      </c>
      <c r="F244" s="20" t="s">
        <v>373</v>
      </c>
      <c r="G244" s="8" t="str">
        <f t="shared" si="3"/>
        <v>SWANSON BRYCE</v>
      </c>
    </row>
    <row r="245" spans="1:7" x14ac:dyDescent="0.25">
      <c r="A245" s="8">
        <v>42832.015138888892</v>
      </c>
      <c r="B245" t="s">
        <v>384</v>
      </c>
      <c r="C245" t="s">
        <v>564</v>
      </c>
      <c r="D245" s="146">
        <v>1810000</v>
      </c>
      <c r="E245" t="s">
        <v>397</v>
      </c>
      <c r="F245" s="20" t="s">
        <v>193</v>
      </c>
      <c r="G245" s="8" t="str">
        <f t="shared" si="3"/>
        <v>NEWELL JAMES</v>
      </c>
    </row>
    <row r="246" spans="1:7" x14ac:dyDescent="0.25">
      <c r="A246" s="8">
        <v>42832.028819444444</v>
      </c>
      <c r="B246" t="s">
        <v>439</v>
      </c>
      <c r="C246" t="s">
        <v>565</v>
      </c>
      <c r="D246" s="146">
        <v>1800000</v>
      </c>
      <c r="E246" t="s">
        <v>395</v>
      </c>
      <c r="F246" s="20" t="s">
        <v>396</v>
      </c>
      <c r="G246" s="8" t="str">
        <f t="shared" si="3"/>
        <v>CHANDLER KELVIN</v>
      </c>
    </row>
    <row r="247" spans="1:7" x14ac:dyDescent="0.25">
      <c r="A247" s="8">
        <v>42832.036076388889</v>
      </c>
      <c r="B247" t="s">
        <v>454</v>
      </c>
      <c r="C247" t="s">
        <v>566</v>
      </c>
      <c r="D247" s="146">
        <v>2480000</v>
      </c>
      <c r="E247" t="s">
        <v>500</v>
      </c>
      <c r="F247" s="20" t="s">
        <v>501</v>
      </c>
      <c r="G247" s="8" t="str">
        <f t="shared" si="3"/>
        <v>WHITED DUSTIN</v>
      </c>
    </row>
    <row r="248" spans="1:7" x14ac:dyDescent="0.25">
      <c r="A248" s="8">
        <v>42832.047430555554</v>
      </c>
      <c r="B248" t="s">
        <v>383</v>
      </c>
      <c r="C248" t="s">
        <v>567</v>
      </c>
      <c r="D248" s="146">
        <v>1810000</v>
      </c>
      <c r="E248" t="s">
        <v>397</v>
      </c>
      <c r="F248" s="20" t="s">
        <v>193</v>
      </c>
      <c r="G248" s="8" t="str">
        <f t="shared" si="3"/>
        <v>NEWELL JAMES</v>
      </c>
    </row>
    <row r="249" spans="1:7" x14ac:dyDescent="0.25">
      <c r="A249" s="8">
        <v>42832.057939814818</v>
      </c>
      <c r="B249" t="s">
        <v>438</v>
      </c>
      <c r="C249" t="s">
        <v>568</v>
      </c>
      <c r="D249" s="146">
        <v>2150000</v>
      </c>
      <c r="E249" t="s">
        <v>372</v>
      </c>
      <c r="F249" s="20" t="s">
        <v>373</v>
      </c>
      <c r="G249" s="8" t="str">
        <f t="shared" si="3"/>
        <v>SWANSON BRYCE</v>
      </c>
    </row>
    <row r="250" spans="1:7" x14ac:dyDescent="0.25">
      <c r="A250" s="8">
        <v>42832.068240740744</v>
      </c>
      <c r="B250" t="s">
        <v>531</v>
      </c>
      <c r="C250" t="s">
        <v>569</v>
      </c>
      <c r="D250" s="146">
        <v>2480000</v>
      </c>
      <c r="E250" t="s">
        <v>500</v>
      </c>
      <c r="F250" s="20" t="s">
        <v>501</v>
      </c>
      <c r="G250" s="8" t="str">
        <f t="shared" si="3"/>
        <v>WHITED DUSTIN</v>
      </c>
    </row>
    <row r="251" spans="1:7" x14ac:dyDescent="0.25">
      <c r="A251" s="8">
        <v>42832.090752314813</v>
      </c>
      <c r="B251" t="s">
        <v>444</v>
      </c>
      <c r="C251" t="s">
        <v>570</v>
      </c>
      <c r="D251" s="146">
        <v>2150000</v>
      </c>
      <c r="E251" t="s">
        <v>372</v>
      </c>
      <c r="F251" s="20" t="s">
        <v>373</v>
      </c>
      <c r="G251" s="8" t="str">
        <f t="shared" si="3"/>
        <v>SWANSON BRYCE</v>
      </c>
    </row>
    <row r="252" spans="1:7" x14ac:dyDescent="0.25">
      <c r="A252" s="8">
        <v>42829.913263888891</v>
      </c>
      <c r="B252" t="s">
        <v>414</v>
      </c>
      <c r="C252" t="s">
        <v>460</v>
      </c>
      <c r="D252" s="146">
        <v>1740000</v>
      </c>
      <c r="E252" t="s">
        <v>399</v>
      </c>
      <c r="F252" s="20" t="s">
        <v>400</v>
      </c>
      <c r="G252" s="8" t="str">
        <f t="shared" si="3"/>
        <v>STORY SAMANTHA</v>
      </c>
    </row>
    <row r="253" spans="1:7" x14ac:dyDescent="0.25">
      <c r="A253" s="8">
        <v>42829.916273148148</v>
      </c>
      <c r="B253" t="s">
        <v>444</v>
      </c>
      <c r="C253" t="s">
        <v>461</v>
      </c>
      <c r="D253" s="146">
        <v>2150000</v>
      </c>
      <c r="E253" t="s">
        <v>372</v>
      </c>
      <c r="F253" s="20" t="s">
        <v>373</v>
      </c>
      <c r="G253" s="8" t="str">
        <f t="shared" si="3"/>
        <v>SWANSON BRYCE</v>
      </c>
    </row>
    <row r="254" spans="1:7" x14ac:dyDescent="0.25">
      <c r="A254" s="8">
        <v>42829.916666666664</v>
      </c>
      <c r="B254" t="s">
        <v>380</v>
      </c>
      <c r="C254" t="s">
        <v>459</v>
      </c>
      <c r="D254" s="146">
        <v>2680000</v>
      </c>
      <c r="E254" t="s">
        <v>433</v>
      </c>
      <c r="F254" s="20" t="s">
        <v>434</v>
      </c>
      <c r="G254" s="8" t="str">
        <f t="shared" si="3"/>
        <v>DUNCAN SHEILA</v>
      </c>
    </row>
    <row r="255" spans="1:7" x14ac:dyDescent="0.25">
      <c r="A255" s="8">
        <v>42829.924108796295</v>
      </c>
      <c r="B255" t="s">
        <v>379</v>
      </c>
      <c r="C255" t="s">
        <v>462</v>
      </c>
      <c r="D255" s="146">
        <v>2970000</v>
      </c>
      <c r="E255" t="s">
        <v>445</v>
      </c>
      <c r="F255" s="20" t="s">
        <v>446</v>
      </c>
      <c r="G255" s="8" t="str">
        <f t="shared" si="3"/>
        <v>GUZMAN DANNY</v>
      </c>
    </row>
    <row r="256" spans="1:7" x14ac:dyDescent="0.25">
      <c r="A256" s="8">
        <v>42829.927233796298</v>
      </c>
      <c r="B256" t="s">
        <v>381</v>
      </c>
      <c r="C256" t="s">
        <v>457</v>
      </c>
      <c r="D256" s="146">
        <v>2680000</v>
      </c>
      <c r="E256" t="s">
        <v>433</v>
      </c>
      <c r="F256" s="20" t="s">
        <v>434</v>
      </c>
      <c r="G256" s="8" t="str">
        <f t="shared" si="3"/>
        <v>DUNCAN SHEILA</v>
      </c>
    </row>
    <row r="257" spans="1:7" x14ac:dyDescent="0.25">
      <c r="A257" s="8">
        <v>42829.932175925926</v>
      </c>
      <c r="B257" t="s">
        <v>440</v>
      </c>
      <c r="C257" t="s">
        <v>463</v>
      </c>
      <c r="D257" s="146">
        <v>1810000</v>
      </c>
      <c r="E257" t="s">
        <v>397</v>
      </c>
      <c r="F257" s="20" t="s">
        <v>193</v>
      </c>
      <c r="G257" s="8" t="str">
        <f t="shared" si="3"/>
        <v>NEWELL JAMES</v>
      </c>
    </row>
    <row r="258" spans="1:7" x14ac:dyDescent="0.25">
      <c r="A258" s="8">
        <v>42829.94327546296</v>
      </c>
      <c r="B258" t="s">
        <v>438</v>
      </c>
      <c r="C258" t="s">
        <v>464</v>
      </c>
      <c r="D258" s="146">
        <v>2150000</v>
      </c>
      <c r="E258" t="s">
        <v>372</v>
      </c>
      <c r="F258" s="20" t="s">
        <v>373</v>
      </c>
      <c r="G258" s="8" t="str">
        <f t="shared" si="3"/>
        <v>SWANSON BRYCE</v>
      </c>
    </row>
    <row r="259" spans="1:7" x14ac:dyDescent="0.25">
      <c r="A259" s="8">
        <v>42829.952060185184</v>
      </c>
      <c r="B259" t="s">
        <v>380</v>
      </c>
      <c r="C259" t="s">
        <v>459</v>
      </c>
      <c r="D259" s="146">
        <v>2680000</v>
      </c>
      <c r="E259" t="s">
        <v>433</v>
      </c>
      <c r="F259" s="20" t="s">
        <v>434</v>
      </c>
      <c r="G259" s="8" t="str">
        <f t="shared" ref="G259:G322" si="4">E259&amp;" "&amp;F259</f>
        <v>DUNCAN SHEILA</v>
      </c>
    </row>
    <row r="260" spans="1:7" x14ac:dyDescent="0.25">
      <c r="A260" s="8">
        <v>42829.953784722224</v>
      </c>
      <c r="B260" t="s">
        <v>426</v>
      </c>
      <c r="C260" t="s">
        <v>465</v>
      </c>
      <c r="D260" s="146">
        <v>1740000</v>
      </c>
      <c r="E260" t="s">
        <v>399</v>
      </c>
      <c r="F260" s="20" t="s">
        <v>400</v>
      </c>
      <c r="G260" s="8" t="str">
        <f t="shared" si="4"/>
        <v>STORY SAMANTHA</v>
      </c>
    </row>
    <row r="261" spans="1:7" x14ac:dyDescent="0.25">
      <c r="A261" s="8">
        <v>42829.958067129628</v>
      </c>
      <c r="B261" t="s">
        <v>403</v>
      </c>
      <c r="C261" t="s">
        <v>466</v>
      </c>
      <c r="D261" s="146">
        <v>1800000</v>
      </c>
      <c r="E261" t="s">
        <v>395</v>
      </c>
      <c r="F261" s="20" t="s">
        <v>396</v>
      </c>
      <c r="G261" s="8" t="str">
        <f t="shared" si="4"/>
        <v>CHANDLER KELVIN</v>
      </c>
    </row>
    <row r="262" spans="1:7" x14ac:dyDescent="0.25">
      <c r="A262" s="8">
        <v>42829.965127314812</v>
      </c>
      <c r="B262" t="s">
        <v>381</v>
      </c>
      <c r="C262" t="s">
        <v>457</v>
      </c>
      <c r="D262" s="146">
        <v>2680000</v>
      </c>
      <c r="E262" t="s">
        <v>433</v>
      </c>
      <c r="F262" s="20" t="s">
        <v>434</v>
      </c>
      <c r="G262" s="8" t="str">
        <f t="shared" si="4"/>
        <v>DUNCAN SHEILA</v>
      </c>
    </row>
    <row r="263" spans="1:7" x14ac:dyDescent="0.25">
      <c r="A263" s="8">
        <v>42829.965925925928</v>
      </c>
      <c r="B263" t="s">
        <v>427</v>
      </c>
      <c r="C263" t="s">
        <v>467</v>
      </c>
      <c r="D263" s="146">
        <v>2970000</v>
      </c>
      <c r="E263" t="s">
        <v>445</v>
      </c>
      <c r="F263" s="20" t="s">
        <v>446</v>
      </c>
      <c r="G263" s="8" t="str">
        <f t="shared" si="4"/>
        <v>GUZMAN DANNY</v>
      </c>
    </row>
    <row r="264" spans="1:7" x14ac:dyDescent="0.25">
      <c r="A264" s="8">
        <v>42829.967789351853</v>
      </c>
      <c r="B264" t="s">
        <v>381</v>
      </c>
      <c r="C264" t="s">
        <v>457</v>
      </c>
      <c r="D264" s="146">
        <v>2680000</v>
      </c>
      <c r="E264" t="s">
        <v>433</v>
      </c>
      <c r="F264" s="20" t="s">
        <v>434</v>
      </c>
      <c r="G264" s="8" t="str">
        <f t="shared" si="4"/>
        <v>DUNCAN SHEILA</v>
      </c>
    </row>
    <row r="265" spans="1:7" x14ac:dyDescent="0.25">
      <c r="A265" s="8">
        <v>42829.976087962961</v>
      </c>
      <c r="B265" t="s">
        <v>439</v>
      </c>
      <c r="C265" t="s">
        <v>456</v>
      </c>
      <c r="D265" s="146">
        <v>1810000</v>
      </c>
      <c r="E265" t="s">
        <v>397</v>
      </c>
      <c r="F265" s="20" t="s">
        <v>193</v>
      </c>
      <c r="G265" s="8" t="str">
        <f t="shared" si="4"/>
        <v>NEWELL JAMES</v>
      </c>
    </row>
    <row r="266" spans="1:7" x14ac:dyDescent="0.25">
      <c r="A266" s="8">
        <v>42829.978796296295</v>
      </c>
      <c r="B266" t="s">
        <v>380</v>
      </c>
      <c r="C266" t="s">
        <v>459</v>
      </c>
      <c r="D266" s="146">
        <v>2680000</v>
      </c>
      <c r="E266" t="s">
        <v>433</v>
      </c>
      <c r="F266" s="20" t="s">
        <v>434</v>
      </c>
      <c r="G266" s="8" t="str">
        <f t="shared" si="4"/>
        <v>DUNCAN SHEILA</v>
      </c>
    </row>
    <row r="267" spans="1:7" x14ac:dyDescent="0.25">
      <c r="A267" s="8">
        <v>42829.986134259256</v>
      </c>
      <c r="B267" t="s">
        <v>381</v>
      </c>
      <c r="C267" t="s">
        <v>457</v>
      </c>
      <c r="D267" s="146">
        <v>2680000</v>
      </c>
      <c r="E267" t="s">
        <v>433</v>
      </c>
      <c r="F267" s="20" t="s">
        <v>434</v>
      </c>
      <c r="G267" s="8" t="str">
        <f t="shared" si="4"/>
        <v>DUNCAN SHEILA</v>
      </c>
    </row>
    <row r="268" spans="1:7" x14ac:dyDescent="0.25">
      <c r="A268" s="8">
        <v>42829.993414351855</v>
      </c>
      <c r="B268" t="s">
        <v>414</v>
      </c>
      <c r="C268" t="s">
        <v>468</v>
      </c>
      <c r="D268" s="146">
        <v>1740000</v>
      </c>
      <c r="E268" t="s">
        <v>399</v>
      </c>
      <c r="F268" s="20" t="s">
        <v>400</v>
      </c>
      <c r="G268" s="8" t="str">
        <f t="shared" si="4"/>
        <v>STORY SAMANTHA</v>
      </c>
    </row>
    <row r="269" spans="1:7" x14ac:dyDescent="0.25">
      <c r="A269" s="8">
        <v>42829.995555555557</v>
      </c>
      <c r="B269" t="s">
        <v>404</v>
      </c>
      <c r="C269" t="s">
        <v>469</v>
      </c>
      <c r="D269" s="146">
        <v>1800000</v>
      </c>
      <c r="E269" t="s">
        <v>395</v>
      </c>
      <c r="F269" s="20" t="s">
        <v>396</v>
      </c>
      <c r="G269" s="8" t="str">
        <f t="shared" si="4"/>
        <v>CHANDLER KELVIN</v>
      </c>
    </row>
    <row r="270" spans="1:7" x14ac:dyDescent="0.25">
      <c r="A270" s="8">
        <v>42829.99732638889</v>
      </c>
      <c r="B270" t="s">
        <v>380</v>
      </c>
      <c r="C270" t="s">
        <v>459</v>
      </c>
      <c r="D270" s="146">
        <v>2680000</v>
      </c>
      <c r="E270" t="s">
        <v>433</v>
      </c>
      <c r="F270" s="20" t="s">
        <v>434</v>
      </c>
      <c r="G270" s="8" t="str">
        <f t="shared" si="4"/>
        <v>DUNCAN SHEILA</v>
      </c>
    </row>
    <row r="271" spans="1:7" x14ac:dyDescent="0.25">
      <c r="A271" s="8">
        <v>42830.005949074075</v>
      </c>
      <c r="B271" t="s">
        <v>381</v>
      </c>
      <c r="C271" t="s">
        <v>457</v>
      </c>
      <c r="D271" s="146">
        <v>2680000</v>
      </c>
      <c r="E271" t="s">
        <v>433</v>
      </c>
      <c r="F271" s="20" t="s">
        <v>434</v>
      </c>
      <c r="G271" s="8" t="str">
        <f t="shared" si="4"/>
        <v>DUNCAN SHEILA</v>
      </c>
    </row>
    <row r="272" spans="1:7" x14ac:dyDescent="0.25">
      <c r="A272" s="8">
        <v>42830.007650462961</v>
      </c>
      <c r="B272" t="s">
        <v>379</v>
      </c>
      <c r="C272" t="s">
        <v>470</v>
      </c>
      <c r="D272" s="146">
        <v>2970000</v>
      </c>
      <c r="E272" t="s">
        <v>445</v>
      </c>
      <c r="F272" s="20" t="s">
        <v>446</v>
      </c>
      <c r="G272" s="8" t="str">
        <f t="shared" si="4"/>
        <v>GUZMAN DANNY</v>
      </c>
    </row>
    <row r="273" spans="1:7" x14ac:dyDescent="0.25">
      <c r="A273" s="8">
        <v>42830.01048611111</v>
      </c>
      <c r="B273" t="s">
        <v>380</v>
      </c>
      <c r="C273" t="s">
        <v>459</v>
      </c>
      <c r="D273" s="146">
        <v>2680000</v>
      </c>
      <c r="E273" t="s">
        <v>433</v>
      </c>
      <c r="F273" s="20" t="s">
        <v>434</v>
      </c>
      <c r="G273" s="8" t="str">
        <f t="shared" si="4"/>
        <v>DUNCAN SHEILA</v>
      </c>
    </row>
    <row r="274" spans="1:7" x14ac:dyDescent="0.25">
      <c r="A274" s="8">
        <v>42830.014768518522</v>
      </c>
      <c r="B274" t="s">
        <v>381</v>
      </c>
      <c r="C274" t="s">
        <v>457</v>
      </c>
      <c r="D274" s="146">
        <v>2680000</v>
      </c>
      <c r="E274" t="s">
        <v>433</v>
      </c>
      <c r="F274" s="20" t="s">
        <v>434</v>
      </c>
      <c r="G274" s="8" t="str">
        <f t="shared" si="4"/>
        <v>DUNCAN SHEILA</v>
      </c>
    </row>
    <row r="275" spans="1:7" x14ac:dyDescent="0.25">
      <c r="A275" s="8">
        <v>42830.015636574077</v>
      </c>
      <c r="B275" t="s">
        <v>440</v>
      </c>
      <c r="C275" t="s">
        <v>471</v>
      </c>
      <c r="D275" s="146">
        <v>1810000</v>
      </c>
      <c r="E275" t="s">
        <v>397</v>
      </c>
      <c r="F275" s="20" t="s">
        <v>193</v>
      </c>
      <c r="G275" s="8" t="str">
        <f t="shared" si="4"/>
        <v>NEWELL JAMES</v>
      </c>
    </row>
    <row r="276" spans="1:7" x14ac:dyDescent="0.25">
      <c r="A276" s="8">
        <v>42830.018819444442</v>
      </c>
      <c r="B276" t="s">
        <v>380</v>
      </c>
      <c r="C276" t="s">
        <v>459</v>
      </c>
      <c r="D276" s="146">
        <v>2680000</v>
      </c>
      <c r="E276" t="s">
        <v>433</v>
      </c>
      <c r="F276" s="20" t="s">
        <v>434</v>
      </c>
      <c r="G276" s="8" t="str">
        <f t="shared" si="4"/>
        <v>DUNCAN SHEILA</v>
      </c>
    </row>
    <row r="277" spans="1:7" x14ac:dyDescent="0.25">
      <c r="A277" s="8">
        <v>42830.023252314815</v>
      </c>
      <c r="B277" t="s">
        <v>381</v>
      </c>
      <c r="C277" t="s">
        <v>457</v>
      </c>
      <c r="D277" s="146">
        <v>2680000</v>
      </c>
      <c r="E277" t="s">
        <v>433</v>
      </c>
      <c r="F277" s="20" t="s">
        <v>434</v>
      </c>
      <c r="G277" s="8" t="str">
        <f t="shared" si="4"/>
        <v>DUNCAN SHEILA</v>
      </c>
    </row>
    <row r="278" spans="1:7" x14ac:dyDescent="0.25">
      <c r="A278" s="8">
        <v>42830.027037037034</v>
      </c>
      <c r="B278" t="s">
        <v>380</v>
      </c>
      <c r="C278" t="s">
        <v>459</v>
      </c>
      <c r="D278" s="146">
        <v>2680000</v>
      </c>
      <c r="E278" t="s">
        <v>433</v>
      </c>
      <c r="F278" s="20" t="s">
        <v>434</v>
      </c>
      <c r="G278" s="8" t="str">
        <f t="shared" si="4"/>
        <v>DUNCAN SHEILA</v>
      </c>
    </row>
    <row r="279" spans="1:7" x14ac:dyDescent="0.25">
      <c r="A279" s="8">
        <v>42830.030289351853</v>
      </c>
      <c r="B279" t="s">
        <v>403</v>
      </c>
      <c r="C279" t="s">
        <v>472</v>
      </c>
      <c r="D279" s="146">
        <v>1800000</v>
      </c>
      <c r="E279" t="s">
        <v>395</v>
      </c>
      <c r="F279" s="20" t="s">
        <v>396</v>
      </c>
      <c r="G279" s="8" t="str">
        <f t="shared" si="4"/>
        <v>CHANDLER KELVIN</v>
      </c>
    </row>
    <row r="280" spans="1:7" x14ac:dyDescent="0.25">
      <c r="A280" s="8">
        <v>42830.037499999999</v>
      </c>
      <c r="B280" t="s">
        <v>426</v>
      </c>
      <c r="C280" t="s">
        <v>473</v>
      </c>
      <c r="D280" s="146">
        <v>1740000</v>
      </c>
      <c r="E280" t="s">
        <v>399</v>
      </c>
      <c r="F280" s="20" t="s">
        <v>400</v>
      </c>
      <c r="G280" s="8" t="str">
        <f t="shared" si="4"/>
        <v>STORY SAMANTHA</v>
      </c>
    </row>
    <row r="281" spans="1:7" x14ac:dyDescent="0.25">
      <c r="A281" s="8">
        <v>42830.048020833332</v>
      </c>
      <c r="B281" t="s">
        <v>427</v>
      </c>
      <c r="C281" t="s">
        <v>474</v>
      </c>
      <c r="D281" s="146">
        <v>2970000</v>
      </c>
      <c r="E281" t="s">
        <v>445</v>
      </c>
      <c r="F281" s="20" t="s">
        <v>446</v>
      </c>
      <c r="G281" s="8" t="str">
        <f t="shared" si="4"/>
        <v>GUZMAN DANNY</v>
      </c>
    </row>
    <row r="282" spans="1:7" x14ac:dyDescent="0.25">
      <c r="A282" s="8">
        <v>42830.049016203702</v>
      </c>
      <c r="B282" t="s">
        <v>439</v>
      </c>
      <c r="C282" t="s">
        <v>475</v>
      </c>
      <c r="D282" s="146">
        <v>1810000</v>
      </c>
      <c r="E282" t="s">
        <v>397</v>
      </c>
      <c r="F282" s="20" t="s">
        <v>193</v>
      </c>
      <c r="G282" s="8" t="str">
        <f t="shared" si="4"/>
        <v>NEWELL JAMES</v>
      </c>
    </row>
    <row r="283" spans="1:7" x14ac:dyDescent="0.25">
      <c r="A283" s="8">
        <v>42830.069097222222</v>
      </c>
      <c r="B283" t="s">
        <v>414</v>
      </c>
      <c r="C283" t="s">
        <v>476</v>
      </c>
      <c r="D283" s="146">
        <v>1740000</v>
      </c>
      <c r="E283" t="s">
        <v>399</v>
      </c>
      <c r="F283" s="20" t="s">
        <v>400</v>
      </c>
      <c r="G283" s="8" t="str">
        <f t="shared" si="4"/>
        <v>STORY SAMANTHA</v>
      </c>
    </row>
    <row r="284" spans="1:7" x14ac:dyDescent="0.25">
      <c r="A284" s="8">
        <v>42830.07236111111</v>
      </c>
      <c r="B284" t="s">
        <v>381</v>
      </c>
      <c r="C284" t="s">
        <v>457</v>
      </c>
      <c r="D284" s="146">
        <v>2680000</v>
      </c>
      <c r="E284" t="s">
        <v>433</v>
      </c>
      <c r="F284" s="20" t="s">
        <v>434</v>
      </c>
      <c r="G284" s="8" t="str">
        <f t="shared" si="4"/>
        <v>DUNCAN SHEILA</v>
      </c>
    </row>
    <row r="285" spans="1:7" x14ac:dyDescent="0.25">
      <c r="A285" s="8">
        <v>42830.073888888888</v>
      </c>
      <c r="B285" t="s">
        <v>381</v>
      </c>
      <c r="C285" t="s">
        <v>457</v>
      </c>
      <c r="D285" s="146">
        <v>2680000</v>
      </c>
      <c r="E285" t="s">
        <v>433</v>
      </c>
      <c r="F285" s="20" t="s">
        <v>434</v>
      </c>
      <c r="G285" s="8" t="str">
        <f t="shared" si="4"/>
        <v>DUNCAN SHEILA</v>
      </c>
    </row>
    <row r="286" spans="1:7" x14ac:dyDescent="0.25">
      <c r="A286" s="8">
        <v>42830.087951388887</v>
      </c>
      <c r="B286" t="s">
        <v>379</v>
      </c>
      <c r="C286" t="s">
        <v>477</v>
      </c>
      <c r="D286" s="146">
        <v>2970000</v>
      </c>
      <c r="E286" t="s">
        <v>445</v>
      </c>
      <c r="F286" s="20" t="s">
        <v>446</v>
      </c>
      <c r="G286" s="8" t="str">
        <f t="shared" si="4"/>
        <v>GUZMAN DANNY</v>
      </c>
    </row>
    <row r="287" spans="1:7" x14ac:dyDescent="0.25">
      <c r="A287" s="8">
        <v>42813.04420138889</v>
      </c>
      <c r="B287" t="s">
        <v>199</v>
      </c>
      <c r="C287" t="s">
        <v>387</v>
      </c>
      <c r="D287" s="146">
        <v>2230000</v>
      </c>
      <c r="E287" t="s">
        <v>382</v>
      </c>
      <c r="F287" s="20" t="s">
        <v>196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378</v>
      </c>
      <c r="C288" t="s">
        <v>388</v>
      </c>
      <c r="D288" s="146">
        <v>2000000</v>
      </c>
      <c r="E288" t="s">
        <v>376</v>
      </c>
      <c r="F288" s="20" t="s">
        <v>193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385</v>
      </c>
      <c r="C289" t="s">
        <v>389</v>
      </c>
      <c r="D289" s="146">
        <v>2150000</v>
      </c>
      <c r="E289" t="s">
        <v>372</v>
      </c>
      <c r="F289" s="20" t="s">
        <v>373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385</v>
      </c>
      <c r="C290" t="s">
        <v>389</v>
      </c>
      <c r="D290" s="146">
        <v>2150000</v>
      </c>
      <c r="E290" t="s">
        <v>372</v>
      </c>
      <c r="F290" s="20" t="s">
        <v>373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385</v>
      </c>
      <c r="C291" t="s">
        <v>389</v>
      </c>
      <c r="D291" s="146">
        <v>2150000</v>
      </c>
      <c r="E291" t="s">
        <v>372</v>
      </c>
      <c r="F291" s="20" t="s">
        <v>373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386</v>
      </c>
      <c r="C292" t="s">
        <v>390</v>
      </c>
      <c r="D292" s="146">
        <v>2230000</v>
      </c>
      <c r="E292" t="s">
        <v>382</v>
      </c>
      <c r="F292" s="20" t="s">
        <v>196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374</v>
      </c>
      <c r="C293" t="s">
        <v>391</v>
      </c>
      <c r="D293" s="146">
        <v>2270000</v>
      </c>
      <c r="E293" t="s">
        <v>207</v>
      </c>
      <c r="F293" s="20" t="s">
        <v>208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374</v>
      </c>
      <c r="C294" t="s">
        <v>391</v>
      </c>
      <c r="D294" s="146">
        <v>2270000</v>
      </c>
      <c r="E294" t="s">
        <v>207</v>
      </c>
      <c r="F294" s="20" t="s">
        <v>208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374</v>
      </c>
      <c r="C295" t="s">
        <v>391</v>
      </c>
      <c r="D295" s="146">
        <v>2270000</v>
      </c>
      <c r="E295" t="s">
        <v>207</v>
      </c>
      <c r="F295" s="20" t="s">
        <v>208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381</v>
      </c>
      <c r="C296" t="s">
        <v>392</v>
      </c>
      <c r="D296" s="146">
        <v>2150000</v>
      </c>
      <c r="E296" t="s">
        <v>372</v>
      </c>
      <c r="F296" s="20" t="s">
        <v>373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375</v>
      </c>
      <c r="C297" t="s">
        <v>393</v>
      </c>
      <c r="D297" s="146">
        <v>2270000</v>
      </c>
      <c r="E297" t="s">
        <v>207</v>
      </c>
      <c r="F297" s="20" t="s">
        <v>208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49" customWidth="1"/>
    <col min="2" max="2" width="8.42578125" style="149" bestFit="1" customWidth="1"/>
    <col min="3" max="3" width="12.5703125" style="149" bestFit="1" customWidth="1"/>
    <col min="4" max="4" width="18.5703125" style="138" bestFit="1" customWidth="1"/>
    <col min="5" max="5" width="9.85546875" style="149" bestFit="1" customWidth="1"/>
    <col min="6" max="6" width="9" style="149" bestFit="1" customWidth="1"/>
    <col min="7" max="7" width="8.85546875" style="149" bestFit="1" customWidth="1"/>
    <col min="8" max="8" width="14" style="149" bestFit="1" customWidth="1"/>
    <col min="9" max="9" width="21.140625" style="149" bestFit="1" customWidth="1"/>
    <col min="10" max="10" width="8.7109375" style="149" bestFit="1" customWidth="1"/>
    <col min="11" max="11" width="11.28515625" style="149" bestFit="1" customWidth="1"/>
    <col min="12" max="12" width="11" style="149" bestFit="1" customWidth="1"/>
    <col min="13" max="13" width="11.28515625" style="149" bestFit="1" customWidth="1"/>
    <col min="14" max="14" width="13.7109375" style="149" bestFit="1" customWidth="1"/>
    <col min="15" max="15" width="14.85546875" style="149" bestFit="1" customWidth="1"/>
    <col min="16" max="16" width="16.7109375" style="149" bestFit="1" customWidth="1"/>
    <col min="17" max="17" width="9.42578125" style="118" bestFit="1" customWidth="1"/>
    <col min="18" max="16384" width="9.140625" style="118"/>
  </cols>
  <sheetData>
    <row r="1" spans="1:18" s="119" customFormat="1" x14ac:dyDescent="0.25">
      <c r="A1" s="186" t="s">
        <v>162</v>
      </c>
      <c r="B1" s="186" t="s">
        <v>165</v>
      </c>
      <c r="C1" s="186" t="s">
        <v>158</v>
      </c>
      <c r="D1" s="144" t="s">
        <v>170</v>
      </c>
      <c r="E1" s="186" t="s">
        <v>159</v>
      </c>
      <c r="F1" s="186" t="s">
        <v>157</v>
      </c>
      <c r="G1" s="186" t="s">
        <v>155</v>
      </c>
      <c r="H1" s="186" t="s">
        <v>168</v>
      </c>
      <c r="I1" s="186" t="s">
        <v>169</v>
      </c>
      <c r="J1" s="186" t="s">
        <v>163</v>
      </c>
      <c r="K1" s="186" t="s">
        <v>161</v>
      </c>
      <c r="L1" s="186" t="s">
        <v>156</v>
      </c>
      <c r="M1" s="186" t="s">
        <v>166</v>
      </c>
      <c r="N1" s="186" t="s">
        <v>160</v>
      </c>
      <c r="O1" s="186" t="s">
        <v>167</v>
      </c>
      <c r="P1" s="186" t="s">
        <v>164</v>
      </c>
      <c r="Q1"/>
      <c r="R1"/>
    </row>
    <row r="2" spans="1:18" x14ac:dyDescent="0.25">
      <c r="A2" s="164">
        <v>53.12</v>
      </c>
      <c r="B2" s="164">
        <v>0.05</v>
      </c>
      <c r="C2" s="164">
        <v>27.5</v>
      </c>
      <c r="D2" s="8">
        <v>42834</v>
      </c>
      <c r="E2" s="164">
        <v>0.37</v>
      </c>
      <c r="F2" s="164" t="s">
        <v>834</v>
      </c>
      <c r="G2" s="164">
        <v>329.72</v>
      </c>
      <c r="H2" s="164">
        <v>0</v>
      </c>
      <c r="I2" s="164">
        <v>0</v>
      </c>
      <c r="J2" s="164">
        <v>1002.61</v>
      </c>
      <c r="K2" s="164" t="s">
        <v>835</v>
      </c>
      <c r="L2" s="164">
        <v>53.12</v>
      </c>
      <c r="M2" s="164">
        <v>1491717600</v>
      </c>
      <c r="N2" s="164">
        <v>1.24</v>
      </c>
      <c r="O2" s="164">
        <v>134</v>
      </c>
      <c r="P2" s="164">
        <v>2.59</v>
      </c>
      <c r="Q2"/>
      <c r="R2"/>
    </row>
    <row r="3" spans="1:18" x14ac:dyDescent="0.25">
      <c r="A3" s="164">
        <v>50.13</v>
      </c>
      <c r="B3" s="164">
        <v>0.04</v>
      </c>
      <c r="C3" s="164">
        <v>31.16</v>
      </c>
      <c r="D3" s="8">
        <v>42834.041666666664</v>
      </c>
      <c r="E3" s="164">
        <v>0.48</v>
      </c>
      <c r="F3" s="164" t="s">
        <v>834</v>
      </c>
      <c r="G3" s="164">
        <v>331.54</v>
      </c>
      <c r="H3" s="164">
        <v>0</v>
      </c>
      <c r="I3" s="164">
        <v>0</v>
      </c>
      <c r="J3" s="164">
        <v>1002.61</v>
      </c>
      <c r="K3" s="164" t="s">
        <v>835</v>
      </c>
      <c r="L3" s="164">
        <v>50.13</v>
      </c>
      <c r="M3" s="164">
        <v>1491721200</v>
      </c>
      <c r="N3" s="164">
        <v>1.24</v>
      </c>
      <c r="O3" s="164">
        <v>167</v>
      </c>
      <c r="P3" s="164">
        <v>0.53</v>
      </c>
      <c r="Q3"/>
      <c r="R3"/>
    </row>
    <row r="4" spans="1:18" x14ac:dyDescent="0.25">
      <c r="A4" s="164">
        <v>49.1</v>
      </c>
      <c r="B4" s="164">
        <v>0.02</v>
      </c>
      <c r="C4" s="164">
        <v>33.51</v>
      </c>
      <c r="D4" s="8">
        <v>42834.083333333336</v>
      </c>
      <c r="E4" s="164">
        <v>0.55000000000000004</v>
      </c>
      <c r="F4" s="164" t="s">
        <v>834</v>
      </c>
      <c r="G4" s="164">
        <v>333.35</v>
      </c>
      <c r="H4" s="164">
        <v>0</v>
      </c>
      <c r="I4" s="164">
        <v>0</v>
      </c>
      <c r="J4" s="164">
        <v>1002.61</v>
      </c>
      <c r="K4" s="164" t="s">
        <v>835</v>
      </c>
      <c r="L4" s="164">
        <v>49.1</v>
      </c>
      <c r="M4" s="164">
        <v>1491724800</v>
      </c>
      <c r="N4" s="164">
        <v>1.24</v>
      </c>
      <c r="O4" s="164">
        <v>300</v>
      </c>
      <c r="P4" s="164">
        <v>1.1100000000000001</v>
      </c>
      <c r="Q4"/>
      <c r="R4"/>
    </row>
    <row r="5" spans="1:18" x14ac:dyDescent="0.25">
      <c r="A5" s="164">
        <v>47.51</v>
      </c>
      <c r="B5" s="164">
        <v>0</v>
      </c>
      <c r="C5" s="164">
        <v>31.94</v>
      </c>
      <c r="D5" s="8">
        <v>42834.125</v>
      </c>
      <c r="E5" s="164">
        <v>0.55000000000000004</v>
      </c>
      <c r="F5" s="164" t="s">
        <v>834</v>
      </c>
      <c r="G5" s="164">
        <v>335.17</v>
      </c>
      <c r="H5" s="164">
        <v>0</v>
      </c>
      <c r="I5" s="164">
        <v>0</v>
      </c>
      <c r="J5" s="164">
        <v>1002.49</v>
      </c>
      <c r="K5" s="164" t="s">
        <v>835</v>
      </c>
      <c r="L5" s="164">
        <v>47.51</v>
      </c>
      <c r="M5" s="164">
        <v>1491728400</v>
      </c>
      <c r="N5" s="164">
        <v>1.24</v>
      </c>
      <c r="O5" s="164">
        <v>153</v>
      </c>
      <c r="P5" s="164">
        <v>0.86</v>
      </c>
      <c r="Q5"/>
      <c r="R5"/>
    </row>
    <row r="6" spans="1:18" x14ac:dyDescent="0.25">
      <c r="A6" s="164">
        <v>45.75</v>
      </c>
      <c r="B6" s="164">
        <v>0</v>
      </c>
      <c r="C6" s="164">
        <v>31.61</v>
      </c>
      <c r="D6" s="8">
        <v>42834.166666666664</v>
      </c>
      <c r="E6" s="164">
        <v>0.56999999999999995</v>
      </c>
      <c r="F6" s="164" t="s">
        <v>834</v>
      </c>
      <c r="G6" s="164">
        <v>334.14</v>
      </c>
      <c r="H6" s="164">
        <v>0</v>
      </c>
      <c r="I6" s="164">
        <v>0</v>
      </c>
      <c r="J6" s="164">
        <v>1002.76</v>
      </c>
      <c r="K6" s="164" t="s">
        <v>835</v>
      </c>
      <c r="L6" s="164">
        <v>45.75</v>
      </c>
      <c r="M6" s="164">
        <v>1491732000</v>
      </c>
      <c r="N6" s="164">
        <v>1.24</v>
      </c>
      <c r="O6" s="164">
        <v>170</v>
      </c>
      <c r="P6" s="164">
        <v>1.43</v>
      </c>
      <c r="Q6"/>
      <c r="R6"/>
    </row>
    <row r="7" spans="1:18" x14ac:dyDescent="0.25">
      <c r="A7" s="164">
        <v>43.51</v>
      </c>
      <c r="B7" s="164">
        <v>0.03</v>
      </c>
      <c r="C7" s="164">
        <v>31.01</v>
      </c>
      <c r="D7" s="8">
        <v>42834.208333333336</v>
      </c>
      <c r="E7" s="164">
        <v>0.61</v>
      </c>
      <c r="F7" s="164" t="s">
        <v>834</v>
      </c>
      <c r="G7" s="164">
        <v>332.02</v>
      </c>
      <c r="H7" s="164">
        <v>0</v>
      </c>
      <c r="I7" s="164">
        <v>0</v>
      </c>
      <c r="J7" s="164">
        <v>1003.29</v>
      </c>
      <c r="K7" s="164" t="s">
        <v>835</v>
      </c>
      <c r="L7" s="164">
        <v>43.51</v>
      </c>
      <c r="M7" s="164">
        <v>1491735600</v>
      </c>
      <c r="N7" s="164">
        <v>1.24</v>
      </c>
      <c r="O7" s="164">
        <v>181</v>
      </c>
      <c r="P7" s="164">
        <v>2.76</v>
      </c>
      <c r="Q7"/>
      <c r="R7"/>
    </row>
    <row r="8" spans="1:18" x14ac:dyDescent="0.25">
      <c r="A8" s="164">
        <v>42.51</v>
      </c>
      <c r="B8" s="164">
        <v>0.08</v>
      </c>
      <c r="C8" s="164">
        <v>30.21</v>
      </c>
      <c r="D8" s="8">
        <v>42834.25</v>
      </c>
      <c r="E8" s="164">
        <v>0.61</v>
      </c>
      <c r="F8" s="164" t="s">
        <v>834</v>
      </c>
      <c r="G8" s="164">
        <v>330.78</v>
      </c>
      <c r="H8" s="164">
        <v>0</v>
      </c>
      <c r="I8" s="164">
        <v>0</v>
      </c>
      <c r="J8" s="164">
        <v>1003.61</v>
      </c>
      <c r="K8" s="164" t="s">
        <v>835</v>
      </c>
      <c r="L8" s="164">
        <v>42.51</v>
      </c>
      <c r="M8" s="164">
        <v>1491739200</v>
      </c>
      <c r="N8" s="164">
        <v>1.24</v>
      </c>
      <c r="O8" s="164">
        <v>179</v>
      </c>
      <c r="P8" s="164">
        <v>2.17</v>
      </c>
      <c r="Q8"/>
      <c r="R8"/>
    </row>
    <row r="9" spans="1:18" x14ac:dyDescent="0.25">
      <c r="A9" s="164">
        <v>42.1</v>
      </c>
      <c r="B9" s="164">
        <v>0.1</v>
      </c>
      <c r="C9" s="164">
        <v>30.62</v>
      </c>
      <c r="D9" s="8">
        <v>42834.291666666664</v>
      </c>
      <c r="E9" s="164">
        <v>0.63</v>
      </c>
      <c r="F9" s="164" t="s">
        <v>506</v>
      </c>
      <c r="G9" s="164">
        <v>331.51</v>
      </c>
      <c r="H9" s="164">
        <v>0</v>
      </c>
      <c r="I9" s="164">
        <v>0</v>
      </c>
      <c r="J9" s="164">
        <v>1003.39</v>
      </c>
      <c r="K9" s="164" t="s">
        <v>507</v>
      </c>
      <c r="L9" s="164">
        <v>42.1</v>
      </c>
      <c r="M9" s="164">
        <v>1491742800</v>
      </c>
      <c r="N9" s="164"/>
      <c r="O9" s="164">
        <v>170</v>
      </c>
      <c r="P9" s="164">
        <v>0.69</v>
      </c>
      <c r="Q9"/>
      <c r="R9"/>
    </row>
    <row r="10" spans="1:18" x14ac:dyDescent="0.25">
      <c r="A10" s="164">
        <v>47.81</v>
      </c>
      <c r="B10" s="164">
        <v>0.11</v>
      </c>
      <c r="C10" s="164">
        <v>31.9</v>
      </c>
      <c r="D10" s="8">
        <v>42834.333333333336</v>
      </c>
      <c r="E10" s="164">
        <v>0.54</v>
      </c>
      <c r="F10" s="164" t="s">
        <v>834</v>
      </c>
      <c r="G10" s="164">
        <v>333.11</v>
      </c>
      <c r="H10" s="164">
        <v>0</v>
      </c>
      <c r="I10" s="164">
        <v>0</v>
      </c>
      <c r="J10" s="164">
        <v>1002.99</v>
      </c>
      <c r="K10" s="164" t="s">
        <v>835</v>
      </c>
      <c r="L10" s="164">
        <v>47.81</v>
      </c>
      <c r="M10" s="164">
        <v>1491746400</v>
      </c>
      <c r="N10" s="164">
        <v>1.24</v>
      </c>
      <c r="O10" s="164">
        <v>216</v>
      </c>
      <c r="P10" s="164">
        <v>0.97</v>
      </c>
      <c r="Q10"/>
      <c r="R10"/>
    </row>
    <row r="11" spans="1:18" x14ac:dyDescent="0.25">
      <c r="A11" s="164">
        <v>52.71</v>
      </c>
      <c r="B11" s="164">
        <v>0.16</v>
      </c>
      <c r="C11" s="164">
        <v>32.299999999999997</v>
      </c>
      <c r="D11" s="8">
        <v>42834.375</v>
      </c>
      <c r="E11" s="164">
        <v>0.46</v>
      </c>
      <c r="F11" s="164" t="s">
        <v>834</v>
      </c>
      <c r="G11" s="164">
        <v>334.34</v>
      </c>
      <c r="H11" s="164">
        <v>0</v>
      </c>
      <c r="I11" s="164">
        <v>0</v>
      </c>
      <c r="J11" s="164">
        <v>1002.84</v>
      </c>
      <c r="K11" s="164" t="s">
        <v>835</v>
      </c>
      <c r="L11" s="164">
        <v>52.71</v>
      </c>
      <c r="M11" s="164">
        <v>1491750000</v>
      </c>
      <c r="N11" s="164">
        <v>1.24</v>
      </c>
      <c r="O11" s="164">
        <v>280</v>
      </c>
      <c r="P11" s="164">
        <v>2.64</v>
      </c>
      <c r="Q11"/>
      <c r="R11"/>
    </row>
    <row r="12" spans="1:18" x14ac:dyDescent="0.25">
      <c r="A12" s="164">
        <v>54.68</v>
      </c>
      <c r="B12" s="164">
        <v>0.16</v>
      </c>
      <c r="C12" s="164">
        <v>27.3</v>
      </c>
      <c r="D12" s="8">
        <v>42834.416666666664</v>
      </c>
      <c r="E12" s="164">
        <v>0.35</v>
      </c>
      <c r="F12" s="164" t="s">
        <v>834</v>
      </c>
      <c r="G12" s="164">
        <v>334.5</v>
      </c>
      <c r="H12" s="164">
        <v>0</v>
      </c>
      <c r="I12" s="164">
        <v>0</v>
      </c>
      <c r="J12" s="164">
        <v>1003.2</v>
      </c>
      <c r="K12" s="164" t="s">
        <v>835</v>
      </c>
      <c r="L12" s="164">
        <v>54.68</v>
      </c>
      <c r="M12" s="164">
        <v>1491753600</v>
      </c>
      <c r="N12" s="164">
        <v>1.24</v>
      </c>
      <c r="O12" s="164">
        <v>288</v>
      </c>
      <c r="P12" s="164">
        <v>6.61</v>
      </c>
      <c r="Q12"/>
      <c r="R12"/>
    </row>
    <row r="13" spans="1:18" x14ac:dyDescent="0.25">
      <c r="A13" s="164">
        <v>57.18</v>
      </c>
      <c r="B13" s="164">
        <v>0.16</v>
      </c>
      <c r="C13" s="164">
        <v>25.19</v>
      </c>
      <c r="D13" s="8">
        <v>42834.458333333336</v>
      </c>
      <c r="E13" s="164">
        <v>0.28999999999999998</v>
      </c>
      <c r="F13" s="164" t="s">
        <v>834</v>
      </c>
      <c r="G13" s="164">
        <v>334.28</v>
      </c>
      <c r="H13" s="164">
        <v>0</v>
      </c>
      <c r="I13" s="164">
        <v>0</v>
      </c>
      <c r="J13" s="164">
        <v>1003.83</v>
      </c>
      <c r="K13" s="164" t="s">
        <v>835</v>
      </c>
      <c r="L13" s="164">
        <v>57.18</v>
      </c>
      <c r="M13" s="164">
        <v>1491757200</v>
      </c>
      <c r="N13" s="164">
        <v>1.24</v>
      </c>
      <c r="O13" s="164">
        <v>304</v>
      </c>
      <c r="P13" s="164">
        <v>5.82</v>
      </c>
      <c r="Q13"/>
      <c r="R13"/>
    </row>
    <row r="14" spans="1:18" x14ac:dyDescent="0.25">
      <c r="A14" s="164">
        <v>59.38</v>
      </c>
      <c r="B14" s="164">
        <v>0.17</v>
      </c>
      <c r="C14" s="164">
        <v>21.99</v>
      </c>
      <c r="D14" s="8">
        <v>42834.5</v>
      </c>
      <c r="E14" s="164">
        <v>0.23</v>
      </c>
      <c r="F14" s="164" t="s">
        <v>834</v>
      </c>
      <c r="G14" s="164">
        <v>334.54</v>
      </c>
      <c r="H14" s="164">
        <v>0</v>
      </c>
      <c r="I14" s="164">
        <v>0</v>
      </c>
      <c r="J14" s="164">
        <v>1004.61</v>
      </c>
      <c r="K14" s="164" t="s">
        <v>835</v>
      </c>
      <c r="L14" s="164">
        <v>59.38</v>
      </c>
      <c r="M14" s="164">
        <v>1491760800</v>
      </c>
      <c r="N14" s="164">
        <v>1.24</v>
      </c>
      <c r="O14" s="164">
        <v>314</v>
      </c>
      <c r="P14" s="164">
        <v>5.89</v>
      </c>
      <c r="Q14"/>
      <c r="R14"/>
    </row>
    <row r="15" spans="1:18" x14ac:dyDescent="0.25">
      <c r="A15" s="164">
        <v>59.79</v>
      </c>
      <c r="B15" s="164">
        <v>0.2</v>
      </c>
      <c r="C15" s="164">
        <v>18.760000000000002</v>
      </c>
      <c r="D15" s="8">
        <v>42834.541666666664</v>
      </c>
      <c r="E15" s="164">
        <v>0.2</v>
      </c>
      <c r="F15" s="164" t="s">
        <v>834</v>
      </c>
      <c r="G15" s="164">
        <v>335.71</v>
      </c>
      <c r="H15" s="164">
        <v>0</v>
      </c>
      <c r="I15" s="164">
        <v>0</v>
      </c>
      <c r="J15" s="164">
        <v>1004.97</v>
      </c>
      <c r="K15" s="164" t="s">
        <v>835</v>
      </c>
      <c r="L15" s="164">
        <v>59.79</v>
      </c>
      <c r="M15" s="164">
        <v>1491764400</v>
      </c>
      <c r="N15" s="164">
        <v>1.24</v>
      </c>
      <c r="O15" s="164">
        <v>276</v>
      </c>
      <c r="P15" s="164">
        <v>7.23</v>
      </c>
      <c r="Q15"/>
      <c r="R15"/>
    </row>
    <row r="16" spans="1:18" x14ac:dyDescent="0.25">
      <c r="A16" s="164">
        <v>59.84</v>
      </c>
      <c r="B16" s="164">
        <v>0.25</v>
      </c>
      <c r="C16" s="164">
        <v>16.260000000000002</v>
      </c>
      <c r="D16" s="8">
        <v>42834.583333333336</v>
      </c>
      <c r="E16" s="164">
        <v>0.18</v>
      </c>
      <c r="F16" s="164" t="s">
        <v>347</v>
      </c>
      <c r="G16" s="164">
        <v>337.36</v>
      </c>
      <c r="H16" s="164">
        <v>0</v>
      </c>
      <c r="I16" s="164">
        <v>0</v>
      </c>
      <c r="J16" s="164">
        <v>1005.37</v>
      </c>
      <c r="K16" s="164" t="s">
        <v>346</v>
      </c>
      <c r="L16" s="164">
        <v>59.84</v>
      </c>
      <c r="M16" s="164">
        <v>1491768000</v>
      </c>
      <c r="N16" s="164"/>
      <c r="O16" s="164">
        <v>293</v>
      </c>
      <c r="P16" s="164">
        <v>9.07</v>
      </c>
      <c r="Q16"/>
      <c r="R16"/>
    </row>
    <row r="17" spans="1:18" x14ac:dyDescent="0.25">
      <c r="A17" s="164">
        <v>59.09</v>
      </c>
      <c r="B17" s="164">
        <v>0.23</v>
      </c>
      <c r="C17" s="164">
        <v>18.32</v>
      </c>
      <c r="D17" s="8">
        <v>42834.625</v>
      </c>
      <c r="E17" s="164">
        <v>0.2</v>
      </c>
      <c r="F17" s="164" t="s">
        <v>506</v>
      </c>
      <c r="G17" s="164">
        <v>338.96</v>
      </c>
      <c r="H17" s="164">
        <v>0</v>
      </c>
      <c r="I17" s="164">
        <v>0</v>
      </c>
      <c r="J17" s="164">
        <v>1005.98</v>
      </c>
      <c r="K17" s="164" t="s">
        <v>507</v>
      </c>
      <c r="L17" s="164">
        <v>59.09</v>
      </c>
      <c r="M17" s="164">
        <v>1491771600</v>
      </c>
      <c r="N17" s="164">
        <v>3.88</v>
      </c>
      <c r="O17" s="164">
        <v>296</v>
      </c>
      <c r="P17" s="164">
        <v>10.02</v>
      </c>
      <c r="Q17"/>
      <c r="R17"/>
    </row>
    <row r="18" spans="1:18" x14ac:dyDescent="0.25">
      <c r="A18" s="164">
        <v>56.29</v>
      </c>
      <c r="B18" s="164">
        <v>0.22</v>
      </c>
      <c r="C18" s="164">
        <v>20.46</v>
      </c>
      <c r="D18" s="8">
        <v>42834.666666666664</v>
      </c>
      <c r="E18" s="164">
        <v>0.24</v>
      </c>
      <c r="F18" s="164" t="s">
        <v>506</v>
      </c>
      <c r="G18" s="164">
        <v>340.35</v>
      </c>
      <c r="H18" s="164">
        <v>0</v>
      </c>
      <c r="I18" s="164">
        <v>0</v>
      </c>
      <c r="J18" s="164">
        <v>1006.9</v>
      </c>
      <c r="K18" s="164" t="s">
        <v>507</v>
      </c>
      <c r="L18" s="164">
        <v>56.29</v>
      </c>
      <c r="M18" s="164">
        <v>1491775200</v>
      </c>
      <c r="N18" s="164">
        <v>3.83</v>
      </c>
      <c r="O18" s="164">
        <v>298</v>
      </c>
      <c r="P18" s="164">
        <v>13.5</v>
      </c>
      <c r="Q18"/>
      <c r="R18"/>
    </row>
    <row r="19" spans="1:18" x14ac:dyDescent="0.25">
      <c r="A19" s="164">
        <v>54.45</v>
      </c>
      <c r="B19" s="164">
        <v>0.2</v>
      </c>
      <c r="C19" s="164">
        <v>20.100000000000001</v>
      </c>
      <c r="D19" s="8">
        <v>42834.708333333336</v>
      </c>
      <c r="E19" s="164">
        <v>0.26</v>
      </c>
      <c r="F19" s="164" t="s">
        <v>506</v>
      </c>
      <c r="G19" s="164">
        <v>341.69</v>
      </c>
      <c r="H19" s="164">
        <v>0</v>
      </c>
      <c r="I19" s="164">
        <v>0</v>
      </c>
      <c r="J19" s="164">
        <v>1008.07</v>
      </c>
      <c r="K19" s="164" t="s">
        <v>507</v>
      </c>
      <c r="L19" s="164">
        <v>54.45</v>
      </c>
      <c r="M19" s="164">
        <v>1491778800</v>
      </c>
      <c r="N19" s="164">
        <v>6.45</v>
      </c>
      <c r="O19" s="164">
        <v>296</v>
      </c>
      <c r="P19" s="164">
        <v>15.41</v>
      </c>
      <c r="Q19"/>
      <c r="R19"/>
    </row>
    <row r="20" spans="1:18" x14ac:dyDescent="0.25">
      <c r="A20" s="164">
        <v>51.32</v>
      </c>
      <c r="B20" s="164">
        <v>0.14000000000000001</v>
      </c>
      <c r="C20" s="164">
        <v>18.489999999999998</v>
      </c>
      <c r="D20" s="8">
        <v>42834.75</v>
      </c>
      <c r="E20" s="164">
        <v>0.27</v>
      </c>
      <c r="F20" s="164" t="s">
        <v>506</v>
      </c>
      <c r="G20" s="164">
        <v>343.07</v>
      </c>
      <c r="H20" s="164">
        <v>0</v>
      </c>
      <c r="I20" s="164">
        <v>0</v>
      </c>
      <c r="J20" s="164">
        <v>1009.37</v>
      </c>
      <c r="K20" s="164" t="s">
        <v>507</v>
      </c>
      <c r="L20" s="164">
        <v>51.32</v>
      </c>
      <c r="M20" s="164">
        <v>1491782400</v>
      </c>
      <c r="N20" s="164">
        <v>6.81</v>
      </c>
      <c r="O20" s="164">
        <v>297</v>
      </c>
      <c r="P20" s="164">
        <v>15.65</v>
      </c>
      <c r="Q20"/>
      <c r="R20"/>
    </row>
    <row r="21" spans="1:18" x14ac:dyDescent="0.25">
      <c r="A21" s="164">
        <v>42.46</v>
      </c>
      <c r="B21" s="164">
        <v>0.08</v>
      </c>
      <c r="C21" s="164">
        <v>17.440000000000001</v>
      </c>
      <c r="D21" s="8">
        <v>42834.791666666664</v>
      </c>
      <c r="E21" s="164">
        <v>0.28999999999999998</v>
      </c>
      <c r="F21" s="164" t="s">
        <v>506</v>
      </c>
      <c r="G21" s="164">
        <v>344.62</v>
      </c>
      <c r="H21" s="164">
        <v>0</v>
      </c>
      <c r="I21" s="164">
        <v>0</v>
      </c>
      <c r="J21" s="164">
        <v>1010.45</v>
      </c>
      <c r="K21" s="164" t="s">
        <v>507</v>
      </c>
      <c r="L21" s="164">
        <v>47.73</v>
      </c>
      <c r="M21" s="164">
        <v>1491786000</v>
      </c>
      <c r="N21" s="164">
        <v>7.34</v>
      </c>
      <c r="O21" s="164">
        <v>295</v>
      </c>
      <c r="P21" s="164">
        <v>12.36</v>
      </c>
      <c r="Q21"/>
      <c r="R21"/>
    </row>
    <row r="22" spans="1:18" x14ac:dyDescent="0.25">
      <c r="A22" s="164">
        <v>38.42</v>
      </c>
      <c r="B22" s="164">
        <v>0.06</v>
      </c>
      <c r="C22" s="164">
        <v>17.059999999999999</v>
      </c>
      <c r="D22" s="8">
        <v>42834.833333333336</v>
      </c>
      <c r="E22" s="164">
        <v>0.33</v>
      </c>
      <c r="F22" s="164" t="s">
        <v>508</v>
      </c>
      <c r="G22" s="164">
        <v>346.2</v>
      </c>
      <c r="H22" s="164">
        <v>0</v>
      </c>
      <c r="I22" s="164">
        <v>0</v>
      </c>
      <c r="J22" s="164">
        <v>1012.01</v>
      </c>
      <c r="K22" s="164" t="s">
        <v>507</v>
      </c>
      <c r="L22" s="164">
        <v>43.97</v>
      </c>
      <c r="M22" s="164">
        <v>1491789600</v>
      </c>
      <c r="N22" s="164">
        <v>10</v>
      </c>
      <c r="O22" s="164">
        <v>283</v>
      </c>
      <c r="P22" s="164">
        <v>10.38</v>
      </c>
      <c r="Q22"/>
      <c r="R22"/>
    </row>
    <row r="23" spans="1:18" x14ac:dyDescent="0.25">
      <c r="A23" s="164">
        <v>38.020000000000003</v>
      </c>
      <c r="B23" s="164">
        <v>0.06</v>
      </c>
      <c r="C23" s="164">
        <v>16.86</v>
      </c>
      <c r="D23" s="8">
        <v>42834.875</v>
      </c>
      <c r="E23" s="164">
        <v>0.34</v>
      </c>
      <c r="F23" s="164" t="s">
        <v>508</v>
      </c>
      <c r="G23" s="164">
        <v>347.49</v>
      </c>
      <c r="H23" s="164">
        <v>0</v>
      </c>
      <c r="I23" s="164">
        <v>0</v>
      </c>
      <c r="J23" s="164">
        <v>1013.44</v>
      </c>
      <c r="K23" s="164" t="s">
        <v>507</v>
      </c>
      <c r="L23" s="164">
        <v>42.96</v>
      </c>
      <c r="M23" s="164">
        <v>1491793200</v>
      </c>
      <c r="N23" s="164">
        <v>8.6</v>
      </c>
      <c r="O23" s="164">
        <v>273</v>
      </c>
      <c r="P23" s="164">
        <v>8.36</v>
      </c>
      <c r="Q23"/>
      <c r="R23"/>
    </row>
    <row r="24" spans="1:18" x14ac:dyDescent="0.25">
      <c r="A24" s="164">
        <v>39.21</v>
      </c>
      <c r="B24" s="164">
        <v>7.0000000000000007E-2</v>
      </c>
      <c r="C24" s="164">
        <v>14.62</v>
      </c>
      <c r="D24" s="8">
        <v>42834.916666666664</v>
      </c>
      <c r="E24" s="164">
        <v>0.31</v>
      </c>
      <c r="F24" s="164" t="s">
        <v>508</v>
      </c>
      <c r="G24" s="164">
        <v>348.44</v>
      </c>
      <c r="H24" s="164">
        <v>0</v>
      </c>
      <c r="I24" s="164">
        <v>0</v>
      </c>
      <c r="J24" s="164">
        <v>1014.37</v>
      </c>
      <c r="K24" s="164" t="s">
        <v>507</v>
      </c>
      <c r="L24" s="164">
        <v>42.99</v>
      </c>
      <c r="M24" s="164">
        <v>1491796800</v>
      </c>
      <c r="N24" s="164">
        <v>7.71</v>
      </c>
      <c r="O24" s="164">
        <v>281</v>
      </c>
      <c r="P24" s="164">
        <v>6.18</v>
      </c>
      <c r="Q24"/>
      <c r="R24"/>
    </row>
    <row r="25" spans="1:18" x14ac:dyDescent="0.25">
      <c r="A25" s="164">
        <v>41.46</v>
      </c>
      <c r="B25" s="164">
        <v>0.04</v>
      </c>
      <c r="C25" s="164">
        <v>12.8</v>
      </c>
      <c r="D25" s="8">
        <v>42834.958333333336</v>
      </c>
      <c r="E25" s="164">
        <v>0.31</v>
      </c>
      <c r="F25" s="164" t="s">
        <v>508</v>
      </c>
      <c r="G25" s="164">
        <v>349.1</v>
      </c>
      <c r="H25" s="164">
        <v>0</v>
      </c>
      <c r="I25" s="164">
        <v>0</v>
      </c>
      <c r="J25" s="164">
        <v>1015.01</v>
      </c>
      <c r="K25" s="164" t="s">
        <v>507</v>
      </c>
      <c r="L25" s="164">
        <v>41.46</v>
      </c>
      <c r="M25" s="164">
        <v>1491800400</v>
      </c>
      <c r="N25" s="164">
        <v>7.43</v>
      </c>
      <c r="O25" s="164">
        <v>284</v>
      </c>
      <c r="P25" s="164">
        <v>2.81</v>
      </c>
      <c r="Q25"/>
      <c r="R25"/>
    </row>
    <row r="26" spans="1:18" x14ac:dyDescent="0.25">
      <c r="A26" s="164">
        <v>37.450000000000003</v>
      </c>
      <c r="B26" s="164">
        <v>0.02</v>
      </c>
      <c r="C26" s="164">
        <v>10.51</v>
      </c>
      <c r="D26" s="8">
        <v>42835</v>
      </c>
      <c r="E26" s="164">
        <v>0.28999999999999998</v>
      </c>
      <c r="F26" s="164" t="s">
        <v>508</v>
      </c>
      <c r="G26" s="164">
        <v>349.34</v>
      </c>
      <c r="H26" s="164">
        <v>0</v>
      </c>
      <c r="I26" s="164">
        <v>0</v>
      </c>
      <c r="J26" s="164">
        <v>1015.67</v>
      </c>
      <c r="K26" s="164" t="s">
        <v>507</v>
      </c>
      <c r="L26" s="164">
        <v>39.770000000000003</v>
      </c>
      <c r="M26" s="164">
        <v>1491804000</v>
      </c>
      <c r="N26" s="164">
        <v>7.48</v>
      </c>
      <c r="O26" s="164">
        <v>299</v>
      </c>
      <c r="P26" s="164">
        <v>3.6</v>
      </c>
      <c r="Q26"/>
      <c r="R26"/>
    </row>
    <row r="27" spans="1:18" x14ac:dyDescent="0.25">
      <c r="A27" s="164">
        <v>35.75</v>
      </c>
      <c r="B27" s="164">
        <v>0.05</v>
      </c>
      <c r="C27" s="164">
        <v>10.52</v>
      </c>
      <c r="D27" s="8">
        <v>42835.041666666664</v>
      </c>
      <c r="E27" s="164">
        <v>0.31</v>
      </c>
      <c r="F27" s="164" t="s">
        <v>508</v>
      </c>
      <c r="G27" s="164">
        <v>348.69</v>
      </c>
      <c r="H27" s="164">
        <v>0</v>
      </c>
      <c r="I27" s="164">
        <v>0</v>
      </c>
      <c r="J27" s="164">
        <v>1016.58</v>
      </c>
      <c r="K27" s="164" t="s">
        <v>507</v>
      </c>
      <c r="L27" s="164">
        <v>38.71</v>
      </c>
      <c r="M27" s="164">
        <v>1491807600</v>
      </c>
      <c r="N27" s="164">
        <v>7.69</v>
      </c>
      <c r="O27" s="164">
        <v>281</v>
      </c>
      <c r="P27" s="164">
        <v>4.08</v>
      </c>
      <c r="Q27"/>
      <c r="R27"/>
    </row>
    <row r="28" spans="1:18" x14ac:dyDescent="0.25">
      <c r="A28" s="164">
        <v>38.369999999999997</v>
      </c>
      <c r="B28" s="164">
        <v>7.0000000000000007E-2</v>
      </c>
      <c r="C28" s="164">
        <v>11.02</v>
      </c>
      <c r="D28" s="8">
        <v>42835.083333333336</v>
      </c>
      <c r="E28" s="164">
        <v>0.32</v>
      </c>
      <c r="F28" s="164" t="s">
        <v>508</v>
      </c>
      <c r="G28" s="164">
        <v>348.05</v>
      </c>
      <c r="H28" s="164">
        <v>0</v>
      </c>
      <c r="I28" s="164">
        <v>0</v>
      </c>
      <c r="J28" s="164">
        <v>1017.43</v>
      </c>
      <c r="K28" s="164" t="s">
        <v>507</v>
      </c>
      <c r="L28" s="164">
        <v>38.369999999999997</v>
      </c>
      <c r="M28" s="164">
        <v>1491811200</v>
      </c>
      <c r="N28" s="164">
        <v>7.58</v>
      </c>
      <c r="O28" s="164">
        <v>278</v>
      </c>
      <c r="P28" s="164">
        <v>2.52</v>
      </c>
      <c r="Q28"/>
      <c r="R28"/>
    </row>
    <row r="29" spans="1:18" x14ac:dyDescent="0.25">
      <c r="A29" s="164">
        <v>37.68</v>
      </c>
      <c r="B29" s="164">
        <v>0.11</v>
      </c>
      <c r="C29" s="164">
        <v>11.06</v>
      </c>
      <c r="D29" s="8">
        <v>42835.125</v>
      </c>
      <c r="E29" s="164">
        <v>0.33</v>
      </c>
      <c r="F29" s="164" t="s">
        <v>508</v>
      </c>
      <c r="G29" s="164">
        <v>347.4</v>
      </c>
      <c r="H29" s="164">
        <v>0</v>
      </c>
      <c r="I29" s="164">
        <v>0</v>
      </c>
      <c r="J29" s="164">
        <v>1018.26</v>
      </c>
      <c r="K29" s="164" t="s">
        <v>507</v>
      </c>
      <c r="L29" s="164">
        <v>37.68</v>
      </c>
      <c r="M29" s="164">
        <v>1491814800</v>
      </c>
      <c r="N29" s="164">
        <v>10</v>
      </c>
      <c r="O29" s="164">
        <v>319</v>
      </c>
      <c r="P29" s="164">
        <v>1.42</v>
      </c>
      <c r="Q29"/>
      <c r="R29"/>
    </row>
    <row r="30" spans="1:18" x14ac:dyDescent="0.25">
      <c r="A30" s="148"/>
      <c r="B30" s="148"/>
      <c r="C30" s="148"/>
      <c r="D30" s="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</row>
    <row r="31" spans="1:18" x14ac:dyDescent="0.25">
      <c r="A31" s="149" t="s">
        <v>187</v>
      </c>
    </row>
    <row r="33" spans="1:1" x14ac:dyDescent="0.25">
      <c r="A33" s="149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2"/>
  <sheetViews>
    <sheetView workbookViewId="0">
      <selection activeCell="C11" sqref="C11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48" bestFit="1" customWidth="1"/>
    <col min="11" max="11" width="15.28515625" style="148" hidden="1" customWidth="1"/>
    <col min="12" max="12" width="13.5703125" style="148" hidden="1" customWidth="1"/>
    <col min="13" max="13" width="9" style="164" bestFit="1" customWidth="1"/>
    <col min="14" max="17" width="9.140625" style="148"/>
    <col min="20" max="24" width="9.140625" style="164"/>
  </cols>
  <sheetData>
    <row r="1" spans="1:24" ht="45.75" x14ac:dyDescent="0.3">
      <c r="A1" s="11" t="s">
        <v>25</v>
      </c>
      <c r="C1" s="127" t="s">
        <v>99</v>
      </c>
      <c r="D1" s="128" t="s">
        <v>100</v>
      </c>
      <c r="J1" s="154" t="s">
        <v>101</v>
      </c>
      <c r="K1" s="154" t="s">
        <v>66</v>
      </c>
      <c r="L1" s="154" t="s">
        <v>67</v>
      </c>
      <c r="O1" s="155" t="s">
        <v>102</v>
      </c>
      <c r="T1" s="215" t="s">
        <v>356</v>
      </c>
      <c r="U1" s="215"/>
      <c r="V1" s="215"/>
      <c r="W1" s="215"/>
      <c r="X1" s="215"/>
    </row>
    <row r="2" spans="1:24" ht="15.75" thickBot="1" x14ac:dyDescent="0.3">
      <c r="A2" s="12">
        <v>42834</v>
      </c>
      <c r="B2" s="4"/>
      <c r="C2" s="129">
        <v>50</v>
      </c>
      <c r="D2" s="130">
        <v>25</v>
      </c>
      <c r="F2" t="s">
        <v>113</v>
      </c>
      <c r="J2" s="154"/>
      <c r="K2" s="154" t="s">
        <v>66</v>
      </c>
      <c r="L2" s="154" t="s">
        <v>67</v>
      </c>
      <c r="T2" s="193" t="s">
        <v>357</v>
      </c>
      <c r="U2" s="193">
        <v>167</v>
      </c>
      <c r="V2" s="193">
        <v>168</v>
      </c>
      <c r="W2" s="193">
        <v>199</v>
      </c>
      <c r="X2" s="193">
        <v>200</v>
      </c>
    </row>
    <row r="3" spans="1:24" x14ac:dyDescent="0.25">
      <c r="C3" s="64"/>
      <c r="F3" t="s">
        <v>52</v>
      </c>
      <c r="J3" s="156" t="s">
        <v>68</v>
      </c>
      <c r="K3" s="157">
        <v>2.7052</v>
      </c>
      <c r="L3" s="157">
        <v>2.7349999999999999</v>
      </c>
      <c r="M3" s="164">
        <f t="shared" ref="M3:M14" si="0">AVERAGE(K3:L3)</f>
        <v>2.7201</v>
      </c>
      <c r="O3" s="148" t="s">
        <v>103</v>
      </c>
      <c r="P3" s="148">
        <f>AVERAGE(1.0714,1.1016)</f>
        <v>1.0865</v>
      </c>
      <c r="T3" s="193" t="s">
        <v>369</v>
      </c>
      <c r="U3" s="193">
        <v>174</v>
      </c>
      <c r="V3" s="193">
        <v>176</v>
      </c>
      <c r="W3" s="193">
        <v>207</v>
      </c>
      <c r="X3" s="193">
        <v>210</v>
      </c>
    </row>
    <row r="4" spans="1:24" ht="45" x14ac:dyDescent="0.25">
      <c r="C4" s="127" t="s">
        <v>99</v>
      </c>
      <c r="D4" s="128" t="s">
        <v>100</v>
      </c>
      <c r="F4" t="s">
        <v>53</v>
      </c>
      <c r="J4" s="156" t="s">
        <v>69</v>
      </c>
      <c r="K4" s="157">
        <v>3.0830000000000002</v>
      </c>
      <c r="L4" s="157">
        <v>3.097</v>
      </c>
      <c r="M4" s="164">
        <f t="shared" si="0"/>
        <v>3.09</v>
      </c>
      <c r="T4" s="193" t="s">
        <v>370</v>
      </c>
      <c r="U4" s="193">
        <v>173</v>
      </c>
      <c r="V4" s="193">
        <v>175</v>
      </c>
      <c r="W4" s="193">
        <v>208</v>
      </c>
      <c r="X4" s="193">
        <v>209</v>
      </c>
    </row>
    <row r="5" spans="1:24" x14ac:dyDescent="0.25">
      <c r="C5" s="64">
        <v>30</v>
      </c>
      <c r="D5" s="64">
        <v>9</v>
      </c>
      <c r="J5" s="156" t="s">
        <v>70</v>
      </c>
      <c r="K5" s="157">
        <v>3.3136000000000001</v>
      </c>
      <c r="L5" s="157">
        <v>3.3256999999999999</v>
      </c>
      <c r="M5" s="164">
        <f t="shared" si="0"/>
        <v>3.3196500000000002</v>
      </c>
      <c r="T5" s="193" t="s">
        <v>371</v>
      </c>
      <c r="U5" s="193">
        <v>187</v>
      </c>
      <c r="V5" s="193">
        <v>188</v>
      </c>
      <c r="W5" s="193">
        <v>223</v>
      </c>
      <c r="X5" s="193">
        <v>224</v>
      </c>
    </row>
    <row r="6" spans="1:24" x14ac:dyDescent="0.25">
      <c r="C6" s="64"/>
      <c r="F6" t="s">
        <v>114</v>
      </c>
      <c r="J6" s="156" t="s">
        <v>71</v>
      </c>
      <c r="K6" s="157">
        <v>4.2778999999999998</v>
      </c>
      <c r="L6" s="157">
        <v>4.2961</v>
      </c>
      <c r="M6" s="164">
        <f t="shared" si="0"/>
        <v>4.2869999999999999</v>
      </c>
      <c r="T6" s="193"/>
      <c r="U6" s="193"/>
      <c r="V6" s="193"/>
      <c r="W6" s="193"/>
      <c r="X6" s="193"/>
    </row>
    <row r="7" spans="1:24" x14ac:dyDescent="0.25">
      <c r="C7" s="64"/>
      <c r="F7" t="s">
        <v>115</v>
      </c>
      <c r="J7" s="156" t="s">
        <v>72</v>
      </c>
      <c r="K7" s="157">
        <v>4.7865000000000002</v>
      </c>
      <c r="L7" s="157">
        <v>4.8048000000000002</v>
      </c>
      <c r="M7" s="164">
        <f t="shared" si="0"/>
        <v>4.7956500000000002</v>
      </c>
      <c r="T7" s="193"/>
      <c r="U7" s="193"/>
      <c r="V7" s="193"/>
      <c r="W7" s="193"/>
      <c r="X7" s="193"/>
    </row>
    <row r="8" spans="1:24" x14ac:dyDescent="0.25">
      <c r="C8" s="64"/>
      <c r="F8" t="s">
        <v>116</v>
      </c>
      <c r="J8" s="156" t="s">
        <v>73</v>
      </c>
      <c r="K8" s="157">
        <v>5.3155000000000001</v>
      </c>
      <c r="L8" s="157">
        <v>5.3277000000000001</v>
      </c>
      <c r="M8" s="164">
        <f t="shared" si="0"/>
        <v>5.3216000000000001</v>
      </c>
      <c r="T8" s="193"/>
      <c r="U8" s="193"/>
      <c r="V8" s="193"/>
      <c r="W8" s="193"/>
      <c r="X8" s="193"/>
    </row>
    <row r="9" spans="1:24" x14ac:dyDescent="0.25">
      <c r="C9" s="64"/>
      <c r="J9" s="156" t="s">
        <v>74</v>
      </c>
      <c r="K9" s="157">
        <v>5.8117000000000001</v>
      </c>
      <c r="L9" s="157">
        <v>5.8300999999999998</v>
      </c>
      <c r="M9" s="164">
        <f t="shared" si="0"/>
        <v>5.8209</v>
      </c>
      <c r="T9" s="193"/>
      <c r="U9" s="193"/>
      <c r="V9" s="193"/>
      <c r="W9" s="193"/>
      <c r="X9" s="193"/>
    </row>
    <row r="10" spans="1:24" x14ac:dyDescent="0.25">
      <c r="C10" s="64"/>
      <c r="J10" s="156" t="s">
        <v>75</v>
      </c>
      <c r="K10" s="157">
        <v>5.8783000000000003</v>
      </c>
      <c r="L10" s="157">
        <v>5.8903999999999996</v>
      </c>
      <c r="M10" s="164">
        <f t="shared" si="0"/>
        <v>5.8843499999999995</v>
      </c>
      <c r="T10" s="193"/>
      <c r="U10" s="193"/>
      <c r="V10" s="193"/>
      <c r="W10" s="193"/>
      <c r="X10" s="193"/>
    </row>
    <row r="11" spans="1:24" x14ac:dyDescent="0.25">
      <c r="C11" s="64"/>
      <c r="J11" s="156" t="s">
        <v>76</v>
      </c>
      <c r="K11" s="157">
        <v>6.3068</v>
      </c>
      <c r="L11" s="157">
        <v>6.3308999999999997</v>
      </c>
      <c r="M11" s="164">
        <f t="shared" si="0"/>
        <v>6.3188499999999994</v>
      </c>
      <c r="T11" s="193"/>
      <c r="U11" s="193"/>
      <c r="V11" s="193"/>
      <c r="W11" s="193"/>
      <c r="X11" s="193"/>
    </row>
    <row r="12" spans="1:24" x14ac:dyDescent="0.25">
      <c r="C12" s="64"/>
      <c r="J12" s="156" t="s">
        <v>77</v>
      </c>
      <c r="K12" s="157">
        <v>7.8349000000000002</v>
      </c>
      <c r="L12" s="157">
        <v>7.8468999999999998</v>
      </c>
      <c r="M12" s="164">
        <f t="shared" si="0"/>
        <v>7.8408999999999995</v>
      </c>
      <c r="T12" s="193"/>
      <c r="U12" s="193"/>
      <c r="V12" s="193"/>
      <c r="W12" s="193"/>
      <c r="X12" s="193"/>
    </row>
    <row r="13" spans="1:24" x14ac:dyDescent="0.25">
      <c r="C13" s="64"/>
      <c r="J13" s="156" t="s">
        <v>78</v>
      </c>
      <c r="K13" s="157">
        <v>10.373799999999999</v>
      </c>
      <c r="L13" s="157">
        <v>10.38</v>
      </c>
      <c r="M13" s="164">
        <f t="shared" si="0"/>
        <v>10.376899999999999</v>
      </c>
      <c r="T13" s="193"/>
      <c r="U13" s="193"/>
      <c r="V13" s="193"/>
      <c r="W13" s="193"/>
      <c r="X13" s="193"/>
    </row>
    <row r="14" spans="1:24" x14ac:dyDescent="0.25">
      <c r="C14" s="64"/>
      <c r="J14" s="156" t="s">
        <v>79</v>
      </c>
      <c r="K14" s="157">
        <v>10.8954</v>
      </c>
      <c r="L14" s="157">
        <v>10.913500000000001</v>
      </c>
      <c r="M14" s="164">
        <f t="shared" si="0"/>
        <v>10.904450000000001</v>
      </c>
      <c r="T14" s="193"/>
      <c r="U14" s="193"/>
      <c r="V14" s="193"/>
      <c r="W14" s="193"/>
      <c r="X14" s="193"/>
    </row>
    <row r="15" spans="1:24" x14ac:dyDescent="0.25">
      <c r="C15" s="64"/>
      <c r="J15" s="156"/>
      <c r="K15" s="157"/>
      <c r="L15" s="157"/>
      <c r="T15" s="193"/>
      <c r="U15" s="193"/>
      <c r="V15" s="193"/>
      <c r="W15" s="193"/>
      <c r="X15" s="193"/>
    </row>
    <row r="16" spans="1:24" x14ac:dyDescent="0.25">
      <c r="C16" s="64"/>
      <c r="J16" s="156"/>
      <c r="K16" s="157"/>
      <c r="L16" s="157"/>
      <c r="T16" s="193"/>
      <c r="U16" s="193"/>
      <c r="V16" s="193"/>
      <c r="W16" s="193"/>
      <c r="X16" s="193"/>
    </row>
    <row r="17" spans="3:24" x14ac:dyDescent="0.25">
      <c r="C17" s="145" t="s">
        <v>188</v>
      </c>
      <c r="J17" s="156"/>
      <c r="K17" s="157"/>
      <c r="L17" s="157"/>
      <c r="T17" s="193"/>
      <c r="U17" s="193"/>
      <c r="V17" s="193"/>
      <c r="W17" s="193"/>
      <c r="X17" s="193"/>
    </row>
    <row r="18" spans="3:24" x14ac:dyDescent="0.25">
      <c r="C18" t="s">
        <v>971</v>
      </c>
      <c r="J18" s="156" t="s">
        <v>85</v>
      </c>
      <c r="K18" s="157"/>
      <c r="L18" s="157"/>
      <c r="M18" s="164" t="str">
        <f>"""C:\Program Files (x86)\AstroGrep\AstroGrep.exe"""</f>
        <v>"C:\Program Files (x86)\AstroGrep\AstroGrep.exe"</v>
      </c>
      <c r="T18" s="193"/>
      <c r="U18" s="193"/>
      <c r="V18" s="193"/>
      <c r="W18" s="193"/>
      <c r="X18" s="193"/>
    </row>
    <row r="19" spans="3:24" x14ac:dyDescent="0.25">
      <c r="C19" t="s">
        <v>972</v>
      </c>
      <c r="J19" s="156" t="s">
        <v>86</v>
      </c>
      <c r="K19" s="157"/>
      <c r="L19" s="157"/>
      <c r="M19" s="164" t="s">
        <v>112</v>
      </c>
      <c r="T19" s="193"/>
      <c r="U19" s="193"/>
      <c r="V19" s="193"/>
      <c r="W19" s="193"/>
      <c r="X19" s="193"/>
    </row>
    <row r="20" spans="3:24" x14ac:dyDescent="0.25">
      <c r="C20" t="s">
        <v>973</v>
      </c>
      <c r="J20" s="148" t="s">
        <v>87</v>
      </c>
      <c r="M20" s="164" t="s">
        <v>348</v>
      </c>
      <c r="N20" s="164" t="s">
        <v>348</v>
      </c>
      <c r="T20" s="193"/>
      <c r="U20" s="193"/>
      <c r="V20" s="193"/>
      <c r="W20" s="193"/>
      <c r="X20" s="193"/>
    </row>
    <row r="21" spans="3:24" x14ac:dyDescent="0.25">
      <c r="C21" t="s">
        <v>974</v>
      </c>
      <c r="J21" s="148" t="s">
        <v>90</v>
      </c>
      <c r="K21" s="148" t="s">
        <v>91</v>
      </c>
      <c r="M21" s="164" t="s">
        <v>178</v>
      </c>
      <c r="T21" s="193"/>
      <c r="U21" s="193"/>
      <c r="V21" s="193"/>
      <c r="W21" s="193"/>
      <c r="X21" s="193"/>
    </row>
    <row r="22" spans="3:24" x14ac:dyDescent="0.25">
      <c r="C22" t="s">
        <v>975</v>
      </c>
      <c r="J22" s="148" t="s">
        <v>92</v>
      </c>
      <c r="K22" s="148" t="s">
        <v>93</v>
      </c>
      <c r="M22" s="164" t="s">
        <v>111</v>
      </c>
      <c r="T22" s="193"/>
      <c r="U22" s="193"/>
      <c r="V22" s="193"/>
      <c r="W22" s="193"/>
      <c r="X22" s="193"/>
    </row>
    <row r="23" spans="3:24" x14ac:dyDescent="0.25">
      <c r="C23" t="s">
        <v>976</v>
      </c>
      <c r="J23" s="158" t="s">
        <v>95</v>
      </c>
      <c r="M23" s="164" t="str">
        <f>"-06"</f>
        <v>-06</v>
      </c>
      <c r="T23" s="193"/>
      <c r="U23" s="193"/>
      <c r="V23" s="193"/>
      <c r="W23" s="193"/>
      <c r="X23" s="193"/>
    </row>
    <row r="24" spans="3:24" x14ac:dyDescent="0.25">
      <c r="C24" t="s">
        <v>977</v>
      </c>
      <c r="J24" s="148" t="s">
        <v>108</v>
      </c>
      <c r="M24" s="164" t="s">
        <v>110</v>
      </c>
      <c r="T24" s="193"/>
      <c r="U24" s="193"/>
      <c r="V24" s="193"/>
      <c r="W24" s="193"/>
      <c r="X24" s="193"/>
    </row>
    <row r="25" spans="3:24" x14ac:dyDescent="0.25">
      <c r="C25" t="s">
        <v>978</v>
      </c>
      <c r="J25" s="148" t="s">
        <v>150</v>
      </c>
      <c r="M25" s="164" t="b">
        <v>1</v>
      </c>
    </row>
    <row r="26" spans="3:24" x14ac:dyDescent="0.25">
      <c r="C26" t="s">
        <v>979</v>
      </c>
      <c r="J26" s="148" t="s">
        <v>151</v>
      </c>
      <c r="M26" s="164" t="str">
        <f>"C:\Users\stu\Documents\GitHub\eaglep3-reporting\EC\"&amp;TEXT(A2,"yyyy-mm-dd")&amp;"-refined-times.txt"</f>
        <v>C:\Users\stu\Documents\GitHub\eaglep3-reporting\EC\2017-04-09-refined-times.txt</v>
      </c>
    </row>
    <row r="27" spans="3:24" x14ac:dyDescent="0.25">
      <c r="C27" t="s">
        <v>980</v>
      </c>
      <c r="J27" s="148" t="s">
        <v>180</v>
      </c>
      <c r="M27" s="164" t="str">
        <f>"C:\Users\stu\Documents\GitHub\eaglep3-reporting\EC\"&amp;TEXT(A2,"YYYY-MM-DD")&amp;"-Enforcements.txt"</f>
        <v>C:\Users\stu\Documents\GitHub\eaglep3-reporting\EC\2017-04-09-Enforcements.txt</v>
      </c>
    </row>
    <row r="28" spans="3:24" x14ac:dyDescent="0.25">
      <c r="C28" t="s">
        <v>981</v>
      </c>
      <c r="J28" s="148" t="s">
        <v>181</v>
      </c>
      <c r="M28" s="164" t="str">
        <f>"C:\Users\stu\Documents\GitHub\eaglep3-reporting\EC\"&amp;TEXT(A2,"YYYY-MM-DD")&amp;"-Runs-refined.txt"</f>
        <v>C:\Users\stu\Documents\GitHub\eaglep3-reporting\EC\2017-04-09-Runs-refined.txt</v>
      </c>
    </row>
    <row r="29" spans="3:24" x14ac:dyDescent="0.25">
      <c r="C29" t="s">
        <v>982</v>
      </c>
      <c r="J29" s="148" t="s">
        <v>182</v>
      </c>
      <c r="M29" s="164" t="str">
        <f>"C:\Users\stu\Documents\GitHub\eaglep3-reporting\EC\"&amp;TEXT(A2,"YYYY-MM-DD")&amp;"-Trips.txt"</f>
        <v>C:\Users\stu\Documents\GitHub\eaglep3-reporting\EC\2017-04-09-Trips.txt</v>
      </c>
    </row>
    <row r="30" spans="3:24" x14ac:dyDescent="0.25">
      <c r="C30" t="s">
        <v>983</v>
      </c>
      <c r="J30" s="148" t="s">
        <v>183</v>
      </c>
      <c r="M30" s="164" t="str">
        <f>"C:\Users\stu\Documents\GitHub\eaglep3-reporting\EC\"&amp;TEXT(A2,"YYYY-MM-DD")&amp;"-Weather.txt"</f>
        <v>C:\Users\stu\Documents\GitHub\eaglep3-reporting\EC\2017-04-09-Weather.txt</v>
      </c>
    </row>
    <row r="31" spans="3:24" x14ac:dyDescent="0.25">
      <c r="C31" t="s">
        <v>984</v>
      </c>
      <c r="J31" s="148" t="s">
        <v>201</v>
      </c>
      <c r="M31" s="164" t="s">
        <v>202</v>
      </c>
    </row>
    <row r="32" spans="3:24" x14ac:dyDescent="0.25">
      <c r="C32" t="s">
        <v>985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101" bestFit="1" customWidth="1"/>
    <col min="2" max="7" width="9.140625" style="101"/>
    <col min="8" max="8" width="17.7109375" style="101" bestFit="1" customWidth="1"/>
    <col min="9" max="10" width="9.140625" style="221"/>
    <col min="11" max="16384" width="9.140625" style="101"/>
  </cols>
  <sheetData>
    <row r="1" spans="1:11" x14ac:dyDescent="0.25">
      <c r="A1" s="100" t="s">
        <v>121</v>
      </c>
      <c r="B1" s="100" t="s">
        <v>122</v>
      </c>
      <c r="C1" s="101" t="s">
        <v>123</v>
      </c>
      <c r="H1" t="s">
        <v>117</v>
      </c>
      <c r="I1" s="219" t="s">
        <v>119</v>
      </c>
      <c r="J1" s="164" t="s">
        <v>412</v>
      </c>
    </row>
    <row r="2" spans="1:11" x14ac:dyDescent="0.25">
      <c r="A2" s="101" t="s">
        <v>124</v>
      </c>
      <c r="B2" s="101" t="s">
        <v>125</v>
      </c>
      <c r="C2" s="101" t="s">
        <v>126</v>
      </c>
      <c r="H2" t="s">
        <v>118</v>
      </c>
      <c r="I2" s="164" t="s">
        <v>120</v>
      </c>
      <c r="J2" s="164" t="s">
        <v>413</v>
      </c>
    </row>
    <row r="3" spans="1:11" x14ac:dyDescent="0.25">
      <c r="A3" s="101" t="s">
        <v>127</v>
      </c>
      <c r="B3" s="101" t="s">
        <v>128</v>
      </c>
      <c r="C3" s="101" t="s">
        <v>129</v>
      </c>
      <c r="H3" t="s">
        <v>143</v>
      </c>
      <c r="I3" s="164">
        <v>1</v>
      </c>
      <c r="J3" s="164">
        <v>1</v>
      </c>
      <c r="K3" s="63"/>
    </row>
    <row r="4" spans="1:11" x14ac:dyDescent="0.25">
      <c r="A4" s="101" t="s">
        <v>130</v>
      </c>
      <c r="C4" s="101" t="s">
        <v>131</v>
      </c>
      <c r="H4" t="s">
        <v>144</v>
      </c>
      <c r="I4" s="164">
        <v>2</v>
      </c>
      <c r="J4" s="164">
        <v>1</v>
      </c>
      <c r="K4" s="63"/>
    </row>
    <row r="5" spans="1:11" x14ac:dyDescent="0.25">
      <c r="A5" s="101" t="s">
        <v>132</v>
      </c>
      <c r="C5" s="101" t="s">
        <v>133</v>
      </c>
      <c r="H5" t="s">
        <v>145</v>
      </c>
      <c r="I5" s="164">
        <v>23</v>
      </c>
      <c r="J5" s="164">
        <v>10</v>
      </c>
      <c r="K5" s="63"/>
    </row>
    <row r="6" spans="1:11" x14ac:dyDescent="0.25">
      <c r="A6" s="101" t="s">
        <v>134</v>
      </c>
      <c r="C6" s="101" t="s">
        <v>135</v>
      </c>
      <c r="H6" s="102" t="s">
        <v>146</v>
      </c>
      <c r="I6" s="220" t="s">
        <v>125</v>
      </c>
    </row>
    <row r="7" spans="1:11" x14ac:dyDescent="0.25">
      <c r="A7" s="101" t="s">
        <v>136</v>
      </c>
      <c r="C7" s="101" t="s">
        <v>137</v>
      </c>
    </row>
    <row r="8" spans="1:11" x14ac:dyDescent="0.25">
      <c r="C8" s="101" t="s">
        <v>138</v>
      </c>
    </row>
    <row r="9" spans="1:11" x14ac:dyDescent="0.25">
      <c r="C9" s="102" t="s">
        <v>171</v>
      </c>
    </row>
    <row r="10" spans="1:11" x14ac:dyDescent="0.25">
      <c r="C10" s="101" t="s">
        <v>139</v>
      </c>
    </row>
    <row r="11" spans="1:11" x14ac:dyDescent="0.25">
      <c r="C11" s="101" t="s">
        <v>140</v>
      </c>
    </row>
    <row r="12" spans="1:11" x14ac:dyDescent="0.25">
      <c r="C12" s="101" t="s">
        <v>141</v>
      </c>
    </row>
    <row r="13" spans="1:11" x14ac:dyDescent="0.25">
      <c r="C13" s="101" t="s">
        <v>142</v>
      </c>
    </row>
    <row r="14" spans="1:11" x14ac:dyDescent="0.25">
      <c r="C14" s="102" t="s">
        <v>172</v>
      </c>
    </row>
    <row r="15" spans="1:11" x14ac:dyDescent="0.25">
      <c r="C15" s="102" t="s">
        <v>189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216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217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218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219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220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221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222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223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224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225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226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227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228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229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230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231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232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233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234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235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236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237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238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239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240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241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242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243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244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245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246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247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248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249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250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251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252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253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254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255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256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257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258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259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260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261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262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263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264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265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266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267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268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269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270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271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272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273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274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275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276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277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278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279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280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281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282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283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284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285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286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287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288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289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290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291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292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293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294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295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296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297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298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299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300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301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302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303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304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305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306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307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308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309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310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311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312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313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314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315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316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317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318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319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320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321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322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323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324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325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326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327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328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329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330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331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332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333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334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335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336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337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338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339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340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341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342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343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344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345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28</vt:i4>
      </vt:variant>
    </vt:vector>
  </HeadingPairs>
  <TitlesOfParts>
    <vt:vector size="37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2017-04-10T17:31:57Z</dcterms:modified>
</cp:coreProperties>
</file>