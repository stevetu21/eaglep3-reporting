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Trips'!$B$2:$I$2</definedName>
    <definedName name="_xlnm._FilterDatabase" localSheetId="0" hidden="1">'Train Runs'!$A$12:$AG$239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Runs'!$A$12:$J$63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39" i="1" l="1"/>
  <c r="X140" i="1"/>
  <c r="Y140" i="1"/>
  <c r="Y141" i="1"/>
  <c r="X142" i="1"/>
  <c r="Y142" i="1"/>
  <c r="Y143" i="1"/>
  <c r="X144" i="1"/>
  <c r="Y144" i="1"/>
  <c r="Y145" i="1"/>
  <c r="P140" i="1"/>
  <c r="P66" i="1"/>
  <c r="X20" i="1"/>
  <c r="K18" i="1"/>
  <c r="L18" i="1"/>
  <c r="M18" i="1"/>
  <c r="T18" i="1"/>
  <c r="V18" i="1"/>
  <c r="Y18" i="1"/>
  <c r="Z18" i="1"/>
  <c r="AB18" i="1"/>
  <c r="AC18" i="1"/>
  <c r="AD18" i="1"/>
  <c r="AG18" i="1" s="1"/>
  <c r="AE18" i="1"/>
  <c r="K14" i="1"/>
  <c r="L14" i="1"/>
  <c r="M14" i="1"/>
  <c r="N14" i="1" s="1"/>
  <c r="V14" i="1"/>
  <c r="Y14" i="1"/>
  <c r="Z14" i="1"/>
  <c r="AB14" i="1"/>
  <c r="AC14" i="1"/>
  <c r="AD14" i="1"/>
  <c r="AE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K16" i="1"/>
  <c r="L16" i="1"/>
  <c r="M16" i="1"/>
  <c r="N16" i="1" s="1"/>
  <c r="V16" i="1"/>
  <c r="Y16" i="1"/>
  <c r="Z16" i="1"/>
  <c r="AB16" i="1"/>
  <c r="AC16" i="1"/>
  <c r="AD16" i="1"/>
  <c r="AE16" i="1"/>
  <c r="K17" i="1"/>
  <c r="L17" i="1"/>
  <c r="M17" i="1"/>
  <c r="N17" i="1" s="1"/>
  <c r="V17" i="1"/>
  <c r="Y17" i="1"/>
  <c r="Z17" i="1"/>
  <c r="AA17" i="1" s="1"/>
  <c r="W17" i="1" s="1"/>
  <c r="AB17" i="1"/>
  <c r="AC17" i="1"/>
  <c r="AD17" i="1"/>
  <c r="AG17" i="1" s="1"/>
  <c r="AE17" i="1"/>
  <c r="K19" i="1"/>
  <c r="L19" i="1"/>
  <c r="M19" i="1"/>
  <c r="P19" i="1" s="1"/>
  <c r="V19" i="1"/>
  <c r="Y19" i="1"/>
  <c r="Z19" i="1"/>
  <c r="AB19" i="1"/>
  <c r="AC19" i="1"/>
  <c r="AD19" i="1"/>
  <c r="X19" i="1" s="1"/>
  <c r="AE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Y21" i="1"/>
  <c r="Z21" i="1"/>
  <c r="AB21" i="1"/>
  <c r="AC21" i="1"/>
  <c r="AD21" i="1"/>
  <c r="AE21" i="1"/>
  <c r="K22" i="1"/>
  <c r="L22" i="1"/>
  <c r="M22" i="1"/>
  <c r="N22" i="1" s="1"/>
  <c r="V22" i="1"/>
  <c r="Y22" i="1"/>
  <c r="Z22" i="1"/>
  <c r="AB22" i="1"/>
  <c r="AC22" i="1"/>
  <c r="AD22" i="1"/>
  <c r="AE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K28" i="1"/>
  <c r="L28" i="1"/>
  <c r="M28" i="1"/>
  <c r="N28" i="1" s="1"/>
  <c r="V28" i="1"/>
  <c r="Y28" i="1"/>
  <c r="Z28" i="1"/>
  <c r="AB28" i="1"/>
  <c r="AC28" i="1"/>
  <c r="AD28" i="1"/>
  <c r="AE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K30" i="1"/>
  <c r="L30" i="1"/>
  <c r="M30" i="1"/>
  <c r="N30" i="1" s="1"/>
  <c r="V30" i="1"/>
  <c r="Y30" i="1"/>
  <c r="Z30" i="1"/>
  <c r="AB30" i="1"/>
  <c r="AC30" i="1"/>
  <c r="AD30" i="1"/>
  <c r="AE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K35" i="1"/>
  <c r="L35" i="1"/>
  <c r="M35" i="1"/>
  <c r="N35" i="1" s="1"/>
  <c r="V35" i="1"/>
  <c r="Y35" i="1"/>
  <c r="Z35" i="1"/>
  <c r="AB35" i="1"/>
  <c r="AC35" i="1"/>
  <c r="AD35" i="1"/>
  <c r="AE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K38" i="1"/>
  <c r="L38" i="1"/>
  <c r="M38" i="1"/>
  <c r="N38" i="1" s="1"/>
  <c r="V38" i="1"/>
  <c r="Y38" i="1"/>
  <c r="Z38" i="1"/>
  <c r="AA38" i="1" s="1"/>
  <c r="AB38" i="1"/>
  <c r="AC38" i="1"/>
  <c r="AD38" i="1"/>
  <c r="AG38" i="1" s="1"/>
  <c r="AE38" i="1"/>
  <c r="K39" i="1"/>
  <c r="L39" i="1"/>
  <c r="M39" i="1"/>
  <c r="N39" i="1" s="1"/>
  <c r="V39" i="1"/>
  <c r="Y39" i="1"/>
  <c r="Z39" i="1"/>
  <c r="AB39" i="1"/>
  <c r="AC39" i="1"/>
  <c r="AD39" i="1"/>
  <c r="AE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K42" i="1"/>
  <c r="L42" i="1"/>
  <c r="M42" i="1"/>
  <c r="N42" i="1"/>
  <c r="V42" i="1"/>
  <c r="Y42" i="1"/>
  <c r="Z42" i="1"/>
  <c r="AB42" i="1"/>
  <c r="AC42" i="1"/>
  <c r="AD42" i="1"/>
  <c r="AE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K44" i="1"/>
  <c r="L44" i="1"/>
  <c r="M44" i="1"/>
  <c r="N44" i="1" s="1"/>
  <c r="V44" i="1"/>
  <c r="Y44" i="1"/>
  <c r="Z44" i="1"/>
  <c r="AB44" i="1"/>
  <c r="AC44" i="1"/>
  <c r="AD44" i="1"/>
  <c r="AE44" i="1"/>
  <c r="K45" i="1"/>
  <c r="L45" i="1"/>
  <c r="M45" i="1"/>
  <c r="N45" i="1" s="1"/>
  <c r="V45" i="1"/>
  <c r="Y45" i="1"/>
  <c r="Z45" i="1"/>
  <c r="AA45" i="1" s="1"/>
  <c r="AB45" i="1"/>
  <c r="AC45" i="1"/>
  <c r="AD45" i="1"/>
  <c r="AG45" i="1" s="1"/>
  <c r="AE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K47" i="1"/>
  <c r="L47" i="1"/>
  <c r="M47" i="1"/>
  <c r="N47" i="1"/>
  <c r="V47" i="1"/>
  <c r="Y47" i="1"/>
  <c r="Z47" i="1"/>
  <c r="AB47" i="1"/>
  <c r="AC47" i="1"/>
  <c r="AD47" i="1"/>
  <c r="AG47" i="1" s="1"/>
  <c r="AE47" i="1"/>
  <c r="K48" i="1"/>
  <c r="L48" i="1"/>
  <c r="M48" i="1"/>
  <c r="N48" i="1" s="1"/>
  <c r="V48" i="1"/>
  <c r="Y48" i="1"/>
  <c r="Z48" i="1"/>
  <c r="AB48" i="1"/>
  <c r="AC48" i="1"/>
  <c r="AD48" i="1"/>
  <c r="AE48" i="1"/>
  <c r="K49" i="1"/>
  <c r="L49" i="1"/>
  <c r="M49" i="1"/>
  <c r="N49" i="1" s="1"/>
  <c r="V49" i="1"/>
  <c r="Y49" i="1"/>
  <c r="Z49" i="1"/>
  <c r="AB49" i="1"/>
  <c r="AC49" i="1"/>
  <c r="AD49" i="1"/>
  <c r="AE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K51" i="1"/>
  <c r="L51" i="1"/>
  <c r="M51" i="1"/>
  <c r="N51" i="1" s="1"/>
  <c r="V51" i="1"/>
  <c r="Y51" i="1"/>
  <c r="Z51" i="1"/>
  <c r="AB51" i="1"/>
  <c r="AC51" i="1"/>
  <c r="AD51" i="1"/>
  <c r="AE51" i="1"/>
  <c r="K52" i="1"/>
  <c r="L52" i="1"/>
  <c r="M52" i="1"/>
  <c r="N52" i="1" s="1"/>
  <c r="V52" i="1"/>
  <c r="Y52" i="1"/>
  <c r="Z52" i="1"/>
  <c r="AA52" i="1" s="1"/>
  <c r="AB52" i="1"/>
  <c r="AC52" i="1"/>
  <c r="AD52" i="1"/>
  <c r="AG52" i="1" s="1"/>
  <c r="AE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K55" i="1"/>
  <c r="L55" i="1"/>
  <c r="M55" i="1"/>
  <c r="N55" i="1" s="1"/>
  <c r="V55" i="1"/>
  <c r="Y55" i="1"/>
  <c r="Z55" i="1"/>
  <c r="AB55" i="1"/>
  <c r="AC55" i="1"/>
  <c r="AD55" i="1"/>
  <c r="AE55" i="1"/>
  <c r="K56" i="1"/>
  <c r="L56" i="1"/>
  <c r="M56" i="1"/>
  <c r="N56" i="1" s="1"/>
  <c r="V56" i="1"/>
  <c r="Y56" i="1"/>
  <c r="Z56" i="1"/>
  <c r="AB56" i="1"/>
  <c r="AC56" i="1"/>
  <c r="AD56" i="1"/>
  <c r="AE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K58" i="1"/>
  <c r="L58" i="1"/>
  <c r="M58" i="1"/>
  <c r="N58" i="1" s="1"/>
  <c r="V58" i="1"/>
  <c r="Y58" i="1"/>
  <c r="Z58" i="1"/>
  <c r="AB58" i="1"/>
  <c r="AC58" i="1"/>
  <c r="AD58" i="1"/>
  <c r="AE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K64" i="1"/>
  <c r="L64" i="1"/>
  <c r="M64" i="1"/>
  <c r="N64" i="1" s="1"/>
  <c r="V64" i="1"/>
  <c r="Y64" i="1"/>
  <c r="Z64" i="1"/>
  <c r="AB64" i="1"/>
  <c r="AC64" i="1"/>
  <c r="AD64" i="1"/>
  <c r="AE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K66" i="1"/>
  <c r="L66" i="1"/>
  <c r="M66" i="1"/>
  <c r="V66" i="1"/>
  <c r="Y66" i="1"/>
  <c r="Z66" i="1"/>
  <c r="AB66" i="1"/>
  <c r="AC66" i="1"/>
  <c r="AD66" i="1"/>
  <c r="AG66" i="1" s="1"/>
  <c r="AE66" i="1"/>
  <c r="K67" i="1"/>
  <c r="L67" i="1"/>
  <c r="M67" i="1"/>
  <c r="N67" i="1" s="1"/>
  <c r="V67" i="1"/>
  <c r="Y67" i="1"/>
  <c r="Z67" i="1"/>
  <c r="AB67" i="1"/>
  <c r="AC67" i="1"/>
  <c r="AD67" i="1"/>
  <c r="AE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K72" i="1"/>
  <c r="L72" i="1"/>
  <c r="M72" i="1"/>
  <c r="N72" i="1" s="1"/>
  <c r="V72" i="1"/>
  <c r="Y72" i="1"/>
  <c r="Z72" i="1"/>
  <c r="AB72" i="1"/>
  <c r="AC72" i="1"/>
  <c r="AD72" i="1"/>
  <c r="AE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K76" i="1"/>
  <c r="L76" i="1"/>
  <c r="M76" i="1"/>
  <c r="N76" i="1" s="1"/>
  <c r="V76" i="1"/>
  <c r="Y76" i="1"/>
  <c r="Z76" i="1"/>
  <c r="AB76" i="1"/>
  <c r="AC76" i="1"/>
  <c r="AD76" i="1"/>
  <c r="AE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Y84" i="1"/>
  <c r="Z84" i="1"/>
  <c r="AB84" i="1"/>
  <c r="AC84" i="1"/>
  <c r="AD84" i="1"/>
  <c r="AE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K89" i="1"/>
  <c r="L89" i="1"/>
  <c r="M89" i="1"/>
  <c r="N89" i="1" s="1"/>
  <c r="V89" i="1"/>
  <c r="Y89" i="1"/>
  <c r="Z89" i="1"/>
  <c r="AB89" i="1"/>
  <c r="AC89" i="1"/>
  <c r="AD89" i="1"/>
  <c r="AE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K94" i="1"/>
  <c r="L94" i="1"/>
  <c r="M94" i="1"/>
  <c r="N94" i="1" s="1"/>
  <c r="V94" i="1"/>
  <c r="Y94" i="1"/>
  <c r="Z94" i="1"/>
  <c r="AB94" i="1"/>
  <c r="AC94" i="1"/>
  <c r="AD94" i="1"/>
  <c r="AE94" i="1"/>
  <c r="K95" i="1"/>
  <c r="L95" i="1"/>
  <c r="M95" i="1"/>
  <c r="N95" i="1" s="1"/>
  <c r="V95" i="1"/>
  <c r="Y95" i="1"/>
  <c r="Z95" i="1"/>
  <c r="AB95" i="1"/>
  <c r="AC95" i="1"/>
  <c r="AD95" i="1"/>
  <c r="AE95" i="1"/>
  <c r="K96" i="1"/>
  <c r="L96" i="1"/>
  <c r="M96" i="1"/>
  <c r="N96" i="1" s="1"/>
  <c r="V96" i="1"/>
  <c r="Y96" i="1"/>
  <c r="Z96" i="1"/>
  <c r="AB96" i="1"/>
  <c r="AC96" i="1"/>
  <c r="AD96" i="1"/>
  <c r="AE96" i="1"/>
  <c r="K97" i="1"/>
  <c r="L97" i="1"/>
  <c r="M97" i="1"/>
  <c r="N97" i="1" s="1"/>
  <c r="V97" i="1"/>
  <c r="Y97" i="1"/>
  <c r="Z97" i="1"/>
  <c r="AB97" i="1"/>
  <c r="AC97" i="1"/>
  <c r="AD97" i="1"/>
  <c r="AE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AE101" i="1"/>
  <c r="K102" i="1"/>
  <c r="L102" i="1"/>
  <c r="M102" i="1"/>
  <c r="N102" i="1" s="1"/>
  <c r="V102" i="1"/>
  <c r="Y102" i="1"/>
  <c r="Z102" i="1"/>
  <c r="AB102" i="1"/>
  <c r="AC102" i="1"/>
  <c r="AD102" i="1"/>
  <c r="AE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E104" i="1"/>
  <c r="K105" i="1"/>
  <c r="L105" i="1"/>
  <c r="M105" i="1"/>
  <c r="N105" i="1" s="1"/>
  <c r="V105" i="1"/>
  <c r="Y105" i="1"/>
  <c r="Z105" i="1"/>
  <c r="AB105" i="1"/>
  <c r="AC105" i="1"/>
  <c r="AD105" i="1"/>
  <c r="AE105" i="1"/>
  <c r="K106" i="1"/>
  <c r="L106" i="1"/>
  <c r="M106" i="1"/>
  <c r="N106" i="1" s="1"/>
  <c r="V106" i="1"/>
  <c r="Y106" i="1"/>
  <c r="Z106" i="1"/>
  <c r="AB106" i="1"/>
  <c r="AC106" i="1"/>
  <c r="AD106" i="1"/>
  <c r="AE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K108" i="1"/>
  <c r="L108" i="1"/>
  <c r="M108" i="1"/>
  <c r="N108" i="1" s="1"/>
  <c r="V108" i="1"/>
  <c r="Y108" i="1"/>
  <c r="Z108" i="1"/>
  <c r="AB108" i="1"/>
  <c r="AC108" i="1"/>
  <c r="AD108" i="1"/>
  <c r="AE108" i="1"/>
  <c r="K109" i="1"/>
  <c r="L109" i="1"/>
  <c r="M109" i="1"/>
  <c r="N109" i="1" s="1"/>
  <c r="V109" i="1"/>
  <c r="Y109" i="1"/>
  <c r="Z109" i="1"/>
  <c r="AB109" i="1"/>
  <c r="AC109" i="1"/>
  <c r="AD109" i="1"/>
  <c r="AE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K111" i="1"/>
  <c r="L111" i="1"/>
  <c r="M111" i="1"/>
  <c r="N111" i="1" s="1"/>
  <c r="V111" i="1"/>
  <c r="Y111" i="1"/>
  <c r="Z111" i="1"/>
  <c r="AB111" i="1"/>
  <c r="AC111" i="1"/>
  <c r="AD111" i="1"/>
  <c r="AE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E117" i="1"/>
  <c r="K118" i="1"/>
  <c r="L118" i="1"/>
  <c r="M118" i="1"/>
  <c r="N118" i="1" s="1"/>
  <c r="V118" i="1"/>
  <c r="Y118" i="1"/>
  <c r="Z118" i="1"/>
  <c r="AB118" i="1"/>
  <c r="AC118" i="1"/>
  <c r="AD118" i="1"/>
  <c r="AE118" i="1"/>
  <c r="K119" i="1"/>
  <c r="L119" i="1"/>
  <c r="M119" i="1"/>
  <c r="N119" i="1" s="1"/>
  <c r="V119" i="1"/>
  <c r="X119" i="1"/>
  <c r="Y119" i="1"/>
  <c r="Z119" i="1"/>
  <c r="AB119" i="1"/>
  <c r="AC119" i="1"/>
  <c r="AD119" i="1"/>
  <c r="AG119" i="1" s="1"/>
  <c r="AE119" i="1"/>
  <c r="K120" i="1"/>
  <c r="L120" i="1"/>
  <c r="M120" i="1"/>
  <c r="N120" i="1" s="1"/>
  <c r="V120" i="1"/>
  <c r="Y120" i="1"/>
  <c r="Z120" i="1"/>
  <c r="AB120" i="1"/>
  <c r="AC120" i="1"/>
  <c r="AD120" i="1"/>
  <c r="AE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K129" i="1"/>
  <c r="L129" i="1"/>
  <c r="M129" i="1"/>
  <c r="N129" i="1"/>
  <c r="V129" i="1"/>
  <c r="Y129" i="1"/>
  <c r="Z129" i="1"/>
  <c r="AB129" i="1"/>
  <c r="AC129" i="1"/>
  <c r="AD129" i="1"/>
  <c r="AE129" i="1"/>
  <c r="K130" i="1"/>
  <c r="L130" i="1"/>
  <c r="M130" i="1"/>
  <c r="N130" i="1" s="1"/>
  <c r="V130" i="1"/>
  <c r="Y130" i="1"/>
  <c r="Z130" i="1"/>
  <c r="AB130" i="1"/>
  <c r="AC130" i="1"/>
  <c r="AD130" i="1"/>
  <c r="AE130" i="1"/>
  <c r="K131" i="1"/>
  <c r="L131" i="1"/>
  <c r="M131" i="1"/>
  <c r="N131" i="1" s="1"/>
  <c r="V131" i="1"/>
  <c r="Y131" i="1"/>
  <c r="Z131" i="1"/>
  <c r="AB131" i="1"/>
  <c r="AC131" i="1"/>
  <c r="AD131" i="1"/>
  <c r="AE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K136" i="1"/>
  <c r="L136" i="1"/>
  <c r="M136" i="1"/>
  <c r="N136" i="1" s="1"/>
  <c r="V136" i="1"/>
  <c r="Y136" i="1"/>
  <c r="Z136" i="1"/>
  <c r="AB136" i="1"/>
  <c r="AC136" i="1"/>
  <c r="AD136" i="1"/>
  <c r="AE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K138" i="1"/>
  <c r="L138" i="1"/>
  <c r="M138" i="1"/>
  <c r="N138" i="1" s="1"/>
  <c r="V138" i="1"/>
  <c r="Y138" i="1"/>
  <c r="Z138" i="1"/>
  <c r="AB138" i="1"/>
  <c r="AC138" i="1"/>
  <c r="AD138" i="1"/>
  <c r="X139" i="1" s="1"/>
  <c r="AE138" i="1"/>
  <c r="K139" i="1"/>
  <c r="L139" i="1"/>
  <c r="M139" i="1"/>
  <c r="N139" i="1" s="1"/>
  <c r="V139" i="1"/>
  <c r="Z139" i="1"/>
  <c r="AB139" i="1"/>
  <c r="AC139" i="1"/>
  <c r="AD139" i="1"/>
  <c r="T139" i="1" s="1"/>
  <c r="AE139" i="1"/>
  <c r="K140" i="1"/>
  <c r="L140" i="1"/>
  <c r="M140" i="1"/>
  <c r="V140" i="1"/>
  <c r="Z140" i="1"/>
  <c r="AB140" i="1"/>
  <c r="AC140" i="1"/>
  <c r="AD140" i="1"/>
  <c r="T140" i="1" s="1"/>
  <c r="AE140" i="1"/>
  <c r="K141" i="1"/>
  <c r="L141" i="1"/>
  <c r="M141" i="1"/>
  <c r="N141" i="1" s="1"/>
  <c r="V141" i="1"/>
  <c r="Z141" i="1"/>
  <c r="AB141" i="1"/>
  <c r="AC141" i="1"/>
  <c r="AD141" i="1"/>
  <c r="T141" i="1" s="1"/>
  <c r="AE141" i="1"/>
  <c r="K142" i="1"/>
  <c r="L142" i="1"/>
  <c r="M142" i="1"/>
  <c r="N142" i="1" s="1"/>
  <c r="V142" i="1"/>
  <c r="Z142" i="1"/>
  <c r="AB142" i="1"/>
  <c r="AC142" i="1"/>
  <c r="AD142" i="1"/>
  <c r="T142" i="1" s="1"/>
  <c r="AE142" i="1"/>
  <c r="K143" i="1"/>
  <c r="L143" i="1"/>
  <c r="M143" i="1"/>
  <c r="N143" i="1" s="1"/>
  <c r="V143" i="1"/>
  <c r="Z143" i="1"/>
  <c r="AB143" i="1"/>
  <c r="AC143" i="1"/>
  <c r="AD143" i="1"/>
  <c r="AE143" i="1"/>
  <c r="K144" i="1"/>
  <c r="L144" i="1"/>
  <c r="M144" i="1"/>
  <c r="N144" i="1" s="1"/>
  <c r="V144" i="1"/>
  <c r="Z144" i="1"/>
  <c r="AB144" i="1"/>
  <c r="AC144" i="1"/>
  <c r="AD144" i="1"/>
  <c r="T144" i="1" s="1"/>
  <c r="AE144" i="1"/>
  <c r="K145" i="1"/>
  <c r="L145" i="1"/>
  <c r="M145" i="1"/>
  <c r="N145" i="1" s="1"/>
  <c r="V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K151" i="1"/>
  <c r="L151" i="1"/>
  <c r="M151" i="1"/>
  <c r="N151" i="1" s="1"/>
  <c r="V151" i="1"/>
  <c r="Y151" i="1"/>
  <c r="Z151" i="1"/>
  <c r="AB151" i="1"/>
  <c r="AC151" i="1"/>
  <c r="AD151" i="1"/>
  <c r="AE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K154" i="1"/>
  <c r="L154" i="1"/>
  <c r="M154" i="1"/>
  <c r="N154" i="1" s="1"/>
  <c r="V154" i="1"/>
  <c r="Y154" i="1"/>
  <c r="Z154" i="1"/>
  <c r="AB154" i="1"/>
  <c r="AC154" i="1"/>
  <c r="AD154" i="1"/>
  <c r="AE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AA171" i="1" s="1"/>
  <c r="Z171" i="1"/>
  <c r="AB171" i="1"/>
  <c r="AC171" i="1"/>
  <c r="AD171" i="1"/>
  <c r="AG171" i="1" s="1"/>
  <c r="AE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K179" i="1"/>
  <c r="L179" i="1"/>
  <c r="M179" i="1"/>
  <c r="N179" i="1"/>
  <c r="V179" i="1"/>
  <c r="Y179" i="1"/>
  <c r="Z179" i="1"/>
  <c r="AB179" i="1"/>
  <c r="AC179" i="1"/>
  <c r="AD179" i="1"/>
  <c r="AG179" i="1" s="1"/>
  <c r="AE179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K183" i="1"/>
  <c r="L183" i="1"/>
  <c r="M183" i="1"/>
  <c r="N183" i="1" s="1"/>
  <c r="V183" i="1"/>
  <c r="Y183" i="1"/>
  <c r="Z183" i="1"/>
  <c r="AA183" i="1" s="1"/>
  <c r="AB183" i="1"/>
  <c r="AC183" i="1"/>
  <c r="AD183" i="1"/>
  <c r="AG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K188" i="1"/>
  <c r="L188" i="1"/>
  <c r="M188" i="1"/>
  <c r="N188" i="1" s="1"/>
  <c r="V188" i="1"/>
  <c r="Y188" i="1"/>
  <c r="Z188" i="1"/>
  <c r="AB188" i="1"/>
  <c r="AC188" i="1"/>
  <c r="AD188" i="1"/>
  <c r="AE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K191" i="1"/>
  <c r="L191" i="1"/>
  <c r="M191" i="1"/>
  <c r="N191" i="1" s="1"/>
  <c r="V191" i="1"/>
  <c r="Y191" i="1"/>
  <c r="Z191" i="1"/>
  <c r="AA191" i="1" s="1"/>
  <c r="W191" i="1" s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AE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K195" i="1"/>
  <c r="L195" i="1"/>
  <c r="M195" i="1"/>
  <c r="N195" i="1" s="1"/>
  <c r="V195" i="1"/>
  <c r="Q29" i="3" s="1"/>
  <c r="Y195" i="1"/>
  <c r="Z195" i="1"/>
  <c r="AB195" i="1"/>
  <c r="AC195" i="1"/>
  <c r="AD195" i="1"/>
  <c r="T195" i="1" s="1"/>
  <c r="AE195" i="1"/>
  <c r="K196" i="1"/>
  <c r="L196" i="1"/>
  <c r="M196" i="1"/>
  <c r="N196" i="1" s="1"/>
  <c r="V196" i="1"/>
  <c r="Y196" i="1"/>
  <c r="Z196" i="1"/>
  <c r="AB196" i="1"/>
  <c r="AC196" i="1"/>
  <c r="AD196" i="1"/>
  <c r="AE196" i="1"/>
  <c r="K197" i="1"/>
  <c r="L197" i="1"/>
  <c r="M197" i="1"/>
  <c r="N197" i="1" s="1"/>
  <c r="V197" i="1"/>
  <c r="Q31" i="3" s="1"/>
  <c r="Y197" i="1"/>
  <c r="Z197" i="1"/>
  <c r="AB197" i="1"/>
  <c r="AC197" i="1"/>
  <c r="AD197" i="1"/>
  <c r="T197" i="1" s="1"/>
  <c r="AE197" i="1"/>
  <c r="P31" i="3" s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K200" i="1"/>
  <c r="L200" i="1"/>
  <c r="M200" i="1"/>
  <c r="N200" i="1" s="1"/>
  <c r="V200" i="1"/>
  <c r="Y200" i="1"/>
  <c r="Z200" i="1"/>
  <c r="AB200" i="1"/>
  <c r="AC200" i="1"/>
  <c r="AD200" i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2" i="1"/>
  <c r="L202" i="1"/>
  <c r="M202" i="1"/>
  <c r="N202" i="1" s="1"/>
  <c r="V202" i="1"/>
  <c r="Y202" i="1"/>
  <c r="Z202" i="1"/>
  <c r="AB202" i="1"/>
  <c r="AC202" i="1"/>
  <c r="AD202" i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208" i="1"/>
  <c r="L208" i="1"/>
  <c r="M208" i="1"/>
  <c r="N208" i="1" s="1"/>
  <c r="V208" i="1"/>
  <c r="Q47" i="3" s="1"/>
  <c r="Y208" i="1"/>
  <c r="Z208" i="1"/>
  <c r="AA208" i="1" s="1"/>
  <c r="AB208" i="1"/>
  <c r="AC208" i="1"/>
  <c r="AD208" i="1"/>
  <c r="AE208" i="1"/>
  <c r="P47" i="3" s="1"/>
  <c r="K209" i="1"/>
  <c r="L209" i="1"/>
  <c r="M209" i="1"/>
  <c r="N209" i="1" s="1"/>
  <c r="V209" i="1"/>
  <c r="Y209" i="1"/>
  <c r="Z209" i="1"/>
  <c r="AB209" i="1"/>
  <c r="AC209" i="1"/>
  <c r="AD209" i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P49" i="3" s="1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7" i="3"/>
  <c r="S10" i="3"/>
  <c r="T10" i="3"/>
  <c r="U10" i="3"/>
  <c r="W10" i="3" s="1"/>
  <c r="V10" i="3"/>
  <c r="S35" i="3"/>
  <c r="T35" i="3"/>
  <c r="U35" i="3"/>
  <c r="W35" i="3" s="1"/>
  <c r="V35" i="3"/>
  <c r="S14" i="3"/>
  <c r="T14" i="3"/>
  <c r="U14" i="3"/>
  <c r="W14" i="3" s="1"/>
  <c r="V14" i="3"/>
  <c r="S23" i="3"/>
  <c r="T23" i="3"/>
  <c r="U23" i="3"/>
  <c r="W23" i="3" s="1"/>
  <c r="V23" i="3"/>
  <c r="S36" i="3"/>
  <c r="T36" i="3"/>
  <c r="U36" i="3"/>
  <c r="V36" i="3"/>
  <c r="S33" i="3"/>
  <c r="T33" i="3"/>
  <c r="U33" i="3"/>
  <c r="V33" i="3"/>
  <c r="S42" i="3"/>
  <c r="T42" i="3"/>
  <c r="U42" i="3"/>
  <c r="V42" i="3"/>
  <c r="S19" i="3"/>
  <c r="T19" i="3"/>
  <c r="U19" i="3"/>
  <c r="W19" i="3" s="1"/>
  <c r="V19" i="3"/>
  <c r="S15" i="3"/>
  <c r="T15" i="3"/>
  <c r="U15" i="3"/>
  <c r="V15" i="3"/>
  <c r="S11" i="3"/>
  <c r="T11" i="3"/>
  <c r="U11" i="3"/>
  <c r="V11" i="3"/>
  <c r="S16" i="3"/>
  <c r="T16" i="3"/>
  <c r="U16" i="3"/>
  <c r="W16" i="3" s="1"/>
  <c r="V16" i="3"/>
  <c r="S20" i="3"/>
  <c r="T20" i="3"/>
  <c r="U20" i="3"/>
  <c r="V20" i="3"/>
  <c r="S24" i="3"/>
  <c r="T24" i="3"/>
  <c r="U24" i="3"/>
  <c r="V24" i="3"/>
  <c r="S32" i="3"/>
  <c r="T32" i="3"/>
  <c r="U32" i="3"/>
  <c r="V32" i="3"/>
  <c r="S12" i="3"/>
  <c r="T12" i="3"/>
  <c r="U12" i="3"/>
  <c r="V12" i="3"/>
  <c r="S37" i="3"/>
  <c r="T37" i="3"/>
  <c r="U37" i="3"/>
  <c r="V37" i="3"/>
  <c r="S43" i="3"/>
  <c r="T43" i="3"/>
  <c r="U43" i="3"/>
  <c r="V43" i="3"/>
  <c r="S13" i="3"/>
  <c r="T13" i="3"/>
  <c r="U13" i="3"/>
  <c r="V13" i="3"/>
  <c r="S22" i="3"/>
  <c r="T22" i="3"/>
  <c r="U22" i="3"/>
  <c r="V22" i="3"/>
  <c r="S25" i="3"/>
  <c r="T25" i="3"/>
  <c r="U25" i="3"/>
  <c r="V25" i="3"/>
  <c r="S21" i="3"/>
  <c r="T21" i="3"/>
  <c r="U21" i="3"/>
  <c r="V21" i="3"/>
  <c r="S30" i="3"/>
  <c r="T30" i="3"/>
  <c r="U30" i="3"/>
  <c r="V30" i="3"/>
  <c r="S44" i="3"/>
  <c r="T44" i="3"/>
  <c r="U44" i="3"/>
  <c r="V44" i="3"/>
  <c r="S8" i="3"/>
  <c r="T8" i="3"/>
  <c r="U8" i="3"/>
  <c r="V8" i="3"/>
  <c r="W8" i="3"/>
  <c r="S38" i="3"/>
  <c r="T38" i="3"/>
  <c r="U38" i="3"/>
  <c r="V38" i="3"/>
  <c r="S47" i="3"/>
  <c r="T47" i="3"/>
  <c r="U47" i="3"/>
  <c r="V47" i="3"/>
  <c r="S9" i="3"/>
  <c r="T9" i="3"/>
  <c r="U9" i="3"/>
  <c r="V9" i="3"/>
  <c r="W9" i="3"/>
  <c r="S26" i="3"/>
  <c r="T26" i="3"/>
  <c r="U26" i="3"/>
  <c r="W26" i="3" s="1"/>
  <c r="V26" i="3"/>
  <c r="S45" i="3"/>
  <c r="T45" i="3"/>
  <c r="U45" i="3"/>
  <c r="V45" i="3"/>
  <c r="S46" i="3"/>
  <c r="T46" i="3"/>
  <c r="U46" i="3"/>
  <c r="W46" i="3" s="1"/>
  <c r="V46" i="3"/>
  <c r="S17" i="3"/>
  <c r="T17" i="3"/>
  <c r="U17" i="3"/>
  <c r="W17" i="3" s="1"/>
  <c r="V17" i="3"/>
  <c r="S39" i="3"/>
  <c r="T39" i="3"/>
  <c r="U39" i="3"/>
  <c r="V39" i="3"/>
  <c r="S40" i="3"/>
  <c r="T40" i="3"/>
  <c r="U40" i="3"/>
  <c r="W40" i="3" s="1"/>
  <c r="V40" i="3"/>
  <c r="S28" i="3"/>
  <c r="T28" i="3"/>
  <c r="U28" i="3"/>
  <c r="W28" i="3" s="1"/>
  <c r="V28" i="3"/>
  <c r="S18" i="3"/>
  <c r="T18" i="3"/>
  <c r="U18" i="3"/>
  <c r="W18" i="3" s="1"/>
  <c r="V18" i="3"/>
  <c r="S48" i="3"/>
  <c r="T48" i="3"/>
  <c r="U48" i="3"/>
  <c r="V48" i="3"/>
  <c r="S49" i="3"/>
  <c r="T49" i="3"/>
  <c r="U49" i="3"/>
  <c r="V49" i="3"/>
  <c r="S41" i="3"/>
  <c r="T41" i="3"/>
  <c r="U41" i="3"/>
  <c r="V41" i="3"/>
  <c r="S29" i="3"/>
  <c r="T29" i="3"/>
  <c r="U29" i="3"/>
  <c r="V29" i="3"/>
  <c r="S27" i="3"/>
  <c r="T27" i="3"/>
  <c r="U27" i="3"/>
  <c r="V27" i="3"/>
  <c r="S7" i="3"/>
  <c r="T7" i="3"/>
  <c r="U7" i="3"/>
  <c r="W7" i="3" s="1"/>
  <c r="V7" i="3"/>
  <c r="S31" i="3"/>
  <c r="T31" i="3"/>
  <c r="U31" i="3"/>
  <c r="V31" i="3"/>
  <c r="T203" i="1" l="1"/>
  <c r="P27" i="3"/>
  <c r="P29" i="3"/>
  <c r="T162" i="1"/>
  <c r="T21" i="1"/>
  <c r="X22" i="1"/>
  <c r="X21" i="1"/>
  <c r="X105" i="1"/>
  <c r="T98" i="1"/>
  <c r="AA87" i="1"/>
  <c r="AA67" i="1"/>
  <c r="AA55" i="1"/>
  <c r="AA33" i="1"/>
  <c r="W33" i="1" s="1"/>
  <c r="AA21" i="1"/>
  <c r="AA207" i="1"/>
  <c r="AA152" i="1"/>
  <c r="AA135" i="1"/>
  <c r="AA131" i="1"/>
  <c r="X64" i="1"/>
  <c r="AA18" i="1"/>
  <c r="W18" i="1" s="1"/>
  <c r="X145" i="1"/>
  <c r="X143" i="1"/>
  <c r="X141" i="1"/>
  <c r="X18" i="1"/>
  <c r="AI18" i="1"/>
  <c r="W31" i="3"/>
  <c r="W22" i="3"/>
  <c r="W37" i="3"/>
  <c r="W24" i="3"/>
  <c r="W13" i="3"/>
  <c r="W12" i="3"/>
  <c r="W20" i="3"/>
  <c r="W29" i="3"/>
  <c r="W11" i="3"/>
  <c r="W41" i="3"/>
  <c r="W48" i="3"/>
  <c r="W44" i="3"/>
  <c r="W21" i="3"/>
  <c r="W25" i="3"/>
  <c r="W42" i="3"/>
  <c r="W33" i="3"/>
  <c r="W36" i="3"/>
  <c r="AA211" i="1"/>
  <c r="W211" i="1" s="1"/>
  <c r="AA182" i="1"/>
  <c r="AG170" i="1"/>
  <c r="AA166" i="1"/>
  <c r="X28" i="1"/>
  <c r="AA187" i="1"/>
  <c r="AG181" i="1"/>
  <c r="X136" i="1"/>
  <c r="AA98" i="1"/>
  <c r="W98" i="1" s="1"/>
  <c r="T86" i="1"/>
  <c r="AA65" i="1"/>
  <c r="W65" i="1" s="1"/>
  <c r="AA41" i="1"/>
  <c r="X16" i="1"/>
  <c r="X202" i="1"/>
  <c r="AA199" i="1"/>
  <c r="W199" i="1" s="1"/>
  <c r="AA194" i="1"/>
  <c r="AA185" i="1"/>
  <c r="AA180" i="1"/>
  <c r="AG155" i="1"/>
  <c r="AA138" i="1"/>
  <c r="X123" i="1"/>
  <c r="X118" i="1"/>
  <c r="T70" i="1"/>
  <c r="AA68" i="1"/>
  <c r="AA62" i="1"/>
  <c r="AI62" i="1" s="1"/>
  <c r="AA39" i="1"/>
  <c r="AA19" i="1"/>
  <c r="AA198" i="1"/>
  <c r="X151" i="1"/>
  <c r="AG140" i="1"/>
  <c r="AG122" i="1"/>
  <c r="X122" i="1"/>
  <c r="AG110" i="1"/>
  <c r="AA43" i="1"/>
  <c r="AI43" i="1" s="1"/>
  <c r="AG15" i="1"/>
  <c r="Q27" i="3"/>
  <c r="AA203" i="1"/>
  <c r="W203" i="1" s="1"/>
  <c r="AG198" i="1"/>
  <c r="X198" i="1"/>
  <c r="AA190" i="1"/>
  <c r="AA181" i="1"/>
  <c r="AA178" i="1"/>
  <c r="AA175" i="1"/>
  <c r="W175" i="1" s="1"/>
  <c r="AA164" i="1"/>
  <c r="AA156" i="1"/>
  <c r="AA155" i="1"/>
  <c r="X155" i="1"/>
  <c r="AG146" i="1"/>
  <c r="AG139" i="1"/>
  <c r="AG135" i="1"/>
  <c r="X132" i="1"/>
  <c r="AG121" i="1"/>
  <c r="AA103" i="1"/>
  <c r="AI103" i="1" s="1"/>
  <c r="T78" i="1"/>
  <c r="X49" i="1"/>
  <c r="AA49" i="1"/>
  <c r="AG37" i="1"/>
  <c r="X37" i="1"/>
  <c r="AG21" i="1"/>
  <c r="AI21" i="1" s="1"/>
  <c r="AG166" i="1"/>
  <c r="X166" i="1"/>
  <c r="AG158" i="1"/>
  <c r="X137" i="1"/>
  <c r="X131" i="1"/>
  <c r="AG118" i="1"/>
  <c r="X66" i="1"/>
  <c r="AG53" i="1"/>
  <c r="X53" i="1"/>
  <c r="AA167" i="1"/>
  <c r="W167" i="1" s="1"/>
  <c r="AA165" i="1"/>
  <c r="AA159" i="1"/>
  <c r="AA158" i="1"/>
  <c r="X158" i="1"/>
  <c r="AA137" i="1"/>
  <c r="AI137" i="1" s="1"/>
  <c r="T137" i="1"/>
  <c r="AA134" i="1"/>
  <c r="AA133" i="1"/>
  <c r="AI133" i="1" s="1"/>
  <c r="AA130" i="1"/>
  <c r="AA128" i="1"/>
  <c r="AI128" i="1" s="1"/>
  <c r="AG126" i="1"/>
  <c r="AA124" i="1"/>
  <c r="AA120" i="1"/>
  <c r="AA118" i="1"/>
  <c r="AG114" i="1"/>
  <c r="AA105" i="1"/>
  <c r="AA91" i="1"/>
  <c r="AA79" i="1"/>
  <c r="AG68" i="1"/>
  <c r="AG61" i="1"/>
  <c r="AA58" i="1"/>
  <c r="AA51" i="1"/>
  <c r="T32" i="1"/>
  <c r="AA25" i="1"/>
  <c r="AI25" i="1" s="1"/>
  <c r="AG20" i="1"/>
  <c r="T136" i="1"/>
  <c r="AA122" i="1"/>
  <c r="AA114" i="1"/>
  <c r="W114" i="1" s="1"/>
  <c r="AA112" i="1"/>
  <c r="AI112" i="1" s="1"/>
  <c r="AA108" i="1"/>
  <c r="AA99" i="1"/>
  <c r="AA96" i="1"/>
  <c r="AG93" i="1"/>
  <c r="X93" i="1"/>
  <c r="AA22" i="1"/>
  <c r="AG186" i="1"/>
  <c r="AI186" i="1" s="1"/>
  <c r="AG182" i="1"/>
  <c r="W182" i="1" s="1"/>
  <c r="X182" i="1"/>
  <c r="AG157" i="1"/>
  <c r="AG154" i="1"/>
  <c r="AI154" i="1" s="1"/>
  <c r="AG147" i="1"/>
  <c r="X147" i="1"/>
  <c r="AA72" i="1"/>
  <c r="AA71" i="1"/>
  <c r="AA66" i="1"/>
  <c r="AI66" i="1" s="1"/>
  <c r="X65" i="1"/>
  <c r="AA61" i="1"/>
  <c r="AA59" i="1"/>
  <c r="W59" i="1" s="1"/>
  <c r="AG57" i="1"/>
  <c r="AA46" i="1"/>
  <c r="AI46" i="1" s="1"/>
  <c r="AG41" i="1"/>
  <c r="AA210" i="1"/>
  <c r="X199" i="1"/>
  <c r="AG197" i="1"/>
  <c r="AA195" i="1"/>
  <c r="AG189" i="1"/>
  <c r="AA179" i="1"/>
  <c r="W179" i="1" s="1"/>
  <c r="AG177" i="1"/>
  <c r="X167" i="1"/>
  <c r="AG165" i="1"/>
  <c r="T157" i="1"/>
  <c r="T154" i="1"/>
  <c r="AA151" i="1"/>
  <c r="AA149" i="1"/>
  <c r="AA148" i="1"/>
  <c r="AA144" i="1"/>
  <c r="AA143" i="1"/>
  <c r="AG136" i="1"/>
  <c r="X133" i="1"/>
  <c r="AA126" i="1"/>
  <c r="W126" i="1" s="1"/>
  <c r="AA119" i="1"/>
  <c r="AI119" i="1" s="1"/>
  <c r="AA115" i="1"/>
  <c r="AI115" i="1" s="1"/>
  <c r="AA106" i="1"/>
  <c r="AA102" i="1"/>
  <c r="AA94" i="1"/>
  <c r="AA93" i="1"/>
  <c r="AA92" i="1"/>
  <c r="W92" i="1" s="1"/>
  <c r="AG90" i="1"/>
  <c r="AG82" i="1"/>
  <c r="AG74" i="1"/>
  <c r="X57" i="1"/>
  <c r="W52" i="1"/>
  <c r="AG36" i="1"/>
  <c r="W36" i="1" s="1"/>
  <c r="AA30" i="1"/>
  <c r="AA29" i="1"/>
  <c r="W29" i="1" s="1"/>
  <c r="AA201" i="1"/>
  <c r="X191" i="1"/>
  <c r="X183" i="1"/>
  <c r="X174" i="1"/>
  <c r="AA169" i="1"/>
  <c r="AA168" i="1"/>
  <c r="AA161" i="1"/>
  <c r="AA160" i="1"/>
  <c r="X206" i="1"/>
  <c r="AA205" i="1"/>
  <c r="AA204" i="1"/>
  <c r="AA147" i="1"/>
  <c r="AA84" i="1"/>
  <c r="AA83" i="1"/>
  <c r="AA76" i="1"/>
  <c r="AA75" i="1"/>
  <c r="AG56" i="1"/>
  <c r="AA54" i="1"/>
  <c r="W54" i="1" s="1"/>
  <c r="AA50" i="1"/>
  <c r="AI50" i="1" s="1"/>
  <c r="AA48" i="1"/>
  <c r="AA37" i="1"/>
  <c r="AA202" i="1"/>
  <c r="T202" i="1"/>
  <c r="AG193" i="1"/>
  <c r="AG190" i="1"/>
  <c r="X190" i="1"/>
  <c r="AG210" i="1"/>
  <c r="X203" i="1"/>
  <c r="AG202" i="1"/>
  <c r="AG201" i="1"/>
  <c r="X194" i="1"/>
  <c r="AG194" i="1"/>
  <c r="P48" i="3"/>
  <c r="X211" i="1"/>
  <c r="Q48" i="3"/>
  <c r="Q49" i="3"/>
  <c r="AG195" i="1"/>
  <c r="X195" i="1"/>
  <c r="AA184" i="1"/>
  <c r="T175" i="1"/>
  <c r="AA150" i="1"/>
  <c r="AA142" i="1"/>
  <c r="T132" i="1"/>
  <c r="AA127" i="1"/>
  <c r="T106" i="1"/>
  <c r="X106" i="1"/>
  <c r="AG106" i="1"/>
  <c r="W45" i="1"/>
  <c r="T187" i="1"/>
  <c r="X179" i="1"/>
  <c r="AG178" i="1"/>
  <c r="X178" i="1"/>
  <c r="AA174" i="1"/>
  <c r="AG173" i="1"/>
  <c r="T171" i="1"/>
  <c r="T206" i="1"/>
  <c r="T151" i="1"/>
  <c r="T143" i="1"/>
  <c r="AG132" i="1"/>
  <c r="X102" i="1"/>
  <c r="AG102" i="1"/>
  <c r="X103" i="1"/>
  <c r="AI45" i="1"/>
  <c r="T211" i="1"/>
  <c r="T199" i="1"/>
  <c r="AA196" i="1"/>
  <c r="T191" i="1"/>
  <c r="AA188" i="1"/>
  <c r="AA186" i="1"/>
  <c r="AG185" i="1"/>
  <c r="W185" i="1" s="1"/>
  <c r="T183" i="1"/>
  <c r="AA177" i="1"/>
  <c r="AA176" i="1"/>
  <c r="X175" i="1"/>
  <c r="AG174" i="1"/>
  <c r="AA170" i="1"/>
  <c r="W170" i="1" s="1"/>
  <c r="AG169" i="1"/>
  <c r="T167" i="1"/>
  <c r="AA162" i="1"/>
  <c r="W162" i="1" s="1"/>
  <c r="AG161" i="1"/>
  <c r="W161" i="1" s="1"/>
  <c r="AA157" i="1"/>
  <c r="AG206" i="1"/>
  <c r="AI206" i="1" s="1"/>
  <c r="AG205" i="1"/>
  <c r="AI155" i="1"/>
  <c r="AA154" i="1"/>
  <c r="AG151" i="1"/>
  <c r="AG150" i="1"/>
  <c r="AA146" i="1"/>
  <c r="W146" i="1" s="1"/>
  <c r="AG143" i="1"/>
  <c r="AG142" i="1"/>
  <c r="AA140" i="1"/>
  <c r="T133" i="1"/>
  <c r="X117" i="1"/>
  <c r="AA107" i="1"/>
  <c r="AI107" i="1" s="1"/>
  <c r="T101" i="1"/>
  <c r="X101" i="1"/>
  <c r="AG101" i="1"/>
  <c r="T94" i="1"/>
  <c r="X94" i="1"/>
  <c r="AG94" i="1"/>
  <c r="AG91" i="1"/>
  <c r="X91" i="1"/>
  <c r="T89" i="1"/>
  <c r="X90" i="1"/>
  <c r="AG89" i="1"/>
  <c r="W62" i="1"/>
  <c r="W43" i="1"/>
  <c r="AI17" i="1"/>
  <c r="AA200" i="1"/>
  <c r="AA193" i="1"/>
  <c r="AA192" i="1"/>
  <c r="X187" i="1"/>
  <c r="X186" i="1"/>
  <c r="T179" i="1"/>
  <c r="AA173" i="1"/>
  <c r="AA172" i="1"/>
  <c r="X171" i="1"/>
  <c r="X170" i="1"/>
  <c r="W166" i="1"/>
  <c r="X162" i="1"/>
  <c r="AA212" i="1"/>
  <c r="AA153" i="1"/>
  <c r="AA145" i="1"/>
  <c r="AA136" i="1"/>
  <c r="AA129" i="1"/>
  <c r="AG125" i="1"/>
  <c r="X125" i="1"/>
  <c r="AA123" i="1"/>
  <c r="AI123" i="1" s="1"/>
  <c r="T123" i="1"/>
  <c r="T118" i="1"/>
  <c r="T109" i="1"/>
  <c r="X110" i="1"/>
  <c r="X109" i="1"/>
  <c r="AG109" i="1"/>
  <c r="T102" i="1"/>
  <c r="AI99" i="1"/>
  <c r="W99" i="1"/>
  <c r="T54" i="1"/>
  <c r="T49" i="1"/>
  <c r="X33" i="1"/>
  <c r="X32" i="1"/>
  <c r="X29" i="1"/>
  <c r="AA27" i="1"/>
  <c r="W27" i="1" s="1"/>
  <c r="X25" i="1"/>
  <c r="X17" i="1"/>
  <c r="AA15" i="1"/>
  <c r="W15" i="1" s="1"/>
  <c r="AA116" i="1"/>
  <c r="W116" i="1" s="1"/>
  <c r="AA110" i="1"/>
  <c r="X107" i="1"/>
  <c r="AA104" i="1"/>
  <c r="AA95" i="1"/>
  <c r="AA90" i="1"/>
  <c r="W90" i="1" s="1"/>
  <c r="AA86" i="1"/>
  <c r="W86" i="1" s="1"/>
  <c r="AG85" i="1"/>
  <c r="AA82" i="1"/>
  <c r="AG81" i="1"/>
  <c r="AA78" i="1"/>
  <c r="W78" i="1" s="1"/>
  <c r="AG77" i="1"/>
  <c r="AA74" i="1"/>
  <c r="AG73" i="1"/>
  <c r="AA70" i="1"/>
  <c r="AI70" i="1" s="1"/>
  <c r="AG69" i="1"/>
  <c r="X69" i="1"/>
  <c r="T65" i="1"/>
  <c r="AA53" i="1"/>
  <c r="X50" i="1"/>
  <c r="AG49" i="1"/>
  <c r="AI49" i="1" s="1"/>
  <c r="T45" i="1"/>
  <c r="AA28" i="1"/>
  <c r="T28" i="1"/>
  <c r="AA24" i="1"/>
  <c r="W24" i="1" s="1"/>
  <c r="T24" i="1"/>
  <c r="AA16" i="1"/>
  <c r="T16" i="1"/>
  <c r="AA14" i="1"/>
  <c r="T119" i="1"/>
  <c r="AA117" i="1"/>
  <c r="AA111" i="1"/>
  <c r="X86" i="1"/>
  <c r="X82" i="1"/>
  <c r="X78" i="1"/>
  <c r="X74" i="1"/>
  <c r="X70" i="1"/>
  <c r="W68" i="1"/>
  <c r="X54" i="1"/>
  <c r="T33" i="1"/>
  <c r="T29" i="1"/>
  <c r="T25" i="1"/>
  <c r="T17" i="1"/>
  <c r="AA109" i="1"/>
  <c r="T107" i="1"/>
  <c r="AA101" i="1"/>
  <c r="AA100" i="1"/>
  <c r="W100" i="1" s="1"/>
  <c r="AA89" i="1"/>
  <c r="W89" i="1" s="1"/>
  <c r="AA85" i="1"/>
  <c r="AA81" i="1"/>
  <c r="AA77" i="1"/>
  <c r="AA73" i="1"/>
  <c r="T66" i="1"/>
  <c r="AA64" i="1"/>
  <c r="AA57" i="1"/>
  <c r="AI57" i="1" s="1"/>
  <c r="T50" i="1"/>
  <c r="X48" i="1"/>
  <c r="AA47" i="1"/>
  <c r="W47" i="1" s="1"/>
  <c r="X46" i="1"/>
  <c r="AA42" i="1"/>
  <c r="AG40" i="1"/>
  <c r="X40" i="1"/>
  <c r="T38" i="1"/>
  <c r="AG28" i="1"/>
  <c r="AA23" i="1"/>
  <c r="AA20" i="1"/>
  <c r="AG16" i="1"/>
  <c r="T209" i="1"/>
  <c r="X209" i="1"/>
  <c r="X210" i="1"/>
  <c r="AG209" i="1"/>
  <c r="T196" i="1"/>
  <c r="X196" i="1"/>
  <c r="AG196" i="1"/>
  <c r="AA189" i="1"/>
  <c r="W183" i="1"/>
  <c r="W134" i="1"/>
  <c r="T192" i="1"/>
  <c r="X192" i="1"/>
  <c r="AG192" i="1"/>
  <c r="AI134" i="1"/>
  <c r="AA209" i="1"/>
  <c r="T208" i="1"/>
  <c r="X208" i="1"/>
  <c r="AG208" i="1"/>
  <c r="AI208" i="1" s="1"/>
  <c r="AA197" i="1"/>
  <c r="T188" i="1"/>
  <c r="X188" i="1"/>
  <c r="AG188" i="1"/>
  <c r="T200" i="1"/>
  <c r="X200" i="1"/>
  <c r="AG200" i="1"/>
  <c r="AI200" i="1" s="1"/>
  <c r="W187" i="1"/>
  <c r="W171" i="1"/>
  <c r="X45" i="1"/>
  <c r="X44" i="1"/>
  <c r="AG44" i="1"/>
  <c r="T44" i="1"/>
  <c r="X193" i="1"/>
  <c r="AI187" i="1"/>
  <c r="X177" i="1"/>
  <c r="AG176" i="1"/>
  <c r="AI171" i="1"/>
  <c r="X161" i="1"/>
  <c r="AG160" i="1"/>
  <c r="X205" i="1"/>
  <c r="AG204" i="1"/>
  <c r="AI204" i="1" s="1"/>
  <c r="X154" i="1"/>
  <c r="AG153" i="1"/>
  <c r="X150" i="1"/>
  <c r="AG149" i="1"/>
  <c r="X146" i="1"/>
  <c r="AG145" i="1"/>
  <c r="AG141" i="1"/>
  <c r="T138" i="1"/>
  <c r="X138" i="1"/>
  <c r="T131" i="1"/>
  <c r="T130" i="1"/>
  <c r="X130" i="1"/>
  <c r="X114" i="1"/>
  <c r="X113" i="1"/>
  <c r="AG113" i="1"/>
  <c r="AG111" i="1"/>
  <c r="X111" i="1"/>
  <c r="T111" i="1"/>
  <c r="X98" i="1"/>
  <c r="X97" i="1"/>
  <c r="AG97" i="1"/>
  <c r="T134" i="1"/>
  <c r="X134" i="1"/>
  <c r="T129" i="1"/>
  <c r="X129" i="1"/>
  <c r="AG129" i="1"/>
  <c r="T120" i="1"/>
  <c r="X120" i="1"/>
  <c r="X121" i="1"/>
  <c r="AG120" i="1"/>
  <c r="W120" i="1" s="1"/>
  <c r="X201" i="1"/>
  <c r="X197" i="1"/>
  <c r="X189" i="1"/>
  <c r="AI191" i="1"/>
  <c r="X185" i="1"/>
  <c r="AG184" i="1"/>
  <c r="AI184" i="1" s="1"/>
  <c r="X181" i="1"/>
  <c r="AG180" i="1"/>
  <c r="AI183" i="1"/>
  <c r="AI179" i="1"/>
  <c r="X173" i="1"/>
  <c r="AG172" i="1"/>
  <c r="W172" i="1" s="1"/>
  <c r="X169" i="1"/>
  <c r="AG168" i="1"/>
  <c r="X165" i="1"/>
  <c r="AG164" i="1"/>
  <c r="X157" i="1"/>
  <c r="AG212" i="1"/>
  <c r="X184" i="1"/>
  <c r="X180" i="1"/>
  <c r="X176" i="1"/>
  <c r="X172" i="1"/>
  <c r="X168" i="1"/>
  <c r="X164" i="1"/>
  <c r="AG163" i="1"/>
  <c r="AI163" i="1" s="1"/>
  <c r="AI166" i="1"/>
  <c r="X160" i="1"/>
  <c r="AG159" i="1"/>
  <c r="X212" i="1"/>
  <c r="AG207" i="1"/>
  <c r="AI207" i="1" s="1"/>
  <c r="X204" i="1"/>
  <c r="AG156" i="1"/>
  <c r="X153" i="1"/>
  <c r="AG152" i="1"/>
  <c r="W152" i="1" s="1"/>
  <c r="X149" i="1"/>
  <c r="AG148" i="1"/>
  <c r="AG144" i="1"/>
  <c r="AA139" i="1"/>
  <c r="W139" i="1" s="1"/>
  <c r="AG138" i="1"/>
  <c r="W138" i="1" s="1"/>
  <c r="AG131" i="1"/>
  <c r="W131" i="1" s="1"/>
  <c r="AG130" i="1"/>
  <c r="AG127" i="1"/>
  <c r="X127" i="1"/>
  <c r="AI126" i="1"/>
  <c r="T104" i="1"/>
  <c r="X104" i="1"/>
  <c r="AG104" i="1"/>
  <c r="W70" i="1"/>
  <c r="X163" i="1"/>
  <c r="X159" i="1"/>
  <c r="X207" i="1"/>
  <c r="X156" i="1"/>
  <c r="X152" i="1"/>
  <c r="X148" i="1"/>
  <c r="AA141" i="1"/>
  <c r="AI140" i="1"/>
  <c r="X135" i="1"/>
  <c r="AI100" i="1"/>
  <c r="T97" i="1"/>
  <c r="AG95" i="1"/>
  <c r="X95" i="1"/>
  <c r="T95" i="1"/>
  <c r="T124" i="1"/>
  <c r="X124" i="1"/>
  <c r="T117" i="1"/>
  <c r="T108" i="1"/>
  <c r="X108" i="1"/>
  <c r="T92" i="1"/>
  <c r="X92" i="1"/>
  <c r="T88" i="1"/>
  <c r="X88" i="1"/>
  <c r="AG88" i="1"/>
  <c r="W88" i="1" s="1"/>
  <c r="X89" i="1"/>
  <c r="T84" i="1"/>
  <c r="X84" i="1"/>
  <c r="AG84" i="1"/>
  <c r="X85" i="1"/>
  <c r="T80" i="1"/>
  <c r="X80" i="1"/>
  <c r="AG80" i="1"/>
  <c r="X81" i="1"/>
  <c r="T76" i="1"/>
  <c r="X76" i="1"/>
  <c r="AG76" i="1"/>
  <c r="X77" i="1"/>
  <c r="T72" i="1"/>
  <c r="X72" i="1"/>
  <c r="AG72" i="1"/>
  <c r="X73" i="1"/>
  <c r="T128" i="1"/>
  <c r="X128" i="1"/>
  <c r="X126" i="1"/>
  <c r="AA125" i="1"/>
  <c r="W125" i="1" s="1"/>
  <c r="AG124" i="1"/>
  <c r="AG117" i="1"/>
  <c r="T115" i="1"/>
  <c r="T112" i="1"/>
  <c r="X112" i="1"/>
  <c r="AG108" i="1"/>
  <c r="W107" i="1"/>
  <c r="T105" i="1"/>
  <c r="T99" i="1"/>
  <c r="T96" i="1"/>
  <c r="X96" i="1"/>
  <c r="AA69" i="1"/>
  <c r="T116" i="1"/>
  <c r="X116" i="1"/>
  <c r="X115" i="1"/>
  <c r="AA113" i="1"/>
  <c r="AG105" i="1"/>
  <c r="T103" i="1"/>
  <c r="T100" i="1"/>
  <c r="X100" i="1"/>
  <c r="X99" i="1"/>
  <c r="AA97" i="1"/>
  <c r="AG96" i="1"/>
  <c r="T67" i="1"/>
  <c r="X67" i="1"/>
  <c r="X68" i="1"/>
  <c r="AG67" i="1"/>
  <c r="AA63" i="1"/>
  <c r="W63" i="1" s="1"/>
  <c r="X61" i="1"/>
  <c r="X60" i="1"/>
  <c r="AG60" i="1"/>
  <c r="AG58" i="1"/>
  <c r="X58" i="1"/>
  <c r="T58" i="1"/>
  <c r="W66" i="1"/>
  <c r="T64" i="1"/>
  <c r="T51" i="1"/>
  <c r="X51" i="1"/>
  <c r="AG51" i="1"/>
  <c r="T22" i="1"/>
  <c r="AG22" i="1"/>
  <c r="AG87" i="1"/>
  <c r="AG83" i="1"/>
  <c r="AG79" i="1"/>
  <c r="AG75" i="1"/>
  <c r="AG71" i="1"/>
  <c r="AG64" i="1"/>
  <c r="T62" i="1"/>
  <c r="T59" i="1"/>
  <c r="X59" i="1"/>
  <c r="AA56" i="1"/>
  <c r="T55" i="1"/>
  <c r="X55" i="1"/>
  <c r="AG55" i="1"/>
  <c r="T52" i="1"/>
  <c r="X52" i="1"/>
  <c r="T47" i="1"/>
  <c r="X47" i="1"/>
  <c r="AG42" i="1"/>
  <c r="X42" i="1"/>
  <c r="T42" i="1"/>
  <c r="X87" i="1"/>
  <c r="X83" i="1"/>
  <c r="X79" i="1"/>
  <c r="X75" i="1"/>
  <c r="X71" i="1"/>
  <c r="AI68" i="1"/>
  <c r="T63" i="1"/>
  <c r="X63" i="1"/>
  <c r="X62" i="1"/>
  <c r="AA60" i="1"/>
  <c r="T56" i="1"/>
  <c r="X56" i="1"/>
  <c r="AI53" i="1"/>
  <c r="AI52" i="1"/>
  <c r="AI47" i="1"/>
  <c r="AI38" i="1"/>
  <c r="W38" i="1"/>
  <c r="T35" i="1"/>
  <c r="X35" i="1"/>
  <c r="X36" i="1"/>
  <c r="AG35" i="1"/>
  <c r="T48" i="1"/>
  <c r="T39" i="1"/>
  <c r="X39" i="1"/>
  <c r="X38" i="1"/>
  <c r="T26" i="1"/>
  <c r="X26" i="1"/>
  <c r="AG26" i="1"/>
  <c r="W26" i="1" s="1"/>
  <c r="T23" i="1"/>
  <c r="T19" i="1"/>
  <c r="AG19" i="1"/>
  <c r="AG48" i="1"/>
  <c r="T46" i="1"/>
  <c r="T43" i="1"/>
  <c r="X43" i="1"/>
  <c r="X41" i="1"/>
  <c r="AA40" i="1"/>
  <c r="W40" i="1" s="1"/>
  <c r="AG39" i="1"/>
  <c r="AA32" i="1"/>
  <c r="W32" i="1" s="1"/>
  <c r="AA31" i="1"/>
  <c r="W31" i="1" s="1"/>
  <c r="T30" i="1"/>
  <c r="X30" i="1"/>
  <c r="AG30" i="1"/>
  <c r="T27" i="1"/>
  <c r="X27" i="1"/>
  <c r="X24" i="1"/>
  <c r="AG23" i="1"/>
  <c r="T14" i="1"/>
  <c r="AG14" i="1"/>
  <c r="AA44" i="1"/>
  <c r="W44" i="1" s="1"/>
  <c r="AA35" i="1"/>
  <c r="T34" i="1"/>
  <c r="X34" i="1"/>
  <c r="AG34" i="1"/>
  <c r="W34" i="1" s="1"/>
  <c r="T31" i="1"/>
  <c r="X31" i="1"/>
  <c r="X15" i="1"/>
  <c r="W27" i="3"/>
  <c r="W49" i="3"/>
  <c r="W39" i="3"/>
  <c r="W45" i="3"/>
  <c r="W38" i="3"/>
  <c r="W30" i="3"/>
  <c r="W43" i="3"/>
  <c r="W32" i="3"/>
  <c r="W47" i="3"/>
  <c r="W15" i="3"/>
  <c r="Q25" i="3"/>
  <c r="P25" i="3"/>
  <c r="B4" i="6"/>
  <c r="B5" i="6"/>
  <c r="B6" i="6"/>
  <c r="B7" i="6"/>
  <c r="B8" i="6"/>
  <c r="B9" i="6"/>
  <c r="B3" i="6"/>
  <c r="AI24" i="1" l="1"/>
  <c r="W110" i="1"/>
  <c r="W94" i="1"/>
  <c r="AI98" i="1"/>
  <c r="AI33" i="1"/>
  <c r="AI158" i="1"/>
  <c r="W135" i="1"/>
  <c r="AI27" i="1"/>
  <c r="W103" i="1"/>
  <c r="W119" i="1"/>
  <c r="AI211" i="1"/>
  <c r="W57" i="1"/>
  <c r="AI89" i="1"/>
  <c r="W122" i="1"/>
  <c r="W115" i="1"/>
  <c r="AI94" i="1"/>
  <c r="AI78" i="1"/>
  <c r="AI175" i="1"/>
  <c r="AI122" i="1"/>
  <c r="AI54" i="1"/>
  <c r="W196" i="1"/>
  <c r="AI74" i="1"/>
  <c r="AI85" i="1"/>
  <c r="W202" i="1"/>
  <c r="W39" i="1"/>
  <c r="AI135" i="1"/>
  <c r="W168" i="1"/>
  <c r="AI180" i="1"/>
  <c r="W77" i="1"/>
  <c r="AI109" i="1"/>
  <c r="W210" i="1"/>
  <c r="W147" i="1"/>
  <c r="W158" i="1"/>
  <c r="W22" i="1"/>
  <c r="W41" i="1"/>
  <c r="AI36" i="1"/>
  <c r="W50" i="1"/>
  <c r="W69" i="1"/>
  <c r="AI73" i="1"/>
  <c r="W82" i="1"/>
  <c r="AI178" i="1"/>
  <c r="AI167" i="1"/>
  <c r="AI16" i="1"/>
  <c r="W73" i="1"/>
  <c r="W74" i="1"/>
  <c r="AI82" i="1"/>
  <c r="W25" i="1"/>
  <c r="W136" i="1"/>
  <c r="W173" i="1"/>
  <c r="W112" i="1"/>
  <c r="W140" i="1"/>
  <c r="AI150" i="1"/>
  <c r="W205" i="1"/>
  <c r="AI142" i="1"/>
  <c r="W201" i="1"/>
  <c r="W195" i="1"/>
  <c r="W61" i="1"/>
  <c r="W181" i="1"/>
  <c r="W85" i="1"/>
  <c r="AI170" i="1"/>
  <c r="W37" i="1"/>
  <c r="W118" i="1"/>
  <c r="W198" i="1"/>
  <c r="W56" i="1"/>
  <c r="W105" i="1"/>
  <c r="W124" i="1"/>
  <c r="AI90" i="1"/>
  <c r="AI77" i="1"/>
  <c r="AI182" i="1"/>
  <c r="AI195" i="1"/>
  <c r="W129" i="1"/>
  <c r="W133" i="1"/>
  <c r="W189" i="1"/>
  <c r="W154" i="1"/>
  <c r="AI92" i="1"/>
  <c r="W128" i="1"/>
  <c r="AI93" i="1"/>
  <c r="AI20" i="1"/>
  <c r="W91" i="1"/>
  <c r="W109" i="1"/>
  <c r="AI199" i="1"/>
  <c r="W190" i="1"/>
  <c r="W14" i="1"/>
  <c r="AI110" i="1"/>
  <c r="AI116" i="1"/>
  <c r="AI188" i="1"/>
  <c r="AI29" i="1"/>
  <c r="W193" i="1"/>
  <c r="W121" i="1"/>
  <c r="AI41" i="1"/>
  <c r="AI118" i="1"/>
  <c r="AI37" i="1"/>
  <c r="AI203" i="1"/>
  <c r="AI106" i="1"/>
  <c r="AI28" i="1"/>
  <c r="W58" i="1"/>
  <c r="W93" i="1"/>
  <c r="AI162" i="1"/>
  <c r="AI174" i="1"/>
  <c r="W28" i="1"/>
  <c r="W46" i="1"/>
  <c r="AI121" i="1"/>
  <c r="W106" i="1"/>
  <c r="W104" i="1"/>
  <c r="W145" i="1"/>
  <c r="W209" i="1"/>
  <c r="AI196" i="1"/>
  <c r="AI81" i="1"/>
  <c r="W101" i="1"/>
  <c r="AI61" i="1"/>
  <c r="W53" i="1"/>
  <c r="AI59" i="1"/>
  <c r="W157" i="1"/>
  <c r="W169" i="1"/>
  <c r="W186" i="1"/>
  <c r="W155" i="1"/>
  <c r="AI65" i="1"/>
  <c r="W48" i="1"/>
  <c r="W60" i="1"/>
  <c r="W123" i="1"/>
  <c r="AI198" i="1"/>
  <c r="AI91" i="1"/>
  <c r="AI147" i="1"/>
  <c r="W177" i="1"/>
  <c r="W21" i="1"/>
  <c r="AI86" i="1"/>
  <c r="AI15" i="1"/>
  <c r="W81" i="1"/>
  <c r="AI101" i="1"/>
  <c r="AI136" i="1"/>
  <c r="AI146" i="1"/>
  <c r="AI190" i="1"/>
  <c r="W164" i="1"/>
  <c r="W197" i="1"/>
  <c r="W137" i="1"/>
  <c r="AI192" i="1"/>
  <c r="W20" i="1"/>
  <c r="AI114" i="1"/>
  <c r="W165" i="1"/>
  <c r="W72" i="1"/>
  <c r="AI212" i="1"/>
  <c r="W160" i="1"/>
  <c r="AI176" i="1"/>
  <c r="AI194" i="1"/>
  <c r="AI31" i="1"/>
  <c r="W188" i="1"/>
  <c r="W178" i="1"/>
  <c r="W194" i="1"/>
  <c r="W176" i="1"/>
  <c r="AI143" i="1"/>
  <c r="AI151" i="1"/>
  <c r="AI102" i="1"/>
  <c r="W174" i="1"/>
  <c r="W150" i="1"/>
  <c r="W35" i="1"/>
  <c r="AI32" i="1"/>
  <c r="W159" i="1"/>
  <c r="AI159" i="1"/>
  <c r="AI139" i="1"/>
  <c r="AI172" i="1"/>
  <c r="W192" i="1"/>
  <c r="W16" i="1"/>
  <c r="W143" i="1"/>
  <c r="AI132" i="1"/>
  <c r="W102" i="1"/>
  <c r="W142" i="1"/>
  <c r="W151" i="1"/>
  <c r="W132" i="1"/>
  <c r="W49" i="1"/>
  <c r="W206" i="1"/>
  <c r="AI22" i="1"/>
  <c r="AI95" i="1"/>
  <c r="W95" i="1"/>
  <c r="AI148" i="1"/>
  <c r="AI111" i="1"/>
  <c r="AI125" i="1"/>
  <c r="AI141" i="1"/>
  <c r="AI149" i="1"/>
  <c r="AI157" i="1"/>
  <c r="AI209" i="1"/>
  <c r="AI42" i="1"/>
  <c r="AI55" i="1"/>
  <c r="W55" i="1"/>
  <c r="AI64" i="1"/>
  <c r="AI96" i="1"/>
  <c r="W96" i="1"/>
  <c r="AI117" i="1"/>
  <c r="AI63" i="1"/>
  <c r="AI72" i="1"/>
  <c r="AI76" i="1"/>
  <c r="AI80" i="1"/>
  <c r="AI84" i="1"/>
  <c r="AI88" i="1"/>
  <c r="W141" i="1"/>
  <c r="W117" i="1"/>
  <c r="AI144" i="1"/>
  <c r="AI160" i="1"/>
  <c r="W76" i="1"/>
  <c r="AI97" i="1"/>
  <c r="AI113" i="1"/>
  <c r="AI205" i="1"/>
  <c r="W148" i="1"/>
  <c r="AI202" i="1"/>
  <c r="AI19" i="1"/>
  <c r="AI35" i="1"/>
  <c r="W19" i="1"/>
  <c r="AI83" i="1"/>
  <c r="W83" i="1"/>
  <c r="AI51" i="1"/>
  <c r="AI60" i="1"/>
  <c r="AI67" i="1"/>
  <c r="W97" i="1"/>
  <c r="W67" i="1"/>
  <c r="W51" i="1"/>
  <c r="AI104" i="1"/>
  <c r="AI127" i="1"/>
  <c r="AI156" i="1"/>
  <c r="AI173" i="1"/>
  <c r="AI177" i="1"/>
  <c r="AI189" i="1"/>
  <c r="AI56" i="1"/>
  <c r="W80" i="1"/>
  <c r="W127" i="1"/>
  <c r="AI145" i="1"/>
  <c r="AI153" i="1"/>
  <c r="AI165" i="1"/>
  <c r="AI181" i="1"/>
  <c r="AI44" i="1"/>
  <c r="W111" i="1"/>
  <c r="W153" i="1"/>
  <c r="W200" i="1"/>
  <c r="AI197" i="1"/>
  <c r="W149" i="1"/>
  <c r="AI201" i="1"/>
  <c r="AI39" i="1"/>
  <c r="AI75" i="1"/>
  <c r="W75" i="1"/>
  <c r="AI105" i="1"/>
  <c r="AI131" i="1"/>
  <c r="AI164" i="1"/>
  <c r="AI161" i="1"/>
  <c r="AI120" i="1"/>
  <c r="AI129" i="1"/>
  <c r="AI23" i="1"/>
  <c r="AI26" i="1"/>
  <c r="AI79" i="1"/>
  <c r="W79" i="1"/>
  <c r="W42" i="1"/>
  <c r="AI58" i="1"/>
  <c r="AI34" i="1"/>
  <c r="AI14" i="1"/>
  <c r="AI30" i="1"/>
  <c r="W30" i="1"/>
  <c r="AI48" i="1"/>
  <c r="W23" i="1"/>
  <c r="AI71" i="1"/>
  <c r="W71" i="1"/>
  <c r="AI87" i="1"/>
  <c r="AI40" i="1"/>
  <c r="W113" i="1"/>
  <c r="AI108" i="1"/>
  <c r="AI124" i="1"/>
  <c r="W64" i="1"/>
  <c r="AI69" i="1"/>
  <c r="W87" i="1"/>
  <c r="AI130" i="1"/>
  <c r="AI138" i="1"/>
  <c r="AI152" i="1"/>
  <c r="AI168" i="1"/>
  <c r="AI169" i="1"/>
  <c r="AI185" i="1"/>
  <c r="W108" i="1"/>
  <c r="W130" i="1"/>
  <c r="W84" i="1"/>
  <c r="W144" i="1"/>
  <c r="W207" i="1"/>
  <c r="W184" i="1"/>
  <c r="W212" i="1"/>
  <c r="AI193" i="1"/>
  <c r="W156" i="1"/>
  <c r="W163" i="1"/>
  <c r="W204" i="1"/>
  <c r="W180" i="1"/>
  <c r="AI210" i="1"/>
  <c r="W208" i="1"/>
  <c r="Q10" i="3"/>
  <c r="P10" i="3"/>
  <c r="Q15" i="3"/>
  <c r="P15" i="3"/>
  <c r="Q19" i="3"/>
  <c r="P19" i="3"/>
  <c r="Q11" i="3"/>
  <c r="P11" i="3"/>
  <c r="Q16" i="3"/>
  <c r="P16" i="3"/>
  <c r="Q12" i="3"/>
  <c r="P12" i="3"/>
  <c r="Q22" i="3"/>
  <c r="P22" i="3"/>
  <c r="Q13" i="3"/>
  <c r="P13" i="3"/>
  <c r="Q21" i="3"/>
  <c r="P21" i="3"/>
  <c r="Q46" i="3"/>
  <c r="P46" i="3"/>
  <c r="Q35" i="3"/>
  <c r="P35" i="3"/>
  <c r="Q36" i="3"/>
  <c r="P36" i="3"/>
  <c r="Q33" i="3"/>
  <c r="P33" i="3"/>
  <c r="Q42" i="3"/>
  <c r="P42" i="3"/>
  <c r="Q43" i="3"/>
  <c r="P43" i="3"/>
  <c r="Q38" i="3"/>
  <c r="P38" i="3"/>
  <c r="Q8" i="3"/>
  <c r="P8" i="3"/>
  <c r="Q26" i="3"/>
  <c r="P26" i="3"/>
  <c r="Q40" i="3"/>
  <c r="P40" i="3"/>
  <c r="Q9" i="3"/>
  <c r="P9" i="3"/>
  <c r="Q17" i="3"/>
  <c r="P17" i="3"/>
  <c r="Q18" i="3"/>
  <c r="P18" i="3"/>
  <c r="Q7" i="3"/>
  <c r="P7" i="3"/>
  <c r="Q45" i="3"/>
  <c r="P45" i="3"/>
  <c r="Q39" i="3"/>
  <c r="P39" i="3"/>
  <c r="Q28" i="3"/>
  <c r="P28" i="3"/>
  <c r="Q41" i="3"/>
  <c r="P41" i="3"/>
  <c r="S34" i="3"/>
  <c r="T34" i="3"/>
  <c r="U34" i="3"/>
  <c r="V34" i="3"/>
  <c r="P44" i="3" l="1"/>
  <c r="P30" i="3"/>
  <c r="P32" i="3"/>
  <c r="P37" i="3"/>
  <c r="P14" i="3"/>
  <c r="P23" i="3"/>
  <c r="Q30" i="3"/>
  <c r="Q44" i="3"/>
  <c r="Q32" i="3"/>
  <c r="Q37" i="3"/>
  <c r="Q24" i="3"/>
  <c r="Q20" i="3"/>
  <c r="Q14" i="3"/>
  <c r="Q23" i="3"/>
  <c r="P20" i="3"/>
  <c r="P24" i="3"/>
  <c r="W34" i="3"/>
  <c r="Q34" i="3"/>
  <c r="P34" i="3"/>
  <c r="F3" i="6"/>
  <c r="G3" i="6"/>
  <c r="H3" i="6"/>
  <c r="I3" i="6"/>
  <c r="F4" i="6"/>
  <c r="G4" i="6"/>
  <c r="H4" i="6"/>
  <c r="I4" i="6"/>
  <c r="F5" i="6"/>
  <c r="G5" i="6"/>
  <c r="H5" i="6"/>
  <c r="I5" i="6"/>
  <c r="F6" i="6"/>
  <c r="G6" i="6"/>
  <c r="H6" i="6"/>
  <c r="I6" i="6"/>
  <c r="F7" i="6"/>
  <c r="G7" i="6"/>
  <c r="H7" i="6"/>
  <c r="I7" i="6"/>
  <c r="F8" i="6"/>
  <c r="G8" i="6"/>
  <c r="H8" i="6"/>
  <c r="I8" i="6"/>
  <c r="F9" i="6"/>
  <c r="G9" i="6"/>
  <c r="H9" i="6"/>
  <c r="I9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8" i="1" s="1"/>
  <c r="AH15" i="1" l="1"/>
  <c r="AH16" i="1"/>
  <c r="AH17" i="1"/>
  <c r="AH19" i="1"/>
  <c r="AH52" i="1"/>
  <c r="AH61" i="1"/>
  <c r="AH62" i="1"/>
  <c r="AH92" i="1"/>
  <c r="AH93" i="1"/>
  <c r="AH94" i="1"/>
  <c r="AH99" i="1"/>
  <c r="AH112" i="1"/>
  <c r="AH113" i="1"/>
  <c r="AH119" i="1"/>
  <c r="AH120" i="1"/>
  <c r="AH123" i="1"/>
  <c r="AH124" i="1"/>
  <c r="AH125" i="1"/>
  <c r="AH146" i="1"/>
  <c r="AH147" i="1"/>
  <c r="AH148" i="1"/>
  <c r="AH149" i="1"/>
  <c r="AH150" i="1"/>
  <c r="AH151" i="1"/>
  <c r="AH167" i="1"/>
  <c r="AH168" i="1"/>
  <c r="AH169" i="1"/>
  <c r="AH170" i="1"/>
  <c r="AH175" i="1"/>
  <c r="AH184" i="1"/>
  <c r="AH21" i="1"/>
  <c r="AH22" i="1"/>
  <c r="AH23" i="1"/>
  <c r="AH24" i="1"/>
  <c r="AH25" i="1"/>
  <c r="AH26" i="1"/>
  <c r="AH37" i="1"/>
  <c r="AH38" i="1"/>
  <c r="AH39" i="1"/>
  <c r="AH40" i="1"/>
  <c r="AH41" i="1"/>
  <c r="AH63" i="1"/>
  <c r="AH64" i="1"/>
  <c r="AH70" i="1"/>
  <c r="AH71" i="1"/>
  <c r="AH72" i="1"/>
  <c r="AH73" i="1"/>
  <c r="AH74" i="1"/>
  <c r="AH75" i="1"/>
  <c r="AH76" i="1"/>
  <c r="AH77" i="1"/>
  <c r="AH86" i="1"/>
  <c r="AH87" i="1"/>
  <c r="AH88" i="1"/>
  <c r="AH89" i="1"/>
  <c r="AH90" i="1"/>
  <c r="AH95" i="1"/>
  <c r="AH96" i="1"/>
  <c r="AH97" i="1"/>
  <c r="AH100" i="1"/>
  <c r="AH101" i="1"/>
  <c r="AH102" i="1"/>
  <c r="AH103" i="1"/>
  <c r="AH104" i="1"/>
  <c r="AH105" i="1"/>
  <c r="AH106" i="1"/>
  <c r="AH114" i="1"/>
  <c r="AH115" i="1"/>
  <c r="AH121" i="1"/>
  <c r="AH126" i="1"/>
  <c r="AH127" i="1"/>
  <c r="AH128" i="1"/>
  <c r="AH137" i="1"/>
  <c r="AH138" i="1"/>
  <c r="AH140" i="1"/>
  <c r="AH27" i="1"/>
  <c r="AH28" i="1"/>
  <c r="AH29" i="1"/>
  <c r="AH30" i="1"/>
  <c r="AH31" i="1"/>
  <c r="AH42" i="1"/>
  <c r="AH43" i="1"/>
  <c r="AH44" i="1"/>
  <c r="AH45" i="1"/>
  <c r="AH46" i="1"/>
  <c r="AH53" i="1"/>
  <c r="AH54" i="1"/>
  <c r="AH55" i="1"/>
  <c r="AH56" i="1"/>
  <c r="AH57" i="1"/>
  <c r="AH58" i="1"/>
  <c r="AH66" i="1"/>
  <c r="AH67" i="1"/>
  <c r="AH107" i="1"/>
  <c r="AH108" i="1"/>
  <c r="AH109" i="1"/>
  <c r="AH116" i="1"/>
  <c r="AH117" i="1"/>
  <c r="AH129" i="1"/>
  <c r="AH130" i="1"/>
  <c r="AH131" i="1"/>
  <c r="AH132" i="1"/>
  <c r="AH133" i="1"/>
  <c r="AH134" i="1"/>
  <c r="AH141" i="1"/>
  <c r="AH142" i="1"/>
  <c r="AH143" i="1"/>
  <c r="AH144" i="1"/>
  <c r="AH145" i="1"/>
  <c r="AH152" i="1"/>
  <c r="AH153" i="1"/>
  <c r="AH154" i="1"/>
  <c r="AH163" i="1"/>
  <c r="AH164" i="1"/>
  <c r="AH165" i="1"/>
  <c r="AH166" i="1"/>
  <c r="AH171" i="1"/>
  <c r="AH172" i="1"/>
  <c r="AH173" i="1"/>
  <c r="AH174" i="1"/>
  <c r="AH179" i="1"/>
  <c r="AH186" i="1"/>
  <c r="AH187" i="1"/>
  <c r="AH200" i="1"/>
  <c r="AH212" i="1"/>
  <c r="AH14" i="1"/>
  <c r="AH20" i="1"/>
  <c r="AH32" i="1"/>
  <c r="AH33" i="1"/>
  <c r="AH34" i="1"/>
  <c r="AH35" i="1"/>
  <c r="AH36" i="1"/>
  <c r="AH47" i="1"/>
  <c r="AH48" i="1"/>
  <c r="AH49" i="1"/>
  <c r="AH50" i="1"/>
  <c r="AH51" i="1"/>
  <c r="AH59" i="1"/>
  <c r="AH60" i="1"/>
  <c r="AH65" i="1"/>
  <c r="AH68" i="1"/>
  <c r="AH69" i="1"/>
  <c r="AH78" i="1"/>
  <c r="AH79" i="1"/>
  <c r="AH80" i="1"/>
  <c r="AH81" i="1"/>
  <c r="AH82" i="1"/>
  <c r="AH83" i="1"/>
  <c r="AH84" i="1"/>
  <c r="AH85" i="1"/>
  <c r="AH91" i="1"/>
  <c r="AH98" i="1"/>
  <c r="AH110" i="1"/>
  <c r="AH111" i="1"/>
  <c r="AH118" i="1"/>
  <c r="AH122" i="1"/>
  <c r="AH135" i="1"/>
  <c r="AH136" i="1"/>
  <c r="AH139" i="1"/>
  <c r="AH185" i="1"/>
  <c r="AH188" i="1"/>
  <c r="AH189" i="1"/>
  <c r="AH190" i="1"/>
  <c r="AH191" i="1"/>
  <c r="AH192" i="1"/>
  <c r="AH193" i="1"/>
  <c r="AH194" i="1"/>
  <c r="AH195" i="1"/>
  <c r="AH183" i="1"/>
  <c r="AH155" i="1"/>
  <c r="AH156" i="1"/>
  <c r="AH157" i="1"/>
  <c r="AH158" i="1"/>
  <c r="AH159" i="1"/>
  <c r="AH203" i="1"/>
  <c r="AH204" i="1"/>
  <c r="AH205" i="1"/>
  <c r="AH206" i="1"/>
  <c r="AH207" i="1"/>
  <c r="AH209" i="1"/>
  <c r="AH210" i="1"/>
  <c r="AH211" i="1"/>
  <c r="AH199" i="1"/>
  <c r="AH160" i="1"/>
  <c r="AH162" i="1"/>
  <c r="AH180" i="1"/>
  <c r="AH182" i="1"/>
  <c r="AH201" i="1"/>
  <c r="AH208" i="1"/>
  <c r="AH176" i="1"/>
  <c r="AH177" i="1"/>
  <c r="AH178" i="1"/>
  <c r="AH196" i="1"/>
  <c r="AH197" i="1"/>
  <c r="AH198" i="1"/>
  <c r="AH161" i="1"/>
  <c r="AH181" i="1"/>
  <c r="AH202" i="1"/>
  <c r="AI13" i="1"/>
  <c r="AH13" i="1"/>
  <c r="W13" i="1"/>
  <c r="X6" i="1" l="1"/>
  <c r="W6" i="1"/>
  <c r="V6" i="1"/>
  <c r="S6" i="1"/>
  <c r="R2" i="1"/>
  <c r="I2" i="1"/>
  <c r="O6" i="1"/>
  <c r="N6" i="1"/>
  <c r="M6" i="1"/>
  <c r="J6" i="1"/>
  <c r="P3" i="5" l="1"/>
  <c r="U189" i="1" l="1"/>
  <c r="S189" i="1" s="1"/>
  <c r="U166" i="1"/>
  <c r="S166" i="1" s="1"/>
  <c r="U162" i="1"/>
  <c r="S162" i="1" s="1"/>
  <c r="U210" i="1"/>
  <c r="S210" i="1" s="1"/>
  <c r="U171" i="1"/>
  <c r="S171" i="1" s="1"/>
  <c r="U181" i="1"/>
  <c r="S181" i="1" s="1"/>
  <c r="U175" i="1"/>
  <c r="S175" i="1" s="1"/>
  <c r="U203" i="1"/>
  <c r="S203" i="1" s="1"/>
  <c r="U178" i="1"/>
  <c r="S178" i="1" s="1"/>
  <c r="U174" i="1"/>
  <c r="S174" i="1" s="1"/>
  <c r="U201" i="1"/>
  <c r="S201" i="1" s="1"/>
  <c r="U173" i="1"/>
  <c r="S173" i="1" s="1"/>
  <c r="U177" i="1"/>
  <c r="S177" i="1" s="1"/>
  <c r="U187" i="1"/>
  <c r="S187" i="1" s="1"/>
  <c r="U182" i="1"/>
  <c r="S182" i="1" s="1"/>
  <c r="U185" i="1"/>
  <c r="S185" i="1" s="1"/>
  <c r="U161" i="1"/>
  <c r="S161" i="1" s="1"/>
  <c r="U169" i="1"/>
  <c r="S169" i="1" s="1"/>
  <c r="U202" i="1"/>
  <c r="S202" i="1" s="1"/>
  <c r="U208" i="1"/>
  <c r="S208" i="1" s="1"/>
  <c r="U168" i="1"/>
  <c r="S168" i="1" s="1"/>
  <c r="U184" i="1"/>
  <c r="S184" i="1" s="1"/>
  <c r="U188" i="1"/>
  <c r="S188" i="1" s="1"/>
  <c r="U206" i="1"/>
  <c r="S206" i="1" s="1"/>
  <c r="U192" i="1"/>
  <c r="S192" i="1" s="1"/>
  <c r="U195" i="1"/>
  <c r="S195" i="1" s="1"/>
  <c r="U183" i="1"/>
  <c r="S183" i="1" s="1"/>
  <c r="U194" i="1"/>
  <c r="S194" i="1" s="1"/>
  <c r="U197" i="1"/>
  <c r="S197" i="1" s="1"/>
  <c r="U190" i="1"/>
  <c r="S190" i="1" s="1"/>
  <c r="U158" i="1"/>
  <c r="S158" i="1" s="1"/>
  <c r="U207" i="1"/>
  <c r="S207" i="1" s="1"/>
  <c r="U200" i="1"/>
  <c r="S200" i="1" s="1"/>
  <c r="U160" i="1"/>
  <c r="S160" i="1" s="1"/>
  <c r="U196" i="1"/>
  <c r="S196" i="1" s="1"/>
  <c r="U172" i="1"/>
  <c r="S172" i="1" s="1"/>
  <c r="U164" i="1"/>
  <c r="S164" i="1" s="1"/>
  <c r="U167" i="1"/>
  <c r="S167" i="1" s="1"/>
  <c r="U179" i="1"/>
  <c r="S179" i="1" s="1"/>
  <c r="U205" i="1"/>
  <c r="S205" i="1" s="1"/>
  <c r="U165" i="1"/>
  <c r="S165" i="1" s="1"/>
  <c r="U198" i="1"/>
  <c r="S198" i="1" s="1"/>
  <c r="U186" i="1"/>
  <c r="S186" i="1" s="1"/>
  <c r="U199" i="1"/>
  <c r="S199" i="1" s="1"/>
  <c r="U211" i="1"/>
  <c r="S211" i="1" s="1"/>
  <c r="U170" i="1"/>
  <c r="S170" i="1" s="1"/>
  <c r="U157" i="1"/>
  <c r="S157" i="1" s="1"/>
  <c r="U204" i="1"/>
  <c r="S204" i="1" s="1"/>
  <c r="U176" i="1"/>
  <c r="S176" i="1" s="1"/>
  <c r="U159" i="1"/>
  <c r="S159" i="1" s="1"/>
  <c r="U163" i="1"/>
  <c r="S163" i="1" s="1"/>
  <c r="U209" i="1"/>
  <c r="S209" i="1" s="1"/>
  <c r="U180" i="1"/>
  <c r="S180" i="1" s="1"/>
  <c r="U191" i="1"/>
  <c r="S191" i="1" s="1"/>
  <c r="U193" i="1"/>
  <c r="S193" i="1" s="1"/>
  <c r="U212" i="1"/>
  <c r="S212" i="1" s="1"/>
  <c r="M18" i="5"/>
  <c r="AF16" i="1" l="1"/>
  <c r="AF21" i="1"/>
  <c r="AF25" i="1"/>
  <c r="AF29" i="1"/>
  <c r="AF33" i="1"/>
  <c r="AF37" i="1"/>
  <c r="AF41" i="1"/>
  <c r="AF42" i="1"/>
  <c r="AF46" i="1"/>
  <c r="AF47" i="1"/>
  <c r="AF51" i="1"/>
  <c r="AF59" i="1"/>
  <c r="AF79" i="1"/>
  <c r="AF96" i="1"/>
  <c r="AF102" i="1"/>
  <c r="AF15" i="1"/>
  <c r="AF20" i="1"/>
  <c r="AF24" i="1"/>
  <c r="AF28" i="1"/>
  <c r="AF32" i="1"/>
  <c r="AF36" i="1"/>
  <c r="AF40" i="1"/>
  <c r="AF45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5" i="1"/>
  <c r="AF101" i="1"/>
  <c r="AF105" i="1"/>
  <c r="AF109" i="1"/>
  <c r="AF114" i="1"/>
  <c r="AF118" i="1"/>
  <c r="AF119" i="1"/>
  <c r="AF123" i="1"/>
  <c r="AF127" i="1"/>
  <c r="AF132" i="1"/>
  <c r="AF136" i="1"/>
  <c r="AF139" i="1"/>
  <c r="AF141" i="1"/>
  <c r="AF143" i="1"/>
  <c r="AF145" i="1"/>
  <c r="AF149" i="1"/>
  <c r="AF153" i="1"/>
  <c r="AF204" i="1"/>
  <c r="AF17" i="1"/>
  <c r="AF22" i="1"/>
  <c r="AF26" i="1"/>
  <c r="AF30" i="1"/>
  <c r="AF34" i="1"/>
  <c r="AF38" i="1"/>
  <c r="AF43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7" i="1"/>
  <c r="AF98" i="1"/>
  <c r="AF99" i="1"/>
  <c r="AF103" i="1"/>
  <c r="AF107" i="1"/>
  <c r="AF111" i="1"/>
  <c r="AF112" i="1"/>
  <c r="AF116" i="1"/>
  <c r="AF121" i="1"/>
  <c r="AF125" i="1"/>
  <c r="AF130" i="1"/>
  <c r="AF134" i="1"/>
  <c r="AF138" i="1"/>
  <c r="AF140" i="1"/>
  <c r="AF142" i="1"/>
  <c r="AF144" i="1"/>
  <c r="AF147" i="1"/>
  <c r="AF151" i="1"/>
  <c r="AF155" i="1"/>
  <c r="AF206" i="1"/>
  <c r="AF158" i="1"/>
  <c r="AF163" i="1"/>
  <c r="AF167" i="1"/>
  <c r="AF171" i="1"/>
  <c r="AF175" i="1"/>
  <c r="AF181" i="1"/>
  <c r="AF185" i="1"/>
  <c r="AF189" i="1"/>
  <c r="AF193" i="1"/>
  <c r="AF197" i="1"/>
  <c r="AF201" i="1"/>
  <c r="AF208" i="1"/>
  <c r="AF55" i="1"/>
  <c r="AF63" i="1"/>
  <c r="AF67" i="1"/>
  <c r="AF71" i="1"/>
  <c r="AF75" i="1"/>
  <c r="AF83" i="1"/>
  <c r="AF87" i="1"/>
  <c r="AF91" i="1"/>
  <c r="AF106" i="1"/>
  <c r="AF110" i="1"/>
  <c r="AF14" i="1"/>
  <c r="AF31" i="1"/>
  <c r="AF57" i="1"/>
  <c r="AF73" i="1"/>
  <c r="AF89" i="1"/>
  <c r="AF100" i="1"/>
  <c r="AF122" i="1"/>
  <c r="AF131" i="1"/>
  <c r="AF148" i="1"/>
  <c r="AF157" i="1"/>
  <c r="AF160" i="1"/>
  <c r="AF177" i="1"/>
  <c r="AF182" i="1"/>
  <c r="AF195" i="1"/>
  <c r="AF170" i="1"/>
  <c r="AF173" i="1"/>
  <c r="AF135" i="1"/>
  <c r="AF207" i="1"/>
  <c r="AF166" i="1"/>
  <c r="AF169" i="1"/>
  <c r="AF172" i="1"/>
  <c r="AF184" i="1"/>
  <c r="AF18" i="1"/>
  <c r="AF19" i="1"/>
  <c r="AF35" i="1"/>
  <c r="AF61" i="1"/>
  <c r="AF77" i="1"/>
  <c r="AF93" i="1"/>
  <c r="AF104" i="1"/>
  <c r="AF113" i="1"/>
  <c r="AF124" i="1"/>
  <c r="AF133" i="1"/>
  <c r="AF150" i="1"/>
  <c r="AF205" i="1"/>
  <c r="AF212" i="1"/>
  <c r="AF159" i="1"/>
  <c r="AF188" i="1"/>
  <c r="AF210" i="1"/>
  <c r="AF65" i="1"/>
  <c r="AF200" i="1"/>
  <c r="AF27" i="1"/>
  <c r="AF53" i="1"/>
  <c r="AF69" i="1"/>
  <c r="AF85" i="1"/>
  <c r="AF117" i="1"/>
  <c r="AF120" i="1"/>
  <c r="AF128" i="1"/>
  <c r="AF129" i="1"/>
  <c r="AF137" i="1"/>
  <c r="AF146" i="1"/>
  <c r="AF154" i="1"/>
  <c r="AF161" i="1"/>
  <c r="AF162" i="1"/>
  <c r="AF165" i="1"/>
  <c r="AF168" i="1"/>
  <c r="AF178" i="1"/>
  <c r="AF179" i="1"/>
  <c r="AF180" i="1"/>
  <c r="AF183" i="1"/>
  <c r="AF186" i="1"/>
  <c r="AF196" i="1"/>
  <c r="AF199" i="1"/>
  <c r="AF202" i="1"/>
  <c r="AF203" i="1"/>
  <c r="AF156" i="1"/>
  <c r="AF164" i="1"/>
  <c r="AF174" i="1"/>
  <c r="AF192" i="1"/>
  <c r="AF198" i="1"/>
  <c r="AF211" i="1"/>
  <c r="AF176" i="1"/>
  <c r="AF191" i="1"/>
  <c r="AF194" i="1"/>
  <c r="AF23" i="1"/>
  <c r="AF39" i="1"/>
  <c r="AF44" i="1"/>
  <c r="AF49" i="1"/>
  <c r="AF81" i="1"/>
  <c r="AF108" i="1"/>
  <c r="AF115" i="1"/>
  <c r="AF126" i="1"/>
  <c r="AF152" i="1"/>
  <c r="AF187" i="1"/>
  <c r="AF190" i="1"/>
  <c r="AF209" i="1"/>
  <c r="R9" i="3"/>
  <c r="R25" i="3"/>
  <c r="R32" i="3"/>
  <c r="R15" i="3"/>
  <c r="R36" i="3"/>
  <c r="R10" i="3"/>
  <c r="R47" i="3"/>
  <c r="R12" i="3"/>
  <c r="R48" i="3"/>
  <c r="R39" i="3"/>
  <c r="R26" i="3"/>
  <c r="R8" i="3"/>
  <c r="R14" i="3"/>
  <c r="R38" i="3"/>
  <c r="R22" i="3"/>
  <c r="R24" i="3"/>
  <c r="R19" i="3"/>
  <c r="R23" i="3"/>
  <c r="R7" i="3"/>
  <c r="R44" i="3"/>
  <c r="R20" i="3"/>
  <c r="R18" i="3"/>
  <c r="R17" i="3"/>
  <c r="R31" i="3"/>
  <c r="R42" i="3"/>
  <c r="R27" i="3"/>
  <c r="R21" i="3"/>
  <c r="R16" i="3"/>
  <c r="R41" i="3"/>
  <c r="R28" i="3"/>
  <c r="R46" i="3"/>
  <c r="R30" i="3"/>
  <c r="R37" i="3"/>
  <c r="R11" i="3"/>
  <c r="R33" i="3"/>
  <c r="R35" i="3"/>
  <c r="R29" i="3"/>
  <c r="R13" i="3"/>
  <c r="R49" i="3"/>
  <c r="R40" i="3"/>
  <c r="R45" i="3"/>
  <c r="R43" i="3"/>
  <c r="R34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5" i="1" l="1"/>
  <c r="S135" i="1" s="1"/>
  <c r="U78" i="1"/>
  <c r="S78" i="1" s="1"/>
  <c r="U133" i="1"/>
  <c r="S133" i="1" s="1"/>
  <c r="U114" i="1"/>
  <c r="S114" i="1" s="1"/>
  <c r="U122" i="1"/>
  <c r="S122" i="1" s="1"/>
  <c r="U20" i="1"/>
  <c r="S20" i="1" s="1"/>
  <c r="U18" i="1"/>
  <c r="S18" i="1" s="1"/>
  <c r="U68" i="1"/>
  <c r="S68" i="1" s="1"/>
  <c r="U140" i="1"/>
  <c r="S140" i="1" s="1"/>
  <c r="U57" i="1"/>
  <c r="S57" i="1" s="1"/>
  <c r="U32" i="1"/>
  <c r="S32" i="1" s="1"/>
  <c r="U126" i="1"/>
  <c r="S126" i="1" s="1"/>
  <c r="U38" i="1"/>
  <c r="S38" i="1" s="1"/>
  <c r="U89" i="1"/>
  <c r="S89" i="1" s="1"/>
  <c r="U98" i="1"/>
  <c r="S98" i="1" s="1"/>
  <c r="U27" i="1"/>
  <c r="S27" i="1" s="1"/>
  <c r="U103" i="1"/>
  <c r="S103" i="1" s="1"/>
  <c r="U52" i="1"/>
  <c r="S52" i="1" s="1"/>
  <c r="U50" i="1"/>
  <c r="S50" i="1" s="1"/>
  <c r="U24" i="1"/>
  <c r="S24" i="1" s="1"/>
  <c r="U81" i="1"/>
  <c r="S81" i="1" s="1"/>
  <c r="U147" i="1"/>
  <c r="S147" i="1" s="1"/>
  <c r="U86" i="1"/>
  <c r="S86" i="1" s="1"/>
  <c r="U85" i="1"/>
  <c r="S85" i="1" s="1"/>
  <c r="U99" i="1"/>
  <c r="S99" i="1" s="1"/>
  <c r="U59" i="1"/>
  <c r="S59" i="1" s="1"/>
  <c r="U125" i="1"/>
  <c r="S125" i="1" s="1"/>
  <c r="U21" i="1"/>
  <c r="S21" i="1" s="1"/>
  <c r="U151" i="1"/>
  <c r="S151" i="1" s="1"/>
  <c r="U132" i="1"/>
  <c r="S132" i="1" s="1"/>
  <c r="U22" i="1"/>
  <c r="S22" i="1" s="1"/>
  <c r="U55" i="1"/>
  <c r="S55" i="1" s="1"/>
  <c r="U64" i="1"/>
  <c r="S64" i="1" s="1"/>
  <c r="U72" i="1"/>
  <c r="S72" i="1" s="1"/>
  <c r="U80" i="1"/>
  <c r="S80" i="1" s="1"/>
  <c r="U88" i="1"/>
  <c r="S88" i="1" s="1"/>
  <c r="U41" i="1"/>
  <c r="S41" i="1" s="1"/>
  <c r="U29" i="1"/>
  <c r="S29" i="1" s="1"/>
  <c r="U123" i="1"/>
  <c r="S123" i="1" s="1"/>
  <c r="U136" i="1"/>
  <c r="S136" i="1" s="1"/>
  <c r="U109" i="1"/>
  <c r="S109" i="1" s="1"/>
  <c r="U82" i="1"/>
  <c r="S82" i="1" s="1"/>
  <c r="U91" i="1"/>
  <c r="S91" i="1" s="1"/>
  <c r="U155" i="1"/>
  <c r="S155" i="1" s="1"/>
  <c r="U143" i="1"/>
  <c r="S143" i="1" s="1"/>
  <c r="U95" i="1"/>
  <c r="S95" i="1" s="1"/>
  <c r="U141" i="1"/>
  <c r="S141" i="1" s="1"/>
  <c r="U76" i="1"/>
  <c r="S76" i="1" s="1"/>
  <c r="U84" i="1"/>
  <c r="S84" i="1" s="1"/>
  <c r="U39" i="1"/>
  <c r="S39" i="1" s="1"/>
  <c r="U131" i="1"/>
  <c r="S131" i="1" s="1"/>
  <c r="U87" i="1"/>
  <c r="S87" i="1" s="1"/>
  <c r="U61" i="1"/>
  <c r="S61" i="1" s="1"/>
  <c r="U46" i="1"/>
  <c r="S46" i="1" s="1"/>
  <c r="U47" i="1"/>
  <c r="S47" i="1" s="1"/>
  <c r="U31" i="1"/>
  <c r="S31" i="1" s="1"/>
  <c r="U116" i="1"/>
  <c r="S116" i="1" s="1"/>
  <c r="U107" i="1"/>
  <c r="S107" i="1" s="1"/>
  <c r="U45" i="1"/>
  <c r="S45" i="1" s="1"/>
  <c r="U74" i="1"/>
  <c r="S74" i="1" s="1"/>
  <c r="U128" i="1"/>
  <c r="S128" i="1" s="1"/>
  <c r="U112" i="1"/>
  <c r="S112" i="1" s="1"/>
  <c r="U17" i="1"/>
  <c r="S17" i="1" s="1"/>
  <c r="U54" i="1"/>
  <c r="S54" i="1" s="1"/>
  <c r="U62" i="1"/>
  <c r="S62" i="1" s="1"/>
  <c r="U40" i="1"/>
  <c r="S40" i="1" s="1"/>
  <c r="U137" i="1"/>
  <c r="S137" i="1" s="1"/>
  <c r="U70" i="1"/>
  <c r="S70" i="1" s="1"/>
  <c r="U28" i="1"/>
  <c r="S28" i="1" s="1"/>
  <c r="U154" i="1"/>
  <c r="S154" i="1" s="1"/>
  <c r="U36" i="1"/>
  <c r="S36" i="1" s="1"/>
  <c r="U101" i="1"/>
  <c r="S101" i="1" s="1"/>
  <c r="U94" i="1"/>
  <c r="S94" i="1" s="1"/>
  <c r="U93" i="1"/>
  <c r="S93" i="1" s="1"/>
  <c r="U49" i="1"/>
  <c r="S49" i="1" s="1"/>
  <c r="U148" i="1"/>
  <c r="S148" i="1" s="1"/>
  <c r="U149" i="1"/>
  <c r="S149" i="1" s="1"/>
  <c r="U96" i="1"/>
  <c r="S96" i="1" s="1"/>
  <c r="U117" i="1"/>
  <c r="S117" i="1" s="1"/>
  <c r="U97" i="1"/>
  <c r="S97" i="1" s="1"/>
  <c r="U19" i="1"/>
  <c r="S19" i="1" s="1"/>
  <c r="U83" i="1"/>
  <c r="S83" i="1" s="1"/>
  <c r="U51" i="1"/>
  <c r="S51" i="1" s="1"/>
  <c r="U67" i="1"/>
  <c r="S67" i="1" s="1"/>
  <c r="U156" i="1"/>
  <c r="S156" i="1" s="1"/>
  <c r="U145" i="1"/>
  <c r="S145" i="1" s="1"/>
  <c r="U44" i="1"/>
  <c r="S44" i="1" s="1"/>
  <c r="U129" i="1"/>
  <c r="S129" i="1" s="1"/>
  <c r="U26" i="1"/>
  <c r="S26" i="1" s="1"/>
  <c r="U34" i="1"/>
  <c r="S34" i="1" s="1"/>
  <c r="U30" i="1"/>
  <c r="S30" i="1" s="1"/>
  <c r="U48" i="1"/>
  <c r="S48" i="1" s="1"/>
  <c r="U37" i="1"/>
  <c r="S37" i="1" s="1"/>
  <c r="U100" i="1"/>
  <c r="S100" i="1" s="1"/>
  <c r="U106" i="1"/>
  <c r="S106" i="1" s="1"/>
  <c r="U102" i="1"/>
  <c r="S102" i="1" s="1"/>
  <c r="U108" i="1"/>
  <c r="S108" i="1" s="1"/>
  <c r="U33" i="1"/>
  <c r="S33" i="1" s="1"/>
  <c r="U110" i="1"/>
  <c r="S110" i="1" s="1"/>
  <c r="U63" i="1"/>
  <c r="S63" i="1" s="1"/>
  <c r="U43" i="1"/>
  <c r="S43" i="1" s="1"/>
  <c r="U119" i="1"/>
  <c r="S119" i="1" s="1"/>
  <c r="U73" i="1"/>
  <c r="S73" i="1" s="1"/>
  <c r="U77" i="1"/>
  <c r="S77" i="1" s="1"/>
  <c r="U90" i="1"/>
  <c r="S90" i="1" s="1"/>
  <c r="U146" i="1"/>
  <c r="S146" i="1" s="1"/>
  <c r="U139" i="1"/>
  <c r="S139" i="1" s="1"/>
  <c r="U25" i="1"/>
  <c r="S25" i="1" s="1"/>
  <c r="U15" i="1"/>
  <c r="S15" i="1" s="1"/>
  <c r="U118" i="1"/>
  <c r="S118" i="1" s="1"/>
  <c r="U16" i="1"/>
  <c r="S16" i="1" s="1"/>
  <c r="U111" i="1"/>
  <c r="S111" i="1" s="1"/>
  <c r="U144" i="1"/>
  <c r="S144" i="1" s="1"/>
  <c r="U113" i="1"/>
  <c r="S113" i="1" s="1"/>
  <c r="U35" i="1"/>
  <c r="S35" i="1" s="1"/>
  <c r="U60" i="1"/>
  <c r="S60" i="1" s="1"/>
  <c r="U127" i="1"/>
  <c r="S127" i="1" s="1"/>
  <c r="U153" i="1"/>
  <c r="S153" i="1" s="1"/>
  <c r="U79" i="1"/>
  <c r="S79" i="1" s="1"/>
  <c r="U58" i="1"/>
  <c r="S58" i="1" s="1"/>
  <c r="U71" i="1"/>
  <c r="S71" i="1" s="1"/>
  <c r="U75" i="1"/>
  <c r="S75" i="1" s="1"/>
  <c r="U105" i="1"/>
  <c r="S105" i="1" s="1"/>
  <c r="U120" i="1"/>
  <c r="S120" i="1" s="1"/>
  <c r="U23" i="1"/>
  <c r="S23" i="1" s="1"/>
  <c r="U14" i="1"/>
  <c r="S14" i="1" s="1"/>
  <c r="U124" i="1"/>
  <c r="S124" i="1" s="1"/>
  <c r="U138" i="1"/>
  <c r="S138" i="1" s="1"/>
  <c r="U152" i="1"/>
  <c r="S152" i="1" s="1"/>
  <c r="U92" i="1"/>
  <c r="S92" i="1" s="1"/>
  <c r="U134" i="1"/>
  <c r="S134" i="1" s="1"/>
  <c r="U65" i="1"/>
  <c r="S65" i="1" s="1"/>
  <c r="U150" i="1"/>
  <c r="S150" i="1" s="1"/>
  <c r="U142" i="1"/>
  <c r="S142" i="1" s="1"/>
  <c r="U69" i="1"/>
  <c r="S69" i="1" s="1"/>
  <c r="U121" i="1"/>
  <c r="S121" i="1" s="1"/>
  <c r="U115" i="1"/>
  <c r="S115" i="1" s="1"/>
  <c r="U66" i="1"/>
  <c r="S66" i="1" s="1"/>
  <c r="U53" i="1"/>
  <c r="S53" i="1" s="1"/>
  <c r="U56" i="1"/>
  <c r="S56" i="1" s="1"/>
  <c r="U42" i="1"/>
  <c r="S42" i="1" s="1"/>
  <c r="U104" i="1"/>
  <c r="S104" i="1" s="1"/>
  <c r="U130" i="1"/>
  <c r="S130" i="1" s="1"/>
  <c r="U13" i="1"/>
  <c r="S13" i="1" s="1"/>
  <c r="M2" i="3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<sst xmlns="http://schemas.openxmlformats.org/spreadsheetml/2006/main" count="2044" uniqueCount="720">
  <si>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</si>
  <si>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</si>
  <si>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</si>
  <si>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</si>
  <si>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</si>
  <si>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</si>
  <si>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</si>
  <si>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</si>
  <si>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</si>
  <si>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</si>
  <si>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</si>
  <si>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</si>
  <si>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</si>
  <si>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</si>
  <si>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</si>
  <si>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</si>
  <si>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</si>
  <si>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</si>
  <si>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</si>
  <si>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</si>
  <si>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</si>
  <si>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</si>
  <si>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</si>
  <si>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</si>
  <si>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</si>
  <si>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</si>
  <si>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</si>
  <si>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</si>
  <si>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</si>
  <si>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</si>
  <si>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</si>
  <si>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</si>
  <si>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</si>
  <si>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</si>
  <si>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</si>
  <si>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</si>
  <si>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</si>
  <si>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</si>
  <si>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</si>
  <si>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</si>
  <si>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</si>
  <si>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</si>
  <si>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</si>
  <si>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</si>
  <si>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</si>
  <si>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</si>
  <si>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</si>
  <si>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</si>
  <si>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</si>
  <si>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</si>
  <si>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</si>
  <si>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</si>
  <si>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</si>
  <si>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</si>
  <si>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</si>
  <si>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</si>
  <si>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</si>
  <si>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</si>
  <si>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</si>
  <si>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</si>
  <si>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</si>
  <si>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</si>
  <si>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</si>
  <si>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</si>
  <si>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</si>
  <si>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</si>
  <si>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</si>
  <si>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</si>
  <si>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</si>
  <si>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</si>
  <si>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</si>
  <si>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</si>
  <si>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</si>
  <si>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</si>
  <si>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</si>
  <si>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</si>
  <si>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</si>
  <si>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</si>
  <si>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</si>
  <si>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</si>
  <si>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</si>
  <si>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</si>
  <si>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</si>
  <si>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</si>
  <si>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</si>
  <si>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</si>
  <si>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</si>
  <si>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</si>
  <si>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</si>
  <si>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</si>
  <si>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</si>
  <si>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</si>
  <si>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</si>
  <si>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</si>
  <si>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</si>
  <si>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</si>
  <si>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</si>
  <si>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</si>
  <si>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</si>
  <si>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</si>
  <si>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</si>
  <si>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</si>
  <si>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</si>
  <si>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</si>
  <si>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</si>
  <si>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</si>
  <si>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</si>
  <si>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</si>
  <si>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</si>
  <si>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</si>
  <si>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</si>
  <si>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</si>
  <si>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</si>
  <si>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</si>
  <si>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</si>
  <si>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</si>
  <si>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</si>
  <si>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</si>
  <si>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</si>
  <si>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</si>
  <si>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</si>
  <si>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</si>
  <si>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</si>
  <si>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</si>
  <si>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</si>
  <si>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</si>
  <si>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</si>
  <si>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</si>
  <si>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</si>
  <si>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</si>
  <si>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</si>
  <si>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</si>
  <si>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</si>
  <si>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</si>
  <si>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</si>
  <si>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</si>
  <si>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</si>
  <si>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</si>
  <si>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</si>
  <si>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</si>
  <si>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</si>
  <si>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</si>
  <si>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</si>
  <si>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</si>
  <si>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</si>
  <si>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</si>
  <si>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</si>
  <si>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</si>
  <si>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</si>
  <si>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</si>
  <si>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</si>
  <si>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</si>
  <si>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</si>
  <si>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</si>
  <si>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</si>
  <si>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</si>
  <si>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</si>
  <si>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</si>
  <si>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</si>
  <si>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</si>
  <si>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</si>
  <si>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</si>
  <si>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</si>
  <si>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</si>
  <si>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</si>
  <si>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</si>
  <si>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</si>
  <si>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rtdc.l.rtdc.4008:itc</t>
  </si>
  <si>
    <t>YANAI</t>
  </si>
  <si>
    <t>313-12</t>
  </si>
  <si>
    <t>204:152</t>
  </si>
  <si>
    <t>rtdc.l.rtdc.4009:itc</t>
  </si>
  <si>
    <t>rtdc.l.rtdc.4010:itc</t>
  </si>
  <si>
    <t>204:141</t>
  </si>
  <si>
    <t>CHANDLER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</si>
  <si>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</si>
  <si>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</si>
  <si>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</si>
  <si>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</si>
  <si>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204:145</t>
  </si>
  <si>
    <t>204:447</t>
  </si>
  <si>
    <t>rtdc.l.rtdc.4041:itc</t>
  </si>
  <si>
    <t>rtdc.l.rtdc.4007:itc</t>
  </si>
  <si>
    <t>204:160</t>
  </si>
  <si>
    <t>204:233293</t>
  </si>
  <si>
    <t>rtdc.l.rtdc.4003:itc</t>
  </si>
  <si>
    <t>204:460</t>
  </si>
  <si>
    <t>204:232986</t>
  </si>
  <si>
    <t>204:435</t>
  </si>
  <si>
    <t>204:233327</t>
  </si>
  <si>
    <t>204:233312</t>
  </si>
  <si>
    <t>204:233000</t>
  </si>
  <si>
    <t>204:139</t>
  </si>
  <si>
    <t>HAITHCOX</t>
  </si>
  <si>
    <t>204:233002</t>
  </si>
  <si>
    <t>204:233320</t>
  </si>
  <si>
    <t>204:134</t>
  </si>
  <si>
    <t>204:464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</si>
  <si>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</si>
  <si>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</si>
  <si>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</si>
  <si>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</si>
  <si>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</si>
  <si>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</si>
  <si>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</si>
  <si>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</si>
  <si>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</si>
  <si>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</si>
  <si>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</si>
  <si>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</si>
  <si>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</si>
  <si>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</si>
  <si>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</si>
  <si>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</si>
  <si>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</si>
  <si>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</si>
  <si>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</si>
  <si>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</si>
  <si>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</si>
  <si>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</si>
  <si>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</si>
  <si>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</si>
  <si>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</si>
  <si>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</si>
  <si>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</si>
  <si>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</si>
  <si>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</si>
  <si>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</si>
  <si>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</si>
  <si>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</si>
  <si>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</si>
  <si>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</si>
  <si>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</si>
  <si>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</si>
  <si>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</si>
  <si>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rtdc.l.rtdc.4025:itc</t>
  </si>
  <si>
    <t>rtdc.l.rtdc.4026:itc</t>
  </si>
  <si>
    <t>STURGEON</t>
  </si>
  <si>
    <t>204:130</t>
  </si>
  <si>
    <t>204:232980</t>
  </si>
  <si>
    <t>204:232977</t>
  </si>
  <si>
    <t>From 08-24-2016 13:14:05.327 until 13:28:22.128, 61st 2S should have been clear (controls sent to it the entire time was CLEAR). However, it cycled back and forth between PROCEED CAB and STOP. Any ideas why?</t>
  </si>
  <si>
    <t>204:438</t>
  </si>
  <si>
    <t>204:233282</t>
  </si>
  <si>
    <t>204:233301</t>
  </si>
  <si>
    <t>rtdc.l.rtdc.4019:itc</t>
  </si>
  <si>
    <t>rtdc.l.rtdc.4020:itc</t>
  </si>
  <si>
    <t>SHOOK</t>
  </si>
  <si>
    <t>Output Refined Run Times to File?</t>
  </si>
  <si>
    <t>RefinedRTDCRunTimesOutputFile</t>
  </si>
  <si>
    <t>rtdc.l.rtdc.4040:itc</t>
  </si>
  <si>
    <t>DAVIS</t>
  </si>
  <si>
    <t>MALAVE</t>
  </si>
  <si>
    <t>rtdc.l.rtdc.4039:itc</t>
  </si>
  <si>
    <t>rtdc.l.rtdc.4028:itc</t>
  </si>
  <si>
    <t>STEWART</t>
  </si>
  <si>
    <t>240-26</t>
  </si>
  <si>
    <t>245-26</t>
  </si>
  <si>
    <t>242-26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</si>
  <si>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</si>
  <si>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</si>
  <si>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</si>
  <si>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</si>
  <si>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</si>
  <si>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</si>
  <si>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</si>
  <si>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</si>
  <si>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</si>
  <si>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204:233316</t>
  </si>
  <si>
    <t>204:233295</t>
  </si>
  <si>
    <t>204:232988</t>
  </si>
  <si>
    <t>204:482</t>
  </si>
  <si>
    <t>204:232985</t>
  </si>
  <si>
    <t>204:233299</t>
  </si>
  <si>
    <t>204:232974</t>
  </si>
  <si>
    <t>204:437</t>
  </si>
  <si>
    <t>204:233329</t>
  </si>
  <si>
    <t>204:232973</t>
  </si>
  <si>
    <t>204:466</t>
  </si>
  <si>
    <t>204:233297</t>
  </si>
  <si>
    <t>204:233311</t>
  </si>
  <si>
    <t>204:232983</t>
  </si>
  <si>
    <t>204:232979</t>
  </si>
  <si>
    <t>204:233034</t>
  </si>
  <si>
    <t>204:475</t>
  </si>
  <si>
    <t>204:233359</t>
  </si>
  <si>
    <t>300:58933</t>
  </si>
  <si>
    <t>204:233317</t>
  </si>
  <si>
    <t>204:1006</t>
  </si>
  <si>
    <t>204:233278</t>
  </si>
  <si>
    <t>204:232981</t>
  </si>
  <si>
    <t>242-27</t>
  </si>
  <si>
    <t>204:233285</t>
  </si>
  <si>
    <t>244-27</t>
  </si>
  <si>
    <t>245-27</t>
  </si>
  <si>
    <t>246-27</t>
  </si>
  <si>
    <t>311-27</t>
  </si>
  <si>
    <t>313-27</t>
  </si>
  <si>
    <t>63-27</t>
  </si>
  <si>
    <t>204:233288</t>
  </si>
  <si>
    <t>64-27</t>
  </si>
  <si>
    <t>204:232990</t>
  </si>
  <si>
    <t>ACKERMAN</t>
  </si>
  <si>
    <t>KILLION</t>
  </si>
  <si>
    <t>YORK</t>
  </si>
  <si>
    <t>BARTLETT</t>
  </si>
  <si>
    <t>DE LA ROSA</t>
  </si>
  <si>
    <t>GOLIGHTLY</t>
  </si>
  <si>
    <t>315-27</t>
  </si>
  <si>
    <t>STARKS</t>
  </si>
  <si>
    <t>CLARK</t>
  </si>
  <si>
    <t>YOUNG</t>
  </si>
  <si>
    <t>LEVERE</t>
  </si>
  <si>
    <t>COOLAHAN</t>
  </si>
  <si>
    <t>NEWELL</t>
  </si>
  <si>
    <t>242-28</t>
  </si>
  <si>
    <t>311-28</t>
  </si>
  <si>
    <t>244-28</t>
  </si>
  <si>
    <t>313-28</t>
  </si>
  <si>
    <t>315-28</t>
  </si>
  <si>
    <t>204:232961</t>
  </si>
  <si>
    <t>204:233289</t>
  </si>
  <si>
    <t>204:232976</t>
  </si>
  <si>
    <t>204:233266</t>
  </si>
  <si>
    <t>204:232955</t>
  </si>
  <si>
    <t>204:233036</t>
  </si>
  <si>
    <t>204:233264</t>
  </si>
  <si>
    <t>300:58611</t>
  </si>
  <si>
    <t>204:1025</t>
  </si>
  <si>
    <t>300:58615</t>
  </si>
  <si>
    <t>300:58931</t>
  </si>
  <si>
    <t>204:1020</t>
  </si>
  <si>
    <t>300:58935</t>
  </si>
  <si>
    <t>300:58617</t>
  </si>
  <si>
    <t>204:701</t>
  </si>
  <si>
    <t>300:58606</t>
  </si>
  <si>
    <t>300:58598</t>
  </si>
  <si>
    <t>204:671</t>
  </si>
  <si>
    <t>204:974</t>
  </si>
  <si>
    <t>204:677</t>
  </si>
  <si>
    <t>300:58916</t>
  </si>
  <si>
    <t>204:969</t>
  </si>
  <si>
    <t>204:675</t>
  </si>
  <si>
    <t>204:965</t>
  </si>
  <si>
    <t>300:58679</t>
  </si>
  <si>
    <t>204:685</t>
  </si>
  <si>
    <t>204:233006</t>
  </si>
  <si>
    <t>204:232998</t>
  </si>
  <si>
    <t>204:233308</t>
  </si>
  <si>
    <t>204:233004</t>
  </si>
  <si>
    <t>204:442</t>
  </si>
  <si>
    <t>204:233378</t>
  </si>
  <si>
    <t>204:233008</t>
  </si>
  <si>
    <t>204:431</t>
  </si>
  <si>
    <t>204:233344</t>
  </si>
  <si>
    <t>204:233013</t>
  </si>
  <si>
    <t>204:446</t>
  </si>
  <si>
    <t>Trip Number</t>
  </si>
  <si>
    <t>40th 4S STOP, cleared shortly</t>
  </si>
  <si>
    <t>Early arrival</t>
  </si>
  <si>
    <t>101-29</t>
  </si>
  <si>
    <t>103-29</t>
  </si>
  <si>
    <t>105-29</t>
  </si>
  <si>
    <t>BRANNON</t>
  </si>
  <si>
    <t>102-29</t>
  </si>
  <si>
    <t>107-29</t>
  </si>
  <si>
    <t>SPECTOR</t>
  </si>
  <si>
    <t>109-29</t>
  </si>
  <si>
    <t>104-29</t>
  </si>
  <si>
    <t>111-29</t>
  </si>
  <si>
    <t>113-29</t>
  </si>
  <si>
    <t>800-29</t>
  </si>
  <si>
    <t>108-29</t>
  </si>
  <si>
    <t>110-29</t>
  </si>
  <si>
    <t>115-29</t>
  </si>
  <si>
    <t>117-29</t>
  </si>
  <si>
    <t>801-29</t>
  </si>
  <si>
    <t>112-29</t>
  </si>
  <si>
    <t>114-29</t>
  </si>
  <si>
    <t>119-29</t>
  </si>
  <si>
    <t>802-29</t>
  </si>
  <si>
    <t>121-29</t>
  </si>
  <si>
    <t>rtdc.l.rtdc.4018:itc</t>
  </si>
  <si>
    <t>803-29</t>
  </si>
  <si>
    <t>SANTIZO</t>
  </si>
  <si>
    <t>123-29</t>
  </si>
  <si>
    <t>116-29</t>
  </si>
  <si>
    <t>118-29</t>
  </si>
  <si>
    <t>125-29</t>
  </si>
  <si>
    <t>rtdc.l.rtdc.4017:itc</t>
  </si>
  <si>
    <t>804-29</t>
  </si>
  <si>
    <t>805-29</t>
  </si>
  <si>
    <t>120-29</t>
  </si>
  <si>
    <t>127-29</t>
  </si>
  <si>
    <t>807-29</t>
  </si>
  <si>
    <t>122-29</t>
  </si>
  <si>
    <t>806-29</t>
  </si>
  <si>
    <t>124-29</t>
  </si>
  <si>
    <t>129-29</t>
  </si>
  <si>
    <t>131-29</t>
  </si>
  <si>
    <t>126-29</t>
  </si>
  <si>
    <t>808-29</t>
  </si>
  <si>
    <t>133-29</t>
  </si>
  <si>
    <t>809-29</t>
  </si>
  <si>
    <t>128-29</t>
  </si>
  <si>
    <t>135-29</t>
  </si>
  <si>
    <t>811-29</t>
  </si>
  <si>
    <t>137-29</t>
  </si>
  <si>
    <t>810-29</t>
  </si>
  <si>
    <t>130-29</t>
  </si>
  <si>
    <t>132-29</t>
  </si>
  <si>
    <t>139-29</t>
  </si>
  <si>
    <t>134-29</t>
  </si>
  <si>
    <t>812-29</t>
  </si>
  <si>
    <t>141-29</t>
  </si>
  <si>
    <t>136-29</t>
  </si>
  <si>
    <t>143-29</t>
  </si>
  <si>
    <t>813-29</t>
  </si>
  <si>
    <t>145-29</t>
  </si>
  <si>
    <t>138-29</t>
  </si>
  <si>
    <t>140-29</t>
  </si>
  <si>
    <t>147-29</t>
  </si>
  <si>
    <t>142-29</t>
  </si>
  <si>
    <t>814-29</t>
  </si>
  <si>
    <t>149-29</t>
  </si>
  <si>
    <t>151-29</t>
  </si>
  <si>
    <t>144-29</t>
  </si>
  <si>
    <t>815-29</t>
  </si>
  <si>
    <t>146-29</t>
  </si>
  <si>
    <t>153-29</t>
  </si>
  <si>
    <t>148-29</t>
  </si>
  <si>
    <t>155-29</t>
  </si>
  <si>
    <t>152-29</t>
  </si>
  <si>
    <t>816-29</t>
  </si>
  <si>
    <t>150-29</t>
  </si>
  <si>
    <t>157-29</t>
  </si>
  <si>
    <t>159-29</t>
  </si>
  <si>
    <t>817-29</t>
  </si>
  <si>
    <t>161-29</t>
  </si>
  <si>
    <t>154-29</t>
  </si>
  <si>
    <t>156-29</t>
  </si>
  <si>
    <t>163-29</t>
  </si>
  <si>
    <t>818-29</t>
  </si>
  <si>
    <t>158-29</t>
  </si>
  <si>
    <t>165-29</t>
  </si>
  <si>
    <t>160-29</t>
  </si>
  <si>
    <t>LOZA</t>
  </si>
  <si>
    <t>162-29</t>
  </si>
  <si>
    <t>819-29</t>
  </si>
  <si>
    <t>167-29</t>
  </si>
  <si>
    <t>169-29</t>
  </si>
  <si>
    <t>HELVIE</t>
  </si>
  <si>
    <t>164-29</t>
  </si>
  <si>
    <t>171-29</t>
  </si>
  <si>
    <t>166-29</t>
  </si>
  <si>
    <t>820-29</t>
  </si>
  <si>
    <t>173-29</t>
  </si>
  <si>
    <t>168-29</t>
  </si>
  <si>
    <t>175-29</t>
  </si>
  <si>
    <t>170-29</t>
  </si>
  <si>
    <t>821-29</t>
  </si>
  <si>
    <t>ROBINSON</t>
  </si>
  <si>
    <t>177-29</t>
  </si>
  <si>
    <t>172-29</t>
  </si>
  <si>
    <t>179-29</t>
  </si>
  <si>
    <t>174-29</t>
  </si>
  <si>
    <t>822-29</t>
  </si>
  <si>
    <t>176-29</t>
  </si>
  <si>
    <t>181-29</t>
  </si>
  <si>
    <t>183-29</t>
  </si>
  <si>
    <t>178-29</t>
  </si>
  <si>
    <t>185-29</t>
  </si>
  <si>
    <t>823-29</t>
  </si>
  <si>
    <t>180-29</t>
  </si>
  <si>
    <t>187-29</t>
  </si>
  <si>
    <t>182-29</t>
  </si>
  <si>
    <t>824-29</t>
  </si>
  <si>
    <t>189-29</t>
  </si>
  <si>
    <t>184-29</t>
  </si>
  <si>
    <t>191-29</t>
  </si>
  <si>
    <t>186-29</t>
  </si>
  <si>
    <t>825-29</t>
  </si>
  <si>
    <t>193-29</t>
  </si>
  <si>
    <t>904-29</t>
  </si>
  <si>
    <t>188-29</t>
  </si>
  <si>
    <t>190-29</t>
  </si>
  <si>
    <t>195-29</t>
  </si>
  <si>
    <t>826-29</t>
  </si>
  <si>
    <t>197-29</t>
  </si>
  <si>
    <t>827-29</t>
  </si>
  <si>
    <t>192-29</t>
  </si>
  <si>
    <t>199-29</t>
  </si>
  <si>
    <t>194-29</t>
  </si>
  <si>
    <t>828-29</t>
  </si>
  <si>
    <t>829-29</t>
  </si>
  <si>
    <t>201-29</t>
  </si>
  <si>
    <t>196-29</t>
  </si>
  <si>
    <t>203-29</t>
  </si>
  <si>
    <t>198-29</t>
  </si>
  <si>
    <t>830-29</t>
  </si>
  <si>
    <t>205-29</t>
  </si>
  <si>
    <t>200-29</t>
  </si>
  <si>
    <t>831-29</t>
  </si>
  <si>
    <t>207-29</t>
  </si>
  <si>
    <t>rtdc.l.rtdc.4005:itc</t>
  </si>
  <si>
    <t>50-29</t>
  </si>
  <si>
    <t>832-29</t>
  </si>
  <si>
    <t>202-29</t>
  </si>
  <si>
    <t>833-29</t>
  </si>
  <si>
    <t>204-29</t>
  </si>
  <si>
    <t>209-29</t>
  </si>
  <si>
    <t>211-29</t>
  </si>
  <si>
    <t>206-29</t>
  </si>
  <si>
    <t>834-29</t>
  </si>
  <si>
    <t>213-29</t>
  </si>
  <si>
    <t>835-29</t>
  </si>
  <si>
    <t>208-29</t>
  </si>
  <si>
    <t>215-29</t>
  </si>
  <si>
    <t>rtdc.l.rtdc.4011:itc</t>
  </si>
  <si>
    <t>OUN-29</t>
  </si>
  <si>
    <t>OUN</t>
  </si>
  <si>
    <t>210-29</t>
  </si>
  <si>
    <t>836-29</t>
  </si>
  <si>
    <t>837-29</t>
  </si>
  <si>
    <t>217-29</t>
  </si>
  <si>
    <t>212-29</t>
  </si>
  <si>
    <t>rtdc.l.rtdc.4006:itc</t>
  </si>
  <si>
    <t>67-29</t>
  </si>
  <si>
    <t>219-29</t>
  </si>
  <si>
    <t>214-29</t>
  </si>
  <si>
    <t>838-29</t>
  </si>
  <si>
    <t>839-29</t>
  </si>
  <si>
    <t>216-29</t>
  </si>
  <si>
    <t>221-29</t>
  </si>
  <si>
    <t>303-29</t>
  </si>
  <si>
    <t>906-29</t>
  </si>
  <si>
    <t>218-29</t>
  </si>
  <si>
    <t>220-29</t>
  </si>
  <si>
    <t>841-29</t>
  </si>
  <si>
    <t>223-29</t>
  </si>
  <si>
    <t>840-29</t>
  </si>
  <si>
    <t>307-29</t>
  </si>
  <si>
    <t>222-29</t>
  </si>
  <si>
    <t>225-29</t>
  </si>
  <si>
    <t>224-29</t>
  </si>
  <si>
    <t>843-29</t>
  </si>
  <si>
    <t>227-29</t>
  </si>
  <si>
    <t>842-29</t>
  </si>
  <si>
    <t>229-29</t>
  </si>
  <si>
    <t>226-29</t>
  </si>
  <si>
    <t>231-29</t>
  </si>
  <si>
    <t>228-29</t>
  </si>
  <si>
    <t>845-29</t>
  </si>
  <si>
    <t>844-29</t>
  </si>
  <si>
    <t>230-29</t>
  </si>
  <si>
    <t>233-29</t>
  </si>
  <si>
    <t>232-29</t>
  </si>
  <si>
    <t>847-29</t>
  </si>
  <si>
    <t>235-29</t>
  </si>
  <si>
    <t>908-29</t>
  </si>
  <si>
    <t>237-29</t>
  </si>
  <si>
    <t>234-29</t>
  </si>
  <si>
    <t>239-29</t>
  </si>
  <si>
    <t>236-29</t>
  </si>
  <si>
    <t>238-29</t>
  </si>
  <si>
    <t>241-29</t>
  </si>
  <si>
    <t>240-29</t>
  </si>
  <si>
    <t>243-29</t>
  </si>
  <si>
    <t>309-29</t>
  </si>
  <si>
    <t>242-29</t>
  </si>
  <si>
    <t>311-29</t>
  </si>
  <si>
    <t>244-29</t>
  </si>
  <si>
    <t>313-29</t>
  </si>
  <si>
    <t>315-29</t>
  </si>
  <si>
    <t>SWITCH UNKNOWN</t>
  </si>
  <si>
    <t>Track device (7)</t>
  </si>
  <si>
    <t>Y</t>
  </si>
  <si>
    <t>204:744</t>
  </si>
  <si>
    <t>204:232637</t>
  </si>
  <si>
    <t>204:726</t>
  </si>
  <si>
    <t>204:233380</t>
  </si>
  <si>
    <t>204:232723</t>
  </si>
  <si>
    <t>204:706</t>
  </si>
  <si>
    <t>204:19132</t>
  </si>
  <si>
    <t>204:233323</t>
  </si>
  <si>
    <t>204:735</t>
  </si>
  <si>
    <t>204:770</t>
  </si>
  <si>
    <t>204:233280</t>
  </si>
  <si>
    <t>204:169</t>
  </si>
  <si>
    <t>204:754</t>
  </si>
  <si>
    <t>204:233314</t>
  </si>
  <si>
    <t>204:233003</t>
  </si>
  <si>
    <t>204:136</t>
  </si>
  <si>
    <t>204:232966</t>
  </si>
  <si>
    <t>204:233287</t>
  </si>
  <si>
    <t>204:163</t>
  </si>
  <si>
    <t>204:497</t>
  </si>
  <si>
    <t>204:232975</t>
  </si>
  <si>
    <t>204:232965</t>
  </si>
  <si>
    <t>204:233303</t>
  </si>
  <si>
    <t>204:127858</t>
  </si>
  <si>
    <t>204:233304</t>
  </si>
  <si>
    <t>204:232996</t>
  </si>
  <si>
    <t>204:232993</t>
  </si>
  <si>
    <t>204:232978</t>
  </si>
  <si>
    <t>204:4164</t>
  </si>
  <si>
    <t>204:194</t>
  </si>
  <si>
    <t>204:236</t>
  </si>
  <si>
    <t>204:233364</t>
  </si>
  <si>
    <t>204:233038</t>
  </si>
  <si>
    <t>204:488</t>
  </si>
  <si>
    <t>204:233351</t>
  </si>
  <si>
    <t>204:489</t>
  </si>
  <si>
    <t>204:218</t>
  </si>
  <si>
    <t>204:528</t>
  </si>
  <si>
    <t>204:232964</t>
  </si>
  <si>
    <t>204:233042</t>
  </si>
  <si>
    <t>204:233298</t>
  </si>
  <si>
    <t>204:232987</t>
  </si>
  <si>
    <t>204:409</t>
  </si>
  <si>
    <t>204:524</t>
  </si>
  <si>
    <t>204:233338</t>
  </si>
  <si>
    <t>204:201</t>
  </si>
  <si>
    <t>204:121</t>
  </si>
  <si>
    <t>204:233064</t>
  </si>
  <si>
    <t>204:233276</t>
  </si>
  <si>
    <t>204:233321</t>
  </si>
  <si>
    <t>204:167</t>
  </si>
  <si>
    <t>204:493</t>
  </si>
  <si>
    <t>204:233307</t>
  </si>
  <si>
    <t>204:232982</t>
  </si>
  <si>
    <t>204:233336</t>
  </si>
  <si>
    <t>204:233001</t>
  </si>
  <si>
    <t>204:484</t>
  </si>
  <si>
    <t>204:132</t>
  </si>
  <si>
    <t>204:427</t>
  </si>
  <si>
    <t>204:1107</t>
  </si>
  <si>
    <t>204:233306</t>
  </si>
  <si>
    <t>204:127849</t>
  </si>
  <si>
    <t>204:232959</t>
  </si>
  <si>
    <t>204:232963</t>
  </si>
  <si>
    <t>204:135</t>
  </si>
  <si>
    <t>204:140</t>
  </si>
  <si>
    <t>204:491</t>
  </si>
  <si>
    <t>204:233005</t>
  </si>
  <si>
    <t>204:153</t>
  </si>
  <si>
    <t>300:23306</t>
  </si>
  <si>
    <t>300:24989</t>
  </si>
  <si>
    <t>300:25124</t>
  </si>
  <si>
    <t>300:22049</t>
  </si>
  <si>
    <t>300:22845</t>
  </si>
  <si>
    <t>300:23010</t>
  </si>
  <si>
    <t>300:22327</t>
  </si>
  <si>
    <t>204:995</t>
  </si>
  <si>
    <t>300:58922</t>
  </si>
  <si>
    <t>300:58604</t>
  </si>
  <si>
    <t>204:918</t>
  </si>
  <si>
    <t>300:58880</t>
  </si>
  <si>
    <t>300:58557</t>
  </si>
  <si>
    <t>204:724</t>
  </si>
  <si>
    <t>300:58926</t>
  </si>
  <si>
    <t>204:703</t>
  </si>
  <si>
    <t>204:1007</t>
  </si>
  <si>
    <t>300:58897</t>
  </si>
  <si>
    <t>300:58568</t>
  </si>
  <si>
    <t>204:719</t>
  </si>
  <si>
    <t>204:990</t>
  </si>
  <si>
    <t>204:214</t>
  </si>
  <si>
    <t>204:1011</t>
  </si>
  <si>
    <t>300:58875</t>
  </si>
  <si>
    <t>300:58564</t>
  </si>
  <si>
    <t>204:727</t>
  </si>
  <si>
    <t>300:58888</t>
  </si>
  <si>
    <t>204:710</t>
  </si>
  <si>
    <t>300:58912</t>
  </si>
  <si>
    <t>204:738</t>
  </si>
  <si>
    <t>300:58867</t>
  </si>
  <si>
    <t>300:58559</t>
  </si>
  <si>
    <t>204:992</t>
  </si>
  <si>
    <t>300:58896</t>
  </si>
  <si>
    <t>300:58574</t>
  </si>
  <si>
    <t>204:740</t>
  </si>
  <si>
    <t>204:692</t>
  </si>
  <si>
    <t>204:993</t>
  </si>
  <si>
    <t>204:1105</t>
  </si>
  <si>
    <t>300:58963</t>
  </si>
  <si>
    <t>300:58656</t>
  </si>
  <si>
    <t>204:654</t>
  </si>
  <si>
    <t>204:978</t>
  </si>
  <si>
    <t>204:944</t>
  </si>
  <si>
    <t>300:58082</t>
  </si>
  <si>
    <t>300:58681</t>
  </si>
  <si>
    <t>204:979</t>
  </si>
  <si>
    <t>300:58924</t>
  </si>
  <si>
    <t>204:705</t>
  </si>
  <si>
    <t>204:981</t>
  </si>
  <si>
    <t>300:58982</t>
  </si>
  <si>
    <t>204:650</t>
  </si>
  <si>
    <t>300:58920</t>
  </si>
  <si>
    <t>300:58602</t>
  </si>
  <si>
    <t>204:958</t>
  </si>
  <si>
    <t>300:58990</t>
  </si>
  <si>
    <t>204:678</t>
  </si>
  <si>
    <t>204:689</t>
  </si>
  <si>
    <t>204:682</t>
  </si>
  <si>
    <t>300:58980</t>
  </si>
  <si>
    <t>300:22813</t>
  </si>
  <si>
    <t>204:818</t>
  </si>
  <si>
    <t>300:58670</t>
  </si>
  <si>
    <t>300:21630</t>
  </si>
  <si>
    <t>300:58664</t>
  </si>
  <si>
    <t>300:21583</t>
  </si>
  <si>
    <t>204:1505</t>
  </si>
  <si>
    <t>204:2030</t>
  </si>
  <si>
    <t>106-29</t>
  </si>
  <si>
    <t>Did not init</t>
  </si>
  <si>
    <t>Onboard in-route failure</t>
  </si>
  <si>
    <t>Wi-MAX outage</t>
  </si>
  <si>
    <t>Overspeed</t>
  </si>
  <si>
    <t>DUS MAIN 2 switches were aligned for NW, cut out and re-init at 38th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</si>
</sst>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9"/>
  <sheetViews>
    <sheetView tabSelected="1" workbookViewId="0">
      <selection activeCell="R19" sqref="R19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42611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42611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COUNTIFS($N$13:$N$9394,"&gt;0",$AG$13:$AG$9394,I1)</f>
        <v>140</v>
      </c>
      <c r="K5" s="46"/>
      <c r="L5" s="46"/>
      <c r="M5" s="47">
        <f>AVERAGEIFS($N$13:$N$9394,$AG$13:$AG$9394,I1)</f>
        <v>38.969523809783695</v>
      </c>
      <c r="N5" s="45">
        <f t="array" ref="N5">MIN(IF($AG$13:$AG$9394=I1,IF(ISNUMBER($N$13:$N$9394),IF($N$13:$N$9394&gt;0,$N$13:$N$9394))))</f>
        <v>34.300000002840534</v>
      </c>
      <c r="O5" s="3">
        <f t="array" ref="O5">MAX(IF($AG$13:$AG$9394=I1,IF(ISNUMBER($N$13:$N$9394),IF($N$13:$N$9394&gt;0,$N$13:$N$9394))))</f>
        <v>47.733333333162591</v>
      </c>
      <c r="P5" s="2"/>
      <c r="R5" s="87" t="s">
        <v>17</v>
      </c>
      <c r="S5" s="57">
        <f>COUNTIFS($N$13:$N$9394,"&gt;0",$AG$13:$AG$9394,R1)</f>
        <v>47</v>
      </c>
      <c r="T5" s="46"/>
      <c r="U5" s="124"/>
      <c r="V5" s="47">
        <f>AVERAGEIFS($N$13:$N$9394,$AG$13:$AG$9394,R1)</f>
        <v>15.689716311072575</v>
      </c>
      <c r="W5" s="45">
        <f t="array" ref="W5">MIN(IF($AG$13:$AG$9394=R1,IF(ISNUMBER($N$13:$N$9394),IF($N$13:$N$9394&gt;0,$N$13:$N$9394))))</f>
        <v>12.716666674241424</v>
      </c>
      <c r="X5" s="116">
        <f t="array" ref="X5">MAX(IF($AG$13:$AG$9394=R1,IF(ISNUMBER($N$13:$N$9394),IF($N$13:$N$9394&gt;0,$N$13:$N$9394))))</f>
        <v>20.149999995483086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COUNT($O$13:$O$153)</f>
        <v>0</v>
      </c>
      <c r="K6" s="46"/>
      <c r="L6" s="46"/>
      <c r="M6" s="47">
        <f>IFERROR(AVERAGE($O$13:$O$153),0)</f>
        <v>0</v>
      </c>
      <c r="N6" s="45">
        <f>MIN($O$13:$O$153)</f>
        <v>0</v>
      </c>
      <c r="O6" s="3">
        <f>MAX($O$13:$O$153)</f>
        <v>0</v>
      </c>
      <c r="P6" s="2"/>
      <c r="R6" s="88" t="s">
        <v>43</v>
      </c>
      <c r="S6" s="57">
        <f>COUNT($O$13:$O$153)</f>
        <v>0</v>
      </c>
      <c r="T6" s="46"/>
      <c r="U6" s="124"/>
      <c r="V6" s="47">
        <f>IFERROR(AVERAGE($O$13:$O$153),0)</f>
        <v>0</v>
      </c>
      <c r="W6" s="45">
        <f>MIN($O$13:$O$153)</f>
        <v>0</v>
      </c>
      <c r="X6" s="116">
        <f>MAX($O$13:$O$153)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COUNTIFS($P$13:$P$9394,"&gt;0",$AG$13:$AG$9394,I1)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COUNTIFS($P$13:$P$9394,"&gt;0",$AG$13:$AG$9394,R1)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140</v>
      </c>
      <c r="K8" s="46"/>
      <c r="L8" s="46"/>
      <c r="M8" s="47">
        <f>M5</f>
        <v>38.969523809783695</v>
      </c>
      <c r="N8" s="45">
        <f>N5</f>
        <v>34.300000002840534</v>
      </c>
      <c r="O8" s="3">
        <f>O5</f>
        <v>47.733333333162591</v>
      </c>
      <c r="P8" s="2"/>
      <c r="R8" s="87" t="s">
        <v>16</v>
      </c>
      <c r="S8" s="57">
        <f>S5</f>
        <v>47</v>
      </c>
      <c r="T8" s="46"/>
      <c r="U8" s="124"/>
      <c r="V8" s="47">
        <f>V5</f>
        <v>15.689716311072575</v>
      </c>
      <c r="W8" s="45">
        <f>W5</f>
        <v>12.716666674241424</v>
      </c>
      <c r="X8" s="116">
        <f>X5</f>
        <v>20.149999995483086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0.97222222222222221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- 2016-08-29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AVERAGE(S13:S99)</f>
        <v>0.9885057471264368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232</v>
      </c>
      <c r="AJ12" s="53" t="s">
        <v>233</v>
      </c>
      <c r="AK12" s="53" t="s">
        <v>205</v>
      </c>
      <c r="AL12" s="53" t="s">
        <v>234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360</v>
      </c>
      <c r="B13" s="7">
        <v>4031</v>
      </c>
      <c r="C13" s="24" t="s">
        <v>113</v>
      </c>
      <c r="D13" s="24" t="s">
        <v>577</v>
      </c>
      <c r="E13" s="15">
        <v>42611.13181712963</v>
      </c>
      <c r="F13" s="15">
        <v>42611.135636574072</v>
      </c>
      <c r="G13" s="7">
        <v>1</v>
      </c>
      <c r="H13" s="15" t="s">
        <v>243</v>
      </c>
      <c r="I13" s="15">
        <v>42611.16134259259</v>
      </c>
      <c r="J13" s="7">
        <v>0</v>
      </c>
      <c r="K13" s="132" t="str">
        <f t="shared" ref="K13:K44" si="0">IF(ISEVEN(B13),(B13-1)&amp;"/"&amp;B13,B13&amp;"/"&amp;(B13+1))</f>
        <v>4031/4032</v>
      </c>
      <c r="L13" s="24" t="str">
        <f>VLOOKUP(A13,'Trips&amp;Operators'!$C$1:$E$10000,3,FALSE)</f>
        <v>KILLION</v>
      </c>
      <c r="M13" s="6">
        <f t="shared" ref="M13:M44" si="1">I13-F13</f>
        <v>2.5706018517666962E-2</v>
      </c>
      <c r="N13" s="7">
        <f>24*60*SUM($M13:$M13)</f>
        <v>37.016666665440425</v>
      </c>
      <c r="O13" s="7"/>
      <c r="P13" s="7"/>
      <c r="Q13" s="25"/>
      <c r="R13" s="25"/>
      <c r="S13" s="37">
        <f t="shared" ref="S13:S44" si="2">SUM(U13:U13)/IF(AG13="EC",12,1)</f>
        <v>1</v>
      </c>
      <c r="T13" s="52" t="str">
        <f t="shared" ref="T13:T44" si="3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https://search-rtdc-monitor-bjffxe2xuh6vdkpspy63sjmuny.us-east-1.es.amazonaws.com/_plugin/kibana/#/discover/Steve-Slow-Train-Analysis-(2080s-and-2083s)?_g=(refreshInterval:(display:Off,section:0,value:0),time:(from:'2016-08-29 02:09:49-0600',mode:absolute,to:'2016-08-29 04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44" si="5">IF(AA13&lt;IF(AG13="EC",23,5.65),"Y","N")</f>
        <v>N</v>
      </c>
      <c r="X13" s="120" t="e">
        <f t="shared" ref="X13:X18" si="6">VALUE(LEFT(AD13,4))-VALUE(LEFT(AD12,4))</f>
        <v>#VALUE!</v>
      </c>
      <c r="Y13" s="69">
        <f t="shared" ref="Y13:Y44" si="7">RIGHT(D13,LEN(D13)-4)/10000</f>
        <v>7.4399999999999994E-2</v>
      </c>
      <c r="Z13" s="69">
        <f t="shared" ref="Z13:Z44" si="8">RIGHT(H13,LEN(H13)-4)/10000</f>
        <v>23.328199999999999</v>
      </c>
      <c r="AA13" s="69">
        <f t="shared" ref="AA13:AA44" si="9">ABS(Z13-Y13)</f>
        <v>23.253799999999998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44" si="10">IF(LEN(A13)=6,"0"&amp;A13,A13)</f>
        <v>0101-29</v>
      </c>
      <c r="AE13" s="99" t="str">
        <f t="shared" ref="AE13:AE44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13" s="96" t="str">
        <f t="shared" ref="AF13:AF44" si="12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/stypes="*4031*20160829*" /stext=" 09:.+((SYSTEM_STATE.+slice.+state.+changed )|(ment ac)|(system.+state.+changed )|(\|lc)|(penalty)|(\[timeout)|(PRM\|1\|D)|(kpr)|(kdp))" /e /r /s</v>
      </c>
      <c r="AG13" s="1" t="str">
        <f t="shared" ref="AG13:AG44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4031 --swversion DE.1.0.7.0 --startMP 204:744 --initTime 2016-08-29T03:09:49 --startdatetime 2016-08-29T03:15:19 --delay 1 --endMP 204:233282 --enddatetime 2016-08-29T03:52:20 --enforcementcount 0 &gt;&gt;C:\Users\stu\Documents\GitHub\eaglep3-reporting\EC\2016-08-29-refined-times.txt</v>
      </c>
      <c r="AI13" s="14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{"issue":{"subject":"","project_id":79,"tracker_id":40,"status_id":1,"priority_id":2,"assigned_to_id":23,"start_date":"2016-08-29","description":"","custom_fields":[{"id":1,"name":"Subdivision","value":"EC"},{"id":4,"name":"Milepost","value":"23.2538"},{"id":17,"name":"Train ID","value":"101-29"},{"id":16,"name":"Locomotive ID","value":"4031"},{"id":130,"name":"Impact","value":""},{"id":150,"name":"Time of Event (Mountain Time)","value":"03:52:20"},{"id":151,"name":"Denver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364</v>
      </c>
      <c r="B14" s="7">
        <v>4028</v>
      </c>
      <c r="C14" s="24" t="s">
        <v>113</v>
      </c>
      <c r="D14" s="24" t="s">
        <v>578</v>
      </c>
      <c r="E14" s="15">
        <v>42611.170069444444</v>
      </c>
      <c r="F14" s="15">
        <v>42611.174513888887</v>
      </c>
      <c r="G14" s="7">
        <v>2</v>
      </c>
      <c r="H14" s="15" t="s">
        <v>154</v>
      </c>
      <c r="I14" s="15">
        <v>42611.200682870367</v>
      </c>
      <c r="J14" s="7">
        <v>0</v>
      </c>
      <c r="K14" s="132" t="str">
        <f t="shared" si="0"/>
        <v>4027/4028</v>
      </c>
      <c r="L14" s="24" t="str">
        <f>VLOOKUP(A14,'Trips&amp;Operators'!$C$1:$E$10000,3,FALSE)</f>
        <v>KILLION</v>
      </c>
      <c r="M14" s="6">
        <f t="shared" si="1"/>
        <v>2.6168981479713693E-2</v>
      </c>
      <c r="N14" s="7">
        <f>24*60*SUM($M14:$M14)</f>
        <v>37.683333330787718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03:04:54-0600',mode:absolute,to:'2016-08-29 05:48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" s="54" t="str">
        <f t="shared" si="5"/>
        <v>N</v>
      </c>
      <c r="X14" s="120">
        <f t="shared" si="6"/>
        <v>1</v>
      </c>
      <c r="Y14" s="69">
        <f t="shared" si="7"/>
        <v>23.2637</v>
      </c>
      <c r="Z14" s="69">
        <f t="shared" si="8"/>
        <v>1.54E-2</v>
      </c>
      <c r="AA14" s="69">
        <f t="shared" si="9"/>
        <v>23.2483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0"/>
        <v>0102-29</v>
      </c>
      <c r="AE14" s="99" t="str">
        <f t="shared" si="11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14" s="96" t="str">
        <f t="shared" si="12"/>
        <v>"C:\Program Files (x86)\AstroGrep\AstroGrep.exe" /spath="%USERPROFILE%\AppData\Local\Temp\OnboardLogs" /stypes="*4028*20160829*"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4028 --swversion DE.1.0.7.0 --startMP 204:232637 --initTime 2016-08-29T04:04:54 --startdatetime 2016-08-29T04:11:18 --delay 2 --endMP 204:154 --enddatetime 2016-08-29T04:48:59 --enforcementcount 0 &gt;&gt;C:\Users\stu\Documents\GitHub\eaglep3-reporting\EC\2016-08-29-refined-times.txt</v>
      </c>
      <c r="AI14" s="149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{"issue":{"subject":"","project_id":79,"tracker_id":40,"status_id":1,"priority_id":2,"assigned_to_id":23,"start_date":"2016-08-29","description":"","custom_fields":[{"id":1,"name":"Subdivision","value":"EC"},{"id":4,"name":"Milepost","value":"23.2483"},{"id":17,"name":"Train ID","value":"102-29"},{"id":16,"name":"Locomotive ID","value":"4028"},{"id":130,"name":"Impact","value":""},{"id":150,"name":"Time of Event (Mountain Time)","value":"04:48:59"},{"id":151,"name":"Denver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361</v>
      </c>
      <c r="B15" s="7">
        <v>4003</v>
      </c>
      <c r="C15" s="24" t="s">
        <v>113</v>
      </c>
      <c r="D15" s="24" t="s">
        <v>579</v>
      </c>
      <c r="E15" s="15">
        <v>42611.153113425928</v>
      </c>
      <c r="F15" s="15">
        <v>42611.1565162037</v>
      </c>
      <c r="G15" s="7">
        <v>1</v>
      </c>
      <c r="H15" s="15" t="s">
        <v>580</v>
      </c>
      <c r="I15" s="15">
        <v>42611.181759259256</v>
      </c>
      <c r="J15" s="7">
        <v>0</v>
      </c>
      <c r="K15" s="132" t="str">
        <f t="shared" si="0"/>
        <v>4003/4004</v>
      </c>
      <c r="L15" s="24" t="str">
        <f>VLOOKUP(A15,'Trips&amp;Operators'!$C$1:$E$10000,3,FALSE)</f>
        <v>ACKERMAN</v>
      </c>
      <c r="M15" s="6">
        <f t="shared" si="1"/>
        <v>2.5243055555620231E-2</v>
      </c>
      <c r="N15" s="7">
        <f>24*60*SUM($M15:$M15)</f>
        <v>36.350000000093132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02:40:29-0600',mode:absolute,to:'2016-08-29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5" s="54" t="str">
        <f t="shared" si="5"/>
        <v>N</v>
      </c>
      <c r="X15" s="120">
        <f t="shared" si="6"/>
        <v>1</v>
      </c>
      <c r="Y15" s="69">
        <f t="shared" si="7"/>
        <v>7.2599999999999998E-2</v>
      </c>
      <c r="Z15" s="69">
        <f t="shared" si="8"/>
        <v>23.338000000000001</v>
      </c>
      <c r="AA15" s="69">
        <f t="shared" si="9"/>
        <v>23.2654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0"/>
        <v>0103-29</v>
      </c>
      <c r="AE15" s="99" t="str">
        <f t="shared" si="11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15" s="96" t="str">
        <f t="shared" si="12"/>
        <v>"C:\Program Files (x86)\AstroGrep\AstroGrep.exe" /spath="%USERPROFILE%\AppData\Local\Temp\OnboardLogs" /stypes="*4003*20160829*"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6"/>
        <v>"%USERPROFILE%\Documents\GitHub\eaglep3\Utilities\RefineRTDCRunTimes.py" --tripid 103-29 --locoid 4003 --swversion DE.1.0.7.0 --startMP 204:726 --initTime 2016-08-29T03:40:29 --startdatetime 2016-08-29T03:45:23 --delay 1 --endMP 204:233380 --enddatetime 2016-08-29T04:21:44 --enforcementcount 0 &gt;&gt;C:\Users\stu\Documents\GitHub\eaglep3-reporting\EC\2016-08-29-refined-times.txt</v>
      </c>
      <c r="AI1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{"issue":{"subject":"","project_id":79,"tracker_id":40,"status_id":1,"priority_id":2,"assigned_to_id":23,"start_date":"2016-08-29","description":"","custom_fields":[{"id":1,"name":"Subdivision","value":"EC"},{"id":4,"name":"Milepost","value":"23.2654"},{"id":17,"name":"Train ID","value":"103-29"},{"id":16,"name":"Locomotive ID","value":"4003"},{"id":130,"name":"Impact","value":""},{"id":150,"name":"Time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368</v>
      </c>
      <c r="B16" s="7">
        <v>4008</v>
      </c>
      <c r="C16" s="24" t="s">
        <v>113</v>
      </c>
      <c r="D16" s="24" t="s">
        <v>581</v>
      </c>
      <c r="E16" s="15">
        <v>42611.190509259257</v>
      </c>
      <c r="F16" s="15">
        <v>42611.195370370369</v>
      </c>
      <c r="G16" s="7">
        <v>2</v>
      </c>
      <c r="H16" s="15" t="s">
        <v>192</v>
      </c>
      <c r="I16" s="15">
        <v>42611.223275462966</v>
      </c>
      <c r="J16" s="7">
        <v>0</v>
      </c>
      <c r="K16" s="132" t="str">
        <f t="shared" si="0"/>
        <v>4007/4008</v>
      </c>
      <c r="L16" s="24" t="str">
        <f>VLOOKUP(A16,'Trips&amp;Operators'!$C$1:$E$10000,3,FALSE)</f>
        <v>ACKERMAN</v>
      </c>
      <c r="M16" s="6">
        <f t="shared" si="1"/>
        <v>2.7905092596483883E-2</v>
      </c>
      <c r="N16" s="7">
        <f>24*60*SUM($M16:$M16)</f>
        <v>40.183333338936791</v>
      </c>
      <c r="O16" s="7"/>
      <c r="P16" s="7"/>
      <c r="Q16" s="25"/>
      <c r="R16" s="25"/>
      <c r="S16" s="37">
        <f t="shared" si="2"/>
        <v>1</v>
      </c>
      <c r="T16" s="52" t="str">
        <f t="shared" si="3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03:34:20-0600',mode:absolute,to:'2016-08-29 06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" s="54" t="str">
        <f t="shared" si="5"/>
        <v>N</v>
      </c>
      <c r="X16" s="120">
        <f t="shared" si="6"/>
        <v>1</v>
      </c>
      <c r="Y16" s="69">
        <f t="shared" si="7"/>
        <v>23.272300000000001</v>
      </c>
      <c r="Z16" s="69">
        <f t="shared" si="8"/>
        <v>1.3899999999999999E-2</v>
      </c>
      <c r="AA16" s="69">
        <f t="shared" si="9"/>
        <v>23.258400000000002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0"/>
        <v>0104-29</v>
      </c>
      <c r="AE16" s="99" t="str">
        <f t="shared" si="11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16" s="96" t="str">
        <f t="shared" si="12"/>
        <v>"C:\Program Files (x86)\AstroGrep\AstroGrep.exe" /spath="%USERPROFILE%\AppData\Local\Temp\OnboardLogs" /stypes="*4008*20160829*"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6"/>
        <v>"%USERPROFILE%\Documents\GitHub\eaglep3\Utilities\RefineRTDCRunTimes.py" --tripid 104-29 --locoid 4008 --swversion DE.1.0.7.0 --startMP 204:232723 --initTime 2016-08-29T04:34:20 --startdatetime 2016-08-29T04:41:20 --delay 2 --endMP 204:139 --enddatetime 2016-08-29T05:21:31 --enforcementcount 0 &gt;&gt;C:\Users\stu\Documents\GitHub\eaglep3-reporting\EC\2016-08-29-refined-times.txt</v>
      </c>
      <c r="AI16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{"issue":{"subject":"","project_id":79,"tracker_id":40,"status_id":1,"priority_id":2,"assigned_to_id":23,"start_date":"2016-08-29","description":"","custom_fields":[{"id":1,"name":"Subdivision","value":"EC"},{"id":4,"name":"Milepost","value":"23.2584"},{"id":17,"name":"Train ID","value":"104-29"},{"id":16,"name":"Locomotive ID","value":"4008"},{"id":130,"name":"Impact","value":""},{"id":150,"name":"Time of Event (Mountain Time)","value":"05:21:31"},{"id":151,"name":"Denver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362</v>
      </c>
      <c r="B17" s="7">
        <v>4029</v>
      </c>
      <c r="C17" s="24" t="s">
        <v>113</v>
      </c>
      <c r="D17" s="24" t="s">
        <v>582</v>
      </c>
      <c r="E17" s="15">
        <v>42611.166597222225</v>
      </c>
      <c r="F17" s="15">
        <v>42611.177245370367</v>
      </c>
      <c r="G17" s="7">
        <v>1</v>
      </c>
      <c r="H17" s="15" t="s">
        <v>280</v>
      </c>
      <c r="I17" s="15">
        <v>42611.203125</v>
      </c>
      <c r="J17" s="7">
        <v>0</v>
      </c>
      <c r="K17" s="132" t="str">
        <f t="shared" si="0"/>
        <v>4029/4030</v>
      </c>
      <c r="L17" s="24" t="str">
        <f>VLOOKUP(A17,'Trips&amp;Operators'!$C$1:$E$10000,3,FALSE)</f>
        <v>BRANNON</v>
      </c>
      <c r="M17" s="6">
        <f t="shared" si="1"/>
        <v>2.587962963298196E-2</v>
      </c>
      <c r="N17" s="7">
        <f>24*60*SUM($M17:$M17)</f>
        <v>37.266666671494022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02:59:54-0600',mode:absolute,to:'2016-08-29 05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" s="54" t="str">
        <f t="shared" si="5"/>
        <v>N</v>
      </c>
      <c r="X17" s="120">
        <f t="shared" si="6"/>
        <v>1</v>
      </c>
      <c r="Y17" s="69">
        <f t="shared" si="7"/>
        <v>7.0599999999999996E-2</v>
      </c>
      <c r="Z17" s="69">
        <f t="shared" si="8"/>
        <v>23.331099999999999</v>
      </c>
      <c r="AA17" s="69">
        <f t="shared" si="9"/>
        <v>23.2605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0"/>
        <v>0105-29</v>
      </c>
      <c r="AE17" s="99" t="str">
        <f t="shared" si="11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17" s="96" t="str">
        <f t="shared" si="12"/>
        <v>"C:\Program Files (x86)\AstroGrep\AstroGrep.exe" /spath="%USERPROFILE%\AppData\Local\Temp\OnboardLogs" /stypes="*4029*20160829*"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6"/>
        <v>"%USERPROFILE%\Documents\GitHub\eaglep3\Utilities\RefineRTDCRunTimes.py" --tripid 105-29 --locoid 4029 --swversion DE.1.0.7.0 --startMP 204:706 --initTime 2016-08-29T03:59:54 --startdatetime 2016-08-29T04:15:14 --delay 1 --endMP 204:233311 --enddatetime 2016-08-29T04:52:30 --enforcementcount 0 &gt;&gt;C:\Users\stu\Documents\GitHub\eaglep3-reporting\EC\2016-08-29-refined-times.txt</v>
      </c>
      <c r="AI1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{"issue":{"subject":"","project_id":79,"tracker_id":40,"status_id":1,"priority_id":2,"assigned_to_id":23,"start_date":"2016-08-29","description":"","custom_fields":[{"id":1,"name":"Subdivision","value":"EC"},{"id":4,"name":"Milepost","value":"23.2605"},{"id":17,"name":"Train ID","value":"105-29"},{"id":16,"name":"Locomotive ID","value":"4029"},{"id":130,"name":"Impact","value":""},{"id":150,"name":"Time of Event (Mountain Time)","value":"04:52:30"},{"id":151,"name":"Denver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714</v>
      </c>
      <c r="B18" s="7">
        <v>4028</v>
      </c>
      <c r="C18" s="24" t="s">
        <v>113</v>
      </c>
      <c r="D18" s="24" t="s">
        <v>582</v>
      </c>
      <c r="E18" s="15">
        <v>42611.166597222225</v>
      </c>
      <c r="F18" s="15">
        <v>42611.177245370367</v>
      </c>
      <c r="G18" s="7">
        <v>1</v>
      </c>
      <c r="H18" s="15" t="s">
        <v>280</v>
      </c>
      <c r="I18" s="15">
        <v>42611.203125</v>
      </c>
      <c r="J18" s="7">
        <v>0</v>
      </c>
      <c r="K18" s="132" t="str">
        <f t="shared" si="0"/>
        <v>4027/4028</v>
      </c>
      <c r="L18" s="24" t="e">
        <f>VLOOKUP(A18,'Trips&amp;Operators'!$C$1:$E$10000,3,FALSE)</f>
        <v>#N/A</v>
      </c>
      <c r="M18" s="6">
        <f t="shared" si="1"/>
        <v>2.587962963298196E-2</v>
      </c>
      <c r="N18" s="7"/>
      <c r="O18" s="7"/>
      <c r="P18" s="7">
        <v>1</v>
      </c>
      <c r="Q18" s="25"/>
      <c r="R18" s="25" t="s">
        <v>715</v>
      </c>
      <c r="S18" s="37">
        <f t="shared" si="2"/>
        <v>0</v>
      </c>
      <c r="T18" s="52" t="str">
        <f t="shared" si="3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02:59:54-0600',mode:absolute,to:'2016-08-29 05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8" s="54" t="str">
        <f t="shared" si="5"/>
        <v>N</v>
      </c>
      <c r="X18" s="120">
        <f t="shared" si="6"/>
        <v>1</v>
      </c>
      <c r="Y18" s="69">
        <f t="shared" si="7"/>
        <v>7.0599999999999996E-2</v>
      </c>
      <c r="Z18" s="69">
        <f t="shared" si="8"/>
        <v>23.331099999999999</v>
      </c>
      <c r="AA18" s="69">
        <f t="shared" si="9"/>
        <v>23.2605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0"/>
        <v>0106-29</v>
      </c>
      <c r="AE18" s="99" t="str">
        <f t="shared" si="11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18" s="96" t="str">
        <f t="shared" si="12"/>
        <v>"C:\Program Files (x86)\AstroGrep\AstroGrep.exe" /spath="%USERPROFILE%\AppData\Local\Temp\OnboardLogs" /stypes="*4028*20160829*" /stext=" 10:.+((SYSTEM_STATE.+slice.+state.+changed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ref="AH18" si="18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106-29 --locoid 4028 --swversion DE.1.0.7.0 --startMP 204:706 --initTime 2016-08-29T03:59:54 --startdatetime 2016-08-29T04:15:14 --delay 1 --endMP 204:233311 --enddatetime 2016-08-29T04:52:30 --enforcementcount 0 &gt;&gt;C:\Users\stu\Documents\GitHub\eaglep3-reporting\EC\2016-08-29-refined-times.txt</v>
      </c>
      <c r="AI18" s="149" t="str">
        <f t="shared" ref="AI18" si="19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AA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init","project_id":79,"tracker_id":40,"status_id":1,"priority_id":2,"assigned_to_id":23,"start_date":"2016-08-29","description":"","custom_fields":[{"id":1,"name":"Subdivision","value":"EC"},{"id":4,"name":"Milepost","value":"23.2605"},{"id":17,"name":"Train ID","value":"106-29"},{"id":16,"name":"Locomotive ID","value":"4028"},{"id":130,"name":"Impact","value":""},{"id":150,"name":"Time of Event (Mountain Time)","value":"04:52:30"},{"id":151,"name":"Denver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365</v>
      </c>
      <c r="B19" s="7">
        <v>4009</v>
      </c>
      <c r="C19" s="24" t="s">
        <v>113</v>
      </c>
      <c r="D19" s="24" t="s">
        <v>583</v>
      </c>
      <c r="E19" s="15">
        <v>42611.190844907411</v>
      </c>
      <c r="F19" s="15">
        <v>42611.191828703704</v>
      </c>
      <c r="G19" s="7">
        <v>1</v>
      </c>
      <c r="H19" s="15" t="s">
        <v>584</v>
      </c>
      <c r="I19" s="15">
        <v>42611.213923611111</v>
      </c>
      <c r="J19" s="7">
        <v>0</v>
      </c>
      <c r="K19" s="132" t="str">
        <f t="shared" si="0"/>
        <v>4009/4010</v>
      </c>
      <c r="L19" s="24" t="str">
        <f>VLOOKUP(A19,'Trips&amp;Operators'!$C$1:$E$10000,3,FALSE)</f>
        <v>SPECTOR</v>
      </c>
      <c r="M19" s="6">
        <f t="shared" si="1"/>
        <v>2.2094907406426501E-2</v>
      </c>
      <c r="N19" s="7"/>
      <c r="O19" s="7"/>
      <c r="P19" s="7">
        <f>24*60*SUM($M19:$M19)</f>
        <v>31.816666665254161</v>
      </c>
      <c r="Q19" s="25"/>
      <c r="R19" s="25" t="s">
        <v>719</v>
      </c>
      <c r="S19" s="37">
        <f t="shared" si="2"/>
        <v>1</v>
      </c>
      <c r="T19" s="52" t="str">
        <f t="shared" si="3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03:34:49-0600',mode:absolute,to:'2016-08-29 06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5"/>
        <v>Y</v>
      </c>
      <c r="X19" s="120">
        <f t="shared" ref="X19:X23" si="20">VALUE(LEFT(AD19,4))-VALUE(LEFT(AD18,4))</f>
        <v>1</v>
      </c>
      <c r="Y19" s="69">
        <f t="shared" si="7"/>
        <v>1.9132</v>
      </c>
      <c r="Z19" s="69">
        <f t="shared" si="8"/>
        <v>23.3323</v>
      </c>
      <c r="AA19" s="69">
        <f t="shared" si="9"/>
        <v>21.4191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10"/>
        <v>0107-29</v>
      </c>
      <c r="AE19" s="99" t="str">
        <f t="shared" si="11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19" s="96" t="str">
        <f t="shared" si="12"/>
        <v>"C:\Program Files (x86)\AstroGrep\AstroGrep.exe" /spath="%USERPROFILE%\AppData\Local\Temp\OnboardLogs" /stypes="*4009*20160829*"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6"/>
        <v>"%USERPROFILE%\Documents\GitHub\eaglep3\Utilities\RefineRTDCRunTimes.py" --tripid 107-29 --locoid 4009 --swversion DE.1.0.7.0 --startMP 204:19132 --initTime 2016-08-29T04:34:49 --startdatetime 2016-08-29T04:36:14 --delay 1 --endMP 204:233323 --enddatetime 2016-08-29T05:08:03 --enforcementcount 0 &gt;&gt;C:\Users\stu\Documents\GitHub\eaglep3-reporting\EC\2016-08-29-refined-times.txt</v>
      </c>
      <c r="AI19" s="149" t="str">
        <f t="shared" si="17"/>
        <v>echo {"issue":{"subject":"DUS MAIN 2 switches were aligned for NW, cut out and re-init at 38th","project_id":79,"tracker_id":40,"status_id":1,"priority_id":2,"assigned_to_id":23,"start_date":"2016-08-29","description":"","custom_fields":[{"id":1,"name":"Subdivision","value":"EC"},{"id":4,"name":"Milepost","value":"21.4191"},{"id":17,"name":"Train ID","value":"107-29"},{"id":16,"name":"Locomotive ID","value":"4009"},{"id":130,"name":"Impact","value":""},{"id":150,"name":"Time of Event (Mountain Time)","value":"05:08:03"},{"id":151,"name":"Denver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372</v>
      </c>
      <c r="B20" s="7">
        <v>4010</v>
      </c>
      <c r="C20" s="24" t="s">
        <v>113</v>
      </c>
      <c r="D20" s="24" t="s">
        <v>346</v>
      </c>
      <c r="E20" s="15">
        <v>42611.22084490741</v>
      </c>
      <c r="F20" s="15">
        <v>42611.226550925923</v>
      </c>
      <c r="G20" s="7">
        <v>1</v>
      </c>
      <c r="H20" s="15" t="s">
        <v>89</v>
      </c>
      <c r="I20" s="15">
        <v>42611.254479166666</v>
      </c>
      <c r="J20" s="7">
        <v>0</v>
      </c>
      <c r="K20" s="132" t="str">
        <f t="shared" si="0"/>
        <v>4009/4010</v>
      </c>
      <c r="L20" s="24" t="str">
        <f>VLOOKUP(A20,'Trips&amp;Operators'!$C$1:$E$10000,3,FALSE)</f>
        <v>SPECTOR</v>
      </c>
      <c r="M20" s="6">
        <f t="shared" si="1"/>
        <v>2.792824074276723E-2</v>
      </c>
      <c r="N20" s="7">
        <f t="shared" ref="N20:N65" si="21">24*60*SUM($M20:$M20)</f>
        <v>40.216666669584811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04:18:01-0600',mode:absolute,to:'2016-08-29 07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5"/>
        <v>N</v>
      </c>
      <c r="X20" s="120">
        <f t="shared" si="20"/>
        <v>1</v>
      </c>
      <c r="Y20" s="69">
        <f t="shared" si="7"/>
        <v>23.300599999999999</v>
      </c>
      <c r="Z20" s="69">
        <f t="shared" si="8"/>
        <v>1.43E-2</v>
      </c>
      <c r="AA20" s="69">
        <f t="shared" si="9"/>
        <v>23.286300000000001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10"/>
        <v>0108-29</v>
      </c>
      <c r="AE20" s="99" t="str">
        <f t="shared" si="11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20" s="96" t="str">
        <f t="shared" si="12"/>
        <v>"C:\Program Files (x86)\AstroGrep\AstroGrep.exe" /spath="%USERPROFILE%\AppData\Local\Temp\OnboardLogs" /stypes="*4010*20160829*"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6"/>
        <v>"%USERPROFILE%\Documents\GitHub\eaglep3\Utilities\RefineRTDCRunTimes.py" --tripid 108-29 --locoid 4010 --swversion DE.1.0.7.0 --startMP 204:233006 --initTime 2016-08-29T05:18:01 --startdatetime 2016-08-29T05:26:14 --delay 1 --endMP 204:143 --enddatetime 2016-08-29T06:06:27 --enforcementcount 0 &gt;&gt;C:\Users\stu\Documents\GitHub\eaglep3-reporting\EC\2016-08-29-refined-times.txt</v>
      </c>
      <c r="AI20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{"issue":{"subject":"","project_id":79,"tracker_id":40,"status_id":1,"priority_id":2,"assigned_to_id":23,"start_date":"2016-08-29","description":"","custom_fields":[{"id":1,"name":"Subdivision","value":"EC"},{"id":4,"name":"Milepost","value":"23.2863"},{"id":17,"name":"Train ID","value":"108-29"},{"id":16,"name":"Locomotive ID","value":"4010"},{"id":130,"name":"Impact","value":""},{"id":150,"name":"Time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367</v>
      </c>
      <c r="B21" s="7">
        <v>4040</v>
      </c>
      <c r="C21" s="24" t="s">
        <v>113</v>
      </c>
      <c r="D21" s="24" t="s">
        <v>267</v>
      </c>
      <c r="E21" s="15">
        <v>42611.185925925929</v>
      </c>
      <c r="F21" s="15">
        <v>42611.198229166665</v>
      </c>
      <c r="G21" s="7">
        <v>1</v>
      </c>
      <c r="H21" s="15" t="s">
        <v>321</v>
      </c>
      <c r="I21" s="15">
        <v>42611.222418981481</v>
      </c>
      <c r="J21" s="7">
        <v>0</v>
      </c>
      <c r="K21" s="132" t="str">
        <f t="shared" si="0"/>
        <v>4039/4040</v>
      </c>
      <c r="L21" s="24" t="str">
        <f>VLOOKUP(A21,'Trips&amp;Operators'!$C$1:$E$10000,3,FALSE)</f>
        <v>YORK</v>
      </c>
      <c r="M21" s="6">
        <f t="shared" si="1"/>
        <v>2.4189814816054422E-2</v>
      </c>
      <c r="N21" s="7">
        <f t="shared" si="21"/>
        <v>34.833333335118368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03:27:44-0600',mode:absolute,to:'2016-08-29 06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1" s="54" t="str">
        <f t="shared" si="5"/>
        <v>N</v>
      </c>
      <c r="X21" s="120">
        <f t="shared" si="20"/>
        <v>1</v>
      </c>
      <c r="Y21" s="69">
        <f t="shared" si="7"/>
        <v>4.58E-2</v>
      </c>
      <c r="Z21" s="69">
        <f t="shared" si="8"/>
        <v>23.328900000000001</v>
      </c>
      <c r="AA21" s="69">
        <f t="shared" si="9"/>
        <v>23.283100000000001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0"/>
        <v>0109-29</v>
      </c>
      <c r="AE21" s="99" t="str">
        <f t="shared" si="11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21" s="96" t="str">
        <f t="shared" si="12"/>
        <v>"C:\Program Files (x86)\AstroGrep\AstroGrep.exe" /spath="%USERPROFILE%\AppData\Local\Temp\OnboardLogs" /stypes="*4040*20160829*"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6"/>
        <v>"%USERPROFILE%\Documents\GitHub\eaglep3\Utilities\RefineRTDCRunTimes.py" --tripid 109-29 --locoid 4040 --swversion DE.1.0.7.0 --startMP 204:458 --initTime 2016-08-29T04:27:44 --startdatetime 2016-08-29T04:45:27 --delay 1 --endMP 204:233289 --enddatetime 2016-08-29T05:20:17 --enforcementcount 0 &gt;&gt;C:\Users\stu\Documents\GitHub\eaglep3-reporting\EC\2016-08-29-refined-times.txt</v>
      </c>
      <c r="AI21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{"issue":{"subject":"","project_id":79,"tracker_id":40,"status_id":1,"priority_id":2,"assigned_to_id":23,"start_date":"2016-08-29","description":"","custom_fields":[{"id":1,"name":"Subdivision","value":"EC"},{"id":4,"name":"Milepost","value":"23.2831"},{"id":17,"name":"Train ID","value":"109-29"},{"id":16,"name":"Locomotive ID","value":"4040"},{"id":130,"name":"Impact","value":""},{"id":150,"name":"Time of Event (Mountain Time)","value":"05:20:17"},{"id":151,"name":"Denver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373</v>
      </c>
      <c r="B22" s="7">
        <v>4039</v>
      </c>
      <c r="C22" s="24" t="s">
        <v>113</v>
      </c>
      <c r="D22" s="24" t="s">
        <v>240</v>
      </c>
      <c r="E22" s="15">
        <v>42611.223437499997</v>
      </c>
      <c r="F22" s="15">
        <v>42611.310023148151</v>
      </c>
      <c r="G22" s="7">
        <v>1</v>
      </c>
      <c r="H22" s="15" t="s">
        <v>136</v>
      </c>
      <c r="I22" s="15">
        <v>42611.335729166669</v>
      </c>
      <c r="J22" s="7">
        <v>0</v>
      </c>
      <c r="K22" s="132" t="str">
        <f t="shared" si="0"/>
        <v>4039/4040</v>
      </c>
      <c r="L22" s="24" t="str">
        <f>VLOOKUP(A22,'Trips&amp;Operators'!$C$1:$E$10000,3,FALSE)</f>
        <v>YORK</v>
      </c>
      <c r="M22" s="6">
        <f t="shared" si="1"/>
        <v>2.5706018517666962E-2</v>
      </c>
      <c r="N22" s="7">
        <f t="shared" si="21"/>
        <v>37.016666665440425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04:21:45-0600',mode:absolute,to:'2016-08-29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22" s="54" t="str">
        <f t="shared" si="5"/>
        <v>N</v>
      </c>
      <c r="X22" s="120">
        <f t="shared" si="20"/>
        <v>1</v>
      </c>
      <c r="Y22" s="69">
        <f t="shared" si="7"/>
        <v>23.297699999999999</v>
      </c>
      <c r="Z22" s="69">
        <f t="shared" si="8"/>
        <v>1.49E-2</v>
      </c>
      <c r="AA22" s="69">
        <f t="shared" si="9"/>
        <v>23.282799999999998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10"/>
        <v>0110-29</v>
      </c>
      <c r="AE22" s="99" t="str">
        <f t="shared" si="11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22" s="96" t="str">
        <f t="shared" si="12"/>
        <v>"C:\Program Files (x86)\AstroGrep\AstroGrep.exe" /spath="%USERPROFILE%\AppData\Local\Temp\OnboardLogs" /stypes="*4039*20160829*" /stext=" 14:.+((SYSTEM_STATE.+slice.+state.+changed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6"/>
        <v>"%USERPROFILE%\Documents\GitHub\eaglep3\Utilities\RefineRTDCRunTimes.py" --tripid 110-29 --locoid 4039 --swversion DE.1.0.7.0 --startMP 204:232977 --initTime 2016-08-29T05:21:45 --startdatetime 2016-08-29T07:26:26 --delay 1 --endMP 204:149 --enddatetime 2016-08-29T08:03:27 --enforcementcount 0 &gt;&gt;C:\Users\stu\Documents\GitHub\eaglep3-reporting\EC\2016-08-29-refined-times.txt</v>
      </c>
      <c r="AI22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{"issue":{"subject":"","project_id":79,"tracker_id":40,"status_id":1,"priority_id":2,"assigned_to_id":23,"start_date":"2016-08-29","description":"","custom_fields":[{"id":1,"name":"Subdivision","value":"EC"},{"id":4,"name":"Milepost","value":"23.2828"},{"id":17,"name":"Train ID","value":"110-29"},{"id":16,"name":"Locomotive ID","value":"4039"},{"id":130,"name":"Impact","value":""},{"id":150,"name":"Time of Event (Mountain Time)","value":"08:03:27"},{"id":151,"name":"Denver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369</v>
      </c>
      <c r="B23" s="7">
        <v>4031</v>
      </c>
      <c r="C23" s="24" t="s">
        <v>113</v>
      </c>
      <c r="D23" s="24" t="s">
        <v>585</v>
      </c>
      <c r="E23" s="15">
        <v>42611.202106481483</v>
      </c>
      <c r="F23" s="15">
        <v>42611.20857638889</v>
      </c>
      <c r="G23" s="7">
        <v>2</v>
      </c>
      <c r="H23" s="15" t="s">
        <v>269</v>
      </c>
      <c r="I23" s="15">
        <v>42611.234756944446</v>
      </c>
      <c r="J23" s="7">
        <v>0</v>
      </c>
      <c r="K23" s="132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2.6180555556493346E-2</v>
      </c>
      <c r="N23" s="7">
        <f t="shared" si="21"/>
        <v>37.700000001350418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03:51:02-0600',mode:absolute,to:'2016-08-29 06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5"/>
        <v>N</v>
      </c>
      <c r="X23" s="120">
        <f t="shared" si="20"/>
        <v>1</v>
      </c>
      <c r="Y23" s="69">
        <f t="shared" si="7"/>
        <v>7.3499999999999996E-2</v>
      </c>
      <c r="Z23" s="69">
        <f t="shared" si="8"/>
        <v>23.329499999999999</v>
      </c>
      <c r="AA23" s="69">
        <f t="shared" si="9"/>
        <v>23.256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0"/>
        <v>0111-29</v>
      </c>
      <c r="AE23" s="99" t="str">
        <f t="shared" si="11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23" s="96" t="str">
        <f t="shared" si="12"/>
        <v>"C:\Program Files (x86)\AstroGrep\AstroGrep.exe" /spath="%USERPROFILE%\AppData\Local\Temp\OnboardLogs" /stypes="*4031*20160829*"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6"/>
        <v>"%USERPROFILE%\Documents\GitHub\eaglep3\Utilities\RefineRTDCRunTimes.py" --tripid 111-29 --locoid 4031 --swversion DE.1.0.7.0 --startMP 204:735 --initTime 2016-08-29T04:51:02 --startdatetime 2016-08-29T05:00:21 --delay 2 --endMP 204:233295 --enddatetime 2016-08-29T05:38:03 --enforcementcount 0 &gt;&gt;C:\Users\stu\Documents\GitHub\eaglep3-reporting\EC\2016-08-29-refined-times.txt</v>
      </c>
      <c r="AI23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{"issue":{"subject":"","project_id":79,"tracker_id":40,"status_id":1,"priority_id":2,"assigned_to_id":23,"start_date":"2016-08-29","description":"","custom_fields":[{"id":1,"name":"Subdivision","value":"EC"},{"id":4,"name":"Milepost","value":"23.256"},{"id":17,"name":"Train ID","value":"111-29"},{"id":16,"name":"Locomotive ID","value":"4031"},{"id":130,"name":"Impact","value":""},{"id":150,"name":"Time of Event (Mountain Time)","value":"05:38:03"},{"id":151,"name":"Denver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377</v>
      </c>
      <c r="B24" s="7">
        <v>4032</v>
      </c>
      <c r="C24" s="24" t="s">
        <v>113</v>
      </c>
      <c r="D24" s="24" t="s">
        <v>282</v>
      </c>
      <c r="E24" s="15">
        <v>42611.244340277779</v>
      </c>
      <c r="F24" s="15">
        <v>42611.247395833336</v>
      </c>
      <c r="G24" s="7">
        <v>1</v>
      </c>
      <c r="H24" s="15" t="s">
        <v>131</v>
      </c>
      <c r="I24" s="15">
        <v>42611.275289351855</v>
      </c>
      <c r="J24" s="7">
        <v>0</v>
      </c>
      <c r="K24" s="132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2.789351851970423E-2</v>
      </c>
      <c r="N24" s="7">
        <f t="shared" si="21"/>
        <v>40.166666668374091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04:51:51-0600',mode:absolute,to:'2016-08-29 07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5"/>
        <v>N</v>
      </c>
      <c r="X24" s="120">
        <f t="shared" ref="X24:X55" si="22">VALUE(LEFT(AD24,4))-VALUE(LEFT(AD23,4))</f>
        <v>1</v>
      </c>
      <c r="Y24" s="69">
        <f t="shared" si="7"/>
        <v>23.297899999999998</v>
      </c>
      <c r="Z24" s="69">
        <f t="shared" si="8"/>
        <v>1.5800000000000002E-2</v>
      </c>
      <c r="AA24" s="69">
        <f t="shared" si="9"/>
        <v>23.2821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0"/>
        <v>0112-29</v>
      </c>
      <c r="AE24" s="99" t="str">
        <f t="shared" si="11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24" s="96" t="str">
        <f t="shared" si="12"/>
        <v>"C:\Program Files (x86)\AstroGrep\AstroGrep.exe" /spath="%USERPROFILE%\AppData\Local\Temp\OnboardLogs" /stypes="*4032*20160829*"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6"/>
        <v>"%USERPROFILE%\Documents\GitHub\eaglep3\Utilities\RefineRTDCRunTimes.py" --tripid 112-29 --locoid 4032 --swversion DE.1.0.7.0 --startMP 204:232979 --initTime 2016-08-29T05:51:51 --startdatetime 2016-08-29T05:56:15 --delay 1 --endMP 204:158 --enddatetime 2016-08-29T06:36:25 --enforcementcount 0 &gt;&gt;C:\Users\stu\Documents\GitHub\eaglep3-reporting\EC\2016-08-29-refined-times.txt</v>
      </c>
      <c r="AI24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{"issue":{"subject":"","project_id":79,"tracker_id":40,"status_id":1,"priority_id":2,"assigned_to_id":23,"start_date":"2016-08-29","description":"","custom_fields":[{"id":1,"name":"Subdivision","value":"EC"},{"id":4,"name":"Milepost","value":"23.2821"},{"id":17,"name":"Train ID","value":"112-29"},{"id":16,"name":"Locomotive ID","value":"4032"},{"id":130,"name":"Impact","value":""},{"id":150,"name":"Time of Event (Mountain Time)","value":"06:36:25"},{"id":151,"name":"Denver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370</v>
      </c>
      <c r="B25" s="7">
        <v>4027</v>
      </c>
      <c r="C25" s="24" t="s">
        <v>113</v>
      </c>
      <c r="D25" s="24" t="s">
        <v>135</v>
      </c>
      <c r="E25" s="15">
        <v>42611.210717592592</v>
      </c>
      <c r="F25" s="15">
        <v>42611.218958333331</v>
      </c>
      <c r="G25" s="7">
        <v>1</v>
      </c>
      <c r="H25" s="15" t="s">
        <v>243</v>
      </c>
      <c r="I25" s="15">
        <v>42611.244560185187</v>
      </c>
      <c r="J25" s="7">
        <v>0</v>
      </c>
      <c r="K25" s="132" t="str">
        <f t="shared" si="0"/>
        <v>4027/4028</v>
      </c>
      <c r="L25" s="24" t="str">
        <f>VLOOKUP(A25,'Trips&amp;Operators'!$C$1:$E$10000,3,FALSE)</f>
        <v>KILLION</v>
      </c>
      <c r="M25" s="6">
        <f t="shared" si="1"/>
        <v>2.5601851855753921E-2</v>
      </c>
      <c r="N25" s="7">
        <f t="shared" si="21"/>
        <v>36.866666672285646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04:03:26-0600',mode:absolute,to:'2016-08-29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5" s="54" t="str">
        <f t="shared" si="5"/>
        <v>N</v>
      </c>
      <c r="X25" s="120">
        <f t="shared" si="22"/>
        <v>1</v>
      </c>
      <c r="Y25" s="69">
        <f t="shared" si="7"/>
        <v>4.4900000000000002E-2</v>
      </c>
      <c r="Z25" s="69">
        <f t="shared" si="8"/>
        <v>23.328199999999999</v>
      </c>
      <c r="AA25" s="69">
        <f t="shared" si="9"/>
        <v>23.283300000000001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0"/>
        <v>0113-29</v>
      </c>
      <c r="AE25" s="99" t="str">
        <f t="shared" si="11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25" s="96" t="str">
        <f t="shared" si="12"/>
        <v>"C:\Program Files (x86)\AstroGrep\AstroGrep.exe" /spath="%USERPROFILE%\AppData\Local\Temp\OnboardLogs" /stypes="*4027*20160829*"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6"/>
        <v>"%USERPROFILE%\Documents\GitHub\eaglep3\Utilities\RefineRTDCRunTimes.py" --tripid 113-29 --locoid 4027 --swversion DE.1.0.7.0 --startMP 204:449 --initTime 2016-08-29T05:03:26 --startdatetime 2016-08-29T05:15:18 --delay 1 --endMP 204:233282 --enddatetime 2016-08-29T05:52:10 --enforcementcount 0 &gt;&gt;C:\Users\stu\Documents\GitHub\eaglep3-reporting\EC\2016-08-29-refined-times.txt</v>
      </c>
      <c r="AI2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{"issue":{"subject":"","project_id":79,"tracker_id":40,"status_id":1,"priority_id":2,"assigned_to_id":23,"start_date":"2016-08-29","description":"","custom_fields":[{"id":1,"name":"Subdivision","value":"EC"},{"id":4,"name":"Milepost","value":"23.2833"},{"id":17,"name":"Train ID","value":"113-29"},{"id":16,"name":"Locomotive ID","value":"4027"},{"id":130,"name":"Impact","value":""},{"id":150,"name":"Time of Event (Mountain Time)","value":"05:52:10"},{"id":151,"name":"Denver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378</v>
      </c>
      <c r="B26" s="7">
        <v>4028</v>
      </c>
      <c r="C26" s="24" t="s">
        <v>113</v>
      </c>
      <c r="D26" s="24" t="s">
        <v>277</v>
      </c>
      <c r="E26" s="15">
        <v>42611.250300925924</v>
      </c>
      <c r="F26" s="15">
        <v>42611.2578125</v>
      </c>
      <c r="G26" s="7">
        <v>1</v>
      </c>
      <c r="H26" s="15" t="s">
        <v>179</v>
      </c>
      <c r="I26" s="15">
        <v>42611.286805555559</v>
      </c>
      <c r="J26" s="7">
        <v>0</v>
      </c>
      <c r="K26" s="132" t="str">
        <f t="shared" si="0"/>
        <v>4027/4028</v>
      </c>
      <c r="L26" s="24" t="str">
        <f>VLOOKUP(A26,'Trips&amp;Operators'!$C$1:$E$10000,3,FALSE)</f>
        <v>KILLION</v>
      </c>
      <c r="M26" s="6">
        <f t="shared" si="1"/>
        <v>2.899305555911269E-2</v>
      </c>
      <c r="N26" s="7">
        <f t="shared" si="21"/>
        <v>41.750000005122274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05:00:26-0600',mode:absolute,to:'2016-08-29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6" s="54" t="str">
        <f t="shared" si="5"/>
        <v>N</v>
      </c>
      <c r="X26" s="120">
        <f t="shared" si="22"/>
        <v>1</v>
      </c>
      <c r="Y26" s="69">
        <f t="shared" si="7"/>
        <v>23.2973</v>
      </c>
      <c r="Z26" s="69">
        <f t="shared" si="8"/>
        <v>1.4500000000000001E-2</v>
      </c>
      <c r="AA26" s="69">
        <f t="shared" si="9"/>
        <v>23.282799999999998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10"/>
        <v>0114-29</v>
      </c>
      <c r="AE26" s="99" t="str">
        <f t="shared" si="11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26" s="96" t="str">
        <f t="shared" si="12"/>
        <v>"C:\Program Files (x86)\AstroGrep\AstroGrep.exe" /spath="%USERPROFILE%\AppData\Local\Temp\OnboardLogs" /stypes="*4028*20160829*"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6"/>
        <v>"%USERPROFILE%\Documents\GitHub\eaglep3\Utilities\RefineRTDCRunTimes.py" --tripid 114-29 --locoid 4028 --swversion DE.1.0.7.0 --startMP 204:232973 --initTime 2016-08-29T06:00:26 --startdatetime 2016-08-29T06:11:15 --delay 1 --endMP 204:145 --enddatetime 2016-08-29T06:53:00 --enforcementcount 0 &gt;&gt;C:\Users\stu\Documents\GitHub\eaglep3-reporting\EC\2016-08-29-refined-times.txt</v>
      </c>
      <c r="AI26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{"issue":{"subject":"","project_id":79,"tracker_id":40,"status_id":1,"priority_id":2,"assigned_to_id":23,"start_date":"2016-08-29","description":"","custom_fields":[{"id":1,"name":"Subdivision","value":"EC"},{"id":4,"name":"Milepost","value":"23.2828"},{"id":17,"name":"Train ID","value":"114-29"},{"id":16,"name":"Locomotive ID","value":"4028"},{"id":130,"name":"Impact","value":""},{"id":150,"name":"Time of Event (Mountain Time)","value":"06:53:00"},{"id":151,"name":"Denver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374</v>
      </c>
      <c r="B27" s="7">
        <v>4003</v>
      </c>
      <c r="C27" s="24" t="s">
        <v>113</v>
      </c>
      <c r="D27" s="24" t="s">
        <v>586</v>
      </c>
      <c r="E27" s="15">
        <v>42611.225648148145</v>
      </c>
      <c r="F27" s="15">
        <v>42611.229386574072</v>
      </c>
      <c r="G27" s="7">
        <v>1</v>
      </c>
      <c r="H27" s="15" t="s">
        <v>587</v>
      </c>
      <c r="I27" s="15">
        <v>42611.255937499998</v>
      </c>
      <c r="J27" s="7">
        <v>0</v>
      </c>
      <c r="K27" s="132" t="str">
        <f t="shared" si="0"/>
        <v>4003/4004</v>
      </c>
      <c r="L27" s="24" t="str">
        <f>VLOOKUP(A27,'Trips&amp;Operators'!$C$1:$E$10000,3,FALSE)</f>
        <v>MALAVE</v>
      </c>
      <c r="M27" s="6">
        <f t="shared" si="1"/>
        <v>2.6550925926130731E-2</v>
      </c>
      <c r="N27" s="7">
        <f t="shared" si="21"/>
        <v>38.233333333628252</v>
      </c>
      <c r="O27" s="7"/>
      <c r="P27" s="7"/>
      <c r="Q27" s="25"/>
      <c r="R27" s="25"/>
      <c r="S27" s="37">
        <f t="shared" si="2"/>
        <v>1</v>
      </c>
      <c r="T27" s="52" t="str">
        <f t="shared" si="3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04:24:56-0600',mode:absolute,to:'2016-08-29 07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7" s="54" t="str">
        <f t="shared" si="5"/>
        <v>N</v>
      </c>
      <c r="X27" s="120">
        <f t="shared" si="22"/>
        <v>1</v>
      </c>
      <c r="Y27" s="69">
        <f t="shared" si="7"/>
        <v>7.6999999999999999E-2</v>
      </c>
      <c r="Z27" s="69">
        <f t="shared" si="8"/>
        <v>23.327999999999999</v>
      </c>
      <c r="AA27" s="69">
        <f t="shared" si="9"/>
        <v>23.250999999999998</v>
      </c>
      <c r="AB27" s="66">
        <f>VLOOKUP(A27,Enforcements!$C$7:$J$21,8,0)</f>
        <v>119716</v>
      </c>
      <c r="AC27" s="62" t="str">
        <f>VLOOKUP(A27,Enforcements!$C$7:$E$21,3,0)</f>
        <v>PERMANENT SPEED RESTRICTION</v>
      </c>
      <c r="AD27" s="63" t="str">
        <f t="shared" si="10"/>
        <v>0115-29</v>
      </c>
      <c r="AE27" s="99" t="str">
        <f t="shared" si="11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27" s="96" t="str">
        <f t="shared" si="12"/>
        <v>"C:\Program Files (x86)\AstroGrep\AstroGrep.exe" /spath="%USERPROFILE%\AppData\Local\Temp\OnboardLogs" /stypes="*4003*20160829*"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6"/>
        <v>"%USERPROFILE%\Documents\GitHub\eaglep3\Utilities\RefineRTDCRunTimes.py" --tripid 115-29 --locoid 4003 --swversion DE.1.0.7.0 --startMP 204:770 --initTime 2016-08-29T05:24:56 --startdatetime 2016-08-29T05:30:19 --delay 1 --endMP 204:233280 --enddatetime 2016-08-29T06:08:33 --enforcementcount 0 &gt;&gt;C:\Users\stu\Documents\GitHub\eaglep3-reporting\EC\2016-08-29-refined-times.txt</v>
      </c>
      <c r="AI2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{"issue":{"subject":"","project_id":79,"tracker_id":40,"status_id":1,"priority_id":2,"assigned_to_id":23,"start_date":"2016-08-29","description":"","custom_fields":[{"id":1,"name":"Subdivision","value":"EC"},{"id":4,"name":"Milepost","value":"23.251"},{"id":17,"name":"Train ID","value":"115-29"},{"id":16,"name":"Locomotive ID","value":"4003"},{"id":130,"name":"Impact","value":""},{"id":150,"name":"Time of Event (Mountain Time)","value":"06:08:33"},{"id":151,"name":"Denver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386</v>
      </c>
      <c r="B28" s="7">
        <v>4004</v>
      </c>
      <c r="C28" s="24" t="s">
        <v>113</v>
      </c>
      <c r="D28" s="24" t="s">
        <v>274</v>
      </c>
      <c r="E28" s="15">
        <v>42611.266469907408</v>
      </c>
      <c r="F28" s="15">
        <v>42611.268240740741</v>
      </c>
      <c r="G28" s="7">
        <v>1</v>
      </c>
      <c r="H28" s="15" t="s">
        <v>588</v>
      </c>
      <c r="I28" s="15">
        <v>42611.295254629629</v>
      </c>
      <c r="J28" s="7">
        <v>0</v>
      </c>
      <c r="K28" s="132" t="str">
        <f t="shared" si="0"/>
        <v>4003/4004</v>
      </c>
      <c r="L28" s="24" t="str">
        <f>VLOOKUP(A28,'Trips&amp;Operators'!$C$1:$E$10000,3,FALSE)</f>
        <v>MALAVE</v>
      </c>
      <c r="M28" s="6">
        <f t="shared" si="1"/>
        <v>2.7013888888177462E-2</v>
      </c>
      <c r="N28" s="7">
        <f t="shared" si="21"/>
        <v>38.899999998975545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05:23:43-0600',mode:absolute,to:'2016-08-29 08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8" s="54" t="str">
        <f t="shared" si="5"/>
        <v>N</v>
      </c>
      <c r="X28" s="120">
        <f t="shared" si="22"/>
        <v>1</v>
      </c>
      <c r="Y28" s="69">
        <f t="shared" si="7"/>
        <v>23.2974</v>
      </c>
      <c r="Z28" s="69">
        <f t="shared" si="8"/>
        <v>1.6899999999999998E-2</v>
      </c>
      <c r="AA28" s="69">
        <f t="shared" si="9"/>
        <v>23.2805</v>
      </c>
      <c r="AB28" s="66">
        <f>VLOOKUP(A28,Enforcements!$C$7:$J$21,8,0)</f>
        <v>191108</v>
      </c>
      <c r="AC28" s="62" t="str">
        <f>VLOOKUP(A28,Enforcements!$C$7:$E$21,3,0)</f>
        <v>PERMANENT SPEED RESTRICTION</v>
      </c>
      <c r="AD28" s="63" t="str">
        <f t="shared" si="10"/>
        <v>0116-29</v>
      </c>
      <c r="AE28" s="99" t="str">
        <f t="shared" si="11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28" s="96" t="str">
        <f t="shared" si="12"/>
        <v>"C:\Program Files (x86)\AstroGrep\AstroGrep.exe" /spath="%USERPROFILE%\AppData\Local\Temp\OnboardLogs" /stypes="*4004*20160829*"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6"/>
        <v>"%USERPROFILE%\Documents\GitHub\eaglep3\Utilities\RefineRTDCRunTimes.py" --tripid 116-29 --locoid 4004 --swversion DE.1.0.7.0 --startMP 204:232974 --initTime 2016-08-29T06:23:43 --startdatetime 2016-08-29T06:26:16 --delay 1 --endMP 204:169 --enddatetime 2016-08-29T07:05:10 --enforcementcount 0 &gt;&gt;C:\Users\stu\Documents\GitHub\eaglep3-reporting\EC\2016-08-29-refined-times.txt</v>
      </c>
      <c r="AI28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{"issue":{"subject":"","project_id":79,"tracker_id":40,"status_id":1,"priority_id":2,"assigned_to_id":23,"start_date":"2016-08-29","description":"","custom_fields":[{"id":1,"name":"Subdivision","value":"EC"},{"id":4,"name":"Milepost","value":"23.2805"},{"id":17,"name":"Train ID","value":"116-29"},{"id":16,"name":"Locomotive ID","value":"4004"},{"id":130,"name":"Impact","value":""},{"id":150,"name":"Time of Event (Mountain Time)","value":"07:05:10"},{"id":151,"name":"Denver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375</v>
      </c>
      <c r="B29" s="7">
        <v>4007</v>
      </c>
      <c r="C29" s="24" t="s">
        <v>113</v>
      </c>
      <c r="D29" s="24" t="s">
        <v>350</v>
      </c>
      <c r="E29" s="15">
        <v>42611.233124999999</v>
      </c>
      <c r="F29" s="15">
        <v>42611.239768518521</v>
      </c>
      <c r="G29" s="7">
        <v>2</v>
      </c>
      <c r="H29" s="15" t="s">
        <v>587</v>
      </c>
      <c r="I29" s="15">
        <v>42611.266493055555</v>
      </c>
      <c r="J29" s="7">
        <v>0</v>
      </c>
      <c r="K29" s="132" t="str">
        <f t="shared" si="0"/>
        <v>4007/4008</v>
      </c>
      <c r="L29" s="24" t="str">
        <f>VLOOKUP(A29,'Trips&amp;Operators'!$C$1:$E$10000,3,FALSE)</f>
        <v>ACKERMAN</v>
      </c>
      <c r="M29" s="6">
        <f t="shared" si="1"/>
        <v>2.6724537034169771E-2</v>
      </c>
      <c r="N29" s="7">
        <f t="shared" si="21"/>
        <v>38.48333332920447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04:35:42-0600',mode:absolute,to:'2016-08-29 07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9" s="54" t="str">
        <f t="shared" si="5"/>
        <v>N</v>
      </c>
      <c r="X29" s="120">
        <f t="shared" si="22"/>
        <v>1</v>
      </c>
      <c r="Y29" s="69">
        <f t="shared" si="7"/>
        <v>4.4200000000000003E-2</v>
      </c>
      <c r="Z29" s="69">
        <f t="shared" si="8"/>
        <v>23.327999999999999</v>
      </c>
      <c r="AA29" s="69">
        <f t="shared" si="9"/>
        <v>23.283799999999999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0"/>
        <v>0117-29</v>
      </c>
      <c r="AE29" s="99" t="str">
        <f t="shared" si="11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29" s="96" t="str">
        <f t="shared" si="12"/>
        <v>"C:\Program Files (x86)\AstroGrep\AstroGrep.exe" /spath="%USERPROFILE%\AppData\Local\Temp\OnboardLogs" /stypes="*4007*20160829*"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6"/>
        <v>"%USERPROFILE%\Documents\GitHub\eaglep3\Utilities\RefineRTDCRunTimes.py" --tripid 117-29 --locoid 4007 --swversion DE.1.0.7.0 --startMP 204:442 --initTime 2016-08-29T05:35:42 --startdatetime 2016-08-29T05:45:16 --delay 2 --endMP 204:233280 --enddatetime 2016-08-29T06:23:45 --enforcementcount 0 &gt;&gt;C:\Users\stu\Documents\GitHub\eaglep3-reporting\EC\2016-08-29-refined-times.txt</v>
      </c>
      <c r="AI29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{"issue":{"subject":"","project_id":79,"tracker_id":40,"status_id":1,"priority_id":2,"assigned_to_id":23,"start_date":"2016-08-29","description":"","custom_fields":[{"id":1,"name":"Subdivision","value":"EC"},{"id":4,"name":"Milepost","value":"23.2838"},{"id":17,"name":"Train ID","value":"117-29"},{"id":16,"name":"Locomotive ID","value":"4007"},{"id":130,"name":"Impact","value":""},{"id":150,"name":"Time of Event (Mountain Time)","value":"06:23:45"},{"id":151,"name":"Denver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387</v>
      </c>
      <c r="B30" s="7">
        <v>4008</v>
      </c>
      <c r="C30" s="24" t="s">
        <v>113</v>
      </c>
      <c r="D30" s="24" t="s">
        <v>266</v>
      </c>
      <c r="E30" s="15">
        <v>42611.272141203706</v>
      </c>
      <c r="F30" s="15">
        <v>42611.278680555559</v>
      </c>
      <c r="G30" s="7">
        <v>1</v>
      </c>
      <c r="H30" s="15" t="s">
        <v>89</v>
      </c>
      <c r="I30" s="15">
        <v>42611.307442129626</v>
      </c>
      <c r="J30" s="7">
        <v>0</v>
      </c>
      <c r="K30" s="132" t="str">
        <f t="shared" si="0"/>
        <v>4007/4008</v>
      </c>
      <c r="L30" s="24" t="str">
        <f>VLOOKUP(A30,'Trips&amp;Operators'!$C$1:$E$10000,3,FALSE)</f>
        <v>ACKERMAN</v>
      </c>
      <c r="M30" s="6">
        <f t="shared" si="1"/>
        <v>2.8761574067175388E-2</v>
      </c>
      <c r="N30" s="7">
        <f t="shared" si="21"/>
        <v>41.416666656732559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05:31:53-0600',mode:absolute,to:'2016-08-29 08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0" s="54" t="str">
        <f t="shared" si="5"/>
        <v>N</v>
      </c>
      <c r="X30" s="120">
        <f t="shared" si="22"/>
        <v>1</v>
      </c>
      <c r="Y30" s="69">
        <f t="shared" si="7"/>
        <v>23.2971</v>
      </c>
      <c r="Z30" s="69">
        <f t="shared" si="8"/>
        <v>1.43E-2</v>
      </c>
      <c r="AA30" s="69">
        <f t="shared" si="9"/>
        <v>23.282800000000002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0"/>
        <v>0118-29</v>
      </c>
      <c r="AE30" s="99" t="str">
        <f t="shared" si="11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30" s="96" t="str">
        <f t="shared" si="12"/>
        <v>"C:\Program Files (x86)\AstroGrep\AstroGrep.exe" /spath="%USERPROFILE%\AppData\Local\Temp\OnboardLogs" /stypes="*4008*20160829*"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6"/>
        <v>"%USERPROFILE%\Documents\GitHub\eaglep3\Utilities\RefineRTDCRunTimes.py" --tripid 118-29 --locoid 4008 --swversion DE.1.0.7.0 --startMP 204:232971 --initTime 2016-08-29T06:31:53 --startdatetime 2016-08-29T06:41:18 --delay 1 --endMP 204:143 --enddatetime 2016-08-29T07:22:43 --enforcementcount 0 &gt;&gt;C:\Users\stu\Documents\GitHub\eaglep3-reporting\EC\2016-08-29-refined-times.txt</v>
      </c>
      <c r="AI30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{"issue":{"subject":"","project_id":79,"tracker_id":40,"status_id":1,"priority_id":2,"assigned_to_id":23,"start_date":"2016-08-29","description":"","custom_fields":[{"id":1,"name":"Subdivision","value":"EC"},{"id":4,"name":"Milepost","value":"23.2828"},{"id":17,"name":"Train ID","value":"118-29"},{"id":16,"name":"Locomotive ID","value":"4008"},{"id":130,"name":"Impact","value":""},{"id":150,"name":"Time of Event (Mountain Time)","value":"07:22:43"},{"id":151,"name":"Denver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379</v>
      </c>
      <c r="B31" s="7">
        <v>4029</v>
      </c>
      <c r="C31" s="24" t="s">
        <v>113</v>
      </c>
      <c r="D31" s="24" t="s">
        <v>589</v>
      </c>
      <c r="E31" s="15">
        <v>42611.251759259256</v>
      </c>
      <c r="F31" s="15">
        <v>42611.253680555557</v>
      </c>
      <c r="G31" s="7">
        <v>2</v>
      </c>
      <c r="H31" s="15" t="s">
        <v>190</v>
      </c>
      <c r="I31" s="15">
        <v>42611.282893518517</v>
      </c>
      <c r="J31" s="7">
        <v>0</v>
      </c>
      <c r="K31" s="132" t="str">
        <f t="shared" si="0"/>
        <v>4029/4030</v>
      </c>
      <c r="L31" s="24" t="str">
        <f>VLOOKUP(A31,'Trips&amp;Operators'!$C$1:$E$10000,3,FALSE)</f>
        <v>BRANNON</v>
      </c>
      <c r="M31" s="6">
        <f t="shared" si="1"/>
        <v>2.9212962959718425E-2</v>
      </c>
      <c r="N31" s="7">
        <f t="shared" si="21"/>
        <v>42.066666661994532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05:02:32-0600',mode:absolute,to:'2016-08-29 07:47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31" s="54" t="str">
        <f t="shared" si="5"/>
        <v>N</v>
      </c>
      <c r="X31" s="120">
        <f t="shared" si="22"/>
        <v>1</v>
      </c>
      <c r="Y31" s="69">
        <f t="shared" si="7"/>
        <v>7.5399999999999995E-2</v>
      </c>
      <c r="Z31" s="69">
        <f t="shared" si="8"/>
        <v>23.331199999999999</v>
      </c>
      <c r="AA31" s="69">
        <f t="shared" si="9"/>
        <v>23.255800000000001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0"/>
        <v>0119-29</v>
      </c>
      <c r="AE31" s="99" t="str">
        <f t="shared" si="11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31" s="96" t="str">
        <f t="shared" si="12"/>
        <v>"C:\Program Files (x86)\AstroGrep\AstroGrep.exe" /spath="%USERPROFILE%\AppData\Local\Temp\OnboardLogs" /stypes="*4029*20160829*"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6"/>
        <v>"%USERPROFILE%\Documents\GitHub\eaglep3\Utilities\RefineRTDCRunTimes.py" --tripid 119-29 --locoid 4029 --swversion DE.1.0.7.0 --startMP 204:754 --initTime 2016-08-29T06:02:32 --startdatetime 2016-08-29T06:05:18 --delay 2 --endMP 204:233312 --enddatetime 2016-08-29T06:47:22 --enforcementcount 0 &gt;&gt;C:\Users\stu\Documents\GitHub\eaglep3-reporting\EC\2016-08-29-refined-times.txt</v>
      </c>
      <c r="AI31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{"issue":{"subject":"","project_id":79,"tracker_id":40,"status_id":1,"priority_id":2,"assigned_to_id":23,"start_date":"2016-08-29","description":"","custom_fields":[{"id":1,"name":"Subdivision","value":"EC"},{"id":4,"name":"Milepost","value":"23.2558"},{"id":17,"name":"Train ID","value":"119-29"},{"id":16,"name":"Locomotive ID","value":"4029"},{"id":130,"name":"Impact","value":""},{"id":150,"name":"Time of Event (Mountain Time)","value":"06:47:22"},{"id":151,"name":"Denver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ht="16.5" customHeight="1" x14ac:dyDescent="0.25">
      <c r="A32" s="39" t="s">
        <v>392</v>
      </c>
      <c r="B32" s="7">
        <v>4030</v>
      </c>
      <c r="C32" s="24" t="s">
        <v>113</v>
      </c>
      <c r="D32" s="24" t="s">
        <v>282</v>
      </c>
      <c r="E32" s="15">
        <v>42611.285520833335</v>
      </c>
      <c r="F32" s="15">
        <v>42611.289340277777</v>
      </c>
      <c r="G32" s="7">
        <v>3</v>
      </c>
      <c r="H32" s="15" t="s">
        <v>183</v>
      </c>
      <c r="I32" s="15">
        <v>42611.317314814813</v>
      </c>
      <c r="J32" s="7">
        <v>0</v>
      </c>
      <c r="K32" s="132" t="str">
        <f t="shared" si="0"/>
        <v>4029/4030</v>
      </c>
      <c r="L32" s="24" t="str">
        <f>VLOOKUP(A32,'Trips&amp;Operators'!$C$1:$E$10000,3,FALSE)</f>
        <v>BRANNON</v>
      </c>
      <c r="M32" s="6">
        <f t="shared" si="1"/>
        <v>2.7974537035333924E-2</v>
      </c>
      <c r="N32" s="7">
        <f t="shared" si="21"/>
        <v>40.283333330880851</v>
      </c>
      <c r="O32" s="7"/>
      <c r="P32" s="7"/>
      <c r="Q32" s="25"/>
      <c r="R32" s="25"/>
      <c r="S32" s="37">
        <f t="shared" si="2"/>
        <v>1</v>
      </c>
      <c r="T32" s="52" t="str">
        <f t="shared" si="3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05:51:09-0600',mode:absolute,to:'2016-08-29 08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32" s="54" t="str">
        <f t="shared" si="5"/>
        <v>N</v>
      </c>
      <c r="X32" s="120">
        <f t="shared" si="22"/>
        <v>1</v>
      </c>
      <c r="Y32" s="69">
        <f t="shared" si="7"/>
        <v>23.297899999999998</v>
      </c>
      <c r="Z32" s="69">
        <f t="shared" si="8"/>
        <v>1.6E-2</v>
      </c>
      <c r="AA32" s="69">
        <f t="shared" si="9"/>
        <v>23.2819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0"/>
        <v>0120-29</v>
      </c>
      <c r="AE32" s="99" t="str">
        <f t="shared" si="11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32" s="96" t="str">
        <f t="shared" si="12"/>
        <v>"C:\Program Files (x86)\AstroGrep\AstroGrep.exe" /spath="%USERPROFILE%\AppData\Local\Temp\OnboardLogs" /stypes="*4030*20160829*"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6"/>
        <v>"%USERPROFILE%\Documents\GitHub\eaglep3\Utilities\RefineRTDCRunTimes.py" --tripid 120-29 --locoid 4030 --swversion DE.1.0.7.0 --startMP 204:232979 --initTime 2016-08-29T06:51:09 --startdatetime 2016-08-29T06:56:39 --delay 3 --endMP 204:160 --enddatetime 2016-08-29T07:36:56 --enforcementcount 0 &gt;&gt;C:\Users\stu\Documents\GitHub\eaglep3-reporting\EC\2016-08-29-refined-times.txt</v>
      </c>
      <c r="AI32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{"issue":{"subject":"","project_id":79,"tracker_id":40,"status_id":1,"priority_id":2,"assigned_to_id":23,"start_date":"2016-08-29","description":"","custom_fields":[{"id":1,"name":"Subdivision","value":"EC"},{"id":4,"name":"Milepost","value":"23.2819"},{"id":17,"name":"Train ID","value":"120-29"},{"id":16,"name":"Locomotive ID","value":"4030"},{"id":130,"name":"Impact","value":""},{"id":150,"name":"Time of Event (Mountain Time)","value":"07:36:56"},{"id":151,"name":"Denver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381</v>
      </c>
      <c r="B33" s="7">
        <v>4009</v>
      </c>
      <c r="C33" s="24" t="s">
        <v>113</v>
      </c>
      <c r="D33" s="24" t="s">
        <v>267</v>
      </c>
      <c r="E33" s="15">
        <v>42611.25677083333</v>
      </c>
      <c r="F33" s="15">
        <v>42611.260601851849</v>
      </c>
      <c r="G33" s="7">
        <v>1</v>
      </c>
      <c r="H33" s="15" t="s">
        <v>590</v>
      </c>
      <c r="I33" s="15">
        <v>42611.28570601852</v>
      </c>
      <c r="J33" s="7">
        <v>0</v>
      </c>
      <c r="K33" s="132" t="str">
        <f t="shared" si="0"/>
        <v>4009/4010</v>
      </c>
      <c r="L33" s="24" t="str">
        <f>VLOOKUP(A33,'Trips&amp;Operators'!$C$1:$E$10000,3,FALSE)</f>
        <v>SPECTOR</v>
      </c>
      <c r="M33" s="6">
        <f t="shared" si="1"/>
        <v>2.510416667064419E-2</v>
      </c>
      <c r="N33" s="7">
        <f t="shared" si="21"/>
        <v>36.150000005727634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05:09:45-0600',mode:absolute,to:'2016-08-29 07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5"/>
        <v>N</v>
      </c>
      <c r="X33" s="120">
        <f t="shared" si="22"/>
        <v>1</v>
      </c>
      <c r="Y33" s="69">
        <f t="shared" si="7"/>
        <v>4.58E-2</v>
      </c>
      <c r="Z33" s="69">
        <f t="shared" si="8"/>
        <v>23.331399999999999</v>
      </c>
      <c r="AA33" s="69">
        <f t="shared" si="9"/>
        <v>23.285599999999999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0"/>
        <v>0121-29</v>
      </c>
      <c r="AE33" s="99" t="str">
        <f t="shared" si="11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33" s="96" t="str">
        <f t="shared" si="12"/>
        <v>"C:\Program Files (x86)\AstroGrep\AstroGrep.exe" /spath="%USERPROFILE%\AppData\Local\Temp\OnboardLogs" /stypes="*4009*20160829*"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6"/>
        <v>"%USERPROFILE%\Documents\GitHub\eaglep3\Utilities\RefineRTDCRunTimes.py" --tripid 121-29 --locoid 4009 --swversion DE.1.0.7.0 --startMP 204:458 --initTime 2016-08-29T06:09:45 --startdatetime 2016-08-29T06:15:16 --delay 1 --endMP 204:233314 --enddatetime 2016-08-29T06:51:25 --enforcementcount 0 &gt;&gt;C:\Users\stu\Documents\GitHub\eaglep3-reporting\EC\2016-08-29-refined-times.txt</v>
      </c>
      <c r="AI33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{"issue":{"subject":"","project_id":79,"tracker_id":40,"status_id":1,"priority_id":2,"assigned_to_id":23,"start_date":"2016-08-29","description":"","custom_fields":[{"id":1,"name":"Subdivision","value":"EC"},{"id":4,"name":"Milepost","value":"23.2856"},{"id":17,"name":"Train ID","value":"121-29"},{"id":16,"name":"Locomotive ID","value":"4009"},{"id":130,"name":"Impact","value":""},{"id":150,"name":"Time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31" customFormat="1" x14ac:dyDescent="0.25">
      <c r="A34" s="39" t="s">
        <v>395</v>
      </c>
      <c r="B34" s="7">
        <v>4010</v>
      </c>
      <c r="C34" s="24" t="s">
        <v>113</v>
      </c>
      <c r="D34" s="24" t="s">
        <v>591</v>
      </c>
      <c r="E34" s="15">
        <v>42611.295254629629</v>
      </c>
      <c r="F34" s="15">
        <v>42611.299560185187</v>
      </c>
      <c r="G34" s="7">
        <v>1</v>
      </c>
      <c r="H34" s="15" t="s">
        <v>592</v>
      </c>
      <c r="I34" s="15">
        <v>42611.326793981483</v>
      </c>
      <c r="J34" s="7">
        <v>0</v>
      </c>
      <c r="K34" s="132" t="str">
        <f t="shared" si="0"/>
        <v>4009/4010</v>
      </c>
      <c r="L34" s="24" t="str">
        <f>VLOOKUP(A34,'Trips&amp;Operators'!$C$1:$E$10000,3,FALSE)</f>
        <v>SPECTOR</v>
      </c>
      <c r="M34" s="6">
        <f t="shared" si="1"/>
        <v>2.7233796296059154E-2</v>
      </c>
      <c r="N34" s="7">
        <f t="shared" si="21"/>
        <v>39.216666666325182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06:05:10-0600',mode:absolute,to:'2016-08-29 08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5"/>
        <v>N</v>
      </c>
      <c r="X34" s="120">
        <f t="shared" si="22"/>
        <v>1</v>
      </c>
      <c r="Y34" s="69">
        <f t="shared" si="7"/>
        <v>23.3003</v>
      </c>
      <c r="Z34" s="69">
        <f t="shared" si="8"/>
        <v>1.3599999999999999E-2</v>
      </c>
      <c r="AA34" s="69">
        <f t="shared" si="9"/>
        <v>23.2867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10"/>
        <v>0122-29</v>
      </c>
      <c r="AE34" s="99" t="str">
        <f t="shared" si="11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34" s="96" t="str">
        <f t="shared" si="12"/>
        <v>"C:\Program Files (x86)\AstroGrep\AstroGrep.exe" /spath="%USERPROFILE%\AppData\Local\Temp\OnboardLogs" /stypes="*4010*20160829*"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6"/>
        <v>"%USERPROFILE%\Documents\GitHub\eaglep3\Utilities\RefineRTDCRunTimes.py" --tripid 122-29 --locoid 4010 --swversion DE.1.0.7.0 --startMP 204:233003 --initTime 2016-08-29T07:05:10 --startdatetime 2016-08-29T07:11:22 --delay 1 --endMP 204:136 --enddatetime 2016-08-29T07:50:35 --enforcementcount 0 &gt;&gt;C:\Users\stu\Documents\GitHub\eaglep3-reporting\EC\2016-08-29-refined-times.txt</v>
      </c>
      <c r="AI34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{"issue":{"subject":"","project_id":79,"tracker_id":40,"status_id":1,"priority_id":2,"assigned_to_id":23,"start_date":"2016-08-29","description":"","custom_fields":[{"id":1,"name":"Subdivision","value":"EC"},{"id":4,"name":"Milepost","value":"23.2867"},{"id":17,"name":"Train ID","value":"122-29"},{"id":16,"name":"Locomotive ID","value":"4010"},{"id":130,"name":"Impact","value":""},{"id":150,"name":"Time of Event (Mountain Time)","value":"07:50:35"},{"id":151,"name":"Denver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385</v>
      </c>
      <c r="B35" s="7">
        <v>4040</v>
      </c>
      <c r="C35" s="24" t="s">
        <v>113</v>
      </c>
      <c r="D35" s="24" t="s">
        <v>271</v>
      </c>
      <c r="E35" s="15">
        <v>42611.265821759262</v>
      </c>
      <c r="F35" s="15">
        <v>42611.271122685182</v>
      </c>
      <c r="G35" s="7">
        <v>1</v>
      </c>
      <c r="H35" s="15" t="s">
        <v>292</v>
      </c>
      <c r="I35" s="15">
        <v>42611.295567129629</v>
      </c>
      <c r="J35" s="7">
        <v>0</v>
      </c>
      <c r="K35" s="132" t="str">
        <f t="shared" si="0"/>
        <v>4039/4040</v>
      </c>
      <c r="L35" s="24" t="str">
        <f>VLOOKUP(A35,'Trips&amp;Operators'!$C$1:$E$10000,3,FALSE)</f>
        <v>YORK</v>
      </c>
      <c r="M35" s="6">
        <f t="shared" si="1"/>
        <v>2.4444444446999114E-2</v>
      </c>
      <c r="N35" s="7">
        <f t="shared" si="21"/>
        <v>35.200000003678724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05:22:47-0600',mode:absolute,to:'2016-08-29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35" s="54" t="str">
        <f t="shared" si="5"/>
        <v>N</v>
      </c>
      <c r="X35" s="120">
        <f t="shared" si="22"/>
        <v>1</v>
      </c>
      <c r="Y35" s="69">
        <f t="shared" si="7"/>
        <v>4.82E-2</v>
      </c>
      <c r="Z35" s="69">
        <f t="shared" si="8"/>
        <v>23.328499999999998</v>
      </c>
      <c r="AA35" s="69">
        <f t="shared" si="9"/>
        <v>23.280299999999997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0"/>
        <v>0123-29</v>
      </c>
      <c r="AE35" s="99" t="str">
        <f t="shared" si="11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35" s="96" t="str">
        <f t="shared" si="12"/>
        <v>"C:\Program Files (x86)\AstroGrep\AstroGrep.exe" /spath="%USERPROFILE%\AppData\Local\Temp\OnboardLogs" /stypes="*4040*20160829*"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6"/>
        <v>"%USERPROFILE%\Documents\GitHub\eaglep3\Utilities\RefineRTDCRunTimes.py" --tripid 123-29 --locoid 4040 --swversion DE.1.0.7.0 --startMP 204:482 --initTime 2016-08-29T06:22:47 --startdatetime 2016-08-29T06:30:25 --delay 1 --endMP 204:233285 --enddatetime 2016-08-29T07:05:37 --enforcementcount 0 &gt;&gt;C:\Users\stu\Documents\GitHub\eaglep3-reporting\EC\2016-08-29-refined-times.txt</v>
      </c>
      <c r="AI3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{"issue":{"subject":"","project_id":79,"tracker_id":40,"status_id":1,"priority_id":2,"assigned_to_id":23,"start_date":"2016-08-29","description":"","custom_fields":[{"id":1,"name":"Subdivision","value":"EC"},{"id":4,"name":"Milepost","value":"23.2803"},{"id":17,"name":"Train ID","value":"123-29"},{"id":16,"name":"Locomotive ID","value":"4040"},{"id":130,"name":"Impact","value":""},{"id":150,"name":"Time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397</v>
      </c>
      <c r="B36" s="7">
        <v>4039</v>
      </c>
      <c r="C36" s="24" t="s">
        <v>113</v>
      </c>
      <c r="D36" s="24" t="s">
        <v>593</v>
      </c>
      <c r="E36" s="15">
        <v>42611.297303240739</v>
      </c>
      <c r="F36" s="15">
        <v>42611.310023148151</v>
      </c>
      <c r="G36" s="7">
        <v>1</v>
      </c>
      <c r="H36" s="15" t="s">
        <v>136</v>
      </c>
      <c r="I36" s="15">
        <v>42611.335729166669</v>
      </c>
      <c r="J36" s="7">
        <v>0</v>
      </c>
      <c r="K36" s="132" t="str">
        <f t="shared" si="0"/>
        <v>4039/4040</v>
      </c>
      <c r="L36" s="24" t="str">
        <f>VLOOKUP(A36,'Trips&amp;Operators'!$C$1:$E$10000,3,FALSE)</f>
        <v>YORK</v>
      </c>
      <c r="M36" s="6">
        <f t="shared" si="1"/>
        <v>2.5706018517666962E-2</v>
      </c>
      <c r="N36" s="7">
        <f t="shared" si="21"/>
        <v>37.016666665440425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06:08:07-0600',mode:absolute,to:'2016-08-29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36" s="54" t="str">
        <f t="shared" si="5"/>
        <v>N</v>
      </c>
      <c r="X36" s="120">
        <f t="shared" si="22"/>
        <v>1</v>
      </c>
      <c r="Y36" s="69">
        <f t="shared" si="7"/>
        <v>23.296600000000002</v>
      </c>
      <c r="Z36" s="69">
        <f t="shared" si="8"/>
        <v>1.49E-2</v>
      </c>
      <c r="AA36" s="69">
        <f t="shared" si="9"/>
        <v>23.281700000000001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0"/>
        <v>0124-29</v>
      </c>
      <c r="AE36" s="99" t="str">
        <f t="shared" si="11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36" s="96" t="str">
        <f t="shared" si="12"/>
        <v>"C:\Program Files (x86)\AstroGrep\AstroGrep.exe" /spath="%USERPROFILE%\AppData\Local\Temp\OnboardLogs" /stypes="*4039*20160829*"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6"/>
        <v>"%USERPROFILE%\Documents\GitHub\eaglep3\Utilities\RefineRTDCRunTimes.py" --tripid 124-29 --locoid 4039 --swversion DE.1.0.7.0 --startMP 204:232966 --initTime 2016-08-29T07:08:07 --startdatetime 2016-08-29T07:26:26 --delay 1 --endMP 204:149 --enddatetime 2016-08-29T08:03:27 --enforcementcount 0 &gt;&gt;C:\Users\stu\Documents\GitHub\eaglep3-reporting\EC\2016-08-29-refined-times.txt</v>
      </c>
      <c r="AI36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{"issue":{"subject":"","project_id":79,"tracker_id":40,"status_id":1,"priority_id":2,"assigned_to_id":23,"start_date":"2016-08-29","description":"","custom_fields":[{"id":1,"name":"Subdivision","value":"EC"},{"id":4,"name":"Milepost","value":"23.2817"},{"id":17,"name":"Train ID","value":"124-29"},{"id":16,"name":"Locomotive ID","value":"4039"},{"id":130,"name":"Impact","value":""},{"id":150,"name":"Time of Event (Mountain Time)","value":"08:03:27"},{"id":151,"name":"Denver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388</v>
      </c>
      <c r="B37" s="7">
        <v>4031</v>
      </c>
      <c r="C37" s="24" t="s">
        <v>113</v>
      </c>
      <c r="D37" s="24" t="s">
        <v>267</v>
      </c>
      <c r="E37" s="15">
        <v>42611.277187500003</v>
      </c>
      <c r="F37" s="15">
        <v>42611.281643518516</v>
      </c>
      <c r="G37" s="7">
        <v>1</v>
      </c>
      <c r="H37" s="15" t="s">
        <v>280</v>
      </c>
      <c r="I37" s="15">
        <v>42611.307476851849</v>
      </c>
      <c r="J37" s="7">
        <v>0</v>
      </c>
      <c r="K37" s="132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2.5833333333139308E-2</v>
      </c>
      <c r="N37" s="7">
        <f t="shared" si="21"/>
        <v>37.199999999720603</v>
      </c>
      <c r="O37" s="7"/>
      <c r="P37" s="7"/>
      <c r="Q37" s="25"/>
      <c r="R37" s="25"/>
      <c r="S37" s="37">
        <f t="shared" si="2"/>
        <v>1</v>
      </c>
      <c r="T37" s="52" t="str">
        <f t="shared" si="3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05:39:09-0600',mode:absolute,to:'2016-08-29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5"/>
        <v>N</v>
      </c>
      <c r="X37" s="120">
        <f t="shared" si="22"/>
        <v>1</v>
      </c>
      <c r="Y37" s="69">
        <f t="shared" si="7"/>
        <v>4.58E-2</v>
      </c>
      <c r="Z37" s="69">
        <f t="shared" si="8"/>
        <v>23.331099999999999</v>
      </c>
      <c r="AA37" s="69">
        <f t="shared" si="9"/>
        <v>23.285299999999999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10"/>
        <v>0125-29</v>
      </c>
      <c r="AE37" s="99" t="str">
        <f t="shared" si="11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37" s="96" t="str">
        <f t="shared" si="12"/>
        <v>"C:\Program Files (x86)\AstroGrep\AstroGrep.exe" /spath="%USERPROFILE%\AppData\Local\Temp\OnboardLogs" /stypes="*4031*20160829*"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6"/>
        <v>"%USERPROFILE%\Documents\GitHub\eaglep3\Utilities\RefineRTDCRunTimes.py" --tripid 125-29 --locoid 4031 --swversion DE.1.0.7.0 --startMP 204:458 --initTime 2016-08-29T06:39:09 --startdatetime 2016-08-29T06:45:34 --delay 1 --endMP 204:233311 --enddatetime 2016-08-29T07:22:46 --enforcementcount 0 &gt;&gt;C:\Users\stu\Documents\GitHub\eaglep3-reporting\EC\2016-08-29-refined-times.txt</v>
      </c>
      <c r="AI3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{"issue":{"subject":"","project_id":79,"tracker_id":40,"status_id":1,"priority_id":2,"assigned_to_id":23,"start_date":"2016-08-29","description":"","custom_fields":[{"id":1,"name":"Subdivision","value":"EC"},{"id":4,"name":"Milepost","value":"23.2853"},{"id":17,"name":"Train ID","value":"125-29"},{"id":16,"name":"Locomotive ID","value":"4031"},{"id":130,"name":"Impact","value":""},{"id":150,"name":"Time of Event (Mountain Time)","value":"07:22:46"},{"id":151,"name":"Denver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400</v>
      </c>
      <c r="B38" s="7">
        <v>4032</v>
      </c>
      <c r="C38" s="24" t="s">
        <v>113</v>
      </c>
      <c r="D38" s="24" t="s">
        <v>239</v>
      </c>
      <c r="E38" s="15">
        <v>42611.31653935185</v>
      </c>
      <c r="F38" s="15">
        <v>42611.3203125</v>
      </c>
      <c r="G38" s="7">
        <v>1</v>
      </c>
      <c r="H38" s="15" t="s">
        <v>179</v>
      </c>
      <c r="I38" s="15">
        <v>42611.349490740744</v>
      </c>
      <c r="J38" s="7">
        <v>0</v>
      </c>
      <c r="K38" s="132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2.9178240743931383E-2</v>
      </c>
      <c r="N38" s="7">
        <f t="shared" si="21"/>
        <v>42.016666671261191</v>
      </c>
      <c r="O38" s="7"/>
      <c r="P38" s="7"/>
      <c r="Q38" s="25"/>
      <c r="R38" s="25"/>
      <c r="S38" s="37">
        <f t="shared" si="2"/>
        <v>1</v>
      </c>
      <c r="T38" s="52" t="str">
        <f t="shared" si="3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06:35:49-0600',mode:absolute,to:'2016-08-29 09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5"/>
        <v>N</v>
      </c>
      <c r="X38" s="120">
        <f t="shared" si="22"/>
        <v>1</v>
      </c>
      <c r="Y38" s="69">
        <f t="shared" si="7"/>
        <v>23.297999999999998</v>
      </c>
      <c r="Z38" s="69">
        <f t="shared" si="8"/>
        <v>1.4500000000000001E-2</v>
      </c>
      <c r="AA38" s="69">
        <f t="shared" si="9"/>
        <v>23.283499999999997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10"/>
        <v>0126-29</v>
      </c>
      <c r="AE38" s="99" t="str">
        <f t="shared" si="11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38" s="96" t="str">
        <f t="shared" si="12"/>
        <v>"C:\Program Files (x86)\AstroGrep\AstroGrep.exe" /spath="%USERPROFILE%\AppData\Local\Temp\OnboardLogs" /stypes="*4032*20160829*"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6"/>
        <v>"%USERPROFILE%\Documents\GitHub\eaglep3\Utilities\RefineRTDCRunTimes.py" --tripid 126-29 --locoid 4032 --swversion DE.1.0.7.0 --startMP 204:232980 --initTime 2016-08-29T07:35:49 --startdatetime 2016-08-29T07:41:15 --delay 1 --endMP 204:145 --enddatetime 2016-08-29T08:23:16 --enforcementcount 0 &gt;&gt;C:\Users\stu\Documents\GitHub\eaglep3-reporting\EC\2016-08-29-refined-times.txt</v>
      </c>
      <c r="AI38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{"issue":{"subject":"","project_id":79,"tracker_id":40,"status_id":1,"priority_id":2,"assigned_to_id":23,"start_date":"2016-08-29","description":"","custom_fields":[{"id":1,"name":"Subdivision","value":"EC"},{"id":4,"name":"Milepost","value":"23.2835"},{"id":17,"name":"Train ID","value":"126-29"},{"id":16,"name":"Locomotive ID","value":"4032"},{"id":130,"name":"Impact","value":""},{"id":150,"name":"Time of Event (Mountain Time)","value":"08:23:16"},{"id":151,"name":"Denver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393</v>
      </c>
      <c r="B39" s="7">
        <v>4027</v>
      </c>
      <c r="C39" s="24" t="s">
        <v>113</v>
      </c>
      <c r="D39" s="24" t="s">
        <v>125</v>
      </c>
      <c r="E39" s="15">
        <v>42611.288217592592</v>
      </c>
      <c r="F39" s="15">
        <v>42611.291875000003</v>
      </c>
      <c r="G39" s="7">
        <v>1</v>
      </c>
      <c r="H39" s="15" t="s">
        <v>594</v>
      </c>
      <c r="I39" s="15">
        <v>42611.316840277781</v>
      </c>
      <c r="J39" s="7">
        <v>0</v>
      </c>
      <c r="K39" s="132" t="str">
        <f t="shared" si="0"/>
        <v>4027/4028</v>
      </c>
      <c r="L39" s="24" t="str">
        <f>VLOOKUP(A39,'Trips&amp;Operators'!$C$1:$E$10000,3,FALSE)</f>
        <v>KILLION</v>
      </c>
      <c r="M39" s="6">
        <f t="shared" si="1"/>
        <v>2.4965277778392192E-2</v>
      </c>
      <c r="N39" s="7">
        <f t="shared" si="21"/>
        <v>35.950000000884756</v>
      </c>
      <c r="O39" s="7"/>
      <c r="P39" s="7"/>
      <c r="Q39" s="25"/>
      <c r="R39" s="25"/>
      <c r="S39" s="37">
        <f t="shared" si="2"/>
        <v>1</v>
      </c>
      <c r="T39" s="52" t="str">
        <f t="shared" si="3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05:55:02-0600',mode:absolute,to:'2016-08-29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9" s="54" t="str">
        <f t="shared" si="5"/>
        <v>N</v>
      </c>
      <c r="X39" s="120">
        <f t="shared" si="22"/>
        <v>1</v>
      </c>
      <c r="Y39" s="69">
        <f t="shared" si="7"/>
        <v>4.5499999999999999E-2</v>
      </c>
      <c r="Z39" s="69">
        <f t="shared" si="8"/>
        <v>23.328700000000001</v>
      </c>
      <c r="AA39" s="69">
        <f t="shared" si="9"/>
        <v>23.283200000000001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0"/>
        <v>0127-29</v>
      </c>
      <c r="AE39" s="99" t="str">
        <f t="shared" si="11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39" s="96" t="str">
        <f t="shared" si="12"/>
        <v>"C:\Program Files (x86)\AstroGrep\AstroGrep.exe" /spath="%USERPROFILE%\AppData\Local\Temp\OnboardLogs" /stypes="*4027*20160829*"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6"/>
        <v>"%USERPROFILE%\Documents\GitHub\eaglep3\Utilities\RefineRTDCRunTimes.py" --tripid 127-29 --locoid 4027 --swversion DE.1.0.7.0 --startMP 204:455 --initTime 2016-08-29T06:55:02 --startdatetime 2016-08-29T07:00:18 --delay 1 --endMP 204:233287 --enddatetime 2016-08-29T07:36:15 --enforcementcount 0 &gt;&gt;C:\Users\stu\Documents\GitHub\eaglep3-reporting\EC\2016-08-29-refined-times.txt</v>
      </c>
      <c r="AI39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{"issue":{"subject":"","project_id":79,"tracker_id":40,"status_id":1,"priority_id":2,"assigned_to_id":23,"start_date":"2016-08-29","description":"","custom_fields":[{"id":1,"name":"Subdivision","value":"EC"},{"id":4,"name":"Milepost","value":"23.2832"},{"id":17,"name":"Train ID","value":"127-29"},{"id":16,"name":"Locomotive ID","value":"4027"},{"id":130,"name":"Impact","value":""},{"id":150,"name":"Time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404</v>
      </c>
      <c r="B40" s="7">
        <v>4028</v>
      </c>
      <c r="C40" s="24" t="s">
        <v>113</v>
      </c>
      <c r="D40" s="24" t="s">
        <v>322</v>
      </c>
      <c r="E40" s="15">
        <v>42611.322754629633</v>
      </c>
      <c r="F40" s="15">
        <v>42611.331469907411</v>
      </c>
      <c r="G40" s="7">
        <v>1</v>
      </c>
      <c r="H40" s="15" t="s">
        <v>150</v>
      </c>
      <c r="I40" s="15">
        <v>42611.358877314815</v>
      </c>
      <c r="J40" s="7">
        <v>0</v>
      </c>
      <c r="K40" s="132" t="str">
        <f t="shared" si="0"/>
        <v>4027/4028</v>
      </c>
      <c r="L40" s="24" t="str">
        <f>VLOOKUP(A40,'Trips&amp;Operators'!$C$1:$E$10000,3,FALSE)</f>
        <v>KILLION</v>
      </c>
      <c r="M40" s="6">
        <f t="shared" si="1"/>
        <v>2.7407407404098194E-2</v>
      </c>
      <c r="N40" s="7">
        <f t="shared" si="21"/>
        <v>39.466666661901399</v>
      </c>
      <c r="O40" s="7"/>
      <c r="P40" s="7"/>
      <c r="Q40" s="25"/>
      <c r="R40" s="25"/>
      <c r="S40" s="37">
        <f t="shared" si="2"/>
        <v>1</v>
      </c>
      <c r="T40" s="52" t="str">
        <f t="shared" si="3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06:44:46-0600',mode:absolute,to:'2016-08-29 09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0" s="54" t="str">
        <f t="shared" si="5"/>
        <v>N</v>
      </c>
      <c r="X40" s="120">
        <f t="shared" si="22"/>
        <v>1</v>
      </c>
      <c r="Y40" s="69">
        <f t="shared" si="7"/>
        <v>23.297599999999999</v>
      </c>
      <c r="Z40" s="69">
        <f t="shared" si="8"/>
        <v>1.4999999999999999E-2</v>
      </c>
      <c r="AA40" s="69">
        <f t="shared" si="9"/>
        <v>23.282599999999999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0"/>
        <v>0128-29</v>
      </c>
      <c r="AE40" s="99" t="str">
        <f t="shared" si="11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40" s="96" t="str">
        <f t="shared" si="12"/>
        <v>"C:\Program Files (x86)\AstroGrep\AstroGrep.exe" /spath="%USERPROFILE%\AppData\Local\Temp\OnboardLogs" /stypes="*4028*20160829*"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6"/>
        <v>"%USERPROFILE%\Documents\GitHub\eaglep3\Utilities\RefineRTDCRunTimes.py" --tripid 128-29 --locoid 4028 --swversion DE.1.0.7.0 --startMP 204:232976 --initTime 2016-08-29T07:44:46 --startdatetime 2016-08-29T07:57:19 --delay 1 --endMP 204:150 --enddatetime 2016-08-29T08:36:47 --enforcementcount 0 &gt;&gt;C:\Users\stu\Documents\GitHub\eaglep3-reporting\EC\2016-08-29-refined-times.txt</v>
      </c>
      <c r="AI40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{"issue":{"subject":"","project_id":79,"tracker_id":40,"status_id":1,"priority_id":2,"assigned_to_id":23,"start_date":"2016-08-29","description":"","custom_fields":[{"id":1,"name":"Subdivision","value":"EC"},{"id":4,"name":"Milepost","value":"23.2826"},{"id":17,"name":"Train ID","value":"128-29"},{"id":16,"name":"Locomotive ID","value":"4028"},{"id":130,"name":"Impact","value":""},{"id":150,"name":"Time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398</v>
      </c>
      <c r="B41" s="7">
        <v>4003</v>
      </c>
      <c r="C41" s="24" t="s">
        <v>113</v>
      </c>
      <c r="D41" s="24" t="s">
        <v>152</v>
      </c>
      <c r="E41" s="15">
        <v>42611.300659722219</v>
      </c>
      <c r="F41" s="15">
        <v>42611.302291666667</v>
      </c>
      <c r="G41" s="7">
        <v>1</v>
      </c>
      <c r="H41" s="15" t="s">
        <v>195</v>
      </c>
      <c r="I41" s="15">
        <v>42611.328310185185</v>
      </c>
      <c r="J41" s="7">
        <v>0</v>
      </c>
      <c r="K41" s="132" t="str">
        <f t="shared" si="0"/>
        <v>4003/4004</v>
      </c>
      <c r="L41" s="24" t="str">
        <f>VLOOKUP(A41,'Trips&amp;Operators'!$C$1:$E$10000,3,FALSE)</f>
        <v>MALAVE</v>
      </c>
      <c r="M41" s="6">
        <f t="shared" si="1"/>
        <v>2.6018518517958E-2</v>
      </c>
      <c r="N41" s="7">
        <f t="shared" si="21"/>
        <v>37.46666666585952</v>
      </c>
      <c r="O41" s="7"/>
      <c r="P41" s="7"/>
      <c r="Q41" s="25"/>
      <c r="R41" s="25"/>
      <c r="S41" s="37">
        <f t="shared" si="2"/>
        <v>1</v>
      </c>
      <c r="T41" s="52" t="str">
        <f t="shared" si="3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06:12:57-0600',mode:absolute,to:'2016-08-29 08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41" s="54" t="str">
        <f t="shared" si="5"/>
        <v>N</v>
      </c>
      <c r="X41" s="120">
        <f t="shared" si="22"/>
        <v>1</v>
      </c>
      <c r="Y41" s="69">
        <f t="shared" si="7"/>
        <v>4.5100000000000001E-2</v>
      </c>
      <c r="Z41" s="69">
        <f t="shared" si="8"/>
        <v>23.332000000000001</v>
      </c>
      <c r="AA41" s="69">
        <f t="shared" si="9"/>
        <v>23.286899999999999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0"/>
        <v>0129-29</v>
      </c>
      <c r="AE41" s="99" t="str">
        <f t="shared" si="11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41" s="96" t="str">
        <f t="shared" si="12"/>
        <v>"C:\Program Files (x86)\AstroGrep\AstroGrep.exe" /spath="%USERPROFILE%\AppData\Local\Temp\OnboardLogs" /stypes="*4003*20160829*"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6"/>
        <v>"%USERPROFILE%\Documents\GitHub\eaglep3\Utilities\RefineRTDCRunTimes.py" --tripid 129-29 --locoid 4003 --swversion DE.1.0.7.0 --startMP 204:451 --initTime 2016-08-29T07:12:57 --startdatetime 2016-08-29T07:15:18 --delay 1 --endMP 204:233320 --enddatetime 2016-08-29T07:52:46 --enforcementcount 0 &gt;&gt;C:\Users\stu\Documents\GitHub\eaglep3-reporting\EC\2016-08-29-refined-times.txt</v>
      </c>
      <c r="AI41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{"issue":{"subject":"","project_id":79,"tracker_id":40,"status_id":1,"priority_id":2,"assigned_to_id":23,"start_date":"2016-08-29","description":"","custom_fields":[{"id":1,"name":"Subdivision","value":"EC"},{"id":4,"name":"Milepost","value":"23.2869"},{"id":17,"name":"Train ID","value":"129-29"},{"id":16,"name":"Locomotive ID","value":"4003"},{"id":130,"name":"Impact","value":""},{"id":150,"name":"Time of Event (Mountain Time)","value":"07:52:46"},{"id":151,"name":"Denver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409</v>
      </c>
      <c r="B42" s="7">
        <v>4004</v>
      </c>
      <c r="C42" s="24" t="s">
        <v>113</v>
      </c>
      <c r="D42" s="24" t="s">
        <v>301</v>
      </c>
      <c r="E42" s="15">
        <v>42611.338750000003</v>
      </c>
      <c r="F42" s="15">
        <v>42611.341157407405</v>
      </c>
      <c r="G42" s="7">
        <v>1</v>
      </c>
      <c r="H42" s="15" t="s">
        <v>151</v>
      </c>
      <c r="I42" s="15">
        <v>42611.368969907409</v>
      </c>
      <c r="J42" s="7">
        <v>0</v>
      </c>
      <c r="K42" s="132" t="str">
        <f t="shared" si="0"/>
        <v>4003/4004</v>
      </c>
      <c r="L42" s="24" t="str">
        <f>VLOOKUP(A42,'Trips&amp;Operators'!$C$1:$E$10000,3,FALSE)</f>
        <v>MALAVE</v>
      </c>
      <c r="M42" s="6">
        <f t="shared" si="1"/>
        <v>2.7812500004074536E-2</v>
      </c>
      <c r="N42" s="7">
        <f t="shared" si="21"/>
        <v>40.050000005867332</v>
      </c>
      <c r="O42" s="7"/>
      <c r="P42" s="7"/>
      <c r="Q42" s="25"/>
      <c r="R42" s="25"/>
      <c r="S42" s="37">
        <f t="shared" si="2"/>
        <v>1</v>
      </c>
      <c r="T42" s="52" t="str">
        <f t="shared" si="3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07:07:48-0600',mode:absolute,to:'2016-08-29 09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42" s="54" t="str">
        <f t="shared" si="5"/>
        <v>N</v>
      </c>
      <c r="X42" s="120">
        <f t="shared" si="22"/>
        <v>1</v>
      </c>
      <c r="Y42" s="69">
        <f t="shared" si="7"/>
        <v>23.298999999999999</v>
      </c>
      <c r="Z42" s="69">
        <f t="shared" si="8"/>
        <v>1.5599999999999999E-2</v>
      </c>
      <c r="AA42" s="69">
        <f t="shared" si="9"/>
        <v>23.2834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0"/>
        <v>0130-29</v>
      </c>
      <c r="AE42" s="99" t="str">
        <f t="shared" si="11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42" s="96" t="str">
        <f t="shared" si="12"/>
        <v>"C:\Program Files (x86)\AstroGrep\AstroGrep.exe" /spath="%USERPROFILE%\AppData\Local\Temp\OnboardLogs" /stypes="*4004*20160829*"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6"/>
        <v>"%USERPROFILE%\Documents\GitHub\eaglep3\Utilities\RefineRTDCRunTimes.py" --tripid 130-29 --locoid 4004 --swversion DE.1.0.7.0 --startMP 204:232990 --initTime 2016-08-29T08:07:48 --startdatetime 2016-08-29T08:11:16 --delay 1 --endMP 204:156 --enddatetime 2016-08-29T08:51:19 --enforcementcount 0 &gt;&gt;C:\Users\stu\Documents\GitHub\eaglep3-reporting\EC\2016-08-29-refined-times.txt</v>
      </c>
      <c r="AI42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{"issue":{"subject":"","project_id":79,"tracker_id":40,"status_id":1,"priority_id":2,"assigned_to_id":23,"start_date":"2016-08-29","description":"","custom_fields":[{"id":1,"name":"Subdivision","value":"EC"},{"id":4,"name":"Milepost","value":"23.2834"},{"id":17,"name":"Train ID","value":"130-29"},{"id":16,"name":"Locomotive ID","value":"4004"},{"id":130,"name":"Impact","value":""},{"id":150,"name":"Time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399</v>
      </c>
      <c r="B43" s="7">
        <v>4007</v>
      </c>
      <c r="C43" s="24" t="s">
        <v>113</v>
      </c>
      <c r="D43" s="24" t="s">
        <v>197</v>
      </c>
      <c r="E43" s="15">
        <v>42611.309050925927</v>
      </c>
      <c r="F43" s="15">
        <v>42611.312719907408</v>
      </c>
      <c r="G43" s="7">
        <v>1</v>
      </c>
      <c r="H43" s="15" t="s">
        <v>348</v>
      </c>
      <c r="I43" s="15">
        <v>42611.339745370373</v>
      </c>
      <c r="J43" s="7">
        <v>0</v>
      </c>
      <c r="K43" s="132" t="str">
        <f t="shared" si="0"/>
        <v>4007/4008</v>
      </c>
      <c r="L43" s="24" t="str">
        <f>VLOOKUP(A43,'Trips&amp;Operators'!$C$1:$E$10000,3,FALSE)</f>
        <v>ACKERMAN</v>
      </c>
      <c r="M43" s="6">
        <f t="shared" si="1"/>
        <v>2.7025462964957114E-2</v>
      </c>
      <c r="N43" s="7">
        <f t="shared" si="21"/>
        <v>38.916666669538245</v>
      </c>
      <c r="O43" s="7"/>
      <c r="P43" s="7"/>
      <c r="Q43" s="25"/>
      <c r="R43" s="25"/>
      <c r="S43" s="37">
        <f t="shared" si="2"/>
        <v>1</v>
      </c>
      <c r="T43" s="52" t="str">
        <f t="shared" si="3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06:25:02-0600',mode:absolute,to:'2016-08-29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3" s="54" t="str">
        <f t="shared" si="5"/>
        <v>N</v>
      </c>
      <c r="X43" s="120">
        <f t="shared" si="22"/>
        <v>1</v>
      </c>
      <c r="Y43" s="69">
        <f t="shared" si="7"/>
        <v>4.6399999999999997E-2</v>
      </c>
      <c r="Z43" s="69">
        <f t="shared" si="8"/>
        <v>23.3308</v>
      </c>
      <c r="AA43" s="69">
        <f t="shared" si="9"/>
        <v>23.284400000000002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0"/>
        <v>0131-29</v>
      </c>
      <c r="AE43" s="99" t="str">
        <f t="shared" si="11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43" s="96" t="str">
        <f t="shared" si="12"/>
        <v>"C:\Program Files (x86)\AstroGrep\AstroGrep.exe" /spath="%USERPROFILE%\AppData\Local\Temp\OnboardLogs" /stypes="*4007*20160829*"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6"/>
        <v>"%USERPROFILE%\Documents\GitHub\eaglep3\Utilities\RefineRTDCRunTimes.py" --tripid 131-29 --locoid 4007 --swversion DE.1.0.7.0 --startMP 204:464 --initTime 2016-08-29T07:25:02 --startdatetime 2016-08-29T07:30:19 --delay 1 --endMP 204:233308 --enddatetime 2016-08-29T08:09:14 --enforcementcount 0 &gt;&gt;C:\Users\stu\Documents\GitHub\eaglep3-reporting\EC\2016-08-29-refined-times.txt</v>
      </c>
      <c r="AI43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{"issue":{"subject":"","project_id":79,"tracker_id":40,"status_id":1,"priority_id":2,"assigned_to_id":23,"start_date":"2016-08-29","description":"","custom_fields":[{"id":1,"name":"Subdivision","value":"EC"},{"id":4,"name":"Milepost","value":"23.2844"},{"id":17,"name":"Train ID","value":"131-29"},{"id":16,"name":"Locomotive ID","value":"4007"},{"id":130,"name":"Impact","value":""},{"id":150,"name":"Time of Event (Mountain Time)","value":"08:09:14"},{"id":151,"name":"Denver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410</v>
      </c>
      <c r="B44" s="7">
        <v>4008</v>
      </c>
      <c r="C44" s="24" t="s">
        <v>113</v>
      </c>
      <c r="D44" s="24" t="s">
        <v>272</v>
      </c>
      <c r="E44" s="15">
        <v>42611.345682870371</v>
      </c>
      <c r="F44" s="15">
        <v>42611.351759259262</v>
      </c>
      <c r="G44" s="7">
        <v>6</v>
      </c>
      <c r="H44" s="15" t="s">
        <v>595</v>
      </c>
      <c r="I44" s="15">
        <v>42611.379525462966</v>
      </c>
      <c r="J44" s="7">
        <v>0</v>
      </c>
      <c r="K44" s="132" t="str">
        <f t="shared" si="0"/>
        <v>4007/4008</v>
      </c>
      <c r="L44" s="24" t="str">
        <f>VLOOKUP(A44,'Trips&amp;Operators'!$C$1:$E$10000,3,FALSE)</f>
        <v>ACKERMAN</v>
      </c>
      <c r="M44" s="6">
        <f t="shared" si="1"/>
        <v>2.7766203704231884E-2</v>
      </c>
      <c r="N44" s="7">
        <f t="shared" si="21"/>
        <v>39.983333334093913</v>
      </c>
      <c r="O44" s="7"/>
      <c r="P44" s="7"/>
      <c r="Q44" s="25"/>
      <c r="R44" s="25"/>
      <c r="S44" s="37">
        <f t="shared" si="2"/>
        <v>1</v>
      </c>
      <c r="T44" s="52" t="str">
        <f t="shared" si="3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https://search-rtdc-monitor-bjffxe2xuh6vdkpspy63sjmuny.us-east-1.es.amazonaws.com/_plugin/kibana/#/discover/Steve-Slow-Train-Analysis-(2080s-and-2083s)?_g=(refreshInterval:(display:Off,section:0,value:0),time:(from:'2016-08-29 07:17:47-0600',mode:absolute,to:'2016-08-29 10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4" s="54" t="str">
        <f t="shared" si="5"/>
        <v>N</v>
      </c>
      <c r="X44" s="120">
        <f t="shared" si="22"/>
        <v>1</v>
      </c>
      <c r="Y44" s="69">
        <f t="shared" si="7"/>
        <v>23.298500000000001</v>
      </c>
      <c r="Z44" s="69">
        <f t="shared" si="8"/>
        <v>1.6299999999999999E-2</v>
      </c>
      <c r="AA44" s="69">
        <f t="shared" si="9"/>
        <v>23.2822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10"/>
        <v>0132-29</v>
      </c>
      <c r="AE44" s="99" t="str">
        <f t="shared" si="11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44" s="96" t="str">
        <f t="shared" si="12"/>
        <v>"C:\Program Files (x86)\AstroGrep\AstroGrep.exe" /spath="%USERPROFILE%\AppData\Local\Temp\OnboardLogs" /stypes="*4008*20160829*"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6"/>
        <v>"%USERPROFILE%\Documents\GitHub\eaglep3\Utilities\RefineRTDCRunTimes.py" --tripid 132-29 --locoid 4008 --swversion DE.1.0.7.0 --startMP 204:232985 --initTime 2016-08-29T08:17:47 --startdatetime 2016-08-29T08:26:32 --delay 6 --endMP 204:163 --enddatetime 2016-08-29T09:06:31 --enforcementcount 0 &gt;&gt;C:\Users\stu\Documents\GitHub\eaglep3-reporting\EC\2016-08-29-refined-times.txt</v>
      </c>
      <c r="AI44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{"issue":{"subject":"","project_id":79,"tracker_id":40,"status_id":1,"priority_id":2,"assigned_to_id":23,"start_date":"2016-08-29","description":"","custom_fields":[{"id":1,"name":"Subdivision","value":"EC"},{"id":4,"name":"Milepost","value":"23.2822"},{"id":17,"name":"Train ID","value":"132-29"},{"id":16,"name":"Locomotive ID","value":"4008"},{"id":130,"name":"Impact","value":""},{"id":150,"name":"Time of Event (Mountain Time)","value":"09:06:31"},{"id":151,"name":"Denver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402</v>
      </c>
      <c r="B45" s="7">
        <v>4029</v>
      </c>
      <c r="C45" s="24" t="s">
        <v>113</v>
      </c>
      <c r="D45" s="24" t="s">
        <v>596</v>
      </c>
      <c r="E45" s="15">
        <v>42611.318831018521</v>
      </c>
      <c r="F45" s="15">
        <v>42611.323206018518</v>
      </c>
      <c r="G45" s="7">
        <v>2</v>
      </c>
      <c r="H45" s="15" t="s">
        <v>153</v>
      </c>
      <c r="I45" s="15">
        <v>42611.349594907406</v>
      </c>
      <c r="J45" s="7">
        <v>0</v>
      </c>
      <c r="K45" s="132" t="str">
        <f t="shared" ref="K45:K76" si="23">IF(ISEVEN(B45),(B45-1)&amp;"/"&amp;B45,B45&amp;"/"&amp;(B45+1))</f>
        <v>4029/4030</v>
      </c>
      <c r="L45" s="24" t="str">
        <f>VLOOKUP(A45,'Trips&amp;Operators'!$C$1:$E$10000,3,FALSE)</f>
        <v>BRANNON</v>
      </c>
      <c r="M45" s="6">
        <f t="shared" ref="M45:M76" si="24">I45-F45</f>
        <v>2.6388888887595385E-2</v>
      </c>
      <c r="N45" s="7">
        <f t="shared" si="21"/>
        <v>37.999999998137355</v>
      </c>
      <c r="O45" s="7"/>
      <c r="P45" s="7"/>
      <c r="Q45" s="25"/>
      <c r="R45" s="25"/>
      <c r="S45" s="37">
        <f t="shared" ref="S45:S76" si="25">SUM(U45:U45)/IF(AG45="EC",12,1)</f>
        <v>1</v>
      </c>
      <c r="T45" s="52" t="str">
        <f t="shared" ref="T45:T76" si="26">IF(ISEVEN(LEFT(AD45,4)),"Southbound","NorthBound")</f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7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https://search-rtdc-monitor-bjffxe2xuh6vdkpspy63sjmuny.us-east-1.es.amazonaws.com/_plugin/kibana/#/discover/Steve-Slow-Train-Analysis-(2080s-and-2083s)?_g=(refreshInterval:(display:Off,section:0,value:0),time:(from:'2016-08-29 06:39:07-0600',mode:absolute,to:'2016-08-29 09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45" s="54" t="str">
        <f t="shared" ref="W45:W76" si="28">IF(AA45&lt;IF(AG45="EC",23,5.65),"Y","N")</f>
        <v>N</v>
      </c>
      <c r="X45" s="120">
        <f t="shared" si="22"/>
        <v>1</v>
      </c>
      <c r="Y45" s="69">
        <f t="shared" ref="Y45:Y76" si="29">RIGHT(D45,LEN(D45)-4)/10000</f>
        <v>4.9700000000000001E-2</v>
      </c>
      <c r="Z45" s="69">
        <f t="shared" ref="Z45:Z76" si="30">RIGHT(H45,LEN(H45)-4)/10000</f>
        <v>23.3291</v>
      </c>
      <c r="AA45" s="69">
        <f t="shared" ref="AA45:AA76" si="31">ABS(Z45-Y45)</f>
        <v>23.279399999999999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ref="AD45:AD76" si="32">IF(LEN(A45)=6,"0"&amp;A45,A45)</f>
        <v>0133-29</v>
      </c>
      <c r="AE45" s="99" t="str">
        <f t="shared" ref="AE45:AE76" si="33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45" s="96" t="str">
        <f t="shared" ref="AF45:AF76" si="34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/stypes="*4029*20160829*" /stext=" 14:.+((SYSTEM_STATE.+slice.+state.+changed )|(ment ac)|(system.+state.+changed )|(\|lc)|(penalty)|(\[timeout)|(PRM\|1\|D)|(kpr)|(kdp))" /e /r /s</v>
      </c>
      <c r="AG45" s="1" t="str">
        <f t="shared" ref="AG45:AG76" si="35">IFERROR(IF(VALUE(LEFT(AD45,2))&lt;=2,"EC",IF(OR(VALUE(LEFT(AD45,2))=8,VALUE(LEFT(AD45,2))=18),"NW","Other")),"Other")</f>
        <v>EC</v>
      </c>
      <c r="AH45" s="100" t="str">
        <f t="shared" si="16"/>
        <v>"%USERPROFILE%\Documents\GitHub\eaglep3\Utilities\RefineRTDCRunTimes.py" --tripid 133-29 --locoid 4029 --swversion DE.1.0.7.0 --startMP 204:497 --initTime 2016-08-29T07:39:07 --startdatetime 2016-08-29T07:45:25 --delay 2 --endMP 204:233291 --enddatetime 2016-08-29T08:23:25 --enforcementcount 0 &gt;&gt;C:\Users\stu\Documents\GitHub\eaglep3-reporting\EC\2016-08-29-refined-times.txt</v>
      </c>
      <c r="AI4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{"issue":{"subject":"","project_id":79,"tracker_id":40,"status_id":1,"priority_id":2,"assigned_to_id":23,"start_date":"2016-08-29","description":"","custom_fields":[{"id":1,"name":"Subdivision","value":"EC"},{"id":4,"name":"Milepost","value":"23.2794"},{"id":17,"name":"Train ID","value":"133-29"},{"id":16,"name":"Locomotive ID","value":"4029"},{"id":130,"name":"Impact","value":""},{"id":150,"name":"Time of Event (Mountain Time)","value":"08:23:25"},{"id":151,"name":"Denver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412</v>
      </c>
      <c r="B46" s="7">
        <v>4030</v>
      </c>
      <c r="C46" s="24" t="s">
        <v>113</v>
      </c>
      <c r="D46" s="24" t="s">
        <v>597</v>
      </c>
      <c r="E46" s="15">
        <v>42611.35565972222</v>
      </c>
      <c r="F46" s="15">
        <v>42611.362187500003</v>
      </c>
      <c r="G46" s="7">
        <v>1</v>
      </c>
      <c r="H46" s="15" t="s">
        <v>154</v>
      </c>
      <c r="I46" s="15">
        <v>42611.389976851853</v>
      </c>
      <c r="J46" s="7">
        <v>0</v>
      </c>
      <c r="K46" s="132" t="str">
        <f t="shared" si="23"/>
        <v>4029/4030</v>
      </c>
      <c r="L46" s="24" t="str">
        <f>VLOOKUP(A46,'Trips&amp;Operators'!$C$1:$E$10000,3,FALSE)</f>
        <v>BRANNON</v>
      </c>
      <c r="M46" s="6">
        <f t="shared" si="24"/>
        <v>2.7789351850515231E-2</v>
      </c>
      <c r="N46" s="7">
        <f t="shared" si="21"/>
        <v>40.016666664741933</v>
      </c>
      <c r="O46" s="7"/>
      <c r="P46" s="7"/>
      <c r="Q46" s="25"/>
      <c r="R46" s="25"/>
      <c r="S46" s="37">
        <f t="shared" si="25"/>
        <v>1</v>
      </c>
      <c r="T46" s="52" t="str">
        <f t="shared" si="26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07:32:09-0600',mode:absolute,to:'2016-08-29 10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6" s="54" t="str">
        <f t="shared" si="28"/>
        <v>N</v>
      </c>
      <c r="X46" s="120">
        <f t="shared" si="22"/>
        <v>1</v>
      </c>
      <c r="Y46" s="69">
        <f t="shared" si="29"/>
        <v>23.297499999999999</v>
      </c>
      <c r="Z46" s="69">
        <f t="shared" si="30"/>
        <v>1.54E-2</v>
      </c>
      <c r="AA46" s="69">
        <f t="shared" si="31"/>
        <v>23.2821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32"/>
        <v>0134-29</v>
      </c>
      <c r="AE46" s="99" t="str">
        <f t="shared" si="33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46" s="96" t="str">
        <f t="shared" si="34"/>
        <v>"C:\Program Files (x86)\AstroGrep\AstroGrep.exe" /spath="%USERPROFILE%\AppData\Local\Temp\OnboardLogs" /stypes="*4030*20160829*" /stext=" 15:.+((SYSTEM_STATE.+slice.+state.+changed )|(ment ac)|(system.+state.+changed )|(\|lc)|(penalty)|(\[timeout)|(PRM\|1\|D)|(kpr)|(kdp))" /e /r /s</v>
      </c>
      <c r="AG46" s="1" t="str">
        <f t="shared" si="35"/>
        <v>EC</v>
      </c>
      <c r="AH46" s="100" t="str">
        <f t="shared" si="16"/>
        <v>"%USERPROFILE%\Documents\GitHub\eaglep3\Utilities\RefineRTDCRunTimes.py" --tripid 134-29 --locoid 4030 --swversion DE.1.0.7.0 --startMP 204:232975 --initTime 2016-08-29T08:32:09 --startdatetime 2016-08-29T08:41:33 --delay 1 --endMP 204:154 --enddatetime 2016-08-29T09:21:34 --enforcementcount 0 &gt;&gt;C:\Users\stu\Documents\GitHub\eaglep3-reporting\EC\2016-08-29-refined-times.txt</v>
      </c>
      <c r="AI46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{"issue":{"subject":"","project_id":79,"tracker_id":40,"status_id":1,"priority_id":2,"assigned_to_id":23,"start_date":"2016-08-29","description":"","custom_fields":[{"id":1,"name":"Subdivision","value":"EC"},{"id":4,"name":"Milepost","value":"23.2821"},{"id":17,"name":"Train ID","value":"134-29"},{"id":16,"name":"Locomotive ID","value":"4030"},{"id":130,"name":"Impact","value":""},{"id":150,"name":"Time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405</v>
      </c>
      <c r="B47" s="7">
        <v>4009</v>
      </c>
      <c r="C47" s="24" t="s">
        <v>113</v>
      </c>
      <c r="D47" s="24" t="s">
        <v>356</v>
      </c>
      <c r="E47" s="15">
        <v>42611.32916666667</v>
      </c>
      <c r="F47" s="15">
        <v>42611.333506944444</v>
      </c>
      <c r="G47" s="7">
        <v>1</v>
      </c>
      <c r="H47" s="15" t="s">
        <v>584</v>
      </c>
      <c r="I47" s="15">
        <v>42611.35864583333</v>
      </c>
      <c r="J47" s="7">
        <v>0</v>
      </c>
      <c r="K47" s="132" t="str">
        <f t="shared" si="23"/>
        <v>4009/4010</v>
      </c>
      <c r="L47" s="24" t="str">
        <f>VLOOKUP(A47,'Trips&amp;Operators'!$C$1:$E$10000,3,FALSE)</f>
        <v>SPECTOR</v>
      </c>
      <c r="M47" s="6">
        <f t="shared" si="24"/>
        <v>2.5138888886431232E-2</v>
      </c>
      <c r="N47" s="7">
        <f t="shared" si="21"/>
        <v>36.199999996460974</v>
      </c>
      <c r="O47" s="7"/>
      <c r="P47" s="7"/>
      <c r="Q47" s="25"/>
      <c r="R47" s="25"/>
      <c r="S47" s="37">
        <f t="shared" si="25"/>
        <v>1</v>
      </c>
      <c r="T47" s="52" t="str">
        <f t="shared" si="26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06:54:00-0600',mode:absolute,to:'2016-08-29 09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7" s="54" t="str">
        <f t="shared" si="28"/>
        <v>N</v>
      </c>
      <c r="X47" s="120">
        <f t="shared" si="22"/>
        <v>1</v>
      </c>
      <c r="Y47" s="69">
        <f t="shared" si="29"/>
        <v>4.4600000000000001E-2</v>
      </c>
      <c r="Z47" s="69">
        <f t="shared" si="30"/>
        <v>23.3323</v>
      </c>
      <c r="AA47" s="69">
        <f t="shared" si="31"/>
        <v>23.287700000000001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32"/>
        <v>0135-29</v>
      </c>
      <c r="AE47" s="99" t="str">
        <f t="shared" si="33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47" s="96" t="str">
        <f t="shared" si="34"/>
        <v>"C:\Program Files (x86)\AstroGrep\AstroGrep.exe" /spath="%USERPROFILE%\AppData\Local\Temp\OnboardLogs" /stypes="*4009*20160829*" /stext=" 14:.+((SYSTEM_STATE.+slice.+state.+changed )|(ment ac)|(system.+state.+changed )|(\|lc)|(penalty)|(\[timeout)|(PRM\|1\|D)|(kpr)|(kdp))" /e /r /s</v>
      </c>
      <c r="AG47" s="1" t="str">
        <f t="shared" si="35"/>
        <v>EC</v>
      </c>
      <c r="AH47" s="100" t="str">
        <f t="shared" si="16"/>
        <v>"%USERPROFILE%\Documents\GitHub\eaglep3\Utilities\RefineRTDCRunTimes.py" --tripid 135-29 --locoid 4009 --swversion DE.1.0.7.0 --startMP 204:446 --initTime 2016-08-29T07:54:00 --startdatetime 2016-08-29T08:00:15 --delay 1 --endMP 204:233323 --enddatetime 2016-08-29T08:36:27 --enforcementcount 0 &gt;&gt;C:\Users\stu\Documents\GitHub\eaglep3-reporting\EC\2016-08-29-refined-times.txt</v>
      </c>
      <c r="AI4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{"issue":{"subject":"","project_id":79,"tracker_id":40,"status_id":1,"priority_id":2,"assigned_to_id":23,"start_date":"2016-08-29","description":"","custom_fields":[{"id":1,"name":"Subdivision","value":"EC"},{"id":4,"name":"Milepost","value":"23.2877"},{"id":17,"name":"Train ID","value":"135-29"},{"id":16,"name":"Locomotive ID","value":"4009"},{"id":130,"name":"Impact","value":""},{"id":150,"name":"Time of Event (Mountain Time)","value":"08:36:27"},{"id":151,"name":"Denver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415</v>
      </c>
      <c r="B48" s="7">
        <v>4010</v>
      </c>
      <c r="C48" s="24" t="s">
        <v>113</v>
      </c>
      <c r="D48" s="24" t="s">
        <v>191</v>
      </c>
      <c r="E48" s="15">
        <v>42611.365497685183</v>
      </c>
      <c r="F48" s="15">
        <v>42611.372384259259</v>
      </c>
      <c r="G48" s="7">
        <v>1</v>
      </c>
      <c r="H48" s="15" t="s">
        <v>132</v>
      </c>
      <c r="I48" s="15">
        <v>42611.401608796295</v>
      </c>
      <c r="J48" s="7">
        <v>0</v>
      </c>
      <c r="K48" s="132" t="str">
        <f t="shared" si="23"/>
        <v>4009/4010</v>
      </c>
      <c r="L48" s="24" t="str">
        <f>VLOOKUP(A48,'Trips&amp;Operators'!$C$1:$E$10000,3,FALSE)</f>
        <v>SPECTOR</v>
      </c>
      <c r="M48" s="6">
        <f t="shared" si="24"/>
        <v>2.9224537036498077E-2</v>
      </c>
      <c r="N48" s="7">
        <f t="shared" si="21"/>
        <v>42.083333332557231</v>
      </c>
      <c r="O48" s="7"/>
      <c r="P48" s="7"/>
      <c r="Q48" s="25"/>
      <c r="R48" s="25"/>
      <c r="S48" s="37">
        <f t="shared" si="25"/>
        <v>1</v>
      </c>
      <c r="T48" s="52" t="str">
        <f t="shared" si="26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07:46:19-0600',mode:absolute,to:'2016-08-29 10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8" s="54" t="str">
        <f t="shared" si="28"/>
        <v>N</v>
      </c>
      <c r="X48" s="120">
        <f t="shared" si="22"/>
        <v>1</v>
      </c>
      <c r="Y48" s="69">
        <f t="shared" si="29"/>
        <v>23.3</v>
      </c>
      <c r="Z48" s="69">
        <f t="shared" si="30"/>
        <v>1.47E-2</v>
      </c>
      <c r="AA48" s="69">
        <f t="shared" si="31"/>
        <v>23.285299999999999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32"/>
        <v>0136-29</v>
      </c>
      <c r="AE48" s="99" t="str">
        <f t="shared" si="33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48" s="96" t="str">
        <f t="shared" si="34"/>
        <v>"C:\Program Files (x86)\AstroGrep\AstroGrep.exe" /spath="%USERPROFILE%\AppData\Local\Temp\OnboardLogs" /stypes="*4010*20160829*" /stext=" 15:.+((SYSTEM_STATE.+slice.+state.+changed )|(ment ac)|(system.+state.+changed )|(\|lc)|(penalty)|(\[timeout)|(PRM\|1\|D)|(kpr)|(kdp))" /e /r /s</v>
      </c>
      <c r="AG48" s="1" t="str">
        <f t="shared" si="35"/>
        <v>EC</v>
      </c>
      <c r="AH48" s="100" t="str">
        <f t="shared" si="16"/>
        <v>"%USERPROFILE%\Documents\GitHub\eaglep3\Utilities\RefineRTDCRunTimes.py" --tripid 136-29 --locoid 4010 --swversion DE.1.0.7.0 --startMP 204:233000 --initTime 2016-08-29T08:46:19 --startdatetime 2016-08-29T08:56:14 --delay 1 --endMP 204:147 --enddatetime 2016-08-29T09:38:19 --enforcementcount 0 &gt;&gt;C:\Users\stu\Documents\GitHub\eaglep3-reporting\EC\2016-08-29-refined-times.txt</v>
      </c>
      <c r="AI48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{"issue":{"subject":"","project_id":79,"tracker_id":40,"status_id":1,"priority_id":2,"assigned_to_id":23,"start_date":"2016-08-29","description":"","custom_fields":[{"id":1,"name":"Subdivision","value":"EC"},{"id":4,"name":"Milepost","value":"23.2853"},{"id":17,"name":"Train ID","value":"136-29"},{"id":16,"name":"Locomotive ID","value":"4010"},{"id":130,"name":"Impact","value":""},{"id":150,"name":"Time of Event (Mountain Time)","value":"09:38:19"},{"id":151,"name":"Denver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407</v>
      </c>
      <c r="B49" s="7">
        <v>4040</v>
      </c>
      <c r="C49" s="24" t="s">
        <v>113</v>
      </c>
      <c r="D49" s="24" t="s">
        <v>175</v>
      </c>
      <c r="E49" s="15">
        <v>42611.336724537039</v>
      </c>
      <c r="F49" s="15">
        <v>42611.344050925924</v>
      </c>
      <c r="G49" s="7">
        <v>1</v>
      </c>
      <c r="H49" s="15" t="s">
        <v>269</v>
      </c>
      <c r="I49" s="15">
        <v>42611.367928240739</v>
      </c>
      <c r="J49" s="7">
        <v>0</v>
      </c>
      <c r="K49" s="132" t="str">
        <f t="shared" si="23"/>
        <v>4039/4040</v>
      </c>
      <c r="L49" s="24" t="str">
        <f>VLOOKUP(A49,'Trips&amp;Operators'!$C$1:$E$10000,3,FALSE)</f>
        <v>YORK</v>
      </c>
      <c r="M49" s="6">
        <f t="shared" si="24"/>
        <v>2.3877314815763384E-2</v>
      </c>
      <c r="N49" s="7">
        <f t="shared" si="21"/>
        <v>34.383333334699273</v>
      </c>
      <c r="O49" s="7"/>
      <c r="P49" s="7"/>
      <c r="Q49" s="25"/>
      <c r="R49" s="25"/>
      <c r="S49" s="37">
        <f t="shared" si="25"/>
        <v>1</v>
      </c>
      <c r="T49" s="52" t="str">
        <f t="shared" si="26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07:04:53-0600',mode:absolute,to:'2016-08-29 09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49" s="54" t="str">
        <f t="shared" si="28"/>
        <v>N</v>
      </c>
      <c r="X49" s="120">
        <f t="shared" si="22"/>
        <v>1</v>
      </c>
      <c r="Y49" s="69">
        <f t="shared" si="29"/>
        <v>4.7100000000000003E-2</v>
      </c>
      <c r="Z49" s="69">
        <f t="shared" si="30"/>
        <v>23.329499999999999</v>
      </c>
      <c r="AA49" s="69">
        <f t="shared" si="31"/>
        <v>23.282399999999999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32"/>
        <v>0137-29</v>
      </c>
      <c r="AE49" s="99" t="str">
        <f t="shared" si="33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49" s="96" t="str">
        <f t="shared" si="34"/>
        <v>"C:\Program Files (x86)\AstroGrep\AstroGrep.exe" /spath="%USERPROFILE%\AppData\Local\Temp\OnboardLogs" /stypes="*4040*20160829*" /stext=" 14:.+((SYSTEM_STATE.+slice.+state.+changed )|(ment ac)|(system.+state.+changed )|(\|lc)|(penalty)|(\[timeout)|(PRM\|1\|D)|(kpr)|(kdp))" /e /r /s</v>
      </c>
      <c r="AG49" s="1" t="str">
        <f t="shared" si="35"/>
        <v>EC</v>
      </c>
      <c r="AH49" s="100" t="str">
        <f t="shared" si="16"/>
        <v>"%USERPROFILE%\Documents\GitHub\eaglep3\Utilities\RefineRTDCRunTimes.py" --tripid 137-29 --locoid 4040 --swversion DE.1.0.7.0 --startMP 204:471 --initTime 2016-08-29T08:04:53 --startdatetime 2016-08-29T08:15:26 --delay 1 --endMP 204:233295 --enddatetime 2016-08-29T08:49:49 --enforcementcount 0 &gt;&gt;C:\Users\stu\Documents\GitHub\eaglep3-reporting\EC\2016-08-29-refined-times.txt</v>
      </c>
      <c r="AI49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{"issue":{"subject":"","project_id":79,"tracker_id":40,"status_id":1,"priority_id":2,"assigned_to_id":23,"start_date":"2016-08-29","description":"","custom_fields":[{"id":1,"name":"Subdivision","value":"EC"},{"id":4,"name":"Milepost","value":"23.2824"},{"id":17,"name":"Train ID","value":"137-29"},{"id":16,"name":"Locomotive ID","value":"4040"},{"id":130,"name":"Impact","value":""},{"id":150,"name":"Time of Event (Mountain Time)","value":"08:49:49"},{"id":151,"name":"Denver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419</v>
      </c>
      <c r="B50" s="7">
        <v>4039</v>
      </c>
      <c r="C50" s="24" t="s">
        <v>113</v>
      </c>
      <c r="D50" s="24" t="s">
        <v>270</v>
      </c>
      <c r="E50" s="15">
        <v>42611.382777777777</v>
      </c>
      <c r="F50" s="15">
        <v>42611.383958333332</v>
      </c>
      <c r="G50" s="7">
        <v>1</v>
      </c>
      <c r="H50" s="15" t="s">
        <v>595</v>
      </c>
      <c r="I50" s="15">
        <v>42611.409236111111</v>
      </c>
      <c r="J50" s="7">
        <v>0</v>
      </c>
      <c r="K50" s="132" t="str">
        <f t="shared" si="23"/>
        <v>4039/4040</v>
      </c>
      <c r="L50" s="24" t="str">
        <f>VLOOKUP(A50,'Trips&amp;Operators'!$C$1:$E$10000,3,FALSE)</f>
        <v>YORK</v>
      </c>
      <c r="M50" s="6">
        <f t="shared" si="24"/>
        <v>2.527777777868323E-2</v>
      </c>
      <c r="N50" s="7">
        <f t="shared" si="21"/>
        <v>36.400000001303852</v>
      </c>
      <c r="O50" s="7"/>
      <c r="P50" s="7"/>
      <c r="Q50" s="25"/>
      <c r="R50" s="25"/>
      <c r="S50" s="37">
        <f t="shared" si="25"/>
        <v>1</v>
      </c>
      <c r="T50" s="52" t="str">
        <f t="shared" si="26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08:11:12-0600',mode:absolute,to:'2016-08-29 10:49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50" s="54" t="str">
        <f t="shared" si="28"/>
        <v>N</v>
      </c>
      <c r="X50" s="120">
        <f t="shared" si="22"/>
        <v>1</v>
      </c>
      <c r="Y50" s="69">
        <f t="shared" si="29"/>
        <v>23.2988</v>
      </c>
      <c r="Z50" s="69">
        <f t="shared" si="30"/>
        <v>1.6299999999999999E-2</v>
      </c>
      <c r="AA50" s="69">
        <f t="shared" si="31"/>
        <v>23.282499999999999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32"/>
        <v>0138-29</v>
      </c>
      <c r="AE50" s="99" t="str">
        <f t="shared" si="33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50" s="96" t="str">
        <f t="shared" si="34"/>
        <v>"C:\Program Files (x86)\AstroGrep\AstroGrep.exe" /spath="%USERPROFILE%\AppData\Local\Temp\OnboardLogs" /stypes="*4039*20160829*" /stext=" 15:.+((SYSTEM_STATE.+slice.+state.+changed )|(ment ac)|(system.+state.+changed )|(\|lc)|(penalty)|(\[timeout)|(PRM\|1\|D)|(kpr)|(kdp))" /e /r /s</v>
      </c>
      <c r="AG50" s="1" t="str">
        <f t="shared" si="35"/>
        <v>EC</v>
      </c>
      <c r="AH50" s="100" t="str">
        <f t="shared" si="16"/>
        <v>"%USERPROFILE%\Documents\GitHub\eaglep3\Utilities\RefineRTDCRunTimes.py" --tripid 138-29 --locoid 4039 --swversion DE.1.0.7.0 --startMP 204:232988 --initTime 2016-08-29T09:11:12 --startdatetime 2016-08-29T09:12:54 --delay 1 --endMP 204:163 --enddatetime 2016-08-29T09:49:18 --enforcementcount 0 &gt;&gt;C:\Users\stu\Documents\GitHub\eaglep3-reporting\EC\2016-08-29-refined-times.txt</v>
      </c>
      <c r="AI50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{"issue":{"subject":"","project_id":79,"tracker_id":40,"status_id":1,"priority_id":2,"assigned_to_id":23,"start_date":"2016-08-29","description":"","custom_fields":[{"id":1,"name":"Subdivision","value":"EC"},{"id":4,"name":"Milepost","value":"23.2825"},{"id":17,"name":"Train ID","value":"138-29"},{"id":16,"name":"Locomotive ID","value":"4039"},{"id":130,"name":"Impact","value":""},{"id":150,"name":"Time of Event (Mountain Time)","value":"09:49:18"},{"id":151,"name":"Denver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411</v>
      </c>
      <c r="B51" s="7">
        <v>4031</v>
      </c>
      <c r="C51" s="24" t="s">
        <v>113</v>
      </c>
      <c r="D51" s="24" t="s">
        <v>356</v>
      </c>
      <c r="E51" s="15">
        <v>42611.351134259261</v>
      </c>
      <c r="F51" s="15">
        <v>42611.35434027778</v>
      </c>
      <c r="G51" s="7">
        <v>1</v>
      </c>
      <c r="H51" s="15" t="s">
        <v>323</v>
      </c>
      <c r="I51" s="15">
        <v>42611.381689814814</v>
      </c>
      <c r="J51" s="7">
        <v>0</v>
      </c>
      <c r="K51" s="132" t="str">
        <f t="shared" si="23"/>
        <v>4031/4032</v>
      </c>
      <c r="L51" s="24" t="str">
        <f>VLOOKUP(A51,'Trips&amp;Operators'!$C$1:$E$10000,3,FALSE)</f>
        <v>STARKS</v>
      </c>
      <c r="M51" s="6">
        <f t="shared" si="24"/>
        <v>2.7349537034751847E-2</v>
      </c>
      <c r="N51" s="7">
        <f t="shared" si="21"/>
        <v>39.38333333004266</v>
      </c>
      <c r="O51" s="7"/>
      <c r="P51" s="7"/>
      <c r="Q51" s="25"/>
      <c r="R51" s="25"/>
      <c r="S51" s="37">
        <f t="shared" si="25"/>
        <v>1</v>
      </c>
      <c r="T51" s="52" t="str">
        <f t="shared" si="26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07:25:38-0600',mode:absolute,to:'2016-08-29 10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28"/>
        <v>N</v>
      </c>
      <c r="X51" s="120">
        <f t="shared" si="22"/>
        <v>1</v>
      </c>
      <c r="Y51" s="69">
        <f t="shared" si="29"/>
        <v>4.4600000000000001E-2</v>
      </c>
      <c r="Z51" s="69">
        <f t="shared" si="30"/>
        <v>23.326599999999999</v>
      </c>
      <c r="AA51" s="69">
        <f t="shared" si="31"/>
        <v>23.282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32"/>
        <v>0139-29</v>
      </c>
      <c r="AE51" s="99" t="str">
        <f t="shared" si="33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51" s="96" t="str">
        <f t="shared" si="34"/>
        <v>"C:\Program Files (x86)\AstroGrep\AstroGrep.exe" /spath="%USERPROFILE%\AppData\Local\Temp\OnboardLogs" /stypes="*4031*20160829*" /stext=" 15:.+((SYSTEM_STATE.+slice.+state.+changed )|(ment ac)|(system.+state.+changed )|(\|lc)|(penalty)|(\[timeout)|(PRM\|1\|D)|(kpr)|(kdp))" /e /r /s</v>
      </c>
      <c r="AG51" s="1" t="str">
        <f t="shared" si="35"/>
        <v>EC</v>
      </c>
      <c r="AH51" s="100" t="str">
        <f t="shared" si="16"/>
        <v>"%USERPROFILE%\Documents\GitHub\eaglep3\Utilities\RefineRTDCRunTimes.py" --tripid 139-29 --locoid 4031 --swversion DE.1.0.7.0 --startMP 204:446 --initTime 2016-08-29T08:25:38 --startdatetime 2016-08-29T08:30:15 --delay 1 --endMP 204:233266 --enddatetime 2016-08-29T09:09:38 --enforcementcount 0 &gt;&gt;C:\Users\stu\Documents\GitHub\eaglep3-reporting\EC\2016-08-29-refined-times.txt</v>
      </c>
      <c r="AI51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{"issue":{"subject":"","project_id":79,"tracker_id":40,"status_id":1,"priority_id":2,"assigned_to_id":23,"start_date":"2016-08-29","description":"","custom_fields":[{"id":1,"name":"Subdivision","value":"EC"},{"id":4,"name":"Milepost","value":"23.282"},{"id":17,"name":"Train ID","value":"139-29"},{"id":16,"name":"Locomotive ID","value":"4031"},{"id":130,"name":"Impact","value":""},{"id":150,"name":"Time of Event (Mountain Time)","value":"09:09:38"},{"id":151,"name":"Denver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420</v>
      </c>
      <c r="B52" s="7">
        <v>4032</v>
      </c>
      <c r="C52" s="24" t="s">
        <v>113</v>
      </c>
      <c r="D52" s="24" t="s">
        <v>240</v>
      </c>
      <c r="E52" s="15">
        <v>42611.390590277777</v>
      </c>
      <c r="F52" s="15">
        <v>42611.393391203703</v>
      </c>
      <c r="G52" s="7">
        <v>1</v>
      </c>
      <c r="H52" s="15" t="s">
        <v>154</v>
      </c>
      <c r="I52" s="15">
        <v>42611.422511574077</v>
      </c>
      <c r="J52" s="7">
        <v>0</v>
      </c>
      <c r="K52" s="132" t="str">
        <f t="shared" si="23"/>
        <v>4031/4032</v>
      </c>
      <c r="L52" s="24" t="str">
        <f>VLOOKUP(A52,'Trips&amp;Operators'!$C$1:$E$10000,3,FALSE)</f>
        <v>STARKS</v>
      </c>
      <c r="M52" s="6">
        <f t="shared" si="24"/>
        <v>2.9120370374585036E-2</v>
      </c>
      <c r="N52" s="7">
        <f t="shared" si="21"/>
        <v>41.933333339402452</v>
      </c>
      <c r="O52" s="7"/>
      <c r="P52" s="7"/>
      <c r="Q52" s="25"/>
      <c r="R52" s="25"/>
      <c r="S52" s="37">
        <f t="shared" si="25"/>
        <v>1</v>
      </c>
      <c r="T52" s="52" t="str">
        <f t="shared" si="26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08:22:27-0600',mode:absolute,to:'2016-08-29 11:08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28"/>
        <v>N</v>
      </c>
      <c r="X52" s="120">
        <f t="shared" si="22"/>
        <v>1</v>
      </c>
      <c r="Y52" s="69">
        <f t="shared" si="29"/>
        <v>23.297699999999999</v>
      </c>
      <c r="Z52" s="69">
        <f t="shared" si="30"/>
        <v>1.54E-2</v>
      </c>
      <c r="AA52" s="69">
        <f t="shared" si="31"/>
        <v>23.282299999999999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32"/>
        <v>0140-29</v>
      </c>
      <c r="AE52" s="99" t="str">
        <f t="shared" si="33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52" s="96" t="str">
        <f t="shared" si="34"/>
        <v>"C:\Program Files (x86)\AstroGrep\AstroGrep.exe" /spath="%USERPROFILE%\AppData\Local\Temp\OnboardLogs" /stypes="*4032*20160829*" /stext=" 16:.+((SYSTEM_STATE.+slice.+state.+changed )|(ment ac)|(system.+state.+changed )|(\|lc)|(penalty)|(\[timeout)|(PRM\|1\|D)|(kpr)|(kdp))" /e /r /s</v>
      </c>
      <c r="AG52" s="1" t="str">
        <f t="shared" si="35"/>
        <v>EC</v>
      </c>
      <c r="AH52" s="100" t="str">
        <f t="shared" si="16"/>
        <v>"%USERPROFILE%\Documents\GitHub\eaglep3\Utilities\RefineRTDCRunTimes.py" --tripid 140-29 --locoid 4032 --swversion DE.1.0.7.0 --startMP 204:232977 --initTime 2016-08-29T09:22:27 --startdatetime 2016-08-29T09:26:29 --delay 1 --endMP 204:154 --enddatetime 2016-08-29T10:08:25 --enforcementcount 0 &gt;&gt;C:\Users\stu\Documents\GitHub\eaglep3-reporting\EC\2016-08-29-refined-times.txt</v>
      </c>
      <c r="AI52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{"issue":{"subject":"","project_id":79,"tracker_id":40,"status_id":1,"priority_id":2,"assigned_to_id":23,"start_date":"2016-08-29","description":"","custom_fields":[{"id":1,"name":"Subdivision","value":"EC"},{"id":4,"name":"Milepost","value":"23.2823"},{"id":17,"name":"Train ID","value":"140-29"},{"id":16,"name":"Locomotive ID","value":"4032"},{"id":130,"name":"Impact","value":""},{"id":150,"name":"Time of Event (Mountain Time)","value":"10:08:25"},{"id":151,"name":"Denver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414</v>
      </c>
      <c r="B53" s="7">
        <v>4027</v>
      </c>
      <c r="C53" s="24" t="s">
        <v>113</v>
      </c>
      <c r="D53" s="24" t="s">
        <v>109</v>
      </c>
      <c r="E53" s="15">
        <v>42611.362071759257</v>
      </c>
      <c r="F53" s="15">
        <v>42611.364872685182</v>
      </c>
      <c r="G53" s="7">
        <v>1</v>
      </c>
      <c r="H53" s="15" t="s">
        <v>326</v>
      </c>
      <c r="I53" s="15">
        <v>42611.389293981483</v>
      </c>
      <c r="J53" s="7">
        <v>0</v>
      </c>
      <c r="K53" s="132" t="str">
        <f t="shared" si="23"/>
        <v>4027/4028</v>
      </c>
      <c r="L53" s="24" t="str">
        <f>VLOOKUP(A53,'Trips&amp;Operators'!$C$1:$E$10000,3,FALSE)</f>
        <v>KILLION</v>
      </c>
      <c r="M53" s="6">
        <f t="shared" si="24"/>
        <v>2.4421296300715767E-2</v>
      </c>
      <c r="N53" s="7">
        <f t="shared" si="21"/>
        <v>35.166666673030704</v>
      </c>
      <c r="O53" s="7"/>
      <c r="P53" s="7"/>
      <c r="Q53" s="25"/>
      <c r="R53" s="25"/>
      <c r="S53" s="37">
        <f t="shared" si="25"/>
        <v>1</v>
      </c>
      <c r="T53" s="52" t="str">
        <f t="shared" si="26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07:41:23-0600',mode:absolute,to:'2016-08-29 10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3" s="54" t="str">
        <f t="shared" si="28"/>
        <v>N</v>
      </c>
      <c r="X53" s="120">
        <f t="shared" si="22"/>
        <v>1</v>
      </c>
      <c r="Y53" s="69">
        <f t="shared" si="29"/>
        <v>4.6199999999999998E-2</v>
      </c>
      <c r="Z53" s="69">
        <f t="shared" si="30"/>
        <v>23.3264</v>
      </c>
      <c r="AA53" s="69">
        <f t="shared" si="31"/>
        <v>23.280200000000001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32"/>
        <v>0141-29</v>
      </c>
      <c r="AE53" s="99" t="str">
        <f t="shared" si="33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53" s="96" t="str">
        <f t="shared" si="34"/>
        <v>"C:\Program Files (x86)\AstroGrep\AstroGrep.exe" /spath="%USERPROFILE%\AppData\Local\Temp\OnboardLogs" /stypes="*4027*20160829*" /stext=" 15:.+((SYSTEM_STATE.+slice.+state.+changed )|(ment ac)|(system.+state.+changed )|(\|lc)|(penalty)|(\[timeout)|(PRM\|1\|D)|(kpr)|(kdp))" /e /r /s</v>
      </c>
      <c r="AG53" s="1" t="str">
        <f t="shared" si="35"/>
        <v>EC</v>
      </c>
      <c r="AH53" s="100" t="str">
        <f t="shared" si="16"/>
        <v>"%USERPROFILE%\Documents\GitHub\eaglep3\Utilities\RefineRTDCRunTimes.py" --tripid 141-29 --locoid 4027 --swversion DE.1.0.7.0 --startMP 204:462 --initTime 2016-08-29T08:41:23 --startdatetime 2016-08-29T08:45:25 --delay 1 --endMP 204:233264 --enddatetime 2016-08-29T09:20:35 --enforcementcount 0 &gt;&gt;C:\Users\stu\Documents\GitHub\eaglep3-reporting\EC\2016-08-29-refined-times.txt</v>
      </c>
      <c r="AI53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{"issue":{"subject":"","project_id":79,"tracker_id":40,"status_id":1,"priority_id":2,"assigned_to_id":23,"start_date":"2016-08-29","description":"","custom_fields":[{"id":1,"name":"Subdivision","value":"EC"},{"id":4,"name":"Milepost","value":"23.2802"},{"id":17,"name":"Train ID","value":"141-29"},{"id":16,"name":"Locomotive ID","value":"4027"},{"id":130,"name":"Impact","value":""},{"id":150,"name":"Time of Event (Mountain Time)","value":"09:20:35"},{"id":151,"name":"Denver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422</v>
      </c>
      <c r="B54" s="7">
        <v>4028</v>
      </c>
      <c r="C54" s="24" t="s">
        <v>113</v>
      </c>
      <c r="D54" s="24" t="s">
        <v>598</v>
      </c>
      <c r="E54" s="15">
        <v>42611.396932870368</v>
      </c>
      <c r="F54" s="15">
        <v>42611.403865740744</v>
      </c>
      <c r="G54" s="7">
        <v>1</v>
      </c>
      <c r="H54" s="15" t="s">
        <v>150</v>
      </c>
      <c r="I54" s="15">
        <v>42611.431261574071</v>
      </c>
      <c r="J54" s="7">
        <v>0</v>
      </c>
      <c r="K54" s="132" t="str">
        <f t="shared" si="23"/>
        <v>4027/4028</v>
      </c>
      <c r="L54" s="24" t="str">
        <f>VLOOKUP(A54,'Trips&amp;Operators'!$C$1:$E$10000,3,FALSE)</f>
        <v>KILLION</v>
      </c>
      <c r="M54" s="6">
        <f t="shared" si="24"/>
        <v>2.7395833327318542E-2</v>
      </c>
      <c r="N54" s="7">
        <f t="shared" si="21"/>
        <v>39.4499999913387</v>
      </c>
      <c r="O54" s="7"/>
      <c r="P54" s="7"/>
      <c r="Q54" s="25"/>
      <c r="R54" s="25"/>
      <c r="S54" s="37">
        <f t="shared" si="25"/>
        <v>1</v>
      </c>
      <c r="T54" s="52" t="str">
        <f t="shared" si="26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08:31:35-0600',mode:absolute,to:'2016-08-29 11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4" s="54" t="str">
        <f t="shared" si="28"/>
        <v>N</v>
      </c>
      <c r="X54" s="120">
        <f t="shared" si="22"/>
        <v>1</v>
      </c>
      <c r="Y54" s="69">
        <f t="shared" si="29"/>
        <v>23.296500000000002</v>
      </c>
      <c r="Z54" s="69">
        <f t="shared" si="30"/>
        <v>1.4999999999999999E-2</v>
      </c>
      <c r="AA54" s="69">
        <f t="shared" si="31"/>
        <v>23.281500000000001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32"/>
        <v>0142-29</v>
      </c>
      <c r="AE54" s="99" t="str">
        <f t="shared" si="33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54" s="96" t="str">
        <f t="shared" si="34"/>
        <v>"C:\Program Files (x86)\AstroGrep\AstroGrep.exe" /spath="%USERPROFILE%\AppData\Local\Temp\OnboardLogs" /stypes="*4028*20160829*" /stext=" 16:.+((SYSTEM_STATE.+slice.+state.+changed )|(ment ac)|(system.+state.+changed )|(\|lc)|(penalty)|(\[timeout)|(PRM\|1\|D)|(kpr)|(kdp))" /e /r /s</v>
      </c>
      <c r="AG54" s="1" t="str">
        <f t="shared" si="35"/>
        <v>EC</v>
      </c>
      <c r="AH54" s="100" t="str">
        <f t="shared" si="16"/>
        <v>"%USERPROFILE%\Documents\GitHub\eaglep3\Utilities\RefineRTDCRunTimes.py" --tripid 142-29 --locoid 4028 --swversion DE.1.0.7.0 --startMP 204:232965 --initTime 2016-08-29T09:31:35 --startdatetime 2016-08-29T09:41:34 --delay 1 --endMP 204:150 --enddatetime 2016-08-29T10:21:01 --enforcementcount 0 &gt;&gt;C:\Users\stu\Documents\GitHub\eaglep3-reporting\EC\2016-08-29-refined-times.txt</v>
      </c>
      <c r="AI54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{"issue":{"subject":"","project_id":79,"tracker_id":40,"status_id":1,"priority_id":2,"assigned_to_id":23,"start_date":"2016-08-29","description":"","custom_fields":[{"id":1,"name":"Subdivision","value":"EC"},{"id":4,"name":"Milepost","value":"23.2815"},{"id":17,"name":"Train ID","value":"142-29"},{"id":16,"name":"Locomotive ID","value":"4028"},{"id":130,"name":"Impact","value":""},{"id":150,"name":"Time of Event (Mountain Time)","value":"10:21:01"},{"id":151,"name":"Denver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416</v>
      </c>
      <c r="B55" s="7">
        <v>4003</v>
      </c>
      <c r="C55" s="24" t="s">
        <v>113</v>
      </c>
      <c r="D55" s="24" t="s">
        <v>139</v>
      </c>
      <c r="E55" s="15">
        <v>42611.373761574076</v>
      </c>
      <c r="F55" s="15">
        <v>42611.375185185185</v>
      </c>
      <c r="G55" s="7">
        <v>1</v>
      </c>
      <c r="H55" s="15" t="s">
        <v>269</v>
      </c>
      <c r="I55" s="15">
        <v>42611.402719907404</v>
      </c>
      <c r="J55" s="7">
        <v>0</v>
      </c>
      <c r="K55" s="132" t="str">
        <f t="shared" si="23"/>
        <v>4003/4004</v>
      </c>
      <c r="L55" s="24" t="str">
        <f>VLOOKUP(A55,'Trips&amp;Operators'!$C$1:$E$10000,3,FALSE)</f>
        <v>MALAVE</v>
      </c>
      <c r="M55" s="6">
        <f t="shared" si="24"/>
        <v>2.753472221957054E-2</v>
      </c>
      <c r="N55" s="7">
        <f t="shared" si="21"/>
        <v>39.649999996181577</v>
      </c>
      <c r="O55" s="7"/>
      <c r="P55" s="7"/>
      <c r="Q55" s="25"/>
      <c r="R55" s="25"/>
      <c r="S55" s="37">
        <f t="shared" si="25"/>
        <v>1</v>
      </c>
      <c r="T55" s="52" t="str">
        <f t="shared" si="26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07:58:13-0600',mode:absolute,to:'2016-08-29 10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55" s="54" t="str">
        <f t="shared" si="28"/>
        <v>N</v>
      </c>
      <c r="X55" s="120">
        <f t="shared" si="22"/>
        <v>1</v>
      </c>
      <c r="Y55" s="69">
        <f t="shared" si="29"/>
        <v>4.6699999999999998E-2</v>
      </c>
      <c r="Z55" s="69">
        <f t="shared" si="30"/>
        <v>23.329499999999999</v>
      </c>
      <c r="AA55" s="69">
        <f t="shared" si="31"/>
        <v>23.282799999999998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32"/>
        <v>0143-29</v>
      </c>
      <c r="AE55" s="99" t="str">
        <f t="shared" si="33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55" s="96" t="str">
        <f t="shared" si="34"/>
        <v>"C:\Program Files (x86)\AstroGrep\AstroGrep.exe" /spath="%USERPROFILE%\AppData\Local\Temp\OnboardLogs" /stypes="*4003*20160829*" /stext=" 15:.+((SYSTEM_STATE.+slice.+state.+changed )|(ment ac)|(system.+state.+changed )|(\|lc)|(penalty)|(\[timeout)|(PRM\|1\|D)|(kpr)|(kdp))" /e /r /s</v>
      </c>
      <c r="AG55" s="1" t="str">
        <f t="shared" si="35"/>
        <v>EC</v>
      </c>
      <c r="AH55" s="100" t="str">
        <f t="shared" si="16"/>
        <v>"%USERPROFILE%\Documents\GitHub\eaglep3\Utilities\RefineRTDCRunTimes.py" --tripid 143-29 --locoid 4003 --swversion DE.1.0.7.0 --startMP 204:467 --initTime 2016-08-29T08:58:13 --startdatetime 2016-08-29T09:00:16 --delay 1 --endMP 204:233295 --enddatetime 2016-08-29T09:39:55 --enforcementcount 0 &gt;&gt;C:\Users\stu\Documents\GitHub\eaglep3-reporting\EC\2016-08-29-refined-times.txt</v>
      </c>
      <c r="AI5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{"issue":{"subject":"","project_id":79,"tracker_id":40,"status_id":1,"priority_id":2,"assigned_to_id":23,"start_date":"2016-08-29","description":"","custom_fields":[{"id":1,"name":"Subdivision","value":"EC"},{"id":4,"name":"Milepost","value":"23.2828"},{"id":17,"name":"Train ID","value":"143-29"},{"id":16,"name":"Locomotive ID","value":"4003"},{"id":130,"name":"Impact","value":""},{"id":150,"name":"Time of Event (Mountain Time)","value":"09:39:55"},{"id":151,"name":"Denver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426</v>
      </c>
      <c r="B56" s="7">
        <v>4004</v>
      </c>
      <c r="C56" s="24" t="s">
        <v>113</v>
      </c>
      <c r="D56" s="24" t="s">
        <v>593</v>
      </c>
      <c r="E56" s="15">
        <v>42611.411886574075</v>
      </c>
      <c r="F56" s="15">
        <v>42611.414085648146</v>
      </c>
      <c r="G56" s="7">
        <v>1</v>
      </c>
      <c r="H56" s="15" t="s">
        <v>183</v>
      </c>
      <c r="I56" s="15">
        <v>42611.442083333335</v>
      </c>
      <c r="J56" s="7">
        <v>0</v>
      </c>
      <c r="K56" s="132" t="str">
        <f t="shared" si="23"/>
        <v>4003/4004</v>
      </c>
      <c r="L56" s="24" t="str">
        <f>VLOOKUP(A56,'Trips&amp;Operators'!$C$1:$E$10000,3,FALSE)</f>
        <v>MALAVE</v>
      </c>
      <c r="M56" s="6">
        <f t="shared" si="24"/>
        <v>2.7997685188893229E-2</v>
      </c>
      <c r="N56" s="7">
        <f t="shared" si="21"/>
        <v>40.316666672006249</v>
      </c>
      <c r="O56" s="7"/>
      <c r="P56" s="7"/>
      <c r="Q56" s="25"/>
      <c r="R56" s="25"/>
      <c r="S56" s="37">
        <f t="shared" si="25"/>
        <v>1</v>
      </c>
      <c r="T56" s="52" t="str">
        <f t="shared" si="26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08:53:07-0600',mode:absolute,to:'2016-08-29 11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56" s="54" t="str">
        <f t="shared" si="28"/>
        <v>N</v>
      </c>
      <c r="X56" s="120">
        <f t="shared" ref="X56:X87" si="36">VALUE(LEFT(AD56,4))-VALUE(LEFT(AD55,4))</f>
        <v>1</v>
      </c>
      <c r="Y56" s="69">
        <f t="shared" si="29"/>
        <v>23.296600000000002</v>
      </c>
      <c r="Z56" s="69">
        <f t="shared" si="30"/>
        <v>1.6E-2</v>
      </c>
      <c r="AA56" s="69">
        <f t="shared" si="31"/>
        <v>23.280600000000003</v>
      </c>
      <c r="AB56" s="66">
        <f>VLOOKUP(A56,Enforcements!$C$7:$J$21,8,0)</f>
        <v>200464</v>
      </c>
      <c r="AC56" s="62" t="str">
        <f>VLOOKUP(A56,Enforcements!$C$7:$E$21,3,0)</f>
        <v>PERMANENT SPEED RESTRICTION</v>
      </c>
      <c r="AD56" s="63" t="str">
        <f t="shared" si="32"/>
        <v>0144-29</v>
      </c>
      <c r="AE56" s="99" t="str">
        <f t="shared" si="33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56" s="96" t="str">
        <f t="shared" si="34"/>
        <v>"C:\Program Files (x86)\AstroGrep\AstroGrep.exe" /spath="%USERPROFILE%\AppData\Local\Temp\OnboardLogs" /stypes="*4004*20160829*" /stext=" 16:.+((SYSTEM_STATE.+slice.+state.+changed )|(ment ac)|(system.+state.+changed )|(\|lc)|(penalty)|(\[timeout)|(PRM\|1\|D)|(kpr)|(kdp))" /e /r /s</v>
      </c>
      <c r="AG56" s="1" t="str">
        <f t="shared" si="35"/>
        <v>EC</v>
      </c>
      <c r="AH56" s="100" t="str">
        <f t="shared" si="16"/>
        <v>"%USERPROFILE%\Documents\GitHub\eaglep3\Utilities\RefineRTDCRunTimes.py" --tripid 144-29 --locoid 4004 --swversion DE.1.0.7.0 --startMP 204:232966 --initTime 2016-08-29T09:53:07 --startdatetime 2016-08-29T09:56:17 --delay 1 --endMP 204:160 --enddatetime 2016-08-29T10:36:36 --enforcementcount 0 &gt;&gt;C:\Users\stu\Documents\GitHub\eaglep3-reporting\EC\2016-08-29-refined-times.txt</v>
      </c>
      <c r="AI56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{"issue":{"subject":"","project_id":79,"tracker_id":40,"status_id":1,"priority_id":2,"assigned_to_id":23,"start_date":"2016-08-29","description":"","custom_fields":[{"id":1,"name":"Subdivision","value":"EC"},{"id":4,"name":"Milepost","value":"23.2806"},{"id":17,"name":"Train ID","value":"144-29"},{"id":16,"name":"Locomotive ID","value":"4004"},{"id":130,"name":"Impact","value":""},{"id":150,"name":"Time of Event (Mountain Time)","value":"10:36:36"},{"id":151,"name":"Denver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418</v>
      </c>
      <c r="B57" s="7">
        <v>4007</v>
      </c>
      <c r="C57" s="24" t="s">
        <v>113</v>
      </c>
      <c r="D57" s="24" t="s">
        <v>138</v>
      </c>
      <c r="E57" s="15">
        <v>42611.381238425929</v>
      </c>
      <c r="F57" s="15">
        <v>42611.38585648148</v>
      </c>
      <c r="G57" s="7">
        <v>1</v>
      </c>
      <c r="H57" s="15" t="s">
        <v>599</v>
      </c>
      <c r="I57" s="15">
        <v>42611.411678240744</v>
      </c>
      <c r="J57" s="7">
        <v>0</v>
      </c>
      <c r="K57" s="132" t="str">
        <f t="shared" si="23"/>
        <v>4007/4008</v>
      </c>
      <c r="L57" s="24" t="str">
        <f>VLOOKUP(A57,'Trips&amp;Operators'!$C$1:$E$10000,3,FALSE)</f>
        <v>ACKERMAN</v>
      </c>
      <c r="M57" s="6">
        <f t="shared" si="24"/>
        <v>2.5821759263635613E-2</v>
      </c>
      <c r="N57" s="7">
        <f t="shared" si="21"/>
        <v>37.183333339635283</v>
      </c>
      <c r="O57" s="7"/>
      <c r="P57" s="7"/>
      <c r="Q57" s="25"/>
      <c r="R57" s="25"/>
      <c r="S57" s="37">
        <f t="shared" si="25"/>
        <v>1</v>
      </c>
      <c r="T57" s="52" t="str">
        <f t="shared" si="26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08:08:59-0600',mode:absolute,to:'2016-08-29 10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57" s="54" t="str">
        <f t="shared" si="28"/>
        <v>N</v>
      </c>
      <c r="X57" s="120">
        <f t="shared" si="36"/>
        <v>1</v>
      </c>
      <c r="Y57" s="69">
        <f t="shared" si="29"/>
        <v>4.6899999999999997E-2</v>
      </c>
      <c r="Z57" s="69">
        <f t="shared" si="30"/>
        <v>23.330300000000001</v>
      </c>
      <c r="AA57" s="69">
        <f t="shared" si="31"/>
        <v>23.2834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32"/>
        <v>0145-29</v>
      </c>
      <c r="AE57" s="99" t="str">
        <f t="shared" si="33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57" s="96" t="str">
        <f t="shared" si="34"/>
        <v>"C:\Program Files (x86)\AstroGrep\AstroGrep.exe" /spath="%USERPROFILE%\AppData\Local\Temp\OnboardLogs" /stypes="*4007*20160829*" /stext=" 15:.+((SYSTEM_STATE.+slice.+state.+changed )|(ment ac)|(system.+state.+changed )|(\|lc)|(penalty)|(\[timeout)|(PRM\|1\|D)|(kpr)|(kdp))" /e /r /s</v>
      </c>
      <c r="AG57" s="1" t="str">
        <f t="shared" si="35"/>
        <v>EC</v>
      </c>
      <c r="AH57" s="100" t="str">
        <f t="shared" si="16"/>
        <v>"%USERPROFILE%\Documents\GitHub\eaglep3\Utilities\RefineRTDCRunTimes.py" --tripid 145-29 --locoid 4007 --swversion DE.1.0.7.0 --startMP 204:469 --initTime 2016-08-29T09:08:59 --startdatetime 2016-08-29T09:15:38 --delay 1 --endMP 204:233303 --enddatetime 2016-08-29T09:52:49 --enforcementcount 0 &gt;&gt;C:\Users\stu\Documents\GitHub\eaglep3-reporting\EC\2016-08-29-refined-times.txt</v>
      </c>
      <c r="AI5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{"issue":{"subject":"","project_id":79,"tracker_id":40,"status_id":1,"priority_id":2,"assigned_to_id":23,"start_date":"2016-08-29","description":"","custom_fields":[{"id":1,"name":"Subdivision","value":"EC"},{"id":4,"name":"Milepost","value":"23.2834"},{"id":17,"name":"Train ID","value":"145-29"},{"id":16,"name":"Locomotive ID","value":"4007"},{"id":130,"name":"Impact","value":""},{"id":150,"name":"Time of Event (Mountain Time)","value":"09:52:49"},{"id":151,"name":"Denver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428</v>
      </c>
      <c r="B58" s="7">
        <v>4008</v>
      </c>
      <c r="C58" s="24" t="s">
        <v>113</v>
      </c>
      <c r="D58" s="24" t="s">
        <v>187</v>
      </c>
      <c r="E58" s="15">
        <v>42611.420729166668</v>
      </c>
      <c r="F58" s="15">
        <v>42611.424664351849</v>
      </c>
      <c r="G58" s="7">
        <v>1</v>
      </c>
      <c r="H58" s="15" t="s">
        <v>136</v>
      </c>
      <c r="I58" s="15">
        <v>42611.454085648147</v>
      </c>
      <c r="J58" s="7">
        <v>0</v>
      </c>
      <c r="K58" s="132" t="str">
        <f t="shared" si="23"/>
        <v>4007/4008</v>
      </c>
      <c r="L58" s="24" t="str">
        <f>VLOOKUP(A58,'Trips&amp;Operators'!$C$1:$E$10000,3,FALSE)</f>
        <v>ACKERMAN</v>
      </c>
      <c r="M58" s="6">
        <f t="shared" si="24"/>
        <v>2.9421296298096422E-2</v>
      </c>
      <c r="N58" s="7">
        <f t="shared" si="21"/>
        <v>42.366666669258848</v>
      </c>
      <c r="O58" s="7"/>
      <c r="P58" s="7"/>
      <c r="Q58" s="25"/>
      <c r="R58" s="25"/>
      <c r="S58" s="37">
        <f t="shared" si="25"/>
        <v>1</v>
      </c>
      <c r="T58" s="52" t="str">
        <f t="shared" si="26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09:05:51-0600',mode:absolute,to:'2016-08-29 11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8" s="54" t="str">
        <f t="shared" si="28"/>
        <v>N</v>
      </c>
      <c r="X58" s="120">
        <f t="shared" si="36"/>
        <v>1</v>
      </c>
      <c r="Y58" s="69">
        <f t="shared" si="29"/>
        <v>23.2986</v>
      </c>
      <c r="Z58" s="69">
        <f t="shared" si="30"/>
        <v>1.49E-2</v>
      </c>
      <c r="AA58" s="69">
        <f t="shared" si="31"/>
        <v>23.2837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32"/>
        <v>0146-29</v>
      </c>
      <c r="AE58" s="99" t="str">
        <f t="shared" si="33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58" s="96" t="str">
        <f t="shared" si="34"/>
        <v>"C:\Program Files (x86)\AstroGrep\AstroGrep.exe" /spath="%USERPROFILE%\AppData\Local\Temp\OnboardLogs" /stypes="*4008*20160829*" /stext=" 16:.+((SYSTEM_STATE.+slice.+state.+changed )|(ment ac)|(system.+state.+changed )|(\|lc)|(penalty)|(\[timeout)|(PRM\|1\|D)|(kpr)|(kdp))" /e /r /s</v>
      </c>
      <c r="AG58" s="1" t="str">
        <f t="shared" si="35"/>
        <v>EC</v>
      </c>
      <c r="AH58" s="100" t="str">
        <f t="shared" si="16"/>
        <v>"%USERPROFILE%\Documents\GitHub\eaglep3\Utilities\RefineRTDCRunTimes.py" --tripid 146-29 --locoid 4008 --swversion DE.1.0.7.0 --startMP 204:232986 --initTime 2016-08-29T10:05:51 --startdatetime 2016-08-29T10:11:31 --delay 1 --endMP 204:149 --enddatetime 2016-08-29T10:53:53 --enforcementcount 0 &gt;&gt;C:\Users\stu\Documents\GitHub\eaglep3-reporting\EC\2016-08-29-refined-times.txt</v>
      </c>
      <c r="AI58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{"issue":{"subject":"","project_id":79,"tracker_id":40,"status_id":1,"priority_id":2,"assigned_to_id":23,"start_date":"2016-08-29","description":"","custom_fields":[{"id":1,"name":"Subdivision","value":"EC"},{"id":4,"name":"Milepost","value":"23.2837"},{"id":17,"name":"Train ID","value":"146-29"},{"id":16,"name":"Locomotive ID","value":"4008"},{"id":130,"name":"Impact","value":""},{"id":150,"name":"Time of Event (Mountain Time)","value":"10:53:53"},{"id":151,"name":"Denver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421</v>
      </c>
      <c r="B59" s="7">
        <v>4029</v>
      </c>
      <c r="C59" s="24" t="s">
        <v>113</v>
      </c>
      <c r="D59" s="24" t="s">
        <v>175</v>
      </c>
      <c r="E59" s="15">
        <v>42611.391712962963</v>
      </c>
      <c r="F59" s="15">
        <v>42611.396006944444</v>
      </c>
      <c r="G59" s="7">
        <v>5</v>
      </c>
      <c r="H59" s="15" t="s">
        <v>594</v>
      </c>
      <c r="I59" s="15">
        <v>42611.429155092592</v>
      </c>
      <c r="J59" s="7">
        <v>0</v>
      </c>
      <c r="K59" s="132" t="str">
        <f t="shared" si="23"/>
        <v>4029/4030</v>
      </c>
      <c r="L59" s="24" t="str">
        <f>VLOOKUP(A59,'Trips&amp;Operators'!$C$1:$E$10000,3,FALSE)</f>
        <v>BRANNON</v>
      </c>
      <c r="M59" s="6">
        <f t="shared" si="24"/>
        <v>3.3148148148029577E-2</v>
      </c>
      <c r="N59" s="7">
        <f t="shared" si="21"/>
        <v>47.733333333162591</v>
      </c>
      <c r="O59" s="7"/>
      <c r="P59" s="7"/>
      <c r="Q59" s="25"/>
      <c r="R59" s="25"/>
      <c r="S59" s="37">
        <f t="shared" si="25"/>
        <v>1</v>
      </c>
      <c r="T59" s="52" t="str">
        <f t="shared" si="26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08:24:04-0600',mode:absolute,to:'2016-08-29 11:17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9" s="54" t="str">
        <f t="shared" si="28"/>
        <v>N</v>
      </c>
      <c r="X59" s="120">
        <f t="shared" si="36"/>
        <v>1</v>
      </c>
      <c r="Y59" s="69">
        <f t="shared" si="29"/>
        <v>4.7100000000000003E-2</v>
      </c>
      <c r="Z59" s="69">
        <f t="shared" si="30"/>
        <v>23.328700000000001</v>
      </c>
      <c r="AA59" s="69">
        <f t="shared" si="31"/>
        <v>23.281600000000001</v>
      </c>
      <c r="AB59" s="66">
        <f>VLOOKUP(A59,Enforcements!$C$7:$J$21,8,0)</f>
        <v>10800</v>
      </c>
      <c r="AC59" s="62" t="str">
        <f>VLOOKUP(A59,Enforcements!$C$7:$E$21,3,0)</f>
        <v>SIGNAL</v>
      </c>
      <c r="AD59" s="63" t="str">
        <f t="shared" si="32"/>
        <v>0147-29</v>
      </c>
      <c r="AE59" s="99" t="str">
        <f t="shared" si="33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59" s="96" t="str">
        <f t="shared" si="34"/>
        <v>"C:\Program Files (x86)\AstroGrep\AstroGrep.exe" /spath="%USERPROFILE%\AppData\Local\Temp\OnboardLogs" /stypes="*4029*20160829*" /stext=" 16:.+((SYSTEM_STATE.+slice.+state.+changed )|(ment ac)|(system.+state.+changed )|(\|lc)|(penalty)|(\[timeout)|(PRM\|1\|D)|(kpr)|(kdp))" /e /r /s</v>
      </c>
      <c r="AG59" s="1" t="str">
        <f t="shared" si="35"/>
        <v>EC</v>
      </c>
      <c r="AH59" s="100" t="str">
        <f t="shared" si="16"/>
        <v>"%USERPROFILE%\Documents\GitHub\eaglep3\Utilities\RefineRTDCRunTimes.py" --tripid 147-29 --locoid 4029 --swversion DE.1.0.7.0 --startMP 204:471 --initTime 2016-08-29T09:24:04 --startdatetime 2016-08-29T09:30:15 --delay 5 --endMP 204:233287 --enddatetime 2016-08-29T10:17:59 --enforcementcount 0 &gt;&gt;C:\Users\stu\Documents\GitHub\eaglep3-reporting\EC\2016-08-29-refined-times.txt</v>
      </c>
      <c r="AI59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{"issue":{"subject":"","project_id":79,"tracker_id":40,"status_id":1,"priority_id":2,"assigned_to_id":23,"start_date":"2016-08-29","description":"","custom_fields":[{"id":1,"name":"Subdivision","value":"EC"},{"id":4,"name":"Milepost","value":"23.2816"},{"id":17,"name":"Train ID","value":"147-29"},{"id":16,"name":"Locomotive ID","value":"4029"},{"id":130,"name":"Impact","value":""},{"id":150,"name":"Time of Event (Mountain Time)","value":"10:17:59"},{"id":151,"name":"Denver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430</v>
      </c>
      <c r="B60" s="7">
        <v>4030</v>
      </c>
      <c r="C60" s="24" t="s">
        <v>113</v>
      </c>
      <c r="D60" s="24" t="s">
        <v>240</v>
      </c>
      <c r="E60" s="15">
        <v>42611.433032407411</v>
      </c>
      <c r="F60" s="15">
        <v>42611.434988425928</v>
      </c>
      <c r="G60" s="7">
        <v>1</v>
      </c>
      <c r="H60" s="15" t="s">
        <v>170</v>
      </c>
      <c r="I60" s="15">
        <v>42611.461724537039</v>
      </c>
      <c r="J60" s="7">
        <v>0</v>
      </c>
      <c r="K60" s="132" t="str">
        <f t="shared" si="23"/>
        <v>4029/4030</v>
      </c>
      <c r="L60" s="24" t="str">
        <f>VLOOKUP(A60,'Trips&amp;Operators'!$C$1:$E$10000,3,FALSE)</f>
        <v>BRANNON</v>
      </c>
      <c r="M60" s="6">
        <f t="shared" si="24"/>
        <v>2.6736111110949423E-2</v>
      </c>
      <c r="N60" s="7">
        <f t="shared" si="21"/>
        <v>38.499999999767169</v>
      </c>
      <c r="O60" s="7"/>
      <c r="P60" s="7"/>
      <c r="Q60" s="25"/>
      <c r="R60" s="25"/>
      <c r="S60" s="37">
        <f t="shared" si="25"/>
        <v>1</v>
      </c>
      <c r="T60" s="52" t="str">
        <f t="shared" si="26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09:23:34-0600',mode:absolute,to:'2016-08-29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60" s="54" t="str">
        <f t="shared" si="28"/>
        <v>N</v>
      </c>
      <c r="X60" s="120">
        <f t="shared" si="36"/>
        <v>1</v>
      </c>
      <c r="Y60" s="69">
        <f t="shared" si="29"/>
        <v>23.297699999999999</v>
      </c>
      <c r="Z60" s="69">
        <f t="shared" si="30"/>
        <v>1.52E-2</v>
      </c>
      <c r="AA60" s="69">
        <f t="shared" si="31"/>
        <v>23.282499999999999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32"/>
        <v>0148-29</v>
      </c>
      <c r="AE60" s="99" t="str">
        <f t="shared" si="33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60" s="96" t="str">
        <f t="shared" si="34"/>
        <v>"C:\Program Files (x86)\AstroGrep\AstroGrep.exe" /spath="%USERPROFILE%\AppData\Local\Temp\OnboardLogs" /stypes="*4030*20160829*" /stext=" 17:.+((SYSTEM_STATE.+slice.+state.+changed )|(ment ac)|(system.+state.+changed )|(\|lc)|(penalty)|(\[timeout)|(PRM\|1\|D)|(kpr)|(kdp))" /e /r /s</v>
      </c>
      <c r="AG60" s="1" t="str">
        <f t="shared" si="35"/>
        <v>EC</v>
      </c>
      <c r="AH60" s="100" t="str">
        <f t="shared" si="16"/>
        <v>"%USERPROFILE%\Documents\GitHub\eaglep3\Utilities\RefineRTDCRunTimes.py" --tripid 148-29 --locoid 4030 --swversion DE.1.0.7.0 --startMP 204:232977 --initTime 2016-08-29T10:23:34 --startdatetime 2016-08-29T10:26:23 --delay 1 --endMP 204:152 --enddatetime 2016-08-29T11:04:53 --enforcementcount 0 &gt;&gt;C:\Users\stu\Documents\GitHub\eaglep3-reporting\EC\2016-08-29-refined-times.txt</v>
      </c>
      <c r="AI60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{"issue":{"subject":"","project_id":79,"tracker_id":40,"status_id":1,"priority_id":2,"assigned_to_id":23,"start_date":"2016-08-29","description":"","custom_fields":[{"id":1,"name":"Subdivision","value":"EC"},{"id":4,"name":"Milepost","value":"23.2825"},{"id":17,"name":"Train ID","value":"148-29"},{"id":16,"name":"Locomotive ID","value":"4030"},{"id":130,"name":"Impact","value":""},{"id":150,"name":"Time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424</v>
      </c>
      <c r="B61" s="7">
        <v>4009</v>
      </c>
      <c r="C61" s="24" t="s">
        <v>113</v>
      </c>
      <c r="D61" s="24" t="s">
        <v>353</v>
      </c>
      <c r="E61" s="15">
        <v>42611.404421296298</v>
      </c>
      <c r="F61" s="15">
        <v>42611.406504629631</v>
      </c>
      <c r="G61" s="7">
        <v>2</v>
      </c>
      <c r="H61" s="15" t="s">
        <v>190</v>
      </c>
      <c r="I61" s="15">
        <v>42611.436539351853</v>
      </c>
      <c r="J61" s="7">
        <v>0</v>
      </c>
      <c r="K61" s="132" t="str">
        <f t="shared" si="23"/>
        <v>4009/4010</v>
      </c>
      <c r="L61" s="24" t="str">
        <f>VLOOKUP(A61,'Trips&amp;Operators'!$C$1:$E$10000,3,FALSE)</f>
        <v>SPECTOR</v>
      </c>
      <c r="M61" s="6">
        <f t="shared" si="24"/>
        <v>3.0034722221898846E-2</v>
      </c>
      <c r="N61" s="7">
        <f t="shared" si="21"/>
        <v>43.249999999534339</v>
      </c>
      <c r="O61" s="7"/>
      <c r="P61" s="7"/>
      <c r="Q61" s="25"/>
      <c r="R61" s="25"/>
      <c r="S61" s="37">
        <f t="shared" si="25"/>
        <v>1</v>
      </c>
      <c r="T61" s="52" t="str">
        <f t="shared" si="26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08:42:22-0600',mode:absolute,to:'2016-08-29 11:28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1" s="54" t="str">
        <f t="shared" si="28"/>
        <v>N</v>
      </c>
      <c r="X61" s="120">
        <f t="shared" si="36"/>
        <v>1</v>
      </c>
      <c r="Y61" s="69">
        <f t="shared" si="29"/>
        <v>4.3099999999999999E-2</v>
      </c>
      <c r="Z61" s="69">
        <f t="shared" si="30"/>
        <v>23.331199999999999</v>
      </c>
      <c r="AA61" s="69">
        <f t="shared" si="31"/>
        <v>23.2881</v>
      </c>
      <c r="AB61" s="66">
        <f>VLOOKUP(A61,Enforcements!$C$7:$J$21,8,0)</f>
        <v>161962</v>
      </c>
      <c r="AC61" s="62" t="str">
        <f>VLOOKUP(A61,Enforcements!$C$7:$E$21,3,0)</f>
        <v>PERMANENT SPEED RESTRICTION</v>
      </c>
      <c r="AD61" s="63" t="str">
        <f t="shared" si="32"/>
        <v>0149-29</v>
      </c>
      <c r="AE61" s="99" t="str">
        <f t="shared" si="33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61" s="96" t="str">
        <f t="shared" si="34"/>
        <v>"C:\Program Files (x86)\AstroGrep\AstroGrep.exe" /spath="%USERPROFILE%\AppData\Local\Temp\OnboardLogs" /stypes="*4009*20160829*" /stext=" 16:.+((SYSTEM_STATE.+slice.+state.+changed )|(ment ac)|(system.+state.+changed )|(\|lc)|(penalty)|(\[timeout)|(PRM\|1\|D)|(kpr)|(kdp))" /e /r /s</v>
      </c>
      <c r="AG61" s="1" t="str">
        <f t="shared" si="35"/>
        <v>EC</v>
      </c>
      <c r="AH61" s="100" t="str">
        <f t="shared" si="16"/>
        <v>"%USERPROFILE%\Documents\GitHub\eaglep3\Utilities\RefineRTDCRunTimes.py" --tripid 149-29 --locoid 4009 --swversion DE.1.0.7.0 --startMP 204:431 --initTime 2016-08-29T09:42:22 --startdatetime 2016-08-29T09:45:22 --delay 2 --endMP 204:233312 --enddatetime 2016-08-29T10:28:37 --enforcementcount 0 &gt;&gt;C:\Users\stu\Documents\GitHub\eaglep3-reporting\EC\2016-08-29-refined-times.txt</v>
      </c>
      <c r="AI61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{"issue":{"subject":"","project_id":79,"tracker_id":40,"status_id":1,"priority_id":2,"assigned_to_id":23,"start_date":"2016-08-29","description":"","custom_fields":[{"id":1,"name":"Subdivision","value":"EC"},{"id":4,"name":"Milepost","value":"23.2881"},{"id":17,"name":"Train ID","value":"149-29"},{"id":16,"name":"Locomotive ID","value":"4009"},{"id":130,"name":"Impact","value":""},{"id":150,"name":"Time of Event (Mountain Time)","value":"10:28:37"},{"id":151,"name":"Denver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434</v>
      </c>
      <c r="B62" s="7">
        <v>4010</v>
      </c>
      <c r="C62" s="24" t="s">
        <v>113</v>
      </c>
      <c r="D62" s="24" t="s">
        <v>240</v>
      </c>
      <c r="E62" s="15">
        <v>42611.442789351851</v>
      </c>
      <c r="F62" s="15">
        <v>42611.445347222223</v>
      </c>
      <c r="G62" s="7">
        <v>1</v>
      </c>
      <c r="H62" s="15" t="s">
        <v>192</v>
      </c>
      <c r="I62" s="15">
        <v>42611.471921296295</v>
      </c>
      <c r="J62" s="7">
        <v>0</v>
      </c>
      <c r="K62" s="132" t="str">
        <f t="shared" si="23"/>
        <v>4009/4010</v>
      </c>
      <c r="L62" s="24" t="str">
        <f>VLOOKUP(A62,'Trips&amp;Operators'!$C$1:$E$10000,3,FALSE)</f>
        <v>SPECTOR</v>
      </c>
      <c r="M62" s="6">
        <f t="shared" si="24"/>
        <v>2.6574074072414078E-2</v>
      </c>
      <c r="N62" s="7">
        <f t="shared" si="21"/>
        <v>38.266666664276272</v>
      </c>
      <c r="O62" s="7"/>
      <c r="P62" s="7"/>
      <c r="Q62" s="25"/>
      <c r="R62" s="25"/>
      <c r="S62" s="37">
        <f t="shared" si="25"/>
        <v>1</v>
      </c>
      <c r="T62" s="52" t="str">
        <f t="shared" si="26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09:37:37-0600',mode:absolute,to:'2016-08-29 12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2" s="54" t="str">
        <f t="shared" si="28"/>
        <v>N</v>
      </c>
      <c r="X62" s="120">
        <f t="shared" si="36"/>
        <v>1</v>
      </c>
      <c r="Y62" s="69">
        <f t="shared" si="29"/>
        <v>23.297699999999999</v>
      </c>
      <c r="Z62" s="69">
        <f t="shared" si="30"/>
        <v>1.3899999999999999E-2</v>
      </c>
      <c r="AA62" s="69">
        <f t="shared" si="31"/>
        <v>23.283799999999999</v>
      </c>
      <c r="AB62" s="66">
        <f>VLOOKUP(A62,Enforcements!$C$7:$J$21,8,0)</f>
        <v>127587</v>
      </c>
      <c r="AC62" s="62" t="str">
        <f>VLOOKUP(A62,Enforcements!$C$7:$E$21,3,0)</f>
        <v>SIGNAL</v>
      </c>
      <c r="AD62" s="63" t="str">
        <f t="shared" si="32"/>
        <v>0150-29</v>
      </c>
      <c r="AE62" s="99" t="str">
        <f t="shared" si="33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62" s="96" t="str">
        <f t="shared" si="34"/>
        <v>"C:\Program Files (x86)\AstroGrep\AstroGrep.exe" /spath="%USERPROFILE%\AppData\Local\Temp\OnboardLogs" /stypes="*4010*20160829*" /stext=" 17:.+((SYSTEM_STATE.+slice.+state.+changed )|(ment ac)|(system.+state.+changed )|(\|lc)|(penalty)|(\[timeout)|(PRM\|1\|D)|(kpr)|(kdp))" /e /r /s</v>
      </c>
      <c r="AG62" s="1" t="str">
        <f t="shared" si="35"/>
        <v>EC</v>
      </c>
      <c r="AH62" s="100" t="str">
        <f t="shared" si="16"/>
        <v>"%USERPROFILE%\Documents\GitHub\eaglep3\Utilities\RefineRTDCRunTimes.py" --tripid 150-29 --locoid 4010 --swversion DE.1.0.7.0 --startMP 204:232977 --initTime 2016-08-29T10:37:37 --startdatetime 2016-08-29T10:41:18 --delay 1 --endMP 204:139 --enddatetime 2016-08-29T11:19:34 --enforcementcount 0 &gt;&gt;C:\Users\stu\Documents\GitHub\eaglep3-reporting\EC\2016-08-29-refined-times.txt</v>
      </c>
      <c r="AI62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{"issue":{"subject":"","project_id":79,"tracker_id":40,"status_id":1,"priority_id":2,"assigned_to_id":23,"start_date":"2016-08-29","description":"","custom_fields":[{"id":1,"name":"Subdivision","value":"EC"},{"id":4,"name":"Milepost","value":"23.2838"},{"id":17,"name":"Train ID","value":"150-29"},{"id":16,"name":"Locomotive ID","value":"4010"},{"id":130,"name":"Impact","value":""},{"id":150,"name":"Time of Event (Mountain Time)","value":"11:19:34"},{"id":151,"name":"Denver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425</v>
      </c>
      <c r="B63" s="7">
        <v>4040</v>
      </c>
      <c r="C63" s="24" t="s">
        <v>113</v>
      </c>
      <c r="D63" s="24" t="s">
        <v>284</v>
      </c>
      <c r="E63" s="15">
        <v>42611.410185185188</v>
      </c>
      <c r="F63" s="15">
        <v>42611.417256944442</v>
      </c>
      <c r="G63" s="7">
        <v>1</v>
      </c>
      <c r="H63" s="15" t="s">
        <v>348</v>
      </c>
      <c r="I63" s="15">
        <v>42611.441076388888</v>
      </c>
      <c r="J63" s="7">
        <v>0</v>
      </c>
      <c r="K63" s="132" t="str">
        <f t="shared" si="23"/>
        <v>4039/4040</v>
      </c>
      <c r="L63" s="24" t="str">
        <f>VLOOKUP(A63,'Trips&amp;Operators'!$C$1:$E$10000,3,FALSE)</f>
        <v>YORK</v>
      </c>
      <c r="M63" s="6">
        <f t="shared" si="24"/>
        <v>2.3819444446417037E-2</v>
      </c>
      <c r="N63" s="7">
        <f t="shared" si="21"/>
        <v>34.300000002840534</v>
      </c>
      <c r="O63" s="7"/>
      <c r="P63" s="7"/>
      <c r="Q63" s="25"/>
      <c r="R63" s="25"/>
      <c r="S63" s="37">
        <f t="shared" si="25"/>
        <v>1</v>
      </c>
      <c r="T63" s="52" t="str">
        <f t="shared" si="26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08:50:40-0600',mode:absolute,to:'2016-08-29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63" s="54" t="str">
        <f t="shared" si="28"/>
        <v>N</v>
      </c>
      <c r="X63" s="120">
        <f t="shared" si="36"/>
        <v>1</v>
      </c>
      <c r="Y63" s="69">
        <f t="shared" si="29"/>
        <v>4.7500000000000001E-2</v>
      </c>
      <c r="Z63" s="69">
        <f t="shared" si="30"/>
        <v>23.3308</v>
      </c>
      <c r="AA63" s="69">
        <f t="shared" si="31"/>
        <v>23.283300000000001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32"/>
        <v>0151-29</v>
      </c>
      <c r="AE63" s="99" t="str">
        <f t="shared" si="33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63" s="96" t="str">
        <f t="shared" si="34"/>
        <v>"C:\Program Files (x86)\AstroGrep\AstroGrep.exe" /spath="%USERPROFILE%\AppData\Local\Temp\OnboardLogs" /stypes="*4040*20160829*" /stext=" 16:.+((SYSTEM_STATE.+slice.+state.+changed )|(ment ac)|(system.+state.+changed )|(\|lc)|(penalty)|(\[timeout)|(PRM\|1\|D)|(kpr)|(kdp))" /e /r /s</v>
      </c>
      <c r="AG63" s="1" t="str">
        <f t="shared" si="35"/>
        <v>EC</v>
      </c>
      <c r="AH63" s="100" t="str">
        <f t="shared" si="16"/>
        <v>"%USERPROFILE%\Documents\GitHub\eaglep3\Utilities\RefineRTDCRunTimes.py" --tripid 151-29 --locoid 4040 --swversion DE.1.0.7.0 --startMP 204:475 --initTime 2016-08-29T09:50:40 --startdatetime 2016-08-29T10:00:51 --delay 1 --endMP 204:233308 --enddatetime 2016-08-29T10:35:09 --enforcementcount 0 &gt;&gt;C:\Users\stu\Documents\GitHub\eaglep3-reporting\EC\2016-08-29-refined-times.txt</v>
      </c>
      <c r="AI63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{"issue":{"subject":"","project_id":79,"tracker_id":40,"status_id":1,"priority_id":2,"assigned_to_id":23,"start_date":"2016-08-29","description":"","custom_fields":[{"id":1,"name":"Subdivision","value":"EC"},{"id":4,"name":"Milepost","value":"23.2833"},{"id":17,"name":"Train ID","value":"151-29"},{"id":16,"name":"Locomotive ID","value":"4040"},{"id":130,"name":"Impact","value":""},{"id":150,"name":"Time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432</v>
      </c>
      <c r="B64" s="7">
        <v>4039</v>
      </c>
      <c r="C64" s="24" t="s">
        <v>113</v>
      </c>
      <c r="D64" s="24" t="s">
        <v>281</v>
      </c>
      <c r="E64" s="15">
        <v>42611.441874999997</v>
      </c>
      <c r="F64" s="15">
        <v>42611.455983796295</v>
      </c>
      <c r="G64" s="7">
        <v>1</v>
      </c>
      <c r="H64" s="15" t="s">
        <v>170</v>
      </c>
      <c r="I64" s="15">
        <v>42611.482638888891</v>
      </c>
      <c r="J64" s="7">
        <v>0</v>
      </c>
      <c r="K64" s="132" t="str">
        <f t="shared" si="23"/>
        <v>4039/4040</v>
      </c>
      <c r="L64" s="24" t="str">
        <f>VLOOKUP(A64,'Trips&amp;Operators'!$C$1:$E$10000,3,FALSE)</f>
        <v>YORK</v>
      </c>
      <c r="M64" s="6">
        <f t="shared" si="24"/>
        <v>2.6655092595319729E-2</v>
      </c>
      <c r="N64" s="7">
        <f t="shared" si="21"/>
        <v>38.38333333726041</v>
      </c>
      <c r="O64" s="7"/>
      <c r="P64" s="7"/>
      <c r="Q64" s="25"/>
      <c r="R64" s="25"/>
      <c r="S64" s="37">
        <f t="shared" si="25"/>
        <v>1</v>
      </c>
      <c r="T64" s="52" t="str">
        <f t="shared" si="26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09:36:18-0600',mode:absolute,to:'2016-08-29 12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64" s="54" t="str">
        <f t="shared" si="28"/>
        <v>N</v>
      </c>
      <c r="X64" s="120">
        <f t="shared" si="36"/>
        <v>1</v>
      </c>
      <c r="Y64" s="69">
        <f t="shared" si="29"/>
        <v>23.298300000000001</v>
      </c>
      <c r="Z64" s="69">
        <f t="shared" si="30"/>
        <v>1.52E-2</v>
      </c>
      <c r="AA64" s="69">
        <f t="shared" si="31"/>
        <v>23.283100000000001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32"/>
        <v>0152-29</v>
      </c>
      <c r="AE64" s="99" t="str">
        <f t="shared" si="33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64" s="96" t="str">
        <f t="shared" si="34"/>
        <v>"C:\Program Files (x86)\AstroGrep\AstroGrep.exe" /spath="%USERPROFILE%\AppData\Local\Temp\OnboardLogs" /stypes="*4039*20160829*" /stext=" 17:.+((SYSTEM_STATE.+slice.+state.+changed )|(ment ac)|(system.+state.+changed )|(\|lc)|(penalty)|(\[timeout)|(PRM\|1\|D)|(kpr)|(kdp))" /e /r /s</v>
      </c>
      <c r="AG64" s="1" t="str">
        <f t="shared" si="35"/>
        <v>EC</v>
      </c>
      <c r="AH64" s="100" t="str">
        <f t="shared" si="16"/>
        <v>"%USERPROFILE%\Documents\GitHub\eaglep3\Utilities\RefineRTDCRunTimes.py" --tripid 152-29 --locoid 4039 --swversion DE.1.0.7.0 --startMP 204:232983 --initTime 2016-08-29T10:36:18 --startdatetime 2016-08-29T10:56:37 --delay 1 --endMP 204:152 --enddatetime 2016-08-29T11:35:00 --enforcementcount 0 &gt;&gt;C:\Users\stu\Documents\GitHub\eaglep3-reporting\EC\2016-08-29-refined-times.txt</v>
      </c>
      <c r="AI64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{"issue":{"subject":"","project_id":79,"tracker_id":40,"status_id":1,"priority_id":2,"assigned_to_id":23,"start_date":"2016-08-29","description":"","custom_fields":[{"id":1,"name":"Subdivision","value":"EC"},{"id":4,"name":"Milepost","value":"23.2831"},{"id":17,"name":"Train ID","value":"152-29"},{"id":16,"name":"Locomotive ID","value":"4039"},{"id":130,"name":"Impact","value":""},{"id":150,"name":"Time of Event (Mountain Time)","value":"11:35:00"},{"id":151,"name":"Denver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429</v>
      </c>
      <c r="B65" s="7">
        <v>4031</v>
      </c>
      <c r="C65" s="24" t="s">
        <v>113</v>
      </c>
      <c r="D65" s="24" t="s">
        <v>133</v>
      </c>
      <c r="E65" s="15">
        <v>42611.423993055556</v>
      </c>
      <c r="F65" s="15">
        <v>42611.42728009259</v>
      </c>
      <c r="G65" s="7">
        <v>1</v>
      </c>
      <c r="H65" s="15" t="s">
        <v>299</v>
      </c>
      <c r="I65" s="15">
        <v>42611.453009259261</v>
      </c>
      <c r="J65" s="7">
        <v>0</v>
      </c>
      <c r="K65" s="132" t="str">
        <f t="shared" si="23"/>
        <v>4031/4032</v>
      </c>
      <c r="L65" s="24" t="str">
        <f>VLOOKUP(A65,'Trips&amp;Operators'!$C$1:$E$10000,3,FALSE)</f>
        <v>STARKS</v>
      </c>
      <c r="M65" s="6">
        <f t="shared" si="24"/>
        <v>2.5729166671226267E-2</v>
      </c>
      <c r="N65" s="7">
        <f t="shared" si="21"/>
        <v>37.050000006565824</v>
      </c>
      <c r="O65" s="7"/>
      <c r="P65" s="7"/>
      <c r="Q65" s="25"/>
      <c r="R65" s="25"/>
      <c r="S65" s="37">
        <f t="shared" si="25"/>
        <v>1</v>
      </c>
      <c r="T65" s="52" t="str">
        <f t="shared" si="26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09:10:33-0600',mode:absolute,to:'2016-08-29 11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5" s="54" t="str">
        <f t="shared" si="28"/>
        <v>N</v>
      </c>
      <c r="X65" s="120">
        <f t="shared" si="36"/>
        <v>1</v>
      </c>
      <c r="Y65" s="69">
        <f t="shared" si="29"/>
        <v>4.53E-2</v>
      </c>
      <c r="Z65" s="69">
        <f t="shared" si="30"/>
        <v>23.328800000000001</v>
      </c>
      <c r="AA65" s="69">
        <f t="shared" si="31"/>
        <v>23.2835</v>
      </c>
      <c r="AB65" s="66">
        <f>VLOOKUP(A65,Enforcements!$C$7:$J$21,8,0)</f>
        <v>224578</v>
      </c>
      <c r="AC65" s="62" t="str">
        <f>VLOOKUP(A65,Enforcements!$C$7:$E$21,3,0)</f>
        <v>PERMANENT SPEED RESTRICTION</v>
      </c>
      <c r="AD65" s="63" t="str">
        <f t="shared" si="32"/>
        <v>0153-29</v>
      </c>
      <c r="AE65" s="99" t="str">
        <f t="shared" si="33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65" s="96" t="str">
        <f t="shared" si="34"/>
        <v>"C:\Program Files (x86)\AstroGrep\AstroGrep.exe" /spath="%USERPROFILE%\AppData\Local\Temp\OnboardLogs" /stypes="*4031*20160829*" /stext=" 16:.+((SYSTEM_STATE.+slice.+state.+changed )|(ment ac)|(system.+state.+changed )|(\|lc)|(penalty)|(\[timeout)|(PRM\|1\|D)|(kpr)|(kdp))" /e /r /s</v>
      </c>
      <c r="AG65" s="1" t="str">
        <f t="shared" si="35"/>
        <v>EC</v>
      </c>
      <c r="AH65" s="100" t="str">
        <f t="shared" si="16"/>
        <v>"%USERPROFILE%\Documents\GitHub\eaglep3\Utilities\RefineRTDCRunTimes.py" --tripid 153-29 --locoid 4031 --swversion DE.1.0.7.0 --startMP 204:453 --initTime 2016-08-29T10:10:33 --startdatetime 2016-08-29T10:15:17 --delay 1 --endMP 204:233288 --enddatetime 2016-08-29T10:52:20 --enforcementcount 0 &gt;&gt;C:\Users\stu\Documents\GitHub\eaglep3-reporting\EC\2016-08-29-refined-times.txt</v>
      </c>
      <c r="AI6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{"issue":{"subject":"","project_id":79,"tracker_id":40,"status_id":1,"priority_id":2,"assigned_to_id":23,"start_date":"2016-08-29","description":"","custom_fields":[{"id":1,"name":"Subdivision","value":"EC"},{"id":4,"name":"Milepost","value":"23.2835"},{"id":17,"name":"Train ID","value":"153-29"},{"id":16,"name":"Locomotive ID","value":"4031"},{"id":130,"name":"Impact","value":""},{"id":150,"name":"Time of Event (Mountain Time)","value":"10:52:20"},{"id":151,"name":"Denver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439</v>
      </c>
      <c r="B66" s="7">
        <v>4032</v>
      </c>
      <c r="C66" s="24" t="s">
        <v>113</v>
      </c>
      <c r="D66" s="24" t="s">
        <v>600</v>
      </c>
      <c r="E66" s="15">
        <v>42611.479664351849</v>
      </c>
      <c r="F66" s="15">
        <v>42611.481377314813</v>
      </c>
      <c r="G66" s="7">
        <v>1</v>
      </c>
      <c r="H66" s="15" t="s">
        <v>132</v>
      </c>
      <c r="I66" s="15">
        <v>42611.498171296298</v>
      </c>
      <c r="J66" s="7">
        <v>0</v>
      </c>
      <c r="K66" s="132" t="str">
        <f t="shared" si="23"/>
        <v>4031/4032</v>
      </c>
      <c r="L66" s="24" t="str">
        <f>VLOOKUP(A66,'Trips&amp;Operators'!$C$1:$E$10000,3,FALSE)</f>
        <v>STARKS</v>
      </c>
      <c r="M66" s="6">
        <f t="shared" si="24"/>
        <v>1.6793981485534459E-2</v>
      </c>
      <c r="N66" s="7"/>
      <c r="O66" s="7"/>
      <c r="P66" s="7">
        <f>24*60*SUM($M66:$M66)</f>
        <v>24.183333339169621</v>
      </c>
      <c r="Q66" s="25"/>
      <c r="R66" s="25" t="s">
        <v>716</v>
      </c>
      <c r="S66" s="37">
        <f t="shared" si="25"/>
        <v>1</v>
      </c>
      <c r="T66" s="52" t="str">
        <f t="shared" si="26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10:30:43-0600',mode:absolute,to:'2016-08-29 12:57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6" s="54" t="str">
        <f t="shared" si="28"/>
        <v>Y</v>
      </c>
      <c r="X66" s="120">
        <f t="shared" si="36"/>
        <v>1</v>
      </c>
      <c r="Y66" s="69">
        <f t="shared" si="29"/>
        <v>12.7858</v>
      </c>
      <c r="Z66" s="69">
        <f t="shared" si="30"/>
        <v>1.47E-2</v>
      </c>
      <c r="AA66" s="69">
        <f t="shared" si="31"/>
        <v>12.771100000000001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32"/>
        <v>0154-29</v>
      </c>
      <c r="AE66" s="99" t="str">
        <f t="shared" si="33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66" s="96" t="str">
        <f t="shared" si="34"/>
        <v>"C:\Program Files (x86)\AstroGrep\AstroGrep.exe" /spath="%USERPROFILE%\AppData\Local\Temp\OnboardLogs" /stypes="*4032*20160829*" /stext=" 17:.+((SYSTEM_STATE.+slice.+state.+changed )|(ment ac)|(system.+state.+changed )|(\|lc)|(penalty)|(\[timeout)|(PRM\|1\|D)|(kpr)|(kdp))" /e /r /s</v>
      </c>
      <c r="AG66" s="1" t="str">
        <f t="shared" si="35"/>
        <v>EC</v>
      </c>
      <c r="AH66" s="100" t="str">
        <f t="shared" si="16"/>
        <v>"%USERPROFILE%\Documents\GitHub\eaglep3\Utilities\RefineRTDCRunTimes.py" --tripid 154-29 --locoid 4032 --swversion DE.1.0.7.0 --startMP 204:127858 --initTime 2016-08-29T11:30:43 --startdatetime 2016-08-29T11:33:11 --delay 1 --endMP 204:147 --enddatetime 2016-08-29T11:57:22 --enforcementcount 0 &gt;&gt;C:\Users\stu\Documents\GitHub\eaglep3-reporting\EC\2016-08-29-refined-times.txt</v>
      </c>
      <c r="AI66" s="149" t="str">
        <f t="shared" si="17"/>
        <v>echo {"issue":{"subject":"Onboard in-route failure","project_id":79,"tracker_id":40,"status_id":1,"priority_id":2,"assigned_to_id":23,"start_date":"2016-08-29","description":"","custom_fields":[{"id":1,"name":"Subdivision","value":"EC"},{"id":4,"name":"Milepost","value":"12.7711"},{"id":17,"name":"Train ID","value":"154-29"},{"id":16,"name":"Locomotive ID","value":"4032"},{"id":130,"name":"Impact","value":""},{"id":150,"name":"Time of Event (Mountain Time)","value":"11:57:22"},{"id":151,"name":"Denver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431</v>
      </c>
      <c r="B67" s="7">
        <v>4027</v>
      </c>
      <c r="C67" s="24" t="s">
        <v>113</v>
      </c>
      <c r="D67" s="24" t="s">
        <v>141</v>
      </c>
      <c r="E67" s="15">
        <v>42611.433657407404</v>
      </c>
      <c r="F67" s="15">
        <v>42611.437685185185</v>
      </c>
      <c r="G67" s="7">
        <v>1</v>
      </c>
      <c r="H67" s="15" t="s">
        <v>601</v>
      </c>
      <c r="I67" s="15">
        <v>42611.46398148148</v>
      </c>
      <c r="J67" s="7">
        <v>0</v>
      </c>
      <c r="K67" s="132" t="str">
        <f t="shared" si="23"/>
        <v>4027/4028</v>
      </c>
      <c r="L67" s="24" t="str">
        <f>VLOOKUP(A67,'Trips&amp;Operators'!$C$1:$E$10000,3,FALSE)</f>
        <v>DAVIS</v>
      </c>
      <c r="M67" s="6">
        <f t="shared" si="24"/>
        <v>2.6296296295186039E-2</v>
      </c>
      <c r="N67" s="7">
        <f t="shared" ref="N67:N98" si="37">24*60*SUM($M67:$M67)</f>
        <v>37.866666665067896</v>
      </c>
      <c r="O67" s="7"/>
      <c r="P67" s="7"/>
      <c r="Q67" s="25"/>
      <c r="R67" s="25"/>
      <c r="S67" s="37">
        <f t="shared" si="25"/>
        <v>1</v>
      </c>
      <c r="T67" s="52" t="str">
        <f t="shared" si="26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09:24:28-0600',mode:absolute,to:'2016-08-29 12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7" s="54" t="str">
        <f t="shared" si="28"/>
        <v>N</v>
      </c>
      <c r="X67" s="120">
        <f t="shared" si="36"/>
        <v>1</v>
      </c>
      <c r="Y67" s="69">
        <f t="shared" si="29"/>
        <v>4.5699999999999998E-2</v>
      </c>
      <c r="Z67" s="69">
        <f t="shared" si="30"/>
        <v>23.330400000000001</v>
      </c>
      <c r="AA67" s="69">
        <f t="shared" si="31"/>
        <v>23.284700000000001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32"/>
        <v>0155-29</v>
      </c>
      <c r="AE67" s="99" t="str">
        <f t="shared" si="33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67" s="96" t="str">
        <f t="shared" si="34"/>
        <v>"C:\Program Files (x86)\AstroGrep\AstroGrep.exe" /spath="%USERPROFILE%\AppData\Local\Temp\OnboardLogs" /stypes="*4027*20160829*" /stext=" 17:.+((SYSTEM_STATE.+slice.+state.+changed )|(ment ac)|(system.+state.+changed )|(\|lc)|(penalty)|(\[timeout)|(PRM\|1\|D)|(kpr)|(kdp))" /e /r /s</v>
      </c>
      <c r="AG67" s="1" t="str">
        <f t="shared" si="35"/>
        <v>EC</v>
      </c>
      <c r="AH67" s="100" t="str">
        <f t="shared" si="16"/>
        <v>"%USERPROFILE%\Documents\GitHub\eaglep3\Utilities\RefineRTDCRunTimes.py" --tripid 155-29 --locoid 4027 --swversion DE.1.0.7.0 --startMP 204:457 --initTime 2016-08-29T10:24:28 --startdatetime 2016-08-29T10:30:16 --delay 1 --endMP 204:233304 --enddatetime 2016-08-29T11:08:08 --enforcementcount 0 &gt;&gt;C:\Users\stu\Documents\GitHub\eaglep3-reporting\EC\2016-08-29-refined-times.txt</v>
      </c>
      <c r="AI6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{"issue":{"subject":"","project_id":79,"tracker_id":40,"status_id":1,"priority_id":2,"assigned_to_id":23,"start_date":"2016-08-29","description":"","custom_fields":[{"id":1,"name":"Subdivision","value":"EC"},{"id":4,"name":"Milepost","value":"23.2847"},{"id":17,"name":"Train ID","value":"155-29"},{"id":16,"name":"Locomotive ID","value":"4027"},{"id":130,"name":"Impact","value":""},{"id":150,"name":"Time of Event (Mountain Time)","value":"11:08:08"},{"id":151,"name":"Denver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440</v>
      </c>
      <c r="B68" s="7">
        <v>4028</v>
      </c>
      <c r="C68" s="24" t="s">
        <v>113</v>
      </c>
      <c r="D68" s="24" t="s">
        <v>602</v>
      </c>
      <c r="E68" s="15">
        <v>42611.472280092596</v>
      </c>
      <c r="F68" s="15">
        <v>42611.476550925923</v>
      </c>
      <c r="G68" s="7">
        <v>1</v>
      </c>
      <c r="H68" s="15" t="s">
        <v>170</v>
      </c>
      <c r="I68" s="15">
        <v>42611.503900462965</v>
      </c>
      <c r="J68" s="7">
        <v>0</v>
      </c>
      <c r="K68" s="132" t="str">
        <f t="shared" si="23"/>
        <v>4027/4028</v>
      </c>
      <c r="L68" s="24" t="str">
        <f>VLOOKUP(A68,'Trips&amp;Operators'!$C$1:$E$10000,3,FALSE)</f>
        <v>DAVIS</v>
      </c>
      <c r="M68" s="6">
        <f t="shared" si="24"/>
        <v>2.7349537042027805E-2</v>
      </c>
      <c r="N68" s="7">
        <f t="shared" si="37"/>
        <v>39.383333340520039</v>
      </c>
      <c r="O68" s="7"/>
      <c r="P68" s="7"/>
      <c r="Q68" s="25"/>
      <c r="R68" s="25"/>
      <c r="S68" s="37">
        <f t="shared" si="25"/>
        <v>1</v>
      </c>
      <c r="T68" s="52" t="str">
        <f t="shared" si="26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10:20:05-0600',mode:absolute,to:'2016-08-29 13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8" s="54" t="str">
        <f t="shared" si="28"/>
        <v>N</v>
      </c>
      <c r="X68" s="120">
        <f t="shared" si="36"/>
        <v>1</v>
      </c>
      <c r="Y68" s="69">
        <f t="shared" si="29"/>
        <v>23.299600000000002</v>
      </c>
      <c r="Z68" s="69">
        <f t="shared" si="30"/>
        <v>1.52E-2</v>
      </c>
      <c r="AA68" s="69">
        <f t="shared" si="31"/>
        <v>23.284400000000002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32"/>
        <v>0156-29</v>
      </c>
      <c r="AE68" s="99" t="str">
        <f t="shared" si="33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68" s="96" t="str">
        <f t="shared" si="34"/>
        <v>"C:\Program Files (x86)\AstroGrep\AstroGrep.exe" /spath="%USERPROFILE%\AppData\Local\Temp\OnboardLogs" /stypes="*4028*20160829*" /stext=" 18:.+((SYSTEM_STATE.+slice.+state.+changed )|(ment ac)|(system.+state.+changed )|(\|lc)|(penalty)|(\[timeout)|(PRM\|1\|D)|(kpr)|(kdp))" /e /r /s</v>
      </c>
      <c r="AG68" s="1" t="str">
        <f t="shared" si="35"/>
        <v>EC</v>
      </c>
      <c r="AH68" s="100" t="str">
        <f t="shared" si="16"/>
        <v>"%USERPROFILE%\Documents\GitHub\eaglep3\Utilities\RefineRTDCRunTimes.py" --tripid 156-29 --locoid 4028 --swversion DE.1.0.7.0 --startMP 204:232996 --initTime 2016-08-29T11:20:05 --startdatetime 2016-08-29T11:26:14 --delay 1 --endMP 204:152 --enddatetime 2016-08-29T12:05:37 --enforcementcount 0 &gt;&gt;C:\Users\stu\Documents\GitHub\eaglep3-reporting\EC\2016-08-29-refined-times.txt</v>
      </c>
      <c r="AI68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{"issue":{"subject":"","project_id":79,"tracker_id":40,"status_id":1,"priority_id":2,"assigned_to_id":23,"start_date":"2016-08-29","description":"","custom_fields":[{"id":1,"name":"Subdivision","value":"EC"},{"id":4,"name":"Milepost","value":"23.2844"},{"id":17,"name":"Train ID","value":"156-29"},{"id":16,"name":"Locomotive ID","value":"4028"},{"id":130,"name":"Impact","value":""},{"id":150,"name":"Time of Event (Mountain Time)","value":"12:05:37"},{"id":151,"name":"Denver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435</v>
      </c>
      <c r="B69" s="7">
        <v>4003</v>
      </c>
      <c r="C69" s="24" t="s">
        <v>113</v>
      </c>
      <c r="D69" s="24" t="s">
        <v>197</v>
      </c>
      <c r="E69" s="15">
        <v>42611.447233796294</v>
      </c>
      <c r="F69" s="15">
        <v>42611.448125000003</v>
      </c>
      <c r="G69" s="7">
        <v>1</v>
      </c>
      <c r="H69" s="15" t="s">
        <v>599</v>
      </c>
      <c r="I69" s="15">
        <v>42611.474016203705</v>
      </c>
      <c r="J69" s="7">
        <v>0</v>
      </c>
      <c r="K69" s="132" t="str">
        <f t="shared" si="23"/>
        <v>4003/4004</v>
      </c>
      <c r="L69" s="24" t="str">
        <f>VLOOKUP(A69,'Trips&amp;Operators'!$C$1:$E$10000,3,FALSE)</f>
        <v>MALAVE</v>
      </c>
      <c r="M69" s="6">
        <f t="shared" si="24"/>
        <v>2.5891203702485655E-2</v>
      </c>
      <c r="N69" s="7">
        <f t="shared" si="37"/>
        <v>37.283333331579342</v>
      </c>
      <c r="O69" s="7"/>
      <c r="P69" s="7"/>
      <c r="Q69" s="25"/>
      <c r="R69" s="25"/>
      <c r="S69" s="37">
        <f t="shared" si="25"/>
        <v>1</v>
      </c>
      <c r="T69" s="52" t="str">
        <f t="shared" si="26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09:44:01-0600',mode:absolute,to:'2016-08-29 12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69" s="54" t="str">
        <f t="shared" si="28"/>
        <v>N</v>
      </c>
      <c r="X69" s="120">
        <f t="shared" si="36"/>
        <v>1</v>
      </c>
      <c r="Y69" s="69">
        <f t="shared" si="29"/>
        <v>4.6399999999999997E-2</v>
      </c>
      <c r="Z69" s="69">
        <f t="shared" si="30"/>
        <v>23.330300000000001</v>
      </c>
      <c r="AA69" s="69">
        <f t="shared" si="31"/>
        <v>23.283900000000003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32"/>
        <v>0157-29</v>
      </c>
      <c r="AE69" s="99" t="str">
        <f t="shared" si="33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69" s="96" t="str">
        <f t="shared" si="34"/>
        <v>"C:\Program Files (x86)\AstroGrep\AstroGrep.exe" /spath="%USERPROFILE%\AppData\Local\Temp\OnboardLogs" /stypes="*4003*20160829*" /stext=" 17:.+((SYSTEM_STATE.+slice.+state.+changed )|(ment ac)|(system.+state.+changed )|(\|lc)|(penalty)|(\[timeout)|(PRM\|1\|D)|(kpr)|(kdp))" /e /r /s</v>
      </c>
      <c r="AG69" s="1" t="str">
        <f t="shared" si="35"/>
        <v>EC</v>
      </c>
      <c r="AH69" s="100" t="str">
        <f t="shared" si="16"/>
        <v>"%USERPROFILE%\Documents\GitHub\eaglep3\Utilities\RefineRTDCRunTimes.py" --tripid 157-29 --locoid 4003 --swversion DE.1.0.7.0 --startMP 204:464 --initTime 2016-08-29T10:44:01 --startdatetime 2016-08-29T10:45:18 --delay 1 --endMP 204:233303 --enddatetime 2016-08-29T11:22:35 --enforcementcount 0 &gt;&gt;C:\Users\stu\Documents\GitHub\eaglep3-reporting\EC\2016-08-29-refined-times.txt</v>
      </c>
      <c r="AI69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{"issue":{"subject":"","project_id":79,"tracker_id":40,"status_id":1,"priority_id":2,"assigned_to_id":23,"start_date":"2016-08-29","description":"","custom_fields":[{"id":1,"name":"Subdivision","value":"EC"},{"id":4,"name":"Milepost","value":"23.2839"},{"id":17,"name":"Train ID","value":"157-29"},{"id":16,"name":"Locomotive ID","value":"4003"},{"id":130,"name":"Impact","value":""},{"id":150,"name":"Time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443</v>
      </c>
      <c r="B70" s="7">
        <v>4004</v>
      </c>
      <c r="C70" s="24" t="s">
        <v>113</v>
      </c>
      <c r="D70" s="24" t="s">
        <v>266</v>
      </c>
      <c r="E70" s="15">
        <v>42611.485451388886</v>
      </c>
      <c r="F70" s="15">
        <v>42611.486990740741</v>
      </c>
      <c r="G70" s="7">
        <v>1</v>
      </c>
      <c r="H70" s="15" t="s">
        <v>136</v>
      </c>
      <c r="I70" s="15">
        <v>42611.516504629632</v>
      </c>
      <c r="J70" s="7">
        <v>0</v>
      </c>
      <c r="K70" s="132" t="str">
        <f t="shared" si="23"/>
        <v>4003/4004</v>
      </c>
      <c r="L70" s="24" t="str">
        <f>VLOOKUP(A70,'Trips&amp;Operators'!$C$1:$E$10000,3,FALSE)</f>
        <v>MALAVE</v>
      </c>
      <c r="M70" s="6">
        <f t="shared" si="24"/>
        <v>2.9513888890505768E-2</v>
      </c>
      <c r="N70" s="7">
        <f t="shared" si="37"/>
        <v>42.500000002328306</v>
      </c>
      <c r="O70" s="7"/>
      <c r="P70" s="7"/>
      <c r="Q70" s="25"/>
      <c r="R70" s="25"/>
      <c r="S70" s="37">
        <f t="shared" si="25"/>
        <v>1</v>
      </c>
      <c r="T70" s="52" t="str">
        <f t="shared" si="26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10:39:03-0600',mode:absolute,to:'2016-08-29 13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70" s="54" t="str">
        <f t="shared" si="28"/>
        <v>N</v>
      </c>
      <c r="X70" s="120">
        <f t="shared" si="36"/>
        <v>1</v>
      </c>
      <c r="Y70" s="69">
        <f t="shared" si="29"/>
        <v>23.2971</v>
      </c>
      <c r="Z70" s="69">
        <f t="shared" si="30"/>
        <v>1.49E-2</v>
      </c>
      <c r="AA70" s="69">
        <f t="shared" si="31"/>
        <v>23.2822</v>
      </c>
      <c r="AB70" s="66">
        <f>VLOOKUP(A70,Enforcements!$C$7:$J$21,8,0)</f>
        <v>183829</v>
      </c>
      <c r="AC70" s="62" t="str">
        <f>VLOOKUP(A70,Enforcements!$C$7:$E$21,3,0)</f>
        <v>PERMANENT SPEED RESTRICTION</v>
      </c>
      <c r="AD70" s="63" t="str">
        <f t="shared" si="32"/>
        <v>0158-29</v>
      </c>
      <c r="AE70" s="99" t="str">
        <f t="shared" si="33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70" s="96" t="str">
        <f t="shared" si="34"/>
        <v>"C:\Program Files (x86)\AstroGrep\AstroGrep.exe" /spath="%USERPROFILE%\AppData\Local\Temp\OnboardLogs" /stypes="*4004*20160829*" /stext=" 18:.+((SYSTEM_STATE.+slice.+state.+changed )|(ment ac)|(system.+state.+changed )|(\|lc)|(penalty)|(\[timeout)|(PRM\|1\|D)|(kpr)|(kdp))" /e /r /s</v>
      </c>
      <c r="AG70" s="1" t="str">
        <f t="shared" si="35"/>
        <v>EC</v>
      </c>
      <c r="AH70" s="100" t="str">
        <f t="shared" si="16"/>
        <v>"%USERPROFILE%\Documents\GitHub\eaglep3\Utilities\RefineRTDCRunTimes.py" --tripid 158-29 --locoid 4004 --swversion DE.1.0.7.0 --startMP 204:232971 --initTime 2016-08-29T11:39:03 --startdatetime 2016-08-29T11:41:16 --delay 1 --endMP 204:149 --enddatetime 2016-08-29T12:23:46 --enforcementcount 0 &gt;&gt;C:\Users\stu\Documents\GitHub\eaglep3-reporting\EC\2016-08-29-refined-times.txt</v>
      </c>
      <c r="AI70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{"issue":{"subject":"","project_id":79,"tracker_id":40,"status_id":1,"priority_id":2,"assigned_to_id":23,"start_date":"2016-08-29","description":"","custom_fields":[{"id":1,"name":"Subdivision","value":"EC"},{"id":4,"name":"Milepost","value":"23.2822"},{"id":17,"name":"Train ID","value":"158-29"},{"id":16,"name":"Locomotive ID","value":"4004"},{"id":130,"name":"Impact","value":""},{"id":150,"name":"Time of Event (Mountain Time)","value":"12:23:46"},{"id":151,"name":"Denver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436</v>
      </c>
      <c r="B71" s="7">
        <v>4007</v>
      </c>
      <c r="C71" s="24" t="s">
        <v>113</v>
      </c>
      <c r="D71" s="24" t="s">
        <v>139</v>
      </c>
      <c r="E71" s="15">
        <v>42611.456296296295</v>
      </c>
      <c r="F71" s="15">
        <v>42611.458692129629</v>
      </c>
      <c r="G71" s="7">
        <v>1</v>
      </c>
      <c r="H71" s="15" t="s">
        <v>184</v>
      </c>
      <c r="I71" s="15">
        <v>42611.484120370369</v>
      </c>
      <c r="J71" s="7">
        <v>0</v>
      </c>
      <c r="K71" s="132" t="str">
        <f t="shared" si="23"/>
        <v>4007/4008</v>
      </c>
      <c r="L71" s="24" t="str">
        <f>VLOOKUP(A71,'Trips&amp;Operators'!$C$1:$E$10000,3,FALSE)</f>
        <v>STEWART</v>
      </c>
      <c r="M71" s="6">
        <f t="shared" si="24"/>
        <v>2.5428240740438923E-2</v>
      </c>
      <c r="N71" s="7">
        <f t="shared" si="37"/>
        <v>36.616666666232049</v>
      </c>
      <c r="O71" s="7"/>
      <c r="P71" s="7"/>
      <c r="Q71" s="25"/>
      <c r="R71" s="25"/>
      <c r="S71" s="37">
        <f t="shared" si="25"/>
        <v>1</v>
      </c>
      <c r="T71" s="52" t="str">
        <f t="shared" si="26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09:57:04-0600',mode:absolute,to:'2016-08-29 12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1" s="54" t="str">
        <f t="shared" si="28"/>
        <v>N</v>
      </c>
      <c r="X71" s="120">
        <f t="shared" si="36"/>
        <v>1</v>
      </c>
      <c r="Y71" s="69">
        <f t="shared" si="29"/>
        <v>4.6699999999999998E-2</v>
      </c>
      <c r="Z71" s="69">
        <f t="shared" si="30"/>
        <v>23.3293</v>
      </c>
      <c r="AA71" s="69">
        <f t="shared" si="31"/>
        <v>23.282599999999999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32"/>
        <v>0159-29</v>
      </c>
      <c r="AE71" s="99" t="str">
        <f t="shared" si="33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71" s="96" t="str">
        <f t="shared" si="34"/>
        <v>"C:\Program Files (x86)\AstroGrep\AstroGrep.exe" /spath="%USERPROFILE%\AppData\Local\Temp\OnboardLogs" /stypes="*4007*20160829*" /stext=" 17:.+((SYSTEM_STATE.+slice.+state.+changed )|(ment ac)|(system.+state.+changed )|(\|lc)|(penalty)|(\[timeout)|(PRM\|1\|D)|(kpr)|(kdp))" /e /r /s</v>
      </c>
      <c r="AG71" s="1" t="str">
        <f t="shared" si="35"/>
        <v>EC</v>
      </c>
      <c r="AH71" s="100" t="str">
        <f t="shared" si="16"/>
        <v>"%USERPROFILE%\Documents\GitHub\eaglep3\Utilities\RefineRTDCRunTimes.py" --tripid 159-29 --locoid 4007 --swversion DE.1.0.7.0 --startMP 204:467 --initTime 2016-08-29T10:57:04 --startdatetime 2016-08-29T11:00:31 --delay 1 --endMP 204:233293 --enddatetime 2016-08-29T11:37:08 --enforcementcount 0 &gt;&gt;C:\Users\stu\Documents\GitHub\eaglep3-reporting\EC\2016-08-29-refined-times.txt</v>
      </c>
      <c r="AI71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{"issue":{"subject":"","project_id":79,"tracker_id":40,"status_id":1,"priority_id":2,"assigned_to_id":23,"start_date":"2016-08-29","description":"","custom_fields":[{"id":1,"name":"Subdivision","value":"EC"},{"id":4,"name":"Milepost","value":"23.2826"},{"id":17,"name":"Train ID","value":"159-29"},{"id":16,"name":"Locomotive ID","value":"4007"},{"id":130,"name":"Impact","value":""},{"id":150,"name":"Time of Event (Mountain Time)","value":"11:37:08"},{"id":151,"name":"Denver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445</v>
      </c>
      <c r="B72" s="7">
        <v>4008</v>
      </c>
      <c r="C72" s="24" t="s">
        <v>113</v>
      </c>
      <c r="D72" s="24" t="s">
        <v>603</v>
      </c>
      <c r="E72" s="15">
        <v>42611.494328703702</v>
      </c>
      <c r="F72" s="15">
        <v>42611.497534722221</v>
      </c>
      <c r="G72" s="7">
        <v>1</v>
      </c>
      <c r="H72" s="15" t="s">
        <v>595</v>
      </c>
      <c r="I72" s="15">
        <v>42611.526087962964</v>
      </c>
      <c r="J72" s="7">
        <v>0</v>
      </c>
      <c r="K72" s="132" t="str">
        <f t="shared" si="23"/>
        <v>4007/4008</v>
      </c>
      <c r="L72" s="24" t="str">
        <f>VLOOKUP(A72,'Trips&amp;Operators'!$C$1:$E$10000,3,FALSE)</f>
        <v>LOZA</v>
      </c>
      <c r="M72" s="6">
        <f t="shared" si="24"/>
        <v>2.8553240743349306E-2</v>
      </c>
      <c r="N72" s="7">
        <f t="shared" si="37"/>
        <v>41.116666670423001</v>
      </c>
      <c r="O72" s="7"/>
      <c r="P72" s="7"/>
      <c r="Q72" s="25"/>
      <c r="R72" s="25"/>
      <c r="S72" s="37">
        <f t="shared" si="25"/>
        <v>1</v>
      </c>
      <c r="T72" s="52" t="str">
        <f t="shared" si="26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10:51:50-0600',mode:absolute,to:'2016-08-29 13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2" s="54" t="str">
        <f t="shared" si="28"/>
        <v>N</v>
      </c>
      <c r="X72" s="120">
        <f t="shared" si="36"/>
        <v>1</v>
      </c>
      <c r="Y72" s="69">
        <f t="shared" si="29"/>
        <v>23.299299999999999</v>
      </c>
      <c r="Z72" s="69">
        <f t="shared" si="30"/>
        <v>1.6299999999999999E-2</v>
      </c>
      <c r="AA72" s="69">
        <f t="shared" si="31"/>
        <v>23.282999999999998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32"/>
        <v>0160-29</v>
      </c>
      <c r="AE72" s="99" t="str">
        <f t="shared" si="33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72" s="96" t="str">
        <f t="shared" si="34"/>
        <v>"C:\Program Files (x86)\AstroGrep\AstroGrep.exe" /spath="%USERPROFILE%\AppData\Local\Temp\OnboardLogs" /stypes="*4008*20160829*" /stext=" 18:.+((SYSTEM_STATE.+slice.+state.+changed )|(ment ac)|(system.+state.+changed )|(\|lc)|(penalty)|(\[timeout)|(PRM\|1\|D)|(kpr)|(kdp))" /e /r /s</v>
      </c>
      <c r="AG72" s="1" t="str">
        <f t="shared" si="35"/>
        <v>EC</v>
      </c>
      <c r="AH72" s="100" t="str">
        <f t="shared" si="16"/>
        <v>"%USERPROFILE%\Documents\GitHub\eaglep3\Utilities\RefineRTDCRunTimes.py" --tripid 160-29 --locoid 4008 --swversion DE.1.0.7.0 --startMP 204:232993 --initTime 2016-08-29T11:51:50 --startdatetime 2016-08-29T11:56:27 --delay 1 --endMP 204:163 --enddatetime 2016-08-29T12:37:34 --enforcementcount 0 &gt;&gt;C:\Users\stu\Documents\GitHub\eaglep3-reporting\EC\2016-08-29-refined-times.txt</v>
      </c>
      <c r="AI72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{"issue":{"subject":"","project_id":79,"tracker_id":40,"status_id":1,"priority_id":2,"assigned_to_id":23,"start_date":"2016-08-29","description":"","custom_fields":[{"id":1,"name":"Subdivision","value":"EC"},{"id":4,"name":"Milepost","value":"23.283"},{"id":17,"name":"Train ID","value":"160-29"},{"id":16,"name":"Locomotive ID","value":"4008"},{"id":130,"name":"Impact","value":""},{"id":150,"name":"Time of Event (Mountain Time)","value":"12:37:34"},{"id":151,"name":"Denver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438</v>
      </c>
      <c r="B73" s="7">
        <v>4029</v>
      </c>
      <c r="C73" s="24" t="s">
        <v>113</v>
      </c>
      <c r="D73" s="24" t="s">
        <v>242</v>
      </c>
      <c r="E73" s="15">
        <v>42611.463333333333</v>
      </c>
      <c r="F73" s="15">
        <v>42611.468993055554</v>
      </c>
      <c r="G73" s="7">
        <v>1</v>
      </c>
      <c r="H73" s="15" t="s">
        <v>273</v>
      </c>
      <c r="I73" s="15">
        <v>42611.496712962966</v>
      </c>
      <c r="J73" s="7">
        <v>0</v>
      </c>
      <c r="K73" s="132" t="str">
        <f t="shared" si="23"/>
        <v>4029/4030</v>
      </c>
      <c r="L73" s="24" t="str">
        <f>VLOOKUP(A73,'Trips&amp;Operators'!$C$1:$E$10000,3,FALSE)</f>
        <v>BARTLETT</v>
      </c>
      <c r="M73" s="6">
        <f t="shared" si="24"/>
        <v>2.771990741166519E-2</v>
      </c>
      <c r="N73" s="7">
        <f t="shared" si="37"/>
        <v>39.916666672797874</v>
      </c>
      <c r="O73" s="7"/>
      <c r="P73" s="7"/>
      <c r="Q73" s="25"/>
      <c r="R73" s="25"/>
      <c r="S73" s="37">
        <f t="shared" si="25"/>
        <v>1</v>
      </c>
      <c r="T73" s="52" t="str">
        <f t="shared" si="26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10:07:12-0600',mode:absolute,to:'2016-08-29 12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73" s="54" t="str">
        <f t="shared" si="28"/>
        <v>N</v>
      </c>
      <c r="X73" s="120">
        <f t="shared" si="36"/>
        <v>1</v>
      </c>
      <c r="Y73" s="69">
        <f t="shared" si="29"/>
        <v>4.3799999999999999E-2</v>
      </c>
      <c r="Z73" s="69">
        <f t="shared" si="30"/>
        <v>23.329899999999999</v>
      </c>
      <c r="AA73" s="69">
        <f t="shared" si="31"/>
        <v>23.286099999999998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32"/>
        <v>0161-29</v>
      </c>
      <c r="AE73" s="99" t="str">
        <f t="shared" si="33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73" s="96" t="str">
        <f t="shared" si="34"/>
        <v>"C:\Program Files (x86)\AstroGrep\AstroGrep.exe" /spath="%USERPROFILE%\AppData\Local\Temp\OnboardLogs" /stypes="*4029*20160829*" /stext=" 17:.+((SYSTEM_STATE.+slice.+state.+changed )|(ment ac)|(system.+state.+changed )|(\|lc)|(penalty)|(\[timeout)|(PRM\|1\|D)|(kpr)|(kdp))" /e /r /s</v>
      </c>
      <c r="AG73" s="1" t="str">
        <f t="shared" si="35"/>
        <v>EC</v>
      </c>
      <c r="AH73" s="100" t="str">
        <f t="shared" si="16"/>
        <v>"%USERPROFILE%\Documents\GitHub\eaglep3\Utilities\RefineRTDCRunTimes.py" --tripid 161-29 --locoid 4029 --swversion DE.1.0.7.0 --startMP 204:438 --initTime 2016-08-29T11:07:12 --startdatetime 2016-08-29T11:15:21 --delay 1 --endMP 204:233299 --enddatetime 2016-08-29T11:55:16 --enforcementcount 0 &gt;&gt;C:\Users\stu\Documents\GitHub\eaglep3-reporting\EC\2016-08-29-refined-times.txt</v>
      </c>
      <c r="AI73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{"issue":{"subject":"","project_id":79,"tracker_id":40,"status_id":1,"priority_id":2,"assigned_to_id":23,"start_date":"2016-08-29","description":"","custom_fields":[{"id":1,"name":"Subdivision","value":"EC"},{"id":4,"name":"Milepost","value":"23.2861"},{"id":17,"name":"Train ID","value":"161-29"},{"id":16,"name":"Locomotive ID","value":"4029"},{"id":130,"name":"Impact","value":""},{"id":150,"name":"Time of Event (Mountain Time)","value":"11:55:16"},{"id":151,"name":"Denver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447</v>
      </c>
      <c r="B74" s="7">
        <v>4030</v>
      </c>
      <c r="C74" s="24" t="s">
        <v>113</v>
      </c>
      <c r="D74" s="24" t="s">
        <v>604</v>
      </c>
      <c r="E74" s="15">
        <v>42611.498807870368</v>
      </c>
      <c r="F74" s="15">
        <v>42611.507986111108</v>
      </c>
      <c r="G74" s="7">
        <v>1</v>
      </c>
      <c r="H74" s="15" t="s">
        <v>136</v>
      </c>
      <c r="I74" s="15">
        <v>42611.538055555553</v>
      </c>
      <c r="J74" s="7">
        <v>0</v>
      </c>
      <c r="K74" s="132" t="str">
        <f t="shared" si="23"/>
        <v>4029/4030</v>
      </c>
      <c r="L74" s="24" t="str">
        <f>VLOOKUP(A74,'Trips&amp;Operators'!$C$1:$E$10000,3,FALSE)</f>
        <v>BARTLETT</v>
      </c>
      <c r="M74" s="6">
        <f t="shared" si="24"/>
        <v>3.0069444444961846E-2</v>
      </c>
      <c r="N74" s="7">
        <f t="shared" si="37"/>
        <v>43.300000000745058</v>
      </c>
      <c r="O74" s="7"/>
      <c r="P74" s="7"/>
      <c r="Q74" s="25"/>
      <c r="R74" s="25"/>
      <c r="S74" s="37">
        <f t="shared" si="25"/>
        <v>1</v>
      </c>
      <c r="T74" s="52" t="str">
        <f t="shared" si="26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10:58:17-0600',mode:absolute,to:'2016-08-29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4" s="54" t="str">
        <f t="shared" si="28"/>
        <v>N</v>
      </c>
      <c r="X74" s="120">
        <f t="shared" si="36"/>
        <v>1</v>
      </c>
      <c r="Y74" s="69">
        <f t="shared" si="29"/>
        <v>23.297799999999999</v>
      </c>
      <c r="Z74" s="69">
        <f t="shared" si="30"/>
        <v>1.49E-2</v>
      </c>
      <c r="AA74" s="69">
        <f t="shared" si="31"/>
        <v>23.282899999999998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32"/>
        <v>0162-29</v>
      </c>
      <c r="AE74" s="99" t="str">
        <f t="shared" si="33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74" s="96" t="str">
        <f t="shared" si="34"/>
        <v>"C:\Program Files (x86)\AstroGrep\AstroGrep.exe" /spath="%USERPROFILE%\AppData\Local\Temp\OnboardLogs" /stypes="*4030*20160829*" /stext=" 18:.+((SYSTEM_STATE.+slice.+state.+changed )|(ment ac)|(system.+state.+changed )|(\|lc)|(penalty)|(\[timeout)|(PRM\|1\|D)|(kpr)|(kdp))" /e /r /s</v>
      </c>
      <c r="AG74" s="1" t="str">
        <f t="shared" si="35"/>
        <v>EC</v>
      </c>
      <c r="AH74" s="100" t="str">
        <f t="shared" si="16"/>
        <v>"%USERPROFILE%\Documents\GitHub\eaglep3\Utilities\RefineRTDCRunTimes.py" --tripid 162-29 --locoid 4030 --swversion DE.1.0.7.0 --startMP 204:232978 --initTime 2016-08-29T11:58:17 --startdatetime 2016-08-29T12:11:30 --delay 1 --endMP 204:149 --enddatetime 2016-08-29T12:54:48 --enforcementcount 0 &gt;&gt;C:\Users\stu\Documents\GitHub\eaglep3-reporting\EC\2016-08-29-refined-times.txt</v>
      </c>
      <c r="AI74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{"issue":{"subject":"","project_id":79,"tracker_id":40,"status_id":1,"priority_id":2,"assigned_to_id":23,"start_date":"2016-08-29","description":"","custom_fields":[{"id":1,"name":"Subdivision","value":"EC"},{"id":4,"name":"Milepost","value":"23.2829"},{"id":17,"name":"Train ID","value":"162-29"},{"id":16,"name":"Locomotive ID","value":"4030"},{"id":130,"name":"Impact","value":""},{"id":150,"name":"Time of Event (Mountain Time)","value":"12:54:48"},{"id":151,"name":"Denver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441</v>
      </c>
      <c r="B75" s="7">
        <v>4009</v>
      </c>
      <c r="C75" s="24" t="s">
        <v>113</v>
      </c>
      <c r="D75" s="24" t="s">
        <v>138</v>
      </c>
      <c r="E75" s="15">
        <v>42611.474722222221</v>
      </c>
      <c r="F75" s="15">
        <v>42611.479363425926</v>
      </c>
      <c r="G75" s="7">
        <v>1</v>
      </c>
      <c r="H75" s="15" t="s">
        <v>292</v>
      </c>
      <c r="I75" s="15">
        <v>42611.50440972222</v>
      </c>
      <c r="J75" s="7">
        <v>0</v>
      </c>
      <c r="K75" s="132" t="str">
        <f t="shared" si="23"/>
        <v>4009/4010</v>
      </c>
      <c r="L75" s="24" t="str">
        <f>VLOOKUP(A75,'Trips&amp;Operators'!$C$1:$E$10000,3,FALSE)</f>
        <v>DE LA ROSA</v>
      </c>
      <c r="M75" s="6">
        <f t="shared" si="24"/>
        <v>2.5046296294021886E-2</v>
      </c>
      <c r="N75" s="7">
        <f t="shared" si="37"/>
        <v>36.066666663391516</v>
      </c>
      <c r="O75" s="7"/>
      <c r="P75" s="7"/>
      <c r="Q75" s="25"/>
      <c r="R75" s="25"/>
      <c r="S75" s="37">
        <f t="shared" si="25"/>
        <v>1</v>
      </c>
      <c r="T75" s="52" t="str">
        <f t="shared" si="26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10:23:36-0600',mode:absolute,to:'2016-08-29 13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28"/>
        <v>N</v>
      </c>
      <c r="X75" s="120">
        <f t="shared" si="36"/>
        <v>1</v>
      </c>
      <c r="Y75" s="69">
        <f t="shared" si="29"/>
        <v>4.6899999999999997E-2</v>
      </c>
      <c r="Z75" s="69">
        <f t="shared" si="30"/>
        <v>23.328499999999998</v>
      </c>
      <c r="AA75" s="69">
        <f t="shared" si="31"/>
        <v>23.281599999999997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32"/>
        <v>0163-29</v>
      </c>
      <c r="AE75" s="99" t="str">
        <f t="shared" si="33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75" s="96" t="str">
        <f t="shared" si="34"/>
        <v>"C:\Program Files (x86)\AstroGrep\AstroGrep.exe" /spath="%USERPROFILE%\AppData\Local\Temp\OnboardLogs" /stypes="*4009*20160829*" /stext=" 18:.+((SYSTEM_STATE.+slice.+state.+changed )|(ment ac)|(system.+state.+changed )|(\|lc)|(penalty)|(\[timeout)|(PRM\|1\|D)|(kpr)|(kdp))" /e /r /s</v>
      </c>
      <c r="AG75" s="1" t="str">
        <f t="shared" si="35"/>
        <v>EC</v>
      </c>
      <c r="AH75" s="100" t="str">
        <f t="shared" si="16"/>
        <v>"%USERPROFILE%\Documents\GitHub\eaglep3\Utilities\RefineRTDCRunTimes.py" --tripid 163-29 --locoid 4009 --swversion DE.1.0.7.0 --startMP 204:469 --initTime 2016-08-29T11:23:36 --startdatetime 2016-08-29T11:30:17 --delay 1 --endMP 204:233285 --enddatetime 2016-08-29T12:06:21 --enforcementcount 0 &gt;&gt;C:\Users\stu\Documents\GitHub\eaglep3-reporting\EC\2016-08-29-refined-times.txt</v>
      </c>
      <c r="AI75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{"issue":{"subject":"","project_id":79,"tracker_id":40,"status_id":1,"priority_id":2,"assigned_to_id":23,"start_date":"2016-08-29","description":"","custom_fields":[{"id":1,"name":"Subdivision","value":"EC"},{"id":4,"name":"Milepost","value":"23.2816"},{"id":17,"name":"Train ID","value":"163-29"},{"id":16,"name":"Locomotive ID","value":"4009"},{"id":130,"name":"Impact","value":""},{"id":150,"name":"Time of Event (Mountain Time)","value":"12:06:21"},{"id":151,"name":"Denver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452</v>
      </c>
      <c r="B76" s="7">
        <v>4010</v>
      </c>
      <c r="C76" s="24" t="s">
        <v>113</v>
      </c>
      <c r="D76" s="24" t="s">
        <v>274</v>
      </c>
      <c r="E76" s="15">
        <v>42611.514918981484</v>
      </c>
      <c r="F76" s="15">
        <v>42611.518252314818</v>
      </c>
      <c r="G76" s="7">
        <v>1</v>
      </c>
      <c r="H76" s="15" t="s">
        <v>605</v>
      </c>
      <c r="I76" s="15">
        <v>42611.545694444445</v>
      </c>
      <c r="J76" s="7">
        <v>0</v>
      </c>
      <c r="K76" s="132" t="str">
        <f t="shared" si="23"/>
        <v>4009/4010</v>
      </c>
      <c r="L76" s="24" t="str">
        <f>VLOOKUP(A76,'Trips&amp;Operators'!$C$1:$E$10000,3,FALSE)</f>
        <v>DE LA ROSA</v>
      </c>
      <c r="M76" s="6">
        <f t="shared" si="24"/>
        <v>2.7442129627161194E-2</v>
      </c>
      <c r="N76" s="7">
        <f t="shared" si="37"/>
        <v>39.516666663112119</v>
      </c>
      <c r="O76" s="7"/>
      <c r="P76" s="7"/>
      <c r="Q76" s="25"/>
      <c r="R76" s="25"/>
      <c r="S76" s="37">
        <f t="shared" si="25"/>
        <v>1</v>
      </c>
      <c r="T76" s="52" t="str">
        <f t="shared" si="26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https://search-rtdc-monitor-bjffxe2xuh6vdkpspy63sjmuny.us-east-1.es.amazonaws.com/_plugin/kibana/#/discover/Steve-Slow-Train-Analysis-(2080s-and-2083s)?_g=(refreshInterval:(display:Off,section:0,value:0),time:(from:'2016-08-29 11:21:29-0600',mode:absolute,to:'2016-08-29 14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28"/>
        <v>Y</v>
      </c>
      <c r="X76" s="120">
        <f t="shared" si="36"/>
        <v>1</v>
      </c>
      <c r="Y76" s="69">
        <f t="shared" si="29"/>
        <v>23.2974</v>
      </c>
      <c r="Z76" s="69">
        <f t="shared" si="30"/>
        <v>0.41639999999999999</v>
      </c>
      <c r="AA76" s="69">
        <f t="shared" si="31"/>
        <v>22.881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32"/>
        <v>0164-29</v>
      </c>
      <c r="AE76" s="99" t="str">
        <f t="shared" si="33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76" s="96" t="str">
        <f t="shared" si="34"/>
        <v>"C:\Program Files (x86)\AstroGrep\AstroGrep.exe" /spath="%USERPROFILE%\AppData\Local\Temp\OnboardLogs" /stypes="*4010*20160829*" /stext=" 19:.+((SYSTEM_STATE.+slice.+state.+changed )|(ment ac)|(system.+state.+changed )|(\|lc)|(penalty)|(\[timeout)|(PRM\|1\|D)|(kpr)|(kdp))" /e /r /s</v>
      </c>
      <c r="AG76" s="1" t="str">
        <f t="shared" si="35"/>
        <v>EC</v>
      </c>
      <c r="AH76" s="100" t="str">
        <f t="shared" si="16"/>
        <v>"%USERPROFILE%\Documents\GitHub\eaglep3\Utilities\RefineRTDCRunTimes.py" --tripid 164-29 --locoid 4010 --swversion DE.1.0.7.0 --startMP 204:232974 --initTime 2016-08-29T12:21:29 --startdatetime 2016-08-29T12:26:17 --delay 1 --endMP 204:4164 --enddatetime 2016-08-29T13:05:48 --enforcementcount 0 &gt;&gt;C:\Users\stu\Documents\GitHub\eaglep3-reporting\EC\2016-08-29-refined-times.txt</v>
      </c>
      <c r="AI76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{"issue":{"subject":"","project_id":79,"tracker_id":40,"status_id":1,"priority_id":2,"assigned_to_id":23,"start_date":"2016-08-29","description":"","custom_fields":[{"id":1,"name":"Subdivision","value":"EC"},{"id":4,"name":"Milepost","value":"22.881"},{"id":17,"name":"Train ID","value":"164-29"},{"id":16,"name":"Locomotive ID","value":"4010"},{"id":130,"name":"Impact","value":""},{"id":150,"name":"Time of Event (Mountain Time)","value":"13:05:48"},{"id":151,"name":"Denver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444</v>
      </c>
      <c r="B77" s="7">
        <v>4040</v>
      </c>
      <c r="C77" s="24" t="s">
        <v>113</v>
      </c>
      <c r="D77" s="24" t="s">
        <v>186</v>
      </c>
      <c r="E77" s="15">
        <v>42611.485289351855</v>
      </c>
      <c r="F77" s="15">
        <v>42611.491909722223</v>
      </c>
      <c r="G77" s="7">
        <v>5</v>
      </c>
      <c r="H77" s="15" t="s">
        <v>599</v>
      </c>
      <c r="I77" s="15">
        <v>42611.518622685187</v>
      </c>
      <c r="J77" s="7">
        <v>0</v>
      </c>
      <c r="K77" s="132" t="str">
        <f t="shared" ref="K77:K108" si="38">IF(ISEVEN(B77),(B77-1)&amp;"/"&amp;B77,B77&amp;"/"&amp;(B77+1))</f>
        <v>4039/4040</v>
      </c>
      <c r="L77" s="24" t="str">
        <f>VLOOKUP(A77,'Trips&amp;Operators'!$C$1:$E$10000,3,FALSE)</f>
        <v>CLARK</v>
      </c>
      <c r="M77" s="6">
        <f t="shared" ref="M77:M108" si="39">I77-F77</f>
        <v>2.6712962964666076E-2</v>
      </c>
      <c r="N77" s="7">
        <f t="shared" si="37"/>
        <v>38.466666669119149</v>
      </c>
      <c r="O77" s="7"/>
      <c r="P77" s="7"/>
      <c r="Q77" s="25"/>
      <c r="R77" s="25"/>
      <c r="S77" s="37">
        <f t="shared" ref="S77:S108" si="40">SUM(U77:U77)/IF(AG77="EC",12,1)</f>
        <v>1</v>
      </c>
      <c r="T77" s="52" t="str">
        <f t="shared" ref="T77:T108" si="41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42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https://search-rtdc-monitor-bjffxe2xuh6vdkpspy63sjmuny.us-east-1.es.amazonaws.com/_plugin/kibana/#/discover/Steve-Slow-Train-Analysis-(2080s-and-2083s)?_g=(refreshInterval:(display:Off,section:0,value:0),time:(from:'2016-08-29 10:38:49-0600',mode:absolute,to:'2016-08-29 13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77" s="54" t="str">
        <f t="shared" ref="W77:W108" si="43">IF(AA77&lt;IF(AG77="EC",23,5.65),"Y","N")</f>
        <v>N</v>
      </c>
      <c r="X77" s="120">
        <f t="shared" si="36"/>
        <v>1</v>
      </c>
      <c r="Y77" s="69">
        <f t="shared" ref="Y77:Y108" si="44">RIGHT(D77,LEN(D77)-4)/10000</f>
        <v>4.5999999999999999E-2</v>
      </c>
      <c r="Z77" s="69">
        <f t="shared" ref="Z77:Z108" si="45">RIGHT(H77,LEN(H77)-4)/10000</f>
        <v>23.330300000000001</v>
      </c>
      <c r="AA77" s="69">
        <f t="shared" ref="AA77:AA108" si="46">ABS(Z77-Y77)</f>
        <v>23.284300000000002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08" si="47">IF(LEN(A77)=6,"0"&amp;A77,A77)</f>
        <v>0165-29</v>
      </c>
      <c r="AE77" s="99" t="str">
        <f t="shared" ref="AE77:AE108" si="48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77" s="96" t="str">
        <f t="shared" ref="AF77:AF108" si="49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/stypes="*4040*20160829*" /stext=" 18:.+((SYSTEM_STATE.+slice.+state.+changed )|(ment ac)|(system.+state.+changed )|(\|lc)|(penalty)|(\[timeout)|(PRM\|1\|D)|(kpr)|(kdp))" /e /r /s</v>
      </c>
      <c r="AG77" s="1" t="str">
        <f t="shared" ref="AG77:AG108" si="50">IFERROR(IF(VALUE(LEFT(AD77,2))&lt;=2,"EC",IF(OR(VALUE(LEFT(AD77,2))=8,VALUE(LEFT(AD77,2))=18),"NW","Other")),"Other")</f>
        <v>EC</v>
      </c>
      <c r="AH77" s="100" t="str">
        <f t="shared" si="16"/>
        <v>"%USERPROFILE%\Documents\GitHub\eaglep3\Utilities\RefineRTDCRunTimes.py" --tripid 165-29 --locoid 4040 --swversion DE.1.0.7.0 --startMP 204:460 --initTime 2016-08-29T11:38:49 --startdatetime 2016-08-29T11:48:21 --delay 5 --endMP 204:233303 --enddatetime 2016-08-29T12:26:49 --enforcementcount 0 &gt;&gt;C:\Users\stu\Documents\GitHub\eaglep3-reporting\EC\2016-08-29-refined-times.txt</v>
      </c>
      <c r="AI77" s="149" t="str">
        <f t="shared" si="17"/>
        <v>echo {"issue":{"subject":"","project_id":79,"tracker_id":40,"status_id":1,"priority_id":2,"assigned_to_id":23,"start_date":"2016-08-29","description":"","custom_fields":[{"id":1,"name":"Subdivision","value":"EC"},{"id":4,"name":"Milepost","value":"23.2843"},{"id":17,"name":"Train ID","value":"165-29"},{"id":16,"name":"Locomotive ID","value":"4040"},{"id":130,"name":"Impact","value":""},{"id":150,"name":"Time of Event (Mountain Time)","value":"12:26:49"},{"id":151,"name":"Denver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454</v>
      </c>
      <c r="B78" s="7">
        <v>4039</v>
      </c>
      <c r="C78" s="24" t="s">
        <v>113</v>
      </c>
      <c r="D78" s="24" t="s">
        <v>347</v>
      </c>
      <c r="E78" s="15">
        <v>42611.524664351855</v>
      </c>
      <c r="F78" s="15">
        <v>42611.529143518521</v>
      </c>
      <c r="G78" s="7">
        <v>1</v>
      </c>
      <c r="H78" s="15" t="s">
        <v>595</v>
      </c>
      <c r="I78" s="15">
        <v>42611.558946759258</v>
      </c>
      <c r="J78" s="7">
        <v>0</v>
      </c>
      <c r="K78" s="132" t="str">
        <f t="shared" si="38"/>
        <v>4039/4040</v>
      </c>
      <c r="L78" s="24" t="str">
        <f>VLOOKUP(A78,'Trips&amp;Operators'!$C$1:$E$10000,3,FALSE)</f>
        <v>CLARK</v>
      </c>
      <c r="M78" s="6">
        <f t="shared" si="39"/>
        <v>2.9803240737237502E-2</v>
      </c>
      <c r="N78" s="7">
        <f t="shared" si="37"/>
        <v>42.916666661622003</v>
      </c>
      <c r="O78" s="7"/>
      <c r="P78" s="7"/>
      <c r="Q78" s="25"/>
      <c r="R78" s="25"/>
      <c r="S78" s="37">
        <f t="shared" si="40"/>
        <v>1</v>
      </c>
      <c r="T78" s="52" t="str">
        <f t="shared" si="41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11:35:31-0600',mode:absolute,to:'2016-08-29 14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78" s="54" t="str">
        <f t="shared" si="43"/>
        <v>N</v>
      </c>
      <c r="X78" s="120">
        <f t="shared" si="36"/>
        <v>1</v>
      </c>
      <c r="Y78" s="69">
        <f t="shared" si="44"/>
        <v>23.299800000000001</v>
      </c>
      <c r="Z78" s="69">
        <f t="shared" si="45"/>
        <v>1.6299999999999999E-2</v>
      </c>
      <c r="AA78" s="69">
        <f t="shared" si="46"/>
        <v>23.2835</v>
      </c>
      <c r="AB78" s="66">
        <f>VLOOKUP(A78,Enforcements!$C$7:$J$21,8,0)</f>
        <v>183829</v>
      </c>
      <c r="AC78" s="62" t="str">
        <f>VLOOKUP(A78,Enforcements!$C$7:$E$21,3,0)</f>
        <v>PERMANENT SPEED RESTRICTION</v>
      </c>
      <c r="AD78" s="63" t="str">
        <f t="shared" si="47"/>
        <v>0166-29</v>
      </c>
      <c r="AE78" s="99" t="str">
        <f t="shared" si="48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78" s="96" t="str">
        <f t="shared" si="49"/>
        <v>"C:\Program Files (x86)\AstroGrep\AstroGrep.exe" /spath="%USERPROFILE%\AppData\Local\Temp\OnboardLogs" /stypes="*4039*20160829*" /stext=" 19:.+((SYSTEM_STATE.+slice.+state.+changed )|(ment ac)|(system.+state.+changed )|(\|lc)|(penalty)|(\[timeout)|(PRM\|1\|D)|(kpr)|(kdp))" /e /r /s</v>
      </c>
      <c r="AG78" s="1" t="str">
        <f t="shared" si="50"/>
        <v>EC</v>
      </c>
      <c r="AH78" s="100" t="str">
        <f t="shared" ref="AH78:AH140" si="5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166-29 --locoid 4039 --swversion DE.1.0.7.0 --startMP 204:232998 --initTime 2016-08-29T12:35:31 --startdatetime 2016-08-29T12:41:58 --delay 1 --endMP 204:163 --enddatetime 2016-08-29T13:24:53 --enforcementcount 0 &gt;&gt;C:\Users\stu\Documents\GitHub\eaglep3-reporting\EC\2016-08-29-refined-times.txt</v>
      </c>
      <c r="AI78" s="149" t="str">
        <f t="shared" ref="AI78:AI140" si="5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{"issue":{"subject":"","project_id":79,"tracker_id":40,"status_id":1,"priority_id":2,"assigned_to_id":23,"start_date":"2016-08-29","description":"","custom_fields":[{"id":1,"name":"Subdivision","value":"EC"},{"id":4,"name":"Milepost","value":"23.2835"},{"id":17,"name":"Train ID","value":"166-29"},{"id":16,"name":"Locomotive ID","value":"4039"},{"id":130,"name":"Impact","value":""},{"id":150,"name":"Time of Event (Mountain Time)","value":"13:24:53"},{"id":151,"name":"Denver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449</v>
      </c>
      <c r="B79" s="7">
        <v>4031</v>
      </c>
      <c r="C79" s="24" t="s">
        <v>113</v>
      </c>
      <c r="D79" s="24" t="s">
        <v>141</v>
      </c>
      <c r="E79" s="15">
        <v>42611.50037037037</v>
      </c>
      <c r="F79" s="15">
        <v>42611.502106481479</v>
      </c>
      <c r="G79" s="7">
        <v>1</v>
      </c>
      <c r="H79" s="15" t="s">
        <v>190</v>
      </c>
      <c r="I79" s="15">
        <v>42611.527986111112</v>
      </c>
      <c r="J79" s="7">
        <v>0</v>
      </c>
      <c r="K79" s="132" t="str">
        <f t="shared" si="38"/>
        <v>4031/4032</v>
      </c>
      <c r="L79" s="24" t="str">
        <f>VLOOKUP(A79,'Trips&amp;Operators'!$C$1:$E$10000,3,FALSE)</f>
        <v>YOUNG</v>
      </c>
      <c r="M79" s="6">
        <f t="shared" si="39"/>
        <v>2.587962963298196E-2</v>
      </c>
      <c r="N79" s="7">
        <f t="shared" si="37"/>
        <v>37.266666671494022</v>
      </c>
      <c r="O79" s="7"/>
      <c r="P79" s="7"/>
      <c r="Q79" s="25"/>
      <c r="R79" s="25"/>
      <c r="S79" s="37">
        <f t="shared" si="40"/>
        <v>1</v>
      </c>
      <c r="T79" s="52" t="str">
        <f t="shared" si="41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11:00:32-0600',mode:absolute,to:'2016-08-29 13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9" s="54" t="str">
        <f t="shared" si="43"/>
        <v>N</v>
      </c>
      <c r="X79" s="120">
        <f t="shared" si="36"/>
        <v>1</v>
      </c>
      <c r="Y79" s="69">
        <f t="shared" si="44"/>
        <v>4.5699999999999998E-2</v>
      </c>
      <c r="Z79" s="69">
        <f t="shared" si="45"/>
        <v>23.331199999999999</v>
      </c>
      <c r="AA79" s="69">
        <f t="shared" si="46"/>
        <v>23.285499999999999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7"/>
        <v>0167-29</v>
      </c>
      <c r="AE79" s="99" t="str">
        <f t="shared" si="48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79" s="96" t="str">
        <f t="shared" si="49"/>
        <v>"C:\Program Files (x86)\AstroGrep\AstroGrep.exe" /spath="%USERPROFILE%\AppData\Local\Temp\OnboardLogs" /stypes="*4031*20160829*" /stext=" 18:.+((SYSTEM_STATE.+slice.+state.+changed )|(ment ac)|(system.+state.+changed )|(\|lc)|(penalty)|(\[timeout)|(PRM\|1\|D)|(kpr)|(kdp))" /e /r /s</v>
      </c>
      <c r="AG79" s="1" t="str">
        <f t="shared" si="50"/>
        <v>EC</v>
      </c>
      <c r="AH79" s="100" t="str">
        <f t="shared" si="51"/>
        <v>"%USERPROFILE%\Documents\GitHub\eaglep3\Utilities\RefineRTDCRunTimes.py" --tripid 167-29 --locoid 4031 --swversion DE.1.0.7.0 --startMP 204:457 --initTime 2016-08-29T12:00:32 --startdatetime 2016-08-29T12:03:02 --delay 1 --endMP 204:233312 --enddatetime 2016-08-29T12:40:18 --enforcementcount 0 &gt;&gt;C:\Users\stu\Documents\GitHub\eaglep3-reporting\EC\2016-08-29-refined-times.txt</v>
      </c>
      <c r="AI7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{"issue":{"subject":"","project_id":79,"tracker_id":40,"status_id":1,"priority_id":2,"assigned_to_id":23,"start_date":"2016-08-29","description":"","custom_fields":[{"id":1,"name":"Subdivision","value":"EC"},{"id":4,"name":"Milepost","value":"23.2855"},{"id":17,"name":"Train ID","value":"167-29"},{"id":16,"name":"Locomotive ID","value":"4031"},{"id":130,"name":"Impact","value":""},{"id":150,"name":"Time of Event (Mountain Time)","value":"12:40:18"},{"id":151,"name":"Denver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457</v>
      </c>
      <c r="B80" s="7">
        <v>4032</v>
      </c>
      <c r="C80" s="24" t="s">
        <v>113</v>
      </c>
      <c r="D80" s="24" t="s">
        <v>352</v>
      </c>
      <c r="E80" s="15">
        <v>42611.537106481483</v>
      </c>
      <c r="F80" s="15">
        <v>42611.539525462962</v>
      </c>
      <c r="G80" s="7">
        <v>3</v>
      </c>
      <c r="H80" s="15" t="s">
        <v>606</v>
      </c>
      <c r="I80" s="15">
        <v>42611.569826388892</v>
      </c>
      <c r="J80" s="7">
        <v>0</v>
      </c>
      <c r="K80" s="132" t="str">
        <f t="shared" si="38"/>
        <v>4031/4032</v>
      </c>
      <c r="L80" s="24" t="str">
        <f>VLOOKUP(A80,'Trips&amp;Operators'!$C$1:$E$10000,3,FALSE)</f>
        <v>YOUNG</v>
      </c>
      <c r="M80" s="6">
        <f t="shared" si="39"/>
        <v>3.030092592962319E-2</v>
      </c>
      <c r="N80" s="7">
        <f t="shared" si="37"/>
        <v>43.633333338657394</v>
      </c>
      <c r="O80" s="7"/>
      <c r="P80" s="7"/>
      <c r="Q80" s="25"/>
      <c r="R80" s="25"/>
      <c r="S80" s="37">
        <f t="shared" si="40"/>
        <v>1</v>
      </c>
      <c r="T80" s="52" t="str">
        <f t="shared" si="41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11:53:26-0600',mode:absolute,to:'2016-08-29 14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0" s="54" t="str">
        <f t="shared" si="43"/>
        <v>N</v>
      </c>
      <c r="X80" s="120">
        <f t="shared" si="36"/>
        <v>1</v>
      </c>
      <c r="Y80" s="69">
        <f t="shared" si="44"/>
        <v>23.300799999999999</v>
      </c>
      <c r="Z80" s="69">
        <f t="shared" si="45"/>
        <v>1.9400000000000001E-2</v>
      </c>
      <c r="AA80" s="69">
        <f t="shared" si="46"/>
        <v>23.281399999999998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7"/>
        <v>0168-29</v>
      </c>
      <c r="AE80" s="99" t="str">
        <f t="shared" si="48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80" s="96" t="str">
        <f t="shared" si="49"/>
        <v>"C:\Program Files (x86)\AstroGrep\AstroGrep.exe" /spath="%USERPROFILE%\AppData\Local\Temp\OnboardLogs" /stypes="*4032*20160829*" /stext=" 19:.+((SYSTEM_STATE.+slice.+state.+changed )|(ment ac)|(system.+state.+changed )|(\|lc)|(penalty)|(\[timeout)|(PRM\|1\|D)|(kpr)|(kdp))" /e /r /s</v>
      </c>
      <c r="AG80" s="1" t="str">
        <f t="shared" si="50"/>
        <v>EC</v>
      </c>
      <c r="AH80" s="100" t="str">
        <f t="shared" si="51"/>
        <v>"%USERPROFILE%\Documents\GitHub\eaglep3\Utilities\RefineRTDCRunTimes.py" --tripid 168-29 --locoid 4032 --swversion DE.1.0.7.0 --startMP 204:233008 --initTime 2016-08-29T12:53:26 --startdatetime 2016-08-29T12:56:55 --delay 3 --endMP 204:194 --enddatetime 2016-08-29T13:40:33 --enforcementcount 0 &gt;&gt;C:\Users\stu\Documents\GitHub\eaglep3-reporting\EC\2016-08-29-refined-times.txt</v>
      </c>
      <c r="AI80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{"issue":{"subject":"","project_id":79,"tracker_id":40,"status_id":1,"priority_id":2,"assigned_to_id":23,"start_date":"2016-08-29","description":"","custom_fields":[{"id":1,"name":"Subdivision","value":"EC"},{"id":4,"name":"Milepost","value":"23.2814"},{"id":17,"name":"Train ID","value":"168-29"},{"id":16,"name":"Locomotive ID","value":"4032"},{"id":130,"name":"Impact","value":""},{"id":150,"name":"Time of Event (Mountain Time)","value":"13:40:33"},{"id":151,"name":"Denver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23" customFormat="1" x14ac:dyDescent="0.25">
      <c r="A81" s="39" t="s">
        <v>450</v>
      </c>
      <c r="B81" s="7">
        <v>4027</v>
      </c>
      <c r="C81" s="24" t="s">
        <v>113</v>
      </c>
      <c r="D81" s="24" t="s">
        <v>284</v>
      </c>
      <c r="E81" s="15">
        <v>42611.507314814815</v>
      </c>
      <c r="F81" s="15">
        <v>42611.510775462964</v>
      </c>
      <c r="G81" s="7">
        <v>2</v>
      </c>
      <c r="H81" s="15" t="s">
        <v>153</v>
      </c>
      <c r="I81" s="15">
        <v>42611.536574074074</v>
      </c>
      <c r="J81" s="7">
        <v>0</v>
      </c>
      <c r="K81" s="132" t="str">
        <f t="shared" si="38"/>
        <v>4027/4028</v>
      </c>
      <c r="L81" s="24" t="str">
        <f>VLOOKUP(A81,'Trips&amp;Operators'!$C$1:$E$10000,3,FALSE)</f>
        <v>HELVIE</v>
      </c>
      <c r="M81" s="6">
        <f t="shared" si="39"/>
        <v>2.5798611110076308E-2</v>
      </c>
      <c r="N81" s="7">
        <f t="shared" si="37"/>
        <v>37.149999998509884</v>
      </c>
      <c r="O81" s="7"/>
      <c r="P81" s="7"/>
      <c r="Q81" s="25"/>
      <c r="R81" s="25"/>
      <c r="S81" s="37">
        <f t="shared" si="40"/>
        <v>1</v>
      </c>
      <c r="T81" s="52" t="str">
        <f t="shared" si="41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11:10:32-0600',mode:absolute,to:'2016-08-29 13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1" s="54" t="str">
        <f t="shared" si="43"/>
        <v>N</v>
      </c>
      <c r="X81" s="120">
        <f t="shared" si="36"/>
        <v>1</v>
      </c>
      <c r="Y81" s="69">
        <f t="shared" si="44"/>
        <v>4.7500000000000001E-2</v>
      </c>
      <c r="Z81" s="69">
        <f t="shared" si="45"/>
        <v>23.3291</v>
      </c>
      <c r="AA81" s="69">
        <f t="shared" si="46"/>
        <v>23.281600000000001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7"/>
        <v>0169-29</v>
      </c>
      <c r="AE81" s="99" t="str">
        <f t="shared" si="48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81" s="96" t="str">
        <f t="shared" si="49"/>
        <v>"C:\Program Files (x86)\AstroGrep\AstroGrep.exe" /spath="%USERPROFILE%\AppData\Local\Temp\OnboardLogs" /stypes="*4027*20160829*" /stext=" 18:.+((SYSTEM_STATE.+slice.+state.+changed )|(ment ac)|(system.+state.+changed )|(\|lc)|(penalty)|(\[timeout)|(PRM\|1\|D)|(kpr)|(kdp))" /e /r /s</v>
      </c>
      <c r="AG81" s="1" t="str">
        <f t="shared" si="50"/>
        <v>EC</v>
      </c>
      <c r="AH81" s="100" t="str">
        <f t="shared" si="51"/>
        <v>"%USERPROFILE%\Documents\GitHub\eaglep3\Utilities\RefineRTDCRunTimes.py" --tripid 169-29 --locoid 4027 --swversion DE.1.0.7.0 --startMP 204:475 --initTime 2016-08-29T12:10:32 --startdatetime 2016-08-29T12:15:31 --delay 2 --endMP 204:233291 --enddatetime 2016-08-29T12:52:40 --enforcementcount 0 &gt;&gt;C:\Users\stu\Documents\GitHub\eaglep3-reporting\EC\2016-08-29-refined-times.txt</v>
      </c>
      <c r="AI81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{"issue":{"subject":"","project_id":79,"tracker_id":40,"status_id":1,"priority_id":2,"assigned_to_id":23,"start_date":"2016-08-29","description":"","custom_fields":[{"id":1,"name":"Subdivision","value":"EC"},{"id":4,"name":"Milepost","value":"23.2816"},{"id":17,"name":"Train ID","value":"169-29"},{"id":16,"name":"Locomotive ID","value":"4027"},{"id":130,"name":"Impact","value":""},{"id":150,"name":"Time of Event (Mountain Time)","value":"12:52:40"},{"id":151,"name":"Denver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23" customFormat="1" x14ac:dyDescent="0.25">
      <c r="A82" s="39" t="s">
        <v>459</v>
      </c>
      <c r="B82" s="7">
        <v>4028</v>
      </c>
      <c r="C82" s="24" t="s">
        <v>113</v>
      </c>
      <c r="D82" s="24" t="s">
        <v>187</v>
      </c>
      <c r="E82" s="15">
        <v>42611.543391203704</v>
      </c>
      <c r="F82" s="15">
        <v>42611.549745370372</v>
      </c>
      <c r="G82" s="7">
        <v>2</v>
      </c>
      <c r="H82" s="15" t="s">
        <v>607</v>
      </c>
      <c r="I82" s="15">
        <v>42611.57885416667</v>
      </c>
      <c r="J82" s="7">
        <v>0</v>
      </c>
      <c r="K82" s="132" t="str">
        <f t="shared" si="38"/>
        <v>4027/4028</v>
      </c>
      <c r="L82" s="24" t="str">
        <f>VLOOKUP(A82,'Trips&amp;Operators'!$C$1:$E$10000,3,FALSE)</f>
        <v>HELVIE</v>
      </c>
      <c r="M82" s="6">
        <f t="shared" si="39"/>
        <v>2.9108796297805384E-2</v>
      </c>
      <c r="N82" s="7">
        <f t="shared" si="37"/>
        <v>41.916666668839753</v>
      </c>
      <c r="O82" s="7"/>
      <c r="P82" s="7"/>
      <c r="Q82" s="25"/>
      <c r="R82" s="25"/>
      <c r="S82" s="37">
        <f t="shared" si="40"/>
        <v>1</v>
      </c>
      <c r="T82" s="52" t="str">
        <f t="shared" si="41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12:02:29-0600',mode:absolute,to:'2016-08-29 14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2" s="54" t="str">
        <f t="shared" si="43"/>
        <v>N</v>
      </c>
      <c r="X82" s="120">
        <f t="shared" si="36"/>
        <v>1</v>
      </c>
      <c r="Y82" s="69">
        <f t="shared" si="44"/>
        <v>23.2986</v>
      </c>
      <c r="Z82" s="69">
        <f t="shared" si="45"/>
        <v>2.3599999999999999E-2</v>
      </c>
      <c r="AA82" s="69">
        <f t="shared" si="46"/>
        <v>23.275000000000002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7"/>
        <v>0170-29</v>
      </c>
      <c r="AE82" s="99" t="str">
        <f t="shared" si="48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82" s="96" t="str">
        <f t="shared" si="49"/>
        <v>"C:\Program Files (x86)\AstroGrep\AstroGrep.exe" /spath="%USERPROFILE%\AppData\Local\Temp\OnboardLogs" /stypes="*4028*20160829*" /stext=" 19:.+((SYSTEM_STATE.+slice.+state.+changed )|(ment ac)|(system.+state.+changed )|(\|lc)|(penalty)|(\[timeout)|(PRM\|1\|D)|(kpr)|(kdp))" /e /r /s</v>
      </c>
      <c r="AG82" s="1" t="str">
        <f t="shared" si="50"/>
        <v>EC</v>
      </c>
      <c r="AH82" s="100" t="str">
        <f t="shared" si="51"/>
        <v>"%USERPROFILE%\Documents\GitHub\eaglep3\Utilities\RefineRTDCRunTimes.py" --tripid 170-29 --locoid 4028 --swversion DE.1.0.7.0 --startMP 204:232986 --initTime 2016-08-29T13:02:29 --startdatetime 2016-08-29T13:11:38 --delay 2 --endMP 204:236 --enddatetime 2016-08-29T13:53:33 --enforcementcount 0 &gt;&gt;C:\Users\stu\Documents\GitHub\eaglep3-reporting\EC\2016-08-29-refined-times.txt</v>
      </c>
      <c r="AI82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{"issue":{"subject":"","project_id":79,"tracker_id":40,"status_id":1,"priority_id":2,"assigned_to_id":23,"start_date":"2016-08-29","description":"","custom_fields":[{"id":1,"name":"Subdivision","value":"EC"},{"id":4,"name":"Milepost","value":"23.275"},{"id":17,"name":"Train ID","value":"170-29"},{"id":16,"name":"Locomotive ID","value":"4028"},{"id":130,"name":"Impact","value":""},{"id":150,"name":"Time of Event (Mountain Time)","value":"13:53:33"},{"id":151,"name":"Denver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453</v>
      </c>
      <c r="B83" s="7">
        <v>4003</v>
      </c>
      <c r="C83" s="24" t="s">
        <v>113</v>
      </c>
      <c r="D83" s="24" t="s">
        <v>186</v>
      </c>
      <c r="E83" s="15">
        <v>42611.518449074072</v>
      </c>
      <c r="F83" s="15">
        <v>42611.52103009259</v>
      </c>
      <c r="G83" s="7">
        <v>1</v>
      </c>
      <c r="H83" s="15" t="s">
        <v>608</v>
      </c>
      <c r="I83" s="15">
        <v>42611.54923611111</v>
      </c>
      <c r="J83" s="7">
        <v>0</v>
      </c>
      <c r="K83" s="132" t="str">
        <f t="shared" si="38"/>
        <v>4003/4004</v>
      </c>
      <c r="L83" s="24" t="str">
        <f>VLOOKUP(A83,'Trips&amp;Operators'!$C$1:$E$10000,3,FALSE)</f>
        <v>SHOOK</v>
      </c>
      <c r="M83" s="6">
        <f t="shared" si="39"/>
        <v>2.8206018519995268E-2</v>
      </c>
      <c r="N83" s="7">
        <f t="shared" si="37"/>
        <v>40.616666668793187</v>
      </c>
      <c r="O83" s="7"/>
      <c r="P83" s="7"/>
      <c r="Q83" s="25"/>
      <c r="R83" s="25"/>
      <c r="S83" s="37">
        <f t="shared" si="40"/>
        <v>1</v>
      </c>
      <c r="T83" s="52" t="str">
        <f t="shared" si="41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11:26:34-0600',mode:absolute,to:'2016-08-29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83" s="54" t="str">
        <f t="shared" si="43"/>
        <v>N</v>
      </c>
      <c r="X83" s="120">
        <f t="shared" si="36"/>
        <v>1</v>
      </c>
      <c r="Y83" s="69">
        <f t="shared" si="44"/>
        <v>4.5999999999999999E-2</v>
      </c>
      <c r="Z83" s="69">
        <f t="shared" si="45"/>
        <v>23.336400000000001</v>
      </c>
      <c r="AA83" s="69">
        <f t="shared" si="46"/>
        <v>23.290400000000002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7"/>
        <v>0171-29</v>
      </c>
      <c r="AE83" s="99" t="str">
        <f t="shared" si="48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83" s="96" t="str">
        <f t="shared" si="49"/>
        <v>"C:\Program Files (x86)\AstroGrep\AstroGrep.exe" /spath="%USERPROFILE%\AppData\Local\Temp\OnboardLogs" /stypes="*4003*20160829*" /stext=" 19:.+((SYSTEM_STATE.+slice.+state.+changed )|(ment ac)|(system.+state.+changed )|(\|lc)|(penalty)|(\[timeout)|(PRM\|1\|D)|(kpr)|(kdp))" /e /r /s</v>
      </c>
      <c r="AG83" s="1" t="str">
        <f t="shared" si="50"/>
        <v>EC</v>
      </c>
      <c r="AH83" s="100" t="str">
        <f t="shared" si="51"/>
        <v>"%USERPROFILE%\Documents\GitHub\eaglep3\Utilities\RefineRTDCRunTimes.py" --tripid 171-29 --locoid 4003 --swversion DE.1.0.7.0 --startMP 204:460 --initTime 2016-08-29T12:26:34 --startdatetime 2016-08-29T12:30:17 --delay 1 --endMP 204:233364 --enddatetime 2016-08-29T13:10:54 --enforcementcount 0 &gt;&gt;C:\Users\stu\Documents\GitHub\eaglep3-reporting\EC\2016-08-29-refined-times.txt</v>
      </c>
      <c r="AI83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{"issue":{"subject":"","project_id":79,"tracker_id":40,"status_id":1,"priority_id":2,"assigned_to_id":23,"start_date":"2016-08-29","description":"","custom_fields":[{"id":1,"name":"Subdivision","value":"EC"},{"id":4,"name":"Milepost","value":"23.2904"},{"id":17,"name":"Train ID","value":"171-29"},{"id":16,"name":"Locomotive ID","value":"4003"},{"id":130,"name":"Impact","value":""},{"id":150,"name":"Time of Event (Mountain Time)","value":"13:10:54"},{"id":151,"name":"Denver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463</v>
      </c>
      <c r="B84" s="7">
        <v>4004</v>
      </c>
      <c r="C84" s="24" t="s">
        <v>113</v>
      </c>
      <c r="D84" s="24" t="s">
        <v>609</v>
      </c>
      <c r="E84" s="15">
        <v>42611.555104166669</v>
      </c>
      <c r="F84" s="15">
        <v>42611.560324074075</v>
      </c>
      <c r="G84" s="7">
        <v>1</v>
      </c>
      <c r="H84" s="15" t="s">
        <v>132</v>
      </c>
      <c r="I84" s="15">
        <v>42611.588483796295</v>
      </c>
      <c r="J84" s="7">
        <v>0</v>
      </c>
      <c r="K84" s="132" t="str">
        <f t="shared" si="38"/>
        <v>4003/4004</v>
      </c>
      <c r="L84" s="24" t="str">
        <f>VLOOKUP(A84,'Trips&amp;Operators'!$C$1:$E$10000,3,FALSE)</f>
        <v>SHOOK</v>
      </c>
      <c r="M84" s="6">
        <f t="shared" si="39"/>
        <v>2.8159722220152617E-2</v>
      </c>
      <c r="N84" s="7">
        <f t="shared" si="37"/>
        <v>40.549999997019768</v>
      </c>
      <c r="O84" s="7"/>
      <c r="P84" s="7"/>
      <c r="Q84" s="25"/>
      <c r="R84" s="25"/>
      <c r="S84" s="37">
        <f t="shared" si="40"/>
        <v>1</v>
      </c>
      <c r="T84" s="52" t="str">
        <f t="shared" si="41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12:19:21-0600',mode:absolute,to:'2016-08-29 15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84" s="54" t="str">
        <f t="shared" si="43"/>
        <v>N</v>
      </c>
      <c r="X84" s="120">
        <f t="shared" si="36"/>
        <v>1</v>
      </c>
      <c r="Y84" s="69">
        <f t="shared" si="44"/>
        <v>23.303799999999999</v>
      </c>
      <c r="Z84" s="69">
        <f t="shared" si="45"/>
        <v>1.47E-2</v>
      </c>
      <c r="AA84" s="69">
        <f t="shared" si="46"/>
        <v>23.289099999999998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7"/>
        <v>0172-29</v>
      </c>
      <c r="AE84" s="99" t="str">
        <f t="shared" si="48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84" s="96" t="str">
        <f t="shared" si="49"/>
        <v>"C:\Program Files (x86)\AstroGrep\AstroGrep.exe" /spath="%USERPROFILE%\AppData\Local\Temp\OnboardLogs" /stypes="*4004*20160829*" /stext=" 20:.+((SYSTEM_STATE.+slice.+state.+changed )|(ment ac)|(system.+state.+changed )|(\|lc)|(penalty)|(\[timeout)|(PRM\|1\|D)|(kpr)|(kdp))" /e /r /s</v>
      </c>
      <c r="AG84" s="1" t="str">
        <f t="shared" si="50"/>
        <v>EC</v>
      </c>
      <c r="AH84" s="100" t="str">
        <f t="shared" si="51"/>
        <v>"%USERPROFILE%\Documents\GitHub\eaglep3\Utilities\RefineRTDCRunTimes.py" --tripid 172-29 --locoid 4004 --swversion DE.1.0.7.0 --startMP 204:233038 --initTime 2016-08-29T13:19:21 --startdatetime 2016-08-29T13:26:52 --delay 1 --endMP 204:147 --enddatetime 2016-08-29T14:07:25 --enforcementcount 0 &gt;&gt;C:\Users\stu\Documents\GitHub\eaglep3-reporting\EC\2016-08-29-refined-times.txt</v>
      </c>
      <c r="AI84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{"issue":{"subject":"","project_id":79,"tracker_id":40,"status_id":1,"priority_id":2,"assigned_to_id":23,"start_date":"2016-08-29","description":"","custom_fields":[{"id":1,"name":"Subdivision","value":"EC"},{"id":4,"name":"Milepost","value":"23.2891"},{"id":17,"name":"Train ID","value":"172-29"},{"id":16,"name":"Locomotive ID","value":"4004"},{"id":130,"name":"Impact","value":""},{"id":150,"name":"Time of Event (Mountain Time)","value":"14:07:25"},{"id":151,"name":"Denver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456</v>
      </c>
      <c r="B85" s="7">
        <v>4007</v>
      </c>
      <c r="C85" s="24" t="s">
        <v>113</v>
      </c>
      <c r="D85" s="24" t="s">
        <v>610</v>
      </c>
      <c r="E85" s="15">
        <v>42611.528912037036</v>
      </c>
      <c r="F85" s="15">
        <v>42611.531805555554</v>
      </c>
      <c r="G85" s="7">
        <v>1</v>
      </c>
      <c r="H85" s="15" t="s">
        <v>611</v>
      </c>
      <c r="I85" s="15">
        <v>42611.557384259257</v>
      </c>
      <c r="J85" s="7">
        <v>0</v>
      </c>
      <c r="K85" s="132" t="str">
        <f t="shared" si="38"/>
        <v>4007/4008</v>
      </c>
      <c r="L85" s="24" t="str">
        <f>VLOOKUP(A85,'Trips&amp;Operators'!$C$1:$E$10000,3,FALSE)</f>
        <v>STEWART</v>
      </c>
      <c r="M85" s="6">
        <f t="shared" si="39"/>
        <v>2.5578703702194616E-2</v>
      </c>
      <c r="N85" s="7">
        <f t="shared" si="37"/>
        <v>36.833333331160247</v>
      </c>
      <c r="O85" s="7"/>
      <c r="P85" s="7"/>
      <c r="Q85" s="25"/>
      <c r="R85" s="25"/>
      <c r="S85" s="37">
        <f t="shared" si="40"/>
        <v>1</v>
      </c>
      <c r="T85" s="52" t="str">
        <f t="shared" si="41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11:41:38-0600',mode:absolute,to:'2016-08-29 14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85" s="54" t="str">
        <f t="shared" si="43"/>
        <v>N</v>
      </c>
      <c r="X85" s="120">
        <f t="shared" si="36"/>
        <v>1</v>
      </c>
      <c r="Y85" s="69">
        <f t="shared" si="44"/>
        <v>4.8800000000000003E-2</v>
      </c>
      <c r="Z85" s="69">
        <f t="shared" si="45"/>
        <v>23.335100000000001</v>
      </c>
      <c r="AA85" s="69">
        <f t="shared" si="46"/>
        <v>23.286300000000001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47"/>
        <v>0173-29</v>
      </c>
      <c r="AE85" s="99" t="str">
        <f t="shared" si="48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85" s="96" t="str">
        <f t="shared" si="49"/>
        <v>"C:\Program Files (x86)\AstroGrep\AstroGrep.exe" /spath="%USERPROFILE%\AppData\Local\Temp\OnboardLogs" /stypes="*4007*20160829*" /stext=" 19:.+((SYSTEM_STATE.+slice.+state.+changed )|(ment ac)|(system.+state.+changed )|(\|lc)|(penalty)|(\[timeout)|(PRM\|1\|D)|(kpr)|(kdp))" /e /r /s</v>
      </c>
      <c r="AG85" s="1" t="str">
        <f t="shared" si="50"/>
        <v>EC</v>
      </c>
      <c r="AH85" s="100" t="str">
        <f t="shared" si="51"/>
        <v>"%USERPROFILE%\Documents\GitHub\eaglep3\Utilities\RefineRTDCRunTimes.py" --tripid 173-29 --locoid 4007 --swversion DE.1.0.7.0 --startMP 204:488 --initTime 2016-08-29T12:41:38 --startdatetime 2016-08-29T12:45:48 --delay 1 --endMP 204:233351 --enddatetime 2016-08-29T13:22:38 --enforcementcount 0 &gt;&gt;C:\Users\stu\Documents\GitHub\eaglep3-reporting\EC\2016-08-29-refined-times.txt</v>
      </c>
      <c r="AI85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{"issue":{"subject":"","project_id":79,"tracker_id":40,"status_id":1,"priority_id":2,"assigned_to_id":23,"start_date":"2016-08-29","description":"","custom_fields":[{"id":1,"name":"Subdivision","value":"EC"},{"id":4,"name":"Milepost","value":"23.2863"},{"id":17,"name":"Train ID","value":"173-29"},{"id":16,"name":"Locomotive ID","value":"4007"},{"id":130,"name":"Impact","value":""},{"id":150,"name":"Time of Event (Mountain Time)","value":"13:22:38"},{"id":151,"name":"Denver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465</v>
      </c>
      <c r="B86" s="7">
        <v>4008</v>
      </c>
      <c r="C86" s="24" t="s">
        <v>113</v>
      </c>
      <c r="D86" s="24" t="s">
        <v>355</v>
      </c>
      <c r="E86" s="15">
        <v>42611.566099537034</v>
      </c>
      <c r="F86" s="15">
        <v>42611.570462962962</v>
      </c>
      <c r="G86" s="7">
        <v>2</v>
      </c>
      <c r="H86" s="15" t="s">
        <v>179</v>
      </c>
      <c r="I86" s="15">
        <v>42611.600138888891</v>
      </c>
      <c r="J86" s="7">
        <v>0</v>
      </c>
      <c r="K86" s="132" t="str">
        <f t="shared" si="38"/>
        <v>4007/4008</v>
      </c>
      <c r="L86" s="24" t="str">
        <f>VLOOKUP(A86,'Trips&amp;Operators'!$C$1:$E$10000,3,FALSE)</f>
        <v>LOZA</v>
      </c>
      <c r="M86" s="6">
        <f t="shared" si="39"/>
        <v>2.9675925929041114E-2</v>
      </c>
      <c r="N86" s="7">
        <f t="shared" si="37"/>
        <v>42.733333337819204</v>
      </c>
      <c r="O86" s="7"/>
      <c r="P86" s="7"/>
      <c r="Q86" s="25"/>
      <c r="R86" s="25"/>
      <c r="S86" s="37">
        <f t="shared" si="40"/>
        <v>1</v>
      </c>
      <c r="T86" s="52" t="str">
        <f t="shared" si="41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12:35:11-0600',mode:absolute,to:'2016-08-29 15:24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86" s="54" t="str">
        <f t="shared" si="43"/>
        <v>N</v>
      </c>
      <c r="X86" s="120">
        <f t="shared" si="36"/>
        <v>1</v>
      </c>
      <c r="Y86" s="69">
        <f t="shared" si="44"/>
        <v>23.301300000000001</v>
      </c>
      <c r="Z86" s="69">
        <f t="shared" si="45"/>
        <v>1.4500000000000001E-2</v>
      </c>
      <c r="AA86" s="69">
        <f t="shared" si="46"/>
        <v>23.286799999999999</v>
      </c>
      <c r="AB86" s="66">
        <f>VLOOKUP(A86,Enforcements!$C$7:$J$21,8,0)</f>
        <v>127587</v>
      </c>
      <c r="AC86" s="62" t="str">
        <f>VLOOKUP(A86,Enforcements!$C$7:$E$21,3,0)</f>
        <v>SIGNAL</v>
      </c>
      <c r="AD86" s="63" t="str">
        <f t="shared" si="47"/>
        <v>0174-29</v>
      </c>
      <c r="AE86" s="99" t="str">
        <f t="shared" si="48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86" s="96" t="str">
        <f t="shared" si="49"/>
        <v>"C:\Program Files (x86)\AstroGrep\AstroGrep.exe" /spath="%USERPROFILE%\AppData\Local\Temp\OnboardLogs" /stypes="*4008*20160829*" /stext=" 20:.+((SYSTEM_STATE.+slice.+state.+changed )|(ment ac)|(system.+state.+changed )|(\|lc)|(penalty)|(\[timeout)|(PRM\|1\|D)|(kpr)|(kdp))" /e /r /s</v>
      </c>
      <c r="AG86" s="1" t="str">
        <f t="shared" si="50"/>
        <v>EC</v>
      </c>
      <c r="AH86" s="100" t="str">
        <f t="shared" si="51"/>
        <v>"%USERPROFILE%\Documents\GitHub\eaglep3\Utilities\RefineRTDCRunTimes.py" --tripid 174-29 --locoid 4008 --swversion DE.1.0.7.0 --startMP 204:233013 --initTime 2016-08-29T13:35:11 --startdatetime 2016-08-29T13:41:28 --delay 2 --endMP 204:145 --enddatetime 2016-08-29T14:24:12 --enforcementcount 0 &gt;&gt;C:\Users\stu\Documents\GitHub\eaglep3-reporting\EC\2016-08-29-refined-times.txt</v>
      </c>
      <c r="AI86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{"issue":{"subject":"","project_id":79,"tracker_id":40,"status_id":1,"priority_id":2,"assigned_to_id":23,"start_date":"2016-08-29","description":"","custom_fields":[{"id":1,"name":"Subdivision","value":"EC"},{"id":4,"name":"Milepost","value":"23.2868"},{"id":17,"name":"Train ID","value":"174-29"},{"id":16,"name":"Locomotive ID","value":"4008"},{"id":130,"name":"Impact","value":""},{"id":150,"name":"Time of Event (Mountain Time)","value":"14:24:12"},{"id":151,"name":"Denver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x14ac:dyDescent="0.25">
      <c r="A87" s="39" t="s">
        <v>458</v>
      </c>
      <c r="B87" s="7">
        <v>4029</v>
      </c>
      <c r="C87" s="24" t="s">
        <v>113</v>
      </c>
      <c r="D87" s="24" t="s">
        <v>141</v>
      </c>
      <c r="E87" s="15">
        <v>42611.539166666669</v>
      </c>
      <c r="F87" s="15">
        <v>42611.541898148149</v>
      </c>
      <c r="G87" s="7">
        <v>1</v>
      </c>
      <c r="H87" s="15" t="s">
        <v>348</v>
      </c>
      <c r="I87" s="15">
        <v>42611.569155092591</v>
      </c>
      <c r="J87" s="7">
        <v>0</v>
      </c>
      <c r="K87" s="132" t="str">
        <f t="shared" si="38"/>
        <v>4029/4030</v>
      </c>
      <c r="L87" s="24" t="str">
        <f>VLOOKUP(A87,'Trips&amp;Operators'!$C$1:$E$10000,3,FALSE)</f>
        <v>BARTLETT</v>
      </c>
      <c r="M87" s="6">
        <f t="shared" si="39"/>
        <v>2.7256944442342501E-2</v>
      </c>
      <c r="N87" s="7">
        <f t="shared" si="37"/>
        <v>39.249999996973202</v>
      </c>
      <c r="O87" s="7"/>
      <c r="P87" s="7"/>
      <c r="Q87" s="25"/>
      <c r="R87" s="25"/>
      <c r="S87" s="37">
        <f t="shared" si="40"/>
        <v>1</v>
      </c>
      <c r="T87" s="52" t="str">
        <f t="shared" si="41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11:56:24-0600',mode:absolute,to:'2016-08-29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7" s="54" t="str">
        <f t="shared" si="43"/>
        <v>N</v>
      </c>
      <c r="X87" s="120">
        <f t="shared" si="36"/>
        <v>1</v>
      </c>
      <c r="Y87" s="69">
        <f t="shared" si="44"/>
        <v>4.5699999999999998E-2</v>
      </c>
      <c r="Z87" s="69">
        <f t="shared" si="45"/>
        <v>23.3308</v>
      </c>
      <c r="AA87" s="69">
        <f t="shared" si="46"/>
        <v>23.2851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7"/>
        <v>0175-29</v>
      </c>
      <c r="AE87" s="99" t="str">
        <f t="shared" si="48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87" s="96" t="str">
        <f t="shared" si="49"/>
        <v>"C:\Program Files (x86)\AstroGrep\AstroGrep.exe" /spath="%USERPROFILE%\AppData\Local\Temp\OnboardLogs" /stypes="*4029*20160829*" /stext=" 19:.+((SYSTEM_STATE.+slice.+state.+changed )|(ment ac)|(system.+state.+changed )|(\|lc)|(penalty)|(\[timeout)|(PRM\|1\|D)|(kpr)|(kdp))" /e /r /s</v>
      </c>
      <c r="AG87" s="1" t="str">
        <f t="shared" si="50"/>
        <v>EC</v>
      </c>
      <c r="AH87" s="100" t="str">
        <f t="shared" si="51"/>
        <v>"%USERPROFILE%\Documents\GitHub\eaglep3\Utilities\RefineRTDCRunTimes.py" --tripid 175-29 --locoid 4029 --swversion DE.1.0.7.0 --startMP 204:457 --initTime 2016-08-29T12:56:24 --startdatetime 2016-08-29T13:00:20 --delay 1 --endMP 204:233308 --enddatetime 2016-08-29T13:39:35 --enforcementcount 0 &gt;&gt;C:\Users\stu\Documents\GitHub\eaglep3-reporting\EC\2016-08-29-refined-times.txt</v>
      </c>
      <c r="AI87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{"issue":{"subject":"","project_id":79,"tracker_id":40,"status_id":1,"priority_id":2,"assigned_to_id":23,"start_date":"2016-08-29","description":"","custom_fields":[{"id":1,"name":"Subdivision","value":"EC"},{"id":4,"name":"Milepost","value":"23.2851"},{"id":17,"name":"Train ID","value":"175-29"},{"id":16,"name":"Locomotive ID","value":"4029"},{"id":130,"name":"Impact","value":""},{"id":150,"name":"Time of Event (Mountain Time)","value":"13:39:35"},{"id":151,"name":"Denver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467</v>
      </c>
      <c r="B88" s="7">
        <v>4030</v>
      </c>
      <c r="C88" s="24" t="s">
        <v>113</v>
      </c>
      <c r="D88" s="24" t="s">
        <v>198</v>
      </c>
      <c r="E88" s="15">
        <v>42611.570729166669</v>
      </c>
      <c r="F88" s="15">
        <v>42611.580729166664</v>
      </c>
      <c r="G88" s="7">
        <v>1</v>
      </c>
      <c r="H88" s="15" t="s">
        <v>151</v>
      </c>
      <c r="I88" s="15">
        <v>42611.609525462962</v>
      </c>
      <c r="J88" s="7">
        <v>0</v>
      </c>
      <c r="K88" s="132" t="str">
        <f t="shared" si="38"/>
        <v>4029/4030</v>
      </c>
      <c r="L88" s="24" t="str">
        <f>VLOOKUP(A88,'Trips&amp;Operators'!$C$1:$E$10000,3,FALSE)</f>
        <v>BARTLETT</v>
      </c>
      <c r="M88" s="6">
        <f t="shared" si="39"/>
        <v>2.8796296297514345E-2</v>
      </c>
      <c r="N88" s="7">
        <f t="shared" si="37"/>
        <v>41.466666668420658</v>
      </c>
      <c r="O88" s="7"/>
      <c r="P88" s="7"/>
      <c r="Q88" s="25"/>
      <c r="R88" s="25"/>
      <c r="S88" s="37">
        <f t="shared" si="40"/>
        <v>1</v>
      </c>
      <c r="T88" s="52" t="str">
        <f t="shared" si="41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12:41:51-0600',mode:absolute,to:'2016-08-29 15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8" s="54" t="str">
        <f t="shared" si="43"/>
        <v>N</v>
      </c>
      <c r="X88" s="120">
        <f t="shared" ref="X88:X119" si="53">VALUE(LEFT(AD88,4))-VALUE(LEFT(AD87,4))</f>
        <v>1</v>
      </c>
      <c r="Y88" s="69">
        <f t="shared" si="44"/>
        <v>23.2989</v>
      </c>
      <c r="Z88" s="69">
        <f t="shared" si="45"/>
        <v>1.5599999999999999E-2</v>
      </c>
      <c r="AA88" s="69">
        <f t="shared" si="46"/>
        <v>23.283300000000001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7"/>
        <v>0176-29</v>
      </c>
      <c r="AE88" s="99" t="str">
        <f t="shared" si="48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88" s="96" t="str">
        <f t="shared" si="49"/>
        <v>"C:\Program Files (x86)\AstroGrep\AstroGrep.exe" /spath="%USERPROFILE%\AppData\Local\Temp\OnboardLogs" /stypes="*4030*20160829*" /stext=" 20:.+((SYSTEM_STATE.+slice.+state.+changed )|(ment ac)|(system.+state.+changed )|(\|lc)|(penalty)|(\[timeout)|(PRM\|1\|D)|(kpr)|(kdp))" /e /r /s</v>
      </c>
      <c r="AG88" s="1" t="str">
        <f t="shared" si="50"/>
        <v>EC</v>
      </c>
      <c r="AH88" s="100" t="str">
        <f t="shared" si="51"/>
        <v>"%USERPROFILE%\Documents\GitHub\eaglep3\Utilities\RefineRTDCRunTimes.py" --tripid 176-29 --locoid 4030 --swversion DE.1.0.7.0 --startMP 204:232989 --initTime 2016-08-29T13:41:51 --startdatetime 2016-08-29T13:56:15 --delay 1 --endMP 204:156 --enddatetime 2016-08-29T14:37:43 --enforcementcount 0 &gt;&gt;C:\Users\stu\Documents\GitHub\eaglep3-reporting\EC\2016-08-29-refined-times.txt</v>
      </c>
      <c r="AI88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{"issue":{"subject":"","project_id":79,"tracker_id":40,"status_id":1,"priority_id":2,"assigned_to_id":23,"start_date":"2016-08-29","description":"","custom_fields":[{"id":1,"name":"Subdivision","value":"EC"},{"id":4,"name":"Milepost","value":"23.2833"},{"id":17,"name":"Train ID","value":"176-29"},{"id":16,"name":"Locomotive ID","value":"4030"},{"id":130,"name":"Impact","value":""},{"id":150,"name":"Time of Event (Mountain Time)","value":"14:37:43"},{"id":151,"name":"Denver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462</v>
      </c>
      <c r="B89" s="7">
        <v>4009</v>
      </c>
      <c r="C89" s="24" t="s">
        <v>113</v>
      </c>
      <c r="D89" s="24" t="s">
        <v>109</v>
      </c>
      <c r="E89" s="15">
        <v>42611.549421296295</v>
      </c>
      <c r="F89" s="15">
        <v>42611.552245370367</v>
      </c>
      <c r="G89" s="7">
        <v>1</v>
      </c>
      <c r="H89" s="15" t="s">
        <v>299</v>
      </c>
      <c r="I89" s="15">
        <v>42611.577118055553</v>
      </c>
      <c r="J89" s="7">
        <v>0</v>
      </c>
      <c r="K89" s="132" t="str">
        <f t="shared" si="38"/>
        <v>4009/4010</v>
      </c>
      <c r="L89" s="24" t="str">
        <f>VLOOKUP(A89,'Trips&amp;Operators'!$C$1:$E$10000,3,FALSE)</f>
        <v>DE LA ROSA</v>
      </c>
      <c r="M89" s="6">
        <f t="shared" si="39"/>
        <v>2.4872685185982846E-2</v>
      </c>
      <c r="N89" s="7">
        <f t="shared" si="37"/>
        <v>35.816666667815298</v>
      </c>
      <c r="O89" s="7"/>
      <c r="P89" s="7"/>
      <c r="Q89" s="25"/>
      <c r="R89" s="25"/>
      <c r="S89" s="37">
        <f t="shared" si="40"/>
        <v>1</v>
      </c>
      <c r="T89" s="52" t="str">
        <f t="shared" si="41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12:11:10-0600',mode:absolute,to:'2016-08-29 14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43"/>
        <v>N</v>
      </c>
      <c r="X89" s="120">
        <f t="shared" si="53"/>
        <v>1</v>
      </c>
      <c r="Y89" s="69">
        <f t="shared" si="44"/>
        <v>4.6199999999999998E-2</v>
      </c>
      <c r="Z89" s="69">
        <f t="shared" si="45"/>
        <v>23.328800000000001</v>
      </c>
      <c r="AA89" s="69">
        <f t="shared" si="46"/>
        <v>23.282600000000002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7"/>
        <v>0177-29</v>
      </c>
      <c r="AE89" s="99" t="str">
        <f t="shared" si="48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89" s="96" t="str">
        <f t="shared" si="49"/>
        <v>"C:\Program Files (x86)\AstroGrep\AstroGrep.exe" /spath="%USERPROFILE%\AppData\Local\Temp\OnboardLogs" /stypes="*4009*20160829*" /stext=" 19:.+((SYSTEM_STATE.+slice.+state.+changed )|(ment ac)|(system.+state.+changed )|(\|lc)|(penalty)|(\[timeout)|(PRM\|1\|D)|(kpr)|(kdp))" /e /r /s</v>
      </c>
      <c r="AG89" s="1" t="str">
        <f t="shared" si="50"/>
        <v>EC</v>
      </c>
      <c r="AH89" s="100" t="str">
        <f t="shared" si="51"/>
        <v>"%USERPROFILE%\Documents\GitHub\eaglep3\Utilities\RefineRTDCRunTimes.py" --tripid 177-29 --locoid 4009 --swversion DE.1.0.7.0 --startMP 204:462 --initTime 2016-08-29T13:11:10 --startdatetime 2016-08-29T13:15:14 --delay 1 --endMP 204:233288 --enddatetime 2016-08-29T13:51:03 --enforcementcount 0 &gt;&gt;C:\Users\stu\Documents\GitHub\eaglep3-reporting\EC\2016-08-29-refined-times.txt</v>
      </c>
      <c r="AI8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{"issue":{"subject":"","project_id":79,"tracker_id":40,"status_id":1,"priority_id":2,"assigned_to_id":23,"start_date":"2016-08-29","description":"","custom_fields":[{"id":1,"name":"Subdivision","value":"EC"},{"id":4,"name":"Milepost","value":"23.2826"},{"id":17,"name":"Train ID","value":"177-29"},{"id":16,"name":"Locomotive ID","value":"4009"},{"id":130,"name":"Impact","value":""},{"id":150,"name":"Time of Event (Mountain Time)","value":"13:51:03"},{"id":151,"name":"Denver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470</v>
      </c>
      <c r="B90" s="7">
        <v>4010</v>
      </c>
      <c r="C90" s="24" t="s">
        <v>113</v>
      </c>
      <c r="D90" s="24" t="s">
        <v>320</v>
      </c>
      <c r="E90" s="15">
        <v>42611.587465277778</v>
      </c>
      <c r="F90" s="15">
        <v>42611.591180555559</v>
      </c>
      <c r="G90" s="7">
        <v>1</v>
      </c>
      <c r="H90" s="15" t="s">
        <v>173</v>
      </c>
      <c r="I90" s="15">
        <v>42611.618425925924</v>
      </c>
      <c r="J90" s="7">
        <v>0</v>
      </c>
      <c r="K90" s="132" t="str">
        <f t="shared" si="38"/>
        <v>4009/4010</v>
      </c>
      <c r="L90" s="24" t="str">
        <f>VLOOKUP(A90,'Trips&amp;Operators'!$C$1:$E$10000,3,FALSE)</f>
        <v>DE LA ROSA</v>
      </c>
      <c r="M90" s="6">
        <f t="shared" si="39"/>
        <v>2.7245370365562849E-2</v>
      </c>
      <c r="N90" s="7">
        <f t="shared" si="37"/>
        <v>39.233333326410502</v>
      </c>
      <c r="O90" s="7"/>
      <c r="P90" s="7"/>
      <c r="Q90" s="25"/>
      <c r="R90" s="25"/>
      <c r="S90" s="37">
        <f t="shared" si="40"/>
        <v>1</v>
      </c>
      <c r="T90" s="52" t="str">
        <f t="shared" si="41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13:05:57-0600',mode:absolute,to:'2016-08-29 15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43"/>
        <v>N</v>
      </c>
      <c r="X90" s="120">
        <f t="shared" si="53"/>
        <v>1</v>
      </c>
      <c r="Y90" s="69">
        <f t="shared" si="44"/>
        <v>23.296099999999999</v>
      </c>
      <c r="Z90" s="69">
        <f t="shared" si="45"/>
        <v>1.41E-2</v>
      </c>
      <c r="AA90" s="69">
        <f t="shared" si="46"/>
        <v>23.282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47"/>
        <v>0178-29</v>
      </c>
      <c r="AE90" s="99" t="str">
        <f t="shared" si="48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90" s="96" t="str">
        <f t="shared" si="49"/>
        <v>"C:\Program Files (x86)\AstroGrep\AstroGrep.exe" /spath="%USERPROFILE%\AppData\Local\Temp\OnboardLogs" /stypes="*4010*20160829*" /stext=" 20:.+((SYSTEM_STATE.+slice.+state.+changed )|(ment ac)|(system.+state.+changed )|(\|lc)|(penalty)|(\[timeout)|(PRM\|1\|D)|(kpr)|(kdp))" /e /r /s</v>
      </c>
      <c r="AG90" s="1" t="str">
        <f t="shared" si="50"/>
        <v>EC</v>
      </c>
      <c r="AH90" s="100" t="str">
        <f t="shared" si="51"/>
        <v>"%USERPROFILE%\Documents\GitHub\eaglep3\Utilities\RefineRTDCRunTimes.py" --tripid 178-29 --locoid 4010 --swversion DE.1.0.7.0 --startMP 204:232961 --initTime 2016-08-29T14:05:57 --startdatetime 2016-08-29T14:11:18 --delay 1 --endMP 204:141 --enddatetime 2016-08-29T14:50:32 --enforcementcount 0 &gt;&gt;C:\Users\stu\Documents\GitHub\eaglep3-reporting\EC\2016-08-29-refined-times.txt</v>
      </c>
      <c r="AI90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{"issue":{"subject":"","project_id":79,"tracker_id":40,"status_id":1,"priority_id":2,"assigned_to_id":23,"start_date":"2016-08-29","description":"","custom_fields":[{"id":1,"name":"Subdivision","value":"EC"},{"id":4,"name":"Milepost","value":"23.282"},{"id":17,"name":"Train ID","value":"178-29"},{"id":16,"name":"Locomotive ID","value":"4010"},{"id":130,"name":"Impact","value":""},{"id":150,"name":"Time of Event (Mountain Time)","value":"14:50:32"},{"id":151,"name":"Denver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464</v>
      </c>
      <c r="B91" s="7">
        <v>4040</v>
      </c>
      <c r="C91" s="24" t="s">
        <v>113</v>
      </c>
      <c r="D91" s="24" t="s">
        <v>125</v>
      </c>
      <c r="E91" s="15">
        <v>42611.560983796298</v>
      </c>
      <c r="F91" s="15">
        <v>42611.563020833331</v>
      </c>
      <c r="G91" s="7">
        <v>1</v>
      </c>
      <c r="H91" s="15" t="s">
        <v>287</v>
      </c>
      <c r="I91" s="15">
        <v>42611.590439814812</v>
      </c>
      <c r="J91" s="7">
        <v>0</v>
      </c>
      <c r="K91" s="132" t="str">
        <f t="shared" si="38"/>
        <v>4039/4040</v>
      </c>
      <c r="L91" s="24" t="str">
        <f>VLOOKUP(A91,'Trips&amp;Operators'!$C$1:$E$10000,3,FALSE)</f>
        <v>CLARK</v>
      </c>
      <c r="M91" s="6">
        <f t="shared" si="39"/>
        <v>2.7418981480877846E-2</v>
      </c>
      <c r="N91" s="7">
        <f t="shared" si="37"/>
        <v>39.483333332464099</v>
      </c>
      <c r="O91" s="7"/>
      <c r="P91" s="7"/>
      <c r="Q91" s="25"/>
      <c r="R91" s="25"/>
      <c r="S91" s="37">
        <f t="shared" si="40"/>
        <v>1</v>
      </c>
      <c r="T91" s="52" t="str">
        <f t="shared" si="41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12:27:49-0600',mode:absolute,to:'2016-08-29 15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91" s="54" t="str">
        <f t="shared" si="43"/>
        <v>N</v>
      </c>
      <c r="X91" s="120">
        <f t="shared" si="53"/>
        <v>1</v>
      </c>
      <c r="Y91" s="69">
        <f t="shared" si="44"/>
        <v>4.5499999999999999E-2</v>
      </c>
      <c r="Z91" s="69">
        <f t="shared" si="45"/>
        <v>23.331700000000001</v>
      </c>
      <c r="AA91" s="69">
        <f t="shared" si="46"/>
        <v>23.286200000000001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47"/>
        <v>0179-29</v>
      </c>
      <c r="AE91" s="99" t="str">
        <f t="shared" si="48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91" s="96" t="str">
        <f t="shared" si="49"/>
        <v>"C:\Program Files (x86)\AstroGrep\AstroGrep.exe" /spath="%USERPROFILE%\AppData\Local\Temp\OnboardLogs" /stypes="*4040*20160829*" /stext=" 20:.+((SYSTEM_STATE.+slice.+state.+changed )|(ment ac)|(system.+state.+changed )|(\|lc)|(penalty)|(\[timeout)|(PRM\|1\|D)|(kpr)|(kdp))" /e /r /s</v>
      </c>
      <c r="AG91" s="1" t="str">
        <f t="shared" si="50"/>
        <v>EC</v>
      </c>
      <c r="AH91" s="100" t="str">
        <f t="shared" si="51"/>
        <v>"%USERPROFILE%\Documents\GitHub\eaglep3\Utilities\RefineRTDCRunTimes.py" --tripid 179-29 --locoid 4040 --swversion DE.1.0.7.0 --startMP 204:455 --initTime 2016-08-29T13:27:49 --startdatetime 2016-08-29T13:30:45 --delay 1 --endMP 204:233317 --enddatetime 2016-08-29T14:10:14 --enforcementcount 0 &gt;&gt;C:\Users\stu\Documents\GitHub\eaglep3-reporting\EC\2016-08-29-refined-times.txt</v>
      </c>
      <c r="AI91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{"issue":{"subject":"","project_id":79,"tracker_id":40,"status_id":1,"priority_id":2,"assigned_to_id":23,"start_date":"2016-08-29","description":"","custom_fields":[{"id":1,"name":"Subdivision","value":"EC"},{"id":4,"name":"Milepost","value":"23.2862"},{"id":17,"name":"Train ID","value":"179-29"},{"id":16,"name":"Locomotive ID","value":"4040"},{"id":130,"name":"Impact","value":""},{"id":150,"name":"Time of Event (Mountain Time)","value":"14:10:14"},{"id":151,"name":"Denver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473</v>
      </c>
      <c r="B92" s="7">
        <v>4039</v>
      </c>
      <c r="C92" s="24" t="s">
        <v>113</v>
      </c>
      <c r="D92" s="24" t="s">
        <v>194</v>
      </c>
      <c r="E92" s="15">
        <v>42611.598124999997</v>
      </c>
      <c r="F92" s="15">
        <v>42611.6015625</v>
      </c>
      <c r="G92" s="7">
        <v>1</v>
      </c>
      <c r="H92" s="15" t="s">
        <v>196</v>
      </c>
      <c r="I92" s="15">
        <v>42611.631585648145</v>
      </c>
      <c r="J92" s="7">
        <v>0</v>
      </c>
      <c r="K92" s="132" t="str">
        <f t="shared" si="38"/>
        <v>4039/4040</v>
      </c>
      <c r="L92" s="24" t="str">
        <f>VLOOKUP(A92,'Trips&amp;Operators'!$C$1:$E$10000,3,FALSE)</f>
        <v>CLARK</v>
      </c>
      <c r="M92" s="6">
        <f t="shared" si="39"/>
        <v>3.0023148145119194E-2</v>
      </c>
      <c r="N92" s="7">
        <f t="shared" si="37"/>
        <v>43.233333328971639</v>
      </c>
      <c r="O92" s="7"/>
      <c r="P92" s="7"/>
      <c r="Q92" s="25"/>
      <c r="R92" s="25"/>
      <c r="S92" s="37">
        <f t="shared" si="40"/>
        <v>1</v>
      </c>
      <c r="T92" s="52" t="str">
        <f t="shared" si="41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13:21:18-0600',mode:absolute,to:'2016-08-29 16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92" s="54" t="str">
        <f t="shared" si="43"/>
        <v>N</v>
      </c>
      <c r="X92" s="120">
        <f t="shared" si="53"/>
        <v>1</v>
      </c>
      <c r="Y92" s="69">
        <f t="shared" si="44"/>
        <v>23.3002</v>
      </c>
      <c r="Z92" s="69">
        <f t="shared" si="45"/>
        <v>1.34E-2</v>
      </c>
      <c r="AA92" s="69">
        <f t="shared" si="46"/>
        <v>23.286799999999999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7"/>
        <v>0180-29</v>
      </c>
      <c r="AE92" s="99" t="str">
        <f t="shared" si="48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92" s="96" t="str">
        <f t="shared" si="49"/>
        <v>"C:\Program Files (x86)\AstroGrep\AstroGrep.exe" /spath="%USERPROFILE%\AppData\Local\Temp\OnboardLogs" /stypes="*4039*20160829*" /stext=" 21:.+((SYSTEM_STATE.+slice.+state.+changed )|(ment ac)|(system.+state.+changed )|(\|lc)|(penalty)|(\[timeout)|(PRM\|1\|D)|(kpr)|(kdp))" /e /r /s</v>
      </c>
      <c r="AG92" s="1" t="str">
        <f t="shared" si="50"/>
        <v>EC</v>
      </c>
      <c r="AH92" s="100" t="str">
        <f t="shared" si="51"/>
        <v>"%USERPROFILE%\Documents\GitHub\eaglep3\Utilities\RefineRTDCRunTimes.py" --tripid 180-29 --locoid 4039 --swversion DE.1.0.7.0 --startMP 204:233002 --initTime 2016-08-29T14:21:18 --startdatetime 2016-08-29T14:26:15 --delay 1 --endMP 204:134 --enddatetime 2016-08-29T15:09:29 --enforcementcount 0 &gt;&gt;C:\Users\stu\Documents\GitHub\eaglep3-reporting\EC\2016-08-29-refined-times.txt</v>
      </c>
      <c r="AI92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{"issue":{"subject":"","project_id":79,"tracker_id":40,"status_id":1,"priority_id":2,"assigned_to_id":23,"start_date":"2016-08-29","description":"","custom_fields":[{"id":1,"name":"Subdivision","value":"EC"},{"id":4,"name":"Milepost","value":"23.2868"},{"id":17,"name":"Train ID","value":"180-29"},{"id":16,"name":"Locomotive ID","value":"4039"},{"id":130,"name":"Impact","value":""},{"id":150,"name":"Time of Event (Mountain Time)","value":"15:09:29"},{"id":151,"name":"Denver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468</v>
      </c>
      <c r="B93" s="7">
        <v>4031</v>
      </c>
      <c r="C93" s="24" t="s">
        <v>113</v>
      </c>
      <c r="D93" s="24" t="s">
        <v>612</v>
      </c>
      <c r="E93" s="15">
        <v>42611.571504629632</v>
      </c>
      <c r="F93" s="15">
        <v>42611.573275462964</v>
      </c>
      <c r="G93" s="7">
        <v>1</v>
      </c>
      <c r="H93" s="15" t="s">
        <v>190</v>
      </c>
      <c r="I93" s="15">
        <v>42611.599421296298</v>
      </c>
      <c r="J93" s="7">
        <v>0</v>
      </c>
      <c r="K93" s="132" t="str">
        <f t="shared" si="38"/>
        <v>4031/4032</v>
      </c>
      <c r="L93" s="24" t="str">
        <f>VLOOKUP(A93,'Trips&amp;Operators'!$C$1:$E$10000,3,FALSE)</f>
        <v>YOUNG</v>
      </c>
      <c r="M93" s="6">
        <f t="shared" si="39"/>
        <v>2.6145833333430346E-2</v>
      </c>
      <c r="N93" s="7">
        <f t="shared" si="37"/>
        <v>37.650000000139698</v>
      </c>
      <c r="O93" s="7"/>
      <c r="P93" s="7"/>
      <c r="Q93" s="25"/>
      <c r="R93" s="25"/>
      <c r="S93" s="37">
        <f t="shared" si="40"/>
        <v>1</v>
      </c>
      <c r="T93" s="52" t="str">
        <f t="shared" si="41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12:42:58-0600',mode:absolute,to:'2016-08-29 15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3" s="54" t="str">
        <f t="shared" si="43"/>
        <v>N</v>
      </c>
      <c r="X93" s="120">
        <f t="shared" si="53"/>
        <v>1</v>
      </c>
      <c r="Y93" s="69">
        <f t="shared" si="44"/>
        <v>4.8899999999999999E-2</v>
      </c>
      <c r="Z93" s="69">
        <f t="shared" si="45"/>
        <v>23.331199999999999</v>
      </c>
      <c r="AA93" s="69">
        <f t="shared" si="46"/>
        <v>23.282299999999999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7"/>
        <v>0181-29</v>
      </c>
      <c r="AE93" s="99" t="str">
        <f t="shared" si="48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93" s="96" t="str">
        <f t="shared" si="49"/>
        <v>"C:\Program Files (x86)\AstroGrep\AstroGrep.exe" /spath="%USERPROFILE%\AppData\Local\Temp\OnboardLogs" /stypes="*4031*20160829*" /stext=" 20:.+((SYSTEM_STATE.+slice.+state.+changed )|(ment ac)|(system.+state.+changed )|(\|lc)|(penalty)|(\[timeout)|(PRM\|1\|D)|(kpr)|(kdp))" /e /r /s</v>
      </c>
      <c r="AG93" s="1" t="str">
        <f t="shared" si="50"/>
        <v>EC</v>
      </c>
      <c r="AH93" s="100" t="str">
        <f t="shared" si="51"/>
        <v>"%USERPROFILE%\Documents\GitHub\eaglep3\Utilities\RefineRTDCRunTimes.py" --tripid 181-29 --locoid 4031 --swversion DE.1.0.7.0 --startMP 204:489 --initTime 2016-08-29T13:42:58 --startdatetime 2016-08-29T13:45:31 --delay 1 --endMP 204:233312 --enddatetime 2016-08-29T14:23:10 --enforcementcount 0 &gt;&gt;C:\Users\stu\Documents\GitHub\eaglep3-reporting\EC\2016-08-29-refined-times.txt</v>
      </c>
      <c r="AI93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{"issue":{"subject":"","project_id":79,"tracker_id":40,"status_id":1,"priority_id":2,"assigned_to_id":23,"start_date":"2016-08-29","description":"","custom_fields":[{"id":1,"name":"Subdivision","value":"EC"},{"id":4,"name":"Milepost","value":"23.2823"},{"id":17,"name":"Train ID","value":"181-29"},{"id":16,"name":"Locomotive ID","value":"4031"},{"id":130,"name":"Impact","value":""},{"id":150,"name":"Time of Event (Mountain Time)","value":"14:23:10"},{"id":151,"name":"Denver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475</v>
      </c>
      <c r="B94" s="7">
        <v>4032</v>
      </c>
      <c r="C94" s="24" t="s">
        <v>113</v>
      </c>
      <c r="D94" s="24" t="s">
        <v>591</v>
      </c>
      <c r="E94" s="15">
        <v>42611.609178240738</v>
      </c>
      <c r="F94" s="15">
        <v>42611.612245370372</v>
      </c>
      <c r="G94" s="7">
        <v>2</v>
      </c>
      <c r="H94" s="15" t="s">
        <v>613</v>
      </c>
      <c r="I94" s="15">
        <v>42611.642835648148</v>
      </c>
      <c r="J94" s="7">
        <v>0</v>
      </c>
      <c r="K94" s="132" t="str">
        <f t="shared" si="38"/>
        <v>4031/4032</v>
      </c>
      <c r="L94" s="24" t="str">
        <f>VLOOKUP(A94,'Trips&amp;Operators'!$C$1:$E$10000,3,FALSE)</f>
        <v>YOUNG</v>
      </c>
      <c r="M94" s="6">
        <f t="shared" si="39"/>
        <v>3.0590277776354924E-2</v>
      </c>
      <c r="N94" s="7">
        <f t="shared" si="37"/>
        <v>44.04999999795109</v>
      </c>
      <c r="O94" s="7"/>
      <c r="P94" s="7"/>
      <c r="Q94" s="25"/>
      <c r="R94" s="25"/>
      <c r="S94" s="37">
        <f t="shared" si="40"/>
        <v>1</v>
      </c>
      <c r="T94" s="52" t="str">
        <f t="shared" si="41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13:37:13-0600',mode:absolute,to:'2016-08-29 16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4" s="54" t="str">
        <f t="shared" si="43"/>
        <v>N</v>
      </c>
      <c r="X94" s="120">
        <f t="shared" si="53"/>
        <v>1</v>
      </c>
      <c r="Y94" s="69">
        <f t="shared" si="44"/>
        <v>23.3003</v>
      </c>
      <c r="Z94" s="69">
        <f t="shared" si="45"/>
        <v>2.18E-2</v>
      </c>
      <c r="AA94" s="69">
        <f t="shared" si="46"/>
        <v>23.278500000000001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47"/>
        <v>0182-29</v>
      </c>
      <c r="AE94" s="99" t="str">
        <f t="shared" si="48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94" s="96" t="str">
        <f t="shared" si="49"/>
        <v>"C:\Program Files (x86)\AstroGrep\AstroGrep.exe" /spath="%USERPROFILE%\AppData\Local\Temp\OnboardLogs" /stypes="*4032*20160829*" /stext=" 21:.+((SYSTEM_STATE.+slice.+state.+changed )|(ment ac)|(system.+state.+changed )|(\|lc)|(penalty)|(\[timeout)|(PRM\|1\|D)|(kpr)|(kdp))" /e /r /s</v>
      </c>
      <c r="AG94" s="1" t="str">
        <f t="shared" si="50"/>
        <v>EC</v>
      </c>
      <c r="AH94" s="100" t="str">
        <f t="shared" si="51"/>
        <v>"%USERPROFILE%\Documents\GitHub\eaglep3\Utilities\RefineRTDCRunTimes.py" --tripid 182-29 --locoid 4032 --swversion DE.1.0.7.0 --startMP 204:233003 --initTime 2016-08-29T14:37:13 --startdatetime 2016-08-29T14:41:38 --delay 2 --endMP 204:218 --enddatetime 2016-08-29T15:25:41 --enforcementcount 0 &gt;&gt;C:\Users\stu\Documents\GitHub\eaglep3-reporting\EC\2016-08-29-refined-times.txt</v>
      </c>
      <c r="AI94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{"issue":{"subject":"","project_id":79,"tracker_id":40,"status_id":1,"priority_id":2,"assigned_to_id":23,"start_date":"2016-08-29","description":"","custom_fields":[{"id":1,"name":"Subdivision","value":"EC"},{"id":4,"name":"Milepost","value":"23.2785"},{"id":17,"name":"Train ID","value":"182-29"},{"id":16,"name":"Locomotive ID","value":"4032"},{"id":130,"name":"Impact","value":""},{"id":150,"name":"Time of Event (Mountain Time)","value":"15:25:41"},{"id":151,"name":"Denver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469</v>
      </c>
      <c r="B95" s="7">
        <v>4027</v>
      </c>
      <c r="C95" s="24" t="s">
        <v>113</v>
      </c>
      <c r="D95" s="24" t="s">
        <v>614</v>
      </c>
      <c r="E95" s="15">
        <v>42611.580659722225</v>
      </c>
      <c r="F95" s="15">
        <v>42611.583923611113</v>
      </c>
      <c r="G95" s="7">
        <v>4</v>
      </c>
      <c r="H95" s="15" t="s">
        <v>289</v>
      </c>
      <c r="I95" s="15">
        <v>42611.610173611109</v>
      </c>
      <c r="J95" s="7">
        <v>0</v>
      </c>
      <c r="K95" s="132" t="str">
        <f t="shared" si="38"/>
        <v>4027/4028</v>
      </c>
      <c r="L95" s="24" t="str">
        <f>VLOOKUP(A95,'Trips&amp;Operators'!$C$1:$E$10000,3,FALSE)</f>
        <v>HELVIE</v>
      </c>
      <c r="M95" s="6">
        <f t="shared" si="39"/>
        <v>2.6249999995343387E-2</v>
      </c>
      <c r="N95" s="7">
        <f t="shared" si="37"/>
        <v>37.799999993294477</v>
      </c>
      <c r="O95" s="7"/>
      <c r="P95" s="7"/>
      <c r="Q95" s="25"/>
      <c r="R95" s="25"/>
      <c r="S95" s="37">
        <f t="shared" si="40"/>
        <v>1</v>
      </c>
      <c r="T95" s="52" t="str">
        <f t="shared" si="41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12:56:09-0600',mode:absolute,to:'2016-08-29 15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5" s="54" t="str">
        <f t="shared" si="43"/>
        <v>N</v>
      </c>
      <c r="X95" s="120">
        <f t="shared" si="53"/>
        <v>1</v>
      </c>
      <c r="Y95" s="69">
        <f t="shared" si="44"/>
        <v>5.28E-2</v>
      </c>
      <c r="Z95" s="69">
        <f t="shared" si="45"/>
        <v>23.3278</v>
      </c>
      <c r="AA95" s="69">
        <f t="shared" si="46"/>
        <v>23.274999999999999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7"/>
        <v>0183-29</v>
      </c>
      <c r="AE95" s="99" t="str">
        <f t="shared" si="48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95" s="96" t="str">
        <f t="shared" si="49"/>
        <v>"C:\Program Files (x86)\AstroGrep\AstroGrep.exe" /spath="%USERPROFILE%\AppData\Local\Temp\OnboardLogs" /stypes="*4027*20160829*" /stext=" 20:.+((SYSTEM_STATE.+slice.+state.+changed )|(ment ac)|(system.+state.+changed )|(\|lc)|(penalty)|(\[timeout)|(PRM\|1\|D)|(kpr)|(kdp))" /e /r /s</v>
      </c>
      <c r="AG95" s="1" t="str">
        <f t="shared" si="50"/>
        <v>EC</v>
      </c>
      <c r="AH95" s="100" t="str">
        <f t="shared" si="51"/>
        <v>"%USERPROFILE%\Documents\GitHub\eaglep3\Utilities\RefineRTDCRunTimes.py" --tripid 183-29 --locoid 4027 --swversion DE.1.0.7.0 --startMP 204:528 --initTime 2016-08-29T13:56:09 --startdatetime 2016-08-29T14:00:51 --delay 4 --endMP 204:233278 --enddatetime 2016-08-29T14:38:39 --enforcementcount 0 &gt;&gt;C:\Users\stu\Documents\GitHub\eaglep3-reporting\EC\2016-08-29-refined-times.txt</v>
      </c>
      <c r="AI95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{"issue":{"subject":"","project_id":79,"tracker_id":40,"status_id":1,"priority_id":2,"assigned_to_id":23,"start_date":"2016-08-29","description":"","custom_fields":[{"id":1,"name":"Subdivision","value":"EC"},{"id":4,"name":"Milepost","value":"23.275"},{"id":17,"name":"Train ID","value":"183-29"},{"id":16,"name":"Locomotive ID","value":"4027"},{"id":130,"name":"Impact","value":""},{"id":150,"name":"Time of Event (Mountain Time)","value":"14:38:39"},{"id":151,"name":"Denver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478</v>
      </c>
      <c r="B96" s="7">
        <v>4028</v>
      </c>
      <c r="C96" s="24" t="s">
        <v>113</v>
      </c>
      <c r="D96" s="24" t="s">
        <v>615</v>
      </c>
      <c r="E96" s="15">
        <v>42611.617800925924</v>
      </c>
      <c r="F96" s="15">
        <v>42611.622696759259</v>
      </c>
      <c r="G96" s="7">
        <v>1</v>
      </c>
      <c r="H96" s="15" t="s">
        <v>131</v>
      </c>
      <c r="I96" s="15">
        <v>42611.652025462965</v>
      </c>
      <c r="J96" s="7">
        <v>0</v>
      </c>
      <c r="K96" s="132" t="str">
        <f t="shared" si="38"/>
        <v>4027/4028</v>
      </c>
      <c r="L96" s="24" t="str">
        <f>VLOOKUP(A96,'Trips&amp;Operators'!$C$1:$E$10000,3,FALSE)</f>
        <v>HELVIE</v>
      </c>
      <c r="M96" s="6">
        <f t="shared" si="39"/>
        <v>2.9328703705687076E-2</v>
      </c>
      <c r="N96" s="7">
        <f t="shared" si="37"/>
        <v>42.233333336189389</v>
      </c>
      <c r="O96" s="7"/>
      <c r="P96" s="7"/>
      <c r="Q96" s="25"/>
      <c r="R96" s="25"/>
      <c r="S96" s="37">
        <f t="shared" si="40"/>
        <v>1</v>
      </c>
      <c r="T96" s="52" t="str">
        <f t="shared" si="41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13:49:38-0600',mode:absolute,to:'2016-08-29 16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6" s="54" t="str">
        <f t="shared" si="43"/>
        <v>N</v>
      </c>
      <c r="X96" s="120">
        <f t="shared" si="53"/>
        <v>1</v>
      </c>
      <c r="Y96" s="69">
        <f t="shared" si="44"/>
        <v>23.296399999999998</v>
      </c>
      <c r="Z96" s="69">
        <f t="shared" si="45"/>
        <v>1.5800000000000002E-2</v>
      </c>
      <c r="AA96" s="69">
        <f t="shared" si="46"/>
        <v>23.2806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7"/>
        <v>0184-29</v>
      </c>
      <c r="AE96" s="99" t="str">
        <f t="shared" si="48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96" s="96" t="str">
        <f t="shared" si="49"/>
        <v>"C:\Program Files (x86)\AstroGrep\AstroGrep.exe" /spath="%USERPROFILE%\AppData\Local\Temp\OnboardLogs" /stypes="*4028*20160829*" /stext=" 21:.+((SYSTEM_STATE.+slice.+state.+changed )|(ment ac)|(system.+state.+changed )|(\|lc)|(penalty)|(\[timeout)|(PRM\|1\|D)|(kpr)|(kdp))" /e /r /s</v>
      </c>
      <c r="AG96" s="1" t="str">
        <f t="shared" si="50"/>
        <v>EC</v>
      </c>
      <c r="AH96" s="100" t="str">
        <f t="shared" si="51"/>
        <v>"%USERPROFILE%\Documents\GitHub\eaglep3\Utilities\RefineRTDCRunTimes.py" --tripid 184-29 --locoid 4028 --swversion DE.1.0.7.0 --startMP 204:232964 --initTime 2016-08-29T14:49:38 --startdatetime 2016-08-29T14:56:41 --delay 1 --endMP 204:158 --enddatetime 2016-08-29T15:38:55 --enforcementcount 0 &gt;&gt;C:\Users\stu\Documents\GitHub\eaglep3-reporting\EC\2016-08-29-refined-times.txt</v>
      </c>
      <c r="AI96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{"issue":{"subject":"","project_id":79,"tracker_id":40,"status_id":1,"priority_id":2,"assigned_to_id":23,"start_date":"2016-08-29","description":"","custom_fields":[{"id":1,"name":"Subdivision","value":"EC"},{"id":4,"name":"Milepost","value":"23.2806"},{"id":17,"name":"Train ID","value":"184-29"},{"id":16,"name":"Locomotive ID","value":"4028"},{"id":130,"name":"Impact","value":""},{"id":150,"name":"Time of Event (Mountain Time)","value":"15:38:55"},{"id":151,"name":"Denver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471</v>
      </c>
      <c r="B97" s="7">
        <v>4003</v>
      </c>
      <c r="C97" s="24" t="s">
        <v>113</v>
      </c>
      <c r="D97" s="24" t="s">
        <v>109</v>
      </c>
      <c r="E97" s="15">
        <v>42611.589594907404</v>
      </c>
      <c r="F97" s="15">
        <v>42611.593923611108</v>
      </c>
      <c r="G97" s="7">
        <v>1</v>
      </c>
      <c r="H97" s="15" t="s">
        <v>351</v>
      </c>
      <c r="I97" s="15">
        <v>42611.619571759256</v>
      </c>
      <c r="J97" s="7">
        <v>0</v>
      </c>
      <c r="K97" s="132" t="str">
        <f t="shared" si="38"/>
        <v>4003/4004</v>
      </c>
      <c r="L97" s="24" t="str">
        <f>VLOOKUP(A97,'Trips&amp;Operators'!$C$1:$E$10000,3,FALSE)</f>
        <v>SHOOK</v>
      </c>
      <c r="M97" s="6">
        <f t="shared" si="39"/>
        <v>2.5648148148320615E-2</v>
      </c>
      <c r="N97" s="7">
        <f t="shared" si="37"/>
        <v>36.933333333581686</v>
      </c>
      <c r="O97" s="7"/>
      <c r="P97" s="7"/>
      <c r="Q97" s="25"/>
      <c r="R97" s="25"/>
      <c r="S97" s="37">
        <f t="shared" si="40"/>
        <v>1</v>
      </c>
      <c r="T97" s="52" t="str">
        <f t="shared" si="41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13:09:01-0600',mode:absolute,to:'2016-08-29 15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97" s="54" t="str">
        <f t="shared" si="43"/>
        <v>N</v>
      </c>
      <c r="X97" s="120">
        <f t="shared" si="53"/>
        <v>1</v>
      </c>
      <c r="Y97" s="69">
        <f t="shared" si="44"/>
        <v>4.6199999999999998E-2</v>
      </c>
      <c r="Z97" s="69">
        <f t="shared" si="45"/>
        <v>23.337800000000001</v>
      </c>
      <c r="AA97" s="69">
        <f t="shared" si="46"/>
        <v>23.291600000000003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7"/>
        <v>0185-29</v>
      </c>
      <c r="AE97" s="99" t="str">
        <f t="shared" si="48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97" s="96" t="str">
        <f t="shared" si="49"/>
        <v>"C:\Program Files (x86)\AstroGrep\AstroGrep.exe" /spath="%USERPROFILE%\AppData\Local\Temp\OnboardLogs" /stypes="*4003*20160829*" /stext=" 20:.+((SYSTEM_STATE.+slice.+state.+changed )|(ment ac)|(system.+state.+changed )|(\|lc)|(penalty)|(\[timeout)|(PRM\|1\|D)|(kpr)|(kdp))" /e /r /s</v>
      </c>
      <c r="AG97" s="1" t="str">
        <f t="shared" si="50"/>
        <v>EC</v>
      </c>
      <c r="AH97" s="100" t="str">
        <f t="shared" si="51"/>
        <v>"%USERPROFILE%\Documents\GitHub\eaglep3\Utilities\RefineRTDCRunTimes.py" --tripid 185-29 --locoid 4003 --swversion DE.1.0.7.0 --startMP 204:462 --initTime 2016-08-29T14:09:01 --startdatetime 2016-08-29T14:15:15 --delay 1 --endMP 204:233378 --enddatetime 2016-08-29T14:52:11 --enforcementcount 0 &gt;&gt;C:\Users\stu\Documents\GitHub\eaglep3-reporting\EC\2016-08-29-refined-times.txt</v>
      </c>
      <c r="AI97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{"issue":{"subject":"","project_id":79,"tracker_id":40,"status_id":1,"priority_id":2,"assigned_to_id":23,"start_date":"2016-08-29","description":"","custom_fields":[{"id":1,"name":"Subdivision","value":"EC"},{"id":4,"name":"Milepost","value":"23.2916"},{"id":17,"name":"Train ID","value":"185-29"},{"id":16,"name":"Locomotive ID","value":"4003"},{"id":130,"name":"Impact","value":""},{"id":150,"name":"Time of Event (Mountain Time)","value":"14:52:11"},{"id":151,"name":"Denver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480</v>
      </c>
      <c r="B98" s="7">
        <v>4004</v>
      </c>
      <c r="C98" s="24" t="s">
        <v>113</v>
      </c>
      <c r="D98" s="24" t="s">
        <v>616</v>
      </c>
      <c r="E98" s="15">
        <v>42611.626597222225</v>
      </c>
      <c r="F98" s="15">
        <v>42611.6328125</v>
      </c>
      <c r="G98" s="7">
        <v>1</v>
      </c>
      <c r="H98" s="15" t="s">
        <v>89</v>
      </c>
      <c r="I98" s="15">
        <v>42611.660173611112</v>
      </c>
      <c r="J98" s="7">
        <v>0</v>
      </c>
      <c r="K98" s="132" t="str">
        <f t="shared" si="38"/>
        <v>4003/4004</v>
      </c>
      <c r="L98" s="24" t="str">
        <f>VLOOKUP(A98,'Trips&amp;Operators'!$C$1:$E$10000,3,FALSE)</f>
        <v>SHOOK</v>
      </c>
      <c r="M98" s="6">
        <f t="shared" si="39"/>
        <v>2.73611111115315E-2</v>
      </c>
      <c r="N98" s="7">
        <f t="shared" si="37"/>
        <v>39.40000000060536</v>
      </c>
      <c r="O98" s="7"/>
      <c r="P98" s="7"/>
      <c r="Q98" s="25"/>
      <c r="R98" s="25"/>
      <c r="S98" s="37">
        <f t="shared" si="40"/>
        <v>1</v>
      </c>
      <c r="T98" s="52" t="str">
        <f t="shared" si="41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14:02:18-0600',mode:absolute,to:'2016-08-29 16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98" s="54" t="str">
        <f t="shared" si="43"/>
        <v>N</v>
      </c>
      <c r="X98" s="120">
        <f t="shared" si="53"/>
        <v>1</v>
      </c>
      <c r="Y98" s="69">
        <f t="shared" si="44"/>
        <v>23.304200000000002</v>
      </c>
      <c r="Z98" s="69">
        <f t="shared" si="45"/>
        <v>1.43E-2</v>
      </c>
      <c r="AA98" s="69">
        <f t="shared" si="46"/>
        <v>23.289900000000003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7"/>
        <v>0186-29</v>
      </c>
      <c r="AE98" s="99" t="str">
        <f t="shared" si="48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98" s="96" t="str">
        <f t="shared" si="49"/>
        <v>"C:\Program Files (x86)\AstroGrep\AstroGrep.exe" /spath="%USERPROFILE%\AppData\Local\Temp\OnboardLogs" /stypes="*4004*20160829*" /stext=" 21:.+((SYSTEM_STATE.+slice.+state.+changed )|(ment ac)|(system.+state.+changed )|(\|lc)|(penalty)|(\[timeout)|(PRM\|1\|D)|(kpr)|(kdp))" /e /r /s</v>
      </c>
      <c r="AG98" s="1" t="str">
        <f t="shared" si="50"/>
        <v>EC</v>
      </c>
      <c r="AH98" s="100" t="str">
        <f t="shared" si="51"/>
        <v>"%USERPROFILE%\Documents\GitHub\eaglep3\Utilities\RefineRTDCRunTimes.py" --tripid 186-29 --locoid 4004 --swversion DE.1.0.7.0 --startMP 204:233042 --initTime 2016-08-29T15:02:18 --startdatetime 2016-08-29T15:11:15 --delay 1 --endMP 204:143 --enddatetime 2016-08-29T15:50:39 --enforcementcount 0 &gt;&gt;C:\Users\stu\Documents\GitHub\eaglep3-reporting\EC\2016-08-29-refined-times.txt</v>
      </c>
      <c r="AI98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{"issue":{"subject":"","project_id":79,"tracker_id":40,"status_id":1,"priority_id":2,"assigned_to_id":23,"start_date":"2016-08-29","description":"","custom_fields":[{"id":1,"name":"Subdivision","value":"EC"},{"id":4,"name":"Milepost","value":"23.2899"},{"id":17,"name":"Train ID","value":"186-29"},{"id":16,"name":"Locomotive ID","value":"4004"},{"id":130,"name":"Impact","value":""},{"id":150,"name":"Time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474</v>
      </c>
      <c r="B99" s="7">
        <v>4007</v>
      </c>
      <c r="C99" s="24" t="s">
        <v>113</v>
      </c>
      <c r="D99" s="24" t="s">
        <v>188</v>
      </c>
      <c r="E99" s="15">
        <v>42611.602638888886</v>
      </c>
      <c r="F99" s="15">
        <v>42611.604872685188</v>
      </c>
      <c r="G99" s="7">
        <v>1</v>
      </c>
      <c r="H99" s="15" t="s">
        <v>617</v>
      </c>
      <c r="I99" s="15">
        <v>42611.633055555554</v>
      </c>
      <c r="J99" s="7">
        <v>0</v>
      </c>
      <c r="K99" s="132" t="str">
        <f t="shared" si="38"/>
        <v>4007/4008</v>
      </c>
      <c r="L99" s="24" t="str">
        <f>VLOOKUP(A99,'Trips&amp;Operators'!$C$1:$E$10000,3,FALSE)</f>
        <v>STEWART</v>
      </c>
      <c r="M99" s="6">
        <f t="shared" si="39"/>
        <v>2.8182870366435964E-2</v>
      </c>
      <c r="N99" s="7">
        <f t="shared" ref="N99:N130" si="54">24*60*SUM($M99:$M99)</f>
        <v>40.583333327667788</v>
      </c>
      <c r="O99" s="7"/>
      <c r="P99" s="7"/>
      <c r="Q99" s="25"/>
      <c r="R99" s="25"/>
      <c r="S99" s="37">
        <f t="shared" si="40"/>
        <v>1</v>
      </c>
      <c r="T99" s="52" t="str">
        <f t="shared" si="41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13:27:48-0600',mode:absolute,to:'2016-08-29 16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9" s="54" t="str">
        <f t="shared" si="43"/>
        <v>N</v>
      </c>
      <c r="X99" s="120">
        <f t="shared" si="53"/>
        <v>1</v>
      </c>
      <c r="Y99" s="69">
        <f t="shared" si="44"/>
        <v>4.3499999999999997E-2</v>
      </c>
      <c r="Z99" s="69">
        <f t="shared" si="45"/>
        <v>23.329799999999999</v>
      </c>
      <c r="AA99" s="69">
        <f t="shared" si="46"/>
        <v>23.286299999999997</v>
      </c>
      <c r="AB99" s="66">
        <f>VLOOKUP(A99,Enforcements!$C$7:$J$21,8,0)</f>
        <v>63069</v>
      </c>
      <c r="AC99" s="62" t="str">
        <f>VLOOKUP(A99,Enforcements!$C$7:$E$21,3,0)</f>
        <v>GRADE CROSSING</v>
      </c>
      <c r="AD99" s="63" t="str">
        <f t="shared" si="47"/>
        <v>0187-29</v>
      </c>
      <c r="AE99" s="99" t="str">
        <f t="shared" si="48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99" s="96" t="str">
        <f t="shared" si="49"/>
        <v>"C:\Program Files (x86)\AstroGrep\AstroGrep.exe" /spath="%USERPROFILE%\AppData\Local\Temp\OnboardLogs" /stypes="*4007*20160829*" /stext=" 21:.+((SYSTEM_STATE.+slice.+state.+changed )|(ment ac)|(system.+state.+changed )|(\|lc)|(penalty)|(\[timeout)|(PRM\|1\|D)|(kpr)|(kdp))" /e /r /s</v>
      </c>
      <c r="AG99" s="1" t="str">
        <f t="shared" si="50"/>
        <v>EC</v>
      </c>
      <c r="AH99" s="100" t="str">
        <f t="shared" si="51"/>
        <v>"%USERPROFILE%\Documents\GitHub\eaglep3\Utilities\RefineRTDCRunTimes.py" --tripid 187-29 --locoid 4007 --swversion DE.1.0.7.0 --startMP 204:435 --initTime 2016-08-29T14:27:48 --startdatetime 2016-08-29T14:31:01 --delay 1 --endMP 204:233298 --enddatetime 2016-08-29T15:11:36 --enforcementcount 0 &gt;&gt;C:\Users\stu\Documents\GitHub\eaglep3-reporting\EC\2016-08-29-refined-times.txt</v>
      </c>
      <c r="AI9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{"issue":{"subject":"","project_id":79,"tracker_id":40,"status_id":1,"priority_id":2,"assigned_to_id":23,"start_date":"2016-08-29","description":"","custom_fields":[{"id":1,"name":"Subdivision","value":"EC"},{"id":4,"name":"Milepost","value":"23.2863"},{"id":17,"name":"Train ID","value":"187-29"},{"id":16,"name":"Locomotive ID","value":"4007"},{"id":130,"name":"Impact","value":""},{"id":150,"name":"Time of Event (Mountain Time)","value":"15:11:36"},{"id":151,"name":"Denver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484</v>
      </c>
      <c r="B100" s="7">
        <v>4008</v>
      </c>
      <c r="C100" s="24" t="s">
        <v>113</v>
      </c>
      <c r="D100" s="24" t="s">
        <v>618</v>
      </c>
      <c r="E100" s="15">
        <v>42611.641122685185</v>
      </c>
      <c r="F100" s="15">
        <v>42611.643495370372</v>
      </c>
      <c r="G100" s="7">
        <v>1</v>
      </c>
      <c r="H100" s="15" t="s">
        <v>179</v>
      </c>
      <c r="I100" s="15">
        <v>42611.671643518515</v>
      </c>
      <c r="J100" s="7">
        <v>0</v>
      </c>
      <c r="K100" s="132" t="str">
        <f t="shared" si="38"/>
        <v>4007/4008</v>
      </c>
      <c r="L100" s="24" t="str">
        <f>VLOOKUP(A100,'Trips&amp;Operators'!$C$1:$E$10000,3,FALSE)</f>
        <v>LOZA</v>
      </c>
      <c r="M100" s="6">
        <f t="shared" si="39"/>
        <v>2.8148148143372964E-2</v>
      </c>
      <c r="N100" s="7">
        <f t="shared" si="54"/>
        <v>40.533333326457068</v>
      </c>
      <c r="O100" s="7"/>
      <c r="P100" s="7"/>
      <c r="Q100" s="25"/>
      <c r="R100" s="25"/>
      <c r="S100" s="37">
        <f t="shared" si="40"/>
        <v>1</v>
      </c>
      <c r="T100" s="52" t="str">
        <f t="shared" si="41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14:23:13-0600',mode:absolute,to:'2016-08-29 17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0" s="54" t="str">
        <f t="shared" si="43"/>
        <v>N</v>
      </c>
      <c r="X100" s="120">
        <f t="shared" si="53"/>
        <v>1</v>
      </c>
      <c r="Y100" s="69">
        <f t="shared" si="44"/>
        <v>23.2987</v>
      </c>
      <c r="Z100" s="69">
        <f t="shared" si="45"/>
        <v>1.4500000000000001E-2</v>
      </c>
      <c r="AA100" s="69">
        <f t="shared" si="46"/>
        <v>23.284199999999998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7"/>
        <v>0188-29</v>
      </c>
      <c r="AE100" s="99" t="str">
        <f t="shared" si="48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100" s="96" t="str">
        <f t="shared" si="49"/>
        <v>"C:\Program Files (x86)\AstroGrep\AstroGrep.exe" /spath="%USERPROFILE%\AppData\Local\Temp\OnboardLogs" /stypes="*4008*20160829*" /stext=" 22:.+((SYSTEM_STATE.+slice.+state.+changed )|(ment ac)|(system.+state.+changed )|(\|lc)|(penalty)|(\[timeout)|(PRM\|1\|D)|(kpr)|(kdp))" /e /r /s</v>
      </c>
      <c r="AG100" s="1" t="str">
        <f t="shared" si="50"/>
        <v>EC</v>
      </c>
      <c r="AH100" s="100" t="str">
        <f t="shared" si="51"/>
        <v>"%USERPROFILE%\Documents\GitHub\eaglep3\Utilities\RefineRTDCRunTimes.py" --tripid 188-29 --locoid 4008 --swversion DE.1.0.7.0 --startMP 204:232987 --initTime 2016-08-29T15:23:13 --startdatetime 2016-08-29T15:26:38 --delay 1 --endMP 204:145 --enddatetime 2016-08-29T16:07:10 --enforcementcount 0 &gt;&gt;C:\Users\stu\Documents\GitHub\eaglep3-reporting\EC\2016-08-29-refined-times.txt</v>
      </c>
      <c r="AI100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{"issue":{"subject":"","project_id":79,"tracker_id":40,"status_id":1,"priority_id":2,"assigned_to_id":23,"start_date":"2016-08-29","description":"","custom_fields":[{"id":1,"name":"Subdivision","value":"EC"},{"id":4,"name":"Milepost","value":"23.2842"},{"id":17,"name":"Train ID","value":"188-29"},{"id":16,"name":"Locomotive ID","value":"4008"},{"id":130,"name":"Impact","value":""},{"id":150,"name":"Time of Event (Mountain Time)","value":"16:07:10"},{"id":151,"name":"Denver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477</v>
      </c>
      <c r="B101" s="7">
        <v>4029</v>
      </c>
      <c r="C101" s="24" t="s">
        <v>113</v>
      </c>
      <c r="D101" s="24" t="s">
        <v>619</v>
      </c>
      <c r="E101" s="15">
        <v>42611.612083333333</v>
      </c>
      <c r="F101" s="15">
        <v>42611.614884259259</v>
      </c>
      <c r="G101" s="7">
        <v>1</v>
      </c>
      <c r="H101" s="15" t="s">
        <v>244</v>
      </c>
      <c r="I101" s="15">
        <v>42611.640682870369</v>
      </c>
      <c r="J101" s="7">
        <v>0</v>
      </c>
      <c r="K101" s="132" t="str">
        <f t="shared" si="38"/>
        <v>4029/4030</v>
      </c>
      <c r="L101" s="24" t="str">
        <f>VLOOKUP(A101,'Trips&amp;Operators'!$C$1:$E$10000,3,FALSE)</f>
        <v>BARTLETT</v>
      </c>
      <c r="M101" s="6">
        <f t="shared" si="39"/>
        <v>2.5798611110076308E-2</v>
      </c>
      <c r="N101" s="7">
        <f t="shared" si="54"/>
        <v>37.149999998509884</v>
      </c>
      <c r="O101" s="7"/>
      <c r="P101" s="7"/>
      <c r="Q101" s="25"/>
      <c r="R101" s="25"/>
      <c r="S101" s="37">
        <f t="shared" si="40"/>
        <v>1</v>
      </c>
      <c r="T101" s="52" t="str">
        <f t="shared" si="41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13:41:24-0600',mode:absolute,to:'2016-08-29 16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01" s="54" t="str">
        <f t="shared" si="43"/>
        <v>N</v>
      </c>
      <c r="X101" s="120">
        <f t="shared" si="53"/>
        <v>1</v>
      </c>
      <c r="Y101" s="69">
        <f t="shared" si="44"/>
        <v>4.0899999999999999E-2</v>
      </c>
      <c r="Z101" s="69">
        <f t="shared" si="45"/>
        <v>23.330100000000002</v>
      </c>
      <c r="AA101" s="69">
        <f t="shared" si="46"/>
        <v>23.289200000000001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7"/>
        <v>0189-29</v>
      </c>
      <c r="AE101" s="99" t="str">
        <f t="shared" si="48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101" s="96" t="str">
        <f t="shared" si="49"/>
        <v>"C:\Program Files (x86)\AstroGrep\AstroGrep.exe" /spath="%USERPROFILE%\AppData\Local\Temp\OnboardLogs" /stypes="*4029*20160829*" /stext=" 21:.+((SYSTEM_STATE.+slice.+state.+changed )|(ment ac)|(system.+state.+changed )|(\|lc)|(penalty)|(\[timeout)|(PRM\|1\|D)|(kpr)|(kdp))" /e /r /s</v>
      </c>
      <c r="AG101" s="1" t="str">
        <f t="shared" si="50"/>
        <v>EC</v>
      </c>
      <c r="AH101" s="100" t="str">
        <f t="shared" si="51"/>
        <v>"%USERPROFILE%\Documents\GitHub\eaglep3\Utilities\RefineRTDCRunTimes.py" --tripid 189-29 --locoid 4029 --swversion DE.1.0.7.0 --startMP 204:409 --initTime 2016-08-29T14:41:24 --startdatetime 2016-08-29T14:45:26 --delay 1 --endMP 204:233301 --enddatetime 2016-08-29T15:22:35 --enforcementcount 0 &gt;&gt;C:\Users\stu\Documents\GitHub\eaglep3-reporting\EC\2016-08-29-refined-times.txt</v>
      </c>
      <c r="AI101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{"issue":{"subject":"","project_id":79,"tracker_id":40,"status_id":1,"priority_id":2,"assigned_to_id":23,"start_date":"2016-08-29","description":"","custom_fields":[{"id":1,"name":"Subdivision","value":"EC"},{"id":4,"name":"Milepost","value":"23.2892"},{"id":17,"name":"Train ID","value":"189-29"},{"id":16,"name":"Locomotive ID","value":"4029"},{"id":130,"name":"Impact","value":""},{"id":150,"name":"Time of Event (Mountain Time)","value":"15:22:35"},{"id":151,"name":"Denver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485</v>
      </c>
      <c r="B102" s="7">
        <v>4030</v>
      </c>
      <c r="C102" s="24" t="s">
        <v>113</v>
      </c>
      <c r="D102" s="24" t="s">
        <v>187</v>
      </c>
      <c r="E102" s="15">
        <v>42611.642337962963</v>
      </c>
      <c r="F102" s="15">
        <v>42611.653645833336</v>
      </c>
      <c r="G102" s="7">
        <v>1</v>
      </c>
      <c r="H102" s="15" t="s">
        <v>150</v>
      </c>
      <c r="I102" s="15">
        <v>42611.681840277779</v>
      </c>
      <c r="J102" s="7">
        <v>0</v>
      </c>
      <c r="K102" s="132" t="str">
        <f t="shared" si="38"/>
        <v>4029/4030</v>
      </c>
      <c r="L102" s="24" t="str">
        <f>VLOOKUP(A102,'Trips&amp;Operators'!$C$1:$E$10000,3,FALSE)</f>
        <v>BARTLETT</v>
      </c>
      <c r="M102" s="6">
        <f t="shared" si="39"/>
        <v>2.8194444443215616E-2</v>
      </c>
      <c r="N102" s="7">
        <f t="shared" si="54"/>
        <v>40.599999998230487</v>
      </c>
      <c r="O102" s="7"/>
      <c r="P102" s="7"/>
      <c r="Q102" s="25"/>
      <c r="R102" s="25"/>
      <c r="S102" s="37">
        <f t="shared" si="40"/>
        <v>1</v>
      </c>
      <c r="T102" s="52" t="str">
        <f t="shared" si="41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14:24:58-0600',mode:absolute,to:'2016-08-29 17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02" s="54" t="str">
        <f t="shared" si="43"/>
        <v>N</v>
      </c>
      <c r="X102" s="120">
        <f t="shared" si="53"/>
        <v>1</v>
      </c>
      <c r="Y102" s="69">
        <f t="shared" si="44"/>
        <v>23.2986</v>
      </c>
      <c r="Z102" s="69">
        <f t="shared" si="45"/>
        <v>1.4999999999999999E-2</v>
      </c>
      <c r="AA102" s="69">
        <f t="shared" si="46"/>
        <v>23.2836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47"/>
        <v>0190-29</v>
      </c>
      <c r="AE102" s="99" t="str">
        <f t="shared" si="48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102" s="96" t="str">
        <f t="shared" si="49"/>
        <v>"C:\Program Files (x86)\AstroGrep\AstroGrep.exe" /spath="%USERPROFILE%\AppData\Local\Temp\OnboardLogs" /stypes="*4030*20160829*" /stext=" 22:.+((SYSTEM_STATE.+slice.+state.+changed )|(ment ac)|(system.+state.+changed )|(\|lc)|(penalty)|(\[timeout)|(PRM\|1\|D)|(kpr)|(kdp))" /e /r /s</v>
      </c>
      <c r="AG102" s="1" t="str">
        <f t="shared" si="50"/>
        <v>EC</v>
      </c>
      <c r="AH102" s="100" t="str">
        <f t="shared" si="51"/>
        <v>"%USERPROFILE%\Documents\GitHub\eaglep3\Utilities\RefineRTDCRunTimes.py" --tripid 190-29 --locoid 4030 --swversion DE.1.0.7.0 --startMP 204:232986 --initTime 2016-08-29T15:24:58 --startdatetime 2016-08-29T15:41:15 --delay 1 --endMP 204:150 --enddatetime 2016-08-29T16:21:51 --enforcementcount 0 &gt;&gt;C:\Users\stu\Documents\GitHub\eaglep3-reporting\EC\2016-08-29-refined-times.txt</v>
      </c>
      <c r="AI102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{"issue":{"subject":"","project_id":79,"tracker_id":40,"status_id":1,"priority_id":2,"assigned_to_id":23,"start_date":"2016-08-29","description":"","custom_fields":[{"id":1,"name":"Subdivision","value":"EC"},{"id":4,"name":"Milepost","value":"23.2836"},{"id":17,"name":"Train ID","value":"190-29"},{"id":16,"name":"Locomotive ID","value":"4030"},{"id":130,"name":"Impact","value":""},{"id":150,"name":"Time of Event (Mountain Time)","value":"16:21:51"},{"id":151,"name":"Denver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479</v>
      </c>
      <c r="B103" s="7">
        <v>4009</v>
      </c>
      <c r="C103" s="24" t="s">
        <v>113</v>
      </c>
      <c r="D103" s="24" t="s">
        <v>186</v>
      </c>
      <c r="E103" s="15">
        <v>42611.621041666665</v>
      </c>
      <c r="F103" s="15">
        <v>42611.625173611108</v>
      </c>
      <c r="G103" s="7">
        <v>1</v>
      </c>
      <c r="H103" s="15" t="s">
        <v>269</v>
      </c>
      <c r="I103" s="15">
        <v>42611.650324074071</v>
      </c>
      <c r="J103" s="7">
        <v>0</v>
      </c>
      <c r="K103" s="132" t="str">
        <f t="shared" si="38"/>
        <v>4009/4010</v>
      </c>
      <c r="L103" s="24" t="str">
        <f>VLOOKUP(A103,'Trips&amp;Operators'!$C$1:$E$10000,3,FALSE)</f>
        <v>DE LA ROSA</v>
      </c>
      <c r="M103" s="6">
        <f t="shared" si="39"/>
        <v>2.5150462963210884E-2</v>
      </c>
      <c r="N103" s="7">
        <f t="shared" si="54"/>
        <v>36.216666667023674</v>
      </c>
      <c r="O103" s="7"/>
      <c r="P103" s="7"/>
      <c r="Q103" s="25"/>
      <c r="R103" s="25"/>
      <c r="S103" s="37">
        <f t="shared" si="40"/>
        <v>1</v>
      </c>
      <c r="T103" s="52" t="str">
        <f t="shared" si="41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13:54:18-0600',mode:absolute,to:'2016-08-29 16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3" s="54" t="str">
        <f t="shared" si="43"/>
        <v>N</v>
      </c>
      <c r="X103" s="120">
        <f t="shared" si="53"/>
        <v>1</v>
      </c>
      <c r="Y103" s="69">
        <f t="shared" si="44"/>
        <v>4.5999999999999999E-2</v>
      </c>
      <c r="Z103" s="69">
        <f t="shared" si="45"/>
        <v>23.329499999999999</v>
      </c>
      <c r="AA103" s="69">
        <f t="shared" si="46"/>
        <v>23.2835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7"/>
        <v>0191-29</v>
      </c>
      <c r="AE103" s="99" t="str">
        <f t="shared" si="48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103" s="96" t="str">
        <f t="shared" si="49"/>
        <v>"C:\Program Files (x86)\AstroGrep\AstroGrep.exe" /spath="%USERPROFILE%\AppData\Local\Temp\OnboardLogs" /stypes="*4009*20160829*" /stext=" 21:.+((SYSTEM_STATE.+slice.+state.+changed )|(ment ac)|(system.+state.+changed )|(\|lc)|(penalty)|(\[timeout)|(PRM\|1\|D)|(kpr)|(kdp))" /e /r /s</v>
      </c>
      <c r="AG103" s="1" t="str">
        <f t="shared" si="50"/>
        <v>EC</v>
      </c>
      <c r="AH103" s="100" t="str">
        <f t="shared" si="51"/>
        <v>"%USERPROFILE%\Documents\GitHub\eaglep3\Utilities\RefineRTDCRunTimes.py" --tripid 191-29 --locoid 4009 --swversion DE.1.0.7.0 --startMP 204:460 --initTime 2016-08-29T14:54:18 --startdatetime 2016-08-29T15:00:15 --delay 1 --endMP 204:233295 --enddatetime 2016-08-29T15:36:28 --enforcementcount 0 &gt;&gt;C:\Users\stu\Documents\GitHub\eaglep3-reporting\EC\2016-08-29-refined-times.txt</v>
      </c>
      <c r="AI103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{"issue":{"subject":"","project_id":79,"tracker_id":40,"status_id":1,"priority_id":2,"assigned_to_id":23,"start_date":"2016-08-29","description":"","custom_fields":[{"id":1,"name":"Subdivision","value":"EC"},{"id":4,"name":"Milepost","value":"23.2835"},{"id":17,"name":"Train ID","value":"191-29"},{"id":16,"name":"Locomotive ID","value":"4009"},{"id":130,"name":"Impact","value":""},{"id":150,"name":"Time of Event (Mountain Time)","value":"15:36:28"},{"id":151,"name":"Denver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490</v>
      </c>
      <c r="B104" s="7">
        <v>4010</v>
      </c>
      <c r="C104" s="24" t="s">
        <v>113</v>
      </c>
      <c r="D104" s="24" t="s">
        <v>290</v>
      </c>
      <c r="E104" s="15">
        <v>42611.660162037035</v>
      </c>
      <c r="F104" s="15">
        <v>42611.6640625</v>
      </c>
      <c r="G104" s="7">
        <v>1</v>
      </c>
      <c r="H104" s="15" t="s">
        <v>131</v>
      </c>
      <c r="I104" s="15">
        <v>42611.691979166666</v>
      </c>
      <c r="J104" s="7">
        <v>0</v>
      </c>
      <c r="K104" s="132" t="str">
        <f t="shared" si="38"/>
        <v>4009/4010</v>
      </c>
      <c r="L104" s="24" t="str">
        <f>VLOOKUP(A104,'Trips&amp;Operators'!$C$1:$E$10000,3,FALSE)</f>
        <v>DE LA ROSA</v>
      </c>
      <c r="M104" s="6">
        <f t="shared" si="39"/>
        <v>2.7916666665987577E-2</v>
      </c>
      <c r="N104" s="7">
        <f t="shared" si="54"/>
        <v>40.199999999022111</v>
      </c>
      <c r="O104" s="7"/>
      <c r="P104" s="7"/>
      <c r="Q104" s="25"/>
      <c r="R104" s="25"/>
      <c r="S104" s="37">
        <f t="shared" si="40"/>
        <v>1</v>
      </c>
      <c r="T104" s="52" t="str">
        <f t="shared" si="41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14:50:38-0600',mode:absolute,to:'2016-08-29 17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4" s="54" t="str">
        <f t="shared" si="43"/>
        <v>N</v>
      </c>
      <c r="X104" s="120">
        <f t="shared" si="53"/>
        <v>1</v>
      </c>
      <c r="Y104" s="69">
        <f t="shared" si="44"/>
        <v>23.298100000000002</v>
      </c>
      <c r="Z104" s="69">
        <f t="shared" si="45"/>
        <v>1.5800000000000002E-2</v>
      </c>
      <c r="AA104" s="69">
        <f t="shared" si="46"/>
        <v>23.282300000000003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47"/>
        <v>0192-29</v>
      </c>
      <c r="AE104" s="99" t="str">
        <f t="shared" si="48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104" s="96" t="str">
        <f t="shared" si="49"/>
        <v>"C:\Program Files (x86)\AstroGrep\AstroGrep.exe" /spath="%USERPROFILE%\AppData\Local\Temp\OnboardLogs" /stypes="*4010*20160829*" /stext=" 22:.+((SYSTEM_STATE.+slice.+state.+changed )|(ment ac)|(system.+state.+changed )|(\|lc)|(penalty)|(\[timeout)|(PRM\|1\|D)|(kpr)|(kdp))" /e /r /s</v>
      </c>
      <c r="AG104" s="1" t="str">
        <f t="shared" si="50"/>
        <v>EC</v>
      </c>
      <c r="AH104" s="100" t="str">
        <f t="shared" si="51"/>
        <v>"%USERPROFILE%\Documents\GitHub\eaglep3\Utilities\RefineRTDCRunTimes.py" --tripid 192-29 --locoid 4010 --swversion DE.1.0.7.0 --startMP 204:232981 --initTime 2016-08-29T15:50:38 --startdatetime 2016-08-29T15:56:15 --delay 1 --endMP 204:158 --enddatetime 2016-08-29T16:36:27 --enforcementcount 0 &gt;&gt;C:\Users\stu\Documents\GitHub\eaglep3-reporting\EC\2016-08-29-refined-times.txt</v>
      </c>
      <c r="AI104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{"issue":{"subject":"","project_id":79,"tracker_id":40,"status_id":1,"priority_id":2,"assigned_to_id":23,"start_date":"2016-08-29","description":"","custom_fields":[{"id":1,"name":"Subdivision","value":"EC"},{"id":4,"name":"Milepost","value":"23.2823"},{"id":17,"name":"Train ID","value":"192-29"},{"id":16,"name":"Locomotive ID","value":"4010"},{"id":130,"name":"Impact","value":""},{"id":150,"name":"Time of Event (Mountain Time)","value":"16:36:27"},{"id":151,"name":"Denver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482</v>
      </c>
      <c r="B105" s="7">
        <v>4040</v>
      </c>
      <c r="C105" s="24" t="s">
        <v>113</v>
      </c>
      <c r="D105" s="24" t="s">
        <v>353</v>
      </c>
      <c r="E105" s="15">
        <v>42611.632974537039</v>
      </c>
      <c r="F105" s="15">
        <v>42611.635868055557</v>
      </c>
      <c r="G105" s="7">
        <v>1</v>
      </c>
      <c r="H105" s="15" t="s">
        <v>279</v>
      </c>
      <c r="I105" s="15">
        <v>42611.662129629629</v>
      </c>
      <c r="J105" s="7">
        <v>0</v>
      </c>
      <c r="K105" s="132" t="str">
        <f t="shared" si="38"/>
        <v>4039/4040</v>
      </c>
      <c r="L105" s="24" t="str">
        <f>VLOOKUP(A105,'Trips&amp;Operators'!$C$1:$E$10000,3,FALSE)</f>
        <v>CLARK</v>
      </c>
      <c r="M105" s="6">
        <f t="shared" si="39"/>
        <v>2.626157407212304E-2</v>
      </c>
      <c r="N105" s="7">
        <f t="shared" si="54"/>
        <v>37.816666663857177</v>
      </c>
      <c r="O105" s="7"/>
      <c r="P105" s="7"/>
      <c r="Q105" s="25"/>
      <c r="R105" s="25"/>
      <c r="S105" s="37">
        <f t="shared" si="40"/>
        <v>1</v>
      </c>
      <c r="T105" s="52" t="str">
        <f t="shared" si="41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14:11:29-0600',mode:absolute,to:'2016-08-29 16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05" s="54" t="str">
        <f t="shared" si="43"/>
        <v>N</v>
      </c>
      <c r="X105" s="120">
        <f t="shared" si="53"/>
        <v>1</v>
      </c>
      <c r="Y105" s="69">
        <f t="shared" si="44"/>
        <v>4.3099999999999999E-2</v>
      </c>
      <c r="Z105" s="69">
        <f t="shared" si="45"/>
        <v>23.329699999999999</v>
      </c>
      <c r="AA105" s="69">
        <f t="shared" si="46"/>
        <v>23.2866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47"/>
        <v>0193-29</v>
      </c>
      <c r="AE105" s="99" t="str">
        <f t="shared" si="48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105" s="96" t="str">
        <f t="shared" si="49"/>
        <v>"C:\Program Files (x86)\AstroGrep\AstroGrep.exe" /spath="%USERPROFILE%\AppData\Local\Temp\OnboardLogs" /stypes="*4040*20160829*" /stext=" 21:.+((SYSTEM_STATE.+slice.+state.+changed )|(ment ac)|(system.+state.+changed )|(\|lc)|(penalty)|(\[timeout)|(PRM\|1\|D)|(kpr)|(kdp))" /e /r /s</v>
      </c>
      <c r="AG105" s="1" t="str">
        <f t="shared" si="50"/>
        <v>EC</v>
      </c>
      <c r="AH105" s="100" t="str">
        <f t="shared" si="51"/>
        <v>"%USERPROFILE%\Documents\GitHub\eaglep3\Utilities\RefineRTDCRunTimes.py" --tripid 193-29 --locoid 4040 --swversion DE.1.0.7.0 --startMP 204:431 --initTime 2016-08-29T15:11:29 --startdatetime 2016-08-29T15:15:39 --delay 1 --endMP 204:233297 --enddatetime 2016-08-29T15:53:28 --enforcementcount 0 &gt;&gt;C:\Users\stu\Documents\GitHub\eaglep3-reporting\EC\2016-08-29-refined-times.txt</v>
      </c>
      <c r="AI105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{"issue":{"subject":"","project_id":79,"tracker_id":40,"status_id":1,"priority_id":2,"assigned_to_id":23,"start_date":"2016-08-29","description":"","custom_fields":[{"id":1,"name":"Subdivision","value":"EC"},{"id":4,"name":"Milepost","value":"23.2866"},{"id":17,"name":"Train ID","value":"193-29"},{"id":16,"name":"Locomotive ID","value":"4040"},{"id":130,"name":"Impact","value":""},{"id":150,"name":"Time of Event (Mountain Time)","value":"15:53:28"},{"id":151,"name":"Denver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492</v>
      </c>
      <c r="B106" s="7">
        <v>4039</v>
      </c>
      <c r="C106" s="24" t="s">
        <v>113</v>
      </c>
      <c r="D106" s="24" t="s">
        <v>604</v>
      </c>
      <c r="E106" s="15">
        <v>42611.669398148151</v>
      </c>
      <c r="F106" s="15">
        <v>42611.674479166664</v>
      </c>
      <c r="G106" s="7">
        <v>1</v>
      </c>
      <c r="H106" s="15" t="s">
        <v>136</v>
      </c>
      <c r="I106" s="15">
        <v>42611.704398148147</v>
      </c>
      <c r="J106" s="7">
        <v>0</v>
      </c>
      <c r="K106" s="132" t="str">
        <f t="shared" si="38"/>
        <v>4039/4040</v>
      </c>
      <c r="L106" s="24" t="str">
        <f>VLOOKUP(A106,'Trips&amp;Operators'!$C$1:$E$10000,3,FALSE)</f>
        <v>CLARK</v>
      </c>
      <c r="M106" s="6">
        <f t="shared" si="39"/>
        <v>2.9918981483206153E-2</v>
      </c>
      <c r="N106" s="7">
        <f t="shared" si="54"/>
        <v>43.08333333581686</v>
      </c>
      <c r="O106" s="7"/>
      <c r="P106" s="7"/>
      <c r="Q106" s="25"/>
      <c r="R106" s="25"/>
      <c r="S106" s="37">
        <f t="shared" si="40"/>
        <v>1</v>
      </c>
      <c r="T106" s="52" t="str">
        <f t="shared" si="41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15:03:56-0600',mode:absolute,to:'2016-08-29 17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06" s="54" t="str">
        <f t="shared" si="43"/>
        <v>N</v>
      </c>
      <c r="X106" s="120">
        <f t="shared" si="53"/>
        <v>1</v>
      </c>
      <c r="Y106" s="69">
        <f t="shared" si="44"/>
        <v>23.297799999999999</v>
      </c>
      <c r="Z106" s="69">
        <f t="shared" si="45"/>
        <v>1.49E-2</v>
      </c>
      <c r="AA106" s="69">
        <f t="shared" si="46"/>
        <v>23.282899999999998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7"/>
        <v>0194-29</v>
      </c>
      <c r="AE106" s="99" t="str">
        <f t="shared" si="48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106" s="96" t="str">
        <f t="shared" si="49"/>
        <v>"C:\Program Files (x86)\AstroGrep\AstroGrep.exe" /spath="%USERPROFILE%\AppData\Local\Temp\OnboardLogs" /stypes="*4039*20160829*" /stext=" 22:.+((SYSTEM_STATE.+slice.+state.+changed )|(ment ac)|(system.+state.+changed )|(\|lc)|(penalty)|(\[timeout)|(PRM\|1\|D)|(kpr)|(kdp))" /e /r /s</v>
      </c>
      <c r="AG106" s="1" t="str">
        <f t="shared" si="50"/>
        <v>EC</v>
      </c>
      <c r="AH106" s="100" t="str">
        <f t="shared" si="51"/>
        <v>"%USERPROFILE%\Documents\GitHub\eaglep3\Utilities\RefineRTDCRunTimes.py" --tripid 194-29 --locoid 4039 --swversion DE.1.0.7.0 --startMP 204:232978 --initTime 2016-08-29T16:03:56 --startdatetime 2016-08-29T16:11:15 --delay 1 --endMP 204:149 --enddatetime 2016-08-29T16:54:20 --enforcementcount 0 &gt;&gt;C:\Users\stu\Documents\GitHub\eaglep3-reporting\EC\2016-08-29-refined-times.txt</v>
      </c>
      <c r="AI106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{"issue":{"subject":"","project_id":79,"tracker_id":40,"status_id":1,"priority_id":2,"assigned_to_id":23,"start_date":"2016-08-29","description":"","custom_fields":[{"id":1,"name":"Subdivision","value":"EC"},{"id":4,"name":"Milepost","value":"23.2829"},{"id":17,"name":"Train ID","value":"194-29"},{"id":16,"name":"Locomotive ID","value":"4039"},{"id":130,"name":"Impact","value":""},{"id":150,"name":"Time of Event (Mountain Time)","value":"16:54:20"},{"id":151,"name":"Denver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486</v>
      </c>
      <c r="B107" s="7">
        <v>4031</v>
      </c>
      <c r="C107" s="24" t="s">
        <v>113</v>
      </c>
      <c r="D107" s="24" t="s">
        <v>620</v>
      </c>
      <c r="E107" s="15">
        <v>42611.644143518519</v>
      </c>
      <c r="F107" s="15">
        <v>42611.646192129629</v>
      </c>
      <c r="G107" s="7">
        <v>1</v>
      </c>
      <c r="H107" s="15" t="s">
        <v>621</v>
      </c>
      <c r="I107" s="15">
        <v>42611.673113425924</v>
      </c>
      <c r="J107" s="7">
        <v>0</v>
      </c>
      <c r="K107" s="132" t="str">
        <f t="shared" si="38"/>
        <v>4031/4032</v>
      </c>
      <c r="L107" s="24" t="str">
        <f>VLOOKUP(A107,'Trips&amp;Operators'!$C$1:$E$10000,3,FALSE)</f>
        <v>YOUNG</v>
      </c>
      <c r="M107" s="6">
        <f t="shared" si="39"/>
        <v>2.6921296295768116E-2</v>
      </c>
      <c r="N107" s="7">
        <f t="shared" si="54"/>
        <v>38.766666665906087</v>
      </c>
      <c r="O107" s="7"/>
      <c r="P107" s="7"/>
      <c r="Q107" s="25"/>
      <c r="R107" s="25"/>
      <c r="S107" s="37">
        <f t="shared" si="40"/>
        <v>1</v>
      </c>
      <c r="T107" s="52" t="str">
        <f t="shared" si="41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14:27:34-0600',mode:absolute,to:'2016-08-29 17:09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7" s="54" t="str">
        <f t="shared" si="43"/>
        <v>N</v>
      </c>
      <c r="X107" s="120">
        <f t="shared" si="53"/>
        <v>1</v>
      </c>
      <c r="Y107" s="69">
        <f t="shared" si="44"/>
        <v>5.2400000000000002E-2</v>
      </c>
      <c r="Z107" s="69">
        <f t="shared" si="45"/>
        <v>23.3338</v>
      </c>
      <c r="AA107" s="69">
        <f t="shared" si="46"/>
        <v>23.281400000000001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7"/>
        <v>0195-29</v>
      </c>
      <c r="AE107" s="99" t="str">
        <f t="shared" si="48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107" s="96" t="str">
        <f t="shared" si="49"/>
        <v>"C:\Program Files (x86)\AstroGrep\AstroGrep.exe" /spath="%USERPROFILE%\AppData\Local\Temp\OnboardLogs" /stypes="*4031*20160829*" /stext=" 22:.+((SYSTEM_STATE.+slice.+state.+changed )|(ment ac)|(system.+state.+changed )|(\|lc)|(penalty)|(\[timeout)|(PRM\|1\|D)|(kpr)|(kdp))" /e /r /s</v>
      </c>
      <c r="AG107" s="1" t="str">
        <f t="shared" si="50"/>
        <v>EC</v>
      </c>
      <c r="AH107" s="100" t="str">
        <f t="shared" si="51"/>
        <v>"%USERPROFILE%\Documents\GitHub\eaglep3\Utilities\RefineRTDCRunTimes.py" --tripid 195-29 --locoid 4031 --swversion DE.1.0.7.0 --startMP 204:524 --initTime 2016-08-29T15:27:34 --startdatetime 2016-08-29T15:30:31 --delay 1 --endMP 204:233338 --enddatetime 2016-08-29T16:09:17 --enforcementcount 0 &gt;&gt;C:\Users\stu\Documents\GitHub\eaglep3-reporting\EC\2016-08-29-refined-times.txt</v>
      </c>
      <c r="AI107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{"issue":{"subject":"","project_id":79,"tracker_id":40,"status_id":1,"priority_id":2,"assigned_to_id":23,"start_date":"2016-08-29","description":"","custom_fields":[{"id":1,"name":"Subdivision","value":"EC"},{"id":4,"name":"Milepost","value":"23.2814"},{"id":17,"name":"Train ID","value":"195-29"},{"id":16,"name":"Locomotive ID","value":"4031"},{"id":130,"name":"Impact","value":""},{"id":150,"name":"Time of Event (Mountain Time)","value":"16:09:17"},{"id":151,"name":"Denver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496</v>
      </c>
      <c r="B108" s="7">
        <v>4032</v>
      </c>
      <c r="C108" s="24" t="s">
        <v>113</v>
      </c>
      <c r="D108" s="24" t="s">
        <v>352</v>
      </c>
      <c r="E108" s="15">
        <v>42611.680243055554</v>
      </c>
      <c r="F108" s="15">
        <v>42611.685057870367</v>
      </c>
      <c r="G108" s="7">
        <v>1</v>
      </c>
      <c r="H108" s="15" t="s">
        <v>622</v>
      </c>
      <c r="I108" s="15">
        <v>42611.713726851849</v>
      </c>
      <c r="J108" s="7">
        <v>0</v>
      </c>
      <c r="K108" s="132" t="str">
        <f t="shared" si="38"/>
        <v>4031/4032</v>
      </c>
      <c r="L108" s="24" t="str">
        <f>VLOOKUP(A108,'Trips&amp;Operators'!$C$1:$E$10000,3,FALSE)</f>
        <v>YOUNG</v>
      </c>
      <c r="M108" s="6">
        <f t="shared" si="39"/>
        <v>2.8668981482042E-2</v>
      </c>
      <c r="N108" s="7">
        <f t="shared" si="54"/>
        <v>41.28333333414048</v>
      </c>
      <c r="O108" s="7"/>
      <c r="P108" s="7"/>
      <c r="Q108" s="25"/>
      <c r="R108" s="25"/>
      <c r="S108" s="37">
        <f t="shared" si="40"/>
        <v>1</v>
      </c>
      <c r="T108" s="52" t="str">
        <f t="shared" si="41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42"/>
        <v>https://search-rtdc-monitor-bjffxe2xuh6vdkpspy63sjmuny.us-east-1.es.amazonaws.com/_plugin/kibana/#/discover/Steve-Slow-Train-Analysis-(2080s-and-2083s)?_g=(refreshInterval:(display:Off,section:0,value:0),time:(from:'2016-08-29 15:19:33-0600',mode:absolute,to:'2016-08-29 18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8" s="54" t="str">
        <f t="shared" si="43"/>
        <v>N</v>
      </c>
      <c r="X108" s="120">
        <f t="shared" si="53"/>
        <v>1</v>
      </c>
      <c r="Y108" s="69">
        <f t="shared" si="44"/>
        <v>23.300799999999999</v>
      </c>
      <c r="Z108" s="69">
        <f t="shared" si="45"/>
        <v>2.01E-2</v>
      </c>
      <c r="AA108" s="69">
        <f t="shared" si="46"/>
        <v>23.2807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7"/>
        <v>0196-29</v>
      </c>
      <c r="AE108" s="99" t="str">
        <f t="shared" si="48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108" s="96" t="str">
        <f t="shared" si="49"/>
        <v>"C:\Program Files (x86)\AstroGrep\AstroGrep.exe" /spath="%USERPROFILE%\AppData\Local\Temp\OnboardLogs" /stypes="*4032*20160829*" /stext=" 23:.+((SYSTEM_STATE.+slice.+state.+changed )|(ment ac)|(system.+state.+changed )|(\|lc)|(penalty)|(\[timeout)|(PRM\|1\|D)|(kpr)|(kdp))" /e /r /s</v>
      </c>
      <c r="AG108" s="1" t="str">
        <f t="shared" si="50"/>
        <v>EC</v>
      </c>
      <c r="AH108" s="100" t="str">
        <f t="shared" si="51"/>
        <v>"%USERPROFILE%\Documents\GitHub\eaglep3\Utilities\RefineRTDCRunTimes.py" --tripid 196-29 --locoid 4032 --swversion DE.1.0.7.0 --startMP 204:233008 --initTime 2016-08-29T16:19:33 --startdatetime 2016-08-29T16:26:29 --delay 1 --endMP 204:201 --enddatetime 2016-08-29T17:07:46 --enforcementcount 0 &gt;&gt;C:\Users\stu\Documents\GitHub\eaglep3-reporting\EC\2016-08-29-refined-times.txt</v>
      </c>
      <c r="AI108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{"issue":{"subject":"","project_id":79,"tracker_id":40,"status_id":1,"priority_id":2,"assigned_to_id":23,"start_date":"2016-08-29","description":"","custom_fields":[{"id":1,"name":"Subdivision","value":"EC"},{"id":4,"name":"Milepost","value":"23.2807"},{"id":17,"name":"Train ID","value":"196-29"},{"id":16,"name":"Locomotive ID","value":"4032"},{"id":130,"name":"Impact","value":""},{"id":150,"name":"Time of Event (Mountain Time)","value":"17:07:46"},{"id":151,"name":"Denver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488</v>
      </c>
      <c r="B109" s="7">
        <v>4027</v>
      </c>
      <c r="C109" s="24" t="s">
        <v>113</v>
      </c>
      <c r="D109" s="24" t="s">
        <v>275</v>
      </c>
      <c r="E109" s="15">
        <v>42611.653634259259</v>
      </c>
      <c r="F109" s="15">
        <v>42611.656956018516</v>
      </c>
      <c r="G109" s="7">
        <v>1</v>
      </c>
      <c r="H109" s="15" t="s">
        <v>599</v>
      </c>
      <c r="I109" s="15">
        <v>42611.682962962965</v>
      </c>
      <c r="J109" s="7">
        <v>0</v>
      </c>
      <c r="K109" s="132" t="str">
        <f t="shared" ref="K109:K140" si="55">IF(ISEVEN(B109),(B109-1)&amp;"/"&amp;B109,B109&amp;"/"&amp;(B109+1))</f>
        <v>4027/4028</v>
      </c>
      <c r="L109" s="24" t="str">
        <f>VLOOKUP(A109,'Trips&amp;Operators'!$C$1:$E$10000,3,FALSE)</f>
        <v>HELVIE</v>
      </c>
      <c r="M109" s="6">
        <f t="shared" ref="M109:M140" si="56">I109-F109</f>
        <v>2.6006944448454306E-2</v>
      </c>
      <c r="N109" s="7">
        <f t="shared" si="54"/>
        <v>37.4500000057742</v>
      </c>
      <c r="O109" s="7"/>
      <c r="P109" s="7"/>
      <c r="Q109" s="25"/>
      <c r="R109" s="25"/>
      <c r="S109" s="37">
        <f t="shared" ref="S109:S140" si="57">SUM(U109:U109)/IF(AG109="EC",12,1)</f>
        <v>1</v>
      </c>
      <c r="T109" s="52" t="str">
        <f t="shared" ref="T109:T140" si="58">IF(ISEVEN(LEFT(AD109,4)),"Southbound","NorthBound")</f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9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https://search-rtdc-monitor-bjffxe2xuh6vdkpspy63sjmuny.us-east-1.es.amazonaws.com/_plugin/kibana/#/discover/Steve-Slow-Train-Analysis-(2080s-and-2083s)?_g=(refreshInterval:(display:Off,section:0,value:0),time:(from:'2016-08-29 14:41:14-0600',mode:absolute,to:'2016-08-29 17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9" s="54" t="str">
        <f t="shared" ref="W109:W140" si="60">IF(AA109&lt;IF(AG109="EC",23,5.65),"Y","N")</f>
        <v>N</v>
      </c>
      <c r="X109" s="120">
        <f t="shared" si="53"/>
        <v>1</v>
      </c>
      <c r="Y109" s="69">
        <f t="shared" ref="Y109:Y138" si="61">RIGHT(D109,LEN(D109)-4)/10000</f>
        <v>4.3700000000000003E-2</v>
      </c>
      <c r="Z109" s="69">
        <f t="shared" ref="Z109:Z140" si="62">RIGHT(H109,LEN(H109)-4)/10000</f>
        <v>23.330300000000001</v>
      </c>
      <c r="AA109" s="69">
        <f t="shared" ref="AA109:AA140" si="63">ABS(Z109-Y109)</f>
        <v>23.2866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ref="AD109:AD140" si="64">IF(LEN(A109)=6,"0"&amp;A109,A109)</f>
        <v>0197-29</v>
      </c>
      <c r="AE109" s="99" t="str">
        <f t="shared" ref="AE109:AE140" si="65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109" s="96" t="str">
        <f t="shared" ref="AF109:AF140" si="66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/stypes="*4027*20160829*" /stext=" 22:.+((SYSTEM_STATE.+slice.+state.+changed )|(ment ac)|(system.+state.+changed )|(\|lc)|(penalty)|(\[timeout)|(PRM\|1\|D)|(kpr)|(kdp))" /e /r /s</v>
      </c>
      <c r="AG109" s="1" t="str">
        <f t="shared" ref="AG109:AG140" si="67">IFERROR(IF(VALUE(LEFT(AD109,2))&lt;=2,"EC",IF(OR(VALUE(LEFT(AD109,2))=8,VALUE(LEFT(AD109,2))=18),"NW","Other")),"Other")</f>
        <v>EC</v>
      </c>
      <c r="AH109" s="100" t="str">
        <f t="shared" si="51"/>
        <v>"%USERPROFILE%\Documents\GitHub\eaglep3\Utilities\RefineRTDCRunTimes.py" --tripid 197-29 --locoid 4027 --swversion DE.1.0.7.0 --startMP 204:437 --initTime 2016-08-29T15:41:14 --startdatetime 2016-08-29T15:46:01 --delay 1 --endMP 204:233303 --enddatetime 2016-08-29T16:23:28 --enforcementcount 0 &gt;&gt;C:\Users\stu\Documents\GitHub\eaglep3-reporting\EC\2016-08-29-refined-times.txt</v>
      </c>
      <c r="AI10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{"issue":{"subject":"","project_id":79,"tracker_id":40,"status_id":1,"priority_id":2,"assigned_to_id":23,"start_date":"2016-08-29","description":"","custom_fields":[{"id":1,"name":"Subdivision","value":"EC"},{"id":4,"name":"Milepost","value":"23.2866"},{"id":17,"name":"Train ID","value":"197-29"},{"id":16,"name":"Locomotive ID","value":"4027"},{"id":130,"name":"Impact","value":""},{"id":150,"name":"Time of Event (Mountain Time)","value":"16:23:28"},{"id":151,"name":"Denver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498</v>
      </c>
      <c r="B110" s="7">
        <v>4028</v>
      </c>
      <c r="C110" s="24" t="s">
        <v>113</v>
      </c>
      <c r="D110" s="24" t="s">
        <v>602</v>
      </c>
      <c r="E110" s="15">
        <v>42611.687731481485</v>
      </c>
      <c r="F110" s="15">
        <v>42611.695844907408</v>
      </c>
      <c r="G110" s="7">
        <v>1</v>
      </c>
      <c r="H110" s="15" t="s">
        <v>623</v>
      </c>
      <c r="I110" s="15">
        <v>42611.725208333337</v>
      </c>
      <c r="J110" s="7">
        <v>0</v>
      </c>
      <c r="K110" s="132" t="str">
        <f t="shared" si="55"/>
        <v>4027/4028</v>
      </c>
      <c r="L110" s="24" t="str">
        <f>VLOOKUP(A110,'Trips&amp;Operators'!$C$1:$E$10000,3,FALSE)</f>
        <v>HELVIE</v>
      </c>
      <c r="M110" s="6">
        <f t="shared" si="56"/>
        <v>2.9363425928750075E-2</v>
      </c>
      <c r="N110" s="7">
        <f t="shared" si="54"/>
        <v>42.283333337400109</v>
      </c>
      <c r="O110" s="7"/>
      <c r="P110" s="7"/>
      <c r="Q110" s="25"/>
      <c r="R110" s="25"/>
      <c r="S110" s="37">
        <f t="shared" si="57"/>
        <v>1</v>
      </c>
      <c r="T110" s="52" t="str">
        <f t="shared" si="58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15:30:20-0600',mode:absolute,to:'2016-08-29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0" s="54" t="str">
        <f t="shared" si="60"/>
        <v>N</v>
      </c>
      <c r="X110" s="120">
        <f t="shared" si="53"/>
        <v>1</v>
      </c>
      <c r="Y110" s="69">
        <f t="shared" si="61"/>
        <v>23.299600000000002</v>
      </c>
      <c r="Z110" s="69">
        <f t="shared" si="62"/>
        <v>1.21E-2</v>
      </c>
      <c r="AA110" s="69">
        <f t="shared" si="63"/>
        <v>23.287500000000001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64"/>
        <v>0198-29</v>
      </c>
      <c r="AE110" s="99" t="str">
        <f t="shared" si="65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110" s="96" t="str">
        <f t="shared" si="66"/>
        <v>"C:\Program Files (x86)\AstroGrep\AstroGrep.exe" /spath="%USERPROFILE%\AppData\Local\Temp\OnboardLogs" /stypes="*4028*20160829*" /stext=" 23:.+((SYSTEM_STATE.+slice.+state.+changed )|(ment ac)|(system.+state.+changed )|(\|lc)|(penalty)|(\[timeout)|(PRM\|1\|D)|(kpr)|(kdp))" /e /r /s</v>
      </c>
      <c r="AG110" s="1" t="str">
        <f t="shared" si="67"/>
        <v>EC</v>
      </c>
      <c r="AH110" s="100" t="str">
        <f t="shared" si="51"/>
        <v>"%USERPROFILE%\Documents\GitHub\eaglep3\Utilities\RefineRTDCRunTimes.py" --tripid 198-29 --locoid 4028 --swversion DE.1.0.7.0 --startMP 204:232996 --initTime 2016-08-29T16:30:20 --startdatetime 2016-08-29T16:42:01 --delay 1 --endMP 204:121 --enddatetime 2016-08-29T17:24:18 --enforcementcount 0 &gt;&gt;C:\Users\stu\Documents\GitHub\eaglep3-reporting\EC\2016-08-29-refined-times.txt</v>
      </c>
      <c r="AI110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{"issue":{"subject":"","project_id":79,"tracker_id":40,"status_id":1,"priority_id":2,"assigned_to_id":23,"start_date":"2016-08-29","description":"","custom_fields":[{"id":1,"name":"Subdivision","value":"EC"},{"id":4,"name":"Milepost","value":"23.2875"},{"id":17,"name":"Train ID","value":"198-29"},{"id":16,"name":"Locomotive ID","value":"4028"},{"id":130,"name":"Impact","value":""},{"id":150,"name":"Time of Event (Mountain Time)","value":"17:24:18"},{"id":151,"name":"Denver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491</v>
      </c>
      <c r="B111" s="7">
        <v>4003</v>
      </c>
      <c r="C111" s="24" t="s">
        <v>113</v>
      </c>
      <c r="D111" s="24" t="s">
        <v>109</v>
      </c>
      <c r="E111" s="15">
        <v>42611.661307870374</v>
      </c>
      <c r="F111" s="15">
        <v>42611.666851851849</v>
      </c>
      <c r="G111" s="7">
        <v>1</v>
      </c>
      <c r="H111" s="15" t="s">
        <v>580</v>
      </c>
      <c r="I111" s="15">
        <v>42611.692071759258</v>
      </c>
      <c r="J111" s="7">
        <v>0</v>
      </c>
      <c r="K111" s="132" t="str">
        <f t="shared" si="55"/>
        <v>4003/4004</v>
      </c>
      <c r="L111" s="24" t="str">
        <f>VLOOKUP(A111,'Trips&amp;Operators'!$C$1:$E$10000,3,FALSE)</f>
        <v>SHOOK</v>
      </c>
      <c r="M111" s="6">
        <f t="shared" si="56"/>
        <v>2.5219907409336884E-2</v>
      </c>
      <c r="N111" s="7">
        <f t="shared" si="54"/>
        <v>36.316666669445112</v>
      </c>
      <c r="O111" s="7"/>
      <c r="P111" s="7"/>
      <c r="Q111" s="25"/>
      <c r="R111" s="25"/>
      <c r="S111" s="37">
        <f t="shared" si="57"/>
        <v>1</v>
      </c>
      <c r="T111" s="52" t="str">
        <f t="shared" si="58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14:52:17-0600',mode:absolute,to:'2016-08-29 17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11" s="54" t="str">
        <f t="shared" si="60"/>
        <v>N</v>
      </c>
      <c r="X111" s="120">
        <f t="shared" si="53"/>
        <v>1</v>
      </c>
      <c r="Y111" s="69">
        <f t="shared" si="61"/>
        <v>4.6199999999999998E-2</v>
      </c>
      <c r="Z111" s="69">
        <f t="shared" si="62"/>
        <v>23.338000000000001</v>
      </c>
      <c r="AA111" s="69">
        <f t="shared" si="63"/>
        <v>23.291800000000002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64"/>
        <v>0199-29</v>
      </c>
      <c r="AE111" s="99" t="str">
        <f t="shared" si="65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111" s="96" t="str">
        <f t="shared" si="66"/>
        <v>"C:\Program Files (x86)\AstroGrep\AstroGrep.exe" /spath="%USERPROFILE%\AppData\Local\Temp\OnboardLogs" /stypes="*4003*20160829*" /stext=" 22:.+((SYSTEM_STATE.+slice.+state.+changed )|(ment ac)|(system.+state.+changed )|(\|lc)|(penalty)|(\[timeout)|(PRM\|1\|D)|(kpr)|(kdp))" /e /r /s</v>
      </c>
      <c r="AG111" s="1" t="str">
        <f t="shared" si="67"/>
        <v>EC</v>
      </c>
      <c r="AH111" s="100" t="str">
        <f t="shared" si="51"/>
        <v>"%USERPROFILE%\Documents\GitHub\eaglep3\Utilities\RefineRTDCRunTimes.py" --tripid 199-29 --locoid 4003 --swversion DE.1.0.7.0 --startMP 204:462 --initTime 2016-08-29T15:52:17 --startdatetime 2016-08-29T16:00:16 --delay 1 --endMP 204:233380 --enddatetime 2016-08-29T16:36:35 --enforcementcount 0 &gt;&gt;C:\Users\stu\Documents\GitHub\eaglep3-reporting\EC\2016-08-29-refined-times.txt</v>
      </c>
      <c r="AI111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{"issue":{"subject":"","project_id":79,"tracker_id":40,"status_id":1,"priority_id":2,"assigned_to_id":23,"start_date":"2016-08-29","description":"","custom_fields":[{"id":1,"name":"Subdivision","value":"EC"},{"id":4,"name":"Milepost","value":"23.2918"},{"id":17,"name":"Train ID","value":"199-29"},{"id":16,"name":"Locomotive ID","value":"4003"},{"id":130,"name":"Impact","value":""},{"id":150,"name":"Time of Event (Mountain Time)","value":"16:36:35"},{"id":151,"name":"Denver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501</v>
      </c>
      <c r="B112" s="7">
        <v>4004</v>
      </c>
      <c r="C112" s="24" t="s">
        <v>113</v>
      </c>
      <c r="D112" s="24" t="s">
        <v>624</v>
      </c>
      <c r="E112" s="15">
        <v>42611.698738425926</v>
      </c>
      <c r="F112" s="15">
        <v>42611.705740740741</v>
      </c>
      <c r="G112" s="7">
        <v>1</v>
      </c>
      <c r="H112" s="15" t="s">
        <v>170</v>
      </c>
      <c r="I112" s="15">
        <v>42611.732476851852</v>
      </c>
      <c r="J112" s="7">
        <v>0</v>
      </c>
      <c r="K112" s="132" t="str">
        <f t="shared" si="55"/>
        <v>4003/4004</v>
      </c>
      <c r="L112" s="24" t="str">
        <f>VLOOKUP(A112,'Trips&amp;Operators'!$C$1:$E$10000,3,FALSE)</f>
        <v>SHOOK</v>
      </c>
      <c r="M112" s="6">
        <f t="shared" si="56"/>
        <v>2.6736111110949423E-2</v>
      </c>
      <c r="N112" s="7">
        <f t="shared" si="54"/>
        <v>38.499999999767169</v>
      </c>
      <c r="O112" s="7"/>
      <c r="P112" s="7"/>
      <c r="Q112" s="25"/>
      <c r="R112" s="25"/>
      <c r="S112" s="37">
        <f t="shared" si="57"/>
        <v>1</v>
      </c>
      <c r="T112" s="52" t="str">
        <f t="shared" si="58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15:46:11-0600',mode:absolute,to:'2016-08-29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12" s="54" t="str">
        <f t="shared" si="60"/>
        <v>N</v>
      </c>
      <c r="X112" s="120">
        <f t="shared" si="53"/>
        <v>1</v>
      </c>
      <c r="Y112" s="69">
        <f t="shared" si="61"/>
        <v>23.3064</v>
      </c>
      <c r="Z112" s="69">
        <f t="shared" si="62"/>
        <v>1.52E-2</v>
      </c>
      <c r="AA112" s="69">
        <f t="shared" si="63"/>
        <v>23.2912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64"/>
        <v>0200-29</v>
      </c>
      <c r="AE112" s="99" t="str">
        <f t="shared" si="65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112" s="96" t="str">
        <f t="shared" si="66"/>
        <v>"C:\Program Files (x86)\AstroGrep\AstroGrep.exe" /spath="%USERPROFILE%\AppData\Local\Temp\OnboardLogs" /stypes="*4004*20160829*" /stext=" 23:.+((SYSTEM_STATE.+slice.+state.+changed )|(ment ac)|(system.+state.+changed )|(\|lc)|(penalty)|(\[timeout)|(PRM\|1\|D)|(kpr)|(kdp))" /e /r /s</v>
      </c>
      <c r="AG112" s="1" t="str">
        <f t="shared" si="67"/>
        <v>EC</v>
      </c>
      <c r="AH112" s="100" t="str">
        <f t="shared" si="51"/>
        <v>"%USERPROFILE%\Documents\GitHub\eaglep3\Utilities\RefineRTDCRunTimes.py" --tripid 200-29 --locoid 4004 --swversion DE.1.0.7.0 --startMP 204:233064 --initTime 2016-08-29T16:46:11 --startdatetime 2016-08-29T16:56:16 --delay 1 --endMP 204:152 --enddatetime 2016-08-29T17:34:46 --enforcementcount 0 &gt;&gt;C:\Users\stu\Documents\GitHub\eaglep3-reporting\EC\2016-08-29-refined-times.txt</v>
      </c>
      <c r="AI112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{"issue":{"subject":"","project_id":79,"tracker_id":40,"status_id":1,"priority_id":2,"assigned_to_id":23,"start_date":"2016-08-29","description":"","custom_fields":[{"id":1,"name":"Subdivision","value":"EC"},{"id":4,"name":"Milepost","value":"23.2912"},{"id":17,"name":"Train ID","value":"200-29"},{"id":16,"name":"Locomotive ID","value":"4004"},{"id":130,"name":"Impact","value":""},{"id":150,"name":"Time of Event (Mountain Time)","value":"17:34:46"},{"id":151,"name":"Denver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495</v>
      </c>
      <c r="B113" s="7">
        <v>4007</v>
      </c>
      <c r="C113" s="24" t="s">
        <v>113</v>
      </c>
      <c r="D113" s="24" t="s">
        <v>141</v>
      </c>
      <c r="E113" s="15">
        <v>42611.674027777779</v>
      </c>
      <c r="F113" s="15">
        <v>42611.67728009259</v>
      </c>
      <c r="G113" s="7">
        <v>1</v>
      </c>
      <c r="H113" s="15" t="s">
        <v>285</v>
      </c>
      <c r="I113" s="15">
        <v>42611.703483796293</v>
      </c>
      <c r="J113" s="7">
        <v>0</v>
      </c>
      <c r="K113" s="132" t="str">
        <f t="shared" si="55"/>
        <v>4007/4008</v>
      </c>
      <c r="L113" s="24" t="str">
        <f>VLOOKUP(A113,'Trips&amp;Operators'!$C$1:$E$10000,3,FALSE)</f>
        <v>STEWART</v>
      </c>
      <c r="M113" s="6">
        <f t="shared" si="56"/>
        <v>2.6203703702776693E-2</v>
      </c>
      <c r="N113" s="7">
        <f t="shared" si="54"/>
        <v>37.733333331998438</v>
      </c>
      <c r="O113" s="7"/>
      <c r="P113" s="7"/>
      <c r="Q113" s="25"/>
      <c r="R113" s="25"/>
      <c r="S113" s="37">
        <f t="shared" si="57"/>
        <v>1</v>
      </c>
      <c r="T113" s="52" t="str">
        <f t="shared" si="58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15:10:36-0600',mode:absolute,to:'2016-08-29 17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3" s="54" t="str">
        <f t="shared" si="60"/>
        <v>N</v>
      </c>
      <c r="X113" s="120">
        <f t="shared" si="53"/>
        <v>1</v>
      </c>
      <c r="Y113" s="69">
        <f t="shared" si="61"/>
        <v>4.5699999999999998E-2</v>
      </c>
      <c r="Z113" s="69">
        <f t="shared" si="62"/>
        <v>23.335899999999999</v>
      </c>
      <c r="AA113" s="69">
        <f t="shared" si="63"/>
        <v>23.290199999999999</v>
      </c>
      <c r="AB113" s="66">
        <f>VLOOKUP(A113,Enforcements!$C$7:$J$21,8,0)</f>
        <v>4677</v>
      </c>
      <c r="AC113" s="62" t="str">
        <f>VLOOKUP(A113,Enforcements!$C$7:$E$21,3,0)</f>
        <v>PERMANENT SPEED RESTRICTION</v>
      </c>
      <c r="AD113" s="63" t="str">
        <f t="shared" si="64"/>
        <v>0201-29</v>
      </c>
      <c r="AE113" s="99" t="str">
        <f t="shared" si="65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113" s="96" t="str">
        <f t="shared" si="66"/>
        <v>"C:\Program Files (x86)\AstroGrep\AstroGrep.exe" /spath="%USERPROFILE%\AppData\Local\Temp\OnboardLogs" /stypes="*4007*20160829*" /stext=" 22:.+((SYSTEM_STATE.+slice.+state.+changed )|(ment ac)|(system.+state.+changed )|(\|lc)|(penalty)|(\[timeout)|(PRM\|1\|D)|(kpr)|(kdp))" /e /r /s</v>
      </c>
      <c r="AG113" s="1" t="str">
        <f t="shared" si="67"/>
        <v>EC</v>
      </c>
      <c r="AH113" s="100" t="str">
        <f t="shared" si="51"/>
        <v>"%USERPROFILE%\Documents\GitHub\eaglep3\Utilities\RefineRTDCRunTimes.py" --tripid 201-29 --locoid 4007 --swversion DE.1.0.7.0 --startMP 204:457 --initTime 2016-08-29T16:10:36 --startdatetime 2016-08-29T16:15:17 --delay 1 --endMP 204:233359 --enddatetime 2016-08-29T16:53:01 --enforcementcount 0 &gt;&gt;C:\Users\stu\Documents\GitHub\eaglep3-reporting\EC\2016-08-29-refined-times.txt</v>
      </c>
      <c r="AI113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{"issue":{"subject":"","project_id":79,"tracker_id":40,"status_id":1,"priority_id":2,"assigned_to_id":23,"start_date":"2016-08-29","description":"","custom_fields":[{"id":1,"name":"Subdivision","value":"EC"},{"id":4,"name":"Milepost","value":"23.2902"},{"id":17,"name":"Train ID","value":"201-29"},{"id":16,"name":"Locomotive ID","value":"4007"},{"id":130,"name":"Impact","value":""},{"id":150,"name":"Time of Event (Mountain Time)","value":"16:53:01"},{"id":151,"name":"Denver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507</v>
      </c>
      <c r="B114" s="7">
        <v>4008</v>
      </c>
      <c r="C114" s="24" t="s">
        <v>113</v>
      </c>
      <c r="D114" s="24" t="s">
        <v>134</v>
      </c>
      <c r="E114" s="15">
        <v>42611.714560185188</v>
      </c>
      <c r="F114" s="15">
        <v>42611.716215277775</v>
      </c>
      <c r="G114" s="7">
        <v>1</v>
      </c>
      <c r="H114" s="15" t="s">
        <v>89</v>
      </c>
      <c r="I114" s="15">
        <v>42611.743958333333</v>
      </c>
      <c r="J114" s="7">
        <v>0</v>
      </c>
      <c r="K114" s="132" t="str">
        <f t="shared" si="55"/>
        <v>4007/4008</v>
      </c>
      <c r="L114" s="24" t="str">
        <f>VLOOKUP(A114,'Trips&amp;Operators'!$C$1:$E$10000,3,FALSE)</f>
        <v>LOZA</v>
      </c>
      <c r="M114" s="6">
        <f t="shared" si="56"/>
        <v>2.7743055557948537E-2</v>
      </c>
      <c r="N114" s="7">
        <f t="shared" si="54"/>
        <v>39.950000003445894</v>
      </c>
      <c r="O114" s="7"/>
      <c r="P114" s="7"/>
      <c r="Q114" s="25"/>
      <c r="R114" s="25"/>
      <c r="S114" s="37">
        <f t="shared" si="57"/>
        <v>1</v>
      </c>
      <c r="T114" s="52" t="str">
        <f t="shared" si="58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16:08:58-0600',mode:absolute,to:'2016-08-29 18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4" s="54" t="str">
        <f t="shared" si="60"/>
        <v>N</v>
      </c>
      <c r="X114" s="120">
        <f t="shared" si="53"/>
        <v>1</v>
      </c>
      <c r="Y114" s="69">
        <f t="shared" si="61"/>
        <v>23.299399999999999</v>
      </c>
      <c r="Z114" s="69">
        <f t="shared" si="62"/>
        <v>1.43E-2</v>
      </c>
      <c r="AA114" s="69">
        <f t="shared" si="63"/>
        <v>23.2851</v>
      </c>
      <c r="AB114" s="66">
        <f>VLOOKUP(A114,Enforcements!$C$7:$J$21,8,0)</f>
        <v>224581</v>
      </c>
      <c r="AC114" s="62" t="str">
        <f>VLOOKUP(A114,Enforcements!$C$7:$E$21,3,0)</f>
        <v>PERMANENT SPEED RESTRICTION</v>
      </c>
      <c r="AD114" s="63" t="str">
        <f t="shared" si="64"/>
        <v>0202-29</v>
      </c>
      <c r="AE114" s="99" t="str">
        <f t="shared" si="65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114" s="96" t="str">
        <f t="shared" si="66"/>
        <v>"C:\Program Files (x86)\AstroGrep\AstroGrep.exe" /spath="%USERPROFILE%\AppData\Local\Temp\OnboardLogs" /stypes="*4008*20160829*" /stext=" 23:.+((SYSTEM_STATE.+slice.+state.+changed )|(ment ac)|(system.+state.+changed )|(\|lc)|(penalty)|(\[timeout)|(PRM\|1\|D)|(kpr)|(kdp))" /e /r /s</v>
      </c>
      <c r="AG114" s="1" t="str">
        <f t="shared" si="67"/>
        <v>EC</v>
      </c>
      <c r="AH114" s="100" t="str">
        <f t="shared" si="51"/>
        <v>"%USERPROFILE%\Documents\GitHub\eaglep3\Utilities\RefineRTDCRunTimes.py" --tripid 202-29 --locoid 4008 --swversion DE.1.0.7.0 --startMP 204:232994 --initTime 2016-08-29T17:08:58 --startdatetime 2016-08-29T17:11:21 --delay 1 --endMP 204:143 --enddatetime 2016-08-29T17:51:18 --enforcementcount 0 &gt;&gt;C:\Users\stu\Documents\GitHub\eaglep3-reporting\EC\2016-08-29-refined-times.txt</v>
      </c>
      <c r="AI114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{"issue":{"subject":"","project_id":79,"tracker_id":40,"status_id":1,"priority_id":2,"assigned_to_id":23,"start_date":"2016-08-29","description":"","custom_fields":[{"id":1,"name":"Subdivision","value":"EC"},{"id":4,"name":"Milepost","value":"23.2851"},{"id":17,"name":"Train ID","value":"202-29"},{"id":16,"name":"Locomotive ID","value":"4008"},{"id":130,"name":"Impact","value":""},{"id":150,"name":"Time of Event (Mountain Time)","value":"17:51:18"},{"id":151,"name":"Denver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497</v>
      </c>
      <c r="B115" s="7">
        <v>4029</v>
      </c>
      <c r="C115" s="24" t="s">
        <v>113</v>
      </c>
      <c r="D115" s="24" t="s">
        <v>133</v>
      </c>
      <c r="E115" s="15">
        <v>42611.683611111112</v>
      </c>
      <c r="F115" s="15">
        <v>42611.687858796293</v>
      </c>
      <c r="G115" s="7">
        <v>1</v>
      </c>
      <c r="H115" s="15" t="s">
        <v>189</v>
      </c>
      <c r="I115" s="15">
        <v>42611.713541666664</v>
      </c>
      <c r="J115" s="7">
        <v>0</v>
      </c>
      <c r="K115" s="132" t="str">
        <f t="shared" si="55"/>
        <v>4029/4030</v>
      </c>
      <c r="L115" s="24" t="str">
        <f>VLOOKUP(A115,'Trips&amp;Operators'!$C$1:$E$10000,3,FALSE)</f>
        <v>BARTLETT</v>
      </c>
      <c r="M115" s="6">
        <f t="shared" si="56"/>
        <v>2.5682870371383615E-2</v>
      </c>
      <c r="N115" s="7">
        <f t="shared" si="54"/>
        <v>36.983333334792405</v>
      </c>
      <c r="O115" s="7"/>
      <c r="P115" s="7"/>
      <c r="Q115" s="25"/>
      <c r="R115" s="25"/>
      <c r="S115" s="37">
        <f t="shared" si="57"/>
        <v>1</v>
      </c>
      <c r="T115" s="52" t="str">
        <f t="shared" si="58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15:24:24-0600',mode:absolute,to:'2016-08-29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5" s="54" t="str">
        <f t="shared" si="60"/>
        <v>N</v>
      </c>
      <c r="X115" s="120">
        <f t="shared" si="53"/>
        <v>1</v>
      </c>
      <c r="Y115" s="69">
        <f t="shared" si="61"/>
        <v>4.53E-2</v>
      </c>
      <c r="Z115" s="69">
        <f t="shared" si="62"/>
        <v>23.332699999999999</v>
      </c>
      <c r="AA115" s="69">
        <f t="shared" si="63"/>
        <v>23.287399999999998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64"/>
        <v>0203-29</v>
      </c>
      <c r="AE115" s="99" t="str">
        <f t="shared" si="65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115" s="96" t="str">
        <f t="shared" si="66"/>
        <v>"C:\Program Files (x86)\AstroGrep\AstroGrep.exe" /spath="%USERPROFILE%\AppData\Local\Temp\OnboardLogs" /stypes="*4029*20160829*" /stext=" 23:.+((SYSTEM_STATE.+slice.+state.+changed )|(ment ac)|(system.+state.+changed )|(\|lc)|(penalty)|(\[timeout)|(PRM\|1\|D)|(kpr)|(kdp))" /e /r /s</v>
      </c>
      <c r="AG115" s="1" t="str">
        <f t="shared" si="67"/>
        <v>EC</v>
      </c>
      <c r="AH115" s="100" t="str">
        <f t="shared" si="51"/>
        <v>"%USERPROFILE%\Documents\GitHub\eaglep3\Utilities\RefineRTDCRunTimes.py" --tripid 203-29 --locoid 4029 --swversion DE.1.0.7.0 --startMP 204:453 --initTime 2016-08-29T16:24:24 --startdatetime 2016-08-29T16:30:31 --delay 1 --endMP 204:233327 --enddatetime 2016-08-29T17:07:30 --enforcementcount 0 &gt;&gt;C:\Users\stu\Documents\GitHub\eaglep3-reporting\EC\2016-08-29-refined-times.txt</v>
      </c>
      <c r="AI115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{"issue":{"subject":"","project_id":79,"tracker_id":40,"status_id":1,"priority_id":2,"assigned_to_id":23,"start_date":"2016-08-29","description":"","custom_fields":[{"id":1,"name":"Subdivision","value":"EC"},{"id":4,"name":"Milepost","value":"23.2874"},{"id":17,"name":"Train ID","value":"203-29"},{"id":16,"name":"Locomotive ID","value":"4029"},{"id":130,"name":"Impact","value":""},{"id":150,"name":"Time of Event (Mountain Time)","value":"17:07:30"},{"id":151,"name":"Denver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509</v>
      </c>
      <c r="B116" s="7">
        <v>4030</v>
      </c>
      <c r="C116" s="24" t="s">
        <v>113</v>
      </c>
      <c r="D116" s="24" t="s">
        <v>352</v>
      </c>
      <c r="E116" s="15">
        <v>42611.715416666666</v>
      </c>
      <c r="F116" s="15">
        <v>42611.727326388886</v>
      </c>
      <c r="G116" s="7">
        <v>1</v>
      </c>
      <c r="H116" s="15" t="s">
        <v>170</v>
      </c>
      <c r="I116" s="15">
        <v>42611.755104166667</v>
      </c>
      <c r="J116" s="7">
        <v>0</v>
      </c>
      <c r="K116" s="132" t="str">
        <f t="shared" si="55"/>
        <v>4029/4030</v>
      </c>
      <c r="L116" s="24" t="str">
        <f>VLOOKUP(A116,'Trips&amp;Operators'!$C$1:$E$10000,3,FALSE)</f>
        <v>BARTLETT</v>
      </c>
      <c r="M116" s="6">
        <f t="shared" si="56"/>
        <v>2.7777777781011537E-2</v>
      </c>
      <c r="N116" s="7">
        <f t="shared" si="54"/>
        <v>40.000000004656613</v>
      </c>
      <c r="O116" s="7"/>
      <c r="P116" s="7"/>
      <c r="Q116" s="25"/>
      <c r="R116" s="25"/>
      <c r="S116" s="37">
        <f t="shared" si="57"/>
        <v>1</v>
      </c>
      <c r="T116" s="52" t="str">
        <f t="shared" si="58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16:10:12-0600',mode:absolute,to:'2016-08-29 19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6" s="54" t="str">
        <f t="shared" si="60"/>
        <v>N</v>
      </c>
      <c r="X116" s="120">
        <f t="shared" si="53"/>
        <v>1</v>
      </c>
      <c r="Y116" s="69">
        <f t="shared" si="61"/>
        <v>23.300799999999999</v>
      </c>
      <c r="Z116" s="69">
        <f t="shared" si="62"/>
        <v>1.52E-2</v>
      </c>
      <c r="AA116" s="69">
        <f t="shared" si="63"/>
        <v>23.285599999999999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64"/>
        <v>0204-29</v>
      </c>
      <c r="AE116" s="99" t="str">
        <f t="shared" si="65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116" s="96" t="str">
        <f t="shared" si="66"/>
        <v>"C:\Program Files (x86)\AstroGrep\AstroGrep.exe" /spath="%USERPROFILE%\AppData\Local\Temp\OnboardLogs" /stypes="*4030*20160830*" /stext=" 00:.+((SYSTEM_STATE.+slice.+state.+changed )|(ment ac)|(system.+state.+changed )|(\|lc)|(penalty)|(\[timeout)|(PRM\|1\|D)|(kpr)|(kdp))" /e /r /s</v>
      </c>
      <c r="AG116" s="1" t="str">
        <f t="shared" si="67"/>
        <v>EC</v>
      </c>
      <c r="AH116" s="100" t="str">
        <f t="shared" si="51"/>
        <v>"%USERPROFILE%\Documents\GitHub\eaglep3\Utilities\RefineRTDCRunTimes.py" --tripid 204-29 --locoid 4030 --swversion DE.1.0.7.0 --startMP 204:233008 --initTime 2016-08-29T17:10:12 --startdatetime 2016-08-29T17:27:21 --delay 1 --endMP 204:152 --enddatetime 2016-08-29T18:07:21 --enforcementcount 0 &gt;&gt;C:\Users\stu\Documents\GitHub\eaglep3-reporting\EC\2016-08-29-refined-times.txt</v>
      </c>
      <c r="AI116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{"issue":{"subject":"","project_id":79,"tracker_id":40,"status_id":1,"priority_id":2,"assigned_to_id":23,"start_date":"2016-08-29","description":"","custom_fields":[{"id":1,"name":"Subdivision","value":"EC"},{"id":4,"name":"Milepost","value":"23.2856"},{"id":17,"name":"Train ID","value":"204-29"},{"id":16,"name":"Locomotive ID","value":"4030"},{"id":130,"name":"Impact","value":""},{"id":150,"name":"Time of Event (Mountain Time)","value":"18:07:21"},{"id":151,"name":"Denver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500</v>
      </c>
      <c r="B117" s="7">
        <v>4009</v>
      </c>
      <c r="C117" s="24" t="s">
        <v>113</v>
      </c>
      <c r="D117" s="24" t="s">
        <v>125</v>
      </c>
      <c r="E117" s="15">
        <v>42611.694120370368</v>
      </c>
      <c r="F117" s="15">
        <v>42611.698263888888</v>
      </c>
      <c r="G117" s="7">
        <v>1</v>
      </c>
      <c r="H117" s="15" t="s">
        <v>625</v>
      </c>
      <c r="I117" s="15">
        <v>42611.722939814812</v>
      </c>
      <c r="J117" s="7">
        <v>0</v>
      </c>
      <c r="K117" s="132" t="str">
        <f t="shared" si="55"/>
        <v>4009/4010</v>
      </c>
      <c r="L117" s="24" t="str">
        <f>VLOOKUP(A117,'Trips&amp;Operators'!$C$1:$E$10000,3,FALSE)</f>
        <v>DE LA ROSA</v>
      </c>
      <c r="M117" s="6">
        <f t="shared" si="56"/>
        <v>2.4675925924384501E-2</v>
      </c>
      <c r="N117" s="7">
        <f t="shared" si="54"/>
        <v>35.533333331113681</v>
      </c>
      <c r="O117" s="7"/>
      <c r="P117" s="7"/>
      <c r="Q117" s="25"/>
      <c r="R117" s="25"/>
      <c r="S117" s="37">
        <f t="shared" si="57"/>
        <v>1</v>
      </c>
      <c r="T117" s="52" t="str">
        <f t="shared" si="58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15:39:32-0600',mode:absolute,to:'2016-08-29 18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7" s="54" t="str">
        <f t="shared" si="60"/>
        <v>N</v>
      </c>
      <c r="X117" s="120">
        <f t="shared" si="53"/>
        <v>1</v>
      </c>
      <c r="Y117" s="69">
        <f t="shared" si="61"/>
        <v>4.5499999999999999E-2</v>
      </c>
      <c r="Z117" s="69">
        <f t="shared" si="62"/>
        <v>23.3276</v>
      </c>
      <c r="AA117" s="69">
        <f t="shared" si="63"/>
        <v>23.2821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64"/>
        <v>0205-29</v>
      </c>
      <c r="AE117" s="99" t="str">
        <f t="shared" si="65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117" s="96" t="str">
        <f t="shared" si="66"/>
        <v>"C:\Program Files (x86)\AstroGrep\AstroGrep.exe" /spath="%USERPROFILE%\AppData\Local\Temp\OnboardLogs" /stypes="*4009*20160829*" /stext=" 23:.+((SYSTEM_STATE.+slice.+state.+changed )|(ment ac)|(system.+state.+changed )|(\|lc)|(penalty)|(\[timeout)|(PRM\|1\|D)|(kpr)|(kdp))" /e /r /s</v>
      </c>
      <c r="AG117" s="1" t="str">
        <f t="shared" si="67"/>
        <v>EC</v>
      </c>
      <c r="AH117" s="100" t="str">
        <f t="shared" si="51"/>
        <v>"%USERPROFILE%\Documents\GitHub\eaglep3\Utilities\RefineRTDCRunTimes.py" --tripid 205-29 --locoid 4009 --swversion DE.1.0.7.0 --startMP 204:455 --initTime 2016-08-29T16:39:32 --startdatetime 2016-08-29T16:45:30 --delay 1 --endMP 204:233276 --enddatetime 2016-08-29T17:21:02 --enforcementcount 0 &gt;&gt;C:\Users\stu\Documents\GitHub\eaglep3-reporting\EC\2016-08-29-refined-times.txt</v>
      </c>
      <c r="AI117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{"issue":{"subject":"","project_id":79,"tracker_id":40,"status_id":1,"priority_id":2,"assigned_to_id":23,"start_date":"2016-08-29","description":"","custom_fields":[{"id":1,"name":"Subdivision","value":"EC"},{"id":4,"name":"Milepost","value":"23.2821"},{"id":17,"name":"Train ID","value":"205-29"},{"id":16,"name":"Locomotive ID","value":"4009"},{"id":130,"name":"Impact","value":""},{"id":150,"name":"Time of Event (Mountain Time)","value":"17:21:02"},{"id":151,"name":"Denver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512</v>
      </c>
      <c r="B118" s="7">
        <v>4010</v>
      </c>
      <c r="C118" s="24" t="s">
        <v>113</v>
      </c>
      <c r="D118" s="24" t="s">
        <v>240</v>
      </c>
      <c r="E118" s="15">
        <v>42611.73296296296</v>
      </c>
      <c r="F118" s="15">
        <v>42611.737002314818</v>
      </c>
      <c r="G118" s="7">
        <v>1</v>
      </c>
      <c r="H118" s="15" t="s">
        <v>192</v>
      </c>
      <c r="I118" s="15">
        <v>42611.764247685183</v>
      </c>
      <c r="J118" s="7">
        <v>0</v>
      </c>
      <c r="K118" s="132" t="str">
        <f t="shared" si="55"/>
        <v>4009/4010</v>
      </c>
      <c r="L118" s="24" t="str">
        <f>VLOOKUP(A118,'Trips&amp;Operators'!$C$1:$E$10000,3,FALSE)</f>
        <v>DE LA ROSA</v>
      </c>
      <c r="M118" s="6">
        <f t="shared" si="56"/>
        <v>2.7245370365562849E-2</v>
      </c>
      <c r="N118" s="7">
        <f t="shared" si="54"/>
        <v>39.233333326410502</v>
      </c>
      <c r="O118" s="7"/>
      <c r="P118" s="7"/>
      <c r="Q118" s="25"/>
      <c r="R118" s="25"/>
      <c r="S118" s="37">
        <f t="shared" si="57"/>
        <v>1</v>
      </c>
      <c r="T118" s="52" t="str">
        <f t="shared" si="58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16:35:28-0600',mode:absolute,to:'2016-08-29 19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8" s="54" t="str">
        <f t="shared" si="60"/>
        <v>N</v>
      </c>
      <c r="X118" s="120">
        <f t="shared" si="53"/>
        <v>1</v>
      </c>
      <c r="Y118" s="69">
        <f t="shared" si="61"/>
        <v>23.297699999999999</v>
      </c>
      <c r="Z118" s="69">
        <f t="shared" si="62"/>
        <v>1.3899999999999999E-2</v>
      </c>
      <c r="AA118" s="69">
        <f t="shared" si="63"/>
        <v>23.283799999999999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64"/>
        <v>0206-29</v>
      </c>
      <c r="AE118" s="99" t="str">
        <f t="shared" si="65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118" s="96" t="str">
        <f t="shared" si="66"/>
        <v>"C:\Program Files (x86)\AstroGrep\AstroGrep.exe" /spath="%USERPROFILE%\AppData\Local\Temp\OnboardLogs" /stypes="*4010*20160830*" /stext=" 00:.+((SYSTEM_STATE.+slice.+state.+changed )|(ment ac)|(system.+state.+changed )|(\|lc)|(penalty)|(\[timeout)|(PRM\|1\|D)|(kpr)|(kdp))" /e /r /s</v>
      </c>
      <c r="AG118" s="1" t="str">
        <f t="shared" si="67"/>
        <v>EC</v>
      </c>
      <c r="AH118" s="100" t="str">
        <f t="shared" si="51"/>
        <v>"%USERPROFILE%\Documents\GitHub\eaglep3\Utilities\RefineRTDCRunTimes.py" --tripid 206-29 --locoid 4010 --swversion DE.1.0.7.0 --startMP 204:232977 --initTime 2016-08-29T17:35:28 --startdatetime 2016-08-29T17:41:17 --delay 1 --endMP 204:139 --enddatetime 2016-08-29T18:20:31 --enforcementcount 0 &gt;&gt;C:\Users\stu\Documents\GitHub\eaglep3-reporting\EC\2016-08-29-refined-times.txt</v>
      </c>
      <c r="AI118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{"issue":{"subject":"","project_id":79,"tracker_id":40,"status_id":1,"priority_id":2,"assigned_to_id":23,"start_date":"2016-08-29","description":"","custom_fields":[{"id":1,"name":"Subdivision","value":"EC"},{"id":4,"name":"Milepost","value":"23.2838"},{"id":17,"name":"Train ID","value":"206-29"},{"id":16,"name":"Locomotive ID","value":"4010"},{"id":130,"name":"Impact","value":""},{"id":150,"name":"Time of Event (Mountain Time)","value":"18:20:31"},{"id":151,"name":"Denver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503</v>
      </c>
      <c r="B119" s="7">
        <v>4040</v>
      </c>
      <c r="C119" s="24" t="s">
        <v>113</v>
      </c>
      <c r="D119" s="24" t="s">
        <v>188</v>
      </c>
      <c r="E119" s="15">
        <v>42611.706192129626</v>
      </c>
      <c r="F119" s="15">
        <v>42611.708865740744</v>
      </c>
      <c r="G119" s="7">
        <v>1</v>
      </c>
      <c r="H119" s="15" t="s">
        <v>626</v>
      </c>
      <c r="I119" s="15">
        <v>42611.735381944447</v>
      </c>
      <c r="J119" s="7">
        <v>0</v>
      </c>
      <c r="K119" s="132" t="str">
        <f t="shared" si="55"/>
        <v>4039/4040</v>
      </c>
      <c r="L119" s="24" t="str">
        <f>VLOOKUP(A119,'Trips&amp;Operators'!$C$1:$E$10000,3,FALSE)</f>
        <v>CLARK</v>
      </c>
      <c r="M119" s="6">
        <f t="shared" si="56"/>
        <v>2.6516203703067731E-2</v>
      </c>
      <c r="N119" s="7">
        <f t="shared" si="54"/>
        <v>38.183333332417533</v>
      </c>
      <c r="O119" s="7"/>
      <c r="P119" s="7"/>
      <c r="Q119" s="25"/>
      <c r="R119" s="25"/>
      <c r="S119" s="37">
        <f t="shared" si="57"/>
        <v>1</v>
      </c>
      <c r="T119" s="52" t="str">
        <f t="shared" si="58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15:56:55-0600',mode:absolute,to:'2016-08-29 18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19" s="54" t="str">
        <f t="shared" si="60"/>
        <v>N</v>
      </c>
      <c r="X119" s="120">
        <f t="shared" si="53"/>
        <v>1</v>
      </c>
      <c r="Y119" s="69">
        <f t="shared" si="61"/>
        <v>4.3499999999999997E-2</v>
      </c>
      <c r="Z119" s="69">
        <f t="shared" si="62"/>
        <v>23.332100000000001</v>
      </c>
      <c r="AA119" s="69">
        <f t="shared" si="63"/>
        <v>23.288599999999999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64"/>
        <v>0207-29</v>
      </c>
      <c r="AE119" s="99" t="str">
        <f t="shared" si="65"/>
        <v>aws s3 cp s3://rtdc.mdm.uploadarchive/RTDC4040/2016-08-29/ "%USERPROFILE%\AppData\Local\Temp\OnboardLogs"\RTDC4040\2016-08-29 --recursive &amp; "%USERPROFILE%\Documents\GitHub\mrs-test-scripts\Headless Mode &amp; Sideloading\WalkAndUnGZ.bat" "%USERPROFILE%\AppData\Local\Temp\OnboardLogs"\RTDC4040\2016-08-29 &amp; aws s3 cp s3://rtdc.mdm.uploadarchive/RTDC4040/2016-08-30/ "%USERPROFILE%\AppData\Local\Temp\OnboardLogs"\RTDC4040\2016-08-30 --recursive &amp; "%USERPROFILE%\Documents\GitHub\mrs-test-scripts\Headless Mode &amp; Sideloading\WalkAndUnGZ.bat" "%USERPROFILE%\AppData\Local\Temp\OnboardLogs"\RTDC4040\2016-08-30</v>
      </c>
      <c r="AF119" s="96" t="str">
        <f t="shared" si="66"/>
        <v>"C:\Program Files (x86)\AstroGrep\AstroGrep.exe" /spath="%USERPROFILE%\AppData\Local\Temp\OnboardLogs" /stypes="*4040*20160829*" /stext=" 23:.+((SYSTEM_STATE.+slice.+state.+changed )|(ment ac)|(system.+state.+changed )|(\|lc)|(penalty)|(\[timeout)|(PRM\|1\|D)|(kpr)|(kdp))" /e /r /s</v>
      </c>
      <c r="AG119" s="1" t="str">
        <f t="shared" si="67"/>
        <v>EC</v>
      </c>
      <c r="AH119" s="100" t="str">
        <f t="shared" si="51"/>
        <v>"%USERPROFILE%\Documents\GitHub\eaglep3\Utilities\RefineRTDCRunTimes.py" --tripid 207-29 --locoid 4040 --swversion DE.1.0.7.0 --startMP 204:435 --initTime 2016-08-29T16:56:55 --startdatetime 2016-08-29T17:00:46 --delay 1 --endMP 204:233321 --enddatetime 2016-08-29T17:38:57 --enforcementcount 0 &gt;&gt;C:\Users\stu\Documents\GitHub\eaglep3-reporting\EC\2016-08-29-refined-times.txt</v>
      </c>
      <c r="AI11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{"issue":{"subject":"","project_id":79,"tracker_id":40,"status_id":1,"priority_id":2,"assigned_to_id":23,"start_date":"2016-08-29","description":"","custom_fields":[{"id":1,"name":"Subdivision","value":"EC"},{"id":4,"name":"Milepost","value":"23.2886"},{"id":17,"name":"Train ID","value":"207-29"},{"id":16,"name":"Locomotive ID","value":"4040"},{"id":130,"name":"Impact","value":""},{"id":150,"name":"Time of Event (Mountain Time)","value":"17:38:57"},{"id":151,"name":"Denver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516</v>
      </c>
      <c r="B120" s="7">
        <v>4039</v>
      </c>
      <c r="C120" s="24" t="s">
        <v>113</v>
      </c>
      <c r="D120" s="24" t="s">
        <v>191</v>
      </c>
      <c r="E120" s="15">
        <v>42611.742569444446</v>
      </c>
      <c r="F120" s="15">
        <v>42611.747766203705</v>
      </c>
      <c r="G120" s="7">
        <v>1</v>
      </c>
      <c r="H120" s="15" t="s">
        <v>627</v>
      </c>
      <c r="I120" s="15">
        <v>42611.778182870374</v>
      </c>
      <c r="J120" s="7">
        <v>0</v>
      </c>
      <c r="K120" s="132" t="str">
        <f t="shared" si="55"/>
        <v>4039/4040</v>
      </c>
      <c r="L120" s="24" t="str">
        <f>VLOOKUP(A120,'Trips&amp;Operators'!$C$1:$E$10000,3,FALSE)</f>
        <v>CLARK</v>
      </c>
      <c r="M120" s="6">
        <f t="shared" si="56"/>
        <v>3.0416666668315884E-2</v>
      </c>
      <c r="N120" s="7">
        <f t="shared" si="54"/>
        <v>43.800000002374873</v>
      </c>
      <c r="O120" s="7"/>
      <c r="P120" s="7"/>
      <c r="Q120" s="25"/>
      <c r="R120" s="25"/>
      <c r="S120" s="37">
        <f t="shared" si="57"/>
        <v>1</v>
      </c>
      <c r="T120" s="52" t="str">
        <f t="shared" si="58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16:49:18-0600',mode:absolute,to:'2016-08-29 19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20" s="54" t="str">
        <f t="shared" si="60"/>
        <v>N</v>
      </c>
      <c r="X120" s="120">
        <f t="shared" ref="X120:X138" si="68">VALUE(LEFT(AD120,4))-VALUE(LEFT(AD119,4))</f>
        <v>1</v>
      </c>
      <c r="Y120" s="69">
        <f t="shared" si="61"/>
        <v>23.3</v>
      </c>
      <c r="Z120" s="69">
        <f t="shared" si="62"/>
        <v>1.67E-2</v>
      </c>
      <c r="AA120" s="69">
        <f t="shared" si="63"/>
        <v>23.283300000000001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64"/>
        <v>0208-29</v>
      </c>
      <c r="AE120" s="99" t="str">
        <f t="shared" si="65"/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AF120" s="96" t="str">
        <f t="shared" si="66"/>
        <v>"C:\Program Files (x86)\AstroGrep\AstroGrep.exe" /spath="%USERPROFILE%\AppData\Local\Temp\OnboardLogs" /stypes="*4039*20160830*" /stext=" 00:.+((SYSTEM_STATE.+slice.+state.+changed )|(ment ac)|(system.+state.+changed )|(\|lc)|(penalty)|(\[timeout)|(PRM\|1\|D)|(kpr)|(kdp))" /e /r /s</v>
      </c>
      <c r="AG120" s="1" t="str">
        <f t="shared" si="67"/>
        <v>EC</v>
      </c>
      <c r="AH120" s="100" t="str">
        <f t="shared" si="51"/>
        <v>"%USERPROFILE%\Documents\GitHub\eaglep3\Utilities\RefineRTDCRunTimes.py" --tripid 208-29 --locoid 4039 --swversion DE.1.0.7.0 --startMP 204:233000 --initTime 2016-08-29T17:49:18 --startdatetime 2016-08-29T17:56:47 --delay 1 --endMP 204:167 --enddatetime 2016-08-29T18:40:35 --enforcementcount 0 &gt;&gt;C:\Users\stu\Documents\GitHub\eaglep3-reporting\EC\2016-08-29-refined-times.txt</v>
      </c>
      <c r="AI120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{"issue":{"subject":"","project_id":79,"tracker_id":40,"status_id":1,"priority_id":2,"assigned_to_id":23,"start_date":"2016-08-29","description":"","custom_fields":[{"id":1,"name":"Subdivision","value":"EC"},{"id":4,"name":"Milepost","value":"23.2833"},{"id":17,"name":"Train ID","value":"208-29"},{"id":16,"name":"Locomotive ID","value":"4039"},{"id":130,"name":"Impact","value":""},{"id":150,"name":"Time of Event (Mountain Time)","value":"18:40:35"},{"id":151,"name":"Denver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510</v>
      </c>
      <c r="B121" s="7">
        <v>4031</v>
      </c>
      <c r="C121" s="24" t="s">
        <v>113</v>
      </c>
      <c r="D121" s="24" t="s">
        <v>628</v>
      </c>
      <c r="E121" s="15">
        <v>42611.717893518522</v>
      </c>
      <c r="F121" s="15">
        <v>42611.719490740739</v>
      </c>
      <c r="G121" s="7">
        <v>1</v>
      </c>
      <c r="H121" s="15" t="s">
        <v>629</v>
      </c>
      <c r="I121" s="15">
        <v>42611.744270833333</v>
      </c>
      <c r="J121" s="7">
        <v>0</v>
      </c>
      <c r="K121" s="132" t="str">
        <f t="shared" si="55"/>
        <v>4031/4032</v>
      </c>
      <c r="L121" s="24" t="str">
        <f>VLOOKUP(A121,'Trips&amp;Operators'!$C$1:$E$10000,3,FALSE)</f>
        <v>LEVERE</v>
      </c>
      <c r="M121" s="6">
        <f t="shared" si="56"/>
        <v>2.4780092593573499E-2</v>
      </c>
      <c r="N121" s="7">
        <f t="shared" si="54"/>
        <v>35.683333334745839</v>
      </c>
      <c r="O121" s="7"/>
      <c r="P121" s="7"/>
      <c r="Q121" s="25"/>
      <c r="R121" s="25"/>
      <c r="S121" s="37">
        <f t="shared" si="57"/>
        <v>1</v>
      </c>
      <c r="T121" s="52" t="str">
        <f t="shared" si="58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16:13:46-0600',mode:absolute,to:'2016-08-29 18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1" s="54" t="str">
        <f t="shared" si="60"/>
        <v>N</v>
      </c>
      <c r="X121" s="120">
        <f t="shared" si="68"/>
        <v>1</v>
      </c>
      <c r="Y121" s="69">
        <f t="shared" si="61"/>
        <v>4.9299999999999997E-2</v>
      </c>
      <c r="Z121" s="69">
        <f t="shared" si="62"/>
        <v>23.3307</v>
      </c>
      <c r="AA121" s="69">
        <f t="shared" si="63"/>
        <v>23.281400000000001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64"/>
        <v>0209-29</v>
      </c>
      <c r="AE121" s="99" t="str">
        <f t="shared" si="65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121" s="96" t="str">
        <f t="shared" si="66"/>
        <v>"C:\Program Files (x86)\AstroGrep\AstroGrep.exe" /spath="%USERPROFILE%\AppData\Local\Temp\OnboardLogs" /stypes="*4031*20160829*" /stext=" 23:.+((SYSTEM_STATE.+slice.+state.+changed )|(ment ac)|(system.+state.+changed )|(\|lc)|(penalty)|(\[timeout)|(PRM\|1\|D)|(kpr)|(kdp))" /e /r /s</v>
      </c>
      <c r="AG121" s="1" t="str">
        <f t="shared" si="67"/>
        <v>EC</v>
      </c>
      <c r="AH121" s="100" t="str">
        <f t="shared" si="51"/>
        <v>"%USERPROFILE%\Documents\GitHub\eaglep3\Utilities\RefineRTDCRunTimes.py" --tripid 209-29 --locoid 4031 --swversion DE.1.0.7.0 --startMP 204:493 --initTime 2016-08-29T17:13:46 --startdatetime 2016-08-29T17:16:04 --delay 1 --endMP 204:233307 --enddatetime 2016-08-29T17:51:45 --enforcementcount 0 &gt;&gt;C:\Users\stu\Documents\GitHub\eaglep3-reporting\EC\2016-08-29-refined-times.txt</v>
      </c>
      <c r="AI121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{"issue":{"subject":"","project_id":79,"tracker_id":40,"status_id":1,"priority_id":2,"assigned_to_id":23,"start_date":"2016-08-29","description":"","custom_fields":[{"id":1,"name":"Subdivision","value":"EC"},{"id":4,"name":"Milepost","value":"23.2814"},{"id":17,"name":"Train ID","value":"209-29"},{"id":16,"name":"Locomotive ID","value":"4031"},{"id":130,"name":"Impact","value":""},{"id":150,"name":"Time of Event (Mountain Time)","value":"17:51:45"},{"id":151,"name":"Denver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521</v>
      </c>
      <c r="B122" s="7">
        <v>4032</v>
      </c>
      <c r="C122" s="24" t="s">
        <v>113</v>
      </c>
      <c r="D122" s="24" t="s">
        <v>630</v>
      </c>
      <c r="E122" s="15">
        <v>42611.751354166663</v>
      </c>
      <c r="F122" s="15">
        <v>42611.757939814815</v>
      </c>
      <c r="G122" s="7">
        <v>1</v>
      </c>
      <c r="H122" s="15" t="s">
        <v>89</v>
      </c>
      <c r="I122" s="15">
        <v>42611.78429398148</v>
      </c>
      <c r="J122" s="7">
        <v>0</v>
      </c>
      <c r="K122" s="132" t="str">
        <f t="shared" si="55"/>
        <v>4031/4032</v>
      </c>
      <c r="L122" s="24" t="str">
        <f>VLOOKUP(A122,'Trips&amp;Operators'!$C$1:$E$10000,3,FALSE)</f>
        <v>LEVERE</v>
      </c>
      <c r="M122" s="6">
        <f t="shared" si="56"/>
        <v>2.6354166664532386E-2</v>
      </c>
      <c r="N122" s="7">
        <f t="shared" si="54"/>
        <v>37.949999996926636</v>
      </c>
      <c r="O122" s="7"/>
      <c r="P122" s="7"/>
      <c r="Q122" s="25"/>
      <c r="R122" s="25"/>
      <c r="S122" s="37">
        <f t="shared" si="57"/>
        <v>1</v>
      </c>
      <c r="T122" s="52" t="str">
        <f t="shared" si="58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17:01:57-0600',mode:absolute,to:'2016-08-29 19:49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2" s="54" t="str">
        <f t="shared" si="60"/>
        <v>N</v>
      </c>
      <c r="X122" s="120">
        <f t="shared" si="68"/>
        <v>1</v>
      </c>
      <c r="Y122" s="69">
        <f t="shared" si="61"/>
        <v>23.298200000000001</v>
      </c>
      <c r="Z122" s="69">
        <f t="shared" si="62"/>
        <v>1.43E-2</v>
      </c>
      <c r="AA122" s="69">
        <f t="shared" si="63"/>
        <v>23.283900000000003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64"/>
        <v>0210-29</v>
      </c>
      <c r="AE122" s="99" t="str">
        <f t="shared" si="65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122" s="96" t="str">
        <f t="shared" si="66"/>
        <v>"C:\Program Files (x86)\AstroGrep\AstroGrep.exe" /spath="%USERPROFILE%\AppData\Local\Temp\OnboardLogs" /stypes="*4032*20160830*" /stext=" 00:.+((SYSTEM_STATE.+slice.+state.+changed )|(ment ac)|(system.+state.+changed )|(\|lc)|(penalty)|(\[timeout)|(PRM\|1\|D)|(kpr)|(kdp))" /e /r /s</v>
      </c>
      <c r="AG122" s="1" t="str">
        <f t="shared" si="67"/>
        <v>EC</v>
      </c>
      <c r="AH122" s="100" t="str">
        <f t="shared" si="51"/>
        <v>"%USERPROFILE%\Documents\GitHub\eaglep3\Utilities\RefineRTDCRunTimes.py" --tripid 210-29 --locoid 4032 --swversion DE.1.0.7.0 --startMP 204:232982 --initTime 2016-08-29T18:01:57 --startdatetime 2016-08-29T18:11:26 --delay 1 --endMP 204:143 --enddatetime 2016-08-29T18:49:23 --enforcementcount 0 &gt;&gt;C:\Users\stu\Documents\GitHub\eaglep3-reporting\EC\2016-08-29-refined-times.txt</v>
      </c>
      <c r="AI122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{"issue":{"subject":"","project_id":79,"tracker_id":40,"status_id":1,"priority_id":2,"assigned_to_id":23,"start_date":"2016-08-29","description":"","custom_fields":[{"id":1,"name":"Subdivision","value":"EC"},{"id":4,"name":"Milepost","value":"23.2839"},{"id":17,"name":"Train ID","value":"210-29"},{"id":16,"name":"Locomotive ID","value":"4032"},{"id":130,"name":"Impact","value":""},{"id":150,"name":"Time of Event (Mountain Time)","value":"18:49:23"},{"id":151,"name":"Denver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511</v>
      </c>
      <c r="B123" s="7">
        <v>4027</v>
      </c>
      <c r="C123" s="24" t="s">
        <v>113</v>
      </c>
      <c r="D123" s="24" t="s">
        <v>356</v>
      </c>
      <c r="E123" s="15">
        <v>42611.727685185186</v>
      </c>
      <c r="F123" s="15">
        <v>42611.729768518519</v>
      </c>
      <c r="G123" s="7">
        <v>1</v>
      </c>
      <c r="H123" s="15" t="s">
        <v>631</v>
      </c>
      <c r="I123" s="15">
        <v>42611.756990740738</v>
      </c>
      <c r="J123" s="7">
        <v>0</v>
      </c>
      <c r="K123" s="132" t="str">
        <f t="shared" si="55"/>
        <v>4027/4028</v>
      </c>
      <c r="L123" s="24" t="str">
        <f>VLOOKUP(A123,'Trips&amp;Operators'!$C$1:$E$10000,3,FALSE)</f>
        <v>YOUNG</v>
      </c>
      <c r="M123" s="6">
        <f t="shared" si="56"/>
        <v>2.7222222219279502E-2</v>
      </c>
      <c r="N123" s="7">
        <f t="shared" si="54"/>
        <v>39.199999995762482</v>
      </c>
      <c r="O123" s="7"/>
      <c r="P123" s="7"/>
      <c r="Q123" s="25"/>
      <c r="R123" s="25"/>
      <c r="S123" s="37">
        <f t="shared" si="57"/>
        <v>1</v>
      </c>
      <c r="T123" s="52" t="str">
        <f t="shared" si="58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16:27:52-0600',mode:absolute,to:'2016-08-29 19:10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3" s="54" t="str">
        <f t="shared" si="60"/>
        <v>N</v>
      </c>
      <c r="X123" s="120">
        <f t="shared" si="68"/>
        <v>1</v>
      </c>
      <c r="Y123" s="69">
        <f t="shared" si="61"/>
        <v>4.4600000000000001E-2</v>
      </c>
      <c r="Z123" s="69">
        <f t="shared" si="62"/>
        <v>23.333600000000001</v>
      </c>
      <c r="AA123" s="69">
        <f t="shared" si="63"/>
        <v>23.289000000000001</v>
      </c>
      <c r="AB123" s="66">
        <f>VLOOKUP(A123,Enforcements!$C$7:$J$21,8,0)</f>
        <v>230436</v>
      </c>
      <c r="AC123" s="62" t="str">
        <f>VLOOKUP(A123,Enforcements!$C$7:$E$21,3,0)</f>
        <v>PERMANENT SPEED RESTRICTION</v>
      </c>
      <c r="AD123" s="63" t="str">
        <f t="shared" si="64"/>
        <v>0211-29</v>
      </c>
      <c r="AE123" s="99" t="str">
        <f t="shared" si="65"/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AF123" s="96" t="str">
        <f t="shared" si="66"/>
        <v>"C:\Program Files (x86)\AstroGrep\AstroGrep.exe" /spath="%USERPROFILE%\AppData\Local\Temp\OnboardLogs" /stypes="*4027*20160830*" /stext=" 00:.+((SYSTEM_STATE.+slice.+state.+changed )|(ment ac)|(system.+state.+changed )|(\|lc)|(penalty)|(\[timeout)|(PRM\|1\|D)|(kpr)|(kdp))" /e /r /s</v>
      </c>
      <c r="AG123" s="1" t="str">
        <f t="shared" si="67"/>
        <v>EC</v>
      </c>
      <c r="AH123" s="100" t="str">
        <f t="shared" si="51"/>
        <v>"%USERPROFILE%\Documents\GitHub\eaglep3\Utilities\RefineRTDCRunTimes.py" --tripid 211-29 --locoid 4027 --swversion DE.1.0.7.0 --startMP 204:446 --initTime 2016-08-29T17:27:52 --startdatetime 2016-08-29T17:30:52 --delay 1 --endMP 204:233336 --enddatetime 2016-08-29T18:10:04 --enforcementcount 0 &gt;&gt;C:\Users\stu\Documents\GitHub\eaglep3-reporting\EC\2016-08-29-refined-times.txt</v>
      </c>
      <c r="AI123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{"issue":{"subject":"","project_id":79,"tracker_id":40,"status_id":1,"priority_id":2,"assigned_to_id":23,"start_date":"2016-08-29","description":"","custom_fields":[{"id":1,"name":"Subdivision","value":"EC"},{"id":4,"name":"Milepost","value":"23.289"},{"id":17,"name":"Train ID","value":"211-29"},{"id":16,"name":"Locomotive ID","value":"4027"},{"id":130,"name":"Impact","value":""},{"id":150,"name":"Time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525</v>
      </c>
      <c r="B124" s="7">
        <v>4028</v>
      </c>
      <c r="C124" s="24" t="s">
        <v>113</v>
      </c>
      <c r="D124" s="24" t="s">
        <v>283</v>
      </c>
      <c r="E124" s="15">
        <v>42611.760335648149</v>
      </c>
      <c r="F124" s="15">
        <v>42611.768437500003</v>
      </c>
      <c r="G124" s="7">
        <v>2</v>
      </c>
      <c r="H124" s="15" t="s">
        <v>238</v>
      </c>
      <c r="I124" s="15">
        <v>42611.796736111108</v>
      </c>
      <c r="J124" s="7">
        <v>0</v>
      </c>
      <c r="K124" s="132" t="str">
        <f t="shared" si="55"/>
        <v>4027/4028</v>
      </c>
      <c r="L124" s="24" t="str">
        <f>VLOOKUP(A124,'Trips&amp;Operators'!$C$1:$E$10000,3,FALSE)</f>
        <v>YOUNG</v>
      </c>
      <c r="M124" s="6">
        <f t="shared" si="56"/>
        <v>2.8298611105128657E-2</v>
      </c>
      <c r="N124" s="7">
        <f t="shared" si="54"/>
        <v>40.749999991385266</v>
      </c>
      <c r="O124" s="7"/>
      <c r="P124" s="7"/>
      <c r="Q124" s="25"/>
      <c r="R124" s="25"/>
      <c r="S124" s="37">
        <f t="shared" si="57"/>
        <v>1</v>
      </c>
      <c r="T124" s="52" t="str">
        <f t="shared" si="58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17:14:53-0600',mode:absolute,to:'2016-08-29 20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4" s="54" t="str">
        <f t="shared" si="60"/>
        <v>N</v>
      </c>
      <c r="X124" s="120">
        <f t="shared" si="68"/>
        <v>1</v>
      </c>
      <c r="Y124" s="69">
        <f t="shared" si="61"/>
        <v>23.3034</v>
      </c>
      <c r="Z124" s="69">
        <f t="shared" si="62"/>
        <v>1.2999999999999999E-2</v>
      </c>
      <c r="AA124" s="69">
        <f t="shared" si="63"/>
        <v>23.290399999999998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64"/>
        <v>0212-29</v>
      </c>
      <c r="AE124" s="99" t="str">
        <f t="shared" si="65"/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AF124" s="96" t="str">
        <f t="shared" si="66"/>
        <v>"C:\Program Files (x86)\AstroGrep\AstroGrep.exe" /spath="%USERPROFILE%\AppData\Local\Temp\OnboardLogs" /stypes="*4028*20160830*" /stext=" 01:.+((SYSTEM_STATE.+slice.+state.+changed )|(ment ac)|(system.+state.+changed )|(\|lc)|(penalty)|(\[timeout)|(PRM\|1\|D)|(kpr)|(kdp))" /e /r /s</v>
      </c>
      <c r="AG124" s="1" t="str">
        <f t="shared" si="67"/>
        <v>EC</v>
      </c>
      <c r="AH124" s="100" t="str">
        <f t="shared" si="51"/>
        <v>"%USERPROFILE%\Documents\GitHub\eaglep3\Utilities\RefineRTDCRunTimes.py" --tripid 212-29 --locoid 4028 --swversion DE.1.0.7.0 --startMP 204:233034 --initTime 2016-08-29T18:14:53 --startdatetime 2016-08-29T18:26:33 --delay 2 --endMP 204:130 --enddatetime 2016-08-29T19:07:18 --enforcementcount 0 &gt;&gt;C:\Users\stu\Documents\GitHub\eaglep3-reporting\EC\2016-08-29-refined-times.txt</v>
      </c>
      <c r="AI124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{"issue":{"subject":"","project_id":79,"tracker_id":40,"status_id":1,"priority_id":2,"assigned_to_id":23,"start_date":"2016-08-29","description":"","custom_fields":[{"id":1,"name":"Subdivision","value":"EC"},{"id":4,"name":"Milepost","value":"23.2904"},{"id":17,"name":"Train ID","value":"212-29"},{"id":16,"name":"Locomotive ID","value":"4028"},{"id":130,"name":"Impact","value":""},{"id":150,"name":"Time of Event (Mountain Time)","value":"19:07:18"},{"id":151,"name":"Denver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514</v>
      </c>
      <c r="B125" s="7">
        <v>4003</v>
      </c>
      <c r="C125" s="24" t="s">
        <v>113</v>
      </c>
      <c r="D125" s="24" t="s">
        <v>109</v>
      </c>
      <c r="E125" s="15">
        <v>42611.735208333332</v>
      </c>
      <c r="F125" s="15">
        <v>42611.739861111113</v>
      </c>
      <c r="G125" s="7">
        <v>1</v>
      </c>
      <c r="H125" s="15" t="s">
        <v>244</v>
      </c>
      <c r="I125" s="15">
        <v>42611.764444444445</v>
      </c>
      <c r="J125" s="7">
        <v>0</v>
      </c>
      <c r="K125" s="132" t="str">
        <f t="shared" si="55"/>
        <v>4003/4004</v>
      </c>
      <c r="L125" s="24" t="str">
        <f>VLOOKUP(A125,'Trips&amp;Operators'!$C$1:$E$10000,3,FALSE)</f>
        <v>NEWELL</v>
      </c>
      <c r="M125" s="6">
        <f t="shared" si="56"/>
        <v>2.4583333331975155E-2</v>
      </c>
      <c r="N125" s="7">
        <f t="shared" si="54"/>
        <v>35.399999998044223</v>
      </c>
      <c r="O125" s="7"/>
      <c r="P125" s="7"/>
      <c r="Q125" s="25"/>
      <c r="R125" s="25"/>
      <c r="S125" s="37">
        <f t="shared" si="57"/>
        <v>1</v>
      </c>
      <c r="T125" s="52" t="str">
        <f t="shared" si="58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16:38:42-0600',mode:absolute,to:'2016-08-29 19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25" s="54" t="str">
        <f t="shared" si="60"/>
        <v>N</v>
      </c>
      <c r="X125" s="120">
        <f t="shared" si="68"/>
        <v>1</v>
      </c>
      <c r="Y125" s="69">
        <f t="shared" si="61"/>
        <v>4.6199999999999998E-2</v>
      </c>
      <c r="Z125" s="69">
        <f t="shared" si="62"/>
        <v>23.330100000000002</v>
      </c>
      <c r="AA125" s="69">
        <f t="shared" si="63"/>
        <v>23.283900000000003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64"/>
        <v>0213-29</v>
      </c>
      <c r="AE125" s="99" t="str">
        <f t="shared" si="65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125" s="96" t="str">
        <f t="shared" si="66"/>
        <v>"C:\Program Files (x86)\AstroGrep\AstroGrep.exe" /spath="%USERPROFILE%\AppData\Local\Temp\OnboardLogs" /stypes="*4003*20160830*" /stext=" 00:.+((SYSTEM_STATE.+slice.+state.+changed )|(ment ac)|(system.+state.+changed )|(\|lc)|(penalty)|(\[timeout)|(PRM\|1\|D)|(kpr)|(kdp))" /e /r /s</v>
      </c>
      <c r="AG125" s="1" t="str">
        <f t="shared" si="67"/>
        <v>EC</v>
      </c>
      <c r="AH125" s="100" t="str">
        <f t="shared" si="51"/>
        <v>"%USERPROFILE%\Documents\GitHub\eaglep3\Utilities\RefineRTDCRunTimes.py" --tripid 213-29 --locoid 4003 --swversion DE.1.0.7.0 --startMP 204:462 --initTime 2016-08-29T17:38:42 --startdatetime 2016-08-29T17:45:24 --delay 1 --endMP 204:233301 --enddatetime 2016-08-29T18:20:48 --enforcementcount 0 &gt;&gt;C:\Users\stu\Documents\GitHub\eaglep3-reporting\EC\2016-08-29-refined-times.txt</v>
      </c>
      <c r="AI125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{"issue":{"subject":"","project_id":79,"tracker_id":40,"status_id":1,"priority_id":2,"assigned_to_id":23,"start_date":"2016-08-29","description":"","custom_fields":[{"id":1,"name":"Subdivision","value":"EC"},{"id":4,"name":"Milepost","value":"23.2839"},{"id":17,"name":"Train ID","value":"213-29"},{"id":16,"name":"Locomotive ID","value":"4003"},{"id":130,"name":"Impact","value":""},{"id":150,"name":"Time of Event (Mountain Time)","value":"18:20:48"},{"id":151,"name":"Denver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529</v>
      </c>
      <c r="B126" s="7">
        <v>4004</v>
      </c>
      <c r="C126" s="24" t="s">
        <v>113</v>
      </c>
      <c r="D126" s="24" t="s">
        <v>270</v>
      </c>
      <c r="E126" s="15">
        <v>42611.766608796293</v>
      </c>
      <c r="F126" s="15">
        <v>42611.778657407405</v>
      </c>
      <c r="G126" s="7">
        <v>1</v>
      </c>
      <c r="H126" s="15" t="s">
        <v>192</v>
      </c>
      <c r="I126" s="15">
        <v>42611.805590277778</v>
      </c>
      <c r="J126" s="7">
        <v>0</v>
      </c>
      <c r="K126" s="132" t="str">
        <f t="shared" si="55"/>
        <v>4003/4004</v>
      </c>
      <c r="L126" s="24" t="str">
        <f>VLOOKUP(A126,'Trips&amp;Operators'!$C$1:$E$10000,3,FALSE)</f>
        <v>NEWELL</v>
      </c>
      <c r="M126" s="6">
        <f t="shared" si="56"/>
        <v>2.6932870372547768E-2</v>
      </c>
      <c r="N126" s="7">
        <f t="shared" si="54"/>
        <v>38.783333336468786</v>
      </c>
      <c r="O126" s="7"/>
      <c r="P126" s="7"/>
      <c r="Q126" s="25"/>
      <c r="R126" s="25"/>
      <c r="S126" s="37">
        <f t="shared" si="57"/>
        <v>1</v>
      </c>
      <c r="T126" s="52" t="str">
        <f t="shared" si="58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17:23:55-0600',mode:absolute,to:'2016-08-29 20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26" s="54" t="str">
        <f t="shared" si="60"/>
        <v>N</v>
      </c>
      <c r="X126" s="120">
        <f t="shared" si="68"/>
        <v>1</v>
      </c>
      <c r="Y126" s="69">
        <f t="shared" si="61"/>
        <v>23.2988</v>
      </c>
      <c r="Z126" s="69">
        <f t="shared" si="62"/>
        <v>1.3899999999999999E-2</v>
      </c>
      <c r="AA126" s="69">
        <f t="shared" si="63"/>
        <v>23.2849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64"/>
        <v>0214-29</v>
      </c>
      <c r="AE126" s="99" t="str">
        <f t="shared" si="65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126" s="96" t="str">
        <f t="shared" si="66"/>
        <v>"C:\Program Files (x86)\AstroGrep\AstroGrep.exe" /spath="%USERPROFILE%\AppData\Local\Temp\OnboardLogs" /stypes="*4004*20160830*" /stext=" 01:.+((SYSTEM_STATE.+slice.+state.+changed )|(ment ac)|(system.+state.+changed )|(\|lc)|(penalty)|(\[timeout)|(PRM\|1\|D)|(kpr)|(kdp))" /e /r /s</v>
      </c>
      <c r="AG126" s="1" t="str">
        <f t="shared" si="67"/>
        <v>EC</v>
      </c>
      <c r="AH126" s="100" t="str">
        <f t="shared" si="51"/>
        <v>"%USERPROFILE%\Documents\GitHub\eaglep3\Utilities\RefineRTDCRunTimes.py" --tripid 214-29 --locoid 4004 --swversion DE.1.0.7.0 --startMP 204:232988 --initTime 2016-08-29T18:23:55 --startdatetime 2016-08-29T18:41:16 --delay 1 --endMP 204:139 --enddatetime 2016-08-29T19:20:03 --enforcementcount 0 &gt;&gt;C:\Users\stu\Documents\GitHub\eaglep3-reporting\EC\2016-08-29-refined-times.txt</v>
      </c>
      <c r="AI126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{"issue":{"subject":"","project_id":79,"tracker_id":40,"status_id":1,"priority_id":2,"assigned_to_id":23,"start_date":"2016-08-29","description":"","custom_fields":[{"id":1,"name":"Subdivision","value":"EC"},{"id":4,"name":"Milepost","value":"23.2849"},{"id":17,"name":"Train ID","value":"214-29"},{"id":16,"name":"Locomotive ID","value":"4004"},{"id":130,"name":"Impact","value":""},{"id":150,"name":"Time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517</v>
      </c>
      <c r="B127" s="7">
        <v>4007</v>
      </c>
      <c r="C127" s="24" t="s">
        <v>113</v>
      </c>
      <c r="D127" s="24" t="s">
        <v>278</v>
      </c>
      <c r="E127" s="15">
        <v>42611.745625000003</v>
      </c>
      <c r="F127" s="15">
        <v>42611.750173611108</v>
      </c>
      <c r="G127" s="7">
        <v>2</v>
      </c>
      <c r="H127" s="15" t="s">
        <v>354</v>
      </c>
      <c r="I127" s="15">
        <v>42611.775706018518</v>
      </c>
      <c r="J127" s="7">
        <v>0</v>
      </c>
      <c r="K127" s="132" t="str">
        <f t="shared" si="55"/>
        <v>4007/4008</v>
      </c>
      <c r="L127" s="24" t="str">
        <f>VLOOKUP(A127,'Trips&amp;Operators'!$C$1:$E$10000,3,FALSE)</f>
        <v>SHOOK</v>
      </c>
      <c r="M127" s="6">
        <f t="shared" si="56"/>
        <v>2.5532407409627922E-2</v>
      </c>
      <c r="N127" s="7">
        <f t="shared" si="54"/>
        <v>36.766666669864208</v>
      </c>
      <c r="O127" s="7"/>
      <c r="P127" s="7"/>
      <c r="Q127" s="25"/>
      <c r="R127" s="25"/>
      <c r="S127" s="37">
        <f t="shared" si="57"/>
        <v>1</v>
      </c>
      <c r="T127" s="52" t="str">
        <f t="shared" si="58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16:53:42-0600',mode:absolute,to:'2016-08-29 19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27" s="54" t="str">
        <f t="shared" si="60"/>
        <v>N</v>
      </c>
      <c r="X127" s="120">
        <f t="shared" si="68"/>
        <v>1</v>
      </c>
      <c r="Y127" s="69">
        <f t="shared" si="61"/>
        <v>4.6600000000000003E-2</v>
      </c>
      <c r="Z127" s="69">
        <f t="shared" si="62"/>
        <v>23.334399999999999</v>
      </c>
      <c r="AA127" s="69">
        <f t="shared" si="63"/>
        <v>23.287799999999997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64"/>
        <v>0215-29</v>
      </c>
      <c r="AE127" s="99" t="str">
        <f t="shared" si="65"/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AF127" s="96" t="str">
        <f t="shared" si="66"/>
        <v>"C:\Program Files (x86)\AstroGrep\AstroGrep.exe" /spath="%USERPROFILE%\AppData\Local\Temp\OnboardLogs" /stypes="*4007*20160830*" /stext=" 00:.+((SYSTEM_STATE.+slice.+state.+changed )|(ment ac)|(system.+state.+changed )|(\|lc)|(penalty)|(\[timeout)|(PRM\|1\|D)|(kpr)|(kdp))" /e /r /s</v>
      </c>
      <c r="AG127" s="1" t="str">
        <f t="shared" si="67"/>
        <v>EC</v>
      </c>
      <c r="AH127" s="100" t="str">
        <f t="shared" si="51"/>
        <v>"%USERPROFILE%\Documents\GitHub\eaglep3\Utilities\RefineRTDCRunTimes.py" --tripid 215-29 --locoid 4007 --swversion DE.1.0.7.0 --startMP 204:466 --initTime 2016-08-29T17:53:42 --startdatetime 2016-08-29T18:00:15 --delay 2 --endMP 204:233344 --enddatetime 2016-08-29T18:37:01 --enforcementcount 0 &gt;&gt;C:\Users\stu\Documents\GitHub\eaglep3-reporting\EC\2016-08-29-refined-times.txt</v>
      </c>
      <c r="AI127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{"issue":{"subject":"","project_id":79,"tracker_id":40,"status_id":1,"priority_id":2,"assigned_to_id":23,"start_date":"2016-08-29","description":"","custom_fields":[{"id":1,"name":"Subdivision","value":"EC"},{"id":4,"name":"Milepost","value":"23.2878"},{"id":17,"name":"Train ID","value":"215-29"},{"id":16,"name":"Locomotive ID","value":"4007"},{"id":130,"name":"Impact","value":""},{"id":150,"name":"Time of Event (Mountain Time)","value":"18:37:01"},{"id":151,"name":"Denver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532</v>
      </c>
      <c r="B128" s="7">
        <v>4008</v>
      </c>
      <c r="C128" s="24" t="s">
        <v>113</v>
      </c>
      <c r="D128" s="24" t="s">
        <v>325</v>
      </c>
      <c r="E128" s="15">
        <v>42611.783935185187</v>
      </c>
      <c r="F128" s="15">
        <v>42611.789097222223</v>
      </c>
      <c r="G128" s="7">
        <v>1</v>
      </c>
      <c r="H128" s="15" t="s">
        <v>154</v>
      </c>
      <c r="I128" s="15">
        <v>42611.816770833335</v>
      </c>
      <c r="J128" s="7">
        <v>0</v>
      </c>
      <c r="K128" s="132" t="str">
        <f t="shared" si="55"/>
        <v>4007/4008</v>
      </c>
      <c r="L128" s="24" t="str">
        <f>VLOOKUP(A128,'Trips&amp;Operators'!$C$1:$E$10000,3,FALSE)</f>
        <v>SHOOK</v>
      </c>
      <c r="M128" s="6">
        <f t="shared" si="56"/>
        <v>2.7673611111822538E-2</v>
      </c>
      <c r="N128" s="7">
        <f t="shared" si="54"/>
        <v>39.850000001024455</v>
      </c>
      <c r="O128" s="7"/>
      <c r="P128" s="7"/>
      <c r="Q128" s="25"/>
      <c r="R128" s="25"/>
      <c r="S128" s="37">
        <f t="shared" si="57"/>
        <v>1</v>
      </c>
      <c r="T128" s="52" t="str">
        <f t="shared" si="58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17:48:52-0600',mode:absolute,to:'2016-08-29 20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28" s="54" t="str">
        <f t="shared" si="60"/>
        <v>N</v>
      </c>
      <c r="X128" s="120">
        <f t="shared" si="68"/>
        <v>1</v>
      </c>
      <c r="Y128" s="69">
        <f t="shared" si="61"/>
        <v>23.303599999999999</v>
      </c>
      <c r="Z128" s="69">
        <f t="shared" si="62"/>
        <v>1.54E-2</v>
      </c>
      <c r="AA128" s="69">
        <f t="shared" si="63"/>
        <v>23.2882</v>
      </c>
      <c r="AB128" s="66">
        <f>VLOOKUP(A128,Enforcements!$C$7:$J$21,8,0)</f>
        <v>42961</v>
      </c>
      <c r="AC128" s="62" t="str">
        <f>VLOOKUP(A128,Enforcements!$C$7:$E$21,3,0)</f>
        <v>GRADE CROSSING</v>
      </c>
      <c r="AD128" s="63" t="str">
        <f t="shared" si="64"/>
        <v>0216-29</v>
      </c>
      <c r="AE128" s="99" t="str">
        <f t="shared" si="65"/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AF128" s="96" t="str">
        <f t="shared" si="66"/>
        <v>"C:\Program Files (x86)\AstroGrep\AstroGrep.exe" /spath="%USERPROFILE%\AppData\Local\Temp\OnboardLogs" /stypes="*4008*20160830*" /stext=" 01:.+((SYSTEM_STATE.+slice.+state.+changed )|(ment ac)|(system.+state.+changed )|(\|lc)|(penalty)|(\[timeout)|(PRM\|1\|D)|(kpr)|(kdp))" /e /r /s</v>
      </c>
      <c r="AG128" s="1" t="str">
        <f t="shared" si="67"/>
        <v>EC</v>
      </c>
      <c r="AH128" s="100" t="str">
        <f t="shared" si="51"/>
        <v>"%USERPROFILE%\Documents\GitHub\eaglep3\Utilities\RefineRTDCRunTimes.py" --tripid 216-29 --locoid 4008 --swversion DE.1.0.7.0 --startMP 204:233036 --initTime 2016-08-29T18:48:52 --startdatetime 2016-08-29T18:56:18 --delay 1 --endMP 204:154 --enddatetime 2016-08-29T19:36:09 --enforcementcount 0 &gt;&gt;C:\Users\stu\Documents\GitHub\eaglep3-reporting\EC\2016-08-29-refined-times.txt</v>
      </c>
      <c r="AI128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{"issue":{"subject":"","project_id":79,"tracker_id":40,"status_id":1,"priority_id":2,"assigned_to_id":23,"start_date":"2016-08-29","description":"","custom_fields":[{"id":1,"name":"Subdivision","value":"EC"},{"id":4,"name":"Milepost","value":"23.2882"},{"id":17,"name":"Train ID","value":"216-29"},{"id":16,"name":"Locomotive ID","value":"4008"},{"id":130,"name":"Impact","value":""},{"id":150,"name":"Time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524</v>
      </c>
      <c r="B129" s="7">
        <v>4029</v>
      </c>
      <c r="C129" s="24" t="s">
        <v>113</v>
      </c>
      <c r="D129" s="24" t="s">
        <v>271</v>
      </c>
      <c r="E129" s="15">
        <v>42611.759131944447</v>
      </c>
      <c r="F129" s="15">
        <v>42611.760821759257</v>
      </c>
      <c r="G129" s="7">
        <v>1</v>
      </c>
      <c r="H129" s="15" t="s">
        <v>195</v>
      </c>
      <c r="I129" s="15">
        <v>42611.785833333335</v>
      </c>
      <c r="J129" s="7">
        <v>0</v>
      </c>
      <c r="K129" s="132" t="str">
        <f t="shared" si="55"/>
        <v>4029/4030</v>
      </c>
      <c r="L129" s="24" t="str">
        <f>VLOOKUP(A129,'Trips&amp;Operators'!$C$1:$E$10000,3,FALSE)</f>
        <v>CHANDLER</v>
      </c>
      <c r="M129" s="6">
        <f t="shared" si="56"/>
        <v>2.5011574078234844E-2</v>
      </c>
      <c r="N129" s="7">
        <f t="shared" si="54"/>
        <v>36.016666672658175</v>
      </c>
      <c r="O129" s="7"/>
      <c r="P129" s="7"/>
      <c r="Q129" s="25"/>
      <c r="R129" s="25"/>
      <c r="S129" s="37">
        <f t="shared" si="57"/>
        <v>1</v>
      </c>
      <c r="T129" s="52" t="str">
        <f t="shared" si="58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17:13:09-0600',mode:absolute,to:'2016-08-29 19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9" s="54" t="str">
        <f t="shared" si="60"/>
        <v>N</v>
      </c>
      <c r="X129" s="120">
        <f t="shared" si="68"/>
        <v>1</v>
      </c>
      <c r="Y129" s="69">
        <f t="shared" si="61"/>
        <v>4.82E-2</v>
      </c>
      <c r="Z129" s="69">
        <f t="shared" si="62"/>
        <v>23.332000000000001</v>
      </c>
      <c r="AA129" s="69">
        <f t="shared" si="63"/>
        <v>23.283799999999999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64"/>
        <v>0217-29</v>
      </c>
      <c r="AE129" s="99" t="str">
        <f t="shared" si="65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129" s="96" t="str">
        <f t="shared" si="66"/>
        <v>"C:\Program Files (x86)\AstroGrep\AstroGrep.exe" /spath="%USERPROFILE%\AppData\Local\Temp\OnboardLogs" /stypes="*4029*20160830*" /stext=" 00:.+((SYSTEM_STATE.+slice.+state.+changed )|(ment ac)|(system.+state.+changed )|(\|lc)|(penalty)|(\[timeout)|(PRM\|1\|D)|(kpr)|(kdp))" /e /r /s</v>
      </c>
      <c r="AG129" s="1" t="str">
        <f t="shared" si="67"/>
        <v>EC</v>
      </c>
      <c r="AH129" s="100" t="str">
        <f t="shared" si="51"/>
        <v>"%USERPROFILE%\Documents\GitHub\eaglep3\Utilities\RefineRTDCRunTimes.py" --tripid 217-29 --locoid 4029 --swversion DE.1.0.7.0 --startMP 204:482 --initTime 2016-08-29T18:13:09 --startdatetime 2016-08-29T18:15:35 --delay 1 --endMP 204:233320 --enddatetime 2016-08-29T18:51:36 --enforcementcount 0 &gt;&gt;C:\Users\stu\Documents\GitHub\eaglep3-reporting\EC\2016-08-29-refined-times.txt</v>
      </c>
      <c r="AI12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{"issue":{"subject":"","project_id":79,"tracker_id":40,"status_id":1,"priority_id":2,"assigned_to_id":23,"start_date":"2016-08-29","description":"","custom_fields":[{"id":1,"name":"Subdivision","value":"EC"},{"id":4,"name":"Milepost","value":"23.2838"},{"id":17,"name":"Train ID","value":"217-29"},{"id":16,"name":"Locomotive ID","value":"4029"},{"id":130,"name":"Impact","value":""},{"id":150,"name":"Time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536</v>
      </c>
      <c r="B130" s="7">
        <v>4030</v>
      </c>
      <c r="C130" s="24" t="s">
        <v>113</v>
      </c>
      <c r="D130" s="24" t="s">
        <v>632</v>
      </c>
      <c r="E130" s="15">
        <v>42611.796805555554</v>
      </c>
      <c r="F130" s="15">
        <v>42611.799513888887</v>
      </c>
      <c r="G130" s="7">
        <v>1</v>
      </c>
      <c r="H130" s="15" t="s">
        <v>183</v>
      </c>
      <c r="I130" s="15">
        <v>42611.828564814816</v>
      </c>
      <c r="J130" s="7">
        <v>0</v>
      </c>
      <c r="K130" s="132" t="str">
        <f t="shared" si="55"/>
        <v>4029/4030</v>
      </c>
      <c r="L130" s="24" t="str">
        <f>VLOOKUP(A130,'Trips&amp;Operators'!$C$1:$E$10000,3,FALSE)</f>
        <v>CHANDLER</v>
      </c>
      <c r="M130" s="6">
        <f t="shared" si="56"/>
        <v>2.9050925928459037E-2</v>
      </c>
      <c r="N130" s="7">
        <f t="shared" si="54"/>
        <v>41.833333336981013</v>
      </c>
      <c r="O130" s="7"/>
      <c r="P130" s="7"/>
      <c r="Q130" s="25"/>
      <c r="R130" s="25"/>
      <c r="S130" s="37">
        <f t="shared" si="57"/>
        <v>1</v>
      </c>
      <c r="T130" s="52" t="str">
        <f t="shared" si="58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18:07:24-0600',mode:absolute,to:'2016-08-29 20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0" s="54" t="str">
        <f t="shared" si="60"/>
        <v>N</v>
      </c>
      <c r="X130" s="120">
        <f t="shared" si="68"/>
        <v>1</v>
      </c>
      <c r="Y130" s="69">
        <f t="shared" si="61"/>
        <v>23.3001</v>
      </c>
      <c r="Z130" s="69">
        <f t="shared" si="62"/>
        <v>1.6E-2</v>
      </c>
      <c r="AA130" s="69">
        <f t="shared" si="63"/>
        <v>23.284100000000002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64"/>
        <v>0218-29</v>
      </c>
      <c r="AE130" s="99" t="str">
        <f t="shared" si="65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130" s="96" t="str">
        <f t="shared" si="66"/>
        <v>"C:\Program Files (x86)\AstroGrep\AstroGrep.exe" /spath="%USERPROFILE%\AppData\Local\Temp\OnboardLogs" /stypes="*4030*20160830*" /stext=" 01:.+((SYSTEM_STATE.+slice.+state.+changed )|(ment ac)|(system.+state.+changed )|(\|lc)|(penalty)|(\[timeout)|(PRM\|1\|D)|(kpr)|(kdp))" /e /r /s</v>
      </c>
      <c r="AG130" s="1" t="str">
        <f t="shared" si="67"/>
        <v>EC</v>
      </c>
      <c r="AH130" s="100" t="str">
        <f t="shared" si="51"/>
        <v>"%USERPROFILE%\Documents\GitHub\eaglep3\Utilities\RefineRTDCRunTimes.py" --tripid 218-29 --locoid 4030 --swversion DE.1.0.7.0 --startMP 204:233001 --initTime 2016-08-29T19:07:24 --startdatetime 2016-08-29T19:11:18 --delay 1 --endMP 204:160 --enddatetime 2016-08-29T19:53:08 --enforcementcount 0 &gt;&gt;C:\Users\stu\Documents\GitHub\eaglep3-reporting\EC\2016-08-29-refined-times.txt</v>
      </c>
      <c r="AI130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{"issue":{"subject":"","project_id":79,"tracker_id":40,"status_id":1,"priority_id":2,"assigned_to_id":23,"start_date":"2016-08-29","description":"","custom_fields":[{"id":1,"name":"Subdivision","value":"EC"},{"id":4,"name":"Milepost","value":"23.2841"},{"id":17,"name":"Train ID","value":"218-29"},{"id":16,"name":"Locomotive ID","value":"4030"},{"id":130,"name":"Impact","value":""},{"id":150,"name":"Time of Event (Mountain Time)","value":"19:53:08"},{"id":151,"name":"Denver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528</v>
      </c>
      <c r="B131" s="7">
        <v>4009</v>
      </c>
      <c r="C131" s="24" t="s">
        <v>113</v>
      </c>
      <c r="D131" s="24" t="s">
        <v>633</v>
      </c>
      <c r="E131" s="15">
        <v>42611.766030092593</v>
      </c>
      <c r="F131" s="15">
        <v>42611.771180555559</v>
      </c>
      <c r="G131" s="7">
        <v>1</v>
      </c>
      <c r="H131" s="15" t="s">
        <v>601</v>
      </c>
      <c r="I131" s="15">
        <v>42611.796111111114</v>
      </c>
      <c r="J131" s="7">
        <v>0</v>
      </c>
      <c r="K131" s="132" t="str">
        <f t="shared" si="55"/>
        <v>4009/4010</v>
      </c>
      <c r="L131" s="24" t="str">
        <f>VLOOKUP(A131,'Trips&amp;Operators'!$C$1:$E$10000,3,FALSE)</f>
        <v>YANAI</v>
      </c>
      <c r="M131" s="6">
        <f t="shared" si="56"/>
        <v>2.4930555555329192E-2</v>
      </c>
      <c r="N131" s="7">
        <f t="shared" ref="N131:N139" si="69">24*60*SUM($M131:$M131)</f>
        <v>35.899999999674037</v>
      </c>
      <c r="O131" s="7"/>
      <c r="P131" s="7"/>
      <c r="Q131" s="25"/>
      <c r="R131" s="25"/>
      <c r="S131" s="37">
        <f t="shared" si="57"/>
        <v>1</v>
      </c>
      <c r="T131" s="52" t="str">
        <f t="shared" si="58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17:23:05-0600',mode:absolute,to:'2016-08-29 20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1" s="54" t="str">
        <f t="shared" si="60"/>
        <v>N</v>
      </c>
      <c r="X131" s="120">
        <f t="shared" si="68"/>
        <v>1</v>
      </c>
      <c r="Y131" s="69">
        <f t="shared" si="61"/>
        <v>4.8399999999999999E-2</v>
      </c>
      <c r="Z131" s="69">
        <f t="shared" si="62"/>
        <v>23.330400000000001</v>
      </c>
      <c r="AA131" s="69">
        <f t="shared" si="63"/>
        <v>23.282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64"/>
        <v>0219-29</v>
      </c>
      <c r="AE131" s="99" t="str">
        <f t="shared" si="65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131" s="96" t="str">
        <f t="shared" si="66"/>
        <v>"C:\Program Files (x86)\AstroGrep\AstroGrep.exe" /spath="%USERPROFILE%\AppData\Local\Temp\OnboardLogs" /stypes="*4009*20160830*" /stext=" 01:.+((SYSTEM_STATE.+slice.+state.+changed )|(ment ac)|(system.+state.+changed )|(\|lc)|(penalty)|(\[timeout)|(PRM\|1\|D)|(kpr)|(kdp))" /e /r /s</v>
      </c>
      <c r="AG131" s="1" t="str">
        <f t="shared" si="67"/>
        <v>EC</v>
      </c>
      <c r="AH131" s="100" t="str">
        <f t="shared" si="51"/>
        <v>"%USERPROFILE%\Documents\GitHub\eaglep3\Utilities\RefineRTDCRunTimes.py" --tripid 219-29 --locoid 4009 --swversion DE.1.0.7.0 --startMP 204:484 --initTime 2016-08-29T18:23:05 --startdatetime 2016-08-29T18:30:30 --delay 1 --endMP 204:233304 --enddatetime 2016-08-29T19:06:24 --enforcementcount 0 &gt;&gt;C:\Users\stu\Documents\GitHub\eaglep3-reporting\EC\2016-08-29-refined-times.txt</v>
      </c>
      <c r="AI131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{"issue":{"subject":"","project_id":79,"tracker_id":40,"status_id":1,"priority_id":2,"assigned_to_id":23,"start_date":"2016-08-29","description":"","custom_fields":[{"id":1,"name":"Subdivision","value":"EC"},{"id":4,"name":"Milepost","value":"23.282"},{"id":17,"name":"Train ID","value":"219-29"},{"id":16,"name":"Locomotive ID","value":"4009"},{"id":130,"name":"Impact","value":""},{"id":150,"name":"Time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537</v>
      </c>
      <c r="B132" s="7">
        <v>4010</v>
      </c>
      <c r="C132" s="24" t="s">
        <v>113</v>
      </c>
      <c r="D132" s="24" t="s">
        <v>349</v>
      </c>
      <c r="E132" s="15">
        <v>42611.797094907408</v>
      </c>
      <c r="F132" s="15">
        <v>42611.810034722221</v>
      </c>
      <c r="G132" s="7">
        <v>2</v>
      </c>
      <c r="H132" s="15" t="s">
        <v>634</v>
      </c>
      <c r="I132" s="15">
        <v>42611.837071759262</v>
      </c>
      <c r="J132" s="7">
        <v>0</v>
      </c>
      <c r="K132" s="132" t="str">
        <f t="shared" si="55"/>
        <v>4009/4010</v>
      </c>
      <c r="L132" s="24" t="str">
        <f>VLOOKUP(A132,'Trips&amp;Operators'!$C$1:$E$10000,3,FALSE)</f>
        <v>YANAI</v>
      </c>
      <c r="M132" s="6">
        <f t="shared" si="56"/>
        <v>2.7037037041736767E-2</v>
      </c>
      <c r="N132" s="7">
        <f t="shared" si="69"/>
        <v>38.933333340100944</v>
      </c>
      <c r="O132" s="7"/>
      <c r="P132" s="7"/>
      <c r="Q132" s="25"/>
      <c r="R132" s="25"/>
      <c r="S132" s="37">
        <f t="shared" si="57"/>
        <v>1</v>
      </c>
      <c r="T132" s="52" t="str">
        <f t="shared" si="58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18:07:49-0600',mode:absolute,to:'2016-08-29 21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2" s="54" t="str">
        <f t="shared" si="60"/>
        <v>N</v>
      </c>
      <c r="X132" s="120">
        <f t="shared" si="68"/>
        <v>1</v>
      </c>
      <c r="Y132" s="69">
        <f t="shared" si="61"/>
        <v>23.3004</v>
      </c>
      <c r="Z132" s="69">
        <f t="shared" si="62"/>
        <v>1.32E-2</v>
      </c>
      <c r="AA132" s="69">
        <f t="shared" si="63"/>
        <v>23.287199999999999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64"/>
        <v>0220-29</v>
      </c>
      <c r="AE132" s="99" t="str">
        <f t="shared" si="65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132" s="96" t="str">
        <f t="shared" si="66"/>
        <v>"C:\Program Files (x86)\AstroGrep\AstroGrep.exe" /spath="%USERPROFILE%\AppData\Local\Temp\OnboardLogs" /stypes="*4010*20160830*" /stext=" 02:.+((SYSTEM_STATE.+slice.+state.+changed )|(ment ac)|(system.+state.+changed )|(\|lc)|(penalty)|(\[timeout)|(PRM\|1\|D)|(kpr)|(kdp))" /e /r /s</v>
      </c>
      <c r="AG132" s="1" t="str">
        <f t="shared" si="67"/>
        <v>EC</v>
      </c>
      <c r="AH132" s="100" t="str">
        <f t="shared" si="51"/>
        <v>"%USERPROFILE%\Documents\GitHub\eaglep3\Utilities\RefineRTDCRunTimes.py" --tripid 220-29 --locoid 4010 --swversion DE.1.0.7.0 --startMP 204:233004 --initTime 2016-08-29T19:07:49 --startdatetime 2016-08-29T19:26:27 --delay 2 --endMP 204:132 --enddatetime 2016-08-29T20:05:23 --enforcementcount 0 &gt;&gt;C:\Users\stu\Documents\GitHub\eaglep3-reporting\EC\2016-08-29-refined-times.txt</v>
      </c>
      <c r="AI132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{"issue":{"subject":"","project_id":79,"tracker_id":40,"status_id":1,"priority_id":2,"assigned_to_id":23,"start_date":"2016-08-29","description":"","custom_fields":[{"id":1,"name":"Subdivision","value":"EC"},{"id":4,"name":"Milepost","value":"23.2872"},{"id":17,"name":"Train ID","value":"220-29"},{"id":16,"name":"Locomotive ID","value":"4010"},{"id":130,"name":"Impact","value":""},{"id":150,"name":"Time of Event (Mountain Time)","value":"20:05:23"},{"id":151,"name":"Denver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533</v>
      </c>
      <c r="B133" s="7">
        <v>4031</v>
      </c>
      <c r="C133" s="24" t="s">
        <v>113</v>
      </c>
      <c r="D133" s="24" t="s">
        <v>635</v>
      </c>
      <c r="E133" s="15">
        <v>42611.785405092596</v>
      </c>
      <c r="F133" s="15">
        <v>42611.791967592595</v>
      </c>
      <c r="G133" s="7">
        <v>1</v>
      </c>
      <c r="H133" s="15" t="s">
        <v>279</v>
      </c>
      <c r="I133" s="15">
        <v>42611.818472222221</v>
      </c>
      <c r="J133" s="7">
        <v>0</v>
      </c>
      <c r="K133" s="132" t="str">
        <f t="shared" si="55"/>
        <v>4031/4032</v>
      </c>
      <c r="L133" s="24" t="str">
        <f>VLOOKUP(A133,'Trips&amp;Operators'!$C$1:$E$10000,3,FALSE)</f>
        <v>LEVERE</v>
      </c>
      <c r="M133" s="6">
        <f t="shared" si="56"/>
        <v>2.6504629626288079E-2</v>
      </c>
      <c r="N133" s="7">
        <f t="shared" si="69"/>
        <v>38.166666661854833</v>
      </c>
      <c r="O133" s="7"/>
      <c r="P133" s="7"/>
      <c r="Q133" s="25"/>
      <c r="R133" s="25"/>
      <c r="S133" s="37">
        <f t="shared" si="57"/>
        <v>1</v>
      </c>
      <c r="T133" s="52" t="str">
        <f t="shared" si="58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17:50:59-0600',mode:absolute,to:'2016-08-29 20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3" s="54" t="str">
        <f t="shared" si="60"/>
        <v>N</v>
      </c>
      <c r="X133" s="120">
        <f t="shared" si="68"/>
        <v>1</v>
      </c>
      <c r="Y133" s="69">
        <f t="shared" si="61"/>
        <v>4.2700000000000002E-2</v>
      </c>
      <c r="Z133" s="69">
        <f t="shared" si="62"/>
        <v>23.329699999999999</v>
      </c>
      <c r="AA133" s="69">
        <f t="shared" si="63"/>
        <v>23.286999999999999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64"/>
        <v>0221-29</v>
      </c>
      <c r="AE133" s="99" t="str">
        <f t="shared" si="65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133" s="96" t="str">
        <f t="shared" si="66"/>
        <v>"C:\Program Files (x86)\AstroGrep\AstroGrep.exe" /spath="%USERPROFILE%\AppData\Local\Temp\OnboardLogs" /stypes="*4031*20160830*" /stext=" 01:.+((SYSTEM_STATE.+slice.+state.+changed )|(ment ac)|(system.+state.+changed )|(\|lc)|(penalty)|(\[timeout)|(PRM\|1\|D)|(kpr)|(kdp))" /e /r /s</v>
      </c>
      <c r="AG133" s="1" t="str">
        <f t="shared" si="67"/>
        <v>EC</v>
      </c>
      <c r="AH133" s="100" t="str">
        <f t="shared" si="51"/>
        <v>"%USERPROFILE%\Documents\GitHub\eaglep3\Utilities\RefineRTDCRunTimes.py" --tripid 221-29 --locoid 4031 --swversion DE.1.0.7.0 --startMP 204:427 --initTime 2016-08-29T18:50:59 --startdatetime 2016-08-29T19:00:26 --delay 1 --endMP 204:233297 --enddatetime 2016-08-29T19:38:36 --enforcementcount 0 &gt;&gt;C:\Users\stu\Documents\GitHub\eaglep3-reporting\EC\2016-08-29-refined-times.txt</v>
      </c>
      <c r="AI133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{"issue":{"subject":"","project_id":79,"tracker_id":40,"status_id":1,"priority_id":2,"assigned_to_id":23,"start_date":"2016-08-29","description":"","custom_fields":[{"id":1,"name":"Subdivision","value":"EC"},{"id":4,"name":"Milepost","value":"23.287"},{"id":17,"name":"Train ID","value":"221-29"},{"id":16,"name":"Locomotive ID","value":"4031"},{"id":130,"name":"Impact","value":""},{"id":150,"name":"Time of Event (Mountain Time)","value":"19:38:36"},{"id":151,"name":"Denver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542</v>
      </c>
      <c r="B134" s="7">
        <v>4032</v>
      </c>
      <c r="C134" s="24" t="s">
        <v>113</v>
      </c>
      <c r="D134" s="24" t="s">
        <v>598</v>
      </c>
      <c r="E134" s="15">
        <v>42611.824525462966</v>
      </c>
      <c r="F134" s="15">
        <v>42611.830775462964</v>
      </c>
      <c r="G134" s="7">
        <v>2</v>
      </c>
      <c r="H134" s="15" t="s">
        <v>131</v>
      </c>
      <c r="I134" s="15">
        <v>42611.860451388886</v>
      </c>
      <c r="J134" s="7">
        <v>0</v>
      </c>
      <c r="K134" s="132" t="str">
        <f t="shared" si="55"/>
        <v>4031/4032</v>
      </c>
      <c r="L134" s="24" t="str">
        <f>VLOOKUP(A134,'Trips&amp;Operators'!$C$1:$E$10000,3,FALSE)</f>
        <v>LEVERE</v>
      </c>
      <c r="M134" s="6">
        <f t="shared" si="56"/>
        <v>2.9675925921765156E-2</v>
      </c>
      <c r="N134" s="7">
        <f t="shared" si="69"/>
        <v>42.733333327341825</v>
      </c>
      <c r="O134" s="7"/>
      <c r="P134" s="7"/>
      <c r="Q134" s="25"/>
      <c r="R134" s="25"/>
      <c r="S134" s="37">
        <f t="shared" si="57"/>
        <v>1</v>
      </c>
      <c r="T134" s="52" t="str">
        <f t="shared" si="58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18:47:19-0600',mode:absolute,to:'2016-08-29 21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4" s="54" t="str">
        <f t="shared" si="60"/>
        <v>N</v>
      </c>
      <c r="X134" s="120">
        <f t="shared" si="68"/>
        <v>1</v>
      </c>
      <c r="Y134" s="69">
        <f t="shared" si="61"/>
        <v>23.296500000000002</v>
      </c>
      <c r="Z134" s="69">
        <f t="shared" si="62"/>
        <v>1.5800000000000002E-2</v>
      </c>
      <c r="AA134" s="69">
        <f t="shared" si="63"/>
        <v>23.280700000000003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64"/>
        <v>0222-29</v>
      </c>
      <c r="AE134" s="99" t="str">
        <f t="shared" si="65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134" s="96" t="str">
        <f t="shared" si="66"/>
        <v>"C:\Program Files (x86)\AstroGrep\AstroGrep.exe" /spath="%USERPROFILE%\AppData\Local\Temp\OnboardLogs" /stypes="*4032*20160830*" /stext=" 02:.+((SYSTEM_STATE.+slice.+state.+changed )|(ment ac)|(system.+state.+changed )|(\|lc)|(penalty)|(\[timeout)|(PRM\|1\|D)|(kpr)|(kdp))" /e /r /s</v>
      </c>
      <c r="AG134" s="1" t="str">
        <f t="shared" si="67"/>
        <v>EC</v>
      </c>
      <c r="AH134" s="100" t="str">
        <f t="shared" si="51"/>
        <v>"%USERPROFILE%\Documents\GitHub\eaglep3\Utilities\RefineRTDCRunTimes.py" --tripid 222-29 --locoid 4032 --swversion DE.1.0.7.0 --startMP 204:232965 --initTime 2016-08-29T19:47:19 --startdatetime 2016-08-29T19:56:19 --delay 2 --endMP 204:158 --enddatetime 2016-08-29T20:39:03 --enforcementcount 0 &gt;&gt;C:\Users\stu\Documents\GitHub\eaglep3-reporting\EC\2016-08-29-refined-times.txt</v>
      </c>
      <c r="AI134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{"issue":{"subject":"","project_id":79,"tracker_id":40,"status_id":1,"priority_id":2,"assigned_to_id":23,"start_date":"2016-08-29","description":"","custom_fields":[{"id":1,"name":"Subdivision","value":"EC"},{"id":4,"name":"Milepost","value":"23.2807"},{"id":17,"name":"Train ID","value":"222-29"},{"id":16,"name":"Locomotive ID","value":"4032"},{"id":130,"name":"Impact","value":""},{"id":150,"name":"Time of Event (Mountain Time)","value":"20:39:03"},{"id":151,"name":"Denver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539</v>
      </c>
      <c r="B135" s="7">
        <v>4003</v>
      </c>
      <c r="C135" s="24" t="s">
        <v>113</v>
      </c>
      <c r="D135" s="24" t="s">
        <v>125</v>
      </c>
      <c r="E135" s="15">
        <v>42611.80741898148</v>
      </c>
      <c r="F135" s="15">
        <v>42611.812662037039</v>
      </c>
      <c r="G135" s="7">
        <v>1</v>
      </c>
      <c r="H135" s="15" t="s">
        <v>279</v>
      </c>
      <c r="I135" s="15">
        <v>42611.838101851848</v>
      </c>
      <c r="J135" s="7">
        <v>0</v>
      </c>
      <c r="K135" s="132" t="str">
        <f t="shared" si="55"/>
        <v>4003/4004</v>
      </c>
      <c r="L135" s="24" t="str">
        <f>VLOOKUP(A135,'Trips&amp;Operators'!$C$1:$E$10000,3,FALSE)</f>
        <v>NEWELL</v>
      </c>
      <c r="M135" s="6">
        <f t="shared" si="56"/>
        <v>2.5439814809942618E-2</v>
      </c>
      <c r="N135" s="7">
        <f t="shared" si="69"/>
        <v>36.63333332631737</v>
      </c>
      <c r="O135" s="7"/>
      <c r="P135" s="7"/>
      <c r="Q135" s="25"/>
      <c r="R135" s="25"/>
      <c r="S135" s="37">
        <f t="shared" si="57"/>
        <v>1</v>
      </c>
      <c r="T135" s="52" t="str">
        <f t="shared" si="58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18:22:41-0600',mode:absolute,to:'2016-08-29 21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35" s="54" t="str">
        <f t="shared" si="60"/>
        <v>N</v>
      </c>
      <c r="X135" s="120">
        <f t="shared" si="68"/>
        <v>1</v>
      </c>
      <c r="Y135" s="69">
        <f t="shared" si="61"/>
        <v>4.5499999999999999E-2</v>
      </c>
      <c r="Z135" s="69">
        <f t="shared" si="62"/>
        <v>23.329699999999999</v>
      </c>
      <c r="AA135" s="69">
        <f t="shared" si="63"/>
        <v>23.284199999999998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64"/>
        <v>0223-29</v>
      </c>
      <c r="AE135" s="99" t="str">
        <f t="shared" si="65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135" s="96" t="str">
        <f t="shared" si="66"/>
        <v>"C:\Program Files (x86)\AstroGrep\AstroGrep.exe" /spath="%USERPROFILE%\AppData\Local\Temp\OnboardLogs" /stypes="*4003*20160830*" /stext=" 02:.+((SYSTEM_STATE.+slice.+state.+changed )|(ment ac)|(system.+state.+changed )|(\|lc)|(penalty)|(\[timeout)|(PRM\|1\|D)|(kpr)|(kdp))" /e /r /s</v>
      </c>
      <c r="AG135" s="1" t="str">
        <f t="shared" si="67"/>
        <v>EC</v>
      </c>
      <c r="AH135" s="100" t="str">
        <f t="shared" si="51"/>
        <v>"%USERPROFILE%\Documents\GitHub\eaglep3\Utilities\RefineRTDCRunTimes.py" --tripid 223-29 --locoid 4003 --swversion DE.1.0.7.0 --startMP 204:455 --initTime 2016-08-29T19:22:41 --startdatetime 2016-08-29T19:30:14 --delay 1 --endMP 204:233297 --enddatetime 2016-08-29T20:06:52 --enforcementcount 0 &gt;&gt;C:\Users\stu\Documents\GitHub\eaglep3-reporting\EC\2016-08-29-refined-times.txt</v>
      </c>
      <c r="AI135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{"issue":{"subject":"","project_id":79,"tracker_id":40,"status_id":1,"priority_id":2,"assigned_to_id":23,"start_date":"2016-08-29","description":"","custom_fields":[{"id":1,"name":"Subdivision","value":"EC"},{"id":4,"name":"Milepost","value":"23.2842"},{"id":17,"name":"Train ID","value":"223-29"},{"id":16,"name":"Locomotive ID","value":"4003"},{"id":130,"name":"Impact","value":""},{"id":150,"name":"Time of Event (Mountain Time)","value":"20:06:52"},{"id":151,"name":"Denver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544</v>
      </c>
      <c r="B136" s="7">
        <v>4004</v>
      </c>
      <c r="C136" s="24" t="s">
        <v>113</v>
      </c>
      <c r="D136" s="24" t="s">
        <v>282</v>
      </c>
      <c r="E136" s="15">
        <v>42611.839155092595</v>
      </c>
      <c r="F136" s="15">
        <v>42611.851539351854</v>
      </c>
      <c r="G136" s="7">
        <v>1</v>
      </c>
      <c r="H136" s="15" t="s">
        <v>154</v>
      </c>
      <c r="I136" s="15">
        <v>42611.878101851849</v>
      </c>
      <c r="J136" s="7">
        <v>0</v>
      </c>
      <c r="K136" s="132" t="str">
        <f t="shared" si="55"/>
        <v>4003/4004</v>
      </c>
      <c r="L136" s="24" t="str">
        <f>VLOOKUP(A136,'Trips&amp;Operators'!$C$1:$E$10000,3,FALSE)</f>
        <v>NEWELL</v>
      </c>
      <c r="M136" s="6">
        <f t="shared" si="56"/>
        <v>2.6562499995634425E-2</v>
      </c>
      <c r="N136" s="7">
        <f t="shared" si="69"/>
        <v>38.249999993713573</v>
      </c>
      <c r="O136" s="7"/>
      <c r="P136" s="7"/>
      <c r="Q136" s="25"/>
      <c r="R136" s="25"/>
      <c r="S136" s="37">
        <f t="shared" si="57"/>
        <v>1</v>
      </c>
      <c r="T136" s="52" t="str">
        <f t="shared" si="58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19:08:23-0600',mode:absolute,to:'2016-08-29 22:04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36" s="54" t="str">
        <f t="shared" si="60"/>
        <v>N</v>
      </c>
      <c r="X136" s="120">
        <f t="shared" si="68"/>
        <v>1</v>
      </c>
      <c r="Y136" s="69">
        <f t="shared" si="61"/>
        <v>23.297899999999998</v>
      </c>
      <c r="Z136" s="69">
        <f t="shared" si="62"/>
        <v>1.54E-2</v>
      </c>
      <c r="AA136" s="69">
        <f t="shared" si="63"/>
        <v>23.282499999999999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64"/>
        <v>0224-29</v>
      </c>
      <c r="AE136" s="99" t="str">
        <f t="shared" si="65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136" s="96" t="str">
        <f t="shared" si="66"/>
        <v>"C:\Program Files (x86)\AstroGrep\AstroGrep.exe" /spath="%USERPROFILE%\AppData\Local\Temp\OnboardLogs" /stypes="*4004*20160830*" /stext=" 03:.+((SYSTEM_STATE.+slice.+state.+changed )|(ment ac)|(system.+state.+changed )|(\|lc)|(penalty)|(\[timeout)|(PRM\|1\|D)|(kpr)|(kdp))" /e /r /s</v>
      </c>
      <c r="AG136" s="1" t="str">
        <f t="shared" si="67"/>
        <v>EC</v>
      </c>
      <c r="AH136" s="100" t="str">
        <f t="shared" si="51"/>
        <v>"%USERPROFILE%\Documents\GitHub\eaglep3\Utilities\RefineRTDCRunTimes.py" --tripid 224-29 --locoid 4004 --swversion DE.1.0.7.0 --startMP 204:232979 --initTime 2016-08-29T20:08:23 --startdatetime 2016-08-29T20:26:13 --delay 1 --endMP 204:154 --enddatetime 2016-08-29T21:04:28 --enforcementcount 0 &gt;&gt;C:\Users\stu\Documents\GitHub\eaglep3-reporting\EC\2016-08-29-refined-times.txt</v>
      </c>
      <c r="AI136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{"issue":{"subject":"","project_id":79,"tracker_id":40,"status_id":1,"priority_id":2,"assigned_to_id":23,"start_date":"2016-08-29","description":"","custom_fields":[{"id":1,"name":"Subdivision","value":"EC"},{"id":4,"name":"Milepost","value":"23.2825"},{"id":17,"name":"Train ID","value":"224-29"},{"id":16,"name":"Locomotive ID","value":"4004"},{"id":130,"name":"Impact","value":""},{"id":150,"name":"Time of Event (Mountain Time)","value":"21:04:28"},{"id":151,"name":"Denver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543</v>
      </c>
      <c r="B137" s="7">
        <v>4029</v>
      </c>
      <c r="C137" s="24" t="s">
        <v>113</v>
      </c>
      <c r="D137" s="24" t="s">
        <v>636</v>
      </c>
      <c r="E137" s="15">
        <v>42611.833703703705</v>
      </c>
      <c r="F137" s="15">
        <v>42611.835081018522</v>
      </c>
      <c r="G137" s="7">
        <v>1</v>
      </c>
      <c r="H137" s="15" t="s">
        <v>637</v>
      </c>
      <c r="I137" s="15">
        <v>42611.859918981485</v>
      </c>
      <c r="J137" s="7">
        <v>0</v>
      </c>
      <c r="K137" s="132" t="str">
        <f t="shared" si="55"/>
        <v>4029/4030</v>
      </c>
      <c r="L137" s="24" t="str">
        <f>VLOOKUP(A137,'Trips&amp;Operators'!$C$1:$E$10000,3,FALSE)</f>
        <v>CHANDLER</v>
      </c>
      <c r="M137" s="6">
        <f t="shared" si="56"/>
        <v>2.4837962962919846E-2</v>
      </c>
      <c r="N137" s="7">
        <f t="shared" si="69"/>
        <v>35.766666666604578</v>
      </c>
      <c r="O137" s="7"/>
      <c r="P137" s="7"/>
      <c r="Q137" s="25"/>
      <c r="R137" s="25"/>
      <c r="S137" s="37">
        <f t="shared" si="57"/>
        <v>1</v>
      </c>
      <c r="T137" s="52" t="str">
        <f t="shared" si="58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19:00:32-0600',mode:absolute,to:'2016-08-29 21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7" s="54" t="str">
        <f t="shared" si="60"/>
        <v>N</v>
      </c>
      <c r="X137" s="120">
        <f t="shared" si="68"/>
        <v>1</v>
      </c>
      <c r="Y137" s="69">
        <f t="shared" si="61"/>
        <v>0.11070000000000001</v>
      </c>
      <c r="Z137" s="69">
        <f t="shared" si="62"/>
        <v>23.3306</v>
      </c>
      <c r="AA137" s="69">
        <f t="shared" si="63"/>
        <v>23.219899999999999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64"/>
        <v>0225-29</v>
      </c>
      <c r="AE137" s="99" t="str">
        <f t="shared" si="65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137" s="96" t="str">
        <f t="shared" si="66"/>
        <v>"C:\Program Files (x86)\AstroGrep\AstroGrep.exe" /spath="%USERPROFILE%\AppData\Local\Temp\OnboardLogs" /stypes="*4029*20160830*" /stext=" 02:.+((SYSTEM_STATE.+slice.+state.+changed )|(ment ac)|(system.+state.+changed )|(\|lc)|(penalty)|(\[timeout)|(PRM\|1\|D)|(kpr)|(kdp))" /e /r /s</v>
      </c>
      <c r="AG137" s="1" t="str">
        <f t="shared" si="67"/>
        <v>EC</v>
      </c>
      <c r="AH137" s="100" t="str">
        <f t="shared" si="51"/>
        <v>"%USERPROFILE%\Documents\GitHub\eaglep3\Utilities\RefineRTDCRunTimes.py" --tripid 225-29 --locoid 4029 --swversion DE.1.0.7.0 --startMP 204:1107 --initTime 2016-08-29T20:00:32 --startdatetime 2016-08-29T20:02:31 --delay 1 --endMP 204:233306 --enddatetime 2016-08-29T20:38:17 --enforcementcount 0 &gt;&gt;C:\Users\stu\Documents\GitHub\eaglep3-reporting\EC\2016-08-29-refined-times.txt</v>
      </c>
      <c r="AI137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{"issue":{"subject":"","project_id":79,"tracker_id":40,"status_id":1,"priority_id":2,"assigned_to_id":23,"start_date":"2016-08-29","description":"","custom_fields":[{"id":1,"name":"Subdivision","value":"EC"},{"id":4,"name":"Milepost","value":"23.2199"},{"id":17,"name":"Train ID","value":"225-29"},{"id":16,"name":"Locomotive ID","value":"4029"},{"id":130,"name":"Impact","value":""},{"id":150,"name":"Time of Event (Mountain Time)","value":"20:38:17"},{"id":151,"name":"Denver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549</v>
      </c>
      <c r="B138" s="7">
        <v>4030</v>
      </c>
      <c r="C138" s="24" t="s">
        <v>113</v>
      </c>
      <c r="D138" s="24" t="s">
        <v>282</v>
      </c>
      <c r="E138" s="15">
        <v>42611.87027777778</v>
      </c>
      <c r="F138" s="15">
        <v>42611.872557870367</v>
      </c>
      <c r="G138" s="7">
        <v>1</v>
      </c>
      <c r="H138" s="15" t="s">
        <v>131</v>
      </c>
      <c r="I138" s="15">
        <v>42611.899606481478</v>
      </c>
      <c r="J138" s="7">
        <v>0</v>
      </c>
      <c r="K138" s="132" t="str">
        <f t="shared" si="55"/>
        <v>4029/4030</v>
      </c>
      <c r="L138" s="24" t="str">
        <f>VLOOKUP(A138,'Trips&amp;Operators'!$C$1:$E$10000,3,FALSE)</f>
        <v>CHANDLER</v>
      </c>
      <c r="M138" s="6">
        <f t="shared" si="56"/>
        <v>2.7048611111240461E-2</v>
      </c>
      <c r="N138" s="7">
        <f t="shared" si="69"/>
        <v>38.950000000186265</v>
      </c>
      <c r="O138" s="7"/>
      <c r="P138" s="7"/>
      <c r="Q138" s="25"/>
      <c r="R138" s="25"/>
      <c r="S138" s="37">
        <f t="shared" si="57"/>
        <v>1</v>
      </c>
      <c r="T138" s="52" t="str">
        <f t="shared" si="58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19:53:12-0600',mode:absolute,to:'2016-08-29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8" s="54" t="str">
        <f t="shared" si="60"/>
        <v>N</v>
      </c>
      <c r="X138" s="120">
        <f t="shared" si="68"/>
        <v>1</v>
      </c>
      <c r="Y138" s="69">
        <f t="shared" si="61"/>
        <v>23.297899999999998</v>
      </c>
      <c r="Z138" s="69">
        <f t="shared" si="62"/>
        <v>1.5800000000000002E-2</v>
      </c>
      <c r="AA138" s="69">
        <f t="shared" si="63"/>
        <v>23.2821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64"/>
        <v>0226-29</v>
      </c>
      <c r="AE138" s="99" t="str">
        <f t="shared" si="65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138" s="96" t="str">
        <f t="shared" si="66"/>
        <v>"C:\Program Files (x86)\AstroGrep\AstroGrep.exe" /spath="%USERPROFILE%\AppData\Local\Temp\OnboardLogs" /stypes="*4030*20160830*" /stext=" 03:.+((SYSTEM_STATE.+slice.+state.+changed )|(ment ac)|(system.+state.+changed )|(\|lc)|(penalty)|(\[timeout)|(PRM\|1\|D)|(kpr)|(kdp))" /e /r /s</v>
      </c>
      <c r="AG138" s="1" t="str">
        <f t="shared" si="67"/>
        <v>EC</v>
      </c>
      <c r="AH138" s="100" t="str">
        <f t="shared" si="51"/>
        <v>"%USERPROFILE%\Documents\GitHub\eaglep3\Utilities\RefineRTDCRunTimes.py" --tripid 226-29 --locoid 4030 --swversion DE.1.0.7.0 --startMP 204:232979 --initTime 2016-08-29T20:53:12 --startdatetime 2016-08-29T20:56:29 --delay 1 --endMP 204:158 --enddatetime 2016-08-29T21:35:26 --enforcementcount 0 &gt;&gt;C:\Users\stu\Documents\GitHub\eaglep3-reporting\EC\2016-08-29-refined-times.txt</v>
      </c>
      <c r="AI138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{"issue":{"subject":"","project_id":79,"tracker_id":40,"status_id":1,"priority_id":2,"assigned_to_id":23,"start_date":"2016-08-29","description":"","custom_fields":[{"id":1,"name":"Subdivision","value":"EC"},{"id":4,"name":"Milepost","value":"23.2821"},{"id":17,"name":"Train ID","value":"226-29"},{"id":16,"name":"Locomotive ID","value":"4030"},{"id":130,"name":"Impact","value":""},{"id":150,"name":"Time of Event (Mountain Time)","value":"21:35:26"},{"id":151,"name":"Denver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546</v>
      </c>
      <c r="B139" s="7">
        <v>4009</v>
      </c>
      <c r="C139" s="24" t="s">
        <v>113</v>
      </c>
      <c r="D139" s="24" t="s">
        <v>350</v>
      </c>
      <c r="E139" s="15">
        <v>42611.850300925929</v>
      </c>
      <c r="F139" s="15">
        <v>42611.854363425926</v>
      </c>
      <c r="G139" s="7">
        <v>1</v>
      </c>
      <c r="H139" s="15" t="s">
        <v>594</v>
      </c>
      <c r="I139" s="15">
        <v>42611.879282407404</v>
      </c>
      <c r="J139" s="7">
        <v>0</v>
      </c>
      <c r="K139" s="132" t="str">
        <f t="shared" si="55"/>
        <v>4009/4010</v>
      </c>
      <c r="L139" s="24" t="str">
        <f>VLOOKUP(A139,'Trips&amp;Operators'!$C$1:$E$10000,3,FALSE)</f>
        <v>YANAI</v>
      </c>
      <c r="M139" s="6">
        <f t="shared" si="56"/>
        <v>2.491898147854954E-2</v>
      </c>
      <c r="N139" s="7">
        <f t="shared" si="69"/>
        <v>35.883333329111338</v>
      </c>
      <c r="O139" s="7"/>
      <c r="P139" s="7"/>
      <c r="Q139" s="25"/>
      <c r="R139" s="25"/>
      <c r="S139" s="37">
        <f t="shared" si="57"/>
        <v>1</v>
      </c>
      <c r="T139" s="52" t="str">
        <f t="shared" si="58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19:24:26-0600',mode:absolute,to:'2016-08-29 22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9" s="54" t="str">
        <f t="shared" si="60"/>
        <v>N</v>
      </c>
      <c r="X139" s="120">
        <f t="shared" ref="X139:X145" si="70">VALUE(LEFT(AD139,4))-VALUE(LEFT(AD138,4))</f>
        <v>1</v>
      </c>
      <c r="Y139" s="69">
        <f t="shared" ref="Y139:Y145" si="71">RIGHT(D139,LEN(D139)-4)/10000</f>
        <v>4.4200000000000003E-2</v>
      </c>
      <c r="Z139" s="69">
        <f t="shared" si="62"/>
        <v>23.328700000000001</v>
      </c>
      <c r="AA139" s="69">
        <f t="shared" si="63"/>
        <v>23.284500000000001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64"/>
        <v>0227-29</v>
      </c>
      <c r="AE139" s="99" t="str">
        <f t="shared" si="65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139" s="96" t="str">
        <f t="shared" si="66"/>
        <v>"C:\Program Files (x86)\AstroGrep\AstroGrep.exe" /spath="%USERPROFILE%\AppData\Local\Temp\OnboardLogs" /stypes="*4009*20160830*" /stext=" 03:.+((SYSTEM_STATE.+slice.+state.+changed )|(ment ac)|(system.+state.+changed )|(\|lc)|(penalty)|(\[timeout)|(PRM\|1\|D)|(kpr)|(kdp))" /e /r /s</v>
      </c>
      <c r="AG139" s="1" t="str">
        <f t="shared" si="67"/>
        <v>EC</v>
      </c>
      <c r="AH139" s="100" t="str">
        <f t="shared" si="51"/>
        <v>"%USERPROFILE%\Documents\GitHub\eaglep3\Utilities\RefineRTDCRunTimes.py" --tripid 227-29 --locoid 4009 --swversion DE.1.0.7.0 --startMP 204:442 --initTime 2016-08-29T20:24:26 --startdatetime 2016-08-29T20:30:17 --delay 1 --endMP 204:233287 --enddatetime 2016-08-29T21:06:10 --enforcementcount 0 &gt;&gt;C:\Users\stu\Documents\GitHub\eaglep3-reporting\EC\2016-08-29-refined-times.txt</v>
      </c>
      <c r="AI139" s="149" t="str">
        <f t="shared" si="52"/>
        <v>echo {"issue":{"subject":"","project_id":79,"tracker_id":40,"status_id":1,"priority_id":2,"assigned_to_id":23,"start_date":"2016-08-29","description":"","custom_fields":[{"id":1,"name":"Subdivision","value":"EC"},{"id":4,"name":"Milepost","value":"23.2845"},{"id":17,"name":"Train ID","value":"227-29"},{"id":16,"name":"Locomotive ID","value":"4009"},{"id":130,"name":"Impact","value":""},{"id":150,"name":"Time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551</v>
      </c>
      <c r="B140" s="7">
        <v>4010</v>
      </c>
      <c r="C140" s="24" t="s">
        <v>113</v>
      </c>
      <c r="D140" s="24" t="s">
        <v>638</v>
      </c>
      <c r="E140" s="15">
        <v>42611.903055555558</v>
      </c>
      <c r="F140" s="15">
        <v>42611.904606481483</v>
      </c>
      <c r="G140" s="7">
        <v>1</v>
      </c>
      <c r="H140" s="15" t="s">
        <v>179</v>
      </c>
      <c r="I140" s="15">
        <v>42611.920798611114</v>
      </c>
      <c r="J140" s="7">
        <v>0</v>
      </c>
      <c r="K140" s="132" t="str">
        <f t="shared" si="55"/>
        <v>4009/4010</v>
      </c>
      <c r="L140" s="24" t="str">
        <f>VLOOKUP(A140,'Trips&amp;Operators'!$C$1:$E$10000,3,FALSE)</f>
        <v>YANAI</v>
      </c>
      <c r="M140" s="6">
        <f t="shared" si="56"/>
        <v>1.619212963123573E-2</v>
      </c>
      <c r="N140" s="7"/>
      <c r="O140" s="7"/>
      <c r="P140" s="7">
        <f>24*60*SUM($M140:$M140)</f>
        <v>23.316666668979451</v>
      </c>
      <c r="Q140" s="25"/>
      <c r="R140" s="25" t="s">
        <v>716</v>
      </c>
      <c r="S140" s="37">
        <f t="shared" si="57"/>
        <v>1</v>
      </c>
      <c r="T140" s="52" t="str">
        <f t="shared" si="58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https://search-rtdc-monitor-bjffxe2xuh6vdkpspy63sjmuny.us-east-1.es.amazonaws.com/_plugin/kibana/#/discover/Steve-Slow-Train-Analysis-(2080s-and-2083s)?_g=(refreshInterval:(display:Off,section:0,value:0),time:(from:'2016-08-29 20:40:24-0600',mode:absolute,to:'2016-08-29 23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0" s="54" t="str">
        <f t="shared" si="60"/>
        <v>Y</v>
      </c>
      <c r="X140" s="120">
        <f t="shared" si="70"/>
        <v>1</v>
      </c>
      <c r="Y140" s="69">
        <f t="shared" si="71"/>
        <v>12.7849</v>
      </c>
      <c r="Z140" s="69">
        <f t="shared" si="62"/>
        <v>1.4500000000000001E-2</v>
      </c>
      <c r="AA140" s="69">
        <f t="shared" si="63"/>
        <v>12.7704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64"/>
        <v>0228-29</v>
      </c>
      <c r="AE140" s="99" t="str">
        <f t="shared" si="65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140" s="96" t="str">
        <f t="shared" si="66"/>
        <v>"C:\Program Files (x86)\AstroGrep\AstroGrep.exe" /spath="%USERPROFILE%\AppData\Local\Temp\OnboardLogs" /stypes="*4010*20160830*" /stext=" 04:.+((SYSTEM_STATE.+slice.+state.+changed )|(ment ac)|(system.+state.+changed )|(\|lc)|(penalty)|(\[timeout)|(PRM\|1\|D)|(kpr)|(kdp))" /e /r /s</v>
      </c>
      <c r="AG140" s="1" t="str">
        <f t="shared" si="67"/>
        <v>EC</v>
      </c>
      <c r="AH140" s="100" t="str">
        <f t="shared" si="51"/>
        <v>"%USERPROFILE%\Documents\GitHub\eaglep3\Utilities\RefineRTDCRunTimes.py" --tripid 228-29 --locoid 4010 --swversion DE.1.0.7.0 --startMP 204:127849 --initTime 2016-08-29T21:40:24 --startdatetime 2016-08-29T21:42:38 --delay 1 --endMP 204:145 --enddatetime 2016-08-29T22:05:57 --enforcementcount 0 &gt;&gt;C:\Users\stu\Documents\GitHub\eaglep3-reporting\EC\2016-08-29-refined-times.txt</v>
      </c>
      <c r="AI140" s="149" t="str">
        <f t="shared" si="52"/>
        <v>echo {"issue":{"subject":"Onboard in-route failure","project_id":79,"tracker_id":40,"status_id":1,"priority_id":2,"assigned_to_id":23,"start_date":"2016-08-29","description":"","custom_fields":[{"id":1,"name":"Subdivision","value":"EC"},{"id":4,"name":"Milepost","value":"12.7704"},{"id":17,"name":"Train ID","value":"228-29"},{"id":16,"name":"Locomotive ID","value":"4010"},{"id":130,"name":"Impact","value":""},{"id":150,"name":"Time of Event (Mountain Time)","value":"22:05:57"},{"id":151,"name":"Denver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548</v>
      </c>
      <c r="B141" s="7">
        <v>4031</v>
      </c>
      <c r="C141" s="24" t="s">
        <v>113</v>
      </c>
      <c r="D141" s="24" t="s">
        <v>186</v>
      </c>
      <c r="E141" s="15">
        <v>42611.86791666667</v>
      </c>
      <c r="F141" s="15">
        <v>42611.8752662037</v>
      </c>
      <c r="G141" s="7">
        <v>1</v>
      </c>
      <c r="H141" s="15" t="s">
        <v>276</v>
      </c>
      <c r="I141" s="15">
        <v>42611.900914351849</v>
      </c>
      <c r="J141" s="7">
        <v>0</v>
      </c>
      <c r="K141" s="132" t="str">
        <f t="shared" ref="K141:K172" si="72">IF(ISEVEN(B141),(B141-1)&amp;"/"&amp;B141,B141&amp;"/"&amp;(B141+1))</f>
        <v>4031/4032</v>
      </c>
      <c r="L141" s="24" t="str">
        <f>VLOOKUP(A141,'Trips&amp;Operators'!$C$1:$E$10000,3,FALSE)</f>
        <v>LEVERE</v>
      </c>
      <c r="M141" s="6">
        <f t="shared" ref="M141:M172" si="73">I141-F141</f>
        <v>2.5648148148320615E-2</v>
      </c>
      <c r="N141" s="7">
        <f t="shared" ref="N141:N172" si="74">24*60*SUM($M141:$M141)</f>
        <v>36.933333333581686</v>
      </c>
      <c r="O141" s="7"/>
      <c r="P141" s="7"/>
      <c r="Q141" s="25"/>
      <c r="R141" s="25"/>
      <c r="S141" s="37">
        <f t="shared" ref="S141:S172" si="75">SUM(U141:U141)/IF(AG141="EC",12,1)</f>
        <v>1</v>
      </c>
      <c r="T141" s="52" t="str">
        <f t="shared" ref="T141:T172" si="76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7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https://search-rtdc-monitor-bjffxe2xuh6vdkpspy63sjmuny.us-east-1.es.amazonaws.com/_plugin/kibana/#/discover/Steve-Slow-Train-Analysis-(2080s-and-2083s)?_g=(refreshInterval:(display:Off,section:0,value:0),time:(from:'2016-08-29 19:49:48-0600',mode:absolute,to:'2016-08-29 22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1" s="54" t="str">
        <f t="shared" ref="W141:W172" si="78">IF(AA141&lt;IF(AG141="EC",23,5.65),"Y","N")</f>
        <v>N</v>
      </c>
      <c r="X141" s="120">
        <f t="shared" si="70"/>
        <v>1</v>
      </c>
      <c r="Y141" s="69">
        <f t="shared" si="71"/>
        <v>4.5999999999999999E-2</v>
      </c>
      <c r="Z141" s="69">
        <f t="shared" ref="Z141:Z172" si="79">RIGHT(H141,LEN(H141)-4)/10000</f>
        <v>23.332899999999999</v>
      </c>
      <c r="AA141" s="69">
        <f t="shared" ref="AA141:AA172" si="80">ABS(Z141-Y141)</f>
        <v>23.286899999999999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172" si="81">IF(LEN(A141)=6,"0"&amp;A141,A141)</f>
        <v>0229-29</v>
      </c>
      <c r="AE141" s="99" t="str">
        <f t="shared" ref="AE141:AE172" si="8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141" s="96" t="str">
        <f t="shared" ref="AF141:AF172" si="8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/stypes="*4031*20160830*" /stext=" 03:.+((SYSTEM_STATE.+slice.+state.+changed )|(ment ac)|(system.+state.+changed )|(\|lc)|(penalty)|(\[timeout)|(PRM\|1\|D)|(kpr)|(kdp))" /e /r /s</v>
      </c>
      <c r="AG141" s="1" t="str">
        <f t="shared" ref="AG141:AG172" si="84">IFERROR(IF(VALUE(LEFT(AD141,2))&lt;=2,"EC",IF(OR(VALUE(LEFT(AD141,2))=8,VALUE(LEFT(AD141,2))=18),"NW","Other")),"Other")</f>
        <v>EC</v>
      </c>
      <c r="AH141" s="100" t="str">
        <f t="shared" ref="AH141:AH203" si="8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229-29 --locoid 4031 --swversion DE.1.0.7.0 --startMP 204:460 --initTime 2016-08-29T20:49:48 --startdatetime 2016-08-29T21:00:23 --delay 1 --endMP 204:233329 --enddatetime 2016-08-29T21:37:19 --enforcementcount 0 &gt;&gt;C:\Users\stu\Documents\GitHub\eaglep3-reporting\EC\2016-08-29-refined-times.txt</v>
      </c>
      <c r="AI141" s="149" t="str">
        <f t="shared" ref="AI141:AI203" si="8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{"issue":{"subject":"","project_id":79,"tracker_id":40,"status_id":1,"priority_id":2,"assigned_to_id":23,"start_date":"2016-08-29","description":"","custom_fields":[{"id":1,"name":"Subdivision","value":"EC"},{"id":4,"name":"Milepost","value":"23.2869"},{"id":17,"name":"Train ID","value":"229-29"},{"id":16,"name":"Locomotive ID","value":"4031"},{"id":130,"name":"Impact","value":""},{"id":150,"name":"Time of Event (Mountain Time)","value":"21:37:19"},{"id":151,"name":"Denver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554</v>
      </c>
      <c r="B142" s="7">
        <v>4032</v>
      </c>
      <c r="C142" s="24" t="s">
        <v>113</v>
      </c>
      <c r="D142" s="24" t="s">
        <v>347</v>
      </c>
      <c r="E142" s="15">
        <v>42611.908252314817</v>
      </c>
      <c r="F142" s="15">
        <v>42611.914224537039</v>
      </c>
      <c r="G142" s="7">
        <v>1</v>
      </c>
      <c r="H142" s="15" t="s">
        <v>150</v>
      </c>
      <c r="I142" s="15">
        <v>42611.942303240743</v>
      </c>
      <c r="J142" s="7">
        <v>0</v>
      </c>
      <c r="K142" s="132" t="str">
        <f t="shared" si="72"/>
        <v>4031/4032</v>
      </c>
      <c r="L142" s="24" t="str">
        <f>VLOOKUP(A142,'Trips&amp;Operators'!$C$1:$E$10000,3,FALSE)</f>
        <v>LEVERE</v>
      </c>
      <c r="M142" s="6">
        <f t="shared" si="73"/>
        <v>2.8078703704522923E-2</v>
      </c>
      <c r="N142" s="7">
        <f t="shared" si="74"/>
        <v>40.433333334513009</v>
      </c>
      <c r="O142" s="7"/>
      <c r="P142" s="7"/>
      <c r="Q142" s="25"/>
      <c r="R142" s="25"/>
      <c r="S142" s="37">
        <f t="shared" si="75"/>
        <v>1</v>
      </c>
      <c r="T142" s="52" t="str">
        <f t="shared" si="76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20:47:53-0600',mode:absolute,to:'2016-08-29 23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2" s="54" t="str">
        <f t="shared" si="78"/>
        <v>N</v>
      </c>
      <c r="X142" s="120">
        <f t="shared" si="70"/>
        <v>1</v>
      </c>
      <c r="Y142" s="69">
        <f t="shared" si="71"/>
        <v>23.299800000000001</v>
      </c>
      <c r="Z142" s="69">
        <f t="shared" si="79"/>
        <v>1.4999999999999999E-2</v>
      </c>
      <c r="AA142" s="69">
        <f t="shared" si="80"/>
        <v>23.284800000000001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81"/>
        <v>0230-29</v>
      </c>
      <c r="AE142" s="99" t="str">
        <f t="shared" si="82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142" s="96" t="str">
        <f t="shared" si="83"/>
        <v>"C:\Program Files (x86)\AstroGrep\AstroGrep.exe" /spath="%USERPROFILE%\AppData\Local\Temp\OnboardLogs" /stypes="*4032*20160830*" /stext=" 04:.+((SYSTEM_STATE.+slice.+state.+changed )|(ment ac)|(system.+state.+changed )|(\|lc)|(penalty)|(\[timeout)|(PRM\|1\|D)|(kpr)|(kdp))" /e /r /s</v>
      </c>
      <c r="AG142" s="1" t="str">
        <f t="shared" si="84"/>
        <v>EC</v>
      </c>
      <c r="AH142" s="100" t="str">
        <f t="shared" si="85"/>
        <v>"%USERPROFILE%\Documents\GitHub\eaglep3\Utilities\RefineRTDCRunTimes.py" --tripid 230-29 --locoid 4032 --swversion DE.1.0.7.0 --startMP 204:232998 --initTime 2016-08-29T21:47:53 --startdatetime 2016-08-29T21:56:29 --delay 1 --endMP 204:150 --enddatetime 2016-08-29T22:36:55 --enforcementcount 0 &gt;&gt;C:\Users\stu\Documents\GitHub\eaglep3-reporting\EC\2016-08-29-refined-times.txt</v>
      </c>
      <c r="AI142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{"issue":{"subject":"","project_id":79,"tracker_id":40,"status_id":1,"priority_id":2,"assigned_to_id":23,"start_date":"2016-08-29","description":"","custom_fields":[{"id":1,"name":"Subdivision","value":"EC"},{"id":4,"name":"Milepost","value":"23.2848"},{"id":17,"name":"Train ID","value":"230-29"},{"id":16,"name":"Locomotive ID","value":"4032"},{"id":130,"name":"Impact","value":""},{"id":150,"name":"Time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550</v>
      </c>
      <c r="B143" s="7">
        <v>4003</v>
      </c>
      <c r="C143" s="24" t="s">
        <v>113</v>
      </c>
      <c r="D143" s="24" t="s">
        <v>284</v>
      </c>
      <c r="E143" s="15">
        <v>42611.880208333336</v>
      </c>
      <c r="F143" s="15">
        <v>42611.896006944444</v>
      </c>
      <c r="G143" s="7">
        <v>1</v>
      </c>
      <c r="H143" s="15" t="s">
        <v>587</v>
      </c>
      <c r="I143" s="15">
        <v>42611.922106481485</v>
      </c>
      <c r="J143" s="7">
        <v>0</v>
      </c>
      <c r="K143" s="132" t="str">
        <f t="shared" si="72"/>
        <v>4003/4004</v>
      </c>
      <c r="L143" s="24" t="str">
        <f>VLOOKUP(A143,'Trips&amp;Operators'!$C$1:$E$10000,3,FALSE)</f>
        <v>NEWELL</v>
      </c>
      <c r="M143" s="6">
        <f t="shared" si="73"/>
        <v>2.6099537040863652E-2</v>
      </c>
      <c r="N143" s="7">
        <f t="shared" si="74"/>
        <v>37.583333338843659</v>
      </c>
      <c r="O143" s="7"/>
      <c r="P143" s="7"/>
      <c r="Q143" s="25"/>
      <c r="R143" s="25"/>
      <c r="S143" s="37">
        <f t="shared" si="75"/>
        <v>1</v>
      </c>
      <c r="T143" s="52" t="str">
        <f t="shared" si="76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20:07:30-0600',mode:absolute,to:'2016-08-29 23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3" s="54" t="str">
        <f t="shared" si="78"/>
        <v>N</v>
      </c>
      <c r="X143" s="120">
        <f t="shared" si="70"/>
        <v>1</v>
      </c>
      <c r="Y143" s="69">
        <f t="shared" si="71"/>
        <v>4.7500000000000001E-2</v>
      </c>
      <c r="Z143" s="69">
        <f t="shared" si="79"/>
        <v>23.327999999999999</v>
      </c>
      <c r="AA143" s="69">
        <f t="shared" si="80"/>
        <v>23.2805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81"/>
        <v>0231-29</v>
      </c>
      <c r="AE143" s="99" t="str">
        <f t="shared" si="82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143" s="96" t="str">
        <f t="shared" si="83"/>
        <v>"C:\Program Files (x86)\AstroGrep\AstroGrep.exe" /spath="%USERPROFILE%\AppData\Local\Temp\OnboardLogs" /stypes="*4003*20160830*" /stext=" 04:.+((SYSTEM_STATE.+slice.+state.+changed )|(ment ac)|(system.+state.+changed )|(\|lc)|(penalty)|(\[timeout)|(PRM\|1\|D)|(kpr)|(kdp))" /e /r /s</v>
      </c>
      <c r="AG143" s="1" t="str">
        <f t="shared" si="84"/>
        <v>EC</v>
      </c>
      <c r="AH143" s="100" t="str">
        <f t="shared" si="85"/>
        <v>"%USERPROFILE%\Documents\GitHub\eaglep3\Utilities\RefineRTDCRunTimes.py" --tripid 231-29 --locoid 4003 --swversion DE.1.0.7.0 --startMP 204:475 --initTime 2016-08-29T21:07:30 --startdatetime 2016-08-29T21:30:15 --delay 1 --endMP 204:233280 --enddatetime 2016-08-29T22:07:50 --enforcementcount 0 &gt;&gt;C:\Users\stu\Documents\GitHub\eaglep3-reporting\EC\2016-08-29-refined-times.txt</v>
      </c>
      <c r="AI143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{"issue":{"subject":"","project_id":79,"tracker_id":40,"status_id":1,"priority_id":2,"assigned_to_id":23,"start_date":"2016-08-29","description":"","custom_fields":[{"id":1,"name":"Subdivision","value":"EC"},{"id":4,"name":"Milepost","value":"23.2805"},{"id":17,"name":"Train ID","value":"231-29"},{"id":16,"name":"Locomotive ID","value":"4003"},{"id":130,"name":"Impact","value":""},{"id":150,"name":"Time of Event (Mountain Time)","value":"22:07:50"},{"id":151,"name":"Denver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556</v>
      </c>
      <c r="B144" s="7">
        <v>4004</v>
      </c>
      <c r="C144" s="24" t="s">
        <v>113</v>
      </c>
      <c r="D144" s="24" t="s">
        <v>593</v>
      </c>
      <c r="E144" s="15">
        <v>42611.92591435185</v>
      </c>
      <c r="F144" s="15">
        <v>42611.934884259259</v>
      </c>
      <c r="G144" s="7">
        <v>1</v>
      </c>
      <c r="H144" s="15" t="s">
        <v>136</v>
      </c>
      <c r="I144" s="15">
        <v>42611.961886574078</v>
      </c>
      <c r="J144" s="7">
        <v>0</v>
      </c>
      <c r="K144" s="132" t="str">
        <f t="shared" si="72"/>
        <v>4003/4004</v>
      </c>
      <c r="L144" s="24" t="str">
        <f>VLOOKUP(A144,'Trips&amp;Operators'!$C$1:$E$10000,3,FALSE)</f>
        <v>NEWELL</v>
      </c>
      <c r="M144" s="6">
        <f t="shared" si="73"/>
        <v>2.7002314818673767E-2</v>
      </c>
      <c r="N144" s="7">
        <f t="shared" si="74"/>
        <v>38.883333338890225</v>
      </c>
      <c r="O144" s="7"/>
      <c r="P144" s="7"/>
      <c r="Q144" s="25"/>
      <c r="R144" s="25"/>
      <c r="S144" s="37">
        <f t="shared" si="75"/>
        <v>1</v>
      </c>
      <c r="T144" s="52" t="str">
        <f t="shared" si="76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21:13:19-0600',mode:absolute,to:'2016-08-30 00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44" s="54" t="str">
        <f t="shared" si="78"/>
        <v>N</v>
      </c>
      <c r="X144" s="120">
        <f t="shared" si="70"/>
        <v>1</v>
      </c>
      <c r="Y144" s="69">
        <f t="shared" si="71"/>
        <v>23.296600000000002</v>
      </c>
      <c r="Z144" s="69">
        <f t="shared" si="79"/>
        <v>1.49E-2</v>
      </c>
      <c r="AA144" s="69">
        <f t="shared" si="80"/>
        <v>23.281700000000001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81"/>
        <v>0232-29</v>
      </c>
      <c r="AE144" s="99" t="str">
        <f t="shared" si="82"/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AF144" s="96" t="str">
        <f t="shared" si="83"/>
        <v>"C:\Program Files (x86)\AstroGrep\AstroGrep.exe" /spath="%USERPROFILE%\AppData\Local\Temp\OnboardLogs" /stypes="*4004*20160830*" /stext=" 05:.+((SYSTEM_STATE.+slice.+state.+changed )|(ment ac)|(system.+state.+changed )|(\|lc)|(penalty)|(\[timeout)|(PRM\|1\|D)|(kpr)|(kdp))" /e /r /s</v>
      </c>
      <c r="AG144" s="1" t="str">
        <f t="shared" si="84"/>
        <v>EC</v>
      </c>
      <c r="AH144" s="100" t="str">
        <f t="shared" si="85"/>
        <v>"%USERPROFILE%\Documents\GitHub\eaglep3\Utilities\RefineRTDCRunTimes.py" --tripid 232-29 --locoid 4004 --swversion DE.1.0.7.0 --startMP 204:232966 --initTime 2016-08-29T22:13:19 --startdatetime 2016-08-29T22:26:14 --delay 1 --endMP 204:149 --enddatetime 2016-08-29T23:05:07 --enforcementcount 0 &gt;&gt;C:\Users\stu\Documents\GitHub\eaglep3-reporting\EC\2016-08-29-refined-times.txt</v>
      </c>
      <c r="AI144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{"issue":{"subject":"","project_id":79,"tracker_id":40,"status_id":1,"priority_id":2,"assigned_to_id":23,"start_date":"2016-08-29","description":"","custom_fields":[{"id":1,"name":"Subdivision","value":"EC"},{"id":4,"name":"Milepost","value":"23.2817"},{"id":17,"name":"Train ID","value":"232-29"},{"id":16,"name":"Locomotive ID","value":"4004"},{"id":130,"name":"Impact","value":""},{"id":150,"name":"Time of Event (Mountain Time)","value":"23:05:07"},{"id":151,"name":"Denver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555</v>
      </c>
      <c r="B145" s="7">
        <v>4029</v>
      </c>
      <c r="C145" s="24" t="s">
        <v>113</v>
      </c>
      <c r="D145" s="24" t="s">
        <v>175</v>
      </c>
      <c r="E145" s="15">
        <v>42611.914606481485</v>
      </c>
      <c r="F145" s="15">
        <v>42611.916875000003</v>
      </c>
      <c r="G145" s="7">
        <v>1</v>
      </c>
      <c r="H145" s="15" t="s">
        <v>153</v>
      </c>
      <c r="I145" s="15">
        <v>42611.942789351851</v>
      </c>
      <c r="J145" s="7">
        <v>0</v>
      </c>
      <c r="K145" s="132" t="str">
        <f t="shared" si="72"/>
        <v>4029/4030</v>
      </c>
      <c r="L145" s="24" t="str">
        <f>VLOOKUP(A145,'Trips&amp;Operators'!$C$1:$E$10000,3,FALSE)</f>
        <v>CHANDLER</v>
      </c>
      <c r="M145" s="6">
        <f t="shared" si="73"/>
        <v>2.5914351848769002E-2</v>
      </c>
      <c r="N145" s="7">
        <f t="shared" si="74"/>
        <v>37.316666662227362</v>
      </c>
      <c r="O145" s="7"/>
      <c r="P145" s="7"/>
      <c r="Q145" s="25"/>
      <c r="R145" s="25"/>
      <c r="S145" s="37">
        <f t="shared" si="75"/>
        <v>1</v>
      </c>
      <c r="T145" s="52" t="str">
        <f t="shared" si="76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20:57:02-0600',mode:absolute,to:'2016-08-29 23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5" s="54" t="str">
        <f t="shared" si="78"/>
        <v>N</v>
      </c>
      <c r="X145" s="120">
        <f t="shared" si="70"/>
        <v>1</v>
      </c>
      <c r="Y145" s="69">
        <f t="shared" si="71"/>
        <v>4.7100000000000003E-2</v>
      </c>
      <c r="Z145" s="69">
        <f t="shared" si="79"/>
        <v>23.3291</v>
      </c>
      <c r="AA145" s="69">
        <f t="shared" si="80"/>
        <v>23.282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81"/>
        <v>0233-29</v>
      </c>
      <c r="AE145" s="99" t="str">
        <f t="shared" si="82"/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AF145" s="96" t="str">
        <f t="shared" si="83"/>
        <v>"C:\Program Files (x86)\AstroGrep\AstroGrep.exe" /spath="%USERPROFILE%\AppData\Local\Temp\OnboardLogs" /stypes="*4029*20160830*" /stext=" 04:.+((SYSTEM_STATE.+slice.+state.+changed )|(ment ac)|(system.+state.+changed )|(\|lc)|(penalty)|(\[timeout)|(PRM\|1\|D)|(kpr)|(kdp))" /e /r /s</v>
      </c>
      <c r="AG145" s="1" t="str">
        <f t="shared" si="84"/>
        <v>EC</v>
      </c>
      <c r="AH145" s="100" t="str">
        <f t="shared" si="85"/>
        <v>"%USERPROFILE%\Documents\GitHub\eaglep3\Utilities\RefineRTDCRunTimes.py" --tripid 233-29 --locoid 4029 --swversion DE.1.0.7.0 --startMP 204:471 --initTime 2016-08-29T21:57:02 --startdatetime 2016-08-29T22:00:18 --delay 1 --endMP 204:233291 --enddatetime 2016-08-29T22:37:37 --enforcementcount 0 &gt;&gt;C:\Users\stu\Documents\GitHub\eaglep3-reporting\EC\2016-08-29-refined-times.txt</v>
      </c>
      <c r="AI145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{"issue":{"subject":"","project_id":79,"tracker_id":40,"status_id":1,"priority_id":2,"assigned_to_id":23,"start_date":"2016-08-29","description":"","custom_fields":[{"id":1,"name":"Subdivision","value":"EC"},{"id":4,"name":"Milepost","value":"23.282"},{"id":17,"name":"Train ID","value":"233-29"},{"id":16,"name":"Locomotive ID","value":"4029"},{"id":130,"name":"Impact","value":""},{"id":150,"name":"Time of Event (Mountain Time)","value":"22:37:37"},{"id":151,"name":"Denver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561</v>
      </c>
      <c r="B146" s="7">
        <v>4030</v>
      </c>
      <c r="C146" s="24" t="s">
        <v>113</v>
      </c>
      <c r="D146" s="24" t="s">
        <v>639</v>
      </c>
      <c r="E146" s="15">
        <v>42611.953877314816</v>
      </c>
      <c r="F146" s="15">
        <v>42611.956099537034</v>
      </c>
      <c r="G146" s="7">
        <v>1</v>
      </c>
      <c r="H146" s="15" t="s">
        <v>627</v>
      </c>
      <c r="I146" s="15">
        <v>42611.98474537037</v>
      </c>
      <c r="J146" s="7">
        <v>0</v>
      </c>
      <c r="K146" s="132" t="str">
        <f t="shared" si="72"/>
        <v>4029/4030</v>
      </c>
      <c r="L146" s="24" t="str">
        <f>VLOOKUP(A146,'Trips&amp;Operators'!$C$1:$E$10000,3,FALSE)</f>
        <v>CHANDLER</v>
      </c>
      <c r="M146" s="6">
        <f t="shared" si="73"/>
        <v>2.8645833335758653E-2</v>
      </c>
      <c r="N146" s="7">
        <f t="shared" si="74"/>
        <v>41.25000000349246</v>
      </c>
      <c r="O146" s="7"/>
      <c r="P146" s="7"/>
      <c r="Q146" s="25"/>
      <c r="R146" s="25"/>
      <c r="S146" s="37">
        <f t="shared" si="75"/>
        <v>1</v>
      </c>
      <c r="T146" s="52" t="str">
        <f t="shared" si="76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21:53:35-0600',mode:absolute,to:'2016-08-30 00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6" s="54" t="str">
        <f t="shared" si="78"/>
        <v>N</v>
      </c>
      <c r="X146" s="120">
        <f t="shared" ref="X146:X177" si="87">VALUE(LEFT(AD146,4))-VALUE(LEFT(AD145,4))</f>
        <v>1</v>
      </c>
      <c r="Y146" s="69">
        <f t="shared" ref="Y146:Y177" si="88">RIGHT(D146,LEN(D146)-4)/10000</f>
        <v>23.2959</v>
      </c>
      <c r="Z146" s="69">
        <f t="shared" si="79"/>
        <v>1.67E-2</v>
      </c>
      <c r="AA146" s="69">
        <f t="shared" si="80"/>
        <v>23.279199999999999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81"/>
        <v>0234-29</v>
      </c>
      <c r="AE146" s="99" t="str">
        <f t="shared" si="82"/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AF146" s="96" t="str">
        <f t="shared" si="83"/>
        <v>"C:\Program Files (x86)\AstroGrep\AstroGrep.exe" /spath="%USERPROFILE%\AppData\Local\Temp\OnboardLogs" /stypes="*4030*20160830*" /stext=" 05:.+((SYSTEM_STATE.+slice.+state.+changed )|(ment ac)|(system.+state.+changed )|(\|lc)|(penalty)|(\[timeout)|(PRM\|1\|D)|(kpr)|(kdp))" /e /r /s</v>
      </c>
      <c r="AG146" s="1" t="str">
        <f t="shared" si="84"/>
        <v>EC</v>
      </c>
      <c r="AH146" s="100" t="str">
        <f t="shared" si="85"/>
        <v>"%USERPROFILE%\Documents\GitHub\eaglep3\Utilities\RefineRTDCRunTimes.py" --tripid 234-29 --locoid 4030 --swversion DE.1.0.7.0 --startMP 204:232959 --initTime 2016-08-29T22:53:35 --startdatetime 2016-08-29T22:56:47 --delay 1 --endMP 204:167 --enddatetime 2016-08-29T23:38:02 --enforcementcount 0 &gt;&gt;C:\Users\stu\Documents\GitHub\eaglep3-reporting\EC\2016-08-29-refined-times.txt</v>
      </c>
      <c r="AI146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{"issue":{"subject":"","project_id":79,"tracker_id":40,"status_id":1,"priority_id":2,"assigned_to_id":23,"start_date":"2016-08-29","description":"","custom_fields":[{"id":1,"name":"Subdivision","value":"EC"},{"id":4,"name":"Milepost","value":"23.2792"},{"id":17,"name":"Train ID","value":"234-29"},{"id":16,"name":"Locomotive ID","value":"4030"},{"id":130,"name":"Impact","value":""},{"id":150,"name":"Time of Event (Mountain Time)","value":"23:38:02"},{"id":151,"name":"Denver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558</v>
      </c>
      <c r="B147" s="7">
        <v>4009</v>
      </c>
      <c r="C147" s="24" t="s">
        <v>113</v>
      </c>
      <c r="D147" s="24" t="s">
        <v>133</v>
      </c>
      <c r="E147" s="15">
        <v>42611.931354166663</v>
      </c>
      <c r="F147" s="15">
        <v>42611.937708333331</v>
      </c>
      <c r="G147" s="7">
        <v>1</v>
      </c>
      <c r="H147" s="15" t="s">
        <v>184</v>
      </c>
      <c r="I147" s="15">
        <v>42611.962835648148</v>
      </c>
      <c r="J147" s="7">
        <v>0</v>
      </c>
      <c r="K147" s="132" t="str">
        <f t="shared" si="72"/>
        <v>4009/4010</v>
      </c>
      <c r="L147" s="24" t="str">
        <f>VLOOKUP(A147,'Trips&amp;Operators'!$C$1:$E$10000,3,FALSE)</f>
        <v>YANAI</v>
      </c>
      <c r="M147" s="6">
        <f t="shared" si="73"/>
        <v>2.5127314816927537E-2</v>
      </c>
      <c r="N147" s="7">
        <f t="shared" si="74"/>
        <v>36.183333336375654</v>
      </c>
      <c r="O147" s="7"/>
      <c r="P147" s="7"/>
      <c r="Q147" s="25"/>
      <c r="R147" s="25"/>
      <c r="S147" s="37">
        <f t="shared" si="75"/>
        <v>1</v>
      </c>
      <c r="T147" s="52" t="str">
        <f t="shared" si="76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21:21:09-0600',mode:absolute,to:'2016-08-30 00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7" s="54" t="str">
        <f t="shared" si="78"/>
        <v>N</v>
      </c>
      <c r="X147" s="120">
        <f t="shared" si="87"/>
        <v>1</v>
      </c>
      <c r="Y147" s="69">
        <f t="shared" si="88"/>
        <v>4.53E-2</v>
      </c>
      <c r="Z147" s="69">
        <f t="shared" si="79"/>
        <v>23.3293</v>
      </c>
      <c r="AA147" s="69">
        <f t="shared" si="80"/>
        <v>23.283999999999999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81"/>
        <v>0235-29</v>
      </c>
      <c r="AE147" s="99" t="str">
        <f t="shared" si="82"/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AF147" s="96" t="str">
        <f t="shared" si="83"/>
        <v>"C:\Program Files (x86)\AstroGrep\AstroGrep.exe" /spath="%USERPROFILE%\AppData\Local\Temp\OnboardLogs" /stypes="*4009*20160830*" /stext=" 05:.+((SYSTEM_STATE.+slice.+state.+changed )|(ment ac)|(system.+state.+changed )|(\|lc)|(penalty)|(\[timeout)|(PRM\|1\|D)|(kpr)|(kdp))" /e /r /s</v>
      </c>
      <c r="AG147" s="1" t="str">
        <f t="shared" si="84"/>
        <v>EC</v>
      </c>
      <c r="AH147" s="100" t="str">
        <f t="shared" si="85"/>
        <v>"%USERPROFILE%\Documents\GitHub\eaglep3\Utilities\RefineRTDCRunTimes.py" --tripid 235-29 --locoid 4009 --swversion DE.1.0.7.0 --startMP 204:453 --initTime 2016-08-29T22:21:09 --startdatetime 2016-08-29T22:30:18 --delay 1 --endMP 204:233293 --enddatetime 2016-08-29T23:06:29 --enforcementcount 0 &gt;&gt;C:\Users\stu\Documents\GitHub\eaglep3-reporting\EC\2016-08-29-refined-times.txt</v>
      </c>
      <c r="AI147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{"issue":{"subject":"","project_id":79,"tracker_id":40,"status_id":1,"priority_id":2,"assigned_to_id":23,"start_date":"2016-08-29","description":"","custom_fields":[{"id":1,"name":"Subdivision","value":"EC"},{"id":4,"name":"Milepost","value":"23.284"},{"id":17,"name":"Train ID","value":"235-29"},{"id":16,"name":"Locomotive ID","value":"4009"},{"id":130,"name":"Impact","value":""},{"id":150,"name":"Time of Event (Mountain Time)","value":"23:06:29"},{"id":151,"name":"Denver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563</v>
      </c>
      <c r="B148" s="7">
        <v>4010</v>
      </c>
      <c r="C148" s="24" t="s">
        <v>113</v>
      </c>
      <c r="D148" s="24" t="s">
        <v>240</v>
      </c>
      <c r="E148" s="15">
        <v>42611.971909722219</v>
      </c>
      <c r="F148" s="15">
        <v>42611.976550925923</v>
      </c>
      <c r="G148" s="7">
        <v>0</v>
      </c>
      <c r="H148" s="15" t="s">
        <v>627</v>
      </c>
      <c r="I148" s="15">
        <v>42612.004004629627</v>
      </c>
      <c r="J148" s="7">
        <v>0</v>
      </c>
      <c r="K148" s="132" t="str">
        <f t="shared" si="72"/>
        <v>4009/4010</v>
      </c>
      <c r="L148" s="24" t="str">
        <f>VLOOKUP(A148,'Trips&amp;Operators'!$C$1:$E$10000,3,FALSE)</f>
        <v>YANAI</v>
      </c>
      <c r="M148" s="6">
        <f t="shared" si="73"/>
        <v>2.7453703703940846E-2</v>
      </c>
      <c r="N148" s="7">
        <f t="shared" si="74"/>
        <v>39.533333333674818</v>
      </c>
      <c r="O148" s="7"/>
      <c r="P148" s="7"/>
      <c r="Q148" s="25"/>
      <c r="R148" s="25"/>
      <c r="S148" s="37">
        <f t="shared" si="75"/>
        <v>1</v>
      </c>
      <c r="T148" s="52" t="str">
        <f t="shared" si="76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22:19:33-0600',mode:absolute,to:'2016-08-30 01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8" s="54" t="str">
        <f t="shared" si="78"/>
        <v>N</v>
      </c>
      <c r="X148" s="120">
        <f t="shared" si="87"/>
        <v>1</v>
      </c>
      <c r="Y148" s="69">
        <f t="shared" si="88"/>
        <v>23.297699999999999</v>
      </c>
      <c r="Z148" s="69">
        <f t="shared" si="79"/>
        <v>1.67E-2</v>
      </c>
      <c r="AA148" s="69">
        <f t="shared" si="80"/>
        <v>23.280999999999999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81"/>
        <v>0236-29</v>
      </c>
      <c r="AE148" s="99" t="str">
        <f t="shared" si="82"/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AF148" s="96" t="str">
        <f t="shared" si="83"/>
        <v>"C:\Program Files (x86)\AstroGrep\AstroGrep.exe" /spath="%USERPROFILE%\AppData\Local\Temp\OnboardLogs" /stypes="*4010*20160830*" /stext=" 06:.+((SYSTEM_STATE.+slice.+state.+changed )|(ment ac)|(system.+state.+changed )|(\|lc)|(penalty)|(\[timeout)|(PRM\|1\|D)|(kpr)|(kdp))" /e /r /s</v>
      </c>
      <c r="AG148" s="1" t="str">
        <f t="shared" si="84"/>
        <v>EC</v>
      </c>
      <c r="AH148" s="100" t="str">
        <f t="shared" si="85"/>
        <v>"%USERPROFILE%\Documents\GitHub\eaglep3\Utilities\RefineRTDCRunTimes.py" --tripid 236-29 --locoid 4010 --swversion DE.1.0.7.0 --startMP 204:232977 --initTime 2016-08-29T23:19:33 --startdatetime 2016-08-29T23:26:14 --delay 0 --endMP 204:167 --enddatetime 2016-08-30T00:05:46 --enforcementcount 0 &gt;&gt;C:\Users\stu\Documents\GitHub\eaglep3-reporting\EC\2016-08-29-refined-times.txt</v>
      </c>
      <c r="AI148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{"issue":{"subject":"","project_id":79,"tracker_id":40,"status_id":1,"priority_id":2,"assigned_to_id":23,"start_date":"2016-08-30","description":"","custom_fields":[{"id":1,"name":"Subdivision","value":"EC"},{"id":4,"name":"Milepost","value":"23.281"},{"id":17,"name":"Train ID","value":"236-29"},{"id":16,"name":"Locomotive ID","value":"4010"},{"id":130,"name":"Impact","value":""},{"id":150,"name":"Time of Event (Mountain Time)","value":"00:05:46"},{"id":151,"name":"Denver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560</v>
      </c>
      <c r="B149" s="7">
        <v>4031</v>
      </c>
      <c r="C149" s="24" t="s">
        <v>113</v>
      </c>
      <c r="D149" s="24" t="s">
        <v>180</v>
      </c>
      <c r="E149" s="15">
        <v>42611.951319444444</v>
      </c>
      <c r="F149" s="15">
        <v>42611.958611111113</v>
      </c>
      <c r="G149" s="7">
        <v>1</v>
      </c>
      <c r="H149" s="15" t="s">
        <v>153</v>
      </c>
      <c r="I149" s="15">
        <v>42611.984282407408</v>
      </c>
      <c r="J149" s="7">
        <v>0</v>
      </c>
      <c r="K149" s="132" t="str">
        <f t="shared" si="72"/>
        <v>4031/4032</v>
      </c>
      <c r="L149" s="24" t="str">
        <f>VLOOKUP(A149,'Trips&amp;Operators'!$C$1:$E$10000,3,FALSE)</f>
        <v>LEVERE</v>
      </c>
      <c r="M149" s="6">
        <f t="shared" si="73"/>
        <v>2.5671296294603962E-2</v>
      </c>
      <c r="N149" s="7">
        <f t="shared" si="74"/>
        <v>36.966666664229706</v>
      </c>
      <c r="O149" s="7"/>
      <c r="P149" s="7"/>
      <c r="Q149" s="25"/>
      <c r="R149" s="25"/>
      <c r="S149" s="37">
        <f t="shared" si="75"/>
        <v>1</v>
      </c>
      <c r="T149" s="52" t="str">
        <f t="shared" si="76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21:49:54-0600',mode:absolute,to:'2016-08-30 00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9" s="54" t="str">
        <f t="shared" si="78"/>
        <v>N</v>
      </c>
      <c r="X149" s="120">
        <f t="shared" si="87"/>
        <v>1</v>
      </c>
      <c r="Y149" s="69">
        <f t="shared" si="88"/>
        <v>4.4699999999999997E-2</v>
      </c>
      <c r="Z149" s="69">
        <f t="shared" si="79"/>
        <v>23.3291</v>
      </c>
      <c r="AA149" s="69">
        <f t="shared" si="80"/>
        <v>23.284400000000002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81"/>
        <v>0237-29</v>
      </c>
      <c r="AE149" s="99" t="str">
        <f t="shared" si="82"/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AF149" s="96" t="str">
        <f t="shared" si="83"/>
        <v>"C:\Program Files (x86)\AstroGrep\AstroGrep.exe" /spath="%USERPROFILE%\AppData\Local\Temp\OnboardLogs" /stypes="*4031*20160830*" /stext=" 05:.+((SYSTEM_STATE.+slice.+state.+changed )|(ment ac)|(system.+state.+changed )|(\|lc)|(penalty)|(\[timeout)|(PRM\|1\|D)|(kpr)|(kdp))" /e /r /s</v>
      </c>
      <c r="AG149" s="1" t="str">
        <f t="shared" si="84"/>
        <v>EC</v>
      </c>
      <c r="AH149" s="100" t="str">
        <f t="shared" si="85"/>
        <v>"%USERPROFILE%\Documents\GitHub\eaglep3\Utilities\RefineRTDCRunTimes.py" --tripid 237-29 --locoid 4031 --swversion DE.1.0.7.0 --startMP 204:447 --initTime 2016-08-29T22:49:54 --startdatetime 2016-08-29T23:00:24 --delay 1 --endMP 204:233291 --enddatetime 2016-08-29T23:37:22 --enforcementcount 0 &gt;&gt;C:\Users\stu\Documents\GitHub\eaglep3-reporting\EC\2016-08-29-refined-times.txt</v>
      </c>
      <c r="AI149" s="149" t="str">
        <f t="shared" si="86"/>
        <v>echo {"issue":{"subject":"","project_id":79,"tracker_id":40,"status_id":1,"priority_id":2,"assigned_to_id":23,"start_date":"2016-08-29","description":"","custom_fields":[{"id":1,"name":"Subdivision","value":"EC"},{"id":4,"name":"Milepost","value":"23.2844"},{"id":17,"name":"Train ID","value":"237-29"},{"id":16,"name":"Locomotive ID","value":"4031"},{"id":130,"name":"Impact","value":""},{"id":150,"name":"Time of Event (Mountain Time)","value":"23:37:22"},{"id":151,"name":"Denver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564</v>
      </c>
      <c r="B150" s="7">
        <v>4032</v>
      </c>
      <c r="C150" s="24" t="s">
        <v>113</v>
      </c>
      <c r="D150" s="24" t="s">
        <v>640</v>
      </c>
      <c r="E150" s="15">
        <v>42611.992835648147</v>
      </c>
      <c r="F150" s="15">
        <v>42611.997384259259</v>
      </c>
      <c r="G150" s="7">
        <v>6</v>
      </c>
      <c r="H150" s="15" t="s">
        <v>641</v>
      </c>
      <c r="I150" s="15">
        <v>42612.026608796295</v>
      </c>
      <c r="J150" s="7">
        <v>0</v>
      </c>
      <c r="K150" s="132" t="str">
        <f t="shared" si="72"/>
        <v>4031/4032</v>
      </c>
      <c r="L150" s="24" t="str">
        <f>VLOOKUP(A150,'Trips&amp;Operators'!$C$1:$E$10000,3,FALSE)</f>
        <v>LEVERE</v>
      </c>
      <c r="M150" s="6">
        <f t="shared" si="73"/>
        <v>2.9224537036498077E-2</v>
      </c>
      <c r="N150" s="7">
        <f t="shared" si="74"/>
        <v>42.083333332557231</v>
      </c>
      <c r="O150" s="7"/>
      <c r="P150" s="7"/>
      <c r="Q150" s="25"/>
      <c r="R150" s="25"/>
      <c r="S150" s="37">
        <f t="shared" si="75"/>
        <v>1</v>
      </c>
      <c r="T150" s="52" t="str">
        <f t="shared" si="76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22:49:41-0600',mode:absolute,to:'2016-08-30 01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0" s="54" t="str">
        <f t="shared" si="78"/>
        <v>N</v>
      </c>
      <c r="X150" s="120">
        <f t="shared" si="87"/>
        <v>1</v>
      </c>
      <c r="Y150" s="69">
        <f t="shared" si="88"/>
        <v>23.296299999999999</v>
      </c>
      <c r="Z150" s="69">
        <f t="shared" si="79"/>
        <v>1.35E-2</v>
      </c>
      <c r="AA150" s="69">
        <f t="shared" si="80"/>
        <v>23.282799999999998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81"/>
        <v>0238-29</v>
      </c>
      <c r="AE150" s="99" t="str">
        <f t="shared" si="82"/>
        <v>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 &amp; aws s3 cp s3://rtdc.mdm.uploadarchive/RTDC4032/2016-08-30/ "%USERPROFILE%\AppData\Local\Temp\OnboardLogs"\RTDC4032\2016-08-30 --recursive &amp; "%USERPROFILE%\Documents\GitHub\mrs-test-scripts\Headless Mode &amp; Sideloading\WalkAndUnGZ.bat" "%USERPROFILE%\AppData\Local\Temp\OnboardLogs"\RTDC4032\2016-08-30</v>
      </c>
      <c r="AF150" s="96" t="str">
        <f t="shared" si="83"/>
        <v>"C:\Program Files (x86)\AstroGrep\AstroGrep.exe" /spath="%USERPROFILE%\AppData\Local\Temp\OnboardLogs" /stypes="*4032*20160830*" /stext=" 06:.+((SYSTEM_STATE.+slice.+state.+changed )|(ment ac)|(system.+state.+changed )|(\|lc)|(penalty)|(\[timeout)|(PRM\|1\|D)|(kpr)|(kdp))" /e /r /s</v>
      </c>
      <c r="AG150" s="1" t="str">
        <f t="shared" si="84"/>
        <v>EC</v>
      </c>
      <c r="AH150" s="100" t="str">
        <f t="shared" si="85"/>
        <v>"%USERPROFILE%\Documents\GitHub\eaglep3\Utilities\RefineRTDCRunTimes.py" --tripid 238-29 --locoid 4032 --swversion DE.1.0.7.0 --startMP 204:232963 --initTime 2016-08-29T23:49:41 --startdatetime 2016-08-29T23:56:14 --delay 6 --endMP 204:135 --enddatetime 2016-08-30T00:38:19 --enforcementcount 0 &gt;&gt;C:\Users\stu\Documents\GitHub\eaglep3-reporting\EC\2016-08-29-refined-times.txt</v>
      </c>
      <c r="AI150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{"issue":{"subject":"","project_id":79,"tracker_id":40,"status_id":1,"priority_id":2,"assigned_to_id":23,"start_date":"2016-08-30","description":"","custom_fields":[{"id":1,"name":"Subdivision","value":"EC"},{"id":4,"name":"Milepost","value":"23.2828"},{"id":17,"name":"Train ID","value":"238-29"},{"id":16,"name":"Locomotive ID","value":"4032"},{"id":130,"name":"Impact","value":""},{"id":150,"name":"Time of Event (Mountain Time)","value":"00:38:19"},{"id":151,"name":"Denver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562</v>
      </c>
      <c r="B151" s="7">
        <v>4003</v>
      </c>
      <c r="C151" s="24" t="s">
        <v>113</v>
      </c>
      <c r="D151" s="24" t="s">
        <v>133</v>
      </c>
      <c r="E151" s="15">
        <v>42611.968854166669</v>
      </c>
      <c r="F151" s="15">
        <v>42611.979432870372</v>
      </c>
      <c r="G151" s="7">
        <v>10</v>
      </c>
      <c r="H151" s="15" t="s">
        <v>244</v>
      </c>
      <c r="I151" s="15">
        <v>42612.006111111114</v>
      </c>
      <c r="J151" s="7">
        <v>0</v>
      </c>
      <c r="K151" s="132" t="str">
        <f t="shared" si="72"/>
        <v>4003/4004</v>
      </c>
      <c r="L151" s="24" t="str">
        <f>VLOOKUP(A151,'Trips&amp;Operators'!$C$1:$E$10000,3,FALSE)</f>
        <v>NEWELL</v>
      </c>
      <c r="M151" s="6">
        <f t="shared" si="73"/>
        <v>2.6678240741603076E-2</v>
      </c>
      <c r="N151" s="7">
        <f t="shared" si="74"/>
        <v>38.41666666790843</v>
      </c>
      <c r="O151" s="7"/>
      <c r="P151" s="7"/>
      <c r="Q151" s="25"/>
      <c r="R151" s="25"/>
      <c r="S151" s="37">
        <f t="shared" si="75"/>
        <v>1</v>
      </c>
      <c r="T151" s="52" t="str">
        <f t="shared" si="76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22:15:09-0600',mode:absolute,to:'2016-08-30 01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51" s="54" t="str">
        <f t="shared" si="78"/>
        <v>N</v>
      </c>
      <c r="X151" s="120">
        <f t="shared" si="87"/>
        <v>1</v>
      </c>
      <c r="Y151" s="69">
        <f t="shared" si="88"/>
        <v>4.53E-2</v>
      </c>
      <c r="Z151" s="69">
        <f t="shared" si="79"/>
        <v>23.330100000000002</v>
      </c>
      <c r="AA151" s="69">
        <f t="shared" si="80"/>
        <v>23.284800000000001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81"/>
        <v>0239-29</v>
      </c>
      <c r="AE151" s="99" t="str">
        <f t="shared" si="82"/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AF151" s="96" t="str">
        <f t="shared" si="83"/>
        <v>"C:\Program Files (x86)\AstroGrep\AstroGrep.exe" /spath="%USERPROFILE%\AppData\Local\Temp\OnboardLogs" /stypes="*4003*20160830*" /stext=" 06:.+((SYSTEM_STATE.+slice.+state.+changed )|(ment ac)|(system.+state.+changed )|(\|lc)|(penalty)|(\[timeout)|(PRM\|1\|D)|(kpr)|(kdp))" /e /r /s</v>
      </c>
      <c r="AG151" s="1" t="str">
        <f t="shared" si="84"/>
        <v>EC</v>
      </c>
      <c r="AH151" s="100" t="str">
        <f t="shared" si="85"/>
        <v>"%USERPROFILE%\Documents\GitHub\eaglep3\Utilities\RefineRTDCRunTimes.py" --tripid 239-29 --locoid 4003 --swversion DE.1.0.7.0 --startMP 204:453 --initTime 2016-08-29T23:15:09 --startdatetime 2016-08-29T23:30:23 --delay 10 --endMP 204:233301 --enddatetime 2016-08-30T00:08:48 --enforcementcount 0 &gt;&gt;C:\Users\stu\Documents\GitHub\eaglep3-reporting\EC\2016-08-29-refined-times.txt</v>
      </c>
      <c r="AI151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{"issue":{"subject":"","project_id":79,"tracker_id":40,"status_id":1,"priority_id":2,"assigned_to_id":23,"start_date":"2016-08-30","description":"","custom_fields":[{"id":1,"name":"Subdivision","value":"EC"},{"id":4,"name":"Milepost","value":"23.2848"},{"id":17,"name":"Train ID","value":"239-29"},{"id":16,"name":"Locomotive ID","value":"4003"},{"id":130,"name":"Impact","value":""},{"id":150,"name":"Time of Event (Mountain Time)","value":"00:08:48"},{"id":151,"name":"Denver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566</v>
      </c>
      <c r="B152" s="7">
        <v>4004</v>
      </c>
      <c r="C152" s="24" t="s">
        <v>113</v>
      </c>
      <c r="D152" s="24" t="s">
        <v>240</v>
      </c>
      <c r="E152" s="15">
        <v>42612.008125</v>
      </c>
      <c r="F152" s="15">
        <v>42612.018206018518</v>
      </c>
      <c r="G152" s="7">
        <v>1</v>
      </c>
      <c r="H152" s="15" t="s">
        <v>642</v>
      </c>
      <c r="I152" s="15">
        <v>42612.045763888891</v>
      </c>
      <c r="J152" s="7">
        <v>0</v>
      </c>
      <c r="K152" s="132" t="str">
        <f t="shared" si="72"/>
        <v>4003/4004</v>
      </c>
      <c r="L152" s="24" t="str">
        <f>VLOOKUP(A152,'Trips&amp;Operators'!$C$1:$E$10000,3,FALSE)</f>
        <v>NEWELL</v>
      </c>
      <c r="M152" s="6">
        <f t="shared" si="73"/>
        <v>2.7557870373129845E-2</v>
      </c>
      <c r="N152" s="7">
        <f t="shared" si="74"/>
        <v>39.683333337306976</v>
      </c>
      <c r="O152" s="7"/>
      <c r="P152" s="7"/>
      <c r="Q152" s="25"/>
      <c r="R152" s="25"/>
      <c r="S152" s="37">
        <f t="shared" si="75"/>
        <v>1</v>
      </c>
      <c r="T152" s="52" t="str">
        <f t="shared" si="76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23:11:42-0600',mode:absolute,to:'2016-08-30 02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52" s="54" t="str">
        <f t="shared" si="78"/>
        <v>N</v>
      </c>
      <c r="X152" s="120">
        <f t="shared" si="87"/>
        <v>1</v>
      </c>
      <c r="Y152" s="69">
        <f t="shared" si="88"/>
        <v>23.297699999999999</v>
      </c>
      <c r="Z152" s="69">
        <f t="shared" si="79"/>
        <v>1.4E-2</v>
      </c>
      <c r="AA152" s="69">
        <f t="shared" si="80"/>
        <v>23.2837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81"/>
        <v>0240-29</v>
      </c>
      <c r="AE152" s="99" t="str">
        <f t="shared" si="82"/>
        <v>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 &amp; aws s3 cp s3://rtdc.mdm.uploadarchive/RTDC4004/2016-08-31/ "%USERPROFILE%\AppData\Local\Temp\OnboardLogs"\RTDC4004\2016-08-31 --recursive &amp; "%USERPROFILE%\Documents\GitHub\mrs-test-scripts\Headless Mode &amp; Sideloading\WalkAndUnGZ.bat" "%USERPROFILE%\AppData\Local\Temp\OnboardLogs"\RTDC4004\2016-08-31</v>
      </c>
      <c r="AF152" s="96" t="str">
        <f t="shared" si="83"/>
        <v>"C:\Program Files (x86)\AstroGrep\AstroGrep.exe" /spath="%USERPROFILE%\AppData\Local\Temp\OnboardLogs" /stypes="*4004*20160830*" /stext=" 07:.+((SYSTEM_STATE.+slice.+state.+changed )|(ment ac)|(system.+state.+changed )|(\|lc)|(penalty)|(\[timeout)|(PRM\|1\|D)|(kpr)|(kdp))" /e /r /s</v>
      </c>
      <c r="AG152" s="1" t="str">
        <f t="shared" si="84"/>
        <v>EC</v>
      </c>
      <c r="AH152" s="100" t="str">
        <f t="shared" si="85"/>
        <v>"%USERPROFILE%\Documents\GitHub\eaglep3\Utilities\RefineRTDCRunTimes.py" --tripid 240-29 --locoid 4004 --swversion DE.1.0.7.0 --startMP 204:232977 --initTime 2016-08-30T00:11:42 --startdatetime 2016-08-30T00:26:13 --delay 1 --endMP 204:140 --enddatetime 2016-08-30T01:05:54 --enforcementcount 0 &gt;&gt;C:\Users\stu\Documents\GitHub\eaglep3-reporting\EC\2016-08-29-refined-times.txt</v>
      </c>
      <c r="AI152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{"issue":{"subject":"","project_id":79,"tracker_id":40,"status_id":1,"priority_id":2,"assigned_to_id":23,"start_date":"2016-08-30","description":"","custom_fields":[{"id":1,"name":"Subdivision","value":"EC"},{"id":4,"name":"Milepost","value":"23.2837"},{"id":17,"name":"Train ID","value":"240-29"},{"id":16,"name":"Locomotive ID","value":"4004"},{"id":130,"name":"Impact","value":""},{"id":150,"name":"Time of Event (Mountain Time)","value":"01:05:54"},{"id":151,"name":"Denver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565</v>
      </c>
      <c r="B153" s="7">
        <v>4029</v>
      </c>
      <c r="C153" s="24" t="s">
        <v>113</v>
      </c>
      <c r="D153" s="24" t="s">
        <v>643</v>
      </c>
      <c r="E153" s="15">
        <v>42611.997766203705</v>
      </c>
      <c r="F153" s="15">
        <v>42612.000185185185</v>
      </c>
      <c r="G153" s="7">
        <v>1</v>
      </c>
      <c r="H153" s="15" t="s">
        <v>323</v>
      </c>
      <c r="I153" s="15">
        <v>42612.02747685185</v>
      </c>
      <c r="J153" s="7">
        <v>0</v>
      </c>
      <c r="K153" s="132" t="str">
        <f t="shared" si="72"/>
        <v>4029/4030</v>
      </c>
      <c r="L153" s="24" t="str">
        <f>VLOOKUP(A153,'Trips&amp;Operators'!$C$1:$E$10000,3,FALSE)</f>
        <v>CHANDLER</v>
      </c>
      <c r="M153" s="6">
        <f t="shared" si="73"/>
        <v>2.7291666665405501E-2</v>
      </c>
      <c r="N153" s="7">
        <f t="shared" si="74"/>
        <v>39.299999998183921</v>
      </c>
      <c r="O153" s="7"/>
      <c r="P153" s="7"/>
      <c r="Q153" s="25"/>
      <c r="R153" s="25"/>
      <c r="S153" s="37">
        <f t="shared" si="75"/>
        <v>1</v>
      </c>
      <c r="T153" s="52" t="str">
        <f t="shared" si="76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22:56:47-0600',mode:absolute,to:'2016-08-30 01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3" s="54" t="str">
        <f t="shared" si="78"/>
        <v>N</v>
      </c>
      <c r="X153" s="120">
        <f t="shared" si="87"/>
        <v>1</v>
      </c>
      <c r="Y153" s="69">
        <f t="shared" si="88"/>
        <v>4.9099999999999998E-2</v>
      </c>
      <c r="Z153" s="69">
        <f t="shared" si="79"/>
        <v>23.326599999999999</v>
      </c>
      <c r="AA153" s="69">
        <f t="shared" si="80"/>
        <v>23.2775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81"/>
        <v>0241-29</v>
      </c>
      <c r="AE153" s="99" t="str">
        <f t="shared" si="82"/>
        <v>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 &amp; 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</v>
      </c>
      <c r="AF153" s="96" t="str">
        <f t="shared" si="83"/>
        <v>"C:\Program Files (x86)\AstroGrep\AstroGrep.exe" /spath="%USERPROFILE%\AppData\Local\Temp\OnboardLogs" /stypes="*4029*20160830*" /stext=" 06:.+((SYSTEM_STATE.+slice.+state.+changed )|(ment ac)|(system.+state.+changed )|(\|lc)|(penalty)|(\[timeout)|(PRM\|1\|D)|(kpr)|(kdp))" /e /r /s</v>
      </c>
      <c r="AG153" s="1" t="str">
        <f t="shared" si="84"/>
        <v>EC</v>
      </c>
      <c r="AH153" s="100" t="str">
        <f t="shared" si="85"/>
        <v>"%USERPROFILE%\Documents\GitHub\eaglep3\Utilities\RefineRTDCRunTimes.py" --tripid 241-29 --locoid 4029 --swversion DE.1.0.7.0 --startMP 204:491 --initTime 2016-08-29T23:56:47 --startdatetime 2016-08-30T00:00:16 --delay 1 --endMP 204:233266 --enddatetime 2016-08-30T00:39:34 --enforcementcount 0 &gt;&gt;C:\Users\stu\Documents\GitHub\eaglep3-reporting\EC\2016-08-29-refined-times.txt</v>
      </c>
      <c r="AI153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{"issue":{"subject":"","project_id":79,"tracker_id":40,"status_id":1,"priority_id":2,"assigned_to_id":23,"start_date":"2016-08-30","description":"","custom_fields":[{"id":1,"name":"Subdivision","value":"EC"},{"id":4,"name":"Milepost","value":"23.2775"},{"id":17,"name":"Train ID","value":"241-29"},{"id":16,"name":"Locomotive ID","value":"4029"},{"id":130,"name":"Impact","value":""},{"id":150,"name":"Time of Event (Mountain Time)","value":"00:39:34"},{"id":151,"name":"Denver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569</v>
      </c>
      <c r="B154" s="7">
        <v>4030</v>
      </c>
      <c r="C154" s="24" t="s">
        <v>113</v>
      </c>
      <c r="D154" s="24" t="s">
        <v>324</v>
      </c>
      <c r="E154" s="15">
        <v>42612.037685185183</v>
      </c>
      <c r="F154" s="15">
        <v>42612.039178240739</v>
      </c>
      <c r="G154" s="7">
        <v>1</v>
      </c>
      <c r="H154" s="15" t="s">
        <v>183</v>
      </c>
      <c r="I154" s="15">
        <v>42612.069305555553</v>
      </c>
      <c r="J154" s="7">
        <v>0</v>
      </c>
      <c r="K154" s="132" t="str">
        <f t="shared" si="72"/>
        <v>4029/4030</v>
      </c>
      <c r="L154" s="24" t="str">
        <f>VLOOKUP(A154,'Trips&amp;Operators'!$C$1:$E$10000,3,FALSE)</f>
        <v>CHANDLER</v>
      </c>
      <c r="M154" s="6">
        <f t="shared" si="73"/>
        <v>3.0127314814308193E-2</v>
      </c>
      <c r="N154" s="7">
        <f t="shared" si="74"/>
        <v>43.383333332603797</v>
      </c>
      <c r="O154" s="7"/>
      <c r="P154" s="7"/>
      <c r="Q154" s="25"/>
      <c r="R154" s="25"/>
      <c r="S154" s="37">
        <f t="shared" si="75"/>
        <v>1</v>
      </c>
      <c r="T154" s="52" t="str">
        <f t="shared" si="76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23:54:16-0600',mode:absolute,to:'2016-08-30 02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4" s="54" t="str">
        <f t="shared" si="78"/>
        <v>N</v>
      </c>
      <c r="X154" s="120">
        <f t="shared" si="87"/>
        <v>1</v>
      </c>
      <c r="Y154" s="69">
        <f t="shared" si="88"/>
        <v>23.295500000000001</v>
      </c>
      <c r="Z154" s="69">
        <f t="shared" si="79"/>
        <v>1.6E-2</v>
      </c>
      <c r="AA154" s="69">
        <f t="shared" si="80"/>
        <v>23.279500000000002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81"/>
        <v>0242-29</v>
      </c>
      <c r="AE154" s="99" t="str">
        <f t="shared" si="82"/>
        <v>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 &amp; 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</v>
      </c>
      <c r="AF154" s="96" t="str">
        <f t="shared" si="83"/>
        <v>"C:\Program Files (x86)\AstroGrep\AstroGrep.exe" /spath="%USERPROFILE%\AppData\Local\Temp\OnboardLogs" /stypes="*4030*20160830*" /stext=" 07:.+((SYSTEM_STATE.+slice.+state.+changed )|(ment ac)|(system.+state.+changed )|(\|lc)|(penalty)|(\[timeout)|(PRM\|1\|D)|(kpr)|(kdp))" /e /r /s</v>
      </c>
      <c r="AG154" s="1" t="str">
        <f t="shared" si="84"/>
        <v>EC</v>
      </c>
      <c r="AH154" s="100" t="str">
        <f t="shared" si="85"/>
        <v>"%USERPROFILE%\Documents\GitHub\eaglep3\Utilities\RefineRTDCRunTimes.py" --tripid 242-29 --locoid 4030 --swversion DE.1.0.7.0 --startMP 204:232955 --initTime 2016-08-30T00:54:16 --startdatetime 2016-08-30T00:56:25 --delay 1 --endMP 204:160 --enddatetime 2016-08-30T01:39:48 --enforcementcount 0 &gt;&gt;C:\Users\stu\Documents\GitHub\eaglep3-reporting\EC\2016-08-29-refined-times.txt</v>
      </c>
      <c r="AI154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{"issue":{"subject":"","project_id":79,"tracker_id":40,"status_id":1,"priority_id":2,"assigned_to_id":23,"start_date":"2016-08-30","description":"","custom_fields":[{"id":1,"name":"Subdivision","value":"EC"},{"id":4,"name":"Milepost","value":"23.2795"},{"id":17,"name":"Train ID","value":"242-29"},{"id":16,"name":"Locomotive ID","value":"4030"},{"id":130,"name":"Impact","value":""},{"id":150,"name":"Time of Event (Mountain Time)","value":"01:39:48"},{"id":151,"name":"Denver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567</v>
      </c>
      <c r="B155" s="7">
        <v>4009</v>
      </c>
      <c r="C155" s="24" t="s">
        <v>113</v>
      </c>
      <c r="D155" s="24" t="s">
        <v>175</v>
      </c>
      <c r="E155" s="15">
        <v>42612.016944444447</v>
      </c>
      <c r="F155" s="15">
        <v>42612.020995370367</v>
      </c>
      <c r="G155" s="7">
        <v>1</v>
      </c>
      <c r="H155" s="15" t="s">
        <v>268</v>
      </c>
      <c r="I155" s="15">
        <v>42612.046388888892</v>
      </c>
      <c r="J155" s="7">
        <v>0</v>
      </c>
      <c r="K155" s="132" t="str">
        <f t="shared" si="72"/>
        <v>4009/4010</v>
      </c>
      <c r="L155" s="24" t="str">
        <f>VLOOKUP(A155,'Trips&amp;Operators'!$C$1:$E$10000,3,FALSE)</f>
        <v>YANAI</v>
      </c>
      <c r="M155" s="6">
        <f t="shared" si="73"/>
        <v>2.5393518524651881E-2</v>
      </c>
      <c r="N155" s="7">
        <f t="shared" si="74"/>
        <v>36.566666675498709</v>
      </c>
      <c r="O155" s="7"/>
      <c r="P155" s="7"/>
      <c r="Q155" s="25"/>
      <c r="R155" s="25"/>
      <c r="S155" s="37">
        <f t="shared" si="75"/>
        <v>1</v>
      </c>
      <c r="T155" s="52" t="str">
        <f t="shared" si="76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23:24:24-0600',mode:absolute,to:'2016-08-30 02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5" s="54" t="str">
        <f t="shared" si="78"/>
        <v>N</v>
      </c>
      <c r="X155" s="120">
        <f t="shared" si="87"/>
        <v>1</v>
      </c>
      <c r="Y155" s="69">
        <f t="shared" si="88"/>
        <v>4.7100000000000003E-2</v>
      </c>
      <c r="Z155" s="69">
        <f t="shared" si="79"/>
        <v>23.331600000000002</v>
      </c>
      <c r="AA155" s="69">
        <f t="shared" si="80"/>
        <v>23.284500000000001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81"/>
        <v>0243-29</v>
      </c>
      <c r="AE155" s="99" t="str">
        <f t="shared" si="82"/>
        <v>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 &amp; 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</v>
      </c>
      <c r="AF155" s="96" t="str">
        <f t="shared" si="83"/>
        <v>"C:\Program Files (x86)\AstroGrep\AstroGrep.exe" /spath="%USERPROFILE%\AppData\Local\Temp\OnboardLogs" /stypes="*4009*20160830*" /stext=" 07:.+((SYSTEM_STATE.+slice.+state.+changed )|(ment ac)|(system.+state.+changed )|(\|lc)|(penalty)|(\[timeout)|(PRM\|1\|D)|(kpr)|(kdp))" /e /r /s</v>
      </c>
      <c r="AG155" s="1" t="str">
        <f t="shared" si="84"/>
        <v>EC</v>
      </c>
      <c r="AH155" s="100" t="str">
        <f t="shared" si="85"/>
        <v>"%USERPROFILE%\Documents\GitHub\eaglep3\Utilities\RefineRTDCRunTimes.py" --tripid 243-29 --locoid 4009 --swversion DE.1.0.7.0 --startMP 204:471 --initTime 2016-08-30T00:24:24 --startdatetime 2016-08-30T00:30:14 --delay 1 --endMP 204:233316 --enddatetime 2016-08-30T01:06:48 --enforcementcount 0 &gt;&gt;C:\Users\stu\Documents\GitHub\eaglep3-reporting\EC\2016-08-29-refined-times.txt</v>
      </c>
      <c r="AI155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{"issue":{"subject":"","project_id":79,"tracker_id":40,"status_id":1,"priority_id":2,"assigned_to_id":23,"start_date":"2016-08-30","description":"","custom_fields":[{"id":1,"name":"Subdivision","value":"EC"},{"id":4,"name":"Milepost","value":"23.2845"},{"id":17,"name":"Train ID","value":"243-29"},{"id":16,"name":"Locomotive ID","value":"4009"},{"id":130,"name":"Impact","value":""},{"id":150,"name":"Time of Event (Mountain Time)","value":"01:06:48"},{"id":151,"name":"Denver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571</v>
      </c>
      <c r="B156" s="7">
        <v>4010</v>
      </c>
      <c r="C156" s="24" t="s">
        <v>113</v>
      </c>
      <c r="D156" s="24" t="s">
        <v>644</v>
      </c>
      <c r="E156" s="15">
        <v>42612.050636574073</v>
      </c>
      <c r="F156" s="15">
        <v>42612.059988425928</v>
      </c>
      <c r="G156" s="7">
        <v>1</v>
      </c>
      <c r="H156" s="15" t="s">
        <v>645</v>
      </c>
      <c r="I156" s="15">
        <v>42612.086574074077</v>
      </c>
      <c r="J156" s="7">
        <v>0</v>
      </c>
      <c r="K156" s="132" t="str">
        <f t="shared" si="72"/>
        <v>4009/4010</v>
      </c>
      <c r="L156" s="24" t="str">
        <f>VLOOKUP(A156,'Trips&amp;Operators'!$C$1:$E$10000,3,FALSE)</f>
        <v>YANAI</v>
      </c>
      <c r="M156" s="6">
        <f t="shared" si="73"/>
        <v>2.658564814919373E-2</v>
      </c>
      <c r="N156" s="7">
        <f t="shared" si="74"/>
        <v>38.283333334838971</v>
      </c>
      <c r="O156" s="7"/>
      <c r="P156" s="7"/>
      <c r="Q156" s="25"/>
      <c r="R156" s="25"/>
      <c r="S156" s="37">
        <f t="shared" si="75"/>
        <v>1</v>
      </c>
      <c r="T156" s="52" t="str">
        <f t="shared" si="76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https://search-rtdc-monitor-bjffxe2xuh6vdkpspy63sjmuny.us-east-1.es.amazonaws.com/_plugin/kibana/#/discover/Steve-Slow-Train-Analysis-(2080s-and-2083s)?_g=(refreshInterval:(display:Off,section:0,value:0),time:(from:'2016-08-30 00:12:55-0600',mode:absolute,to:'2016-08-30 03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6" s="54" t="str">
        <f t="shared" si="78"/>
        <v>N</v>
      </c>
      <c r="X156" s="120">
        <f t="shared" si="87"/>
        <v>1</v>
      </c>
      <c r="Y156" s="69">
        <f t="shared" si="88"/>
        <v>23.3005</v>
      </c>
      <c r="Z156" s="69">
        <f t="shared" si="79"/>
        <v>1.5299999999999999E-2</v>
      </c>
      <c r="AA156" s="69">
        <f t="shared" si="80"/>
        <v>23.2852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81"/>
        <v>0244-29</v>
      </c>
      <c r="AE156" s="99" t="str">
        <f t="shared" si="82"/>
        <v>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 &amp; 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</v>
      </c>
      <c r="AF156" s="96" t="str">
        <f t="shared" si="83"/>
        <v>"C:\Program Files (x86)\AstroGrep\AstroGrep.exe" /spath="%USERPROFILE%\AppData\Local\Temp\OnboardLogs" /stypes="*4010*20160830*" /stext=" 08:.+((SYSTEM_STATE.+slice.+state.+changed )|(ment ac)|(system.+state.+changed )|(\|lc)|(penalty)|(\[timeout)|(PRM\|1\|D)|(kpr)|(kdp))" /e /r /s</v>
      </c>
      <c r="AG156" s="1" t="str">
        <f t="shared" si="84"/>
        <v>EC</v>
      </c>
      <c r="AH156" s="100" t="str">
        <f t="shared" si="85"/>
        <v>"%USERPROFILE%\Documents\GitHub\eaglep3\Utilities\RefineRTDCRunTimes.py" --tripid 244-29 --locoid 4010 --swversion DE.1.0.7.0 --startMP 204:233005 --initTime 2016-08-30T01:12:55 --startdatetime 2016-08-30T01:26:23 --delay 1 --endMP 204:153 --enddatetime 2016-08-30T02:04:40 --enforcementcount 0 &gt;&gt;C:\Users\stu\Documents\GitHub\eaglep3-reporting\EC\2016-08-29-refined-times.txt</v>
      </c>
      <c r="AI156" s="149" t="str">
        <f t="shared" si="86"/>
        <v>echo {"issue":{"subject":"","project_id":79,"tracker_id":40,"status_id":1,"priority_id":2,"assigned_to_id":23,"start_date":"2016-08-30","description":"","custom_fields":[{"id":1,"name":"Subdivision","value":"EC"},{"id":4,"name":"Milepost","value":"23.2852"},{"id":17,"name":"Train ID","value":"244-29"},{"id":16,"name":"Locomotive ID","value":"4010"},{"id":130,"name":"Impact","value":""},{"id":150,"name":"Time of Event (Mountain Time)","value":"02:04:40"},{"id":151,"name":"Denver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371</v>
      </c>
      <c r="B157" s="7">
        <v>4013</v>
      </c>
      <c r="C157" s="24" t="s">
        <v>113</v>
      </c>
      <c r="D157" s="24" t="s">
        <v>327</v>
      </c>
      <c r="E157" s="15">
        <v>42611.213495370372</v>
      </c>
      <c r="F157" s="15">
        <v>42611.215162037035</v>
      </c>
      <c r="G157" s="7">
        <v>2</v>
      </c>
      <c r="H157" s="15" t="s">
        <v>342</v>
      </c>
      <c r="I157" s="15">
        <v>42611.226574074077</v>
      </c>
      <c r="J157" s="7">
        <v>0</v>
      </c>
      <c r="K157" s="132" t="str">
        <f t="shared" si="72"/>
        <v>4013/4014</v>
      </c>
      <c r="L157" s="24" t="str">
        <f>VLOOKUP(A157,'Trips&amp;Operators'!$C$1:$E$10000,3,FALSE)</f>
        <v>DAVIS</v>
      </c>
      <c r="M157" s="6">
        <f t="shared" si="73"/>
        <v>1.1412037041736767E-2</v>
      </c>
      <c r="N157" s="7">
        <f t="shared" si="74"/>
        <v>16.433333340100944</v>
      </c>
      <c r="O157" s="7"/>
      <c r="P157" s="7"/>
      <c r="Q157" s="25"/>
      <c r="R157" s="25"/>
      <c r="S157" s="37">
        <f t="shared" si="75"/>
        <v>1</v>
      </c>
      <c r="T157" s="52" t="str">
        <f t="shared" si="76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04:07:26-0600',mode:absolute,to:'2016-08-29 06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7" s="54" t="str">
        <f t="shared" si="78"/>
        <v>N</v>
      </c>
      <c r="X157" s="120">
        <f t="shared" si="87"/>
        <v>556</v>
      </c>
      <c r="Y157" s="69">
        <f t="shared" si="88"/>
        <v>5.8611000000000004</v>
      </c>
      <c r="Z157" s="69">
        <f t="shared" si="79"/>
        <v>6.7500000000000004E-2</v>
      </c>
      <c r="AA157" s="69">
        <f t="shared" si="80"/>
        <v>5.7936000000000005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81"/>
        <v>0800-29</v>
      </c>
      <c r="AE157" s="99" t="str">
        <f t="shared" si="82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57" s="96" t="str">
        <f t="shared" si="83"/>
        <v>"C:\Program Files (x86)\AstroGrep\AstroGrep.exe" /spath="%USERPROFILE%\AppData\Local\Temp\OnboardLogs" /stypes="*4013*20160829*" /stext=" 11:.+((SYSTEM_STATE.+slice.+state.+changed )|(ment ac)|(system.+state.+changed )|(\|lc)|(penalty)|(\[timeout)|(PRM\|1\|D)|(kpr)|(kdp))" /e /r /s</v>
      </c>
      <c r="AG157" s="1" t="str">
        <f t="shared" si="84"/>
        <v>NW</v>
      </c>
      <c r="AH157" s="100" t="str">
        <f t="shared" si="85"/>
        <v>"%USERPROFILE%\Documents\GitHub\eaglep3\Utilities\RefineRTDCRunTimes.py" --tripid 800-29 --locoid 4013 --swversion DE.1.0.7.0 --startMP 300:58611 --initTime 2016-08-29T05:07:26 --startdatetime 2016-08-29T05:09:50 --delay 2 --endMP 204:675 --enddatetime 2016-08-29T05:26:16 --enforcementcount 0 &gt;&gt;C:\Users\stu\Documents\GitHub\eaglep3-reporting\EC\2016-08-29-refined-times.txt</v>
      </c>
      <c r="AI157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{"issue":{"subject":"","project_id":79,"tracker_id":40,"status_id":1,"priority_id":2,"assigned_to_id":23,"start_date":"2016-08-29","description":"","custom_fields":[{"id":1,"name":"Subdivision","value":"NW"},{"id":4,"name":"Milepost","value":"5.7936"},{"id":17,"name":"Train ID","value":"800-29"},{"id":16,"name":"Locomotive ID","value":"4013"},{"id":130,"name":"Impact","value":""},{"id":150,"name":"Time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376</v>
      </c>
      <c r="B158" s="7">
        <v>4014</v>
      </c>
      <c r="C158" s="24" t="s">
        <v>113</v>
      </c>
      <c r="D158" s="24" t="s">
        <v>653</v>
      </c>
      <c r="E158" s="15">
        <v>42611.238518518519</v>
      </c>
      <c r="F158" s="15">
        <v>42611.24422453704</v>
      </c>
      <c r="G158" s="7">
        <v>1</v>
      </c>
      <c r="H158" s="15" t="s">
        <v>654</v>
      </c>
      <c r="I158" s="15">
        <v>42611.254537037035</v>
      </c>
      <c r="J158" s="7">
        <v>0</v>
      </c>
      <c r="K158" s="132" t="str">
        <f t="shared" si="72"/>
        <v>4013/4014</v>
      </c>
      <c r="L158" s="24" t="str">
        <f>VLOOKUP(A158,'Trips&amp;Operators'!$C$1:$E$10000,3,FALSE)</f>
        <v>DAVIS</v>
      </c>
      <c r="M158" s="6">
        <f t="shared" si="73"/>
        <v>1.0312499995052349E-2</v>
      </c>
      <c r="N158" s="7">
        <f t="shared" si="74"/>
        <v>14.849999992875382</v>
      </c>
      <c r="O158" s="7"/>
      <c r="P158" s="7"/>
      <c r="Q158" s="25"/>
      <c r="R158" s="25"/>
      <c r="S158" s="37">
        <f t="shared" si="75"/>
        <v>1</v>
      </c>
      <c r="T158" s="52" t="str">
        <f t="shared" si="76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04:43:28-0600',mode:absolute,to:'2016-08-29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8" s="54" t="str">
        <f t="shared" si="78"/>
        <v>N</v>
      </c>
      <c r="X158" s="120">
        <f t="shared" si="87"/>
        <v>1</v>
      </c>
      <c r="Y158" s="69">
        <f t="shared" si="88"/>
        <v>9.9500000000000005E-2</v>
      </c>
      <c r="Z158" s="69">
        <f t="shared" si="79"/>
        <v>5.8921999999999999</v>
      </c>
      <c r="AA158" s="69">
        <f t="shared" si="80"/>
        <v>5.7927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81"/>
        <v>0801-29</v>
      </c>
      <c r="AE158" s="99" t="str">
        <f t="shared" si="82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58" s="96" t="str">
        <f t="shared" si="83"/>
        <v>"C:\Program Files (x86)\AstroGrep\AstroGrep.exe" /spath="%USERPROFILE%\AppData\Local\Temp\OnboardLogs" /stypes="*4014*20160829*" /stext=" 12:.+((SYSTEM_STATE.+slice.+state.+changed )|(ment ac)|(system.+state.+changed )|(\|lc)|(penalty)|(\[timeout)|(PRM\|1\|D)|(kpr)|(kdp))" /e /r /s</v>
      </c>
      <c r="AG158" s="1" t="str">
        <f t="shared" si="84"/>
        <v>NW</v>
      </c>
      <c r="AH158" s="100" t="str">
        <f t="shared" si="85"/>
        <v>"%USERPROFILE%\Documents\GitHub\eaglep3\Utilities\RefineRTDCRunTimes.py" --tripid 801-29 --locoid 4014 --swversion DE.1.0.7.0 --startMP 204:995 --initTime 2016-08-29T05:43:28 --startdatetime 2016-08-29T05:51:41 --delay 1 --endMP 300:58922 --enddatetime 2016-08-29T06:06:32 --enforcementcount 0 &gt;&gt;C:\Users\stu\Documents\GitHub\eaglep3-reporting\EC\2016-08-29-refined-times.txt</v>
      </c>
      <c r="AI158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{"issue":{"subject":"","project_id":79,"tracker_id":40,"status_id":1,"priority_id":2,"assigned_to_id":23,"start_date":"2016-08-29","description":"","custom_fields":[{"id":1,"name":"Subdivision","value":"NW"},{"id":4,"name":"Milepost","value":"5.7927"},{"id":17,"name":"Train ID","value":"801-29"},{"id":16,"name":"Locomotive ID","value":"4014"},{"id":130,"name":"Impact","value":""},{"id":150,"name":"Time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380</v>
      </c>
      <c r="B159" s="7">
        <v>4013</v>
      </c>
      <c r="C159" s="24" t="s">
        <v>113</v>
      </c>
      <c r="D159" s="24" t="s">
        <v>655</v>
      </c>
      <c r="E159" s="15">
        <v>42611.255474537036</v>
      </c>
      <c r="F159" s="15">
        <v>42611.256736111114</v>
      </c>
      <c r="G159" s="7">
        <v>1</v>
      </c>
      <c r="H159" s="15" t="s">
        <v>337</v>
      </c>
      <c r="I159" s="15">
        <v>42611.268865740742</v>
      </c>
      <c r="J159" s="7">
        <v>0</v>
      </c>
      <c r="K159" s="132" t="str">
        <f t="shared" si="72"/>
        <v>4013/4014</v>
      </c>
      <c r="L159" s="24" t="str">
        <f>VLOOKUP(A159,'Trips&amp;Operators'!$C$1:$E$10000,3,FALSE)</f>
        <v>DAVIS</v>
      </c>
      <c r="M159" s="6">
        <f t="shared" si="73"/>
        <v>1.2129629627452232E-2</v>
      </c>
      <c r="N159" s="7">
        <f t="shared" si="74"/>
        <v>17.466666663531214</v>
      </c>
      <c r="O159" s="7"/>
      <c r="P159" s="7"/>
      <c r="Q159" s="25"/>
      <c r="R159" s="25"/>
      <c r="S159" s="37">
        <f t="shared" si="75"/>
        <v>1</v>
      </c>
      <c r="T159" s="52" t="str">
        <f t="shared" si="76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05:07:53-0600',mode:absolute,to:'2016-08-29 07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9" s="54" t="str">
        <f t="shared" si="78"/>
        <v>N</v>
      </c>
      <c r="X159" s="120">
        <f t="shared" si="87"/>
        <v>1</v>
      </c>
      <c r="Y159" s="69">
        <f t="shared" si="88"/>
        <v>5.8604000000000003</v>
      </c>
      <c r="Z159" s="69">
        <f t="shared" si="79"/>
        <v>6.7100000000000007E-2</v>
      </c>
      <c r="AA159" s="69">
        <f t="shared" si="80"/>
        <v>5.7933000000000003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81"/>
        <v>0802-29</v>
      </c>
      <c r="AE159" s="99" t="str">
        <f t="shared" si="82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59" s="96" t="str">
        <f t="shared" si="83"/>
        <v>"C:\Program Files (x86)\AstroGrep\AstroGrep.exe" /spath="%USERPROFILE%\AppData\Local\Temp\OnboardLogs" /stypes="*4013*20160829*" /stext=" 12:.+((SYSTEM_STATE.+slice.+state.+changed )|(ment ac)|(system.+state.+changed )|(\|lc)|(penalty)|(\[timeout)|(PRM\|1\|D)|(kpr)|(kdp))" /e /r /s</v>
      </c>
      <c r="AG159" s="1" t="str">
        <f t="shared" si="84"/>
        <v>NW</v>
      </c>
      <c r="AH159" s="100" t="str">
        <f t="shared" si="85"/>
        <v>"%USERPROFILE%\Documents\GitHub\eaglep3\Utilities\RefineRTDCRunTimes.py" --tripid 802-29 --locoid 4013 --swversion DE.1.0.7.0 --startMP 300:58604 --initTime 2016-08-29T06:07:53 --startdatetime 2016-08-29T06:09:42 --delay 1 --endMP 204:671 --enddatetime 2016-08-29T06:27:10 --enforcementcount 0 &gt;&gt;C:\Users\stu\Documents\GitHub\eaglep3-reporting\EC\2016-08-29-refined-times.txt</v>
      </c>
      <c r="AI159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{"issue":{"subject":"","project_id":79,"tracker_id":40,"status_id":1,"priority_id":2,"assigned_to_id":23,"start_date":"2016-08-29","description":"","custom_fields":[{"id":1,"name":"Subdivision","value":"NW"},{"id":4,"name":"Milepost","value":"5.7933"},{"id":17,"name":"Train ID","value":"802-29"},{"id":16,"name":"Locomotive ID","value":"4013"},{"id":130,"name":"Impact","value":""},{"id":150,"name":"Time of Event (Mountain Time)","value":"06:27:10"},{"id":151,"name":"Denver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383</v>
      </c>
      <c r="B160" s="7">
        <v>4018</v>
      </c>
      <c r="C160" s="24" t="s">
        <v>113</v>
      </c>
      <c r="D160" s="24" t="s">
        <v>656</v>
      </c>
      <c r="E160" s="15">
        <v>42611.259641203702</v>
      </c>
      <c r="F160" s="15">
        <v>42611.265034722222</v>
      </c>
      <c r="G160" s="7">
        <v>3</v>
      </c>
      <c r="H160" s="15" t="s">
        <v>657</v>
      </c>
      <c r="I160" s="15">
        <v>42611.275092592594</v>
      </c>
      <c r="J160" s="7">
        <v>0</v>
      </c>
      <c r="K160" s="132" t="str">
        <f t="shared" si="72"/>
        <v>4017/4018</v>
      </c>
      <c r="L160" s="24" t="str">
        <f>VLOOKUP(A160,'Trips&amp;Operators'!$C$1:$E$10000,3,FALSE)</f>
        <v>SANTIZO</v>
      </c>
      <c r="M160" s="6">
        <f t="shared" si="73"/>
        <v>1.0057870371383615E-2</v>
      </c>
      <c r="N160" s="7">
        <f t="shared" si="74"/>
        <v>14.483333334792405</v>
      </c>
      <c r="O160" s="7"/>
      <c r="P160" s="7"/>
      <c r="Q160" s="25"/>
      <c r="R160" s="25"/>
      <c r="S160" s="37">
        <f t="shared" si="75"/>
        <v>1</v>
      </c>
      <c r="T160" s="52" t="str">
        <f t="shared" si="76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05:13:53-0600',mode:absolute,to:'2016-08-29 07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0" s="54" t="str">
        <f t="shared" si="78"/>
        <v>N</v>
      </c>
      <c r="X160" s="120">
        <f t="shared" si="87"/>
        <v>1</v>
      </c>
      <c r="Y160" s="69">
        <f t="shared" si="88"/>
        <v>9.1800000000000007E-2</v>
      </c>
      <c r="Z160" s="69">
        <f t="shared" si="79"/>
        <v>5.8879999999999999</v>
      </c>
      <c r="AA160" s="69">
        <f t="shared" si="80"/>
        <v>5.7961999999999998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81"/>
        <v>0803-29</v>
      </c>
      <c r="AE160" s="99" t="str">
        <f t="shared" si="82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60" s="96" t="str">
        <f t="shared" si="83"/>
        <v>"C:\Program Files (x86)\AstroGrep\AstroGrep.exe" /spath="%USERPROFILE%\AppData\Local\Temp\OnboardLogs" /stypes="*4018*20160829*" /stext=" 12:.+((SYSTEM_STATE.+slice.+state.+changed )|(ment ac)|(system.+state.+changed )|(\|lc)|(penalty)|(\[timeout)|(PRM\|1\|D)|(kpr)|(kdp))" /e /r /s</v>
      </c>
      <c r="AG160" s="1" t="str">
        <f t="shared" si="84"/>
        <v>NW</v>
      </c>
      <c r="AH160" s="100" t="str">
        <f t="shared" si="85"/>
        <v>"%USERPROFILE%\Documents\GitHub\eaglep3\Utilities\RefineRTDCRunTimes.py" --tripid 803-29 --locoid 4018 --swversion DE.1.0.7.0 --startMP 204:918 --initTime 2016-08-29T06:13:53 --startdatetime 2016-08-29T06:21:39 --delay 3 --endMP 300:58880 --enddatetime 2016-08-29T06:36:08 --enforcementcount 0 &gt;&gt;C:\Users\stu\Documents\GitHub\eaglep3-reporting\EC\2016-08-29-refined-times.txt</v>
      </c>
      <c r="AI160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{"issue":{"subject":"","project_id":79,"tracker_id":40,"status_id":1,"priority_id":2,"assigned_to_id":23,"start_date":"2016-08-29","description":"","custom_fields":[{"id":1,"name":"Subdivision","value":"NW"},{"id":4,"name":"Milepost","value":"5.7962"},{"id":17,"name":"Train ID","value":"803-29"},{"id":16,"name":"Locomotive ID","value":"4018"},{"id":130,"name":"Impact","value":""},{"id":150,"name":"Time of Event (Mountain Time)","value":"06:36:08"},{"id":151,"name":"Denver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390</v>
      </c>
      <c r="B161" s="7">
        <v>4017</v>
      </c>
      <c r="C161" s="24" t="s">
        <v>113</v>
      </c>
      <c r="D161" s="24" t="s">
        <v>658</v>
      </c>
      <c r="E161" s="15">
        <v>42611.277673611112</v>
      </c>
      <c r="F161" s="15">
        <v>42611.278993055559</v>
      </c>
      <c r="G161" s="7">
        <v>1</v>
      </c>
      <c r="H161" s="15" t="s">
        <v>659</v>
      </c>
      <c r="I161" s="15">
        <v>42611.290243055555</v>
      </c>
      <c r="J161" s="7">
        <v>0</v>
      </c>
      <c r="K161" s="132" t="str">
        <f t="shared" si="72"/>
        <v>4017/4018</v>
      </c>
      <c r="L161" s="24" t="str">
        <f>VLOOKUP(A161,'Trips&amp;Operators'!$C$1:$E$10000,3,FALSE)</f>
        <v>SANTIZO</v>
      </c>
      <c r="M161" s="6">
        <f t="shared" si="73"/>
        <v>1.1249999995925464E-2</v>
      </c>
      <c r="N161" s="7">
        <f t="shared" si="74"/>
        <v>16.199999994132668</v>
      </c>
      <c r="O161" s="7"/>
      <c r="P161" s="7"/>
      <c r="Q161" s="25"/>
      <c r="R161" s="25"/>
      <c r="S161" s="37">
        <f t="shared" si="75"/>
        <v>1</v>
      </c>
      <c r="T161" s="52" t="str">
        <f t="shared" si="76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05:39:51-0600',mode:absolute,to:'2016-08-29 07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1" s="54" t="str">
        <f t="shared" si="78"/>
        <v>N</v>
      </c>
      <c r="X161" s="120">
        <f t="shared" si="87"/>
        <v>1</v>
      </c>
      <c r="Y161" s="69">
        <f t="shared" si="88"/>
        <v>5.8556999999999997</v>
      </c>
      <c r="Z161" s="69">
        <f t="shared" si="79"/>
        <v>7.2400000000000006E-2</v>
      </c>
      <c r="AA161" s="69">
        <f t="shared" si="80"/>
        <v>5.7832999999999997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81"/>
        <v>0804-29</v>
      </c>
      <c r="AE161" s="99" t="str">
        <f t="shared" si="82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61" s="96" t="str">
        <f t="shared" si="83"/>
        <v>"C:\Program Files (x86)\AstroGrep\AstroGrep.exe" /spath="%USERPROFILE%\AppData\Local\Temp\OnboardLogs" /stypes="*4017*20160829*" /stext=" 12:.+((SYSTEM_STATE.+slice.+state.+changed )|(ment ac)|(system.+state.+changed )|(\|lc)|(penalty)|(\[timeout)|(PRM\|1\|D)|(kpr)|(kdp))" /e /r /s</v>
      </c>
      <c r="AG161" s="1" t="str">
        <f t="shared" si="84"/>
        <v>NW</v>
      </c>
      <c r="AH161" s="100" t="str">
        <f t="shared" si="85"/>
        <v>"%USERPROFILE%\Documents\GitHub\eaglep3\Utilities\RefineRTDCRunTimes.py" --tripid 804-29 --locoid 4017 --swversion DE.1.0.7.0 --startMP 300:58557 --initTime 2016-08-29T06:39:51 --startdatetime 2016-08-29T06:41:45 --delay 1 --endMP 204:724 --enddatetime 2016-08-29T06:57:57 --enforcementcount 0 &gt;&gt;C:\Users\stu\Documents\GitHub\eaglep3-reporting\EC\2016-08-29-refined-times.txt</v>
      </c>
      <c r="AI161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{"issue":{"subject":"","project_id":79,"tracker_id":40,"status_id":1,"priority_id":2,"assigned_to_id":23,"start_date":"2016-08-29","description":"","custom_fields":[{"id":1,"name":"Subdivision","value":"NW"},{"id":4,"name":"Milepost","value":"5.7833"},{"id":17,"name":"Train ID","value":"804-29"},{"id":16,"name":"Locomotive ID","value":"4017"},{"id":130,"name":"Impact","value":""},{"id":150,"name":"Time of Event (Mountain Time)","value":"06:57:57"},{"id":151,"name":"Denver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391</v>
      </c>
      <c r="B162" s="7">
        <v>4014</v>
      </c>
      <c r="C162" s="24" t="s">
        <v>113</v>
      </c>
      <c r="D162" s="24" t="s">
        <v>343</v>
      </c>
      <c r="E162" s="15">
        <v>42611.282800925925</v>
      </c>
      <c r="F162" s="15">
        <v>42611.285578703704</v>
      </c>
      <c r="G162" s="7">
        <v>0</v>
      </c>
      <c r="H162" s="15" t="s">
        <v>660</v>
      </c>
      <c r="I162" s="15">
        <v>42611.295173611114</v>
      </c>
      <c r="J162" s="7">
        <v>0</v>
      </c>
      <c r="K162" s="132" t="str">
        <f t="shared" si="72"/>
        <v>4013/4014</v>
      </c>
      <c r="L162" s="24" t="str">
        <f>VLOOKUP(A162,'Trips&amp;Operators'!$C$1:$E$10000,3,FALSE)</f>
        <v>DAVIS</v>
      </c>
      <c r="M162" s="6">
        <f t="shared" si="73"/>
        <v>9.5949074093368836E-3</v>
      </c>
      <c r="N162" s="7">
        <f t="shared" si="74"/>
        <v>13.816666669445112</v>
      </c>
      <c r="O162" s="7"/>
      <c r="P162" s="7"/>
      <c r="Q162" s="25"/>
      <c r="R162" s="25"/>
      <c r="S162" s="37">
        <f t="shared" si="75"/>
        <v>1</v>
      </c>
      <c r="T162" s="52" t="str">
        <f t="shared" si="76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05:47:14-0600',mode:absolute,to:'2016-08-29 08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2" s="54" t="str">
        <f t="shared" si="78"/>
        <v>N</v>
      </c>
      <c r="X162" s="120">
        <f t="shared" si="87"/>
        <v>1</v>
      </c>
      <c r="Y162" s="69">
        <f t="shared" si="88"/>
        <v>9.6500000000000002E-2</v>
      </c>
      <c r="Z162" s="69">
        <f t="shared" si="79"/>
        <v>5.8925999999999998</v>
      </c>
      <c r="AA162" s="69">
        <f t="shared" si="80"/>
        <v>5.7961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81"/>
        <v>0805-29</v>
      </c>
      <c r="AE162" s="99" t="str">
        <f t="shared" si="82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62" s="96" t="str">
        <f t="shared" si="83"/>
        <v>"C:\Program Files (x86)\AstroGrep\AstroGrep.exe" /spath="%USERPROFILE%\AppData\Local\Temp\OnboardLogs" /stypes="*4014*20160829*" /stext=" 13:.+((SYSTEM_STATE.+slice.+state.+changed )|(ment ac)|(system.+state.+changed )|(\|lc)|(penalty)|(\[timeout)|(PRM\|1\|D)|(kpr)|(kdp))" /e /r /s</v>
      </c>
      <c r="AG162" s="1" t="str">
        <f t="shared" si="84"/>
        <v>NW</v>
      </c>
      <c r="AH162" s="100" t="str">
        <f t="shared" si="85"/>
        <v>"%USERPROFILE%\Documents\GitHub\eaglep3\Utilities\RefineRTDCRunTimes.py" --tripid 805-29 --locoid 4014 --swversion DE.1.0.7.0 --startMP 204:965 --initTime 2016-08-29T06:47:14 --startdatetime 2016-08-29T06:51:14 --delay 0 --endMP 300:58926 --enddatetime 2016-08-29T07:05:03 --enforcementcount 0 &gt;&gt;C:\Users\stu\Documents\GitHub\eaglep3-reporting\EC\2016-08-29-refined-times.txt</v>
      </c>
      <c r="AI162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{"issue":{"subject":"","project_id":79,"tracker_id":40,"status_id":1,"priority_id":2,"assigned_to_id":23,"start_date":"2016-08-29","description":"","custom_fields":[{"id":1,"name":"Subdivision","value":"NW"},{"id":4,"name":"Milepost","value":"5.7961"},{"id":17,"name":"Train ID","value":"805-29"},{"id":16,"name":"Locomotive ID","value":"4014"},{"id":130,"name":"Impact","value":""},{"id":150,"name":"Time of Event (Mountain Time)","value":"07:05:03"},{"id":151,"name":"Denver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396</v>
      </c>
      <c r="B163" s="7">
        <v>4013</v>
      </c>
      <c r="C163" s="24" t="s">
        <v>113</v>
      </c>
      <c r="D163" s="24" t="s">
        <v>655</v>
      </c>
      <c r="E163" s="15">
        <v>42611.296087962961</v>
      </c>
      <c r="F163" s="15">
        <v>42611.297314814816</v>
      </c>
      <c r="G163" s="7">
        <v>1</v>
      </c>
      <c r="H163" s="15" t="s">
        <v>661</v>
      </c>
      <c r="I163" s="15">
        <v>42611.309745370374</v>
      </c>
      <c r="J163" s="7">
        <v>0</v>
      </c>
      <c r="K163" s="132" t="str">
        <f t="shared" si="72"/>
        <v>4013/4014</v>
      </c>
      <c r="L163" s="24" t="str">
        <f>VLOOKUP(A163,'Trips&amp;Operators'!$C$1:$E$10000,3,FALSE)</f>
        <v>DAVIS</v>
      </c>
      <c r="M163" s="6">
        <f t="shared" si="73"/>
        <v>1.2430555558239575E-2</v>
      </c>
      <c r="N163" s="7">
        <f t="shared" si="74"/>
        <v>17.900000003864989</v>
      </c>
      <c r="O163" s="7"/>
      <c r="P163" s="7"/>
      <c r="Q163" s="25"/>
      <c r="R163" s="25"/>
      <c r="S163" s="37">
        <f t="shared" si="75"/>
        <v>1</v>
      </c>
      <c r="T163" s="52" t="str">
        <f t="shared" si="76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06:06:22-0600',mode:absolute,to:'2016-08-29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3" s="54" t="str">
        <f t="shared" si="78"/>
        <v>N</v>
      </c>
      <c r="X163" s="120">
        <f t="shared" si="87"/>
        <v>1</v>
      </c>
      <c r="Y163" s="69">
        <f t="shared" si="88"/>
        <v>5.8604000000000003</v>
      </c>
      <c r="Z163" s="69">
        <f t="shared" si="79"/>
        <v>7.0300000000000001E-2</v>
      </c>
      <c r="AA163" s="69">
        <f t="shared" si="80"/>
        <v>5.7901000000000007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81"/>
        <v>0806-29</v>
      </c>
      <c r="AE163" s="99" t="str">
        <f t="shared" si="82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63" s="96" t="str">
        <f t="shared" si="83"/>
        <v>"C:\Program Files (x86)\AstroGrep\AstroGrep.exe" /spath="%USERPROFILE%\AppData\Local\Temp\OnboardLogs" /stypes="*4013*20160829*" /stext=" 13:.+((SYSTEM_STATE.+slice.+state.+changed )|(ment ac)|(system.+state.+changed )|(\|lc)|(penalty)|(\[timeout)|(PRM\|1\|D)|(kpr)|(kdp))" /e /r /s</v>
      </c>
      <c r="AG163" s="1" t="str">
        <f t="shared" si="84"/>
        <v>NW</v>
      </c>
      <c r="AH163" s="100" t="str">
        <f t="shared" si="85"/>
        <v>"%USERPROFILE%\Documents\GitHub\eaglep3\Utilities\RefineRTDCRunTimes.py" --tripid 806-29 --locoid 4013 --swversion DE.1.0.7.0 --startMP 300:58604 --initTime 2016-08-29T07:06:22 --startdatetime 2016-08-29T07:08:08 --delay 1 --endMP 204:703 --enddatetime 2016-08-29T07:26:02 --enforcementcount 0 &gt;&gt;C:\Users\stu\Documents\GitHub\eaglep3-reporting\EC\2016-08-29-refined-times.txt</v>
      </c>
      <c r="AI163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{"issue":{"subject":"","project_id":79,"tracker_id":40,"status_id":1,"priority_id":2,"assigned_to_id":23,"start_date":"2016-08-29","description":"","custom_fields":[{"id":1,"name":"Subdivision","value":"NW"},{"id":4,"name":"Milepost","value":"5.7901"},{"id":17,"name":"Train ID","value":"806-29"},{"id":16,"name":"Locomotive ID","value":"4013"},{"id":130,"name":"Impact","value":""},{"id":150,"name":"Time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394</v>
      </c>
      <c r="B164" s="7">
        <v>4018</v>
      </c>
      <c r="C164" s="24" t="s">
        <v>113</v>
      </c>
      <c r="D164" s="24" t="s">
        <v>662</v>
      </c>
      <c r="E164" s="15">
        <v>42611.291400462964</v>
      </c>
      <c r="F164" s="15">
        <v>42611.306469907409</v>
      </c>
      <c r="G164" s="7">
        <v>1</v>
      </c>
      <c r="H164" s="15" t="s">
        <v>663</v>
      </c>
      <c r="I164" s="15">
        <v>42611.315844907411</v>
      </c>
      <c r="J164" s="7">
        <v>0</v>
      </c>
      <c r="K164" s="132" t="str">
        <f t="shared" si="72"/>
        <v>4017/4018</v>
      </c>
      <c r="L164" s="24" t="str">
        <f>VLOOKUP(A164,'Trips&amp;Operators'!$C$1:$E$10000,3,FALSE)</f>
        <v>SANTIZO</v>
      </c>
      <c r="M164" s="6">
        <f t="shared" si="73"/>
        <v>9.3750000014551915E-3</v>
      </c>
      <c r="N164" s="7">
        <f t="shared" si="74"/>
        <v>13.500000002095476</v>
      </c>
      <c r="O164" s="7"/>
      <c r="P164" s="7"/>
      <c r="Q164" s="25"/>
      <c r="R164" s="25"/>
      <c r="S164" s="37">
        <f t="shared" si="75"/>
        <v>1</v>
      </c>
      <c r="T164" s="52" t="str">
        <f t="shared" si="76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05:59:37-0600',mode:absolute,to:'2016-08-29 08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78"/>
        <v>N</v>
      </c>
      <c r="X164" s="120">
        <f t="shared" si="87"/>
        <v>1</v>
      </c>
      <c r="Y164" s="69">
        <f t="shared" si="88"/>
        <v>0.1007</v>
      </c>
      <c r="Z164" s="69">
        <f t="shared" si="79"/>
        <v>5.8897000000000004</v>
      </c>
      <c r="AA164" s="69">
        <f t="shared" si="80"/>
        <v>5.7890000000000006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81"/>
        <v>0807-29</v>
      </c>
      <c r="AE164" s="99" t="str">
        <f t="shared" si="82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64" s="96" t="str">
        <f t="shared" si="83"/>
        <v>"C:\Program Files (x86)\AstroGrep\AstroGrep.exe" /spath="%USERPROFILE%\AppData\Local\Temp\OnboardLogs" /stypes="*4018*20160829*" /stext=" 13:.+((SYSTEM_STATE.+slice.+state.+changed )|(ment ac)|(system.+state.+changed )|(\|lc)|(penalty)|(\[timeout)|(PRM\|1\|D)|(kpr)|(kdp))" /e /r /s</v>
      </c>
      <c r="AG164" s="1" t="str">
        <f t="shared" si="84"/>
        <v>NW</v>
      </c>
      <c r="AH164" s="100" t="str">
        <f t="shared" si="85"/>
        <v>"%USERPROFILE%\Documents\GitHub\eaglep3\Utilities\RefineRTDCRunTimes.py" --tripid 807-29 --locoid 4018 --swversion DE.1.0.7.0 --startMP 204:1007 --initTime 2016-08-29T06:59:37 --startdatetime 2016-08-29T07:21:19 --delay 1 --endMP 300:58897 --enddatetime 2016-08-29T07:34:49 --enforcementcount 0 &gt;&gt;C:\Users\stu\Documents\GitHub\eaglep3-reporting\EC\2016-08-29-refined-times.txt</v>
      </c>
      <c r="AI164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{"issue":{"subject":"","project_id":79,"tracker_id":40,"status_id":1,"priority_id":2,"assigned_to_id":23,"start_date":"2016-08-29","description":"","custom_fields":[{"id":1,"name":"Subdivision","value":"NW"},{"id":4,"name":"Milepost","value":"5.789"},{"id":17,"name":"Train ID","value":"807-29"},{"id":16,"name":"Locomotive ID","value":"4018"},{"id":130,"name":"Impact","value":""},{"id":150,"name":"Time of Event (Mountain Time)","value":"07:34:49"},{"id":151,"name":"Denver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401</v>
      </c>
      <c r="B165" s="7">
        <v>4017</v>
      </c>
      <c r="C165" s="24" t="s">
        <v>113</v>
      </c>
      <c r="D165" s="24" t="s">
        <v>664</v>
      </c>
      <c r="E165" s="15">
        <v>42611.316770833335</v>
      </c>
      <c r="F165" s="15">
        <v>42611.318171296298</v>
      </c>
      <c r="G165" s="7">
        <v>1</v>
      </c>
      <c r="H165" s="15" t="s">
        <v>665</v>
      </c>
      <c r="I165" s="15">
        <v>42611.331041666665</v>
      </c>
      <c r="J165" s="7">
        <v>0</v>
      </c>
      <c r="K165" s="132" t="str">
        <f t="shared" si="72"/>
        <v>4017/4018</v>
      </c>
      <c r="L165" s="24" t="str">
        <f>VLOOKUP(A165,'Trips&amp;Operators'!$C$1:$E$10000,3,FALSE)</f>
        <v>SANTIZO</v>
      </c>
      <c r="M165" s="6">
        <f t="shared" si="73"/>
        <v>1.2870370366727002E-2</v>
      </c>
      <c r="N165" s="7">
        <f t="shared" si="74"/>
        <v>18.533333328086883</v>
      </c>
      <c r="O165" s="7"/>
      <c r="P165" s="7"/>
      <c r="Q165" s="25"/>
      <c r="R165" s="25"/>
      <c r="S165" s="37">
        <f t="shared" si="75"/>
        <v>1</v>
      </c>
      <c r="T165" s="52" t="str">
        <f t="shared" si="76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06:36:09-0600',mode:absolute,to:'2016-08-29 08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78"/>
        <v>N</v>
      </c>
      <c r="X165" s="120">
        <f t="shared" si="87"/>
        <v>1</v>
      </c>
      <c r="Y165" s="69">
        <f t="shared" si="88"/>
        <v>5.8567999999999998</v>
      </c>
      <c r="Z165" s="69">
        <f t="shared" si="79"/>
        <v>7.1900000000000006E-2</v>
      </c>
      <c r="AA165" s="69">
        <f t="shared" si="80"/>
        <v>5.7848999999999995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81"/>
        <v>0808-29</v>
      </c>
      <c r="AE165" s="99" t="str">
        <f t="shared" si="82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65" s="96" t="str">
        <f t="shared" si="83"/>
        <v>"C:\Program Files (x86)\AstroGrep\AstroGrep.exe" /spath="%USERPROFILE%\AppData\Local\Temp\OnboardLogs" /stypes="*4017*20160829*" /stext=" 13:.+((SYSTEM_STATE.+slice.+state.+changed )|(ment ac)|(system.+state.+changed )|(\|lc)|(penalty)|(\[timeout)|(PRM\|1\|D)|(kpr)|(kdp))" /e /r /s</v>
      </c>
      <c r="AG165" s="1" t="str">
        <f t="shared" si="84"/>
        <v>NW</v>
      </c>
      <c r="AH165" s="100" t="str">
        <f t="shared" si="85"/>
        <v>"%USERPROFILE%\Documents\GitHub\eaglep3\Utilities\RefineRTDCRunTimes.py" --tripid 808-29 --locoid 4017 --swversion DE.1.0.7.0 --startMP 300:58568 --initTime 2016-08-29T07:36:09 --startdatetime 2016-08-29T07:38:10 --delay 1 --endMP 204:719 --enddatetime 2016-08-29T07:56:42 --enforcementcount 0 &gt;&gt;C:\Users\stu\Documents\GitHub\eaglep3-reporting\EC\2016-08-29-refined-times.txt</v>
      </c>
      <c r="AI165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{"issue":{"subject":"","project_id":79,"tracker_id":40,"status_id":1,"priority_id":2,"assigned_to_id":23,"start_date":"2016-08-29","description":"","custom_fields":[{"id":1,"name":"Subdivision","value":"NW"},{"id":4,"name":"Milepost","value":"5.7849"},{"id":17,"name":"Train ID","value":"808-29"},{"id":16,"name":"Locomotive ID","value":"4017"},{"id":130,"name":"Impact","value":""},{"id":150,"name":"Time of Event (Mountain Time)","value":"07:56:42"},{"id":151,"name":"Denver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403</v>
      </c>
      <c r="B166" s="7">
        <v>4014</v>
      </c>
      <c r="C166" s="24" t="s">
        <v>113</v>
      </c>
      <c r="D166" s="24" t="s">
        <v>666</v>
      </c>
      <c r="E166" s="15">
        <v>42611.320833333331</v>
      </c>
      <c r="F166" s="15">
        <v>42611.327210648145</v>
      </c>
      <c r="G166" s="7">
        <v>1</v>
      </c>
      <c r="H166" s="15" t="s">
        <v>286</v>
      </c>
      <c r="I166" s="15">
        <v>42611.336550925924</v>
      </c>
      <c r="J166" s="7">
        <v>0</v>
      </c>
      <c r="K166" s="132" t="str">
        <f t="shared" si="72"/>
        <v>4013/4014</v>
      </c>
      <c r="L166" s="24" t="str">
        <f>VLOOKUP(A166,'Trips&amp;Operators'!$C$1:$E$10000,3,FALSE)</f>
        <v>DAVIS</v>
      </c>
      <c r="M166" s="6">
        <f t="shared" si="73"/>
        <v>9.340277778392192E-3</v>
      </c>
      <c r="N166" s="7">
        <f t="shared" si="74"/>
        <v>13.450000000884756</v>
      </c>
      <c r="O166" s="7"/>
      <c r="P166" s="7"/>
      <c r="Q166" s="25"/>
      <c r="R166" s="25"/>
      <c r="S166" s="37">
        <f t="shared" si="75"/>
        <v>1</v>
      </c>
      <c r="T166" s="52" t="str">
        <f t="shared" si="76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06:42:00-0600',mode:absolute,to:'2016-08-29 09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6" s="54" t="str">
        <f t="shared" si="78"/>
        <v>N</v>
      </c>
      <c r="X166" s="120">
        <f t="shared" si="87"/>
        <v>1</v>
      </c>
      <c r="Y166" s="69">
        <f t="shared" si="88"/>
        <v>9.9000000000000005E-2</v>
      </c>
      <c r="Z166" s="69">
        <f t="shared" si="79"/>
        <v>5.8933</v>
      </c>
      <c r="AA166" s="69">
        <f t="shared" si="80"/>
        <v>5.7942999999999998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81"/>
        <v>0809-29</v>
      </c>
      <c r="AE166" s="99" t="str">
        <f t="shared" si="82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66" s="96" t="str">
        <f t="shared" si="83"/>
        <v>"C:\Program Files (x86)\AstroGrep\AstroGrep.exe" /spath="%USERPROFILE%\AppData\Local\Temp\OnboardLogs" /stypes="*4014*20160829*" /stext=" 14:.+((SYSTEM_STATE.+slice.+state.+changed )|(ment ac)|(system.+state.+changed )|(\|lc)|(penalty)|(\[timeout)|(PRM\|1\|D)|(kpr)|(kdp))" /e /r /s</v>
      </c>
      <c r="AG166" s="1" t="str">
        <f t="shared" si="84"/>
        <v>NW</v>
      </c>
      <c r="AH166" s="100" t="str">
        <f t="shared" si="85"/>
        <v>"%USERPROFILE%\Documents\GitHub\eaglep3\Utilities\RefineRTDCRunTimes.py" --tripid 809-29 --locoid 4014 --swversion DE.1.0.7.0 --startMP 204:990 --initTime 2016-08-29T07:42:00 --startdatetime 2016-08-29T07:51:11 --delay 1 --endMP 300:58933 --enddatetime 2016-08-29T08:04:38 --enforcementcount 0 &gt;&gt;C:\Users\stu\Documents\GitHub\eaglep3-reporting\EC\2016-08-29-refined-times.txt</v>
      </c>
      <c r="AI166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{"issue":{"subject":"","project_id":79,"tracker_id":40,"status_id":1,"priority_id":2,"assigned_to_id":23,"start_date":"2016-08-29","description":"","custom_fields":[{"id":1,"name":"Subdivision","value":"NW"},{"id":4,"name":"Milepost","value":"5.7943"},{"id":17,"name":"Train ID","value":"809-29"},{"id":16,"name":"Locomotive ID","value":"4014"},{"id":130,"name":"Impact","value":""},{"id":150,"name":"Time of Event (Mountain Time)","value":"08:04:38"},{"id":151,"name":"Denver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408</v>
      </c>
      <c r="B167" s="7">
        <v>4013</v>
      </c>
      <c r="C167" s="24" t="s">
        <v>113</v>
      </c>
      <c r="D167" s="24" t="s">
        <v>333</v>
      </c>
      <c r="E167" s="15">
        <v>42611.337210648147</v>
      </c>
      <c r="F167" s="15">
        <v>42611.338356481479</v>
      </c>
      <c r="G167" s="7">
        <v>1</v>
      </c>
      <c r="H167" s="15" t="s">
        <v>667</v>
      </c>
      <c r="I167" s="15">
        <v>42611.350821759261</v>
      </c>
      <c r="J167" s="7">
        <v>0</v>
      </c>
      <c r="K167" s="132" t="str">
        <f t="shared" si="72"/>
        <v>4013/4014</v>
      </c>
      <c r="L167" s="24" t="str">
        <f>VLOOKUP(A167,'Trips&amp;Operators'!$C$1:$E$10000,3,FALSE)</f>
        <v>DAVIS</v>
      </c>
      <c r="M167" s="6">
        <f t="shared" si="73"/>
        <v>1.2465277781302575E-2</v>
      </c>
      <c r="N167" s="7">
        <f t="shared" si="74"/>
        <v>17.950000005075708</v>
      </c>
      <c r="O167" s="7"/>
      <c r="P167" s="7"/>
      <c r="Q167" s="25"/>
      <c r="R167" s="25"/>
      <c r="S167" s="37">
        <f t="shared" si="75"/>
        <v>1</v>
      </c>
      <c r="T167" s="52" t="str">
        <f t="shared" si="76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07:05:35-0600',mode:absolute,to:'2016-08-29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7" s="54" t="str">
        <f t="shared" si="78"/>
        <v>N</v>
      </c>
      <c r="X167" s="120">
        <f t="shared" si="87"/>
        <v>1</v>
      </c>
      <c r="Y167" s="69">
        <f t="shared" si="88"/>
        <v>5.8616999999999999</v>
      </c>
      <c r="Z167" s="69">
        <f t="shared" si="79"/>
        <v>2.1399999999999999E-2</v>
      </c>
      <c r="AA167" s="69">
        <f t="shared" si="80"/>
        <v>5.8403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81"/>
        <v>0810-29</v>
      </c>
      <c r="AE167" s="99" t="str">
        <f t="shared" si="82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67" s="96" t="str">
        <f t="shared" si="83"/>
        <v>"C:\Program Files (x86)\AstroGrep\AstroGrep.exe" /spath="%USERPROFILE%\AppData\Local\Temp\OnboardLogs" /stypes="*4013*20160829*" /stext=" 14:.+((SYSTEM_STATE.+slice.+state.+changed )|(ment ac)|(system.+state.+changed )|(\|lc)|(penalty)|(\[timeout)|(PRM\|1\|D)|(kpr)|(kdp))" /e /r /s</v>
      </c>
      <c r="AG167" s="1" t="str">
        <f t="shared" si="84"/>
        <v>NW</v>
      </c>
      <c r="AH167" s="100" t="str">
        <f t="shared" si="85"/>
        <v>"%USERPROFILE%\Documents\GitHub\eaglep3\Utilities\RefineRTDCRunTimes.py" --tripid 810-29 --locoid 4013 --swversion DE.1.0.7.0 --startMP 300:58617 --initTime 2016-08-29T08:05:35 --startdatetime 2016-08-29T08:07:14 --delay 1 --endMP 204:214 --enddatetime 2016-08-29T08:25:11 --enforcementcount 0 &gt;&gt;C:\Users\stu\Documents\GitHub\eaglep3-reporting\EC\2016-08-29-refined-times.txt</v>
      </c>
      <c r="AI167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{"issue":{"subject":"","project_id":79,"tracker_id":40,"status_id":1,"priority_id":2,"assigned_to_id":23,"start_date":"2016-08-29","description":"","custom_fields":[{"id":1,"name":"Subdivision","value":"NW"},{"id":4,"name":"Milepost","value":"5.8403"},{"id":17,"name":"Train ID","value":"810-29"},{"id":16,"name":"Locomotive ID","value":"4013"},{"id":130,"name":"Impact","value":""},{"id":150,"name":"Time of Event (Mountain Time)","value":"08:25:11"},{"id":151,"name":"Denver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406</v>
      </c>
      <c r="B168" s="7">
        <v>4018</v>
      </c>
      <c r="C168" s="24" t="s">
        <v>113</v>
      </c>
      <c r="D168" s="24" t="s">
        <v>668</v>
      </c>
      <c r="E168" s="15">
        <v>42611.332372685189</v>
      </c>
      <c r="F168" s="15">
        <v>42611.34820601852</v>
      </c>
      <c r="G168" s="7">
        <v>1</v>
      </c>
      <c r="H168" s="15" t="s">
        <v>669</v>
      </c>
      <c r="I168" s="15">
        <v>42611.357372685183</v>
      </c>
      <c r="J168" s="7">
        <v>0</v>
      </c>
      <c r="K168" s="132" t="str">
        <f t="shared" si="72"/>
        <v>4017/4018</v>
      </c>
      <c r="L168" s="24" t="str">
        <f>VLOOKUP(A168,'Trips&amp;Operators'!$C$1:$E$10000,3,FALSE)</f>
        <v>SANTIZO</v>
      </c>
      <c r="M168" s="6">
        <f t="shared" si="73"/>
        <v>9.1666666630771942E-3</v>
      </c>
      <c r="N168" s="7">
        <f t="shared" si="74"/>
        <v>13.19999999483116</v>
      </c>
      <c r="O168" s="7"/>
      <c r="P168" s="7"/>
      <c r="Q168" s="25"/>
      <c r="R168" s="25"/>
      <c r="S168" s="37">
        <f t="shared" si="75"/>
        <v>1</v>
      </c>
      <c r="T168" s="52" t="str">
        <f t="shared" si="76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06:58:37-0600',mode:absolute,to:'2016-08-29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78"/>
        <v>N</v>
      </c>
      <c r="X168" s="120">
        <f t="shared" si="87"/>
        <v>1</v>
      </c>
      <c r="Y168" s="69">
        <f t="shared" si="88"/>
        <v>0.1011</v>
      </c>
      <c r="Z168" s="69">
        <f t="shared" si="79"/>
        <v>5.8875000000000002</v>
      </c>
      <c r="AA168" s="69">
        <f t="shared" si="80"/>
        <v>5.7864000000000004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81"/>
        <v>0811-29</v>
      </c>
      <c r="AE168" s="99" t="str">
        <f t="shared" si="82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68" s="96" t="str">
        <f t="shared" si="83"/>
        <v>"C:\Program Files (x86)\AstroGrep\AstroGrep.exe" /spath="%USERPROFILE%\AppData\Local\Temp\OnboardLogs" /stypes="*4018*20160829*" /stext=" 14:.+((SYSTEM_STATE.+slice.+state.+changed )|(ment ac)|(system.+state.+changed )|(\|lc)|(penalty)|(\[timeout)|(PRM\|1\|D)|(kpr)|(kdp))" /e /r /s</v>
      </c>
      <c r="AG168" s="1" t="str">
        <f t="shared" si="84"/>
        <v>NW</v>
      </c>
      <c r="AH168" s="100" t="str">
        <f t="shared" si="85"/>
        <v>"%USERPROFILE%\Documents\GitHub\eaglep3\Utilities\RefineRTDCRunTimes.py" --tripid 811-29 --locoid 4018 --swversion DE.1.0.7.0 --startMP 204:1011 --initTime 2016-08-29T07:58:37 --startdatetime 2016-08-29T08:21:25 --delay 1 --endMP 300:58875 --enddatetime 2016-08-29T08:34:37 --enforcementcount 0 &gt;&gt;C:\Users\stu\Documents\GitHub\eaglep3-reporting\EC\2016-08-29-refined-times.txt</v>
      </c>
      <c r="AI168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{"issue":{"subject":"","project_id":79,"tracker_id":40,"status_id":1,"priority_id":2,"assigned_to_id":23,"start_date":"2016-08-29","description":"","custom_fields":[{"id":1,"name":"Subdivision","value":"NW"},{"id":4,"name":"Milepost","value":"5.7864"},{"id":17,"name":"Train ID","value":"811-29"},{"id":16,"name":"Locomotive ID","value":"4018"},{"id":130,"name":"Impact","value":""},{"id":150,"name":"Time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413</v>
      </c>
      <c r="B169" s="7">
        <v>4017</v>
      </c>
      <c r="C169" s="24" t="s">
        <v>113</v>
      </c>
      <c r="D169" s="24" t="s">
        <v>670</v>
      </c>
      <c r="E169" s="15">
        <v>42611.35869212963</v>
      </c>
      <c r="F169" s="15">
        <v>42611.36010416667</v>
      </c>
      <c r="G169" s="7">
        <v>1</v>
      </c>
      <c r="H169" s="15" t="s">
        <v>671</v>
      </c>
      <c r="I169" s="15">
        <v>42611.373113425929</v>
      </c>
      <c r="J169" s="7">
        <v>0</v>
      </c>
      <c r="K169" s="132" t="str">
        <f t="shared" si="72"/>
        <v>4017/4018</v>
      </c>
      <c r="L169" s="24" t="str">
        <f>VLOOKUP(A169,'Trips&amp;Operators'!$C$1:$E$10000,3,FALSE)</f>
        <v>SANTIZO</v>
      </c>
      <c r="M169" s="6">
        <f t="shared" si="73"/>
        <v>1.3009259258979E-2</v>
      </c>
      <c r="N169" s="7">
        <f t="shared" si="74"/>
        <v>18.73333333292976</v>
      </c>
      <c r="O169" s="7"/>
      <c r="P169" s="7"/>
      <c r="Q169" s="25"/>
      <c r="R169" s="25"/>
      <c r="S169" s="37">
        <f t="shared" si="75"/>
        <v>1</v>
      </c>
      <c r="T169" s="52" t="str">
        <f t="shared" si="76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07:36:31-0600',mode:absolute,to:'2016-08-29 09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78"/>
        <v>N</v>
      </c>
      <c r="X169" s="120">
        <f t="shared" si="87"/>
        <v>1</v>
      </c>
      <c r="Y169" s="69">
        <f t="shared" si="88"/>
        <v>5.8563999999999998</v>
      </c>
      <c r="Z169" s="69">
        <f t="shared" si="79"/>
        <v>7.2700000000000001E-2</v>
      </c>
      <c r="AA169" s="69">
        <f t="shared" si="80"/>
        <v>5.7836999999999996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81"/>
        <v>0812-29</v>
      </c>
      <c r="AE169" s="99" t="str">
        <f t="shared" si="82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69" s="96" t="str">
        <f t="shared" si="83"/>
        <v>"C:\Program Files (x86)\AstroGrep\AstroGrep.exe" /spath="%USERPROFILE%\AppData\Local\Temp\OnboardLogs" /stypes="*4017*20160829*" /stext=" 14:.+((SYSTEM_STATE.+slice.+state.+changed )|(ment ac)|(system.+state.+changed )|(\|lc)|(penalty)|(\[timeout)|(PRM\|1\|D)|(kpr)|(kdp))" /e /r /s</v>
      </c>
      <c r="AG169" s="1" t="str">
        <f t="shared" si="84"/>
        <v>NW</v>
      </c>
      <c r="AH169" s="100" t="str">
        <f t="shared" si="85"/>
        <v>"%USERPROFILE%\Documents\GitHub\eaglep3\Utilities\RefineRTDCRunTimes.py" --tripid 812-29 --locoid 4017 --swversion DE.1.0.7.0 --startMP 300:58564 --initTime 2016-08-29T08:36:31 --startdatetime 2016-08-29T08:38:33 --delay 1 --endMP 204:727 --enddatetime 2016-08-29T08:57:17 --enforcementcount 0 &gt;&gt;C:\Users\stu\Documents\GitHub\eaglep3-reporting\EC\2016-08-29-refined-times.txt</v>
      </c>
      <c r="AI169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{"issue":{"subject":"","project_id":79,"tracker_id":40,"status_id":1,"priority_id":2,"assigned_to_id":23,"start_date":"2016-08-29","description":"","custom_fields":[{"id":1,"name":"Subdivision","value":"NW"},{"id":4,"name":"Milepost","value":"5.7837"},{"id":17,"name":"Train ID","value":"812-29"},{"id":16,"name":"Locomotive ID","value":"4017"},{"id":130,"name":"Impact","value":""},{"id":150,"name":"Time of Event (Mountain Time)","value":"08:57:17"},{"id":151,"name":"Denver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417</v>
      </c>
      <c r="B170" s="7">
        <v>4018</v>
      </c>
      <c r="C170" s="24" t="s">
        <v>113</v>
      </c>
      <c r="D170" s="24" t="s">
        <v>331</v>
      </c>
      <c r="E170" s="15">
        <v>42611.374502314815</v>
      </c>
      <c r="F170" s="15">
        <v>42611.389884259261</v>
      </c>
      <c r="G170" s="7">
        <v>1</v>
      </c>
      <c r="H170" s="15" t="s">
        <v>672</v>
      </c>
      <c r="I170" s="15">
        <v>42611.399004629631</v>
      </c>
      <c r="J170" s="7">
        <v>0</v>
      </c>
      <c r="K170" s="132" t="str">
        <f t="shared" si="72"/>
        <v>4017/4018</v>
      </c>
      <c r="L170" s="24" t="str">
        <f>VLOOKUP(A170,'Trips&amp;Operators'!$C$1:$E$10000,3,FALSE)</f>
        <v>SANTIZO</v>
      </c>
      <c r="M170" s="6">
        <f t="shared" si="73"/>
        <v>9.1203703705104999E-3</v>
      </c>
      <c r="N170" s="7">
        <f t="shared" si="74"/>
        <v>13.13333333353512</v>
      </c>
      <c r="O170" s="7"/>
      <c r="P170" s="7"/>
      <c r="Q170" s="25"/>
      <c r="R170" s="25"/>
      <c r="S170" s="37">
        <f t="shared" si="75"/>
        <v>1</v>
      </c>
      <c r="T170" s="52" t="str">
        <f t="shared" si="76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07:59:17-0600',mode:absolute,to:'2016-08-29 10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78"/>
        <v>N</v>
      </c>
      <c r="X170" s="120">
        <f t="shared" si="87"/>
        <v>1</v>
      </c>
      <c r="Y170" s="69">
        <f t="shared" si="88"/>
        <v>0.10199999999999999</v>
      </c>
      <c r="Z170" s="69">
        <f t="shared" si="79"/>
        <v>5.8887999999999998</v>
      </c>
      <c r="AA170" s="69">
        <f t="shared" si="80"/>
        <v>5.7867999999999995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81"/>
        <v>0813-29</v>
      </c>
      <c r="AE170" s="99" t="str">
        <f t="shared" si="82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70" s="96" t="str">
        <f t="shared" si="83"/>
        <v>"C:\Program Files (x86)\AstroGrep\AstroGrep.exe" /spath="%USERPROFILE%\AppData\Local\Temp\OnboardLogs" /stypes="*4018*20160829*" /stext=" 15:.+((SYSTEM_STATE.+slice.+state.+changed )|(ment ac)|(system.+state.+changed )|(\|lc)|(penalty)|(\[timeout)|(PRM\|1\|D)|(kpr)|(kdp))" /e /r /s</v>
      </c>
      <c r="AG170" s="1" t="str">
        <f t="shared" si="84"/>
        <v>NW</v>
      </c>
      <c r="AH170" s="100" t="str">
        <f t="shared" si="85"/>
        <v>"%USERPROFILE%\Documents\GitHub\eaglep3\Utilities\RefineRTDCRunTimes.py" --tripid 813-29 --locoid 4018 --swversion DE.1.0.7.0 --startMP 204:1020 --initTime 2016-08-29T08:59:17 --startdatetime 2016-08-29T09:21:26 --delay 1 --endMP 300:58888 --enddatetime 2016-08-29T09:34:34 --enforcementcount 0 &gt;&gt;C:\Users\stu\Documents\GitHub\eaglep3-reporting\EC\2016-08-29-refined-times.txt</v>
      </c>
      <c r="AI170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{"issue":{"subject":"","project_id":79,"tracker_id":40,"status_id":1,"priority_id":2,"assigned_to_id":23,"start_date":"2016-08-29","description":"","custom_fields":[{"id":1,"name":"Subdivision","value":"NW"},{"id":4,"name":"Milepost","value":"5.7868"},{"id":17,"name":"Train ID","value":"813-29"},{"id":16,"name":"Locomotive ID","value":"4018"},{"id":130,"name":"Impact","value":""},{"id":150,"name":"Time of Event (Mountain Time)","value":"09:34:34"},{"id":151,"name":"Denver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423</v>
      </c>
      <c r="B171" s="7">
        <v>4017</v>
      </c>
      <c r="C171" s="24" t="s">
        <v>113</v>
      </c>
      <c r="D171" s="24" t="s">
        <v>670</v>
      </c>
      <c r="E171" s="15">
        <v>42611.399722222224</v>
      </c>
      <c r="F171" s="15">
        <v>42611.400787037041</v>
      </c>
      <c r="G171" s="7">
        <v>1</v>
      </c>
      <c r="H171" s="15" t="s">
        <v>673</v>
      </c>
      <c r="I171" s="15">
        <v>42611.413229166668</v>
      </c>
      <c r="J171" s="7">
        <v>0</v>
      </c>
      <c r="K171" s="132" t="str">
        <f t="shared" si="72"/>
        <v>4017/4018</v>
      </c>
      <c r="L171" s="24" t="str">
        <f>VLOOKUP(A171,'Trips&amp;Operators'!$C$1:$E$10000,3,FALSE)</f>
        <v>SANTIZO</v>
      </c>
      <c r="M171" s="6">
        <f t="shared" si="73"/>
        <v>1.244212962774327E-2</v>
      </c>
      <c r="N171" s="7">
        <f t="shared" si="74"/>
        <v>17.916666663950309</v>
      </c>
      <c r="O171" s="7"/>
      <c r="P171" s="7"/>
      <c r="Q171" s="25"/>
      <c r="R171" s="25"/>
      <c r="S171" s="37">
        <f t="shared" si="75"/>
        <v>1</v>
      </c>
      <c r="T171" s="52" t="str">
        <f t="shared" si="76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08:35:36-0600',mode:absolute,to:'2016-08-29 10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78"/>
        <v>N</v>
      </c>
      <c r="X171" s="120">
        <f t="shared" si="87"/>
        <v>1</v>
      </c>
      <c r="Y171" s="69">
        <f t="shared" si="88"/>
        <v>5.8563999999999998</v>
      </c>
      <c r="Z171" s="69">
        <f t="shared" si="79"/>
        <v>7.0999999999999994E-2</v>
      </c>
      <c r="AA171" s="69">
        <f t="shared" si="80"/>
        <v>5.7854000000000001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81"/>
        <v>0814-29</v>
      </c>
      <c r="AE171" s="99" t="str">
        <f t="shared" si="82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71" s="96" t="str">
        <f t="shared" si="83"/>
        <v>"C:\Program Files (x86)\AstroGrep\AstroGrep.exe" /spath="%USERPROFILE%\AppData\Local\Temp\OnboardLogs" /stypes="*4017*20160829*" /stext=" 15:.+((SYSTEM_STATE.+slice.+state.+changed )|(ment ac)|(system.+state.+changed )|(\|lc)|(penalty)|(\[timeout)|(PRM\|1\|D)|(kpr)|(kdp))" /e /r /s</v>
      </c>
      <c r="AG171" s="1" t="str">
        <f t="shared" si="84"/>
        <v>NW</v>
      </c>
      <c r="AH171" s="100" t="str">
        <f t="shared" si="85"/>
        <v>"%USERPROFILE%\Documents\GitHub\eaglep3\Utilities\RefineRTDCRunTimes.py" --tripid 814-29 --locoid 4017 --swversion DE.1.0.7.0 --startMP 300:58564 --initTime 2016-08-29T09:35:36 --startdatetime 2016-08-29T09:37:08 --delay 1 --endMP 204:710 --enddatetime 2016-08-29T09:55:03 --enforcementcount 0 &gt;&gt;C:\Users\stu\Documents\GitHub\eaglep3-reporting\EC\2016-08-29-refined-times.txt</v>
      </c>
      <c r="AI171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{"issue":{"subject":"","project_id":79,"tracker_id":40,"status_id":1,"priority_id":2,"assigned_to_id":23,"start_date":"2016-08-29","description":"","custom_fields":[{"id":1,"name":"Subdivision","value":"NW"},{"id":4,"name":"Milepost","value":"5.7854"},{"id":17,"name":"Train ID","value":"814-29"},{"id":16,"name":"Locomotive ID","value":"4017"},{"id":130,"name":"Impact","value":""},{"id":150,"name":"Time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427</v>
      </c>
      <c r="B172" s="7">
        <v>4018</v>
      </c>
      <c r="C172" s="24" t="s">
        <v>113</v>
      </c>
      <c r="D172" s="24" t="s">
        <v>288</v>
      </c>
      <c r="E172" s="15">
        <v>42611.4143287037</v>
      </c>
      <c r="F172" s="15">
        <v>42611.43141203704</v>
      </c>
      <c r="G172" s="7">
        <v>1</v>
      </c>
      <c r="H172" s="15" t="s">
        <v>674</v>
      </c>
      <c r="I172" s="15">
        <v>42611.441134259258</v>
      </c>
      <c r="J172" s="7">
        <v>0</v>
      </c>
      <c r="K172" s="132" t="str">
        <f t="shared" si="72"/>
        <v>4017/4018</v>
      </c>
      <c r="L172" s="24" t="str">
        <f>VLOOKUP(A172,'Trips&amp;Operators'!$C$1:$E$10000,3,FALSE)</f>
        <v>SANTIZO</v>
      </c>
      <c r="M172" s="6">
        <f t="shared" si="73"/>
        <v>9.7222222175332718E-3</v>
      </c>
      <c r="N172" s="7">
        <f t="shared" si="74"/>
        <v>13.999999993247911</v>
      </c>
      <c r="O172" s="7"/>
      <c r="P172" s="7"/>
      <c r="Q172" s="25"/>
      <c r="R172" s="25"/>
      <c r="S172" s="37">
        <f t="shared" si="75"/>
        <v>1</v>
      </c>
      <c r="T172" s="52" t="str">
        <f t="shared" si="76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7"/>
        <v>https://search-rtdc-monitor-bjffxe2xuh6vdkpspy63sjmuny.us-east-1.es.amazonaws.com/_plugin/kibana/#/discover/Steve-Slow-Train-Analysis-(2080s-and-2083s)?_g=(refreshInterval:(display:Off,section:0,value:0),time:(from:'2016-08-29 08:56:38-0600',mode:absolute,to:'2016-08-29 11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78"/>
        <v>N</v>
      </c>
      <c r="X172" s="120">
        <f t="shared" si="87"/>
        <v>1</v>
      </c>
      <c r="Y172" s="69">
        <f t="shared" si="88"/>
        <v>0.10059999999999999</v>
      </c>
      <c r="Z172" s="69">
        <f t="shared" si="79"/>
        <v>5.8912000000000004</v>
      </c>
      <c r="AA172" s="69">
        <f t="shared" si="80"/>
        <v>5.7906000000000004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81"/>
        <v>0815-29</v>
      </c>
      <c r="AE172" s="99" t="str">
        <f t="shared" si="82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72" s="96" t="str">
        <f t="shared" si="83"/>
        <v>"C:\Program Files (x86)\AstroGrep\AstroGrep.exe" /spath="%USERPROFILE%\AppData\Local\Temp\OnboardLogs" /stypes="*4018*20160829*" /stext=" 16:.+((SYSTEM_STATE.+slice.+state.+changed )|(ment ac)|(system.+state.+changed )|(\|lc)|(penalty)|(\[timeout)|(PRM\|1\|D)|(kpr)|(kdp))" /e /r /s</v>
      </c>
      <c r="AG172" s="1" t="str">
        <f t="shared" si="84"/>
        <v>NW</v>
      </c>
      <c r="AH172" s="100" t="str">
        <f t="shared" si="85"/>
        <v>"%USERPROFILE%\Documents\GitHub\eaglep3\Utilities\RefineRTDCRunTimes.py" --tripid 815-29 --locoid 4018 --swversion DE.1.0.7.0 --startMP 204:1006 --initTime 2016-08-29T09:56:38 --startdatetime 2016-08-29T10:21:14 --delay 1 --endMP 300:58912 --enddatetime 2016-08-29T10:35:14 --enforcementcount 0 &gt;&gt;C:\Users\stu\Documents\GitHub\eaglep3-reporting\EC\2016-08-29-refined-times.txt</v>
      </c>
      <c r="AI172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{"issue":{"subject":"","project_id":79,"tracker_id":40,"status_id":1,"priority_id":2,"assigned_to_id":23,"start_date":"2016-08-29","description":"","custom_fields":[{"id":1,"name":"Subdivision","value":"NW"},{"id":4,"name":"Milepost","value":"5.7906"},{"id":17,"name":"Train ID","value":"815-29"},{"id":16,"name":"Locomotive ID","value":"4018"},{"id":130,"name":"Impact","value":""},{"id":150,"name":"Time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433</v>
      </c>
      <c r="B173" s="7">
        <v>4017</v>
      </c>
      <c r="C173" s="24" t="s">
        <v>113</v>
      </c>
      <c r="D173" s="24" t="s">
        <v>655</v>
      </c>
      <c r="E173" s="15">
        <v>42611.442060185182</v>
      </c>
      <c r="F173" s="15">
        <v>42611.44321759259</v>
      </c>
      <c r="G173" s="7">
        <v>1</v>
      </c>
      <c r="H173" s="15" t="s">
        <v>675</v>
      </c>
      <c r="I173" s="15">
        <v>42611.456319444442</v>
      </c>
      <c r="J173" s="7">
        <v>0</v>
      </c>
      <c r="K173" s="132" t="str">
        <f t="shared" ref="K173:K204" si="89">IF(ISEVEN(B173),(B173-1)&amp;"/"&amp;B173,B173&amp;"/"&amp;(B173+1))</f>
        <v>4017/4018</v>
      </c>
      <c r="L173" s="24" t="str">
        <f>VLOOKUP(A173,'Trips&amp;Operators'!$C$1:$E$10000,3,FALSE)</f>
        <v>SANTIZO</v>
      </c>
      <c r="M173" s="6">
        <f t="shared" ref="M173:M204" si="90">I173-F173</f>
        <v>1.3101851851388346E-2</v>
      </c>
      <c r="N173" s="7">
        <f t="shared" ref="N173:N204" si="91">24*60*SUM($M173:$M173)</f>
        <v>18.866666665999219</v>
      </c>
      <c r="O173" s="7"/>
      <c r="P173" s="7"/>
      <c r="Q173" s="25"/>
      <c r="R173" s="25"/>
      <c r="S173" s="37">
        <f t="shared" ref="S173:S204" si="92">SUM(U173:U173)/IF(AG173="EC",12,1)</f>
        <v>1</v>
      </c>
      <c r="T173" s="52" t="str">
        <f t="shared" ref="T173:T204" si="93">IF(ISEVEN(LEFT(AD173,4)),"Southbound","NorthBound")</f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4" si="94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https://search-rtdc-monitor-bjffxe2xuh6vdkpspy63sjmuny.us-east-1.es.amazonaws.com/_plugin/kibana/#/discover/Steve-Slow-Train-Analysis-(2080s-and-2083s)?_g=(refreshInterval:(display:Off,section:0,value:0),time:(from:'2016-08-29 09:36:34-0600',mode:absolute,to:'2016-08-29 11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ref="W173:W204" si="95">IF(AA173&lt;IF(AG173="EC",23,5.65),"Y","N")</f>
        <v>N</v>
      </c>
      <c r="X173" s="120">
        <f t="shared" si="87"/>
        <v>1</v>
      </c>
      <c r="Y173" s="69">
        <f t="shared" si="88"/>
        <v>5.8604000000000003</v>
      </c>
      <c r="Z173" s="69">
        <f t="shared" ref="Z173:Z204" si="96">RIGHT(H173,LEN(H173)-4)/10000</f>
        <v>7.3800000000000004E-2</v>
      </c>
      <c r="AA173" s="69">
        <f t="shared" ref="AA173:AA204" si="97">ABS(Z173-Y173)</f>
        <v>5.7866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ref="AD173:AD204" si="98">IF(LEN(A173)=6,"0"&amp;A173,A173)</f>
        <v>0816-29</v>
      </c>
      <c r="AE173" s="99" t="str">
        <f t="shared" ref="AE173:AE204" si="99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73" s="96" t="str">
        <f t="shared" ref="AF173:AF204" si="100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/stypes="*4017*20160829*" /stext=" 16:.+((SYSTEM_STATE.+slice.+state.+changed )|(ment ac)|(system.+state.+changed )|(\|lc)|(penalty)|(\[timeout)|(PRM\|1\|D)|(kpr)|(kdp))" /e /r /s</v>
      </c>
      <c r="AG173" s="1" t="str">
        <f t="shared" ref="AG173:AG204" si="101">IFERROR(IF(VALUE(LEFT(AD173,2))&lt;=2,"EC",IF(OR(VALUE(LEFT(AD173,2))=8,VALUE(LEFT(AD173,2))=18),"NW","Other")),"Other")</f>
        <v>NW</v>
      </c>
      <c r="AH173" s="100" t="str">
        <f t="shared" si="85"/>
        <v>"%USERPROFILE%\Documents\GitHub\eaglep3\Utilities\RefineRTDCRunTimes.py" --tripid 816-29 --locoid 4017 --swversion DE.1.0.7.0 --startMP 300:58604 --initTime 2016-08-29T10:36:34 --startdatetime 2016-08-29T10:38:14 --delay 1 --endMP 204:738 --enddatetime 2016-08-29T10:57:06 --enforcementcount 0 &gt;&gt;C:\Users\stu\Documents\GitHub\eaglep3-reporting\EC\2016-08-29-refined-times.txt</v>
      </c>
      <c r="AI173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{"issue":{"subject":"","project_id":79,"tracker_id":40,"status_id":1,"priority_id":2,"assigned_to_id":23,"start_date":"2016-08-29","description":"","custom_fields":[{"id":1,"name":"Subdivision","value":"NW"},{"id":4,"name":"Milepost","value":"5.7866"},{"id":17,"name":"Train ID","value":"816-29"},{"id":16,"name":"Locomotive ID","value":"4017"},{"id":130,"name":"Impact","value":""},{"id":150,"name":"Time of Event (Mountain Time)","value":"10:57:06"},{"id":151,"name":"Denver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437</v>
      </c>
      <c r="B174" s="7">
        <v>4018</v>
      </c>
      <c r="C174" s="24" t="s">
        <v>113</v>
      </c>
      <c r="D174" s="24" t="s">
        <v>328</v>
      </c>
      <c r="E174" s="15">
        <v>42611.457372685189</v>
      </c>
      <c r="F174" s="15">
        <v>42611.473090277781</v>
      </c>
      <c r="G174" s="7">
        <v>1</v>
      </c>
      <c r="H174" s="15" t="s">
        <v>676</v>
      </c>
      <c r="I174" s="15">
        <v>42611.482557870368</v>
      </c>
      <c r="J174" s="7">
        <v>0</v>
      </c>
      <c r="K174" s="132" t="str">
        <f t="shared" si="89"/>
        <v>4017/4018</v>
      </c>
      <c r="L174" s="24" t="str">
        <f>VLOOKUP(A174,'Trips&amp;Operators'!$C$1:$E$10000,3,FALSE)</f>
        <v>SANTIZO</v>
      </c>
      <c r="M174" s="6">
        <f t="shared" si="90"/>
        <v>9.4675925865885802E-3</v>
      </c>
      <c r="N174" s="7">
        <f t="shared" si="91"/>
        <v>13.633333324687555</v>
      </c>
      <c r="O174" s="7"/>
      <c r="P174" s="7"/>
      <c r="Q174" s="25"/>
      <c r="R174" s="25"/>
      <c r="S174" s="37">
        <f t="shared" si="92"/>
        <v>1</v>
      </c>
      <c r="T174" s="52" t="str">
        <f t="shared" si="93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09:58:37-0600',mode:absolute,to:'2016-08-29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95"/>
        <v>N</v>
      </c>
      <c r="X174" s="120">
        <f t="shared" si="87"/>
        <v>1</v>
      </c>
      <c r="Y174" s="69">
        <f t="shared" si="88"/>
        <v>0.10249999999999999</v>
      </c>
      <c r="Z174" s="69">
        <f t="shared" si="96"/>
        <v>5.8867000000000003</v>
      </c>
      <c r="AA174" s="69">
        <f t="shared" si="97"/>
        <v>5.7842000000000002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98"/>
        <v>0817-29</v>
      </c>
      <c r="AE174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74" s="96" t="str">
        <f t="shared" si="100"/>
        <v>"C:\Program Files (x86)\AstroGrep\AstroGrep.exe" /spath="%USERPROFILE%\AppData\Local\Temp\OnboardLogs" /stypes="*4018*20160829*" /stext=" 17:.+((SYSTEM_STATE.+slice.+state.+changed )|(ment ac)|(system.+state.+changed )|(\|lc)|(penalty)|(\[timeout)|(PRM\|1\|D)|(kpr)|(kdp))" /e /r /s</v>
      </c>
      <c r="AG174" s="1" t="str">
        <f t="shared" si="101"/>
        <v>NW</v>
      </c>
      <c r="AH174" s="100" t="str">
        <f t="shared" si="85"/>
        <v>"%USERPROFILE%\Documents\GitHub\eaglep3\Utilities\RefineRTDCRunTimes.py" --tripid 817-29 --locoid 4018 --swversion DE.1.0.7.0 --startMP 204:1025 --initTime 2016-08-29T10:58:37 --startdatetime 2016-08-29T11:21:15 --delay 1 --endMP 300:58867 --enddatetime 2016-08-29T11:34:53 --enforcementcount 0 &gt;&gt;C:\Users\stu\Documents\GitHub\eaglep3-reporting\EC\2016-08-29-refined-times.txt</v>
      </c>
      <c r="AI174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{"issue":{"subject":"","project_id":79,"tracker_id":40,"status_id":1,"priority_id":2,"assigned_to_id":23,"start_date":"2016-08-29","description":"","custom_fields":[{"id":1,"name":"Subdivision","value":"NW"},{"id":4,"name":"Milepost","value":"5.7842"},{"id":17,"name":"Train ID","value":"817-29"},{"id":16,"name":"Locomotive ID","value":"4018"},{"id":130,"name":"Impact","value":""},{"id":150,"name":"Time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442</v>
      </c>
      <c r="B175" s="7">
        <v>4017</v>
      </c>
      <c r="C175" s="24" t="s">
        <v>113</v>
      </c>
      <c r="D175" s="24" t="s">
        <v>677</v>
      </c>
      <c r="E175" s="15">
        <v>42611.483541666668</v>
      </c>
      <c r="F175" s="15">
        <v>42611.484699074077</v>
      </c>
      <c r="G175" s="7">
        <v>1</v>
      </c>
      <c r="H175" s="15" t="s">
        <v>582</v>
      </c>
      <c r="I175" s="15">
        <v>42611.498692129629</v>
      </c>
      <c r="J175" s="7">
        <v>0</v>
      </c>
      <c r="K175" s="132" t="str">
        <f t="shared" si="89"/>
        <v>4017/4018</v>
      </c>
      <c r="L175" s="24" t="str">
        <f>VLOOKUP(A175,'Trips&amp;Operators'!$C$1:$E$10000,3,FALSE)</f>
        <v>SANTIZO</v>
      </c>
      <c r="M175" s="6">
        <f t="shared" si="90"/>
        <v>1.3993055552418809E-2</v>
      </c>
      <c r="N175" s="7">
        <f t="shared" si="91"/>
        <v>20.149999995483086</v>
      </c>
      <c r="O175" s="7"/>
      <c r="P175" s="7"/>
      <c r="Q175" s="25"/>
      <c r="R175" s="25"/>
      <c r="S175" s="37">
        <f t="shared" si="92"/>
        <v>1</v>
      </c>
      <c r="T175" s="52" t="str">
        <f t="shared" si="93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10:36:18-0600',mode:absolute,to:'2016-08-29 12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95"/>
        <v>N</v>
      </c>
      <c r="X175" s="120">
        <f t="shared" si="87"/>
        <v>1</v>
      </c>
      <c r="Y175" s="69">
        <f t="shared" si="88"/>
        <v>5.8559000000000001</v>
      </c>
      <c r="Z175" s="69">
        <f t="shared" si="96"/>
        <v>7.0599999999999996E-2</v>
      </c>
      <c r="AA175" s="69">
        <f t="shared" si="97"/>
        <v>5.7853000000000003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98"/>
        <v>0818-29</v>
      </c>
      <c r="AE175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75" s="96" t="str">
        <f t="shared" si="100"/>
        <v>"C:\Program Files (x86)\AstroGrep\AstroGrep.exe" /spath="%USERPROFILE%\AppData\Local\Temp\OnboardLogs" /stypes="*4017*20160829*" /stext=" 17:.+((SYSTEM_STATE.+slice.+state.+changed )|(ment ac)|(system.+state.+changed )|(\|lc)|(penalty)|(\[timeout)|(PRM\|1\|D)|(kpr)|(kdp))" /e /r /s</v>
      </c>
      <c r="AG175" s="1" t="str">
        <f t="shared" si="101"/>
        <v>NW</v>
      </c>
      <c r="AH175" s="100" t="str">
        <f t="shared" si="85"/>
        <v>"%USERPROFILE%\Documents\GitHub\eaglep3\Utilities\RefineRTDCRunTimes.py" --tripid 818-29 --locoid 4017 --swversion DE.1.0.7.0 --startMP 300:58559 --initTime 2016-08-29T11:36:18 --startdatetime 2016-08-29T11:37:58 --delay 1 --endMP 204:706 --enddatetime 2016-08-29T11:58:07 --enforcementcount 0 &gt;&gt;C:\Users\stu\Documents\GitHub\eaglep3-reporting\EC\2016-08-29-refined-times.txt</v>
      </c>
      <c r="AI175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{"issue":{"subject":"","project_id":79,"tracker_id":40,"status_id":1,"priority_id":2,"assigned_to_id":23,"start_date":"2016-08-29","description":"","custom_fields":[{"id":1,"name":"Subdivision","value":"NW"},{"id":4,"name":"Milepost","value":"5.7853"},{"id":17,"name":"Train ID","value":"818-29"},{"id":16,"name":"Locomotive ID","value":"4017"},{"id":130,"name":"Impact","value":""},{"id":150,"name":"Time of Event (Mountain Time)","value":"11:58:07"},{"id":151,"name":"Denver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448</v>
      </c>
      <c r="B176" s="7">
        <v>4018</v>
      </c>
      <c r="C176" s="24" t="s">
        <v>113</v>
      </c>
      <c r="D176" s="24" t="s">
        <v>678</v>
      </c>
      <c r="E176" s="15">
        <v>42611.499988425923</v>
      </c>
      <c r="F176" s="15">
        <v>42611.515104166669</v>
      </c>
      <c r="G176" s="7">
        <v>1</v>
      </c>
      <c r="H176" s="15" t="s">
        <v>679</v>
      </c>
      <c r="I176" s="15">
        <v>42611.524722222224</v>
      </c>
      <c r="J176" s="7">
        <v>0</v>
      </c>
      <c r="K176" s="132" t="str">
        <f t="shared" si="89"/>
        <v>4017/4018</v>
      </c>
      <c r="L176" s="24" t="str">
        <f>VLOOKUP(A176,'Trips&amp;Operators'!$C$1:$E$10000,3,FALSE)</f>
        <v>SANTIZO</v>
      </c>
      <c r="M176" s="6">
        <f t="shared" si="90"/>
        <v>9.6180555556202307E-3</v>
      </c>
      <c r="N176" s="7">
        <f t="shared" si="91"/>
        <v>13.850000000093132</v>
      </c>
      <c r="O176" s="7"/>
      <c r="P176" s="7"/>
      <c r="Q176" s="25"/>
      <c r="R176" s="25"/>
      <c r="S176" s="37">
        <f t="shared" si="92"/>
        <v>1</v>
      </c>
      <c r="T176" s="52" t="str">
        <f t="shared" si="93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10:59:59-0600',mode:absolute,to:'2016-08-29 13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95"/>
        <v>N</v>
      </c>
      <c r="X176" s="120">
        <f t="shared" si="87"/>
        <v>1</v>
      </c>
      <c r="Y176" s="69">
        <f t="shared" si="88"/>
        <v>9.9199999999999997E-2</v>
      </c>
      <c r="Z176" s="69">
        <f t="shared" si="96"/>
        <v>5.8895999999999997</v>
      </c>
      <c r="AA176" s="69">
        <f t="shared" si="97"/>
        <v>5.7904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98"/>
        <v>0819-29</v>
      </c>
      <c r="AE176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76" s="96" t="str">
        <f t="shared" si="100"/>
        <v>"C:\Program Files (x86)\AstroGrep\AstroGrep.exe" /spath="%USERPROFILE%\AppData\Local\Temp\OnboardLogs" /stypes="*4018*20160829*" /stext=" 18:.+((SYSTEM_STATE.+slice.+state.+changed )|(ment ac)|(system.+state.+changed )|(\|lc)|(penalty)|(\[timeout)|(PRM\|1\|D)|(kpr)|(kdp))" /e /r /s</v>
      </c>
      <c r="AG176" s="1" t="str">
        <f t="shared" si="101"/>
        <v>NW</v>
      </c>
      <c r="AH176" s="100" t="str">
        <f t="shared" si="85"/>
        <v>"%USERPROFILE%\Documents\GitHub\eaglep3\Utilities\RefineRTDCRunTimes.py" --tripid 819-29 --locoid 4018 --swversion DE.1.0.7.0 --startMP 204:992 --initTime 2016-08-29T11:59:59 --startdatetime 2016-08-29T12:21:45 --delay 1 --endMP 300:58896 --enddatetime 2016-08-29T12:35:36 --enforcementcount 0 &gt;&gt;C:\Users\stu\Documents\GitHub\eaglep3-reporting\EC\2016-08-29-refined-times.txt</v>
      </c>
      <c r="AI176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{"issue":{"subject":"","project_id":79,"tracker_id":40,"status_id":1,"priority_id":2,"assigned_to_id":23,"start_date":"2016-08-29","description":"","custom_fields":[{"id":1,"name":"Subdivision","value":"NW"},{"id":4,"name":"Milepost","value":"5.7904"},{"id":17,"name":"Train ID","value":"819-29"},{"id":16,"name":"Locomotive ID","value":"4018"},{"id":130,"name":"Impact","value":""},{"id":150,"name":"Time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455</v>
      </c>
      <c r="B177" s="7">
        <v>4017</v>
      </c>
      <c r="C177" s="24" t="s">
        <v>113</v>
      </c>
      <c r="D177" s="24" t="s">
        <v>680</v>
      </c>
      <c r="E177" s="15">
        <v>42611.525659722225</v>
      </c>
      <c r="F177" s="15">
        <v>42611.526967592596</v>
      </c>
      <c r="G177" s="7">
        <v>1</v>
      </c>
      <c r="H177" s="15" t="s">
        <v>681</v>
      </c>
      <c r="I177" s="15">
        <v>42611.538761574076</v>
      </c>
      <c r="J177" s="7">
        <v>0</v>
      </c>
      <c r="K177" s="132" t="str">
        <f t="shared" si="89"/>
        <v>4017/4018</v>
      </c>
      <c r="L177" s="24" t="str">
        <f>VLOOKUP(A177,'Trips&amp;Operators'!$C$1:$E$10000,3,FALSE)</f>
        <v>SANTIZO</v>
      </c>
      <c r="M177" s="6">
        <f t="shared" si="90"/>
        <v>1.1793981480877846E-2</v>
      </c>
      <c r="N177" s="7">
        <f t="shared" si="91"/>
        <v>16.983333332464099</v>
      </c>
      <c r="O177" s="7"/>
      <c r="P177" s="7"/>
      <c r="Q177" s="25"/>
      <c r="R177" s="25"/>
      <c r="S177" s="37">
        <f t="shared" si="92"/>
        <v>1</v>
      </c>
      <c r="T177" s="52" t="str">
        <f t="shared" si="93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11:36:57-0600',mode:absolute,to:'2016-08-29 13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95"/>
        <v>N</v>
      </c>
      <c r="X177" s="120">
        <f t="shared" si="87"/>
        <v>1</v>
      </c>
      <c r="Y177" s="69">
        <f t="shared" si="88"/>
        <v>5.8574000000000002</v>
      </c>
      <c r="Z177" s="69">
        <f t="shared" si="96"/>
        <v>7.3999999999999996E-2</v>
      </c>
      <c r="AA177" s="69">
        <f t="shared" si="97"/>
        <v>5.7834000000000003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98"/>
        <v>0820-29</v>
      </c>
      <c r="AE177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77" s="96" t="str">
        <f t="shared" si="100"/>
        <v>"C:\Program Files (x86)\AstroGrep\AstroGrep.exe" /spath="%USERPROFILE%\AppData\Local\Temp\OnboardLogs" /stypes="*4017*20160829*" /stext=" 18:.+((SYSTEM_STATE.+slice.+state.+changed )|(ment ac)|(system.+state.+changed )|(\|lc)|(penalty)|(\[timeout)|(PRM\|1\|D)|(kpr)|(kdp))" /e /r /s</v>
      </c>
      <c r="AG177" s="1" t="str">
        <f t="shared" si="101"/>
        <v>NW</v>
      </c>
      <c r="AH177" s="100" t="str">
        <f t="shared" si="85"/>
        <v>"%USERPROFILE%\Documents\GitHub\eaglep3\Utilities\RefineRTDCRunTimes.py" --tripid 820-29 --locoid 4017 --swversion DE.1.0.7.0 --startMP 300:58574 --initTime 2016-08-29T12:36:57 --startdatetime 2016-08-29T12:38:50 --delay 1 --endMP 204:740 --enddatetime 2016-08-29T12:55:49 --enforcementcount 0 &gt;&gt;C:\Users\stu\Documents\GitHub\eaglep3-reporting\EC\2016-08-29-refined-times.txt</v>
      </c>
      <c r="AI177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{"issue":{"subject":"","project_id":79,"tracker_id":40,"status_id":1,"priority_id":2,"assigned_to_id":23,"start_date":"2016-08-29","description":"","custom_fields":[{"id":1,"name":"Subdivision","value":"NW"},{"id":4,"name":"Milepost","value":"5.7834"},{"id":17,"name":"Train ID","value":"820-29"},{"id":16,"name":"Locomotive ID","value":"4017"},{"id":130,"name":"Impact","value":""},{"id":150,"name":"Time of Event (Mountain Time)","value":"12:55:49"},{"id":151,"name":"Denver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460</v>
      </c>
      <c r="B178" s="7">
        <v>4018</v>
      </c>
      <c r="C178" s="24" t="s">
        <v>113</v>
      </c>
      <c r="D178" s="24" t="s">
        <v>328</v>
      </c>
      <c r="E178" s="15">
        <v>42611.546747685185</v>
      </c>
      <c r="F178" s="15">
        <v>42611.556701388887</v>
      </c>
      <c r="G178" s="7">
        <v>1</v>
      </c>
      <c r="H178" s="15" t="s">
        <v>660</v>
      </c>
      <c r="I178" s="15">
        <v>42611.566516203704</v>
      </c>
      <c r="J178" s="7">
        <v>0</v>
      </c>
      <c r="K178" s="132" t="str">
        <f t="shared" si="89"/>
        <v>4017/4018</v>
      </c>
      <c r="L178" s="24" t="str">
        <f>VLOOKUP(A178,'Trips&amp;Operators'!$C$1:$E$10000,3,FALSE)</f>
        <v>ROBINSON</v>
      </c>
      <c r="M178" s="6">
        <f t="shared" si="90"/>
        <v>9.8148148172185756E-3</v>
      </c>
      <c r="N178" s="7">
        <f t="shared" si="91"/>
        <v>14.133333336794749</v>
      </c>
      <c r="O178" s="7"/>
      <c r="P178" s="7"/>
      <c r="Q178" s="25"/>
      <c r="R178" s="25"/>
      <c r="S178" s="37">
        <f t="shared" si="92"/>
        <v>1</v>
      </c>
      <c r="T178" s="52" t="str">
        <f t="shared" si="93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12:07:19-0600',mode:absolute,to:'2016-08-29 14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95"/>
        <v>N</v>
      </c>
      <c r="X178" s="120">
        <f t="shared" ref="X178:X212" si="102">VALUE(LEFT(AD178,4))-VALUE(LEFT(AD177,4))</f>
        <v>1</v>
      </c>
      <c r="Y178" s="69">
        <f t="shared" ref="Y178:Y212" si="103">RIGHT(D178,LEN(D178)-4)/10000</f>
        <v>0.10249999999999999</v>
      </c>
      <c r="Z178" s="69">
        <f t="shared" si="96"/>
        <v>5.8925999999999998</v>
      </c>
      <c r="AA178" s="69">
        <f t="shared" si="97"/>
        <v>5.7900999999999998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98"/>
        <v>0821-29</v>
      </c>
      <c r="AE178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78" s="96" t="str">
        <f t="shared" si="100"/>
        <v>"C:\Program Files (x86)\AstroGrep\AstroGrep.exe" /spath="%USERPROFILE%\AppData\Local\Temp\OnboardLogs" /stypes="*4018*20160829*" /stext=" 19:.+((SYSTEM_STATE.+slice.+state.+changed )|(ment ac)|(system.+state.+changed )|(\|lc)|(penalty)|(\[timeout)|(PRM\|1\|D)|(kpr)|(kdp))" /e /r /s</v>
      </c>
      <c r="AG178" s="1" t="str">
        <f t="shared" si="101"/>
        <v>NW</v>
      </c>
      <c r="AH178" s="100" t="str">
        <f t="shared" si="85"/>
        <v>"%USERPROFILE%\Documents\GitHub\eaglep3\Utilities\RefineRTDCRunTimes.py" --tripid 821-29 --locoid 4018 --swversion DE.1.0.7.0 --startMP 204:1025 --initTime 2016-08-29T13:07:19 --startdatetime 2016-08-29T13:21:39 --delay 1 --endMP 300:58926 --enddatetime 2016-08-29T13:35:47 --enforcementcount 0 &gt;&gt;C:\Users\stu\Documents\GitHub\eaglep3-reporting\EC\2016-08-29-refined-times.txt</v>
      </c>
      <c r="AI178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{"issue":{"subject":"","project_id":79,"tracker_id":40,"status_id":1,"priority_id":2,"assigned_to_id":23,"start_date":"2016-08-29","description":"","custom_fields":[{"id":1,"name":"Subdivision","value":"NW"},{"id":4,"name":"Milepost","value":"5.7901"},{"id":17,"name":"Train ID","value":"821-29"},{"id":16,"name":"Locomotive ID","value":"4018"},{"id":130,"name":"Impact","value":""},{"id":150,"name":"Time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466</v>
      </c>
      <c r="B179" s="7">
        <v>4017</v>
      </c>
      <c r="C179" s="24" t="s">
        <v>113</v>
      </c>
      <c r="D179" s="24" t="s">
        <v>327</v>
      </c>
      <c r="E179" s="15">
        <v>42611.567812499998</v>
      </c>
      <c r="F179" s="15">
        <v>42611.569421296299</v>
      </c>
      <c r="G179" s="7">
        <v>1</v>
      </c>
      <c r="H179" s="15" t="s">
        <v>682</v>
      </c>
      <c r="I179" s="15">
        <v>42611.580300925925</v>
      </c>
      <c r="J179" s="7">
        <v>0</v>
      </c>
      <c r="K179" s="132" t="str">
        <f t="shared" si="89"/>
        <v>4017/4018</v>
      </c>
      <c r="L179" s="24" t="str">
        <f>VLOOKUP(A179,'Trips&amp;Operators'!$C$1:$E$10000,3,FALSE)</f>
        <v>ROBINSON</v>
      </c>
      <c r="M179" s="6">
        <f t="shared" si="90"/>
        <v>1.0879629626288079E-2</v>
      </c>
      <c r="N179" s="7">
        <f t="shared" si="91"/>
        <v>15.666666661854833</v>
      </c>
      <c r="O179" s="7"/>
      <c r="P179" s="7"/>
      <c r="Q179" s="25"/>
      <c r="R179" s="25"/>
      <c r="S179" s="37">
        <f t="shared" si="92"/>
        <v>1</v>
      </c>
      <c r="T179" s="52" t="str">
        <f t="shared" si="93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12:37:39-0600',mode:absolute,to:'2016-08-29 14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95"/>
        <v>N</v>
      </c>
      <c r="X179" s="120">
        <f t="shared" si="102"/>
        <v>1</v>
      </c>
      <c r="Y179" s="69">
        <f t="shared" si="103"/>
        <v>5.8611000000000004</v>
      </c>
      <c r="Z179" s="69">
        <f t="shared" si="96"/>
        <v>6.9199999999999998E-2</v>
      </c>
      <c r="AA179" s="69">
        <f t="shared" si="97"/>
        <v>5.7919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98"/>
        <v>0822-29</v>
      </c>
      <c r="AE179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79" s="96" t="str">
        <f t="shared" si="100"/>
        <v>"C:\Program Files (x86)\AstroGrep\AstroGrep.exe" /spath="%USERPROFILE%\AppData\Local\Temp\OnboardLogs" /stypes="*4017*20160829*" /stext=" 19:.+((SYSTEM_STATE.+slice.+state.+changed )|(ment ac)|(system.+state.+changed )|(\|lc)|(penalty)|(\[timeout)|(PRM\|1\|D)|(kpr)|(kdp))" /e /r /s</v>
      </c>
      <c r="AG179" s="1" t="str">
        <f t="shared" si="101"/>
        <v>NW</v>
      </c>
      <c r="AH179" s="100" t="str">
        <f t="shared" si="85"/>
        <v>"%USERPROFILE%\Documents\GitHub\eaglep3\Utilities\RefineRTDCRunTimes.py" --tripid 822-29 --locoid 4017 --swversion DE.1.0.7.0 --startMP 300:58611 --initTime 2016-08-29T13:37:39 --startdatetime 2016-08-29T13:39:58 --delay 1 --endMP 204:692 --enddatetime 2016-08-29T13:55:38 --enforcementcount 0 &gt;&gt;C:\Users\stu\Documents\GitHub\eaglep3-reporting\EC\2016-08-29-refined-times.txt</v>
      </c>
      <c r="AI179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{"issue":{"subject":"","project_id":79,"tracker_id":40,"status_id":1,"priority_id":2,"assigned_to_id":23,"start_date":"2016-08-29","description":"","custom_fields":[{"id":1,"name":"Subdivision","value":"NW"},{"id":4,"name":"Milepost","value":"5.7919"},{"id":17,"name":"Train ID","value":"822-29"},{"id":16,"name":"Locomotive ID","value":"4017"},{"id":130,"name":"Impact","value":""},{"id":150,"name":"Time of Event (Mountain Time)","value":"13:55:38"},{"id":151,"name":"Denver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472</v>
      </c>
      <c r="B180" s="7">
        <v>4018</v>
      </c>
      <c r="C180" s="24" t="s">
        <v>113</v>
      </c>
      <c r="D180" s="24" t="s">
        <v>683</v>
      </c>
      <c r="E180" s="15">
        <v>42611.592245370368</v>
      </c>
      <c r="F180" s="15">
        <v>42611.598101851851</v>
      </c>
      <c r="G180" s="7">
        <v>1</v>
      </c>
      <c r="H180" s="15" t="s">
        <v>286</v>
      </c>
      <c r="I180" s="15">
        <v>42611.60796296296</v>
      </c>
      <c r="J180" s="7">
        <v>0</v>
      </c>
      <c r="K180" s="132" t="str">
        <f t="shared" si="89"/>
        <v>4017/4018</v>
      </c>
      <c r="L180" s="24" t="str">
        <f>VLOOKUP(A180,'Trips&amp;Operators'!$C$1:$E$10000,3,FALSE)</f>
        <v>ROBINSON</v>
      </c>
      <c r="M180" s="6">
        <f t="shared" si="90"/>
        <v>9.8611111097852699E-3</v>
      </c>
      <c r="N180" s="7">
        <f t="shared" si="91"/>
        <v>14.199999998090789</v>
      </c>
      <c r="O180" s="7"/>
      <c r="P180" s="7"/>
      <c r="Q180" s="25"/>
      <c r="R180" s="25"/>
      <c r="S180" s="37">
        <f t="shared" si="92"/>
        <v>1</v>
      </c>
      <c r="T180" s="52" t="str">
        <f t="shared" si="93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13:12:50-0600',mode:absolute,to:'2016-08-29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95"/>
        <v>N</v>
      </c>
      <c r="X180" s="120">
        <f t="shared" si="102"/>
        <v>1</v>
      </c>
      <c r="Y180" s="69">
        <f t="shared" si="103"/>
        <v>9.9299999999999999E-2</v>
      </c>
      <c r="Z180" s="69">
        <f t="shared" si="96"/>
        <v>5.8933</v>
      </c>
      <c r="AA180" s="69">
        <f t="shared" si="97"/>
        <v>5.7939999999999996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98"/>
        <v>0823-29</v>
      </c>
      <c r="AE180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80" s="96" t="str">
        <f t="shared" si="100"/>
        <v>"C:\Program Files (x86)\AstroGrep\AstroGrep.exe" /spath="%USERPROFILE%\AppData\Local\Temp\OnboardLogs" /stypes="*4018*20160829*" /stext=" 20:.+((SYSTEM_STATE.+slice.+state.+changed )|(ment ac)|(system.+state.+changed )|(\|lc)|(penalty)|(\[timeout)|(PRM\|1\|D)|(kpr)|(kdp))" /e /r /s</v>
      </c>
      <c r="AG180" s="1" t="str">
        <f t="shared" si="101"/>
        <v>NW</v>
      </c>
      <c r="AH180" s="100" t="str">
        <f t="shared" si="85"/>
        <v>"%USERPROFILE%\Documents\GitHub\eaglep3\Utilities\RefineRTDCRunTimes.py" --tripid 823-29 --locoid 4018 --swversion DE.1.0.7.0 --startMP 204:993 --initTime 2016-08-29T14:12:50 --startdatetime 2016-08-29T14:21:16 --delay 1 --endMP 300:58933 --enddatetime 2016-08-29T14:35:28 --enforcementcount 0 &gt;&gt;C:\Users\stu\Documents\GitHub\eaglep3-reporting\EC\2016-08-29-refined-times.txt</v>
      </c>
      <c r="AI180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{"issue":{"subject":"","project_id":79,"tracker_id":40,"status_id":1,"priority_id":2,"assigned_to_id":23,"start_date":"2016-08-29","description":"","custom_fields":[{"id":1,"name":"Subdivision","value":"NW"},{"id":4,"name":"Milepost","value":"5.794"},{"id":17,"name":"Train ID","value":"823-29"},{"id":16,"name":"Locomotive ID","value":"4018"},{"id":130,"name":"Impact","value":""},{"id":150,"name":"Time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476</v>
      </c>
      <c r="B181" s="7">
        <v>4017</v>
      </c>
      <c r="C181" s="24" t="s">
        <v>113</v>
      </c>
      <c r="D181" s="24" t="s">
        <v>335</v>
      </c>
      <c r="E181" s="15">
        <v>42611.609872685185</v>
      </c>
      <c r="F181" s="15">
        <v>42611.611574074072</v>
      </c>
      <c r="G181" s="7">
        <v>1</v>
      </c>
      <c r="H181" s="15" t="s">
        <v>682</v>
      </c>
      <c r="I181" s="15">
        <v>42611.621782407405</v>
      </c>
      <c r="J181" s="7">
        <v>0</v>
      </c>
      <c r="K181" s="132" t="str">
        <f t="shared" si="89"/>
        <v>4017/4018</v>
      </c>
      <c r="L181" s="24" t="str">
        <f>VLOOKUP(A181,'Trips&amp;Operators'!$C$1:$E$10000,3,FALSE)</f>
        <v>ROBINSON</v>
      </c>
      <c r="M181" s="6">
        <f t="shared" si="90"/>
        <v>1.0208333333139308E-2</v>
      </c>
      <c r="N181" s="7">
        <f t="shared" si="91"/>
        <v>14.699999999720603</v>
      </c>
      <c r="O181" s="7"/>
      <c r="P181" s="7"/>
      <c r="Q181" s="25"/>
      <c r="R181" s="25"/>
      <c r="S181" s="37">
        <f t="shared" si="92"/>
        <v>1</v>
      </c>
      <c r="T181" s="52" t="str">
        <f t="shared" si="93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13:38:13-0600',mode:absolute,to:'2016-08-29 15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95"/>
        <v>N</v>
      </c>
      <c r="X181" s="120">
        <f t="shared" si="102"/>
        <v>1</v>
      </c>
      <c r="Y181" s="69">
        <f t="shared" si="103"/>
        <v>5.8605999999999998</v>
      </c>
      <c r="Z181" s="69">
        <f t="shared" si="96"/>
        <v>6.9199999999999998E-2</v>
      </c>
      <c r="AA181" s="69">
        <f t="shared" si="97"/>
        <v>5.7913999999999994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98"/>
        <v>0824-29</v>
      </c>
      <c r="AE181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81" s="96" t="str">
        <f t="shared" si="100"/>
        <v>"C:\Program Files (x86)\AstroGrep\AstroGrep.exe" /spath="%USERPROFILE%\AppData\Local\Temp\OnboardLogs" /stypes="*4017*20160829*" /stext=" 20:.+((SYSTEM_STATE.+slice.+state.+changed )|(ment ac)|(system.+state.+changed )|(\|lc)|(penalty)|(\[timeout)|(PRM\|1\|D)|(kpr)|(kdp))" /e /r /s</v>
      </c>
      <c r="AG181" s="1" t="str">
        <f t="shared" si="101"/>
        <v>NW</v>
      </c>
      <c r="AH181" s="100" t="str">
        <f t="shared" si="85"/>
        <v>"%USERPROFILE%\Documents\GitHub\eaglep3\Utilities\RefineRTDCRunTimes.py" --tripid 824-29 --locoid 4017 --swversion DE.1.0.7.0 --startMP 300:58606 --initTime 2016-08-29T14:38:13 --startdatetime 2016-08-29T14:40:40 --delay 1 --endMP 204:692 --enddatetime 2016-08-29T14:55:22 --enforcementcount 0 &gt;&gt;C:\Users\stu\Documents\GitHub\eaglep3-reporting\EC\2016-08-29-refined-times.txt</v>
      </c>
      <c r="AI181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{"issue":{"subject":"","project_id":79,"tracker_id":40,"status_id":1,"priority_id":2,"assigned_to_id":23,"start_date":"2016-08-29","description":"","custom_fields":[{"id":1,"name":"Subdivision","value":"NW"},{"id":4,"name":"Milepost","value":"5.7914"},{"id":17,"name":"Train ID","value":"824-29"},{"id":16,"name":"Locomotive ID","value":"4017"},{"id":130,"name":"Impact","value":""},{"id":150,"name":"Time of Event (Mountain Time)","value":"14:55:22"},{"id":151,"name":"Denver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481</v>
      </c>
      <c r="B182" s="7">
        <v>4018</v>
      </c>
      <c r="C182" s="24" t="s">
        <v>113</v>
      </c>
      <c r="D182" s="24" t="s">
        <v>666</v>
      </c>
      <c r="E182" s="15">
        <v>42611.632523148146</v>
      </c>
      <c r="F182" s="15">
        <v>42611.639768518522</v>
      </c>
      <c r="G182" s="7">
        <v>1</v>
      </c>
      <c r="H182" s="15" t="s">
        <v>330</v>
      </c>
      <c r="I182" s="15">
        <v>42611.650081018517</v>
      </c>
      <c r="J182" s="7">
        <v>0</v>
      </c>
      <c r="K182" s="132" t="str">
        <f t="shared" si="89"/>
        <v>4017/4018</v>
      </c>
      <c r="L182" s="24" t="str">
        <f>VLOOKUP(A182,'Trips&amp;Operators'!$C$1:$E$10000,3,FALSE)</f>
        <v>ROBINSON</v>
      </c>
      <c r="M182" s="6">
        <f t="shared" si="90"/>
        <v>1.0312499995052349E-2</v>
      </c>
      <c r="N182" s="7">
        <f t="shared" si="91"/>
        <v>14.849999992875382</v>
      </c>
      <c r="O182" s="7"/>
      <c r="P182" s="7"/>
      <c r="Q182" s="25"/>
      <c r="R182" s="25"/>
      <c r="S182" s="37">
        <f t="shared" si="92"/>
        <v>1</v>
      </c>
      <c r="T182" s="52" t="str">
        <f t="shared" si="93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14:10:50-0600',mode:absolute,to:'2016-08-29 16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95"/>
        <v>N</v>
      </c>
      <c r="X182" s="120">
        <f t="shared" si="102"/>
        <v>1</v>
      </c>
      <c r="Y182" s="69">
        <f t="shared" si="103"/>
        <v>9.9000000000000005E-2</v>
      </c>
      <c r="Z182" s="69">
        <f t="shared" si="96"/>
        <v>5.8930999999999996</v>
      </c>
      <c r="AA182" s="69">
        <f t="shared" si="97"/>
        <v>5.7940999999999994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98"/>
        <v>0825-29</v>
      </c>
      <c r="AE182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82" s="96" t="str">
        <f t="shared" si="100"/>
        <v>"C:\Program Files (x86)\AstroGrep\AstroGrep.exe" /spath="%USERPROFILE%\AppData\Local\Temp\OnboardLogs" /stypes="*4018*20160829*" /stext=" 21:.+((SYSTEM_STATE.+slice.+state.+changed )|(ment ac)|(system.+state.+changed )|(\|lc)|(penalty)|(\[timeout)|(PRM\|1\|D)|(kpr)|(kdp))" /e /r /s</v>
      </c>
      <c r="AG182" s="1" t="str">
        <f t="shared" si="101"/>
        <v>NW</v>
      </c>
      <c r="AH182" s="100" t="str">
        <f t="shared" si="85"/>
        <v>"%USERPROFILE%\Documents\GitHub\eaglep3\Utilities\RefineRTDCRunTimes.py" --tripid 825-29 --locoid 4018 --swversion DE.1.0.7.0 --startMP 204:990 --initTime 2016-08-29T15:10:50 --startdatetime 2016-08-29T15:21:16 --delay 1 --endMP 300:58931 --enddatetime 2016-08-29T15:36:07 --enforcementcount 0 &gt;&gt;C:\Users\stu\Documents\GitHub\eaglep3-reporting\EC\2016-08-29-refined-times.txt</v>
      </c>
      <c r="AI182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{"issue":{"subject":"","project_id":79,"tracker_id":40,"status_id":1,"priority_id":2,"assigned_to_id":23,"start_date":"2016-08-29","description":"","custom_fields":[{"id":1,"name":"Subdivision","value":"NW"},{"id":4,"name":"Milepost","value":"5.7941"},{"id":17,"name":"Train ID","value":"825-29"},{"id":16,"name":"Locomotive ID","value":"4018"},{"id":130,"name":"Impact","value":""},{"id":150,"name":"Time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487</v>
      </c>
      <c r="B183" s="7">
        <v>4017</v>
      </c>
      <c r="C183" s="24" t="s">
        <v>113</v>
      </c>
      <c r="D183" s="24" t="s">
        <v>329</v>
      </c>
      <c r="E183" s="15">
        <v>42611.651122685187</v>
      </c>
      <c r="F183" s="15">
        <v>42611.652581018519</v>
      </c>
      <c r="G183" s="7">
        <v>1</v>
      </c>
      <c r="H183" s="15" t="s">
        <v>334</v>
      </c>
      <c r="I183" s="15">
        <v>42611.6640162037</v>
      </c>
      <c r="J183" s="7">
        <v>0</v>
      </c>
      <c r="K183" s="132" t="str">
        <f t="shared" si="89"/>
        <v>4017/4018</v>
      </c>
      <c r="L183" s="24" t="str">
        <f>VLOOKUP(A183,'Trips&amp;Operators'!$C$1:$E$10000,3,FALSE)</f>
        <v>ROBINSON</v>
      </c>
      <c r="M183" s="6">
        <f t="shared" si="90"/>
        <v>1.1435185180744156E-2</v>
      </c>
      <c r="N183" s="7">
        <f t="shared" si="91"/>
        <v>16.466666660271585</v>
      </c>
      <c r="O183" s="7"/>
      <c r="P183" s="7"/>
      <c r="Q183" s="25"/>
      <c r="R183" s="25"/>
      <c r="S183" s="37">
        <f t="shared" si="92"/>
        <v>1</v>
      </c>
      <c r="T183" s="52" t="str">
        <f t="shared" si="93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14:37:37-0600',mode:absolute,to:'2016-08-29 16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95"/>
        <v>N</v>
      </c>
      <c r="X183" s="120">
        <f t="shared" si="102"/>
        <v>1</v>
      </c>
      <c r="Y183" s="69">
        <f t="shared" si="103"/>
        <v>5.8615000000000004</v>
      </c>
      <c r="Z183" s="69">
        <f t="shared" si="96"/>
        <v>7.0099999999999996E-2</v>
      </c>
      <c r="AA183" s="69">
        <f t="shared" si="97"/>
        <v>5.7914000000000003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98"/>
        <v>0826-29</v>
      </c>
      <c r="AE183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83" s="96" t="str">
        <f t="shared" si="100"/>
        <v>"C:\Program Files (x86)\AstroGrep\AstroGrep.exe" /spath="%USERPROFILE%\AppData\Local\Temp\OnboardLogs" /stypes="*4017*20160829*" /stext=" 21:.+((SYSTEM_STATE.+slice.+state.+changed )|(ment ac)|(system.+state.+changed )|(\|lc)|(penalty)|(\[timeout)|(PRM\|1\|D)|(kpr)|(kdp))" /e /r /s</v>
      </c>
      <c r="AG183" s="1" t="str">
        <f t="shared" si="101"/>
        <v>NW</v>
      </c>
      <c r="AH183" s="100" t="str">
        <f t="shared" si="85"/>
        <v>"%USERPROFILE%\Documents\GitHub\eaglep3\Utilities\RefineRTDCRunTimes.py" --tripid 826-29 --locoid 4017 --swversion DE.1.0.7.0 --startMP 300:58615 --initTime 2016-08-29T15:37:37 --startdatetime 2016-08-29T15:39:43 --delay 1 --endMP 204:701 --enddatetime 2016-08-29T15:56:11 --enforcementcount 0 &gt;&gt;C:\Users\stu\Documents\GitHub\eaglep3-reporting\EC\2016-08-29-refined-times.txt</v>
      </c>
      <c r="AI183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{"issue":{"subject":"","project_id":79,"tracker_id":40,"status_id":1,"priority_id":2,"assigned_to_id":23,"start_date":"2016-08-29","description":"","custom_fields":[{"id":1,"name":"Subdivision","value":"NW"},{"id":4,"name":"Milepost","value":"5.7914"},{"id":17,"name":"Train ID","value":"826-29"},{"id":16,"name":"Locomotive ID","value":"4017"},{"id":130,"name":"Impact","value":""},{"id":150,"name":"Time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489</v>
      </c>
      <c r="B184" s="7">
        <v>4014</v>
      </c>
      <c r="C184" s="24" t="s">
        <v>113</v>
      </c>
      <c r="D184" s="24" t="s">
        <v>684</v>
      </c>
      <c r="E184" s="15">
        <v>42611.655474537038</v>
      </c>
      <c r="F184" s="15">
        <v>42611.660624999997</v>
      </c>
      <c r="G184" s="7">
        <v>1</v>
      </c>
      <c r="H184" s="15" t="s">
        <v>685</v>
      </c>
      <c r="I184" s="15">
        <v>42611.670590277776</v>
      </c>
      <c r="J184" s="7">
        <v>0</v>
      </c>
      <c r="K184" s="132" t="str">
        <f t="shared" si="89"/>
        <v>4013/4014</v>
      </c>
      <c r="L184" s="24" t="str">
        <f>VLOOKUP(A184,'Trips&amp;Operators'!$C$1:$E$10000,3,FALSE)</f>
        <v>COOLAHAN</v>
      </c>
      <c r="M184" s="6">
        <f t="shared" si="90"/>
        <v>9.9652777789742686E-3</v>
      </c>
      <c r="N184" s="7">
        <f t="shared" si="91"/>
        <v>14.350000001722947</v>
      </c>
      <c r="O184" s="7"/>
      <c r="P184" s="7"/>
      <c r="Q184" s="25"/>
      <c r="R184" s="25"/>
      <c r="S184" s="37">
        <f t="shared" si="92"/>
        <v>1</v>
      </c>
      <c r="T184" s="52" t="str">
        <f t="shared" si="93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14:43:53-0600',mode:absolute,to:'2016-08-29 17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4" s="54" t="str">
        <f t="shared" si="95"/>
        <v>N</v>
      </c>
      <c r="X184" s="120">
        <f t="shared" si="102"/>
        <v>1</v>
      </c>
      <c r="Y184" s="69">
        <f t="shared" si="103"/>
        <v>0.1105</v>
      </c>
      <c r="Z184" s="69">
        <f t="shared" si="96"/>
        <v>5.8963000000000001</v>
      </c>
      <c r="AA184" s="69">
        <f t="shared" si="97"/>
        <v>5.7858000000000001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98"/>
        <v>0827-29</v>
      </c>
      <c r="AE184" s="99" t="str">
        <f t="shared" si="99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84" s="96" t="str">
        <f t="shared" si="100"/>
        <v>"C:\Program Files (x86)\AstroGrep\AstroGrep.exe" /spath="%USERPROFILE%\AppData\Local\Temp\OnboardLogs" /stypes="*4014*20160829*" /stext=" 22:.+((SYSTEM_STATE.+slice.+state.+changed )|(ment ac)|(system.+state.+changed )|(\|lc)|(penalty)|(\[timeout)|(PRM\|1\|D)|(kpr)|(kdp))" /e /r /s</v>
      </c>
      <c r="AG184" s="1" t="str">
        <f t="shared" si="101"/>
        <v>NW</v>
      </c>
      <c r="AH184" s="100" t="str">
        <f t="shared" si="85"/>
        <v>"%USERPROFILE%\Documents\GitHub\eaglep3\Utilities\RefineRTDCRunTimes.py" --tripid 827-29 --locoid 4014 --swversion DE.1.0.7.0 --startMP 204:1105 --initTime 2016-08-29T15:43:53 --startdatetime 2016-08-29T15:51:18 --delay 1 --endMP 300:58963 --enddatetime 2016-08-29T16:05:39 --enforcementcount 0 &gt;&gt;C:\Users\stu\Documents\GitHub\eaglep3-reporting\EC\2016-08-29-refined-times.txt</v>
      </c>
      <c r="AI184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{"issue":{"subject":"","project_id":79,"tracker_id":40,"status_id":1,"priority_id":2,"assigned_to_id":23,"start_date":"2016-08-29","description":"","custom_fields":[{"id":1,"name":"Subdivision","value":"NW"},{"id":4,"name":"Milepost","value":"5.7858"},{"id":17,"name":"Train ID","value":"827-29"},{"id":16,"name":"Locomotive ID","value":"4014"},{"id":130,"name":"Impact","value":""},{"id":150,"name":"Time of Event (Mountain Time)","value":"16:05:39"},{"id":151,"name":"Denver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493</v>
      </c>
      <c r="B185" s="7">
        <v>4013</v>
      </c>
      <c r="C185" s="24" t="s">
        <v>113</v>
      </c>
      <c r="D185" s="24" t="s">
        <v>686</v>
      </c>
      <c r="E185" s="15">
        <v>42611.671516203707</v>
      </c>
      <c r="F185" s="15">
        <v>42611.672997685186</v>
      </c>
      <c r="G185" s="7">
        <v>1</v>
      </c>
      <c r="H185" s="15" t="s">
        <v>687</v>
      </c>
      <c r="I185" s="15">
        <v>42611.684606481482</v>
      </c>
      <c r="J185" s="7">
        <v>0</v>
      </c>
      <c r="K185" s="132" t="str">
        <f t="shared" si="89"/>
        <v>4013/4014</v>
      </c>
      <c r="L185" s="24" t="str">
        <f>VLOOKUP(A185,'Trips&amp;Operators'!$C$1:$E$10000,3,FALSE)</f>
        <v>COOLAHAN</v>
      </c>
      <c r="M185" s="6">
        <f t="shared" si="90"/>
        <v>1.1608796296059154E-2</v>
      </c>
      <c r="N185" s="7">
        <f t="shared" si="91"/>
        <v>16.716666666325182</v>
      </c>
      <c r="O185" s="7"/>
      <c r="P185" s="7"/>
      <c r="Q185" s="25"/>
      <c r="R185" s="25"/>
      <c r="S185" s="37">
        <f t="shared" si="92"/>
        <v>1</v>
      </c>
      <c r="T185" s="52" t="str">
        <f t="shared" si="93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15:06:59-0600',mode:absolute,to:'2016-08-29 17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5" s="54" t="str">
        <f t="shared" si="95"/>
        <v>N</v>
      </c>
      <c r="X185" s="120">
        <f t="shared" si="102"/>
        <v>1</v>
      </c>
      <c r="Y185" s="69">
        <f t="shared" si="103"/>
        <v>5.8655999999999997</v>
      </c>
      <c r="Z185" s="69">
        <f t="shared" si="96"/>
        <v>6.54E-2</v>
      </c>
      <c r="AA185" s="69">
        <f t="shared" si="97"/>
        <v>5.8001999999999994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98"/>
        <v>0828-29</v>
      </c>
      <c r="AE185" s="99" t="str">
        <f t="shared" si="99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85" s="96" t="str">
        <f t="shared" si="100"/>
        <v>"C:\Program Files (x86)\AstroGrep\AstroGrep.exe" /spath="%USERPROFILE%\AppData\Local\Temp\OnboardLogs" /stypes="*4013*20160829*" /stext=" 22:.+((SYSTEM_STATE.+slice.+state.+changed )|(ment ac)|(system.+state.+changed )|(\|lc)|(penalty)|(\[timeout)|(PRM\|1\|D)|(kpr)|(kdp))" /e /r /s</v>
      </c>
      <c r="AG185" s="1" t="str">
        <f t="shared" si="101"/>
        <v>NW</v>
      </c>
      <c r="AH185" s="100" t="str">
        <f t="shared" si="85"/>
        <v>"%USERPROFILE%\Documents\GitHub\eaglep3\Utilities\RefineRTDCRunTimes.py" --tripid 828-29 --locoid 4013 --swversion DE.1.0.7.0 --startMP 300:58656 --initTime 2016-08-29T16:06:59 --startdatetime 2016-08-29T16:09:07 --delay 1 --endMP 204:654 --enddatetime 2016-08-29T16:25:50 --enforcementcount 0 &gt;&gt;C:\Users\stu\Documents\GitHub\eaglep3-reporting\EC\2016-08-29-refined-times.txt</v>
      </c>
      <c r="AI185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{"issue":{"subject":"","project_id":79,"tracker_id":40,"status_id":1,"priority_id":2,"assigned_to_id":23,"start_date":"2016-08-29","description":"","custom_fields":[{"id":1,"name":"Subdivision","value":"NW"},{"id":4,"name":"Milepost","value":"5.8002"},{"id":17,"name":"Train ID","value":"828-29"},{"id":16,"name":"Locomotive ID","value":"4013"},{"id":130,"name":"Impact","value":""},{"id":150,"name":"Time of Event (Mountain Time)","value":"16:25:50"},{"id":151,"name":"Denver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494</v>
      </c>
      <c r="B186" s="7">
        <v>4018</v>
      </c>
      <c r="C186" s="24" t="s">
        <v>113</v>
      </c>
      <c r="D186" s="24" t="s">
        <v>688</v>
      </c>
      <c r="E186" s="15">
        <v>42611.672986111109</v>
      </c>
      <c r="F186" s="15">
        <v>42611.681516203702</v>
      </c>
      <c r="G186" s="7">
        <v>1</v>
      </c>
      <c r="H186" s="15" t="s">
        <v>340</v>
      </c>
      <c r="I186" s="15">
        <v>42611.690995370373</v>
      </c>
      <c r="J186" s="7">
        <v>0</v>
      </c>
      <c r="K186" s="132" t="str">
        <f t="shared" si="89"/>
        <v>4017/4018</v>
      </c>
      <c r="L186" s="24" t="str">
        <f>VLOOKUP(A186,'Trips&amp;Operators'!$C$1:$E$10000,3,FALSE)</f>
        <v>ROBINSON</v>
      </c>
      <c r="M186" s="6">
        <f t="shared" si="90"/>
        <v>9.4791666706441902E-3</v>
      </c>
      <c r="N186" s="7">
        <f t="shared" si="91"/>
        <v>13.650000005727634</v>
      </c>
      <c r="O186" s="7"/>
      <c r="P186" s="7"/>
      <c r="Q186" s="25"/>
      <c r="R186" s="25"/>
      <c r="S186" s="37">
        <f t="shared" si="92"/>
        <v>1</v>
      </c>
      <c r="T186" s="52" t="str">
        <f t="shared" si="93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15:09:06-0600',mode:absolute,to:'2016-08-29 17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95"/>
        <v>N</v>
      </c>
      <c r="X186" s="120">
        <f t="shared" si="102"/>
        <v>1</v>
      </c>
      <c r="Y186" s="69">
        <f t="shared" si="103"/>
        <v>9.7799999999999998E-2</v>
      </c>
      <c r="Z186" s="69">
        <f t="shared" si="96"/>
        <v>5.8916000000000004</v>
      </c>
      <c r="AA186" s="69">
        <f t="shared" si="97"/>
        <v>5.7938000000000001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98"/>
        <v>0829-29</v>
      </c>
      <c r="AE186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86" s="96" t="str">
        <f t="shared" si="100"/>
        <v>"C:\Program Files (x86)\AstroGrep\AstroGrep.exe" /spath="%USERPROFILE%\AppData\Local\Temp\OnboardLogs" /stypes="*4018*20160829*" /stext=" 22:.+((SYSTEM_STATE.+slice.+state.+changed )|(ment ac)|(system.+state.+changed )|(\|lc)|(penalty)|(\[timeout)|(PRM\|1\|D)|(kpr)|(kdp))" /e /r /s</v>
      </c>
      <c r="AG186" s="1" t="str">
        <f t="shared" si="101"/>
        <v>NW</v>
      </c>
      <c r="AH186" s="100" t="str">
        <f t="shared" si="85"/>
        <v>"%USERPROFILE%\Documents\GitHub\eaglep3\Utilities\RefineRTDCRunTimes.py" --tripid 829-29 --locoid 4018 --swversion DE.1.0.7.0 --startMP 204:978 --initTime 2016-08-29T16:09:06 --startdatetime 2016-08-29T16:21:23 --delay 1 --endMP 300:58916 --enddatetime 2016-08-29T16:35:02 --enforcementcount 0 &gt;&gt;C:\Users\stu\Documents\GitHub\eaglep3-reporting\EC\2016-08-29-refined-times.txt</v>
      </c>
      <c r="AI186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{"issue":{"subject":"","project_id":79,"tracker_id":40,"status_id":1,"priority_id":2,"assigned_to_id":23,"start_date":"2016-08-29","description":"","custom_fields":[{"id":1,"name":"Subdivision","value":"NW"},{"id":4,"name":"Milepost","value":"5.7938"},{"id":17,"name":"Train ID","value":"829-29"},{"id":16,"name":"Locomotive ID","value":"4018"},{"id":130,"name":"Impact","value":""},{"id":150,"name":"Time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499</v>
      </c>
      <c r="B187" s="7">
        <v>4017</v>
      </c>
      <c r="C187" s="24" t="s">
        <v>113</v>
      </c>
      <c r="D187" s="24" t="s">
        <v>655</v>
      </c>
      <c r="E187" s="15">
        <v>42611.692361111112</v>
      </c>
      <c r="F187" s="15">
        <v>42611.693923611114</v>
      </c>
      <c r="G187" s="7">
        <v>1</v>
      </c>
      <c r="H187" s="15" t="s">
        <v>339</v>
      </c>
      <c r="I187" s="15">
        <v>42611.70585648148</v>
      </c>
      <c r="J187" s="7">
        <v>0</v>
      </c>
      <c r="K187" s="132" t="str">
        <f t="shared" si="89"/>
        <v>4017/4018</v>
      </c>
      <c r="L187" s="24" t="str">
        <f>VLOOKUP(A187,'Trips&amp;Operators'!$C$1:$E$10000,3,FALSE)</f>
        <v>ROBINSON</v>
      </c>
      <c r="M187" s="6">
        <f t="shared" si="90"/>
        <v>1.1932870365853887E-2</v>
      </c>
      <c r="N187" s="7">
        <f t="shared" si="91"/>
        <v>17.183333326829597</v>
      </c>
      <c r="O187" s="7"/>
      <c r="P187" s="7"/>
      <c r="Q187" s="25"/>
      <c r="R187" s="25"/>
      <c r="S187" s="37">
        <f t="shared" si="92"/>
        <v>1</v>
      </c>
      <c r="T187" s="52" t="str">
        <f t="shared" si="93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15:37:00-0600',mode:absolute,to:'2016-08-29 17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95"/>
        <v>N</v>
      </c>
      <c r="X187" s="120">
        <f t="shared" si="102"/>
        <v>1</v>
      </c>
      <c r="Y187" s="69">
        <f t="shared" si="103"/>
        <v>5.8604000000000003</v>
      </c>
      <c r="Z187" s="69">
        <f t="shared" si="96"/>
        <v>6.7699999999999996E-2</v>
      </c>
      <c r="AA187" s="69">
        <f t="shared" si="97"/>
        <v>5.7927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98"/>
        <v>0830-29</v>
      </c>
      <c r="AE187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87" s="96" t="str">
        <f t="shared" si="100"/>
        <v>"C:\Program Files (x86)\AstroGrep\AstroGrep.exe" /spath="%USERPROFILE%\AppData\Local\Temp\OnboardLogs" /stypes="*4017*20160829*" /stext=" 22:.+((SYSTEM_STATE.+slice.+state.+changed )|(ment ac)|(system.+state.+changed )|(\|lc)|(penalty)|(\[timeout)|(PRM\|1\|D)|(kpr)|(kdp))" /e /r /s</v>
      </c>
      <c r="AG187" s="1" t="str">
        <f t="shared" si="101"/>
        <v>NW</v>
      </c>
      <c r="AH187" s="100" t="str">
        <f t="shared" si="85"/>
        <v>"%USERPROFILE%\Documents\GitHub\eaglep3\Utilities\RefineRTDCRunTimes.py" --tripid 830-29 --locoid 4017 --swversion DE.1.0.7.0 --startMP 300:58604 --initTime 2016-08-29T16:37:00 --startdatetime 2016-08-29T16:39:15 --delay 1 --endMP 204:677 --enddatetime 2016-08-29T16:56:26 --enforcementcount 0 &gt;&gt;C:\Users\stu\Documents\GitHub\eaglep3-reporting\EC\2016-08-29-refined-times.txt</v>
      </c>
      <c r="AI187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{"issue":{"subject":"","project_id":79,"tracker_id":40,"status_id":1,"priority_id":2,"assigned_to_id":23,"start_date":"2016-08-29","description":"","custom_fields":[{"id":1,"name":"Subdivision","value":"NW"},{"id":4,"name":"Milepost","value":"5.7927"},{"id":17,"name":"Train ID","value":"830-29"},{"id":16,"name":"Locomotive ID","value":"4017"},{"id":130,"name":"Impact","value":""},{"id":150,"name":"Time of Event (Mountain Time)","value":"16:56:26"},{"id":151,"name":"Denver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502</v>
      </c>
      <c r="B188" s="7">
        <v>4014</v>
      </c>
      <c r="C188" s="24" t="s">
        <v>113</v>
      </c>
      <c r="D188" s="24" t="s">
        <v>689</v>
      </c>
      <c r="E188" s="15">
        <v>42611.698842592596</v>
      </c>
      <c r="F188" s="15">
        <v>42611.702337962961</v>
      </c>
      <c r="G188" s="7">
        <v>1</v>
      </c>
      <c r="H188" s="15" t="s">
        <v>690</v>
      </c>
      <c r="I188" s="15">
        <v>42611.711168981485</v>
      </c>
      <c r="J188" s="7">
        <v>0</v>
      </c>
      <c r="K188" s="132" t="str">
        <f t="shared" si="89"/>
        <v>4013/4014</v>
      </c>
      <c r="L188" s="24" t="str">
        <f>VLOOKUP(A188,'Trips&amp;Operators'!$C$1:$E$10000,3,FALSE)</f>
        <v>COOLAHAN</v>
      </c>
      <c r="M188" s="6">
        <f t="shared" si="90"/>
        <v>8.8310185237787664E-3</v>
      </c>
      <c r="N188" s="7">
        <f t="shared" si="91"/>
        <v>12.716666674241424</v>
      </c>
      <c r="O188" s="7"/>
      <c r="P188" s="7"/>
      <c r="Q188" s="25"/>
      <c r="R188" s="25"/>
      <c r="S188" s="37">
        <f t="shared" si="92"/>
        <v>1</v>
      </c>
      <c r="T188" s="52" t="str">
        <f t="shared" si="93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15:46:20-0600',mode:absolute,to:'2016-08-29 18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8" s="54" t="str">
        <f t="shared" si="95"/>
        <v>N</v>
      </c>
      <c r="X188" s="120">
        <f t="shared" si="102"/>
        <v>1</v>
      </c>
      <c r="Y188" s="69">
        <f t="shared" si="103"/>
        <v>9.4399999999999998E-2</v>
      </c>
      <c r="Z188" s="69">
        <f t="shared" si="96"/>
        <v>5.8082000000000003</v>
      </c>
      <c r="AA188" s="69">
        <f t="shared" si="97"/>
        <v>5.7138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98"/>
        <v>0831-29</v>
      </c>
      <c r="AE188" s="99" t="str">
        <f t="shared" si="99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88" s="96" t="str">
        <f t="shared" si="100"/>
        <v>"C:\Program Files (x86)\AstroGrep\AstroGrep.exe" /spath="%USERPROFILE%\AppData\Local\Temp\OnboardLogs" /stypes="*4014*20160829*" /stext=" 23:.+((SYSTEM_STATE.+slice.+state.+changed )|(ment ac)|(system.+state.+changed )|(\|lc)|(penalty)|(\[timeout)|(PRM\|1\|D)|(kpr)|(kdp))" /e /r /s</v>
      </c>
      <c r="AG188" s="1" t="str">
        <f t="shared" si="101"/>
        <v>NW</v>
      </c>
      <c r="AH188" s="100" t="str">
        <f t="shared" si="85"/>
        <v>"%USERPROFILE%\Documents\GitHub\eaglep3\Utilities\RefineRTDCRunTimes.py" --tripid 831-29 --locoid 4014 --swversion DE.1.0.7.0 --startMP 204:944 --initTime 2016-08-29T16:46:20 --startdatetime 2016-08-29T16:51:22 --delay 1 --endMP 300:58082 --enddatetime 2016-08-29T17:04:05 --enforcementcount 0 &gt;&gt;C:\Users\stu\Documents\GitHub\eaglep3-reporting\EC\2016-08-29-refined-times.txt</v>
      </c>
      <c r="AI188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{"issue":{"subject":"","project_id":79,"tracker_id":40,"status_id":1,"priority_id":2,"assigned_to_id":23,"start_date":"2016-08-29","description":"","custom_fields":[{"id":1,"name":"Subdivision","value":"NW"},{"id":4,"name":"Milepost","value":"5.7138"},{"id":17,"name":"Train ID","value":"831-29"},{"id":16,"name":"Locomotive ID","value":"4014"},{"id":130,"name":"Impact","value":""},{"id":150,"name":"Time of Event (Mountain Time)","value":"17:04:05"},{"id":151,"name":"Denver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506</v>
      </c>
      <c r="B189" s="7">
        <v>4013</v>
      </c>
      <c r="C189" s="24" t="s">
        <v>113</v>
      </c>
      <c r="D189" s="24" t="s">
        <v>691</v>
      </c>
      <c r="E189" s="15">
        <v>42611.712858796294</v>
      </c>
      <c r="F189" s="15">
        <v>42611.714131944442</v>
      </c>
      <c r="G189" s="7">
        <v>1</v>
      </c>
      <c r="H189" s="15" t="s">
        <v>661</v>
      </c>
      <c r="I189" s="15">
        <v>42611.726284722223</v>
      </c>
      <c r="J189" s="7">
        <v>0</v>
      </c>
      <c r="K189" s="132" t="str">
        <f t="shared" si="89"/>
        <v>4013/4014</v>
      </c>
      <c r="L189" s="24" t="str">
        <f>VLOOKUP(A189,'Trips&amp;Operators'!$C$1:$E$10000,3,FALSE)</f>
        <v>COOLAHAN</v>
      </c>
      <c r="M189" s="6">
        <f t="shared" si="90"/>
        <v>1.2152777781011537E-2</v>
      </c>
      <c r="N189" s="7">
        <f t="shared" si="91"/>
        <v>17.500000004656613</v>
      </c>
      <c r="O189" s="7"/>
      <c r="P189" s="7"/>
      <c r="Q189" s="25"/>
      <c r="R189" s="25"/>
      <c r="S189" s="37">
        <f t="shared" si="92"/>
        <v>1</v>
      </c>
      <c r="T189" s="52" t="str">
        <f t="shared" si="93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16:06:31-0600',mode:absolute,to:'2016-08-29 18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9" s="54" t="str">
        <f t="shared" si="95"/>
        <v>N</v>
      </c>
      <c r="X189" s="120">
        <f t="shared" si="102"/>
        <v>1</v>
      </c>
      <c r="Y189" s="69">
        <f t="shared" si="103"/>
        <v>5.8681000000000001</v>
      </c>
      <c r="Z189" s="69">
        <f t="shared" si="96"/>
        <v>7.0300000000000001E-2</v>
      </c>
      <c r="AA189" s="69">
        <f t="shared" si="97"/>
        <v>5.7978000000000005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98"/>
        <v>0832-29</v>
      </c>
      <c r="AE189" s="99" t="str">
        <f t="shared" si="99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89" s="96" t="str">
        <f t="shared" si="100"/>
        <v>"C:\Program Files (x86)\AstroGrep\AstroGrep.exe" /spath="%USERPROFILE%\AppData\Local\Temp\OnboardLogs" /stypes="*4013*20160829*" /stext=" 23:.+((SYSTEM_STATE.+slice.+state.+changed )|(ment ac)|(system.+state.+changed )|(\|lc)|(penalty)|(\[timeout)|(PRM\|1\|D)|(kpr)|(kdp))" /e /r /s</v>
      </c>
      <c r="AG189" s="1" t="str">
        <f t="shared" si="101"/>
        <v>NW</v>
      </c>
      <c r="AH189" s="100" t="str">
        <f t="shared" si="85"/>
        <v>"%USERPROFILE%\Documents\GitHub\eaglep3\Utilities\RefineRTDCRunTimes.py" --tripid 832-29 --locoid 4013 --swversion DE.1.0.7.0 --startMP 300:58681 --initTime 2016-08-29T17:06:31 --startdatetime 2016-08-29T17:08:21 --delay 1 --endMP 204:703 --enddatetime 2016-08-29T17:25:51 --enforcementcount 0 &gt;&gt;C:\Users\stu\Documents\GitHub\eaglep3-reporting\EC\2016-08-29-refined-times.txt</v>
      </c>
      <c r="AI189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{"issue":{"subject":"","project_id":79,"tracker_id":40,"status_id":1,"priority_id":2,"assigned_to_id":23,"start_date":"2016-08-29","description":"","custom_fields":[{"id":1,"name":"Subdivision","value":"NW"},{"id":4,"name":"Milepost","value":"5.7978"},{"id":17,"name":"Train ID","value":"832-29"},{"id":16,"name":"Locomotive ID","value":"4013"},{"id":130,"name":"Impact","value":""},{"id":150,"name":"Time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508</v>
      </c>
      <c r="B190" s="7">
        <v>4018</v>
      </c>
      <c r="C190" s="24" t="s">
        <v>113</v>
      </c>
      <c r="D190" s="24" t="s">
        <v>692</v>
      </c>
      <c r="E190" s="15">
        <v>42611.715208333335</v>
      </c>
      <c r="F190" s="15">
        <v>42611.72314814815</v>
      </c>
      <c r="G190" s="7">
        <v>1</v>
      </c>
      <c r="H190" s="15" t="s">
        <v>693</v>
      </c>
      <c r="I190" s="15">
        <v>42611.732731481483</v>
      </c>
      <c r="J190" s="7">
        <v>0</v>
      </c>
      <c r="K190" s="132" t="str">
        <f t="shared" si="89"/>
        <v>4017/4018</v>
      </c>
      <c r="L190" s="24" t="str">
        <f>VLOOKUP(A190,'Trips&amp;Operators'!$C$1:$E$10000,3,FALSE)</f>
        <v>ROBINSON</v>
      </c>
      <c r="M190" s="6">
        <f t="shared" si="90"/>
        <v>9.5833333325572312E-3</v>
      </c>
      <c r="N190" s="7">
        <f t="shared" si="91"/>
        <v>13.799999998882413</v>
      </c>
      <c r="O190" s="7"/>
      <c r="P190" s="7"/>
      <c r="Q190" s="25"/>
      <c r="R190" s="25"/>
      <c r="S190" s="37">
        <f t="shared" si="92"/>
        <v>1</v>
      </c>
      <c r="T190" s="52" t="str">
        <f t="shared" si="93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16:09:54-0600',mode:absolute,to:'2016-08-29 18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95"/>
        <v>N</v>
      </c>
      <c r="X190" s="120">
        <f t="shared" si="102"/>
        <v>1</v>
      </c>
      <c r="Y190" s="69">
        <f t="shared" si="103"/>
        <v>9.7900000000000001E-2</v>
      </c>
      <c r="Z190" s="69">
        <f t="shared" si="96"/>
        <v>5.8924000000000003</v>
      </c>
      <c r="AA190" s="69">
        <f t="shared" si="97"/>
        <v>5.7945000000000002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98"/>
        <v>0833-29</v>
      </c>
      <c r="AE190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90" s="96" t="str">
        <f t="shared" si="100"/>
        <v>"C:\Program Files (x86)\AstroGrep\AstroGrep.exe" /spath="%USERPROFILE%\AppData\Local\Temp\OnboardLogs" /stypes="*4018*20160829*" /stext=" 23:.+((SYSTEM_STATE.+slice.+state.+changed )|(ment ac)|(system.+state.+changed )|(\|lc)|(penalty)|(\[timeout)|(PRM\|1\|D)|(kpr)|(kdp))" /e /r /s</v>
      </c>
      <c r="AG190" s="1" t="str">
        <f t="shared" si="101"/>
        <v>NW</v>
      </c>
      <c r="AH190" s="100" t="str">
        <f t="shared" si="85"/>
        <v>"%USERPROFILE%\Documents\GitHub\eaglep3\Utilities\RefineRTDCRunTimes.py" --tripid 833-29 --locoid 4018 --swversion DE.1.0.7.0 --startMP 204:979 --initTime 2016-08-29T17:09:54 --startdatetime 2016-08-29T17:21:20 --delay 1 --endMP 300:58924 --enddatetime 2016-08-29T17:35:08 --enforcementcount 0 &gt;&gt;C:\Users\stu\Documents\GitHub\eaglep3-reporting\EC\2016-08-29-refined-times.txt</v>
      </c>
      <c r="AI190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{"issue":{"subject":"","project_id":79,"tracker_id":40,"status_id":1,"priority_id":2,"assigned_to_id":23,"start_date":"2016-08-29","description":"","custom_fields":[{"id":1,"name":"Subdivision","value":"NW"},{"id":4,"name":"Milepost","value":"5.7945"},{"id":17,"name":"Train ID","value":"833-29"},{"id":16,"name":"Locomotive ID","value":"4018"},{"id":130,"name":"Impact","value":""},{"id":150,"name":"Time of Event (Mountain Time)","value":"17:35:08"},{"id":151,"name":"Denver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513</v>
      </c>
      <c r="B191" s="7">
        <v>4017</v>
      </c>
      <c r="C191" s="24" t="s">
        <v>113</v>
      </c>
      <c r="D191" s="24" t="s">
        <v>327</v>
      </c>
      <c r="E191" s="15">
        <v>42611.733969907407</v>
      </c>
      <c r="F191" s="15">
        <v>42611.73541666667</v>
      </c>
      <c r="G191" s="7">
        <v>1</v>
      </c>
      <c r="H191" s="15" t="s">
        <v>694</v>
      </c>
      <c r="I191" s="15">
        <v>42611.74726851852</v>
      </c>
      <c r="J191" s="7">
        <v>0</v>
      </c>
      <c r="K191" s="132" t="str">
        <f t="shared" si="89"/>
        <v>4017/4018</v>
      </c>
      <c r="L191" s="24" t="str">
        <f>VLOOKUP(A191,'Trips&amp;Operators'!$C$1:$E$10000,3,FALSE)</f>
        <v>ROBINSON</v>
      </c>
      <c r="M191" s="6">
        <f t="shared" si="90"/>
        <v>1.1851851850224193E-2</v>
      </c>
      <c r="N191" s="7">
        <f t="shared" si="91"/>
        <v>17.066666664322838</v>
      </c>
      <c r="O191" s="7"/>
      <c r="P191" s="7"/>
      <c r="Q191" s="25"/>
      <c r="R191" s="25"/>
      <c r="S191" s="37">
        <f t="shared" si="92"/>
        <v>1</v>
      </c>
      <c r="T191" s="52" t="str">
        <f t="shared" si="93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16:36:55-0600',mode:absolute,to:'2016-08-29 18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95"/>
        <v>N</v>
      </c>
      <c r="X191" s="120">
        <f t="shared" si="102"/>
        <v>1</v>
      </c>
      <c r="Y191" s="69">
        <f t="shared" si="103"/>
        <v>5.8611000000000004</v>
      </c>
      <c r="Z191" s="69">
        <f t="shared" si="96"/>
        <v>7.0499999999999993E-2</v>
      </c>
      <c r="AA191" s="69">
        <f t="shared" si="97"/>
        <v>5.7906000000000004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98"/>
        <v>0834-29</v>
      </c>
      <c r="AE191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91" s="96" t="str">
        <f t="shared" si="100"/>
        <v>"C:\Program Files (x86)\AstroGrep\AstroGrep.exe" /spath="%USERPROFILE%\AppData\Local\Temp\OnboardLogs" /stypes="*4017*20160829*" /stext=" 23:.+((SYSTEM_STATE.+slice.+state.+changed )|(ment ac)|(system.+state.+changed )|(\|lc)|(penalty)|(\[timeout)|(PRM\|1\|D)|(kpr)|(kdp))" /e /r /s</v>
      </c>
      <c r="AG191" s="1" t="str">
        <f t="shared" si="101"/>
        <v>NW</v>
      </c>
      <c r="AH191" s="100" t="str">
        <f t="shared" si="85"/>
        <v>"%USERPROFILE%\Documents\GitHub\eaglep3\Utilities\RefineRTDCRunTimes.py" --tripid 834-29 --locoid 4017 --swversion DE.1.0.7.0 --startMP 300:58611 --initTime 2016-08-29T17:36:55 --startdatetime 2016-08-29T17:39:00 --delay 1 --endMP 204:705 --enddatetime 2016-08-29T17:56:04 --enforcementcount 0 &gt;&gt;C:\Users\stu\Documents\GitHub\eaglep3-reporting\EC\2016-08-29-refined-times.txt</v>
      </c>
      <c r="AI191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{"issue":{"subject":"","project_id":79,"tracker_id":40,"status_id":1,"priority_id":2,"assigned_to_id":23,"start_date":"2016-08-29","description":"","custom_fields":[{"id":1,"name":"Subdivision","value":"NW"},{"id":4,"name":"Milepost","value":"5.7906"},{"id":17,"name":"Train ID","value":"834-29"},{"id":16,"name":"Locomotive ID","value":"4017"},{"id":130,"name":"Impact","value":""},{"id":150,"name":"Time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515</v>
      </c>
      <c r="B192" s="7">
        <v>4014</v>
      </c>
      <c r="C192" s="24" t="s">
        <v>113</v>
      </c>
      <c r="D192" s="24" t="s">
        <v>695</v>
      </c>
      <c r="E192" s="15">
        <v>42611.740891203706</v>
      </c>
      <c r="F192" s="15">
        <v>42611.744027777779</v>
      </c>
      <c r="G192" s="7">
        <v>1</v>
      </c>
      <c r="H192" s="15" t="s">
        <v>696</v>
      </c>
      <c r="I192" s="15">
        <v>42611.754074074073</v>
      </c>
      <c r="J192" s="7">
        <v>0</v>
      </c>
      <c r="K192" s="132" t="str">
        <f t="shared" si="89"/>
        <v>4013/4014</v>
      </c>
      <c r="L192" s="24" t="str">
        <f>VLOOKUP(A192,'Trips&amp;Operators'!$C$1:$E$10000,3,FALSE)</f>
        <v>COOLAHAN</v>
      </c>
      <c r="M192" s="6">
        <f t="shared" si="90"/>
        <v>1.0046296294603962E-2</v>
      </c>
      <c r="N192" s="7">
        <f t="shared" si="91"/>
        <v>14.466666664229706</v>
      </c>
      <c r="O192" s="7"/>
      <c r="P192" s="7"/>
      <c r="Q192" s="25"/>
      <c r="R192" s="25"/>
      <c r="S192" s="37">
        <f t="shared" si="92"/>
        <v>1</v>
      </c>
      <c r="T192" s="52" t="str">
        <f t="shared" si="93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16:46:53-0600',mode:absolute,to:'2016-08-29 19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2" s="54" t="str">
        <f t="shared" si="95"/>
        <v>N</v>
      </c>
      <c r="X192" s="120">
        <f t="shared" si="102"/>
        <v>1</v>
      </c>
      <c r="Y192" s="69">
        <f t="shared" si="103"/>
        <v>9.8100000000000007E-2</v>
      </c>
      <c r="Z192" s="69">
        <f t="shared" si="96"/>
        <v>5.8982000000000001</v>
      </c>
      <c r="AA192" s="69">
        <f t="shared" si="97"/>
        <v>5.8001000000000005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98"/>
        <v>0835-29</v>
      </c>
      <c r="AE192" s="99" t="str">
        <f t="shared" si="99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92" s="96" t="str">
        <f t="shared" si="100"/>
        <v>"C:\Program Files (x86)\AstroGrep\AstroGrep.exe" /spath="%USERPROFILE%\AppData\Local\Temp\OnboardLogs" /stypes="*4014*20160830*" /stext=" 00:.+((SYSTEM_STATE.+slice.+state.+changed )|(ment ac)|(system.+state.+changed )|(\|lc)|(penalty)|(\[timeout)|(PRM\|1\|D)|(kpr)|(kdp))" /e /r /s</v>
      </c>
      <c r="AG192" s="1" t="str">
        <f t="shared" si="101"/>
        <v>NW</v>
      </c>
      <c r="AH192" s="100" t="str">
        <f t="shared" si="85"/>
        <v>"%USERPROFILE%\Documents\GitHub\eaglep3\Utilities\RefineRTDCRunTimes.py" --tripid 835-29 --locoid 4014 --swversion DE.1.0.7.0 --startMP 204:981 --initTime 2016-08-29T17:46:53 --startdatetime 2016-08-29T17:51:24 --delay 1 --endMP 300:58982 --enddatetime 2016-08-29T18:05:52 --enforcementcount 0 &gt;&gt;C:\Users\stu\Documents\GitHub\eaglep3-reporting\EC\2016-08-29-refined-times.txt</v>
      </c>
      <c r="AI192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{"issue":{"subject":"","project_id":79,"tracker_id":40,"status_id":1,"priority_id":2,"assigned_to_id":23,"start_date":"2016-08-29","description":"","custom_fields":[{"id":1,"name":"Subdivision","value":"NW"},{"id":4,"name":"Milepost","value":"5.8001"},{"id":17,"name":"Train ID","value":"835-29"},{"id":16,"name":"Locomotive ID","value":"4014"},{"id":130,"name":"Impact","value":""},{"id":150,"name":"Time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522</v>
      </c>
      <c r="B193" s="7">
        <v>4013</v>
      </c>
      <c r="C193" s="24" t="s">
        <v>113</v>
      </c>
      <c r="D193" s="24" t="s">
        <v>344</v>
      </c>
      <c r="E193" s="15">
        <v>42611.754976851851</v>
      </c>
      <c r="F193" s="15">
        <v>42611.756226851852</v>
      </c>
      <c r="G193" s="7">
        <v>1</v>
      </c>
      <c r="H193" s="15" t="s">
        <v>697</v>
      </c>
      <c r="I193" s="15">
        <v>42611.768935185188</v>
      </c>
      <c r="J193" s="7">
        <v>0</v>
      </c>
      <c r="K193" s="132" t="str">
        <f t="shared" si="89"/>
        <v>4013/4014</v>
      </c>
      <c r="L193" s="24" t="str">
        <f>VLOOKUP(A193,'Trips&amp;Operators'!$C$1:$E$10000,3,FALSE)</f>
        <v>COOLAHAN</v>
      </c>
      <c r="M193" s="6">
        <f t="shared" si="90"/>
        <v>1.2708333335467614E-2</v>
      </c>
      <c r="N193" s="7">
        <f t="shared" si="91"/>
        <v>18.300000003073364</v>
      </c>
      <c r="O193" s="7"/>
      <c r="P193" s="7"/>
      <c r="Q193" s="25"/>
      <c r="R193" s="25"/>
      <c r="S193" s="37">
        <f t="shared" si="92"/>
        <v>1</v>
      </c>
      <c r="T193" s="52" t="str">
        <f t="shared" si="93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17:07:10-0600',mode:absolute,to:'2016-08-29 19:27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3" s="54" t="str">
        <f t="shared" si="95"/>
        <v>N</v>
      </c>
      <c r="X193" s="120">
        <f t="shared" si="102"/>
        <v>1</v>
      </c>
      <c r="Y193" s="69">
        <f t="shared" si="103"/>
        <v>5.8678999999999997</v>
      </c>
      <c r="Z193" s="69">
        <f t="shared" si="96"/>
        <v>6.5000000000000002E-2</v>
      </c>
      <c r="AA193" s="69">
        <f t="shared" si="97"/>
        <v>5.8028999999999993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98"/>
        <v>0836-29</v>
      </c>
      <c r="AE193" s="99" t="str">
        <f t="shared" si="99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193" s="96" t="str">
        <f t="shared" si="100"/>
        <v>"C:\Program Files (x86)\AstroGrep\AstroGrep.exe" /spath="%USERPROFILE%\AppData\Local\Temp\OnboardLogs" /stypes="*4013*20160830*" /stext=" 00:.+((SYSTEM_STATE.+slice.+state.+changed )|(ment ac)|(system.+state.+changed )|(\|lc)|(penalty)|(\[timeout)|(PRM\|1\|D)|(kpr)|(kdp))" /e /r /s</v>
      </c>
      <c r="AG193" s="1" t="str">
        <f t="shared" si="101"/>
        <v>NW</v>
      </c>
      <c r="AH193" s="100" t="str">
        <f t="shared" si="85"/>
        <v>"%USERPROFILE%\Documents\GitHub\eaglep3\Utilities\RefineRTDCRunTimes.py" --tripid 836-29 --locoid 4013 --swversion DE.1.0.7.0 --startMP 300:58679 --initTime 2016-08-29T18:07:10 --startdatetime 2016-08-29T18:08:58 --delay 1 --endMP 204:650 --enddatetime 2016-08-29T18:27:16 --enforcementcount 0 &gt;&gt;C:\Users\stu\Documents\GitHub\eaglep3-reporting\EC\2016-08-29-refined-times.txt</v>
      </c>
      <c r="AI193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{"issue":{"subject":"","project_id":79,"tracker_id":40,"status_id":1,"priority_id":2,"assigned_to_id":23,"start_date":"2016-08-29","description":"","custom_fields":[{"id":1,"name":"Subdivision","value":"NW"},{"id":4,"name":"Milepost","value":"5.8029"},{"id":17,"name":"Train ID","value":"836-29"},{"id":16,"name":"Locomotive ID","value":"4013"},{"id":130,"name":"Impact","value":""},{"id":150,"name":"Time of Event (Mountain Time)","value":"18:27:16"},{"id":151,"name":"Denver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523</v>
      </c>
      <c r="B194" s="7">
        <v>4018</v>
      </c>
      <c r="C194" s="24" t="s">
        <v>113</v>
      </c>
      <c r="D194" s="24" t="s">
        <v>692</v>
      </c>
      <c r="E194" s="15">
        <v>42611.758888888886</v>
      </c>
      <c r="F194" s="15">
        <v>42611.764745370368</v>
      </c>
      <c r="G194" s="7">
        <v>1</v>
      </c>
      <c r="H194" s="15" t="s">
        <v>698</v>
      </c>
      <c r="I194" s="15">
        <v>42611.774317129632</v>
      </c>
      <c r="J194" s="7">
        <v>0</v>
      </c>
      <c r="K194" s="132" t="str">
        <f t="shared" si="89"/>
        <v>4017/4018</v>
      </c>
      <c r="L194" s="24" t="str">
        <f>VLOOKUP(A194,'Trips&amp;Operators'!$C$1:$E$10000,3,FALSE)</f>
        <v>ROBINSON</v>
      </c>
      <c r="M194" s="6">
        <f t="shared" si="90"/>
        <v>9.5717592630535364E-3</v>
      </c>
      <c r="N194" s="7">
        <f t="shared" si="91"/>
        <v>13.783333338797092</v>
      </c>
      <c r="O194" s="7"/>
      <c r="P194" s="7"/>
      <c r="Q194" s="25"/>
      <c r="R194" s="25"/>
      <c r="S194" s="37">
        <f t="shared" si="92"/>
        <v>1</v>
      </c>
      <c r="T194" s="52" t="str">
        <f t="shared" si="93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17:12:48-0600',mode:absolute,to:'2016-08-29 19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95"/>
        <v>N</v>
      </c>
      <c r="X194" s="120">
        <f t="shared" si="102"/>
        <v>1</v>
      </c>
      <c r="Y194" s="69">
        <f t="shared" si="103"/>
        <v>9.7900000000000001E-2</v>
      </c>
      <c r="Z194" s="69">
        <f t="shared" si="96"/>
        <v>5.8920000000000003</v>
      </c>
      <c r="AA194" s="69">
        <f t="shared" si="97"/>
        <v>5.7941000000000003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98"/>
        <v>0837-29</v>
      </c>
      <c r="AE194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94" s="96" t="str">
        <f t="shared" si="100"/>
        <v>"C:\Program Files (x86)\AstroGrep\AstroGrep.exe" /spath="%USERPROFILE%\AppData\Local\Temp\OnboardLogs" /stypes="*4018*20160830*" /stext=" 00:.+((SYSTEM_STATE.+slice.+state.+changed )|(ment ac)|(system.+state.+changed )|(\|lc)|(penalty)|(\[timeout)|(PRM\|1\|D)|(kpr)|(kdp))" /e /r /s</v>
      </c>
      <c r="AG194" s="1" t="str">
        <f t="shared" si="101"/>
        <v>NW</v>
      </c>
      <c r="AH194" s="100" t="str">
        <f t="shared" si="85"/>
        <v>"%USERPROFILE%\Documents\GitHub\eaglep3\Utilities\RefineRTDCRunTimes.py" --tripid 837-29 --locoid 4018 --swversion DE.1.0.7.0 --startMP 204:979 --initTime 2016-08-29T18:12:48 --startdatetime 2016-08-29T18:21:14 --delay 1 --endMP 300:58920 --enddatetime 2016-08-29T18:35:01 --enforcementcount 0 &gt;&gt;C:\Users\stu\Documents\GitHub\eaglep3-reporting\EC\2016-08-29-refined-times.txt</v>
      </c>
      <c r="AI194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{"issue":{"subject":"","project_id":79,"tracker_id":40,"status_id":1,"priority_id":2,"assigned_to_id":23,"start_date":"2016-08-29","description":"","custom_fields":[{"id":1,"name":"Subdivision","value":"NW"},{"id":4,"name":"Milepost","value":"5.7941"},{"id":17,"name":"Train ID","value":"837-29"},{"id":16,"name":"Locomotive ID","value":"4018"},{"id":130,"name":"Impact","value":""},{"id":150,"name":"Time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530</v>
      </c>
      <c r="B195" s="7">
        <v>4017</v>
      </c>
      <c r="C195" s="24" t="s">
        <v>113</v>
      </c>
      <c r="D195" s="24" t="s">
        <v>699</v>
      </c>
      <c r="E195" s="15">
        <v>42611.775335648148</v>
      </c>
      <c r="F195" s="15">
        <v>42611.776759259257</v>
      </c>
      <c r="G195" s="7">
        <v>1</v>
      </c>
      <c r="H195" s="15" t="s">
        <v>345</v>
      </c>
      <c r="I195" s="15">
        <v>42611.790277777778</v>
      </c>
      <c r="J195" s="7">
        <v>0</v>
      </c>
      <c r="K195" s="132" t="str">
        <f t="shared" si="89"/>
        <v>4017/4018</v>
      </c>
      <c r="L195" s="24" t="str">
        <f>VLOOKUP(A195,'Trips&amp;Operators'!$C$1:$E$10000,3,FALSE)</f>
        <v>ROBINSON</v>
      </c>
      <c r="M195" s="6">
        <f t="shared" si="90"/>
        <v>1.3518518520868383E-2</v>
      </c>
      <c r="N195" s="7">
        <f t="shared" si="91"/>
        <v>19.466666670050472</v>
      </c>
      <c r="O195" s="7"/>
      <c r="P195" s="7"/>
      <c r="Q195" s="25"/>
      <c r="R195" s="25"/>
      <c r="S195" s="37">
        <f t="shared" si="92"/>
        <v>1</v>
      </c>
      <c r="T195" s="52" t="str">
        <f t="shared" si="93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17:36:29-0600',mode:absolute,to:'2016-08-29 19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95"/>
        <v>N</v>
      </c>
      <c r="X195" s="120">
        <f t="shared" si="102"/>
        <v>1</v>
      </c>
      <c r="Y195" s="69">
        <f t="shared" si="103"/>
        <v>5.8601999999999999</v>
      </c>
      <c r="Z195" s="69">
        <f t="shared" si="96"/>
        <v>6.8500000000000005E-2</v>
      </c>
      <c r="AA195" s="69">
        <f t="shared" si="97"/>
        <v>5.7916999999999996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98"/>
        <v>0838-29</v>
      </c>
      <c r="AE195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95" s="96" t="str">
        <f t="shared" si="100"/>
        <v>"C:\Program Files (x86)\AstroGrep\AstroGrep.exe" /spath="%USERPROFILE%\AppData\Local\Temp\OnboardLogs" /stypes="*4017*20160830*" /stext=" 00:.+((SYSTEM_STATE.+slice.+state.+changed )|(ment ac)|(system.+state.+changed )|(\|lc)|(penalty)|(\[timeout)|(PRM\|1\|D)|(kpr)|(kdp))" /e /r /s</v>
      </c>
      <c r="AG195" s="1" t="str">
        <f t="shared" si="101"/>
        <v>NW</v>
      </c>
      <c r="AH195" s="100" t="str">
        <f t="shared" si="85"/>
        <v>"%USERPROFILE%\Documents\GitHub\eaglep3\Utilities\RefineRTDCRunTimes.py" --tripid 838-29 --locoid 4017 --swversion DE.1.0.7.0 --startMP 300:58602 --initTime 2016-08-29T18:36:29 --startdatetime 2016-08-29T18:38:32 --delay 1 --endMP 204:685 --enddatetime 2016-08-29T18:58:00 --enforcementcount 0 &gt;&gt;C:\Users\stu\Documents\GitHub\eaglep3-reporting\EC\2016-08-29-refined-times.txt</v>
      </c>
      <c r="AI195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{"issue":{"subject":"","project_id":79,"tracker_id":40,"status_id":1,"priority_id":2,"assigned_to_id":23,"start_date":"2016-08-29","description":"","custom_fields":[{"id":1,"name":"Subdivision","value":"NW"},{"id":4,"name":"Milepost","value":"5.7917"},{"id":17,"name":"Train ID","value":"838-29"},{"id":16,"name":"Locomotive ID","value":"4017"},{"id":130,"name":"Impact","value":""},{"id":150,"name":"Time of Event (Mountain Time)","value":"18:58:00"},{"id":151,"name":"Denver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531</v>
      </c>
      <c r="B196" s="7">
        <v>4014</v>
      </c>
      <c r="C196" s="24" t="s">
        <v>113</v>
      </c>
      <c r="D196" s="24" t="s">
        <v>700</v>
      </c>
      <c r="E196" s="15">
        <v>42611.78292824074</v>
      </c>
      <c r="F196" s="15">
        <v>42611.78564814815</v>
      </c>
      <c r="G196" s="7">
        <v>1</v>
      </c>
      <c r="H196" s="15" t="s">
        <v>701</v>
      </c>
      <c r="I196" s="15">
        <v>42611.795370370368</v>
      </c>
      <c r="J196" s="7">
        <v>0</v>
      </c>
      <c r="K196" s="132" t="str">
        <f t="shared" si="89"/>
        <v>4013/4014</v>
      </c>
      <c r="L196" s="24" t="str">
        <f>VLOOKUP(A196,'Trips&amp;Operators'!$C$1:$E$10000,3,FALSE)</f>
        <v>COOLAHAN</v>
      </c>
      <c r="M196" s="6">
        <f t="shared" si="90"/>
        <v>9.7222222175332718E-3</v>
      </c>
      <c r="N196" s="7">
        <f t="shared" si="91"/>
        <v>13.999999993247911</v>
      </c>
      <c r="O196" s="7"/>
      <c r="P196" s="7"/>
      <c r="Q196" s="25"/>
      <c r="R196" s="25"/>
      <c r="S196" s="37">
        <f t="shared" si="92"/>
        <v>1</v>
      </c>
      <c r="T196" s="52" t="str">
        <f t="shared" si="93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17:47:25-0600',mode:absolute,to:'2016-08-29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6" s="54" t="str">
        <f t="shared" si="95"/>
        <v>N</v>
      </c>
      <c r="X196" s="120">
        <f t="shared" si="102"/>
        <v>1</v>
      </c>
      <c r="Y196" s="69">
        <f t="shared" si="103"/>
        <v>9.5799999999999996E-2</v>
      </c>
      <c r="Z196" s="69">
        <f t="shared" si="96"/>
        <v>5.899</v>
      </c>
      <c r="AA196" s="69">
        <f t="shared" si="97"/>
        <v>5.8032000000000004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98"/>
        <v>0839-29</v>
      </c>
      <c r="AE196" s="99" t="str">
        <f t="shared" si="99"/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AF196" s="96" t="str">
        <f t="shared" si="100"/>
        <v>"C:\Program Files (x86)\AstroGrep\AstroGrep.exe" /spath="%USERPROFILE%\AppData\Local\Temp\OnboardLogs" /stypes="*4014*20160830*" /stext=" 01:.+((SYSTEM_STATE.+slice.+state.+changed )|(ment ac)|(system.+state.+changed )|(\|lc)|(penalty)|(\[timeout)|(PRM\|1\|D)|(kpr)|(kdp))" /e /r /s</v>
      </c>
      <c r="AG196" s="1" t="str">
        <f t="shared" si="101"/>
        <v>NW</v>
      </c>
      <c r="AH196" s="100" t="str">
        <f t="shared" si="85"/>
        <v>"%USERPROFILE%\Documents\GitHub\eaglep3\Utilities\RefineRTDCRunTimes.py" --tripid 839-29 --locoid 4014 --swversion DE.1.0.7.0 --startMP 204:958 --initTime 2016-08-29T18:47:25 --startdatetime 2016-08-29T18:51:20 --delay 1 --endMP 300:58990 --enddatetime 2016-08-29T19:05:20 --enforcementcount 0 &gt;&gt;C:\Users\stu\Documents\GitHub\eaglep3-reporting\EC\2016-08-29-refined-times.txt</v>
      </c>
      <c r="AI196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{"issue":{"subject":"","project_id":79,"tracker_id":40,"status_id":1,"priority_id":2,"assigned_to_id":23,"start_date":"2016-08-29","description":"","custom_fields":[{"id":1,"name":"Subdivision","value":"NW"},{"id":4,"name":"Milepost","value":"5.8032"},{"id":17,"name":"Train ID","value":"839-29"},{"id":16,"name":"Locomotive ID","value":"4014"},{"id":130,"name":"Impact","value":""},{"id":150,"name":"Time of Event (Mountain Time)","value":"19:05:20"},{"id":151,"name":"Denver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540</v>
      </c>
      <c r="B197" s="7">
        <v>4017</v>
      </c>
      <c r="C197" s="24" t="s">
        <v>113</v>
      </c>
      <c r="D197" s="24" t="s">
        <v>327</v>
      </c>
      <c r="E197" s="15">
        <v>42611.816793981481</v>
      </c>
      <c r="F197" s="15">
        <v>42611.818206018521</v>
      </c>
      <c r="G197" s="7">
        <v>1</v>
      </c>
      <c r="H197" s="15" t="s">
        <v>702</v>
      </c>
      <c r="I197" s="15">
        <v>42611.831967592596</v>
      </c>
      <c r="J197" s="7">
        <v>0</v>
      </c>
      <c r="K197" s="132" t="str">
        <f t="shared" si="89"/>
        <v>4017/4018</v>
      </c>
      <c r="L197" s="24" t="str">
        <f>VLOOKUP(A197,'Trips&amp;Operators'!$C$1:$E$10000,3,FALSE)</f>
        <v>ROBINSON</v>
      </c>
      <c r="M197" s="6">
        <f t="shared" si="90"/>
        <v>1.3761574075033423E-2</v>
      </c>
      <c r="N197" s="7">
        <f t="shared" si="91"/>
        <v>19.816666668048128</v>
      </c>
      <c r="O197" s="7"/>
      <c r="P197" s="7"/>
      <c r="Q197" s="25"/>
      <c r="R197" s="25"/>
      <c r="S197" s="37">
        <f t="shared" si="92"/>
        <v>1</v>
      </c>
      <c r="T197" s="52" t="str">
        <f t="shared" si="93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18:36:11-0600',mode:absolute,to:'2016-08-29 20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7" s="54" t="str">
        <f t="shared" si="95"/>
        <v>N</v>
      </c>
      <c r="X197" s="120">
        <f t="shared" si="102"/>
        <v>1</v>
      </c>
      <c r="Y197" s="69">
        <f t="shared" si="103"/>
        <v>5.8611000000000004</v>
      </c>
      <c r="Z197" s="69">
        <f t="shared" si="96"/>
        <v>6.7799999999999999E-2</v>
      </c>
      <c r="AA197" s="69">
        <f t="shared" si="97"/>
        <v>5.7933000000000003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98"/>
        <v>0840-29</v>
      </c>
      <c r="AE197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97" s="96" t="str">
        <f t="shared" si="100"/>
        <v>"C:\Program Files (x86)\AstroGrep\AstroGrep.exe" /spath="%USERPROFILE%\AppData\Local\Temp\OnboardLogs" /stypes="*4017*20160830*" /stext=" 01:.+((SYSTEM_STATE.+slice.+state.+changed )|(ment ac)|(system.+state.+changed )|(\|lc)|(penalty)|(\[timeout)|(PRM\|1\|D)|(kpr)|(kdp))" /e /r /s</v>
      </c>
      <c r="AG197" s="1" t="str">
        <f t="shared" si="101"/>
        <v>NW</v>
      </c>
      <c r="AH197" s="100" t="str">
        <f t="shared" si="85"/>
        <v>"%USERPROFILE%\Documents\GitHub\eaglep3\Utilities\RefineRTDCRunTimes.py" --tripid 840-29 --locoid 4017 --swversion DE.1.0.7.0 --startMP 300:58611 --initTime 2016-08-29T19:36:11 --startdatetime 2016-08-29T19:38:13 --delay 1 --endMP 204:678 --enddatetime 2016-08-29T19:58:02 --enforcementcount 0 &gt;&gt;C:\Users\stu\Documents\GitHub\eaglep3-reporting\EC\2016-08-29-refined-times.txt</v>
      </c>
      <c r="AI197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{"issue":{"subject":"","project_id":79,"tracker_id":40,"status_id":1,"priority_id":2,"assigned_to_id":23,"start_date":"2016-08-29","description":"","custom_fields":[{"id":1,"name":"Subdivision","value":"NW"},{"id":4,"name":"Milepost","value":"5.7933"},{"id":17,"name":"Train ID","value":"840-29"},{"id":16,"name":"Locomotive ID","value":"4017"},{"id":130,"name":"Impact","value":""},{"id":150,"name":"Time of Event (Mountain Time)","value":"19:58:02"},{"id":151,"name":"Denver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538</v>
      </c>
      <c r="B198" s="7">
        <v>4018</v>
      </c>
      <c r="C198" s="24" t="s">
        <v>113</v>
      </c>
      <c r="D198" s="24" t="s">
        <v>341</v>
      </c>
      <c r="E198" s="15">
        <v>42611.799525462964</v>
      </c>
      <c r="F198" s="15">
        <v>42611.80641203704</v>
      </c>
      <c r="G198" s="7">
        <v>1</v>
      </c>
      <c r="H198" s="15" t="s">
        <v>332</v>
      </c>
      <c r="I198" s="15">
        <v>42611.815717592595</v>
      </c>
      <c r="J198" s="7">
        <v>0</v>
      </c>
      <c r="K198" s="132" t="str">
        <f t="shared" si="89"/>
        <v>4017/4018</v>
      </c>
      <c r="L198" s="24" t="str">
        <f>VLOOKUP(A198,'Trips&amp;Operators'!$C$1:$E$10000,3,FALSE)</f>
        <v>ROBINSON</v>
      </c>
      <c r="M198" s="6">
        <f t="shared" si="90"/>
        <v>9.3055555553291924E-3</v>
      </c>
      <c r="N198" s="7">
        <f t="shared" si="91"/>
        <v>13.399999999674037</v>
      </c>
      <c r="O198" s="7"/>
      <c r="P198" s="7"/>
      <c r="Q198" s="25"/>
      <c r="R198" s="25"/>
      <c r="S198" s="37">
        <f t="shared" si="92"/>
        <v>1</v>
      </c>
      <c r="T198" s="52" t="str">
        <f t="shared" si="93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18:11:19-0600',mode:absolute,to:'2016-08-29 20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8" s="54" t="str">
        <f t="shared" si="95"/>
        <v>N</v>
      </c>
      <c r="X198" s="120">
        <f t="shared" si="102"/>
        <v>1</v>
      </c>
      <c r="Y198" s="69">
        <f t="shared" si="103"/>
        <v>9.69E-2</v>
      </c>
      <c r="Z198" s="69">
        <f t="shared" si="96"/>
        <v>5.8935000000000004</v>
      </c>
      <c r="AA198" s="69">
        <f t="shared" si="97"/>
        <v>5.7966000000000006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98"/>
        <v>0841-29</v>
      </c>
      <c r="AE198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198" s="96" t="str">
        <f t="shared" si="100"/>
        <v>"C:\Program Files (x86)\AstroGrep\AstroGrep.exe" /spath="%USERPROFILE%\AppData\Local\Temp\OnboardLogs" /stypes="*4018*20160830*" /stext=" 01:.+((SYSTEM_STATE.+slice.+state.+changed )|(ment ac)|(system.+state.+changed )|(\|lc)|(penalty)|(\[timeout)|(PRM\|1\|D)|(kpr)|(kdp))" /e /r /s</v>
      </c>
      <c r="AG198" s="1" t="str">
        <f t="shared" si="101"/>
        <v>NW</v>
      </c>
      <c r="AH198" s="100" t="str">
        <f t="shared" si="85"/>
        <v>"%USERPROFILE%\Documents\GitHub\eaglep3\Utilities\RefineRTDCRunTimes.py" --tripid 841-29 --locoid 4018 --swversion DE.1.0.7.0 --startMP 204:969 --initTime 2016-08-29T19:11:19 --startdatetime 2016-08-29T19:21:14 --delay 1 --endMP 300:58935 --enddatetime 2016-08-29T19:34:38 --enforcementcount 0 &gt;&gt;C:\Users\stu\Documents\GitHub\eaglep3-reporting\EC\2016-08-29-refined-times.txt</v>
      </c>
      <c r="AI198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{"issue":{"subject":"","project_id":79,"tracker_id":40,"status_id":1,"priority_id":2,"assigned_to_id":23,"start_date":"2016-08-29","description":"","custom_fields":[{"id":1,"name":"Subdivision","value":"NW"},{"id":4,"name":"Milepost","value":"5.7966"},{"id":17,"name":"Train ID","value":"841-29"},{"id":16,"name":"Locomotive ID","value":"4018"},{"id":130,"name":"Impact","value":""},{"id":150,"name":"Time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547</v>
      </c>
      <c r="B199" s="7">
        <v>4017</v>
      </c>
      <c r="C199" s="24" t="s">
        <v>113</v>
      </c>
      <c r="D199" s="24" t="s">
        <v>336</v>
      </c>
      <c r="E199" s="15">
        <v>42611.858969907407</v>
      </c>
      <c r="F199" s="15">
        <v>42611.860497685186</v>
      </c>
      <c r="G199" s="7">
        <v>1</v>
      </c>
      <c r="H199" s="15" t="s">
        <v>703</v>
      </c>
      <c r="I199" s="15">
        <v>42611.873379629629</v>
      </c>
      <c r="J199" s="7">
        <v>0</v>
      </c>
      <c r="K199" s="132" t="str">
        <f t="shared" si="89"/>
        <v>4017/4018</v>
      </c>
      <c r="L199" s="24" t="str">
        <f>VLOOKUP(A199,'Trips&amp;Operators'!$C$1:$E$10000,3,FALSE)</f>
        <v>ROBINSON</v>
      </c>
      <c r="M199" s="6">
        <f t="shared" si="90"/>
        <v>1.2881944443506654E-2</v>
      </c>
      <c r="N199" s="7">
        <f t="shared" si="91"/>
        <v>18.549999998649582</v>
      </c>
      <c r="O199" s="7"/>
      <c r="P199" s="7"/>
      <c r="Q199" s="25"/>
      <c r="R199" s="25"/>
      <c r="S199" s="37">
        <f t="shared" si="92"/>
        <v>1</v>
      </c>
      <c r="T199" s="52" t="str">
        <f t="shared" si="93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19:36:55-0600',mode:absolute,to:'2016-08-29 21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9" s="54" t="str">
        <f t="shared" si="95"/>
        <v>N</v>
      </c>
      <c r="X199" s="120">
        <f t="shared" si="102"/>
        <v>1</v>
      </c>
      <c r="Y199" s="69">
        <f t="shared" si="103"/>
        <v>5.8597999999999999</v>
      </c>
      <c r="Z199" s="69">
        <f t="shared" si="96"/>
        <v>6.8900000000000003E-2</v>
      </c>
      <c r="AA199" s="69">
        <f t="shared" si="97"/>
        <v>5.7908999999999997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98"/>
        <v>0842-29</v>
      </c>
      <c r="AE199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199" s="96" t="str">
        <f t="shared" si="100"/>
        <v>"C:\Program Files (x86)\AstroGrep\AstroGrep.exe" /spath="%USERPROFILE%\AppData\Local\Temp\OnboardLogs" /stypes="*4017*20160830*" /stext=" 02:.+((SYSTEM_STATE.+slice.+state.+changed )|(ment ac)|(system.+state.+changed )|(\|lc)|(penalty)|(\[timeout)|(PRM\|1\|D)|(kpr)|(kdp))" /e /r /s</v>
      </c>
      <c r="AG199" s="1" t="str">
        <f t="shared" si="101"/>
        <v>NW</v>
      </c>
      <c r="AH199" s="100" t="str">
        <f t="shared" si="85"/>
        <v>"%USERPROFILE%\Documents\GitHub\eaglep3\Utilities\RefineRTDCRunTimes.py" --tripid 842-29 --locoid 4017 --swversion DE.1.0.7.0 --startMP 300:58598 --initTime 2016-08-29T20:36:55 --startdatetime 2016-08-29T20:39:07 --delay 1 --endMP 204:689 --enddatetime 2016-08-29T20:57:40 --enforcementcount 0 &gt;&gt;C:\Users\stu\Documents\GitHub\eaglep3-reporting\EC\2016-08-29-refined-times.txt</v>
      </c>
      <c r="AI199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{"issue":{"subject":"","project_id":79,"tracker_id":40,"status_id":1,"priority_id":2,"assigned_to_id":23,"start_date":"2016-08-29","description":"","custom_fields":[{"id":1,"name":"Subdivision","value":"NW"},{"id":4,"name":"Milepost","value":"5.7909"},{"id":17,"name":"Train ID","value":"842-29"},{"id":16,"name":"Locomotive ID","value":"4017"},{"id":130,"name":"Impact","value":""},{"id":150,"name":"Time of Event (Mountain Time)","value":"20:57:40"},{"id":151,"name":"Denver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545</v>
      </c>
      <c r="B200" s="7">
        <v>4018</v>
      </c>
      <c r="C200" s="24" t="s">
        <v>113</v>
      </c>
      <c r="D200" s="24" t="s">
        <v>338</v>
      </c>
      <c r="E200" s="15">
        <v>42611.841284722221</v>
      </c>
      <c r="F200" s="15">
        <v>42611.848090277781</v>
      </c>
      <c r="G200" s="7">
        <v>1</v>
      </c>
      <c r="H200" s="15" t="s">
        <v>698</v>
      </c>
      <c r="I200" s="15">
        <v>42611.857824074075</v>
      </c>
      <c r="J200" s="7">
        <v>0</v>
      </c>
      <c r="K200" s="132" t="str">
        <f t="shared" si="89"/>
        <v>4017/4018</v>
      </c>
      <c r="L200" s="24" t="str">
        <f>VLOOKUP(A200,'Trips&amp;Operators'!$C$1:$E$10000,3,FALSE)</f>
        <v>ROBINSON</v>
      </c>
      <c r="M200" s="6">
        <f t="shared" si="90"/>
        <v>9.7337962943129241E-3</v>
      </c>
      <c r="N200" s="7">
        <f t="shared" si="91"/>
        <v>14.016666663810611</v>
      </c>
      <c r="O200" s="7"/>
      <c r="P200" s="7"/>
      <c r="Q200" s="25"/>
      <c r="R200" s="25"/>
      <c r="S200" s="37">
        <f t="shared" si="92"/>
        <v>1</v>
      </c>
      <c r="T200" s="52" t="str">
        <f t="shared" si="93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19:11:27-0600',mode:absolute,to:'2016-08-29 21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0" s="54" t="str">
        <f t="shared" si="95"/>
        <v>N</v>
      </c>
      <c r="X200" s="120">
        <f t="shared" si="102"/>
        <v>1</v>
      </c>
      <c r="Y200" s="69">
        <f t="shared" si="103"/>
        <v>9.74E-2</v>
      </c>
      <c r="Z200" s="69">
        <f t="shared" si="96"/>
        <v>5.8920000000000003</v>
      </c>
      <c r="AA200" s="69">
        <f t="shared" si="97"/>
        <v>5.7946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98"/>
        <v>0843-29</v>
      </c>
      <c r="AE200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200" s="96" t="str">
        <f t="shared" si="100"/>
        <v>"C:\Program Files (x86)\AstroGrep\AstroGrep.exe" /spath="%USERPROFILE%\AppData\Local\Temp\OnboardLogs" /stypes="*4018*20160830*" /stext=" 02:.+((SYSTEM_STATE.+slice.+state.+changed )|(ment ac)|(system.+state.+changed )|(\|lc)|(penalty)|(\[timeout)|(PRM\|1\|D)|(kpr)|(kdp))" /e /r /s</v>
      </c>
      <c r="AG200" s="1" t="str">
        <f t="shared" si="101"/>
        <v>NW</v>
      </c>
      <c r="AH200" s="100" t="str">
        <f t="shared" si="85"/>
        <v>"%USERPROFILE%\Documents\GitHub\eaglep3\Utilities\RefineRTDCRunTimes.py" --tripid 843-29 --locoid 4018 --swversion DE.1.0.7.0 --startMP 204:974 --initTime 2016-08-29T20:11:27 --startdatetime 2016-08-29T20:21:15 --delay 1 --endMP 300:58920 --enddatetime 2016-08-29T20:35:16 --enforcementcount 0 &gt;&gt;C:\Users\stu\Documents\GitHub\eaglep3-reporting\EC\2016-08-29-refined-times.txt</v>
      </c>
      <c r="AI200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{"issue":{"subject":"","project_id":79,"tracker_id":40,"status_id":1,"priority_id":2,"assigned_to_id":23,"start_date":"2016-08-29","description":"","custom_fields":[{"id":1,"name":"Subdivision","value":"NW"},{"id":4,"name":"Milepost","value":"5.7946"},{"id":17,"name":"Train ID","value":"843-29"},{"id":16,"name":"Locomotive ID","value":"4018"},{"id":130,"name":"Impact","value":""},{"id":150,"name":"Time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553</v>
      </c>
      <c r="B201" s="7">
        <v>4017</v>
      </c>
      <c r="C201" s="24" t="s">
        <v>113</v>
      </c>
      <c r="D201" s="24" t="s">
        <v>686</v>
      </c>
      <c r="E201" s="15">
        <v>42611.900266203702</v>
      </c>
      <c r="F201" s="15">
        <v>42611.902175925927</v>
      </c>
      <c r="G201" s="7">
        <v>2</v>
      </c>
      <c r="H201" s="15" t="s">
        <v>704</v>
      </c>
      <c r="I201" s="15">
        <v>42611.91306712963</v>
      </c>
      <c r="J201" s="7">
        <v>0</v>
      </c>
      <c r="K201" s="132" t="str">
        <f t="shared" si="89"/>
        <v>4017/4018</v>
      </c>
      <c r="L201" s="24" t="str">
        <f>VLOOKUP(A201,'Trips&amp;Operators'!$C$1:$E$10000,3,FALSE)</f>
        <v>COOLAHAN</v>
      </c>
      <c r="M201" s="6">
        <f t="shared" si="90"/>
        <v>1.0891203703067731E-2</v>
      </c>
      <c r="N201" s="7">
        <f t="shared" si="91"/>
        <v>15.683333332417533</v>
      </c>
      <c r="O201" s="7"/>
      <c r="P201" s="7"/>
      <c r="Q201" s="25"/>
      <c r="R201" s="25"/>
      <c r="S201" s="37">
        <f t="shared" si="92"/>
        <v>1</v>
      </c>
      <c r="T201" s="52" t="str">
        <f t="shared" si="93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20:36:23-0600',mode:absolute,to:'2016-08-29 22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95"/>
        <v>N</v>
      </c>
      <c r="X201" s="120">
        <f t="shared" si="102"/>
        <v>1</v>
      </c>
      <c r="Y201" s="69">
        <f t="shared" si="103"/>
        <v>5.8655999999999997</v>
      </c>
      <c r="Z201" s="69">
        <f t="shared" si="96"/>
        <v>6.8199999999999997E-2</v>
      </c>
      <c r="AA201" s="69">
        <f t="shared" si="97"/>
        <v>5.7973999999999997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98"/>
        <v>0844-29</v>
      </c>
      <c r="AE201" s="99" t="str">
        <f t="shared" si="99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201" s="96" t="str">
        <f t="shared" si="100"/>
        <v>"C:\Program Files (x86)\AstroGrep\AstroGrep.exe" /spath="%USERPROFILE%\AppData\Local\Temp\OnboardLogs" /stypes="*4017*20160830*" /stext=" 03:.+((SYSTEM_STATE.+slice.+state.+changed )|(ment ac)|(system.+state.+changed )|(\|lc)|(penalty)|(\[timeout)|(PRM\|1\|D)|(kpr)|(kdp))" /e /r /s</v>
      </c>
      <c r="AG201" s="1" t="str">
        <f t="shared" si="101"/>
        <v>NW</v>
      </c>
      <c r="AH201" s="100" t="str">
        <f t="shared" si="85"/>
        <v>"%USERPROFILE%\Documents\GitHub\eaglep3\Utilities\RefineRTDCRunTimes.py" --tripid 844-29 --locoid 4017 --swversion DE.1.0.7.0 --startMP 300:58656 --initTime 2016-08-29T21:36:23 --startdatetime 2016-08-29T21:39:08 --delay 2 --endMP 204:682 --enddatetime 2016-08-29T21:54:49 --enforcementcount 0 &gt;&gt;C:\Users\stu\Documents\GitHub\eaglep3-reporting\EC\2016-08-29-refined-times.txt</v>
      </c>
      <c r="AI201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{"issue":{"subject":"","project_id":79,"tracker_id":40,"status_id":1,"priority_id":2,"assigned_to_id":23,"start_date":"2016-08-29","description":"","custom_fields":[{"id":1,"name":"Subdivision","value":"NW"},{"id":4,"name":"Milepost","value":"5.7974"},{"id":17,"name":"Train ID","value":"844-29"},{"id":16,"name":"Locomotive ID","value":"4017"},{"id":130,"name":"Impact","value":""},{"id":150,"name":"Time of Event (Mountain Time)","value":"21:54:49"},{"id":151,"name":"Denver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552</v>
      </c>
      <c r="B202" s="7">
        <v>4018</v>
      </c>
      <c r="C202" s="24" t="s">
        <v>113</v>
      </c>
      <c r="D202" s="24" t="s">
        <v>695</v>
      </c>
      <c r="E202" s="15">
        <v>42611.88553240741</v>
      </c>
      <c r="F202" s="15">
        <v>42611.889814814815</v>
      </c>
      <c r="G202" s="7">
        <v>1</v>
      </c>
      <c r="H202" s="15" t="s">
        <v>705</v>
      </c>
      <c r="I202" s="15">
        <v>42611.899421296293</v>
      </c>
      <c r="J202" s="7">
        <v>0</v>
      </c>
      <c r="K202" s="132" t="str">
        <f t="shared" si="89"/>
        <v>4017/4018</v>
      </c>
      <c r="L202" s="24" t="str">
        <f>VLOOKUP(A202,'Trips&amp;Operators'!$C$1:$E$10000,3,FALSE)</f>
        <v>COOLAHAN</v>
      </c>
      <c r="M202" s="6">
        <f t="shared" si="90"/>
        <v>9.6064814788405783E-3</v>
      </c>
      <c r="N202" s="7">
        <f t="shared" si="91"/>
        <v>13.833333329530433</v>
      </c>
      <c r="O202" s="7"/>
      <c r="P202" s="7"/>
      <c r="Q202" s="25"/>
      <c r="R202" s="25"/>
      <c r="S202" s="37">
        <f t="shared" si="92"/>
        <v>1</v>
      </c>
      <c r="T202" s="52" t="str">
        <f t="shared" si="93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20:15:10-0600',mode:absolute,to:'2016-08-29 22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95"/>
        <v>N</v>
      </c>
      <c r="X202" s="120">
        <f t="shared" si="102"/>
        <v>1</v>
      </c>
      <c r="Y202" s="69">
        <f t="shared" si="103"/>
        <v>9.8100000000000007E-2</v>
      </c>
      <c r="Z202" s="69">
        <f t="shared" si="96"/>
        <v>5.8979999999999997</v>
      </c>
      <c r="AA202" s="69">
        <f t="shared" si="97"/>
        <v>5.7999000000000001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98"/>
        <v>0845-29</v>
      </c>
      <c r="AE202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202" s="96" t="str">
        <f t="shared" si="100"/>
        <v>"C:\Program Files (x86)\AstroGrep\AstroGrep.exe" /spath="%USERPROFILE%\AppData\Local\Temp\OnboardLogs" /stypes="*4018*20160830*" /stext=" 03:.+((SYSTEM_STATE.+slice.+state.+changed )|(ment ac)|(system.+state.+changed )|(\|lc)|(penalty)|(\[timeout)|(PRM\|1\|D)|(kpr)|(kdp))" /e /r /s</v>
      </c>
      <c r="AG202" s="1" t="str">
        <f t="shared" si="101"/>
        <v>NW</v>
      </c>
      <c r="AH202" s="100" t="str">
        <f t="shared" si="85"/>
        <v>"%USERPROFILE%\Documents\GitHub\eaglep3\Utilities\RefineRTDCRunTimes.py" --tripid 845-29 --locoid 4018 --swversion DE.1.0.7.0 --startMP 204:981 --initTime 2016-08-29T21:15:10 --startdatetime 2016-08-29T21:21:20 --delay 1 --endMP 300:58980 --enddatetime 2016-08-29T21:35:10 --enforcementcount 0 &gt;&gt;C:\Users\stu\Documents\GitHub\eaglep3-reporting\EC\2016-08-29-refined-times.txt</v>
      </c>
      <c r="AI202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{"issue":{"subject":"","project_id":79,"tracker_id":40,"status_id":1,"priority_id":2,"assigned_to_id":23,"start_date":"2016-08-29","description":"","custom_fields":[{"id":1,"name":"Subdivision","value":"NW"},{"id":4,"name":"Milepost","value":"5.7999"},{"id":17,"name":"Train ID","value":"845-29"},{"id":16,"name":"Locomotive ID","value":"4018"},{"id":130,"name":"Impact","value":""},{"id":150,"name":"Time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557</v>
      </c>
      <c r="B203" s="7">
        <v>4018</v>
      </c>
      <c r="C203" s="24" t="s">
        <v>113</v>
      </c>
      <c r="D203" s="24" t="s">
        <v>341</v>
      </c>
      <c r="E203" s="15">
        <v>42611.927673611113</v>
      </c>
      <c r="F203" s="15">
        <v>42611.931527777779</v>
      </c>
      <c r="G203" s="7">
        <v>1</v>
      </c>
      <c r="H203" s="15" t="s">
        <v>705</v>
      </c>
      <c r="I203" s="15">
        <v>42611.941284722219</v>
      </c>
      <c r="J203" s="7">
        <v>0</v>
      </c>
      <c r="K203" s="132" t="str">
        <f t="shared" si="89"/>
        <v>4017/4018</v>
      </c>
      <c r="L203" s="24" t="str">
        <f>VLOOKUP(A203,'Trips&amp;Operators'!$C$1:$E$10000,3,FALSE)</f>
        <v>COOLAHAN</v>
      </c>
      <c r="M203" s="6">
        <f t="shared" si="90"/>
        <v>9.7569444405962713E-3</v>
      </c>
      <c r="N203" s="7">
        <f t="shared" si="91"/>
        <v>14.049999994458631</v>
      </c>
      <c r="O203" s="7"/>
      <c r="P203" s="7"/>
      <c r="Q203" s="25"/>
      <c r="R203" s="25"/>
      <c r="S203" s="37">
        <f t="shared" si="92"/>
        <v>1</v>
      </c>
      <c r="T203" s="52" t="str">
        <f t="shared" si="93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21:15:51-0600',mode:absolute,to:'2016-08-29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3" s="54" t="str">
        <f t="shared" si="95"/>
        <v>N</v>
      </c>
      <c r="X203" s="120">
        <f t="shared" si="102"/>
        <v>2</v>
      </c>
      <c r="Y203" s="69">
        <f t="shared" si="103"/>
        <v>9.69E-2</v>
      </c>
      <c r="Z203" s="69">
        <f t="shared" si="96"/>
        <v>5.8979999999999997</v>
      </c>
      <c r="AA203" s="69">
        <f t="shared" si="97"/>
        <v>5.8010999999999999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98"/>
        <v>0847-29</v>
      </c>
      <c r="AE203" s="99" t="str">
        <f t="shared" si="99"/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AF203" s="96" t="str">
        <f t="shared" si="100"/>
        <v>"C:\Program Files (x86)\AstroGrep\AstroGrep.exe" /spath="%USERPROFILE%\AppData\Local\Temp\OnboardLogs" /stypes="*4018*20160830*" /stext=" 04:.+((SYSTEM_STATE.+slice.+state.+changed )|(ment ac)|(system.+state.+changed )|(\|lc)|(penalty)|(\[timeout)|(PRM\|1\|D)|(kpr)|(kdp))" /e /r /s</v>
      </c>
      <c r="AG203" s="1" t="str">
        <f t="shared" si="101"/>
        <v>NW</v>
      </c>
      <c r="AH203" s="100" t="str">
        <f t="shared" si="85"/>
        <v>"%USERPROFILE%\Documents\GitHub\eaglep3\Utilities\RefineRTDCRunTimes.py" --tripid 847-29 --locoid 4018 --swversion DE.1.0.7.0 --startMP 204:969 --initTime 2016-08-29T22:15:51 --startdatetime 2016-08-29T22:21:24 --delay 1 --endMP 300:58980 --enddatetime 2016-08-29T22:35:27 --enforcementcount 0 &gt;&gt;C:\Users\stu\Documents\GitHub\eaglep3-reporting\EC\2016-08-29-refined-times.txt</v>
      </c>
      <c r="AI203" s="149" t="str">
        <f t="shared" si="86"/>
        <v>echo {"issue":{"subject":"","project_id":79,"tracker_id":40,"status_id":1,"priority_id":2,"assigned_to_id":23,"start_date":"2016-08-29","description":"","custom_fields":[{"id":1,"name":"Subdivision","value":"NW"},{"id":4,"name":"Milepost","value":"5.8011"},{"id":17,"name":"Train ID","value":"847-29"},{"id":16,"name":"Locomotive ID","value":"4018"},{"id":130,"name":"Impact","value":""},{"id":150,"name":"Time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534</v>
      </c>
      <c r="B204" s="7">
        <v>4040</v>
      </c>
      <c r="C204" s="24" t="s">
        <v>113</v>
      </c>
      <c r="D204" s="24" t="s">
        <v>175</v>
      </c>
      <c r="E204" s="15">
        <v>42611.788263888891</v>
      </c>
      <c r="F204" s="15">
        <v>25568.958333333332</v>
      </c>
      <c r="G204" s="7">
        <v>1</v>
      </c>
      <c r="H204" s="15" t="s">
        <v>646</v>
      </c>
      <c r="I204" s="15">
        <v>25568.958333333332</v>
      </c>
      <c r="J204" s="7">
        <v>0</v>
      </c>
      <c r="K204" s="132" t="str">
        <f t="shared" si="89"/>
        <v>4039/4040</v>
      </c>
      <c r="L204" s="24" t="str">
        <f>VLOOKUP(A204,'Trips&amp;Operators'!$C$1:$E$10000,3,FALSE)</f>
        <v>CLARK</v>
      </c>
      <c r="M204" s="6">
        <f t="shared" si="90"/>
        <v>0</v>
      </c>
      <c r="N204" s="7">
        <f t="shared" si="91"/>
        <v>0</v>
      </c>
      <c r="O204" s="7"/>
      <c r="P204" s="7"/>
      <c r="Q204" s="25"/>
      <c r="R204" s="25"/>
      <c r="S204" s="37">
        <f t="shared" si="92"/>
        <v>1</v>
      </c>
      <c r="T204" s="52" t="str">
        <f t="shared" si="93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https://search-rtdc-monitor-bjffxe2xuh6vdkpspy63sjmuny.us-east-1.es.amazonaws.com/_plugin/kibana/#/discover/Steve-Slow-Train-Analysis-(2080s-and-2083s)?_g=(refreshInterval:(display:Off,section:0,value:0),time:(from:'2016-08-29 17:55:06-0600',mode:absolute,to:'1970-01-01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04" s="54" t="str">
        <f t="shared" si="95"/>
        <v>Y</v>
      </c>
      <c r="X204" s="120">
        <f t="shared" si="102"/>
        <v>-544</v>
      </c>
      <c r="Y204" s="69">
        <f t="shared" si="103"/>
        <v>4.7100000000000003E-2</v>
      </c>
      <c r="Z204" s="69">
        <f t="shared" si="96"/>
        <v>2.3306</v>
      </c>
      <c r="AA204" s="69">
        <f t="shared" si="97"/>
        <v>2.2835000000000001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98"/>
        <v>0303-29</v>
      </c>
      <c r="AE204" s="99" t="str">
        <f t="shared" si="99"/>
        <v>aws s3 cp s3://rtdc.mdm.uploadarchive/RTDC4040/1969-12-31/ "%USERPROFILE%\AppData\Local\Temp\OnboardLogs"\RTDC4040\1969-12-31 --recursive &amp; "%USERPROFILE%\Documents\GitHub\mrs-test-scripts\Headless Mode &amp; Sideloading\WalkAndUnGZ.bat" "%USERPROFILE%\AppData\Local\Temp\OnboardLogs"\RTDC4040\1969-12-31 &amp; aws s3 cp s3://rtdc.mdm.uploadarchive/RTDC4040/1970-01-01/ "%USERPROFILE%\AppData\Local\Temp\OnboardLogs"\RTDC4040\1970-01-01 --recursive &amp; "%USERPROFILE%\Documents\GitHub\mrs-test-scripts\Headless Mode &amp; Sideloading\WalkAndUnGZ.bat" "%USERPROFILE%\AppData\Local\Temp\OnboardLogs"\RTDC4040\1970-01-01</v>
      </c>
      <c r="AF204" s="96" t="str">
        <f t="shared" si="100"/>
        <v>"C:\Program Files (x86)\AstroGrep\AstroGrep.exe" /spath="%USERPROFILE%\AppData\Local\Temp\OnboardLogs" /stypes="*4040*19700101*" /stext=" 05:.+((SYSTEM_STATE.+slice.+state.+changed )|(ment ac)|(system.+state.+changed )|(\|lc)|(penalty)|(\[timeout)|(PRM\|1\|D)|(kpr)|(kdp))" /e /r /s</v>
      </c>
      <c r="AG204" s="1" t="str">
        <f t="shared" si="101"/>
        <v>Other</v>
      </c>
      <c r="AH204" s="100" t="str">
        <f t="shared" ref="AH204:AH212" si="10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303-29 --locoid 4040 --swversion DE.1.0.7.0 --startMP 204:471 --initTime 2016-08-29T18:55:06 --startdatetime 1969-12-31T23:00:00 --delay 1 --endMP 300:23306 --enddatetime 1969-12-31T23:00:00 --enforcementcount 0 &gt;&gt;C:\Users\stu\Documents\GitHub\eaglep3-reporting\EC\2016-08-29-refined-times.txt</v>
      </c>
      <c r="AI204" s="149" t="str">
        <f t="shared" ref="AI204:AI212" si="10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AA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{"issue":{"subject":"","project_id":79,"tracker_id":40,"status_id":1,"priority_id":2,"assigned_to_id":23,"start_date":"1969-12-31","description":"","custom_fields":[{"id":1,"name":"Subdivision","value":"Other"},{"id":4,"name":"Milepost","value":"2.2835"},{"id":17,"name":"Train ID","value":"303-29"},{"id":16,"name":"Locomotive ID","value":"4040"},{"id":130,"name":"Impact","value":""},{"id":150,"name":"Time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570</v>
      </c>
      <c r="B205" s="7">
        <v>4003</v>
      </c>
      <c r="C205" s="24" t="s">
        <v>113</v>
      </c>
      <c r="D205" s="24" t="s">
        <v>350</v>
      </c>
      <c r="E205" s="15">
        <v>42612.049629629626</v>
      </c>
      <c r="F205" s="15">
        <v>42612.05060185185</v>
      </c>
      <c r="G205" s="7">
        <v>1</v>
      </c>
      <c r="H205" s="15" t="s">
        <v>647</v>
      </c>
      <c r="I205" s="15">
        <v>42612.057534722226</v>
      </c>
      <c r="J205" s="7">
        <v>0</v>
      </c>
      <c r="K205" s="132" t="str">
        <f t="shared" ref="K205:K212" si="106">IF(ISEVEN(B205),(B205-1)&amp;"/"&amp;B205,B205&amp;"/"&amp;(B205+1))</f>
        <v>4003/4004</v>
      </c>
      <c r="L205" s="24" t="str">
        <f>VLOOKUP(A205,'Trips&amp;Operators'!$C$1:$E$10000,3,FALSE)</f>
        <v>NEWELL</v>
      </c>
      <c r="M205" s="6">
        <f t="shared" ref="M205:M212" si="107">I205-F205</f>
        <v>6.9328703757491894E-3</v>
      </c>
      <c r="N205" s="7">
        <f t="shared" ref="N205:N212" si="108">24*60*SUM($M205:$M205)</f>
        <v>9.9833333410788327</v>
      </c>
      <c r="O205" s="7"/>
      <c r="P205" s="7"/>
      <c r="Q205" s="25"/>
      <c r="R205" s="25"/>
      <c r="S205" s="37">
        <f t="shared" ref="S205:S212" si="109">SUM(U205:U205)/IF(AG205="EC",12,1)</f>
        <v>1</v>
      </c>
      <c r="T205" s="52" t="str">
        <f t="shared" ref="T205:T212" si="110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2" si="11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https://search-rtdc-monitor-bjffxe2xuh6vdkpspy63sjmuny.us-east-1.es.amazonaws.com/_plugin/kibana/#/discover/Steve-Slow-Train-Analysis-(2080s-and-2083s)?_g=(refreshInterval:(display:Off,section:0,value:0),time:(from:'2016-08-30 00:11:28-0600',mode:absolute,to:'2016-08-30 02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05" s="54" t="str">
        <f t="shared" ref="W205:W212" si="112">IF(AA205&lt;IF(AG205="EC",23,5.65),"Y","N")</f>
        <v>Y</v>
      </c>
      <c r="X205" s="120">
        <f t="shared" si="102"/>
        <v>8</v>
      </c>
      <c r="Y205" s="69">
        <f t="shared" si="103"/>
        <v>4.4200000000000003E-2</v>
      </c>
      <c r="Z205" s="69">
        <f t="shared" ref="Z205:Z212" si="113">RIGHT(H205,LEN(H205)-4)/10000</f>
        <v>2.4988999999999999</v>
      </c>
      <c r="AA205" s="69">
        <f t="shared" ref="AA205:AA212" si="114">ABS(Z205-Y205)</f>
        <v>2.4546999999999999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2" si="115">IF(LEN(A205)=6,"0"&amp;A205,A205)</f>
        <v>0311-29</v>
      </c>
      <c r="AE205" s="99" t="str">
        <f t="shared" ref="AE205:AE212" si="116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 &amp; aws s3 cp s3://rtdc.mdm.uploadarchive/RTDC4003/2016-08-31/ "%USERPROFILE%\AppData\Local\Temp\OnboardLogs"\RTDC4003\2016-08-31 --recursive &amp; "%USERPROFILE%\Documents\GitHub\mrs-test-scripts\Headless Mode &amp; Sideloading\WalkAndUnGZ.bat" "%USERPROFILE%\AppData\Local\Temp\OnboardLogs"\RTDC4003\2016-08-31</v>
      </c>
      <c r="AF205" s="96" t="str">
        <f t="shared" ref="AF205:AF212" si="117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/stypes="*4003*20160830*" /stext=" 07:.+((SYSTEM_STATE.+slice.+state.+changed )|(ment ac)|(system.+state.+changed )|(\|lc)|(penalty)|(\[timeout)|(PRM\|1\|D)|(kpr)|(kdp))" /e /r /s</v>
      </c>
      <c r="AG205" s="1" t="str">
        <f t="shared" ref="AG205:AG212" si="118">IFERROR(IF(VALUE(LEFT(AD205,2))&lt;=2,"EC",IF(OR(VALUE(LEFT(AD205,2))=8,VALUE(LEFT(AD205,2))=18),"NW","Other")),"Other")</f>
        <v>Other</v>
      </c>
      <c r="AH205" s="100" t="str">
        <f t="shared" si="104"/>
        <v>"%USERPROFILE%\Documents\GitHub\eaglep3\Utilities\RefineRTDCRunTimes.py" --tripid 311-29 --locoid 4003 --swversion DE.1.0.7.0 --startMP 204:442 --initTime 2016-08-30T01:11:28 --startdatetime 2016-08-30T01:12:52 --delay 1 --endMP 300:24989 --enddatetime 2016-08-30T01:22:51 --enforcementcount 0 &gt;&gt;C:\Users\stu\Documents\GitHub\eaglep3-reporting\EC\2016-08-29-refined-times.txt</v>
      </c>
      <c r="AI205" s="149" t="str">
        <f t="shared" si="105"/>
        <v>echo {"issue":{"subject":"","project_id":79,"tracker_id":40,"status_id":1,"priority_id":2,"assigned_to_id":23,"start_date":"2016-08-30","description":"","custom_fields":[{"id":1,"name":"Subdivision","value":"Other"},{"id":4,"name":"Milepost","value":"2.4547"},{"id":17,"name":"Train ID","value":"311-29"},{"id":16,"name":"Locomotive ID","value":"4003"},{"id":130,"name":"Impact","value":""},{"id":150,"name":"Time of Event (Mountain Time)","value":"01:22:51"},{"id":151,"name":"Denver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572</v>
      </c>
      <c r="B206" s="7">
        <v>4029</v>
      </c>
      <c r="C206" s="24" t="s">
        <v>113</v>
      </c>
      <c r="D206" s="24" t="s">
        <v>186</v>
      </c>
      <c r="E206" s="15">
        <v>42612.072430555556</v>
      </c>
      <c r="F206" s="15">
        <v>42612.086423611108</v>
      </c>
      <c r="G206" s="7">
        <v>1</v>
      </c>
      <c r="H206" s="15" t="s">
        <v>648</v>
      </c>
      <c r="I206" s="15">
        <v>42612.087106481478</v>
      </c>
      <c r="J206" s="7">
        <v>0</v>
      </c>
      <c r="K206" s="132" t="str">
        <f t="shared" si="106"/>
        <v>4029/4030</v>
      </c>
      <c r="L206" s="24" t="str">
        <f>VLOOKUP(A206,'Trips&amp;Operators'!$C$1:$E$10000,3,FALSE)</f>
        <v>CHANDLER</v>
      </c>
      <c r="M206" s="6">
        <f t="shared" si="107"/>
        <v>6.8287036992842332E-4</v>
      </c>
      <c r="N206" s="7">
        <f t="shared" si="108"/>
        <v>0.98333333269692957</v>
      </c>
      <c r="O206" s="7"/>
      <c r="P206" s="7"/>
      <c r="Q206" s="25"/>
      <c r="R206" s="25"/>
      <c r="S206" s="37">
        <f t="shared" si="109"/>
        <v>1</v>
      </c>
      <c r="T206" s="52" t="str">
        <f t="shared" si="110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https://search-rtdc-monitor-bjffxe2xuh6vdkpspy63sjmuny.us-east-1.es.amazonaws.com/_plugin/kibana/#/discover/Steve-Slow-Train-Analysis-(2080s-and-2083s)?_g=(refreshInterval:(display:Off,section:0,value:0),time:(from:'2016-08-30 00:44:18-0600',mode:absolute,to:'2016-08-30 03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6" s="54" t="str">
        <f t="shared" si="112"/>
        <v>Y</v>
      </c>
      <c r="X206" s="120">
        <f t="shared" si="102"/>
        <v>2</v>
      </c>
      <c r="Y206" s="69">
        <f t="shared" si="103"/>
        <v>4.5999999999999999E-2</v>
      </c>
      <c r="Z206" s="69">
        <f t="shared" si="113"/>
        <v>2.5124</v>
      </c>
      <c r="AA206" s="69">
        <f t="shared" si="114"/>
        <v>2.4664000000000001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115"/>
        <v>0313-29</v>
      </c>
      <c r="AE206" s="99" t="str">
        <f t="shared" si="116"/>
        <v>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 &amp; 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</v>
      </c>
      <c r="AF206" s="96" t="str">
        <f t="shared" si="117"/>
        <v>"C:\Program Files (x86)\AstroGrep\AstroGrep.exe" /spath="%USERPROFILE%\AppData\Local\Temp\OnboardLogs" /stypes="*4029*20160830*" /stext=" 08:.+((SYSTEM_STATE.+slice.+state.+changed )|(ment ac)|(system.+state.+changed )|(\|lc)|(penalty)|(\[timeout)|(PRM\|1\|D)|(kpr)|(kdp))" /e /r /s</v>
      </c>
      <c r="AG206" s="1" t="str">
        <f t="shared" si="118"/>
        <v>Other</v>
      </c>
      <c r="AH206" s="100" t="str">
        <f t="shared" si="104"/>
        <v>"%USERPROFILE%\Documents\GitHub\eaglep3\Utilities\RefineRTDCRunTimes.py" --tripid 313-29 --locoid 4029 --swversion DE.1.0.7.0 --startMP 204:460 --initTime 2016-08-30T01:44:18 --startdatetime 2016-08-30T02:04:27 --delay 1 --endMP 300:25124 --enddatetime 2016-08-30T02:05:26 --enforcementcount 0 &gt;&gt;C:\Users\stu\Documents\GitHub\eaglep3-reporting\EC\2016-08-29-refined-times.txt</v>
      </c>
      <c r="AI206" s="149" t="str">
        <f t="shared" si="105"/>
        <v>echo {"issue":{"subject":"","project_id":79,"tracker_id":40,"status_id":1,"priority_id":2,"assigned_to_id":23,"start_date":"2016-08-30","description":"","custom_fields":[{"id":1,"name":"Subdivision","value":"Other"},{"id":4,"name":"Milepost","value":"2.4664"},{"id":17,"name":"Train ID","value":"313-29"},{"id":16,"name":"Locomotive ID","value":"4029"},{"id":130,"name":"Impact","value":""},{"id":150,"name":"Time of Event (Mountain Time)","value":"02:05:26"},{"id":151,"name":"Denver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572</v>
      </c>
      <c r="B207" s="7">
        <v>4029</v>
      </c>
      <c r="C207" s="24" t="s">
        <v>113</v>
      </c>
      <c r="D207" s="24" t="s">
        <v>649</v>
      </c>
      <c r="E207" s="15">
        <v>42612.085532407407</v>
      </c>
      <c r="F207" s="15">
        <v>42612.086423611108</v>
      </c>
      <c r="G207" s="7">
        <v>1</v>
      </c>
      <c r="H207" s="15" t="s">
        <v>650</v>
      </c>
      <c r="I207" s="15">
        <v>42612.087106481478</v>
      </c>
      <c r="J207" s="7">
        <v>0</v>
      </c>
      <c r="K207" s="132" t="str">
        <f t="shared" si="106"/>
        <v>4029/4030</v>
      </c>
      <c r="L207" s="24" t="str">
        <f>VLOOKUP(A207,'Trips&amp;Operators'!$C$1:$E$10000,3,FALSE)</f>
        <v>CHANDLER</v>
      </c>
      <c r="M207" s="6">
        <f t="shared" si="107"/>
        <v>6.8287036992842332E-4</v>
      </c>
      <c r="N207" s="7">
        <f t="shared" si="108"/>
        <v>0.98333333269692957</v>
      </c>
      <c r="O207" s="7"/>
      <c r="P207" s="7"/>
      <c r="Q207" s="25"/>
      <c r="R207" s="25"/>
      <c r="S207" s="37">
        <f t="shared" si="109"/>
        <v>0</v>
      </c>
      <c r="T207" s="52" t="str">
        <f t="shared" si="110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https://search-rtdc-monitor-bjffxe2xuh6vdkpspy63sjmuny.us-east-1.es.amazonaws.com/_plugin/kibana/#/discover/Steve-Slow-Train-Analysis-(2080s-and-2083s)?_g=(refreshInterval:(display:Off,section:0,value:0),time:(from:'2016-08-30 01:03:10-0600',mode:absolute,to:'2016-08-30 03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7" s="54" t="str">
        <f t="shared" si="112"/>
        <v>Y</v>
      </c>
      <c r="X207" s="120">
        <f t="shared" si="102"/>
        <v>0</v>
      </c>
      <c r="Y207" s="69">
        <f t="shared" si="103"/>
        <v>2.2048999999999999</v>
      </c>
      <c r="Z207" s="69">
        <f t="shared" si="113"/>
        <v>2.2845</v>
      </c>
      <c r="AA207" s="69">
        <f t="shared" si="114"/>
        <v>7.9600000000000115E-2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115"/>
        <v>0313-29</v>
      </c>
      <c r="AE207" s="99" t="str">
        <f t="shared" si="116"/>
        <v>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 &amp; 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</v>
      </c>
      <c r="AF207" s="96" t="str">
        <f t="shared" si="117"/>
        <v>"C:\Program Files (x86)\AstroGrep\AstroGrep.exe" /spath="%USERPROFILE%\AppData\Local\Temp\OnboardLogs" /stypes="*4029*20160830*" /stext=" 08:.+((SYSTEM_STATE.+slice.+state.+changed )|(ment ac)|(system.+state.+changed )|(\|lc)|(penalty)|(\[timeout)|(PRM\|1\|D)|(kpr)|(kdp))" /e /r /s</v>
      </c>
      <c r="AG207" s="1" t="str">
        <f t="shared" si="118"/>
        <v>Other</v>
      </c>
      <c r="AH207" s="100" t="str">
        <f t="shared" si="104"/>
        <v>"%USERPROFILE%\Documents\GitHub\eaglep3\Utilities\RefineRTDCRunTimes.py" --tripid 313-29 --locoid 4029 --swversion DE.1.0.7.0 --startMP 300:22049 --initTime 2016-08-30T02:03:10 --startdatetime 2016-08-30T02:04:27 --delay 1 --endMP 300:22845 --enddatetime 2016-08-30T02:05:26 --enforcementcount 0 &gt;&gt;C:\Users\stu\Documents\GitHub\eaglep3-reporting\EC\2016-08-29-refined-times.txt</v>
      </c>
      <c r="AI207" s="149" t="str">
        <f t="shared" si="105"/>
        <v>echo {"issue":{"subject":"","project_id":79,"tracker_id":40,"status_id":1,"priority_id":2,"assigned_to_id":23,"start_date":"2016-08-30","description":"","custom_fields":[{"id":1,"name":"Subdivision","value":"Other"},{"id":4,"name":"Milepost","value":"0.0796000000000001"},{"id":17,"name":"Train ID","value":"313-29"},{"id":16,"name":"Locomotive ID","value":"4029"},{"id":130,"name":"Impact","value":""},{"id":150,"name":"Time of Event (Mountain Time)","value":"02:05:26"},{"id":151,"name":"Denver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483</v>
      </c>
      <c r="B208" s="7">
        <v>4013</v>
      </c>
      <c r="C208" s="24" t="s">
        <v>113</v>
      </c>
      <c r="D208" s="24" t="s">
        <v>706</v>
      </c>
      <c r="E208" s="15">
        <v>42611.635243055556</v>
      </c>
      <c r="F208" s="15">
        <v>42611.638541666667</v>
      </c>
      <c r="G208" s="7">
        <v>4</v>
      </c>
      <c r="H208" s="15" t="s">
        <v>707</v>
      </c>
      <c r="I208" s="15">
        <v>42611.644178240742</v>
      </c>
      <c r="J208" s="7">
        <v>0</v>
      </c>
      <c r="K208" s="132" t="str">
        <f t="shared" si="106"/>
        <v>4013/4014</v>
      </c>
      <c r="L208" s="24" t="str">
        <f>VLOOKUP(A208,'Trips&amp;Operators'!$C$1:$E$10000,3,FALSE)</f>
        <v>COOLAHAN</v>
      </c>
      <c r="M208" s="6">
        <f t="shared" si="107"/>
        <v>5.6365740747423843E-3</v>
      </c>
      <c r="N208" s="7">
        <f t="shared" si="108"/>
        <v>8.1166666676290333</v>
      </c>
      <c r="O208" s="7"/>
      <c r="P208" s="7"/>
      <c r="Q208" s="25"/>
      <c r="R208" s="25"/>
      <c r="S208" s="37">
        <f t="shared" si="109"/>
        <v>1</v>
      </c>
      <c r="T208" s="52" t="str">
        <f t="shared" si="110"/>
        <v>Southbound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https://search-rtdc-monitor-bjffxe2xuh6vdkpspy63sjmuny.us-east-1.es.amazonaws.com/_plugin/kibana/#/discover/Steve-Slow-Train-Analysis-(2080s-and-2083s)?_g=(refreshInterval:(display:Off,section:0,value:0),time:(from:'2016-08-29 14:14:45-0600',mode:absolute,to:'2016-08-29 16:27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8" s="54" t="str">
        <f t="shared" si="112"/>
        <v>Y</v>
      </c>
      <c r="X208" s="120">
        <f t="shared" si="102"/>
        <v>591</v>
      </c>
      <c r="Y208" s="69">
        <f t="shared" si="103"/>
        <v>2.2812999999999999</v>
      </c>
      <c r="Z208" s="69">
        <f t="shared" si="113"/>
        <v>8.1799999999999998E-2</v>
      </c>
      <c r="AA208" s="69">
        <f t="shared" si="114"/>
        <v>2.1995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115"/>
        <v>0904-29</v>
      </c>
      <c r="AE208" s="99" t="str">
        <f t="shared" si="116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208" s="96" t="str">
        <f t="shared" si="117"/>
        <v>"C:\Program Files (x86)\AstroGrep\AstroGrep.exe" /spath="%USERPROFILE%\AppData\Local\Temp\OnboardLogs" /stypes="*4013*20160829*" /stext=" 21:.+((SYSTEM_STATE.+slice.+state.+changed )|(ment ac)|(system.+state.+changed )|(\|lc)|(penalty)|(\[timeout)|(PRM\|1\|D)|(kpr)|(kdp))" /e /r /s</v>
      </c>
      <c r="AG208" s="1" t="str">
        <f t="shared" si="118"/>
        <v>Other</v>
      </c>
      <c r="AH208" s="100" t="str">
        <f t="shared" si="104"/>
        <v>"%USERPROFILE%\Documents\GitHub\eaglep3\Utilities\RefineRTDCRunTimes.py" --tripid 904-29 --locoid 4013 --swversion DE.1.0.7.0 --startMP 300:22813 --initTime 2016-08-29T15:14:45 --startdatetime 2016-08-29T15:19:30 --delay 4 --endMP 204:818 --enddatetime 2016-08-29T15:27:37 --enforcementcount 0 &gt;&gt;C:\Users\stu\Documents\GitHub\eaglep3-reporting\EC\2016-08-29-refined-times.txt</v>
      </c>
      <c r="AI208" s="149" t="str">
        <f t="shared" si="105"/>
        <v>echo {"issue":{"subject":"","project_id":79,"tracker_id":40,"status_id":1,"priority_id":2,"assigned_to_id":23,"start_date":"2016-08-29","description":"","custom_fields":[{"id":1,"name":"Subdivision","value":"Other"},{"id":4,"name":"Milepost","value":"2.1995"},{"id":17,"name":"Train ID","value":"904-29"},{"id":16,"name":"Locomotive ID","value":"4013"},{"id":130,"name":"Impact","value":""},{"id":150,"name":"Time of Event (Mountain Time)","value":"15:27:37"},{"id":151,"name":"Denver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535</v>
      </c>
      <c r="B209" s="7">
        <v>4013</v>
      </c>
      <c r="C209" s="24" t="s">
        <v>113</v>
      </c>
      <c r="D209" s="24" t="s">
        <v>708</v>
      </c>
      <c r="E209" s="15">
        <v>42611.796122685184</v>
      </c>
      <c r="F209" s="15">
        <v>42611.797835648147</v>
      </c>
      <c r="G209" s="7">
        <v>1</v>
      </c>
      <c r="H209" s="15" t="s">
        <v>709</v>
      </c>
      <c r="I209" s="15">
        <v>42611.80363425926</v>
      </c>
      <c r="J209" s="7">
        <v>0</v>
      </c>
      <c r="K209" s="132" t="str">
        <f t="shared" si="106"/>
        <v>4013/4014</v>
      </c>
      <c r="L209" s="24" t="str">
        <f>VLOOKUP(A209,'Trips&amp;Operators'!$C$1:$E$10000,3,FALSE)</f>
        <v>COOLAHAN</v>
      </c>
      <c r="M209" s="6">
        <f t="shared" si="107"/>
        <v>5.7986111132777296E-3</v>
      </c>
      <c r="N209" s="7">
        <f t="shared" si="108"/>
        <v>8.3500000031199306</v>
      </c>
      <c r="O209" s="7"/>
      <c r="P209" s="7"/>
      <c r="Q209" s="25"/>
      <c r="R209" s="25"/>
      <c r="S209" s="37">
        <f t="shared" si="109"/>
        <v>0</v>
      </c>
      <c r="T209" s="52" t="str">
        <f t="shared" si="110"/>
        <v>Southbound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https://search-rtdc-monitor-bjffxe2xuh6vdkpspy63sjmuny.us-east-1.es.amazonaws.com/_plugin/kibana/#/discover/Steve-Slow-Train-Analysis-(2080s-and-2083s)?_g=(refreshInterval:(display:Off,section:0,value:0),time:(from:'2016-08-29 18:06:25-0600',mode:absolute,to:'2016-08-29 20:17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9" s="54" t="str">
        <f t="shared" si="112"/>
        <v>Y</v>
      </c>
      <c r="X209" s="120">
        <f t="shared" si="102"/>
        <v>2</v>
      </c>
      <c r="Y209" s="69">
        <f t="shared" si="103"/>
        <v>5.867</v>
      </c>
      <c r="Z209" s="69">
        <f t="shared" si="113"/>
        <v>2.1629999999999998</v>
      </c>
      <c r="AA209" s="69">
        <f t="shared" si="114"/>
        <v>3.7040000000000002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115"/>
        <v>0906-29</v>
      </c>
      <c r="AE209" s="99" t="str">
        <f t="shared" si="116"/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AF209" s="96" t="str">
        <f t="shared" si="117"/>
        <v>"C:\Program Files (x86)\AstroGrep\AstroGrep.exe" /spath="%USERPROFILE%\AppData\Local\Temp\OnboardLogs" /stypes="*4013*20160830*" /stext=" 01:.+((SYSTEM_STATE.+slice.+state.+changed )|(ment ac)|(system.+state.+changed )|(\|lc)|(penalty)|(\[timeout)|(PRM\|1\|D)|(kpr)|(kdp))" /e /r /s</v>
      </c>
      <c r="AG209" s="1" t="str">
        <f t="shared" si="118"/>
        <v>Other</v>
      </c>
      <c r="AH209" s="100" t="str">
        <f t="shared" si="104"/>
        <v>"%USERPROFILE%\Documents\GitHub\eaglep3\Utilities\RefineRTDCRunTimes.py" --tripid 906-29 --locoid 4013 --swversion DE.1.0.7.0 --startMP 300:58670 --initTime 2016-08-29T19:06:25 --startdatetime 2016-08-29T19:08:53 --delay 1 --endMP 300:21630 --enddatetime 2016-08-29T19:17:14 --enforcementcount 0 &gt;&gt;C:\Users\stu\Documents\GitHub\eaglep3-reporting\EC\2016-08-29-refined-times.txt</v>
      </c>
      <c r="AI209" s="149" t="str">
        <f t="shared" si="105"/>
        <v>echo {"issue":{"subject":"","project_id":79,"tracker_id":40,"status_id":1,"priority_id":2,"assigned_to_id":23,"start_date":"2016-08-29","description":"","custom_fields":[{"id":1,"name":"Subdivision","value":"Other"},{"id":4,"name":"Milepost","value":"3.704"},{"id":17,"name":"Train ID","value":"906-29"},{"id":16,"name":"Locomotive ID","value":"4013"},{"id":130,"name":"Impact","value":""},{"id":150,"name":"Time of Event (Mountain Time)","value":"19:17:14"},{"id":151,"name":"Denver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559</v>
      </c>
      <c r="B210" s="7">
        <v>4017</v>
      </c>
      <c r="C210" s="24" t="s">
        <v>113</v>
      </c>
      <c r="D210" s="24" t="s">
        <v>710</v>
      </c>
      <c r="E210" s="15">
        <v>42611.942326388889</v>
      </c>
      <c r="F210" s="15">
        <v>42611.943923611114</v>
      </c>
      <c r="G210" s="7">
        <v>1</v>
      </c>
      <c r="H210" s="15" t="s">
        <v>711</v>
      </c>
      <c r="I210" s="15">
        <v>42611.948761574073</v>
      </c>
      <c r="J210" s="7">
        <v>0</v>
      </c>
      <c r="K210" s="132" t="str">
        <f t="shared" si="106"/>
        <v>4017/4018</v>
      </c>
      <c r="L210" s="24" t="str">
        <f>VLOOKUP(A210,'Trips&amp;Operators'!$C$1:$E$10000,3,FALSE)</f>
        <v>COOLAHAN</v>
      </c>
      <c r="M210" s="6">
        <f t="shared" si="107"/>
        <v>4.8379629588453099E-3</v>
      </c>
      <c r="N210" s="7">
        <f t="shared" si="108"/>
        <v>6.9666666607372463</v>
      </c>
      <c r="O210" s="7"/>
      <c r="P210" s="7"/>
      <c r="Q210" s="25"/>
      <c r="R210" s="25"/>
      <c r="S210" s="37">
        <f t="shared" si="109"/>
        <v>0</v>
      </c>
      <c r="T210" s="52" t="str">
        <f t="shared" si="110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https://search-rtdc-monitor-bjffxe2xuh6vdkpspy63sjmuny.us-east-1.es.amazonaws.com/_plugin/kibana/#/discover/Steve-Slow-Train-Analysis-(2080s-and-2083s)?_g=(refreshInterval:(display:Off,section:0,value:0),time:(from:'2016-08-29 21:36:57-0600',mode:absolute,to:'2016-08-29 23:46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10" s="54" t="str">
        <f t="shared" si="112"/>
        <v>Y</v>
      </c>
      <c r="X210" s="120">
        <f t="shared" si="102"/>
        <v>2</v>
      </c>
      <c r="Y210" s="69">
        <f t="shared" si="103"/>
        <v>5.8663999999999996</v>
      </c>
      <c r="Z210" s="69">
        <f t="shared" si="113"/>
        <v>2.1583000000000001</v>
      </c>
      <c r="AA210" s="69">
        <f t="shared" si="114"/>
        <v>3.7080999999999995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115"/>
        <v>0908-29</v>
      </c>
      <c r="AE210" s="99" t="str">
        <f t="shared" si="116"/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AF210" s="96" t="str">
        <f t="shared" si="117"/>
        <v>"C:\Program Files (x86)\AstroGrep\AstroGrep.exe" /spath="%USERPROFILE%\AppData\Local\Temp\OnboardLogs" /stypes="*4017*20160830*" /stext=" 04:.+((SYSTEM_STATE.+slice.+state.+changed )|(ment ac)|(system.+state.+changed )|(\|lc)|(penalty)|(\[timeout)|(PRM\|1\|D)|(kpr)|(kdp))" /e /r /s</v>
      </c>
      <c r="AG210" s="1" t="str">
        <f t="shared" si="118"/>
        <v>Other</v>
      </c>
      <c r="AH210" s="100" t="str">
        <f t="shared" si="104"/>
        <v>"%USERPROFILE%\Documents\GitHub\eaglep3\Utilities\RefineRTDCRunTimes.py" --tripid 908-29 --locoid 4017 --swversion DE.1.0.7.0 --startMP 300:58664 --initTime 2016-08-29T22:36:57 --startdatetime 2016-08-29T22:39:15 --delay 1 --endMP 300:21583 --enddatetime 2016-08-29T22:46:13 --enforcementcount 0 &gt;&gt;C:\Users\stu\Documents\GitHub\eaglep3-reporting\EC\2016-08-29-refined-times.txt</v>
      </c>
      <c r="AI210" s="149" t="str">
        <f t="shared" si="105"/>
        <v>echo {"issue":{"subject":"","project_id":79,"tracker_id":40,"status_id":1,"priority_id":2,"assigned_to_id":23,"start_date":"2016-08-29","description":"","custom_fields":[{"id":1,"name":"Subdivision","value":"Other"},{"id":4,"name":"Milepost","value":"3.7081"},{"id":17,"name":"Train ID","value":"908-29"},{"id":16,"name":"Locomotive ID","value":"4017"},{"id":130,"name":"Impact","value":""},{"id":150,"name":"Time of Event (Mountain Time)","value":"22:46:13"},{"id":151,"name":"Denver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519</v>
      </c>
      <c r="B211" s="7">
        <v>4011</v>
      </c>
      <c r="C211" s="24" t="s">
        <v>113</v>
      </c>
      <c r="D211" s="24" t="s">
        <v>712</v>
      </c>
      <c r="E211" s="15">
        <v>42611.747662037036</v>
      </c>
      <c r="F211" s="15">
        <v>42611.757141203707</v>
      </c>
      <c r="G211" s="7">
        <v>1</v>
      </c>
      <c r="H211" s="15" t="s">
        <v>713</v>
      </c>
      <c r="I211" s="15">
        <v>42611.758217592593</v>
      </c>
      <c r="J211" s="7">
        <v>0</v>
      </c>
      <c r="K211" s="132" t="str">
        <f t="shared" si="106"/>
        <v>4011/4012</v>
      </c>
      <c r="L211" s="24" t="str">
        <f>VLOOKUP(A211,'Trips&amp;Operators'!$C$1:$E$10000,3,FALSE)</f>
        <v>OUN</v>
      </c>
      <c r="M211" s="6">
        <f t="shared" si="107"/>
        <v>1.0763888858491555E-3</v>
      </c>
      <c r="N211" s="7">
        <f t="shared" si="108"/>
        <v>1.5499999956227839</v>
      </c>
      <c r="O211" s="7"/>
      <c r="P211" s="7"/>
      <c r="Q211" s="25"/>
      <c r="R211" s="25"/>
      <c r="S211" s="37">
        <f t="shared" si="109"/>
        <v>0</v>
      </c>
      <c r="T211" s="52" t="e">
        <f t="shared" si="110"/>
        <v>#VALUE!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https://search-rtdc-monitor-bjffxe2xuh6vdkpspy63sjmuny.us-east-1.es.amazonaws.com/_plugin/kibana/#/discover/Steve-Slow-Train-Analysis-(2080s-and-2083s)?_g=(refreshInterval:(display:Off,section:0,value:0),time:(from:'2016-08-29 16:56:38-0600',mode:absolute,to:'2016-08-29 19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1" s="54" t="str">
        <f t="shared" si="112"/>
        <v>Y</v>
      </c>
      <c r="X211" s="120" t="e">
        <f t="shared" si="102"/>
        <v>#VALUE!</v>
      </c>
      <c r="Y211" s="69">
        <f t="shared" si="103"/>
        <v>0.15049999999999999</v>
      </c>
      <c r="Z211" s="69">
        <f t="shared" si="113"/>
        <v>0.20300000000000001</v>
      </c>
      <c r="AA211" s="69">
        <f t="shared" si="114"/>
        <v>5.2500000000000019E-2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115"/>
        <v>0OUN-29</v>
      </c>
      <c r="AE211" s="99" t="str">
        <f t="shared" si="116"/>
        <v>aws s3 cp s3://rtdc.mdm.uploadarchive/RTDC4011/2016-08-29/ "%USERPROFILE%\AppData\Local\Temp\OnboardLogs"\RTDC4011\2016-08-29 --recursive &amp; "%USERPROFILE%\Documents\GitHub\mrs-test-scripts\Headless Mode &amp; Sideloading\WalkAndUnGZ.bat" "%USERPROFILE%\AppData\Local\Temp\OnboardLogs"\RTDC4011\2016-08-29 &amp; aws s3 cp s3://rtdc.mdm.uploadarchive/RTDC4011/2016-08-30/ "%USERPROFILE%\AppData\Local\Temp\OnboardLogs"\RTDC4011\2016-08-30 --recursive &amp; "%USERPROFILE%\Documents\GitHub\mrs-test-scripts\Headless Mode &amp; Sideloading\WalkAndUnGZ.bat" "%USERPROFILE%\AppData\Local\Temp\OnboardLogs"\RTDC4011\2016-08-30</v>
      </c>
      <c r="AF211" s="96" t="str">
        <f t="shared" si="117"/>
        <v>"C:\Program Files (x86)\AstroGrep\AstroGrep.exe" /spath="%USERPROFILE%\AppData\Local\Temp\OnboardLogs" /stypes="*4011*20160830*" /stext=" 00:.+((SYSTEM_STATE.+slice.+state.+changed )|(ment ac)|(system.+state.+changed )|(\|lc)|(penalty)|(\[timeout)|(PRM\|1\|D)|(kpr)|(kdp))" /e /r /s</v>
      </c>
      <c r="AG211" s="1" t="str">
        <f t="shared" si="118"/>
        <v>Other</v>
      </c>
      <c r="AH211" s="100" t="str">
        <f t="shared" si="104"/>
        <v>"%USERPROFILE%\Documents\GitHub\eaglep3\Utilities\RefineRTDCRunTimes.py" --tripid OUN-29 --locoid 4011 --swversion DE.1.0.7.0 --startMP 204:1505 --initTime 2016-08-29T17:56:38 --startdatetime 2016-08-29T18:10:17 --delay 1 --endMP 204:2030 --enddatetime 2016-08-29T18:11:50 --enforcementcount 0 &gt;&gt;C:\Users\stu\Documents\GitHub\eaglep3-reporting\EC\2016-08-29-refined-times.txt</v>
      </c>
      <c r="AI211" s="149" t="str">
        <f t="shared" si="105"/>
        <v>echo {"issue":{"subject":"","project_id":79,"tracker_id":40,"status_id":1,"priority_id":2,"assigned_to_id":23,"start_date":"2016-08-29","description":"","custom_fields":[{"id":1,"name":"Subdivision","value":"Other"},{"id":4,"name":"Milepost","value":"0.0525"},{"id":17,"name":"Train ID","value":"OUN-29"},{"id":16,"name":"Locomotive ID","value":"4011"},{"id":130,"name":"Impact","value":""},{"id":150,"name":"Time of Event (Mountain Time)","value":"18:11:50"},{"id":151,"name":"Denver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505</v>
      </c>
      <c r="B212" s="7">
        <v>4005</v>
      </c>
      <c r="C212" s="24" t="s">
        <v>113</v>
      </c>
      <c r="D212" s="24" t="s">
        <v>651</v>
      </c>
      <c r="E212" s="15">
        <v>42611.712222222224</v>
      </c>
      <c r="F212" s="15">
        <v>42611.716099537036</v>
      </c>
      <c r="G212" s="7">
        <v>5</v>
      </c>
      <c r="H212" s="15" t="s">
        <v>652</v>
      </c>
      <c r="I212" s="15">
        <v>42611.716249999998</v>
      </c>
      <c r="J212" s="7">
        <v>0</v>
      </c>
      <c r="K212" s="132" t="str">
        <f t="shared" si="106"/>
        <v>4005/4006</v>
      </c>
      <c r="L212" s="24" t="str">
        <f>VLOOKUP(A212,'Trips&amp;Operators'!$C$1:$E$10000,3,FALSE)</f>
        <v>NEWELL</v>
      </c>
      <c r="M212" s="6">
        <f t="shared" si="107"/>
        <v>1.5046296175569296E-4</v>
      </c>
      <c r="N212" s="7">
        <f t="shared" si="108"/>
        <v>0.21666666492819786</v>
      </c>
      <c r="O212" s="7"/>
      <c r="P212" s="7"/>
      <c r="Q212" s="25"/>
      <c r="R212" s="25"/>
      <c r="S212" s="37">
        <f t="shared" si="109"/>
        <v>0</v>
      </c>
      <c r="T212" s="52" t="e">
        <f t="shared" si="110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https://search-rtdc-monitor-bjffxe2xuh6vdkpspy63sjmuny.us-east-1.es.amazonaws.com/_plugin/kibana/#/discover/Steve-Slow-Train-Analysis-(2080s-and-2083s)?_g=(refreshInterval:(display:Off,section:0,value:0),time:(from:'2016-08-29 16:05:36-0600',mode:absolute,to:'2016-08-29 18:11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12" s="54" t="str">
        <f t="shared" si="112"/>
        <v>Y</v>
      </c>
      <c r="X212" s="120" t="e">
        <f t="shared" si="102"/>
        <v>#VALUE!</v>
      </c>
      <c r="Y212" s="69">
        <f t="shared" si="103"/>
        <v>2.3010000000000002</v>
      </c>
      <c r="Z212" s="69">
        <f t="shared" si="113"/>
        <v>2.2326999999999999</v>
      </c>
      <c r="AA212" s="69">
        <f t="shared" si="114"/>
        <v>6.8300000000000249E-2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115"/>
        <v>50-29</v>
      </c>
      <c r="AE212" s="99" t="str">
        <f t="shared" si="116"/>
        <v>aws s3 cp s3://rtdc.mdm.uploadarchive/RTDC4005/2016-08-29/ "%USERPROFILE%\AppData\Local\Temp\OnboardLogs"\RTDC4005\2016-08-29 --recursive &amp; "%USERPROFILE%\Documents\GitHub\mrs-test-scripts\Headless Mode &amp; Sideloading\WalkAndUnGZ.bat" "%USERPROFILE%\AppData\Local\Temp\OnboardLogs"\RTDC4005\2016-08-29 &amp; aws s3 cp s3://rtdc.mdm.uploadarchive/RTDC4005/2016-08-30/ "%USERPROFILE%\AppData\Local\Temp\OnboardLogs"\RTDC4005\2016-08-30 --recursive &amp; "%USERPROFILE%\Documents\GitHub\mrs-test-scripts\Headless Mode &amp; Sideloading\WalkAndUnGZ.bat" "%USERPROFILE%\AppData\Local\Temp\OnboardLogs"\RTDC4005\2016-08-30</v>
      </c>
      <c r="AF212" s="96" t="str">
        <f t="shared" si="117"/>
        <v>"C:\Program Files (x86)\AstroGrep\AstroGrep.exe" /spath="%USERPROFILE%\AppData\Local\Temp\OnboardLogs" /stypes="*4005*20160829*" /stext=" 23:.+((SYSTEM_STATE.+slice.+state.+changed )|(ment ac)|(system.+state.+changed )|(\|lc)|(penalty)|(\[timeout)|(PRM\|1\|D)|(kpr)|(kdp))" /e /r /s</v>
      </c>
      <c r="AG212" s="1" t="str">
        <f t="shared" si="118"/>
        <v>Other</v>
      </c>
      <c r="AH212" s="100" t="str">
        <f t="shared" si="104"/>
        <v>"%USERPROFILE%\Documents\GitHub\eaglep3\Utilities\RefineRTDCRunTimes.py" --tripid 50-29 --locoid 4005 --swversion DE.1.0.7.0 --startMP 300:23010 --initTime 2016-08-29T17:05:36 --startdatetime 2016-08-29T17:11:11 --delay 5 --endMP 300:22327 --enddatetime 2016-08-29T17:11:24 --enforcementcount 0 &gt;&gt;C:\Users\stu\Documents\GitHub\eaglep3-reporting\EC\2016-08-29-refined-times.txt</v>
      </c>
      <c r="AI212" s="149" t="str">
        <f t="shared" si="105"/>
        <v>echo {"issue":{"subject":"","project_id":79,"tracker_id":40,"status_id":1,"priority_id":2,"assigned_to_id":23,"start_date":"2016-08-29","description":"","custom_fields":[{"id":1,"name":"Subdivision","value":"Other"},{"id":4,"name":"Milepost","value":"0.0683000000000002"},{"id":17,"name":"Train ID","value":"50-29"},{"id":16,"name":"Locomotive ID","value":"4005"},{"id":130,"name":"Impact","value":""},{"id":150,"name":"Time of Event (Mountain Time)","value":"17:11:24"},{"id":151,"name":"Denver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32"/>
      <c r="L213" s="24"/>
      <c r="M213" s="6"/>
      <c r="N213" s="7"/>
      <c r="O213" s="7"/>
      <c r="P213" s="7"/>
      <c r="Q213" s="25"/>
      <c r="R213" s="25"/>
      <c r="S213" s="37"/>
      <c r="T213" s="52"/>
      <c r="U213" s="126"/>
      <c r="V213" s="106"/>
      <c r="W213" s="54"/>
      <c r="X213" s="120"/>
      <c r="Y213" s="69"/>
      <c r="Z213" s="69"/>
      <c r="AA213" s="69"/>
      <c r="AB213" s="66"/>
      <c r="AC213" s="62"/>
      <c r="AD213" s="63"/>
      <c r="AE213" s="99"/>
      <c r="AF213" s="96"/>
      <c r="AG213" s="1"/>
      <c r="AI213" s="149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32"/>
      <c r="L214" s="24"/>
      <c r="M214" s="6"/>
      <c r="N214" s="7"/>
      <c r="O214" s="7"/>
      <c r="P214" s="7"/>
      <c r="Q214" s="25"/>
      <c r="R214" s="25"/>
      <c r="S214" s="37"/>
      <c r="T214" s="52"/>
      <c r="U214" s="126"/>
      <c r="V214" s="106"/>
      <c r="W214" s="54"/>
      <c r="X214" s="120"/>
      <c r="Y214" s="69"/>
      <c r="Z214" s="69"/>
      <c r="AA214" s="69"/>
      <c r="AB214" s="66"/>
      <c r="AC214" s="62"/>
      <c r="AD214" s="63"/>
      <c r="AE214" s="99"/>
      <c r="AF214" s="96"/>
      <c r="AG214" s="1"/>
      <c r="AI214" s="149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32"/>
      <c r="L215" s="24"/>
      <c r="M215" s="6"/>
      <c r="N215" s="7"/>
      <c r="O215" s="7"/>
      <c r="P215" s="7"/>
      <c r="Q215" s="25"/>
      <c r="R215" s="25"/>
      <c r="S215" s="37"/>
      <c r="T215" s="52"/>
      <c r="U215" s="126"/>
      <c r="V215" s="106"/>
      <c r="W215" s="54"/>
      <c r="X215" s="120"/>
      <c r="Y215" s="69"/>
      <c r="Z215" s="69"/>
      <c r="AA215" s="69"/>
      <c r="AB215" s="66"/>
      <c r="AC215" s="62"/>
      <c r="AD215" s="63"/>
      <c r="AE215" s="99"/>
      <c r="AF215" s="96"/>
      <c r="AG215" s="1"/>
      <c r="AI215" s="149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32"/>
      <c r="L216" s="24"/>
      <c r="M216" s="6"/>
      <c r="N216" s="7"/>
      <c r="O216" s="7"/>
      <c r="P216" s="7"/>
      <c r="Q216" s="25"/>
      <c r="R216" s="25"/>
      <c r="S216" s="37"/>
      <c r="T216" s="52"/>
      <c r="U216" s="126"/>
      <c r="V216" s="106"/>
      <c r="W216" s="54"/>
      <c r="X216" s="120"/>
      <c r="Y216" s="69"/>
      <c r="Z216" s="69"/>
      <c r="AA216" s="69"/>
      <c r="AB216" s="66"/>
      <c r="AC216" s="62"/>
      <c r="AD216" s="63"/>
      <c r="AE216" s="99"/>
      <c r="AF216" s="96"/>
      <c r="AG216" s="1"/>
      <c r="AI216" s="149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  <c r="AI229" s="14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  <c r="AI230" s="14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  <c r="AI231" s="14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  <c r="AI232" s="14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  <c r="AI233" s="14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  <c r="AI234" s="14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  <c r="AI235" s="14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  <c r="AI236" s="14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32"/>
      <c r="L238" s="24"/>
      <c r="M238" s="6"/>
      <c r="N238" s="7"/>
      <c r="O238" s="7"/>
      <c r="P238" s="7"/>
      <c r="Q238" s="25"/>
      <c r="R238" s="25"/>
      <c r="S238" s="37"/>
      <c r="T238" s="52"/>
      <c r="U238" s="126"/>
      <c r="V238" s="106"/>
      <c r="W238" s="54"/>
      <c r="X238" s="120"/>
      <c r="Y238" s="69"/>
      <c r="Z238" s="69"/>
      <c r="AA238" s="69"/>
      <c r="AB238" s="66"/>
      <c r="AC238" s="62"/>
      <c r="AD238" s="63"/>
      <c r="AE238" s="99"/>
      <c r="AF238" s="96"/>
      <c r="AG238" s="1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32"/>
      <c r="L239" s="24"/>
      <c r="M239" s="6"/>
      <c r="N239" s="7"/>
      <c r="O239" s="7"/>
      <c r="P239" s="7"/>
      <c r="Q239" s="25"/>
      <c r="R239" s="25"/>
      <c r="S239" s="37"/>
      <c r="T239" s="52"/>
      <c r="U239" s="126"/>
      <c r="V239" s="106"/>
      <c r="W239" s="54"/>
      <c r="X239" s="120"/>
      <c r="Y239" s="69"/>
      <c r="Z239" s="69"/>
      <c r="AA239" s="69"/>
      <c r="AB239" s="66"/>
      <c r="AC239" s="62"/>
      <c r="AD239" s="63"/>
      <c r="AE239" s="99"/>
      <c r="AF239" s="96"/>
      <c r="AG239" s="1"/>
    </row>
  </sheetData>
  <autoFilter ref="A12:AG23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9">
    <cfRule type="expression" dxfId="5" priority="235">
      <formula>$O13&gt;0</formula>
    </cfRule>
  </conditionalFormatting>
  <conditionalFormatting sqref="A13:S239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Values'!$C$2:$C$13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4"/>
  <sheetViews>
    <sheetView topLeftCell="A2" workbookViewId="0">
      <selection activeCell="A32" sqref="A3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2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41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- 2016-08-29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232</v>
      </c>
      <c r="X6" s="161" t="s">
        <v>233</v>
      </c>
      <c r="Y6" s="161" t="s">
        <v>205</v>
      </c>
      <c r="Z6" s="161" t="s">
        <v>234</v>
      </c>
    </row>
    <row r="7" spans="1:26" s="1" customFormat="1" x14ac:dyDescent="0.25">
      <c r="A7" s="38">
        <v>42611.807962962965</v>
      </c>
      <c r="B7" s="33" t="s">
        <v>167</v>
      </c>
      <c r="C7" s="33" t="s">
        <v>532</v>
      </c>
      <c r="D7" s="33" t="s">
        <v>49</v>
      </c>
      <c r="E7" s="33" t="s">
        <v>265</v>
      </c>
      <c r="F7" s="49">
        <v>0</v>
      </c>
      <c r="G7" s="49">
        <v>614</v>
      </c>
      <c r="H7" s="49">
        <v>45607</v>
      </c>
      <c r="I7" s="33" t="s">
        <v>264</v>
      </c>
      <c r="J7" s="49">
        <v>42961</v>
      </c>
      <c r="K7" s="33" t="s">
        <v>53</v>
      </c>
      <c r="L7" s="92" t="str">
        <f>VLOOKUP(C7,'Trips&amp;Operators'!$C$1:$E$9999,3,0)</f>
        <v>SHOOK</v>
      </c>
      <c r="M7" s="131" t="s">
        <v>86</v>
      </c>
      <c r="N7" s="10" t="s">
        <v>359</v>
      </c>
      <c r="O7" s="33"/>
      <c r="P7" s="108" t="str">
        <f>VLOOKUP(C7,'Train Runs'!$A$13:$AE$10014,31,0)</f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Q7" s="111" t="str">
        <f>VLOOKUP(C7,'Train Runs'!$A$13:$AE$10014,22,0)</f>
        <v>https://search-rtdc-monitor-bjffxe2xuh6vdkpspy63sjmuny.us-east-1.es.amazonaws.com/_plugin/kibana/#/discover/Steve-Slow-Train-Analysis-(2080s-and-2083s)?_g=(refreshInterval:(display:Off,section:0,value:0),time:(from:'2016-08-29 17:48:52-0600',mode:absolute,to:'2016-08-29 20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" s="113" t="str">
        <f t="shared" ref="R7:R49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/stypes="*4008*201608300*" /stext=" 01:.+((SYSTEM_STATE.+slice.+state.+changed )|(ment ac)|(system.+state.+changed )|(\|lc)|(penalty)|(\[timeout)|(PRM\|1\|D)|(kpr)|(kdp))" /e /r /s</v>
      </c>
      <c r="S7" s="9" t="str">
        <f t="shared" ref="S7:S49" si="1">MID(B7,13,4)</f>
        <v>4008</v>
      </c>
      <c r="T7" s="38">
        <f t="shared" ref="T7:T49" si="2">A7+6/24</f>
        <v>42612.057962962965</v>
      </c>
      <c r="U7" s="52" t="str">
        <f t="shared" ref="U7:U49" si="3">IF(VALUE(LEFT(IF(LEN(C7)=6,"0"&amp;C7,C7),2))&lt;=2,"EC",IF(OR(VALUE(LEFT(IF(LEN(C7)=6,"0"&amp;C7,C7),2))=8,VALUE(LEFT(IF(LEN(C7)=6,"0"&amp;C7,C7),2))=18),"NW","Other"))</f>
        <v>EC</v>
      </c>
      <c r="V7" s="52" t="str">
        <f t="shared" ref="V7:V49" si="4">IF(AND(E7="TRACK WARRANT AUTHORITY",G7&lt;10),"OMIT","KEEP")</f>
        <v>KEEP</v>
      </c>
      <c r="W7" s="149" t="str">
        <f t="shared" ref="W7:W49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arrival","project_id":79,"tracker_id":40,"status_id":1,"priority_id":2,"assigned_to_id":23,"start_date":"2016-08-29","description":"","custom_fields":[{"id":1,"name":"Subdivision","value":"EC"},{"id":4,"name":"Milepost","value":"4.2961"},{"id":17,"name":"Train ID","value":"216-29"},{"id":16,"name":"Locomotive ID","value":"4008"},{"id":130,"name":"Impact","value":""},{"id":150,"name":"Time of Event (Mountain Time)","value":"19:23:28"},{"id":151,"name":"Denver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42611.615185185183</v>
      </c>
      <c r="B8" s="33" t="s">
        <v>182</v>
      </c>
      <c r="C8" s="33" t="s">
        <v>474</v>
      </c>
      <c r="D8" s="33" t="s">
        <v>49</v>
      </c>
      <c r="E8" s="33" t="s">
        <v>265</v>
      </c>
      <c r="F8" s="49">
        <v>0</v>
      </c>
      <c r="G8" s="49">
        <v>234</v>
      </c>
      <c r="H8" s="49">
        <v>62687</v>
      </c>
      <c r="I8" s="33" t="s">
        <v>264</v>
      </c>
      <c r="J8" s="49">
        <v>63069</v>
      </c>
      <c r="K8" s="33" t="s">
        <v>52</v>
      </c>
      <c r="L8" s="92" t="str">
        <f>VLOOKUP(C8,'Trips&amp;Operators'!$C$1:$E$9999,3,0)</f>
        <v>STEWART</v>
      </c>
      <c r="M8" s="131" t="s">
        <v>86</v>
      </c>
      <c r="N8" s="10" t="s">
        <v>359</v>
      </c>
      <c r="O8" s="33"/>
      <c r="P8" s="108" t="str">
        <f>VLOOKUP(C8,'Train Runs'!$A$13:$AE$10014,31,0)</f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Q8" s="111" t="str">
        <f>VLOOKUP(C8,'Train Runs'!$A$13:$AE$10014,22,0)</f>
        <v>https://search-rtdc-monitor-bjffxe2xuh6vdkpspy63sjmuny.us-east-1.es.amazonaws.com/_plugin/kibana/#/discover/Steve-Slow-Train-Analysis-(2080s-and-2083s)?_g=(refreshInterval:(display:Off,section:0,value:0),time:(from:'2016-08-29 13:27:48-0600',mode:absolute,to:'2016-08-29 16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8" s="113" t="str">
        <f t="shared" si="0"/>
        <v>"C:\Program Files (x86)\AstroGrep\AstroGrep.exe" /spath="%USERPROFILE%\AppData\Local\Temp\OnboardLogs" /stypes="*4007*201608292*" /stext=" 20:.+((SYSTEM_STATE.+slice.+state.+changed )|(ment ac)|(system.+state.+changed )|(\|lc)|(penalty)|(\[timeout)|(PRM\|1\|D)|(kpr)|(kdp))" /e /r /s</v>
      </c>
      <c r="S8" s="9" t="str">
        <f t="shared" si="1"/>
        <v>4007</v>
      </c>
      <c r="T8" s="38">
        <f t="shared" si="2"/>
        <v>42611.865185185183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arrival","project_id":79,"tracker_id":40,"status_id":1,"priority_id":2,"assigned_to_id":23,"start_date":"2016-08-29","description":"","custom_fields":[{"id":1,"name":"Subdivision","value":"EC"},{"id":4,"name":"Milepost","value":"6.3069"},{"id":17,"name":"Train ID","value":"187-29"},{"id":16,"name":"Locomotive ID","value":"4007"},{"id":130,"name":"Impact","value":""},{"id":150,"name":"Time of Event (Mountain Time)","value":"14:45:52"},{"id":151,"name":"Denver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42611.678935185184</v>
      </c>
      <c r="B9" s="33" t="s">
        <v>182</v>
      </c>
      <c r="C9" s="33" t="s">
        <v>495</v>
      </c>
      <c r="D9" s="33" t="s">
        <v>111</v>
      </c>
      <c r="E9" s="33" t="s">
        <v>56</v>
      </c>
      <c r="F9" s="49">
        <v>200</v>
      </c>
      <c r="G9" s="49">
        <v>256</v>
      </c>
      <c r="H9" s="49">
        <v>5501</v>
      </c>
      <c r="I9" s="33" t="s">
        <v>57</v>
      </c>
      <c r="J9" s="49">
        <v>4677</v>
      </c>
      <c r="K9" s="33" t="s">
        <v>52</v>
      </c>
      <c r="L9" s="92" t="str">
        <f>VLOOKUP(C9,'Trips&amp;Operators'!$C$1:$E$9999,3,0)</f>
        <v>STEWART</v>
      </c>
      <c r="M9" s="131" t="s">
        <v>86</v>
      </c>
      <c r="N9" s="10"/>
      <c r="O9" s="33"/>
      <c r="P9" s="108" t="str">
        <f>VLOOKUP(C9,'Train Runs'!$A$13:$AE$10014,31,0)</f>
        <v>aws s3 cp s3://rtdc.mdm.uploadarchive/RTDC4007/2016-08-29/ "%USERPROFILE%\AppData\Local\Temp\OnboardLogs"\RTDC4007\2016-08-29 --recursive &amp; "%USERPROFILE%\Documents\GitHub\mrs-test-scripts\Headless Mode &amp; Sideloading\WalkAndUnGZ.bat" "%USERPROFILE%\AppData\Local\Temp\OnboardLogs"\RTDC4007\2016-08-29 &amp; aws s3 cp s3://rtdc.mdm.uploadarchive/RTDC4007/2016-08-30/ "%USERPROFILE%\AppData\Local\Temp\OnboardLogs"\RTDC4007\2016-08-30 --recursive &amp; "%USERPROFILE%\Documents\GitHub\mrs-test-scripts\Headless Mode &amp; Sideloading\WalkAndUnGZ.bat" "%USERPROFILE%\AppData\Local\Temp\OnboardLogs"\RTDC4007\2016-08-30</v>
      </c>
      <c r="Q9" s="111" t="str">
        <f>VLOOKUP(C9,'Train Runs'!$A$13:$AE$10014,22,0)</f>
        <v>https://search-rtdc-monitor-bjffxe2xuh6vdkpspy63sjmuny.us-east-1.es.amazonaws.com/_plugin/kibana/#/discover/Steve-Slow-Train-Analysis-(2080s-and-2083s)?_g=(refreshInterval:(display:Off,section:0,value:0),time:(from:'2016-08-29 15:10:36-0600',mode:absolute,to:'2016-08-29 17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" s="113" t="str">
        <f t="shared" si="0"/>
        <v>"C:\Program Files (x86)\AstroGrep\AstroGrep.exe" /spath="%USERPROFILE%\AppData\Local\Temp\OnboardLogs" /stypes="*4007*201608292*" /stext=" 22:.+((SYSTEM_STATE.+slice.+state.+changed )|(ment ac)|(system.+state.+changed )|(\|lc)|(penalty)|(\[timeout)|(PRM\|1\|D)|(kpr)|(kdp))" /e /r /s</v>
      </c>
      <c r="S9" s="9" t="str">
        <f t="shared" si="1"/>
        <v>4007</v>
      </c>
      <c r="T9" s="38">
        <f t="shared" si="2"/>
        <v>42611.928935185184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{"issue":{"subject":"","project_id":79,"tracker_id":40,"status_id":1,"priority_id":2,"assigned_to_id":23,"start_date":"2016-08-29","description":"","custom_fields":[{"id":1,"name":"Subdivision","value":"EC"},{"id":4,"name":"Milepost","value":"0.4677"},{"id":17,"name":"Train ID","value":"201-29"},{"id":16,"name":"Locomotive ID","value":"4007"},{"id":130,"name":"Impact","value":""},{"id":150,"name":"Time of Event (Mountain Time)","value":"16:17:40"},{"id":151,"name":"Denver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42611.245879629627</v>
      </c>
      <c r="B10" s="33" t="s">
        <v>185</v>
      </c>
      <c r="C10" s="33" t="s">
        <v>374</v>
      </c>
      <c r="D10" s="33" t="s">
        <v>111</v>
      </c>
      <c r="E10" s="33" t="s">
        <v>56</v>
      </c>
      <c r="F10" s="49">
        <v>600</v>
      </c>
      <c r="G10" s="49">
        <v>653</v>
      </c>
      <c r="H10" s="49">
        <v>123663</v>
      </c>
      <c r="I10" s="33" t="s">
        <v>57</v>
      </c>
      <c r="J10" s="49">
        <v>119716</v>
      </c>
      <c r="K10" s="33" t="s">
        <v>52</v>
      </c>
      <c r="L10" s="92" t="str">
        <f>VLOOKUP(C10,'Trips&amp;Operators'!$C$1:$E$9999,3,0)</f>
        <v>MALAVE</v>
      </c>
      <c r="M10" s="131" t="s">
        <v>86</v>
      </c>
      <c r="N10" s="10"/>
      <c r="O10" s="33"/>
      <c r="P10" s="108" t="str">
        <f>VLOOKUP(C10,'Train Runs'!$A$13:$AE$10014,31,0)</f>
        <v>aws s3 cp s3://rtdc.mdm.uploadarchive/RTDC4003/2016-08-29/ "%USERPROFILE%\AppData\Local\Temp\OnboardLogs"\RTDC4003\2016-08-29 --recursive &amp; "%USERPROFILE%\Documents\GitHub\mrs-test-scripts\Headless Mode &amp; Sideloading\WalkAndUnGZ.bat" "%USERPROFILE%\AppData\Local\Temp\OnboardLogs"\RTDC4003\2016-08-29 &amp; aws s3 cp s3://rtdc.mdm.uploadarchive/RTDC4003/2016-08-30/ "%USERPROFILE%\AppData\Local\Temp\OnboardLogs"\RTDC4003\2016-08-30 --recursive &amp; "%USERPROFILE%\Documents\GitHub\mrs-test-scripts\Headless Mode &amp; Sideloading\WalkAndUnGZ.bat" "%USERPROFILE%\AppData\Local\Temp\OnboardLogs"\RTDC4003\2016-08-30</v>
      </c>
      <c r="Q10" s="111" t="str">
        <f>VLOOKUP(C10,'Train Runs'!$A$13:$AE$10014,22,0)</f>
        <v>https://search-rtdc-monitor-bjffxe2xuh6vdkpspy63sjmuny.us-east-1.es.amazonaws.com/_plugin/kibana/#/discover/Steve-Slow-Train-Analysis-(2080s-and-2083s)?_g=(refreshInterval:(display:Off,section:0,value:0),time:(from:'2016-08-29 04:24:56-0600',mode:absolute,to:'2016-08-29 07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10" s="113" t="str">
        <f t="shared" si="0"/>
        <v>"C:\Program Files (x86)\AstroGrep\AstroGrep.exe" /spath="%USERPROFILE%\AppData\Local\Temp\OnboardLogs" /stypes="*4003*201608291*" /stext=" 11:.+((SYSTEM_STATE.+slice.+state.+changed )|(ment ac)|(system.+state.+changed )|(\|lc)|(penalty)|(\[timeout)|(PRM\|1\|D)|(kpr)|(kdp))" /e /r /s</v>
      </c>
      <c r="S10" s="9" t="str">
        <f t="shared" si="1"/>
        <v>4003</v>
      </c>
      <c r="T10" s="38">
        <f t="shared" si="2"/>
        <v>42611.495879629627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{"issue":{"subject":"","project_id":79,"tracker_id":40,"status_id":1,"priority_id":2,"assigned_to_id":23,"start_date":"2016-08-29","description":"","custom_fields":[{"id":1,"name":"Subdivision","value":"EC"},{"id":4,"name":"Milepost","value":"11.9716"},{"id":17,"name":"Train ID","value":"115-29"},{"id":16,"name":"Locomotive ID","value":"4003"},{"id":130,"name":"Impact","value":""},{"id":150,"name":"Time of Event (Mountain Time)","value":"05:54:04"},{"id":151,"name":"Denver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42611.426527777781</v>
      </c>
      <c r="B11" s="33" t="s">
        <v>171</v>
      </c>
      <c r="C11" s="33" t="s">
        <v>424</v>
      </c>
      <c r="D11" s="33" t="s">
        <v>111</v>
      </c>
      <c r="E11" s="33" t="s">
        <v>56</v>
      </c>
      <c r="F11" s="49">
        <v>700</v>
      </c>
      <c r="G11" s="49">
        <v>752</v>
      </c>
      <c r="H11" s="49">
        <v>170109</v>
      </c>
      <c r="I11" s="33" t="s">
        <v>57</v>
      </c>
      <c r="J11" s="49">
        <v>161962</v>
      </c>
      <c r="K11" s="33" t="s">
        <v>52</v>
      </c>
      <c r="L11" s="92" t="str">
        <f>VLOOKUP(C11,'Trips&amp;Operators'!$C$1:$E$9999,3,0)</f>
        <v>SPECTOR</v>
      </c>
      <c r="M11" s="131" t="s">
        <v>86</v>
      </c>
      <c r="N11" s="10"/>
      <c r="O11" s="33"/>
      <c r="P11" s="108" t="str">
        <f>VLOOKUP(C11,'Train Runs'!$A$13:$AE$10014,31,0)</f>
        <v>aws s3 cp s3://rtdc.mdm.uploadarchive/RTDC4009/2016-08-29/ "%USERPROFILE%\AppData\Local\Temp\OnboardLogs"\RTDC4009\2016-08-29 --recursive &amp; "%USERPROFILE%\Documents\GitHub\mrs-test-scripts\Headless Mode &amp; Sideloading\WalkAndUnGZ.bat" "%USERPROFILE%\AppData\Local\Temp\OnboardLogs"\RTDC4009\2016-08-29 &amp; aws s3 cp s3://rtdc.mdm.uploadarchive/RTDC4009/2016-08-30/ "%USERPROFILE%\AppData\Local\Temp\OnboardLogs"\RTDC4009\2016-08-30 --recursive &amp; "%USERPROFILE%\Documents\GitHub\mrs-test-scripts\Headless Mode &amp; Sideloading\WalkAndUnGZ.bat" "%USERPROFILE%\AppData\Local\Temp\OnboardLogs"\RTDC4009\2016-08-30</v>
      </c>
      <c r="Q11" s="111" t="str">
        <f>VLOOKUP(C11,'Train Runs'!$A$13:$AE$10014,22,0)</f>
        <v>https://search-rtdc-monitor-bjffxe2xuh6vdkpspy63sjmuny.us-east-1.es.amazonaws.com/_plugin/kibana/#/discover/Steve-Slow-Train-Analysis-(2080s-and-2083s)?_g=(refreshInterval:(display:Off,section:0,value:0),time:(from:'2016-08-29 08:42:22-0600',mode:absolute,to:'2016-08-29 11:28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1" s="113" t="str">
        <f t="shared" si="0"/>
        <v>"C:\Program Files (x86)\AstroGrep\AstroGrep.exe" /spath="%USERPROFILE%\AppData\Local\Temp\OnboardLogs" /stypes="*4009*201608291*" /stext=" 16:.+((SYSTEM_STATE.+slice.+state.+changed )|(ment ac)|(system.+state.+changed )|(\|lc)|(penalty)|(\[timeout)|(PRM\|1\|D)|(kpr)|(kdp))" /e /r /s</v>
      </c>
      <c r="S11" s="9" t="str">
        <f t="shared" si="1"/>
        <v>4009</v>
      </c>
      <c r="T11" s="38">
        <f t="shared" si="2"/>
        <v>42611.676527777781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{"issue":{"subject":"","project_id":79,"tracker_id":40,"status_id":1,"priority_id":2,"assigned_to_id":23,"start_date":"2016-08-29","description":"","custom_fields":[{"id":1,"name":"Subdivision","value":"EC"},{"id":4,"name":"Milepost","value":"16.1962"},{"id":17,"name":"Train ID","value":"149-29"},{"id":16,"name":"Locomotive ID","value":"4009"},{"id":130,"name":"Impact","value":""},{"id":150,"name":"Time of Event (Mountain Time)","value":"10:14:12"},{"id":151,"name":"Denver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42611.49486111111</v>
      </c>
      <c r="B12" s="33" t="s">
        <v>199</v>
      </c>
      <c r="C12" s="33" t="s">
        <v>443</v>
      </c>
      <c r="D12" s="33" t="s">
        <v>111</v>
      </c>
      <c r="E12" s="33" t="s">
        <v>56</v>
      </c>
      <c r="F12" s="49">
        <v>700</v>
      </c>
      <c r="G12" s="49">
        <v>751</v>
      </c>
      <c r="H12" s="49">
        <v>170626</v>
      </c>
      <c r="I12" s="33" t="s">
        <v>57</v>
      </c>
      <c r="J12" s="49">
        <v>183829</v>
      </c>
      <c r="K12" s="33" t="s">
        <v>53</v>
      </c>
      <c r="L12" s="92" t="str">
        <f>VLOOKUP(C12,'Trips&amp;Operators'!$C$1:$E$9999,3,0)</f>
        <v>MALAVE</v>
      </c>
      <c r="M12" s="131" t="s">
        <v>86</v>
      </c>
      <c r="N12" s="10"/>
      <c r="O12" s="33"/>
      <c r="P12" s="108" t="str">
        <f>VLOOKUP(C12,'Train Runs'!$A$13:$AE$10014,31,0)</f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Q12" s="111" t="str">
        <f>VLOOKUP(C12,'Train Runs'!$A$13:$AE$10014,22,0)</f>
        <v>https://search-rtdc-monitor-bjffxe2xuh6vdkpspy63sjmuny.us-east-1.es.amazonaws.com/_plugin/kibana/#/discover/Steve-Slow-Train-Analysis-(2080s-and-2083s)?_g=(refreshInterval:(display:Off,section:0,value:0),time:(from:'2016-08-29 10:39:03-0600',mode:absolute,to:'2016-08-29 13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12" s="113" t="str">
        <f t="shared" si="0"/>
        <v>"C:\Program Files (x86)\AstroGrep\AstroGrep.exe" /spath="%USERPROFILE%\AppData\Local\Temp\OnboardLogs" /stypes="*4004*201608291*" /stext=" 17:.+((SYSTEM_STATE.+slice.+state.+changed )|(ment ac)|(system.+state.+changed )|(\|lc)|(penalty)|(\[timeout)|(PRM\|1\|D)|(kpr)|(kdp))" /e /r /s</v>
      </c>
      <c r="S12" s="9" t="str">
        <f t="shared" si="1"/>
        <v>4004</v>
      </c>
      <c r="T12" s="38">
        <f t="shared" si="2"/>
        <v>42611.74486111111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{"issue":{"subject":"","project_id":79,"tracker_id":40,"status_id":1,"priority_id":2,"assigned_to_id":23,"start_date":"2016-08-29","description":"","custom_fields":[{"id":1,"name":"Subdivision","value":"EC"},{"id":4,"name":"Milepost","value":"18.3829"},{"id":17,"name":"Train ID","value":"158-29"},{"id":16,"name":"Locomotive ID","value":"4004"},{"id":130,"name":"Impact","value":""},{"id":150,"name":"Time of Event (Mountain Time)","value":"11:52:36"},{"id":151,"name":"Denver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42611.534884259258</v>
      </c>
      <c r="B13" s="33" t="s">
        <v>253</v>
      </c>
      <c r="C13" s="33" t="s">
        <v>454</v>
      </c>
      <c r="D13" s="33" t="s">
        <v>111</v>
      </c>
      <c r="E13" s="33" t="s">
        <v>56</v>
      </c>
      <c r="F13" s="49">
        <v>700</v>
      </c>
      <c r="G13" s="49">
        <v>755</v>
      </c>
      <c r="H13" s="49">
        <v>176338</v>
      </c>
      <c r="I13" s="33" t="s">
        <v>57</v>
      </c>
      <c r="J13" s="49">
        <v>183829</v>
      </c>
      <c r="K13" s="33" t="s">
        <v>53</v>
      </c>
      <c r="L13" s="92" t="str">
        <f>VLOOKUP(C13,'Trips&amp;Operators'!$C$1:$E$9999,3,0)</f>
        <v>CLARK</v>
      </c>
      <c r="M13" s="131" t="s">
        <v>86</v>
      </c>
      <c r="N13" s="10"/>
      <c r="O13" s="33"/>
      <c r="P13" s="108" t="str">
        <f>VLOOKUP(C13,'Train Runs'!$A$13:$AE$10014,31,0)</f>
        <v>aws s3 cp s3://rtdc.mdm.uploadarchive/RTDC4039/2016-08-29/ "%USERPROFILE%\AppData\Local\Temp\OnboardLogs"\RTDC4039\2016-08-29 --recursive &amp; "%USERPROFILE%\Documents\GitHub\mrs-test-scripts\Headless Mode &amp; Sideloading\WalkAndUnGZ.bat" "%USERPROFILE%\AppData\Local\Temp\OnboardLogs"\RTDC4039\2016-08-29 &amp; aws s3 cp s3://rtdc.mdm.uploadarchive/RTDC4039/2016-08-30/ "%USERPROFILE%\AppData\Local\Temp\OnboardLogs"\RTDC4039\2016-08-30 --recursive &amp; "%USERPROFILE%\Documents\GitHub\mrs-test-scripts\Headless Mode &amp; Sideloading\WalkAndUnGZ.bat" "%USERPROFILE%\AppData\Local\Temp\OnboardLogs"\RTDC4039\2016-08-30</v>
      </c>
      <c r="Q13" s="111" t="str">
        <f>VLOOKUP(C13,'Train Runs'!$A$13:$AE$10014,22,0)</f>
        <v>https://search-rtdc-monitor-bjffxe2xuh6vdkpspy63sjmuny.us-east-1.es.amazonaws.com/_plugin/kibana/#/discover/Steve-Slow-Train-Analysis-(2080s-and-2083s)?_g=(refreshInterval:(display:Off,section:0,value:0),time:(from:'2016-08-29 11:35:31-0600',mode:absolute,to:'2016-08-29 14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3" s="113" t="str">
        <f t="shared" si="0"/>
        <v>"C:\Program Files (x86)\AstroGrep\AstroGrep.exe" /spath="%USERPROFILE%\AppData\Local\Temp\OnboardLogs" /stypes="*4039*201608291*" /stext=" 18:.+((SYSTEM_STATE.+slice.+state.+changed )|(ment ac)|(system.+state.+changed )|(\|lc)|(penalty)|(\[timeout)|(PRM\|1\|D)|(kpr)|(kdp))" /e /r /s</v>
      </c>
      <c r="S13" s="9" t="str">
        <f t="shared" si="1"/>
        <v>4039</v>
      </c>
      <c r="T13" s="38">
        <f t="shared" si="2"/>
        <v>42611.784884259258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{"issue":{"subject":"","project_id":79,"tracker_id":40,"status_id":1,"priority_id":2,"assigned_to_id":23,"start_date":"2016-08-29","description":"","custom_fields":[{"id":1,"name":"Subdivision","value":"EC"},{"id":4,"name":"Milepost","value":"18.3829"},{"id":17,"name":"Train ID","value":"166-29"},{"id":16,"name":"Locomotive ID","value":"4039"},{"id":130,"name":"Impact","value":""},{"id":150,"name":"Time of Event (Mountain Time)","value":"12:50:14"},{"id":151,"name":"Denver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42611.271874999999</v>
      </c>
      <c r="B14" s="33" t="s">
        <v>199</v>
      </c>
      <c r="C14" s="33" t="s">
        <v>386</v>
      </c>
      <c r="D14" s="33" t="s">
        <v>111</v>
      </c>
      <c r="E14" s="33" t="s">
        <v>56</v>
      </c>
      <c r="F14" s="49">
        <v>450</v>
      </c>
      <c r="G14" s="49">
        <v>500</v>
      </c>
      <c r="H14" s="49">
        <v>190970</v>
      </c>
      <c r="I14" s="33" t="s">
        <v>57</v>
      </c>
      <c r="J14" s="49">
        <v>191108</v>
      </c>
      <c r="K14" s="33" t="s">
        <v>53</v>
      </c>
      <c r="L14" s="92" t="str">
        <f>VLOOKUP(C14,'Trips&amp;Operators'!$C$1:$E$9999,3,0)</f>
        <v>MALAVE</v>
      </c>
      <c r="M14" s="131" t="s">
        <v>86</v>
      </c>
      <c r="N14" s="10"/>
      <c r="O14" s="33"/>
      <c r="P14" s="108" t="str">
        <f>VLOOKUP(C14,'Train Runs'!$A$13:$AE$10014,31,0)</f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Q14" s="111" t="str">
        <f>VLOOKUP(C14,'Train Runs'!$A$13:$AE$10014,22,0)</f>
        <v>https://search-rtdc-monitor-bjffxe2xuh6vdkpspy63sjmuny.us-east-1.es.amazonaws.com/_plugin/kibana/#/discover/Steve-Slow-Train-Analysis-(2080s-and-2083s)?_g=(refreshInterval:(display:Off,section:0,value:0),time:(from:'2016-08-29 05:23:43-0600',mode:absolute,to:'2016-08-29 08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14" s="113" t="str">
        <f t="shared" si="0"/>
        <v>"C:\Program Files (x86)\AstroGrep\AstroGrep.exe" /spath="%USERPROFILE%\AppData\Local\Temp\OnboardLogs" /stypes="*4004*201608291*" /stext=" 12:.+((SYSTEM_STATE.+slice.+state.+changed )|(ment ac)|(system.+state.+changed )|(\|lc)|(penalty)|(\[timeout)|(PRM\|1\|D)|(kpr)|(kdp))" /e /r /s</v>
      </c>
      <c r="S14" s="9" t="str">
        <f t="shared" si="1"/>
        <v>4004</v>
      </c>
      <c r="T14" s="38">
        <f t="shared" si="2"/>
        <v>42611.521874999999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{"issue":{"subject":"","project_id":79,"tracker_id":40,"status_id":1,"priority_id":2,"assigned_to_id":23,"start_date":"2016-08-29","description":"","custom_fields":[{"id":1,"name":"Subdivision","value":"EC"},{"id":4,"name":"Milepost","value":"19.1108"},{"id":17,"name":"Train ID","value":"116-29"},{"id":16,"name":"Locomotive ID","value":"4004"},{"id":130,"name":"Impact","value":""},{"id":150,"name":"Time of Event (Mountain Time)","value":"06:31:30"},{"id":151,"name":"Denver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42611.417094907411</v>
      </c>
      <c r="B15" s="33" t="s">
        <v>199</v>
      </c>
      <c r="C15" s="33" t="s">
        <v>426</v>
      </c>
      <c r="D15" s="33" t="s">
        <v>49</v>
      </c>
      <c r="E15" s="33" t="s">
        <v>56</v>
      </c>
      <c r="F15" s="49">
        <v>750</v>
      </c>
      <c r="G15" s="49">
        <v>800</v>
      </c>
      <c r="H15" s="49">
        <v>200470</v>
      </c>
      <c r="I15" s="33" t="s">
        <v>57</v>
      </c>
      <c r="J15" s="49">
        <v>200464</v>
      </c>
      <c r="K15" s="33" t="s">
        <v>53</v>
      </c>
      <c r="L15" s="92" t="str">
        <f>VLOOKUP(C15,'Trips&amp;Operators'!$C$1:$E$9999,3,0)</f>
        <v>MALAVE</v>
      </c>
      <c r="M15" s="131" t="s">
        <v>86</v>
      </c>
      <c r="N15" s="10"/>
      <c r="O15" s="33"/>
      <c r="P15" s="108" t="str">
        <f>VLOOKUP(C15,'Train Runs'!$A$13:$AE$10014,31,0)</f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Q15" s="111" t="str">
        <f>VLOOKUP(C15,'Train Runs'!$A$13:$AE$10014,22,0)</f>
        <v>https://search-rtdc-monitor-bjffxe2xuh6vdkpspy63sjmuny.us-east-1.es.amazonaws.com/_plugin/kibana/#/discover/Steve-Slow-Train-Analysis-(2080s-and-2083s)?_g=(refreshInterval:(display:Off,section:0,value:0),time:(from:'2016-08-29 08:53:07-0600',mode:absolute,to:'2016-08-29 11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15" s="113" t="str">
        <f t="shared" si="0"/>
        <v>"C:\Program Files (x86)\AstroGrep\AstroGrep.exe" /spath="%USERPROFILE%\AppData\Local\Temp\OnboardLogs" /stypes="*4004*201608291*" /stext=" 16:.+((SYSTEM_STATE.+slice.+state.+changed )|(ment ac)|(system.+state.+changed )|(\|lc)|(penalty)|(\[timeout)|(PRM\|1\|D)|(kpr)|(kdp))" /e /r /s</v>
      </c>
      <c r="S15" s="9" t="str">
        <f t="shared" si="1"/>
        <v>4004</v>
      </c>
      <c r="T15" s="38">
        <f t="shared" si="2"/>
        <v>42611.667094907411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{"issue":{"subject":"","project_id":79,"tracker_id":40,"status_id":1,"priority_id":2,"assigned_to_id":23,"start_date":"2016-08-29","description":"","custom_fields":[{"id":1,"name":"Subdivision","value":"EC"},{"id":4,"name":"Milepost","value":"20.0464"},{"id":17,"name":"Train ID","value":"144-29"},{"id":16,"name":"Locomotive ID","value":"4004"},{"id":130,"name":"Impact","value":""},{"id":150,"name":"Time of Event (Mountain Time)","value":"10:00:37"},{"id":151,"name":"Denver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42611.45244212963</v>
      </c>
      <c r="B16" s="33" t="s">
        <v>114</v>
      </c>
      <c r="C16" s="33" t="s">
        <v>429</v>
      </c>
      <c r="D16" s="33" t="s">
        <v>49</v>
      </c>
      <c r="E16" s="33" t="s">
        <v>56</v>
      </c>
      <c r="F16" s="49">
        <v>350</v>
      </c>
      <c r="G16" s="49">
        <v>475</v>
      </c>
      <c r="H16" s="49">
        <v>223232</v>
      </c>
      <c r="I16" s="33" t="s">
        <v>57</v>
      </c>
      <c r="J16" s="49">
        <v>224578</v>
      </c>
      <c r="K16" s="33" t="s">
        <v>52</v>
      </c>
      <c r="L16" s="92" t="str">
        <f>VLOOKUP(C16,'Trips&amp;Operators'!$C$1:$E$9999,3,0)</f>
        <v>STARKS</v>
      </c>
      <c r="M16" s="131" t="s">
        <v>86</v>
      </c>
      <c r="N16" s="10"/>
      <c r="O16" s="33"/>
      <c r="P16" s="108" t="str">
        <f>VLOOKUP(C16,'Train Runs'!$A$13:$AE$10014,31,0)</f>
        <v>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 &amp; aws s3 cp s3://rtdc.mdm.uploadarchive/RTDC4031/2016-08-30/ "%USERPROFILE%\AppData\Local\Temp\OnboardLogs"\RTDC4031\2016-08-30 --recursive &amp; "%USERPROFILE%\Documents\GitHub\mrs-test-scripts\Headless Mode &amp; Sideloading\WalkAndUnGZ.bat" "%USERPROFILE%\AppData\Local\Temp\OnboardLogs"\RTDC4031\2016-08-30</v>
      </c>
      <c r="Q16" s="111" t="str">
        <f>VLOOKUP(C16,'Train Runs'!$A$13:$AE$10014,22,0)</f>
        <v>https://search-rtdc-monitor-bjffxe2xuh6vdkpspy63sjmuny.us-east-1.es.amazonaws.com/_plugin/kibana/#/discover/Steve-Slow-Train-Analysis-(2080s-and-2083s)?_g=(refreshInterval:(display:Off,section:0,value:0),time:(from:'2016-08-29 09:10:33-0600',mode:absolute,to:'2016-08-29 11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6" s="113" t="str">
        <f t="shared" si="0"/>
        <v>"C:\Program Files (x86)\AstroGrep\AstroGrep.exe" /spath="%USERPROFILE%\AppData\Local\Temp\OnboardLogs" /stypes="*4031*201608291*" /stext=" 16:.+((SYSTEM_STATE.+slice.+state.+changed )|(ment ac)|(system.+state.+changed )|(\|lc)|(penalty)|(\[timeout)|(PRM\|1\|D)|(kpr)|(kdp))" /e /r /s</v>
      </c>
      <c r="S16" s="9" t="str">
        <f t="shared" si="1"/>
        <v>4031</v>
      </c>
      <c r="T16" s="38">
        <f t="shared" si="2"/>
        <v>42611.70244212963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{"issue":{"subject":"","project_id":79,"tracker_id":40,"status_id":1,"priority_id":2,"assigned_to_id":23,"start_date":"2016-08-29","description":"From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why?","custom_fields":[{"id":1,"name":"Subdivision","value":"EC"},{"id":4,"name":"Milepost","value":"22.4578"},{"id":17,"name":"Train ID","value":"153-29"},{"id":16,"name":"Locomotive ID","value":"4031"},{"id":130,"name":"Impact","value":"Enforcement"},{"id":150,"name":"Time of Event (Mountain Time)","value":"10:51:31"},{"id":151,"name":"Denver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16" s="55" t="s">
        <v>241</v>
      </c>
      <c r="Y16" s="55" t="s">
        <v>208</v>
      </c>
      <c r="Z16" s="55" t="s">
        <v>213</v>
      </c>
    </row>
    <row r="17" spans="1:26" s="1" customFormat="1" x14ac:dyDescent="0.25">
      <c r="A17" s="38">
        <v>42611.718807870369</v>
      </c>
      <c r="B17" s="33" t="s">
        <v>167</v>
      </c>
      <c r="C17" s="33" t="s">
        <v>507</v>
      </c>
      <c r="D17" s="33" t="s">
        <v>111</v>
      </c>
      <c r="E17" s="33" t="s">
        <v>56</v>
      </c>
      <c r="F17" s="49">
        <v>550</v>
      </c>
      <c r="G17" s="49">
        <v>606</v>
      </c>
      <c r="H17" s="49">
        <v>222035</v>
      </c>
      <c r="I17" s="33" t="s">
        <v>57</v>
      </c>
      <c r="J17" s="49">
        <v>224581</v>
      </c>
      <c r="K17" s="33" t="s">
        <v>53</v>
      </c>
      <c r="L17" s="92" t="str">
        <f>VLOOKUP(C17,'Trips&amp;Operators'!$C$1:$E$9999,3,0)</f>
        <v>LOZA</v>
      </c>
      <c r="M17" s="131" t="s">
        <v>86</v>
      </c>
      <c r="N17" s="10"/>
      <c r="O17" s="33"/>
      <c r="P17" s="108" t="str">
        <f>VLOOKUP(C17,'Train Runs'!$A$13:$AE$10014,31,0)</f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Q17" s="111" t="str">
        <f>VLOOKUP(C17,'Train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16:08:58-0600',mode:absolute,to:'2016-08-29 18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7" s="113" t="str">
        <f t="shared" si="0"/>
        <v>"C:\Program Files (x86)\AstroGrep\AstroGrep.exe" /spath="%USERPROFILE%\AppData\Local\Temp\OnboardLogs" /stypes="*4008*201608292*" /stext=" 23:.+((SYSTEM_STATE.+slice.+state.+changed )|(ment ac)|(system.+state.+changed )|(\|lc)|(penalty)|(\[timeout)|(PRM\|1\|D)|(kpr)|(kdp))" /e /r /s</v>
      </c>
      <c r="S17" s="9" t="str">
        <f t="shared" si="1"/>
        <v>4008</v>
      </c>
      <c r="T17" s="38">
        <f t="shared" si="2"/>
        <v>42611.968807870369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{"issue":{"subject":"","project_id":79,"tracker_id":40,"status_id":1,"priority_id":2,"assigned_to_id":23,"start_date":"2016-08-29","description":"","custom_fields":[{"id":1,"name":"Subdivision","value":"EC"},{"id":4,"name":"Milepost","value":"22.4581"},{"id":17,"name":"Train ID","value":"202-29"},{"id":16,"name":"Locomotive ID","value":"4008"},{"id":130,"name":"Impact","value":""},{"id":150,"name":"Time of Event (Mountain Time)","value":"17:15:05"},{"id":151,"name":"Denver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42611.755509259259</v>
      </c>
      <c r="B18" s="33" t="s">
        <v>93</v>
      </c>
      <c r="C18" s="33" t="s">
        <v>511</v>
      </c>
      <c r="D18" s="33" t="s">
        <v>49</v>
      </c>
      <c r="E18" s="33" t="s">
        <v>56</v>
      </c>
      <c r="F18" s="49">
        <v>150</v>
      </c>
      <c r="G18" s="49">
        <v>271</v>
      </c>
      <c r="H18" s="49">
        <v>229581</v>
      </c>
      <c r="I18" s="33" t="s">
        <v>57</v>
      </c>
      <c r="J18" s="49">
        <v>230436</v>
      </c>
      <c r="K18" s="33" t="s">
        <v>52</v>
      </c>
      <c r="L18" s="92" t="str">
        <f>VLOOKUP(C18,'Trips&amp;Operators'!$C$1:$E$9999,3,0)</f>
        <v>YOUNG</v>
      </c>
      <c r="M18" s="131" t="s">
        <v>86</v>
      </c>
      <c r="N18" s="10"/>
      <c r="O18" s="33"/>
      <c r="P18" s="108" t="str">
        <f>VLOOKUP(C18,'Train Runs'!$A$13:$AE$10014,31,0)</f>
        <v>aws s3 cp s3://rtdc.mdm.uploadarchive/RTDC4027/2016-08-29/ "%USERPROFILE%\AppData\Local\Temp\OnboardLogs"\RTDC4027\2016-08-29 --recursive &amp; "%USERPROFILE%\Documents\GitHub\mrs-test-scripts\Headless Mode &amp; Sideloading\WalkAndUnGZ.bat" "%USERPROFILE%\AppData\Local\Temp\OnboardLogs"\RTDC4027\2016-08-29 &amp; aws s3 cp s3://rtdc.mdm.uploadarchive/RTDC4027/2016-08-30/ "%USERPROFILE%\AppData\Local\Temp\OnboardLogs"\RTDC4027\2016-08-30 --recursive &amp; "%USERPROFILE%\Documents\GitHub\mrs-test-scripts\Headless Mode &amp; Sideloading\WalkAndUnGZ.bat" "%USERPROFILE%\AppData\Local\Temp\OnboardLogs"\RTDC4027\2016-08-30</v>
      </c>
      <c r="Q18" s="111" t="str">
        <f>VLOOKUP(C18,'Train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16:27:52-0600',mode:absolute,to:'2016-08-29 19:10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8" s="113" t="str">
        <f t="shared" si="0"/>
        <v>"C:\Program Files (x86)\AstroGrep\AstroGrep.exe" /spath="%USERPROFILE%\AppData\Local\Temp\OnboardLogs" /stypes="*4027*201608300*" /stext=" 00:.+((SYSTEM_STATE.+slice.+state.+changed )|(ment ac)|(system.+state.+changed )|(\|lc)|(penalty)|(\[timeout)|(PRM\|1\|D)|(kpr)|(kdp))" /e /r /s</v>
      </c>
      <c r="S18" s="9" t="str">
        <f t="shared" si="1"/>
        <v>4027</v>
      </c>
      <c r="T18" s="38">
        <f t="shared" si="2"/>
        <v>42612.005509259259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{"issue":{"subject":"","project_id":79,"tracker_id":40,"status_id":1,"priority_id":2,"assigned_to_id":23,"start_date":"2016-08-29","description":"","custom_fields":[{"id":1,"name":"Subdivision","value":"EC"},{"id":4,"name":"Milepost","value":"23.0436"},{"id":17,"name":"Train ID","value":"211-29"},{"id":16,"name":"Locomotive ID","value":"4027"},{"id":130,"name":"Impact","value":""},{"id":150,"name":"Time of Event (Mountain Time)","value":"18:07:56"},{"id":151,"name":"Denver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42611.398032407407</v>
      </c>
      <c r="B19" s="33" t="s">
        <v>91</v>
      </c>
      <c r="C19" s="33" t="s">
        <v>421</v>
      </c>
      <c r="D19" s="33" t="s">
        <v>49</v>
      </c>
      <c r="E19" s="33" t="s">
        <v>54</v>
      </c>
      <c r="F19" s="49">
        <v>0</v>
      </c>
      <c r="G19" s="49">
        <v>331</v>
      </c>
      <c r="H19" s="49">
        <v>9341</v>
      </c>
      <c r="I19" s="33" t="s">
        <v>55</v>
      </c>
      <c r="J19" s="49">
        <v>10800</v>
      </c>
      <c r="K19" s="33" t="s">
        <v>52</v>
      </c>
      <c r="L19" s="92" t="str">
        <f>VLOOKUP(C19,'Trips&amp;Operators'!$C$1:$E$9999,3,0)</f>
        <v>BRANNON</v>
      </c>
      <c r="M19" s="131" t="s">
        <v>576</v>
      </c>
      <c r="N19" s="10" t="s">
        <v>717</v>
      </c>
      <c r="O19" s="33"/>
      <c r="P19" s="108" t="str">
        <f>VLOOKUP(C19,'Train Runs'!$A$13:$AE$10014,31,0)</f>
        <v>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 &amp; aws s3 cp s3://rtdc.mdm.uploadarchive/RTDC4029/2016-08-30/ "%USERPROFILE%\AppData\Local\Temp\OnboardLogs"\RTDC4029\2016-08-30 --recursive &amp; "%USERPROFILE%\Documents\GitHub\mrs-test-scripts\Headless Mode &amp; Sideloading\WalkAndUnGZ.bat" "%USERPROFILE%\AppData\Local\Temp\OnboardLogs"\RTDC4029\2016-08-30</v>
      </c>
      <c r="Q19" s="111" t="str">
        <f>VLOOKUP(C19,'Train Runs'!$A$13:$AE$10014,22,0)</f>
        <v>https://search-rtdc-monitor-bjffxe2xuh6vdkpspy63sjmuny.us-east-1.es.amazonaws.com/_plugin/kibana/#/discover/Steve-Slow-Train-Analysis-(2080s-and-2083s)?_g=(refreshInterval:(display:Off,section:0,value:0),time:(from:'2016-08-29 08:24:04-0600',mode:absolute,to:'2016-08-29 11:17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19" s="113" t="str">
        <f t="shared" si="0"/>
        <v>"C:\Program Files (x86)\AstroGrep\AstroGrep.exe" /spath="%USERPROFILE%\AppData\Local\Temp\OnboardLogs" /stypes="*4029*201608291*" /stext=" 15:.+((SYSTEM_STATE.+slice.+state.+changed )|(ment ac)|(system.+state.+changed )|(\|lc)|(penalty)|(\[timeout)|(PRM\|1\|D)|(kpr)|(kdp))" /e /r /s</v>
      </c>
      <c r="S19" s="9" t="str">
        <f t="shared" si="1"/>
        <v>4029</v>
      </c>
      <c r="T19" s="38">
        <f t="shared" si="2"/>
        <v>42611.648032407407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{"issue":{"subject":"Wi-MAX outage","project_id":79,"tracker_id":40,"status_id":1,"priority_id":2,"assigned_to_id":23,"start_date":"2016-08-29","description":"","custom_fields":[{"id":1,"name":"Subdivision","value":"EC"},{"id":4,"name":"Milepost","value":"1.08"},{"id":17,"name":"Train ID","value":"147-29"},{"id":16,"name":"Locomotive ID","value":"4029"},{"id":130,"name":"Impact","value":""},{"id":150,"name":"Time of Event (Mountain Time)","value":"09:33:10"},{"id":151,"name":"Denver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42611.454583333332</v>
      </c>
      <c r="B20" s="33" t="s">
        <v>172</v>
      </c>
      <c r="C20" s="33" t="s">
        <v>434</v>
      </c>
      <c r="D20" s="33" t="s">
        <v>49</v>
      </c>
      <c r="E20" s="33" t="s">
        <v>54</v>
      </c>
      <c r="F20" s="49">
        <v>0</v>
      </c>
      <c r="G20" s="49">
        <v>119</v>
      </c>
      <c r="H20" s="49">
        <v>128316</v>
      </c>
      <c r="I20" s="33" t="s">
        <v>55</v>
      </c>
      <c r="J20" s="49">
        <v>127587</v>
      </c>
      <c r="K20" s="33" t="s">
        <v>53</v>
      </c>
      <c r="L20" s="92" t="str">
        <f>VLOOKUP(C20,'Trips&amp;Operators'!$C$1:$E$9999,3,0)</f>
        <v>SPECTOR</v>
      </c>
      <c r="M20" s="131" t="s">
        <v>86</v>
      </c>
      <c r="N20" s="10" t="s">
        <v>358</v>
      </c>
      <c r="O20" s="33"/>
      <c r="P20" s="108" t="str">
        <f>VLOOKUP(C20,'Train Runs'!$A$13:$AE$10014,31,0)</f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Q20" s="111" t="str">
        <f>VLOOKUP(C20,'Train Runs'!$A$13:$AE$10014,22,0)</f>
        <v>https://search-rtdc-monitor-bjffxe2xuh6vdkpspy63sjmuny.us-east-1.es.amazonaws.com/_plugin/kibana/#/discover/Steve-Slow-Train-Analysis-(2080s-and-2083s)?_g=(refreshInterval:(display:Off,section:0,value:0),time:(from:'2016-08-29 09:37:37-0600',mode:absolute,to:'2016-08-29 12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" s="113" t="str">
        <f t="shared" si="0"/>
        <v>"C:\Program Files (x86)\AstroGrep\AstroGrep.exe" /spath="%USERPROFILE%\AppData\Local\Temp\OnboardLogs" /stypes="*4010*201608291*" /stext=" 16:.+((SYSTEM_STATE.+slice.+state.+changed )|(ment ac)|(system.+state.+changed )|(\|lc)|(penalty)|(\[timeout)|(PRM\|1\|D)|(kpr)|(kdp))" /e /r /s</v>
      </c>
      <c r="S20" s="9" t="str">
        <f t="shared" si="1"/>
        <v>4010</v>
      </c>
      <c r="T20" s="38">
        <f t="shared" si="2"/>
        <v>42611.704583333332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{"issue":{"subject":"40th 4S STOP, cleared shortly","project_id":79,"tracker_id":40,"status_id":1,"priority_id":2,"assigned_to_id":23,"start_date":"2016-08-29","description":"","custom_fields":[{"id":1,"name":"Subdivision","value":"EC"},{"id":4,"name":"Milepost","value":"12.7587"},{"id":17,"name":"Train ID","value":"150-29"},{"id":16,"name":"Locomotive ID","value":"4010"},{"id":130,"name":"Impact","value":""},{"id":150,"name":"Time of Event (Mountain Time)","value":"10:54:36"},{"id":151,"name":"Denver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42611.579675925925</v>
      </c>
      <c r="B21" s="33" t="s">
        <v>167</v>
      </c>
      <c r="C21" s="33" t="s">
        <v>465</v>
      </c>
      <c r="D21" s="33" t="s">
        <v>49</v>
      </c>
      <c r="E21" s="33" t="s">
        <v>54</v>
      </c>
      <c r="F21" s="49">
        <v>0</v>
      </c>
      <c r="G21" s="49">
        <v>388</v>
      </c>
      <c r="H21" s="49">
        <v>129852</v>
      </c>
      <c r="I21" s="33" t="s">
        <v>55</v>
      </c>
      <c r="J21" s="49">
        <v>127587</v>
      </c>
      <c r="K21" s="33" t="s">
        <v>53</v>
      </c>
      <c r="L21" s="92" t="str">
        <f>VLOOKUP(C21,'Trips&amp;Operators'!$C$1:$E$9999,3,0)</f>
        <v>LOZA</v>
      </c>
      <c r="M21" s="131" t="s">
        <v>86</v>
      </c>
      <c r="N21" s="10" t="s">
        <v>358</v>
      </c>
      <c r="O21" s="33"/>
      <c r="P21" s="108" t="str">
        <f>VLOOKUP(C21,'Train Runs'!$A$13:$AE$10014,31,0)</f>
        <v>aws s3 cp s3://rtdc.mdm.uploadarchive/RTDC4008/2016-08-29/ "%USERPROFILE%\AppData\Local\Temp\OnboardLogs"\RTDC4008\2016-08-29 --recursive &amp; "%USERPROFILE%\Documents\GitHub\mrs-test-scripts\Headless Mode &amp; Sideloading\WalkAndUnGZ.bat" "%USERPROFILE%\AppData\Local\Temp\OnboardLogs"\RTDC4008\2016-08-29 &amp; aws s3 cp s3://rtdc.mdm.uploadarchive/RTDC4008/2016-08-30/ "%USERPROFILE%\AppData\Local\Temp\OnboardLogs"\RTDC4008\2016-08-30 --recursive &amp; "%USERPROFILE%\Documents\GitHub\mrs-test-scripts\Headless Mode &amp; Sideloading\WalkAndUnGZ.bat" "%USERPROFILE%\AppData\Local\Temp\OnboardLogs"\RTDC4008\2016-08-30</v>
      </c>
      <c r="Q21" s="111" t="str">
        <f>VLOOKUP(C21,'Train Runs'!$A$13:$AE$10014,22,0)</f>
        <v>https://search-rtdc-monitor-bjffxe2xuh6vdkpspy63sjmuny.us-east-1.es.amazonaws.com/_plugin/kibana/#/discover/Steve-Slow-Train-Analysis-(2080s-and-2083s)?_g=(refreshInterval:(display:Off,section:0,value:0),time:(from:'2016-08-29 12:35:11-0600',mode:absolute,to:'2016-08-29 15:24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1" s="113" t="str">
        <f t="shared" si="0"/>
        <v>"C:\Program Files (x86)\AstroGrep\AstroGrep.exe" /spath="%USERPROFILE%\AppData\Local\Temp\OnboardLogs" /stypes="*4008*201608291*" /stext=" 19:.+((SYSTEM_STATE.+slice.+state.+changed )|(ment ac)|(system.+state.+changed )|(\|lc)|(penalty)|(\[timeout)|(PRM\|1\|D)|(kpr)|(kdp))" /e /r /s</v>
      </c>
      <c r="S21" s="9" t="str">
        <f t="shared" si="1"/>
        <v>4008</v>
      </c>
      <c r="T21" s="38">
        <f t="shared" si="2"/>
        <v>42611.829675925925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{"issue":{"subject":"40th 4S STOP, cleared shortly","project_id":79,"tracker_id":40,"status_id":1,"priority_id":2,"assigned_to_id":23,"start_date":"2016-08-29","description":"","custom_fields":[{"id":1,"name":"Subdivision","value":"EC"},{"id":4,"name":"Milepost","value":"12.7587"},{"id":17,"name":"Train ID","value":"174-29"},{"id":16,"name":"Locomotive ID","value":"4008"},{"id":130,"name":"Impact","value":""},{"id":150,"name":"Time of Event (Mountain Time)","value":"13:54:44"},{"id":151,"name":"Denver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42611.545694444445</v>
      </c>
      <c r="B22" s="33" t="s">
        <v>172</v>
      </c>
      <c r="C22" s="33" t="s">
        <v>452</v>
      </c>
      <c r="D22" s="33" t="s">
        <v>111</v>
      </c>
      <c r="E22" s="33" t="s">
        <v>574</v>
      </c>
      <c r="F22" s="49">
        <v>0</v>
      </c>
      <c r="G22" s="49">
        <v>152</v>
      </c>
      <c r="H22" s="49">
        <v>4404</v>
      </c>
      <c r="I22" s="33" t="s">
        <v>575</v>
      </c>
      <c r="J22" s="49">
        <v>4677</v>
      </c>
      <c r="K22" s="33" t="s">
        <v>53</v>
      </c>
      <c r="L22" s="92" t="str">
        <f>VLOOKUP(C22,'Trips&amp;Operators'!$C$1:$E$9999,3,0)</f>
        <v>DE LA ROSA</v>
      </c>
      <c r="M22" s="131" t="s">
        <v>576</v>
      </c>
      <c r="N22" s="10" t="s">
        <v>717</v>
      </c>
      <c r="O22" s="33"/>
      <c r="P22" s="108" t="str">
        <f>VLOOKUP(C22,'Train Runs'!$A$13:$AE$10014,31,0)</f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Q22" s="111" t="str">
        <f>VLOOKUP(C22,'Train Runs'!$A$13:$AE$10014,22,0)</f>
        <v>https://search-rtdc-monitor-bjffxe2xuh6vdkpspy63sjmuny.us-east-1.es.amazonaws.com/_plugin/kibana/#/discover/Steve-Slow-Train-Analysis-(2080s-and-2083s)?_g=(refreshInterval:(display:Off,section:0,value:0),time:(from:'2016-08-29 11:21:29-0600',mode:absolute,to:'2016-08-29 14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" s="113" t="str">
        <f t="shared" si="0"/>
        <v>"C:\Program Files (x86)\AstroGrep\AstroGrep.exe" /spath="%USERPROFILE%\AppData\Local\Temp\OnboardLogs" /stypes="*4010*201608291*" /stext=" 19:.+((SYSTEM_STATE.+slice.+state.+changed )|(ment ac)|(system.+state.+changed )|(\|lc)|(penalty)|(\[timeout)|(PRM\|1\|D)|(kpr)|(kdp))" /e /r /s</v>
      </c>
      <c r="S22" s="9" t="str">
        <f t="shared" si="1"/>
        <v>4010</v>
      </c>
      <c r="T22" s="38">
        <f t="shared" si="2"/>
        <v>42611.795694444445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{"issue":{"subject":"Wi-MAX outage","project_id":79,"tracker_id":40,"status_id":1,"priority_id":2,"assigned_to_id":23,"start_date":"2016-08-29","description":"","custom_fields":[{"id":1,"name":"Subdivision","value":"EC"},{"id":4,"name":"Milepost","value":"0.4677"},{"id":17,"name":"Train ID","value":"164-29"},{"id":16,"name":"Locomotive ID","value":"4010"},{"id":130,"name":"Impact","value":""},{"id":150,"name":"Time of Event (Mountain Time)","value":"13:05:48"},{"id":151,"name":"Denver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42611.295254629629</v>
      </c>
      <c r="B23" s="33" t="s">
        <v>199</v>
      </c>
      <c r="C23" s="33" t="s">
        <v>386</v>
      </c>
      <c r="D23" s="33" t="s">
        <v>49</v>
      </c>
      <c r="E23" s="33" t="s">
        <v>50</v>
      </c>
      <c r="F23" s="49">
        <v>0</v>
      </c>
      <c r="G23" s="49">
        <v>40</v>
      </c>
      <c r="H23" s="49">
        <v>156</v>
      </c>
      <c r="I23" s="33" t="s">
        <v>51</v>
      </c>
      <c r="J23" s="49">
        <v>1</v>
      </c>
      <c r="K23" s="33" t="s">
        <v>53</v>
      </c>
      <c r="L23" s="92" t="str">
        <f>VLOOKUP(C23,'Trips&amp;Operators'!$C$1:$E$9999,3,0)</f>
        <v>MALAVE</v>
      </c>
      <c r="M23" s="131" t="s">
        <v>86</v>
      </c>
      <c r="N23" s="10"/>
      <c r="O23" s="33"/>
      <c r="P23" s="108" t="str">
        <f>VLOOKUP(C23,'Train Runs'!$A$13:$AE$10014,31,0)</f>
        <v>aws s3 cp s3://rtdc.mdm.uploadarchive/RTDC4004/2016-08-29/ "%USERPROFILE%\AppData\Local\Temp\OnboardLogs"\RTDC4004\2016-08-29 --recursive &amp; "%USERPROFILE%\Documents\GitHub\mrs-test-scripts\Headless Mode &amp; Sideloading\WalkAndUnGZ.bat" "%USERPROFILE%\AppData\Local\Temp\OnboardLogs"\RTDC4004\2016-08-29 &amp; aws s3 cp s3://rtdc.mdm.uploadarchive/RTDC4004/2016-08-30/ "%USERPROFILE%\AppData\Local\Temp\OnboardLogs"\RTDC4004\2016-08-30 --recursive &amp; "%USERPROFILE%\Documents\GitHub\mrs-test-scripts\Headless Mode &amp; Sideloading\WalkAndUnGZ.bat" "%USERPROFILE%\AppData\Local\Temp\OnboardLogs"\RTDC4004\2016-08-30</v>
      </c>
      <c r="Q23" s="111" t="str">
        <f>VLOOKUP(C23,'Train Runs'!$A$13:$AE$10014,22,0)</f>
        <v>https://search-rtdc-monitor-bjffxe2xuh6vdkpspy63sjmuny.us-east-1.es.amazonaws.com/_plugin/kibana/#/discover/Steve-Slow-Train-Analysis-(2080s-and-2083s)?_g=(refreshInterval:(display:Off,section:0,value:0),time:(from:'2016-08-29 05:23:43-0600',mode:absolute,to:'2016-08-29 08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3" s="113" t="str">
        <f t="shared" si="0"/>
        <v>"C:\Program Files (x86)\AstroGrep\AstroGrep.exe" /spath="%USERPROFILE%\AppData\Local\Temp\OnboardLogs" /stypes="*4004*201608291*" /stext=" 13:.+((SYSTEM_STATE.+slice.+state.+changed )|(ment ac)|(system.+state.+changed )|(\|lc)|(penalty)|(\[timeout)|(PRM\|1\|D)|(kpr)|(kdp))" /e /r /s</v>
      </c>
      <c r="S23" s="9" t="str">
        <f t="shared" si="1"/>
        <v>4004</v>
      </c>
      <c r="T23" s="38">
        <f t="shared" si="2"/>
        <v>42611.545254629629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{"issue":{"subject":"","project_id":79,"tracker_id":40,"status_id":1,"priority_id":2,"assigned_to_id":23,"start_date":"2016-08-29","description":"","custom_fields":[{"id":1,"name":"Subdivision","value":"EC"},{"id":4,"name":"Milepost","value":"0.0001"},{"id":17,"name":"Train ID","value":"116-29"},{"id":16,"name":"Locomotive ID","value":"4004"},{"id":130,"name":"Impact","value":""},{"id":150,"name":"Time of Event (Mountain Time)","value":"07:05:10"},{"id":151,"name":"Denver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42611.471921296295</v>
      </c>
      <c r="B24" s="33" t="s">
        <v>172</v>
      </c>
      <c r="C24" s="33" t="s">
        <v>434</v>
      </c>
      <c r="D24" s="33" t="s">
        <v>49</v>
      </c>
      <c r="E24" s="33" t="s">
        <v>50</v>
      </c>
      <c r="F24" s="49">
        <v>0</v>
      </c>
      <c r="G24" s="49">
        <v>40</v>
      </c>
      <c r="H24" s="49">
        <v>136</v>
      </c>
      <c r="I24" s="33" t="s">
        <v>51</v>
      </c>
      <c r="J24" s="49">
        <v>1</v>
      </c>
      <c r="K24" s="33" t="s">
        <v>53</v>
      </c>
      <c r="L24" s="92" t="str">
        <f>VLOOKUP(C24,'Trips&amp;Operators'!$C$1:$E$9999,3,0)</f>
        <v>SPECTOR</v>
      </c>
      <c r="M24" s="131" t="s">
        <v>86</v>
      </c>
      <c r="N24" s="10"/>
      <c r="O24" s="33"/>
      <c r="P24" s="108" t="str">
        <f>VLOOKUP(C24,'Train Runs'!$A$13:$AE$10014,31,0)</f>
        <v>aws s3 cp s3://rtdc.mdm.uploadarchive/RTDC4010/2016-08-29/ "%USERPROFILE%\AppData\Local\Temp\OnboardLogs"\RTDC4010\2016-08-29 --recursive &amp; "%USERPROFILE%\Documents\GitHub\mrs-test-scripts\Headless Mode &amp; Sideloading\WalkAndUnGZ.bat" "%USERPROFILE%\AppData\Local\Temp\OnboardLogs"\RTDC4010\2016-08-29 &amp; aws s3 cp s3://rtdc.mdm.uploadarchive/RTDC4010/2016-08-30/ "%USERPROFILE%\AppData\Local\Temp\OnboardLogs"\RTDC4010\2016-08-30 --recursive &amp; "%USERPROFILE%\Documents\GitHub\mrs-test-scripts\Headless Mode &amp; Sideloading\WalkAndUnGZ.bat" "%USERPROFILE%\AppData\Local\Temp\OnboardLogs"\RTDC4010\2016-08-30</v>
      </c>
      <c r="Q24" s="111" t="str">
        <f>VLOOKUP(C24,'Train Runs'!$A$13:$AE$10014,22,0)</f>
        <v>https://search-rtdc-monitor-bjffxe2xuh6vdkpspy63sjmuny.us-east-1.es.amazonaws.com/_plugin/kibana/#/discover/Steve-Slow-Train-Analysis-(2080s-and-2083s)?_g=(refreshInterval:(display:Off,section:0,value:0),time:(from:'2016-08-29 09:37:37-0600',mode:absolute,to:'2016-08-29 12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4" s="113" t="str">
        <f t="shared" si="0"/>
        <v>"C:\Program Files (x86)\AstroGrep\AstroGrep.exe" /spath="%USERPROFILE%\AppData\Local\Temp\OnboardLogs" /stypes="*4010*201608291*" /stext=" 17:.+((SYSTEM_STATE.+slice.+state.+changed )|(ment ac)|(system.+state.+changed )|(\|lc)|(penalty)|(\[timeout)|(PRM\|1\|D)|(kpr)|(kdp))" /e /r /s</v>
      </c>
      <c r="S24" s="9" t="str">
        <f t="shared" si="1"/>
        <v>4010</v>
      </c>
      <c r="T24" s="38">
        <f t="shared" si="2"/>
        <v>42611.721921296295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{"issue":{"subject":"","project_id":79,"tracker_id":40,"status_id":1,"priority_id":2,"assigned_to_id":23,"start_date":"2016-08-29","description":"","custom_fields":[{"id":1,"name":"Subdivision","value":"EC"},{"id":4,"name":"Milepost","value":"0.0001"},{"id":17,"name":"Train ID","value":"150-29"},{"id":16,"name":"Locomotive ID","value":"4010"},{"id":130,"name":"Impact","value":""},{"id":150,"name":"Time of Event (Mountain Time)","value":"11:19:34"},{"id":151,"name":"Denver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42611.57885416667</v>
      </c>
      <c r="B25" s="33" t="s">
        <v>254</v>
      </c>
      <c r="C25" s="33" t="s">
        <v>459</v>
      </c>
      <c r="D25" s="33" t="s">
        <v>49</v>
      </c>
      <c r="E25" s="33" t="s">
        <v>50</v>
      </c>
      <c r="F25" s="49">
        <v>0</v>
      </c>
      <c r="G25" s="49">
        <v>77</v>
      </c>
      <c r="H25" s="49">
        <v>303</v>
      </c>
      <c r="I25" s="33" t="s">
        <v>51</v>
      </c>
      <c r="J25" s="49">
        <v>1</v>
      </c>
      <c r="K25" s="33" t="s">
        <v>53</v>
      </c>
      <c r="L25" s="92" t="str">
        <f>VLOOKUP(C25,'Trips&amp;Operators'!$C$1:$E$9999,3,0)</f>
        <v>HELVIE</v>
      </c>
      <c r="M25" s="131" t="s">
        <v>86</v>
      </c>
      <c r="N25" s="10"/>
      <c r="O25" s="33"/>
      <c r="P25" s="108" t="str">
        <f>VLOOKUP(C25,'Train Runs'!$A$13:$AE$10014,31,0)</f>
        <v>aws s3 cp s3://rtdc.mdm.uploadarchive/RTDC4028/2016-08-29/ "%USERPROFILE%\AppData\Local\Temp\OnboardLogs"\RTDC4028\2016-08-29 --recursive &amp; "%USERPROFILE%\Documents\GitHub\mrs-test-scripts\Headless Mode &amp; Sideloading\WalkAndUnGZ.bat" "%USERPROFILE%\AppData\Local\Temp\OnboardLogs"\RTDC4028\2016-08-29 &amp; aws s3 cp s3://rtdc.mdm.uploadarchive/RTDC4028/2016-08-30/ "%USERPROFILE%\AppData\Local\Temp\OnboardLogs"\RTDC4028\2016-08-30 --recursive &amp; "%USERPROFILE%\Documents\GitHub\mrs-test-scripts\Headless Mode &amp; Sideloading\WalkAndUnGZ.bat" "%USERPROFILE%\AppData\Local\Temp\OnboardLogs"\RTDC4028\2016-08-30</v>
      </c>
      <c r="Q25" s="111" t="str">
        <f>VLOOKUP(C25,'Train Runs'!$A$13:$AE$10014,22,0)</f>
        <v>https://search-rtdc-monitor-bjffxe2xuh6vdkpspy63sjmuny.us-east-1.es.amazonaws.com/_plugin/kibana/#/discover/Steve-Slow-Train-Analysis-(2080s-and-2083s)?_g=(refreshInterval:(display:Off,section:0,value:0),time:(from:'2016-08-29 12:02:29-0600',mode:absolute,to:'2016-08-29 14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" s="113" t="str">
        <f t="shared" si="0"/>
        <v>"C:\Program Files (x86)\AstroGrep\AstroGrep.exe" /spath="%USERPROFILE%\AppData\Local\Temp\OnboardLogs" /stypes="*4028*201608291*" /stext=" 19:.+((SYSTEM_STATE.+slice.+state.+changed )|(ment ac)|(system.+state.+changed )|(\|lc)|(penalty)|(\[timeout)|(PRM\|1\|D)|(kpr)|(kdp))" /e /r /s</v>
      </c>
      <c r="S25" s="9" t="str">
        <f t="shared" si="1"/>
        <v>4028</v>
      </c>
      <c r="T25" s="38">
        <f t="shared" si="2"/>
        <v>42611.82885416667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{"issue":{"subject":"","project_id":79,"tracker_id":40,"status_id":1,"priority_id":2,"assigned_to_id":23,"start_date":"2016-08-29","description":"","custom_fields":[{"id":1,"name":"Subdivision","value":"EC"},{"id":4,"name":"Milepost","value":"0.0001"},{"id":17,"name":"Train ID","value":"170-29"},{"id":16,"name":"Locomotive ID","value":"4028"},{"id":130,"name":"Impact","value":""},{"id":150,"name":"Time of Event (Mountain Time)","value":"13:53:33"},{"id":151,"name":"Denver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42611.681840277779</v>
      </c>
      <c r="B26" s="33" t="s">
        <v>92</v>
      </c>
      <c r="C26" s="33" t="s">
        <v>485</v>
      </c>
      <c r="D26" s="33" t="s">
        <v>49</v>
      </c>
      <c r="E26" s="33" t="s">
        <v>50</v>
      </c>
      <c r="F26" s="49">
        <v>0</v>
      </c>
      <c r="G26" s="49">
        <v>55</v>
      </c>
      <c r="H26" s="49">
        <v>169</v>
      </c>
      <c r="I26" s="33" t="s">
        <v>51</v>
      </c>
      <c r="J26" s="49">
        <v>1</v>
      </c>
      <c r="K26" s="33" t="s">
        <v>53</v>
      </c>
      <c r="L26" s="92" t="str">
        <f>VLOOKUP(C26,'Trips&amp;Operators'!$C$1:$E$9999,3,0)</f>
        <v>BARTLETT</v>
      </c>
      <c r="M26" s="131" t="s">
        <v>86</v>
      </c>
      <c r="N26" s="10"/>
      <c r="O26" s="33"/>
      <c r="P26" s="108" t="str">
        <f>VLOOKUP(C26,'Train Runs'!$A$13:$AE$10014,31,0)</f>
        <v>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 &amp; aws s3 cp s3://rtdc.mdm.uploadarchive/RTDC4030/2016-08-30/ "%USERPROFILE%\AppData\Local\Temp\OnboardLogs"\RTDC4030\2016-08-30 --recursive &amp; "%USERPROFILE%\Documents\GitHub\mrs-test-scripts\Headless Mode &amp; Sideloading\WalkAndUnGZ.bat" "%USERPROFILE%\AppData\Local\Temp\OnboardLogs"\RTDC4030\2016-08-30</v>
      </c>
      <c r="Q26" s="111" t="str">
        <f>VLOOKUP(C26,'Train Runs'!$A$13:$AE$10014,22,0)</f>
        <v>https://search-rtdc-monitor-bjffxe2xuh6vdkpspy63sjmuny.us-east-1.es.amazonaws.com/_plugin/kibana/#/discover/Steve-Slow-Train-Analysis-(2080s-and-2083s)?_g=(refreshInterval:(display:Off,section:0,value:0),time:(from:'2016-08-29 14:24:58-0600',mode:absolute,to:'2016-08-29 17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" s="113" t="str">
        <f t="shared" si="0"/>
        <v>"C:\Program Files (x86)\AstroGrep\AstroGrep.exe" /spath="%USERPROFILE%\AppData\Local\Temp\OnboardLogs" /stypes="*4030*201608292*" /stext=" 22:.+((SYSTEM_STATE.+slice.+state.+changed )|(ment ac)|(system.+state.+changed )|(\|lc)|(penalty)|(\[timeout)|(PRM\|1\|D)|(kpr)|(kdp))" /e /r /s</v>
      </c>
      <c r="S26" s="9" t="str">
        <f t="shared" si="1"/>
        <v>4030</v>
      </c>
      <c r="T26" s="38">
        <f t="shared" si="2"/>
        <v>42611.931840277779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{"issue":{"subject":"","project_id":79,"tracker_id":40,"status_id":1,"priority_id":2,"assigned_to_id":23,"start_date":"2016-08-29","description":"","custom_fields":[{"id":1,"name":"Subdivision","value":"EC"},{"id":4,"name":"Milepost","value":"0.0001"},{"id":17,"name":"Train ID","value":"190-29"},{"id":16,"name":"Locomotive ID","value":"4030"},{"id":130,"name":"Impact","value":""},{"id":150,"name":"Time of Event (Mountain Time)","value":"16:21:51"},{"id":151,"name":"Denver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42611.785173611112</v>
      </c>
      <c r="B27" s="33" t="s">
        <v>389</v>
      </c>
      <c r="C27" s="33" t="s">
        <v>530</v>
      </c>
      <c r="D27" s="33" t="s">
        <v>49</v>
      </c>
      <c r="E27" s="33" t="s">
        <v>265</v>
      </c>
      <c r="F27" s="49">
        <v>290</v>
      </c>
      <c r="G27" s="49">
        <v>475</v>
      </c>
      <c r="H27" s="49">
        <v>17175</v>
      </c>
      <c r="I27" s="33" t="s">
        <v>264</v>
      </c>
      <c r="J27" s="49">
        <v>15777</v>
      </c>
      <c r="K27" s="33" t="s">
        <v>53</v>
      </c>
      <c r="L27" s="92" t="str">
        <f>VLOOKUP(C27,'Trips&amp;Operators'!$C$1:$E$9999,3,0)</f>
        <v>ROBINSON</v>
      </c>
      <c r="M27" s="131" t="s">
        <v>86</v>
      </c>
      <c r="N27" s="10" t="s">
        <v>359</v>
      </c>
      <c r="O27" s="33"/>
      <c r="P27" s="108" t="str">
        <f>VLOOKUP(C27,'Train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27" s="111" t="str">
        <f>VLOOKUP(C27,'Train Runs'!$A$13:$AE$10014,22,0)</f>
        <v>https://search-rtdc-monitor-bjffxe2xuh6vdkpspy63sjmuny.us-east-1.es.amazonaws.com/_plugin/kibana/#/discover/Steve-Slow-Train-Analysis-(2080s-and-2083s)?_g=(refreshInterval:(display:Off,section:0,value:0),time:(from:'2016-08-29 17:36:29-0600',mode:absolute,to:'2016-08-29 19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7" s="113" t="str">
        <f t="shared" si="0"/>
        <v>"C:\Program Files (x86)\AstroGrep\AstroGrep.exe" /spath="%USERPROFILE%\AppData\Local\Temp\OnboardLogs" /stypes="*4017*201608300*" /stext=" 00:.+((SYSTEM_STATE.+slice.+state.+changed )|(ment ac)|(system.+state.+changed )|(\|lc)|(penalty)|(\[timeout)|(PRM\|1\|D)|(kpr)|(kdp))" /e /r /s</v>
      </c>
      <c r="S27" s="9" t="str">
        <f t="shared" si="1"/>
        <v>4017</v>
      </c>
      <c r="T27" s="38">
        <f t="shared" si="2"/>
        <v>42612.035173611112</v>
      </c>
      <c r="U27" s="52" t="str">
        <f t="shared" si="3"/>
        <v>NW</v>
      </c>
      <c r="V27" s="52" t="str">
        <f t="shared" si="4"/>
        <v>KEEP</v>
      </c>
      <c r="W27" s="149" t="str">
        <f t="shared" si="5"/>
        <v>echo {"issue":{"subject":"Early arrival","project_id":79,"tracker_id":40,"status_id":1,"priority_id":2,"assigned_to_id":23,"start_date":"2016-08-29","description":"","custom_fields":[{"id":1,"name":"Subdivision","value":"NW"},{"id":4,"name":"Milepost","value":"1.5777"},{"id":17,"name":"Train ID","value":"838-29"},{"id":16,"name":"Locomotive ID","value":"4017"},{"id":130,"name":"Impact","value":""},{"id":150,"name":"Time of Event (Mountain Time)","value":"18:50:39"},{"id":151,"name":"Denver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42611.747870370367</v>
      </c>
      <c r="B28" s="33" t="s">
        <v>112</v>
      </c>
      <c r="C28" s="33" t="s">
        <v>515</v>
      </c>
      <c r="D28" s="33" t="s">
        <v>49</v>
      </c>
      <c r="E28" s="33" t="s">
        <v>56</v>
      </c>
      <c r="F28" s="49">
        <v>300</v>
      </c>
      <c r="G28" s="49">
        <v>405</v>
      </c>
      <c r="H28" s="49">
        <v>19371</v>
      </c>
      <c r="I28" s="33" t="s">
        <v>57</v>
      </c>
      <c r="J28" s="49">
        <v>21299</v>
      </c>
      <c r="K28" s="33" t="s">
        <v>52</v>
      </c>
      <c r="L28" s="92" t="str">
        <f>VLOOKUP(C28,'Trips&amp;Operators'!$C$1:$E$9999,3,0)</f>
        <v>COOLAHAN</v>
      </c>
      <c r="M28" s="131" t="s">
        <v>86</v>
      </c>
      <c r="N28" s="10"/>
      <c r="O28" s="33"/>
      <c r="P28" s="108" t="str">
        <f>VLOOKUP(C28,'Train Runs'!$A$13:$AE$10014,31,0)</f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Q28" s="111" t="str">
        <f>VLOOKUP(C28,'Train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16:46:53-0600',mode:absolute,to:'2016-08-29 19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8" s="113" t="str">
        <f t="shared" si="0"/>
        <v>"C:\Program Files (x86)\AstroGrep\AstroGrep.exe" /spath="%USERPROFILE%\AppData\Local\Temp\OnboardLogs" /stypes="*4014*201608292*" /stext=" 23:.+((SYSTEM_STATE.+slice.+state.+changed )|(ment ac)|(system.+state.+changed )|(\|lc)|(penalty)|(\[timeout)|(PRM\|1\|D)|(kpr)|(kdp))" /e /r /s</v>
      </c>
      <c r="S28" s="9" t="str">
        <f t="shared" si="1"/>
        <v>4014</v>
      </c>
      <c r="T28" s="38">
        <f t="shared" si="2"/>
        <v>42611.997870370367</v>
      </c>
      <c r="U28" s="52" t="str">
        <f t="shared" si="3"/>
        <v>NW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{"issue":{"subject":"","project_id":79,"tracker_id":40,"status_id":1,"priority_id":2,"assigned_to_id":23,"start_date":"2016-08-29","description":"","custom_fields":[{"id":1,"name":"Subdivision","value":"NW"},{"id":4,"name":"Milepost","value":"2.1299"},{"id":17,"name":"Train ID","value":"835-29"},{"id":16,"name":"Locomotive ID","value":"4014"},{"id":130,"name":"Impact","value":""},{"id":150,"name":"Time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42611.783206018517</v>
      </c>
      <c r="B29" s="33" t="s">
        <v>389</v>
      </c>
      <c r="C29" s="33" t="s">
        <v>530</v>
      </c>
      <c r="D29" s="33" t="s">
        <v>111</v>
      </c>
      <c r="E29" s="33" t="s">
        <v>56</v>
      </c>
      <c r="F29" s="49">
        <v>600</v>
      </c>
      <c r="G29" s="49">
        <v>651</v>
      </c>
      <c r="H29" s="49">
        <v>30665</v>
      </c>
      <c r="I29" s="33" t="s">
        <v>57</v>
      </c>
      <c r="J29" s="49">
        <v>36535</v>
      </c>
      <c r="K29" s="33" t="s">
        <v>53</v>
      </c>
      <c r="L29" s="92" t="str">
        <f>VLOOKUP(C29,'Trips&amp;Operators'!$C$1:$E$9999,3,0)</f>
        <v>ROBINSON</v>
      </c>
      <c r="M29" s="131" t="s">
        <v>86</v>
      </c>
      <c r="N29" s="10"/>
      <c r="O29" s="33"/>
      <c r="P29" s="108" t="str">
        <f>VLOOKUP(C29,'Train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29" s="111" t="str">
        <f>VLOOKUP(C29,'Train Runs'!$A$13:$AE$10014,22,0)</f>
        <v>https://search-rtdc-monitor-bjffxe2xuh6vdkpspy63sjmuny.us-east-1.es.amazonaws.com/_plugin/kibana/#/discover/Steve-Slow-Train-Analysis-(2080s-and-2083s)?_g=(refreshInterval:(display:Off,section:0,value:0),time:(from:'2016-08-29 17:36:29-0600',mode:absolute,to:'2016-08-29 19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9" s="113" t="str">
        <f t="shared" si="0"/>
        <v>"C:\Program Files (x86)\AstroGrep\AstroGrep.exe" /spath="%USERPROFILE%\AppData\Local\Temp\OnboardLogs" /stypes="*4017*201608300*" /stext=" 00:.+((SYSTEM_STATE.+slice.+state.+changed )|(ment ac)|(system.+state.+changed )|(\|lc)|(penalty)|(\[timeout)|(PRM\|1\|D)|(kpr)|(kdp))" /e /r /s</v>
      </c>
      <c r="S29" s="9" t="str">
        <f t="shared" si="1"/>
        <v>4017</v>
      </c>
      <c r="T29" s="38">
        <f t="shared" si="2"/>
        <v>42612.033206018517</v>
      </c>
      <c r="U29" s="52" t="str">
        <f t="shared" si="3"/>
        <v>NW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{"issue":{"subject":"","project_id":79,"tracker_id":40,"status_id":1,"priority_id":2,"assigned_to_id":23,"start_date":"2016-08-29","description":"","custom_fields":[{"id":1,"name":"Subdivision","value":"NW"},{"id":4,"name":"Milepost","value":"3.6535"},{"id":17,"name":"Train ID","value":"838-29"},{"id":16,"name":"Locomotive ID","value":"4017"},{"id":130,"name":"Impact","value":""},{"id":150,"name":"Time of Event (Mountain Time)","value":"18:47:49"},{"id":151,"name":"Denver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42611.606273148151</v>
      </c>
      <c r="B30" s="33" t="s">
        <v>382</v>
      </c>
      <c r="C30" s="33" t="s">
        <v>472</v>
      </c>
      <c r="D30" s="33" t="s">
        <v>49</v>
      </c>
      <c r="E30" s="33" t="s">
        <v>56</v>
      </c>
      <c r="F30" s="49">
        <v>150</v>
      </c>
      <c r="G30" s="49">
        <v>279</v>
      </c>
      <c r="H30" s="49">
        <v>56405</v>
      </c>
      <c r="I30" s="33" t="s">
        <v>57</v>
      </c>
      <c r="J30" s="49">
        <v>57008</v>
      </c>
      <c r="K30" s="33" t="s">
        <v>52</v>
      </c>
      <c r="L30" s="92" t="str">
        <f>VLOOKUP(C30,'Trips&amp;Operators'!$C$1:$E$9999,3,0)</f>
        <v>ROBINSON</v>
      </c>
      <c r="M30" s="131" t="s">
        <v>86</v>
      </c>
      <c r="N30" s="10"/>
      <c r="O30" s="33"/>
      <c r="P30" s="108" t="str">
        <f>VLOOKUP(C30,'Train Runs'!$A$13:$AE$10014,31,0)</f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Q30" s="111" t="str">
        <f>VLOOKUP(C30,'Train Runs'!$A$13:$AE$10014,22,0)</f>
        <v>https://search-rtdc-monitor-bjffxe2xuh6vdkpspy63sjmuny.us-east-1.es.amazonaws.com/_plugin/kibana/#/discover/Steve-Slow-Train-Analysis-(2080s-and-2083s)?_g=(refreshInterval:(display:Off,section:0,value:0),time:(from:'2016-08-29 13:12:50-0600',mode:absolute,to:'2016-08-29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30" s="113" t="str">
        <f t="shared" si="0"/>
        <v>"C:\Program Files (x86)\AstroGrep\AstroGrep.exe" /spath="%USERPROFILE%\AppData\Local\Temp\OnboardLogs" /stypes="*4018*201608292*" /stext=" 20:.+((SYSTEM_STATE.+slice.+state.+changed )|(ment ac)|(system.+state.+changed )|(\|lc)|(penalty)|(\[timeout)|(PRM\|1\|D)|(kpr)|(kdp))" /e /r /s</v>
      </c>
      <c r="S30" s="9" t="str">
        <f t="shared" si="1"/>
        <v>4018</v>
      </c>
      <c r="T30" s="38">
        <f t="shared" si="2"/>
        <v>42611.856273148151</v>
      </c>
      <c r="U30" s="52" t="str">
        <f t="shared" si="3"/>
        <v>NW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{"issue":{"subject":"","project_id":79,"tracker_id":40,"status_id":1,"priority_id":2,"assigned_to_id":23,"start_date":"2016-08-29","description":"","custom_fields":[{"id":1,"name":"Subdivision","value":"NW"},{"id":4,"name":"Milepost","value":"5.7008"},{"id":17,"name":"Train ID","value":"823-29"},{"id":16,"name":"Locomotive ID","value":"4018"},{"id":130,"name":"Impact","value":""},{"id":150,"name":"Time of Event (Mountain Time)","value":"14:33:02"},{"id":151,"name":"Denver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42611.82608796296</v>
      </c>
      <c r="B31" s="33" t="s">
        <v>389</v>
      </c>
      <c r="C31" s="33" t="s">
        <v>540</v>
      </c>
      <c r="D31" s="33" t="s">
        <v>49</v>
      </c>
      <c r="E31" s="33" t="s">
        <v>54</v>
      </c>
      <c r="F31" s="49">
        <v>0</v>
      </c>
      <c r="G31" s="49">
        <v>234</v>
      </c>
      <c r="H31" s="49">
        <v>20098</v>
      </c>
      <c r="I31" s="33" t="s">
        <v>55</v>
      </c>
      <c r="J31" s="49">
        <v>19000</v>
      </c>
      <c r="K31" s="33" t="s">
        <v>53</v>
      </c>
      <c r="L31" s="92" t="str">
        <f>VLOOKUP(C31,'Trips&amp;Operators'!$C$1:$E$9999,3,0)</f>
        <v>ROBINSON</v>
      </c>
      <c r="M31" s="131" t="s">
        <v>86</v>
      </c>
      <c r="N31" s="10" t="s">
        <v>718</v>
      </c>
      <c r="O31" s="33"/>
      <c r="P31" s="108" t="str">
        <f>VLOOKUP(C31,'Train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31" s="111" t="str">
        <f>VLOOKUP(C31,'Train Runs'!$A$13:$AE$10014,22,0)</f>
        <v>https://search-rtdc-monitor-bjffxe2xuh6vdkpspy63sjmuny.us-east-1.es.amazonaws.com/_plugin/kibana/#/discover/Steve-Slow-Train-Analysis-(2080s-and-2083s)?_g=(refreshInterval:(display:Off,section:0,value:0),time:(from:'2016-08-29 18:36:11-0600',mode:absolute,to:'2016-08-29 20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1" s="113" t="str">
        <f t="shared" si="0"/>
        <v>"C:\Program Files (x86)\AstroGrep\AstroGrep.exe" /spath="%USERPROFILE%\AppData\Local\Temp\OnboardLogs" /stypes="*4017*201608300*" /stext=" 01:.+((SYSTEM_STATE.+slice.+state.+changed )|(ment ac)|(system.+state.+changed )|(\|lc)|(penalty)|(\[timeout)|(PRM\|1\|D)|(kpr)|(kdp))" /e /r /s</v>
      </c>
      <c r="S31" s="9" t="str">
        <f t="shared" si="1"/>
        <v>4017</v>
      </c>
      <c r="T31" s="38">
        <f t="shared" si="2"/>
        <v>42612.07608796296</v>
      </c>
      <c r="U31" s="52" t="str">
        <f t="shared" si="3"/>
        <v>NW</v>
      </c>
      <c r="V31" s="52" t="str">
        <f t="shared" si="4"/>
        <v>KEEP</v>
      </c>
      <c r="W31" s="149" t="str">
        <f t="shared" si="5"/>
        <v>echo {"issue":{"subject":"Overspeed","project_id":79,"tracker_id":40,"status_id":1,"priority_id":2,"assigned_to_id":23,"start_date":"2016-08-29","description":"","custom_fields":[{"id":1,"name":"Subdivision","value":"NW"},{"id":4,"name":"Milepost","value":"1.9"},{"id":17,"name":"Train ID","value":"840-29"},{"id":16,"name":"Locomotive ID","value":"4017"},{"id":130,"name":"Impact","value":""},{"id":150,"name":"Time of Event (Mountain Time)","value":"19:49:34"},{"id":151,"name":"Denver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42611.489594907405</v>
      </c>
      <c r="B32" s="33" t="s">
        <v>389</v>
      </c>
      <c r="C32" s="33" t="s">
        <v>442</v>
      </c>
      <c r="D32" s="33" t="s">
        <v>111</v>
      </c>
      <c r="E32" s="33" t="s">
        <v>54</v>
      </c>
      <c r="F32" s="49">
        <v>200</v>
      </c>
      <c r="G32" s="49">
        <v>250</v>
      </c>
      <c r="H32" s="49">
        <v>52752</v>
      </c>
      <c r="I32" s="33" t="s">
        <v>55</v>
      </c>
      <c r="J32" s="49">
        <v>58472</v>
      </c>
      <c r="K32" s="33" t="s">
        <v>53</v>
      </c>
      <c r="L32" s="92" t="str">
        <f>VLOOKUP(C32,'Trips&amp;Operators'!$C$1:$E$9999,3,0)</f>
        <v>SANTIZO</v>
      </c>
      <c r="M32" s="131" t="s">
        <v>86</v>
      </c>
      <c r="N32" s="10" t="s">
        <v>718</v>
      </c>
      <c r="O32" s="33"/>
      <c r="P32" s="108" t="str">
        <f>VLOOKUP(C32,'Train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32" s="111" t="str">
        <f>VLOOKUP(C32,'Train Runs'!$A$13:$AE$10014,22,0)</f>
        <v>https://search-rtdc-monitor-bjffxe2xuh6vdkpspy63sjmuny.us-east-1.es.amazonaws.com/_plugin/kibana/#/discover/Steve-Slow-Train-Analysis-(2080s-and-2083s)?_g=(refreshInterval:(display:Off,section:0,value:0),time:(from:'2016-08-29 10:36:18-0600',mode:absolute,to:'2016-08-29 12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2" s="113" t="str">
        <f t="shared" si="0"/>
        <v>"C:\Program Files (x86)\AstroGrep\AstroGrep.exe" /spath="%USERPROFILE%\AppData\Local\Temp\OnboardLogs" /stypes="*4017*201608291*" /stext=" 17:.+((SYSTEM_STATE.+slice.+state.+changed )|(ment ac)|(system.+state.+changed )|(\|lc)|(penalty)|(\[timeout)|(PRM\|1\|D)|(kpr)|(kdp))" /e /r /s</v>
      </c>
      <c r="S32" s="9" t="str">
        <f t="shared" si="1"/>
        <v>4017</v>
      </c>
      <c r="T32" s="38">
        <f t="shared" si="2"/>
        <v>42611.739594907405</v>
      </c>
      <c r="U32" s="52" t="str">
        <f t="shared" si="3"/>
        <v>NW</v>
      </c>
      <c r="V32" s="52" t="str">
        <f t="shared" si="4"/>
        <v>KEEP</v>
      </c>
      <c r="W32" s="149" t="str">
        <f t="shared" si="5"/>
        <v>echo {"issue":{"subject":"Overspeed","project_id":79,"tracker_id":40,"status_id":1,"priority_id":2,"assigned_to_id":23,"start_date":"2016-08-29","description":"","custom_fields":[{"id":1,"name":"Subdivision","value":"NW"},{"id":4,"name":"Milepost","value":"5.8472"},{"id":17,"name":"Train ID","value":"818-29"},{"id":16,"name":"Locomotive ID","value":"4017"},{"id":130,"name":"Impact","value":""},{"id":150,"name":"Time of Event (Mountain Time)","value":"11:45:01"},{"id":151,"name":"Denver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42611.350821759261</v>
      </c>
      <c r="B33" s="33" t="s">
        <v>90</v>
      </c>
      <c r="C33" s="33" t="s">
        <v>408</v>
      </c>
      <c r="D33" s="33" t="s">
        <v>49</v>
      </c>
      <c r="E33" s="33" t="s">
        <v>50</v>
      </c>
      <c r="F33" s="49">
        <v>0</v>
      </c>
      <c r="G33" s="49">
        <v>68</v>
      </c>
      <c r="H33" s="49">
        <v>243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DAVIS</v>
      </c>
      <c r="M33" s="131" t="s">
        <v>86</v>
      </c>
      <c r="N33" s="10"/>
      <c r="O33" s="33"/>
      <c r="P33" s="108" t="str">
        <f>VLOOKUP(C33,'Train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33" s="111" t="str">
        <f>VLOOKUP(C33,'Train Runs'!$A$13:$AE$10014,22,0)</f>
        <v>https://search-rtdc-monitor-bjffxe2xuh6vdkpspy63sjmuny.us-east-1.es.amazonaws.com/_plugin/kibana/#/discover/Steve-Slow-Train-Analysis-(2080s-and-2083s)?_g=(refreshInterval:(display:Off,section:0,value:0),time:(from:'2016-08-29 07:05:35-0600',mode:absolute,to:'2016-08-29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13" t="str">
        <f t="shared" si="0"/>
        <v>"C:\Program Files (x86)\AstroGrep\AstroGrep.exe" /spath="%USERPROFILE%\AppData\Local\Temp\OnboardLogs" /stypes="*4013*201608291*" /stext=" 14:.+((SYSTEM_STATE.+slice.+state.+changed )|(ment ac)|(system.+state.+changed )|(\|lc)|(penalty)|(\[timeout)|(PRM\|1\|D)|(kpr)|(kdp))" /e /r /s</v>
      </c>
      <c r="S33" s="9" t="str">
        <f t="shared" si="1"/>
        <v>4013</v>
      </c>
      <c r="T33" s="38">
        <f t="shared" si="2"/>
        <v>42611.600821759261</v>
      </c>
      <c r="U33" s="52" t="str">
        <f t="shared" si="3"/>
        <v>NW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{"issue":{"subject":"","project_id":79,"tracker_id":40,"status_id":1,"priority_id":2,"assigned_to_id":23,"start_date":"2016-08-29","description":"","custom_fields":[{"id":1,"name":"Subdivision","value":"NW"},{"id":4,"name":"Milepost","value":"0.0001"},{"id":17,"name":"Train ID","value":"810-29"},{"id":16,"name":"Locomotive ID","value":"4013"},{"id":130,"name":"Impact","value":""},{"id":150,"name":"Time of Event (Mountain Time)","value":"08:25:11"},{"id":151,"name":"Denver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42611.226574074077</v>
      </c>
      <c r="B34" s="33" t="s">
        <v>90</v>
      </c>
      <c r="C34" s="33" t="s">
        <v>371</v>
      </c>
      <c r="D34" s="33" t="s">
        <v>49</v>
      </c>
      <c r="E34" s="33" t="s">
        <v>50</v>
      </c>
      <c r="F34" s="49">
        <v>0</v>
      </c>
      <c r="G34" s="49">
        <v>40</v>
      </c>
      <c r="H34" s="49">
        <v>692</v>
      </c>
      <c r="I34" s="33" t="s">
        <v>51</v>
      </c>
      <c r="J34" s="49">
        <v>575</v>
      </c>
      <c r="K34" s="33" t="s">
        <v>53</v>
      </c>
      <c r="L34" s="92" t="str">
        <f>VLOOKUP(C34,'Trips&amp;Operators'!$C$1:$E$9999,3,0)</f>
        <v>DAVIS</v>
      </c>
      <c r="M34" s="131" t="s">
        <v>86</v>
      </c>
      <c r="N34" s="10"/>
      <c r="O34" s="33"/>
      <c r="P34" s="108" t="str">
        <f>VLOOKUP(C34,'Train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34" s="111" t="str">
        <f>VLOOKUP(C34,'Train Runs'!$A$13:$AE$10014,22,0)</f>
        <v>https://search-rtdc-monitor-bjffxe2xuh6vdkpspy63sjmuny.us-east-1.es.amazonaws.com/_plugin/kibana/#/discover/Steve-Slow-Train-Analysis-(2080s-and-2083s)?_g=(refreshInterval:(display:Off,section:0,value:0),time:(from:'2016-08-29 04:07:26-0600',mode:absolute,to:'2016-08-29 06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4" s="113" t="str">
        <f t="shared" si="0"/>
        <v>"C:\Program Files (x86)\AstroGrep\AstroGrep.exe" /spath="%USERPROFILE%\AppData\Local\Temp\OnboardLogs" /stypes="*4013*201608291*" /stext=" 11:.+((SYSTEM_STATE.+slice.+state.+changed )|(ment ac)|(system.+state.+changed )|(\|lc)|(penalty)|(\[timeout)|(PRM\|1\|D)|(kpr)|(kdp))" /e /r /s</v>
      </c>
      <c r="S34" s="9" t="str">
        <f t="shared" si="1"/>
        <v>4013</v>
      </c>
      <c r="T34" s="38">
        <f t="shared" si="2"/>
        <v>42611.476574074077</v>
      </c>
      <c r="U34" s="52" t="str">
        <f t="shared" si="3"/>
        <v>NW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ID","value":"800-29"},{"id":16,"name":"Locomotive ID","value":"4013"},{"id":130,"name":"Impact","value":""},{"id":150,"name":"Time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42611.268865740742</v>
      </c>
      <c r="B35" s="33" t="s">
        <v>90</v>
      </c>
      <c r="C35" s="33" t="s">
        <v>380</v>
      </c>
      <c r="D35" s="33" t="s">
        <v>49</v>
      </c>
      <c r="E35" s="33" t="s">
        <v>50</v>
      </c>
      <c r="F35" s="49">
        <v>0</v>
      </c>
      <c r="G35" s="49">
        <v>35</v>
      </c>
      <c r="H35" s="49">
        <v>671</v>
      </c>
      <c r="I35" s="33" t="s">
        <v>51</v>
      </c>
      <c r="J35" s="49">
        <v>575</v>
      </c>
      <c r="K35" s="33" t="s">
        <v>53</v>
      </c>
      <c r="L35" s="92" t="str">
        <f>VLOOKUP(C35,'Trips&amp;Operators'!$C$1:$E$9999,3,0)</f>
        <v>DAVIS</v>
      </c>
      <c r="M35" s="131" t="s">
        <v>86</v>
      </c>
      <c r="N35" s="10"/>
      <c r="O35" s="33"/>
      <c r="P35" s="108" t="str">
        <f>VLOOKUP(C35,'Train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35" s="111" t="str">
        <f>VLOOKUP(C35,'Train Runs'!$A$13:$AE$10014,22,0)</f>
        <v>https://search-rtdc-monitor-bjffxe2xuh6vdkpspy63sjmuny.us-east-1.es.amazonaws.com/_plugin/kibana/#/discover/Steve-Slow-Train-Analysis-(2080s-and-2083s)?_g=(refreshInterval:(display:Off,section:0,value:0),time:(from:'2016-08-29 05:07:53-0600',mode:absolute,to:'2016-08-29 07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5" s="113" t="str">
        <f t="shared" si="0"/>
        <v>"C:\Program Files (x86)\AstroGrep\AstroGrep.exe" /spath="%USERPROFILE%\AppData\Local\Temp\OnboardLogs" /stypes="*4013*201608291*" /stext=" 12:.+((SYSTEM_STATE.+slice.+state.+changed )|(ment ac)|(system.+state.+changed )|(\|lc)|(penalty)|(\[timeout)|(PRM\|1\|D)|(kpr)|(kdp))" /e /r /s</v>
      </c>
      <c r="S35" s="9" t="str">
        <f t="shared" si="1"/>
        <v>4013</v>
      </c>
      <c r="T35" s="38">
        <f t="shared" si="2"/>
        <v>42611.518865740742</v>
      </c>
      <c r="U35" s="52" t="str">
        <f t="shared" si="3"/>
        <v>NW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ID","value":"802-29"},{"id":16,"name":"Locomotive ID","value":"4013"},{"id":130,"name":"Impact","value":""},{"id":150,"name":"Time of Event (Mountain Time)","value":"06:27:10"},{"id":151,"name":"Denver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42611.309745370374</v>
      </c>
      <c r="B36" s="33" t="s">
        <v>90</v>
      </c>
      <c r="C36" s="33" t="s">
        <v>396</v>
      </c>
      <c r="D36" s="33" t="s">
        <v>49</v>
      </c>
      <c r="E36" s="33" t="s">
        <v>50</v>
      </c>
      <c r="F36" s="49">
        <v>0</v>
      </c>
      <c r="G36" s="49">
        <v>38</v>
      </c>
      <c r="H36" s="49">
        <v>694</v>
      </c>
      <c r="I36" s="33" t="s">
        <v>51</v>
      </c>
      <c r="J36" s="49">
        <v>575</v>
      </c>
      <c r="K36" s="33" t="s">
        <v>53</v>
      </c>
      <c r="L36" s="92" t="str">
        <f>VLOOKUP(C36,'Trips&amp;Operators'!$C$1:$E$9999,3,0)</f>
        <v>DAVIS</v>
      </c>
      <c r="M36" s="131" t="s">
        <v>86</v>
      </c>
      <c r="N36" s="10"/>
      <c r="O36" s="33"/>
      <c r="P36" s="108" t="str">
        <f>VLOOKUP(C36,'Train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36" s="111" t="str">
        <f>VLOOKUP(C36,'Train Runs'!$A$13:$AE$10014,22,0)</f>
        <v>https://search-rtdc-monitor-bjffxe2xuh6vdkpspy63sjmuny.us-east-1.es.amazonaws.com/_plugin/kibana/#/discover/Steve-Slow-Train-Analysis-(2080s-and-2083s)?_g=(refreshInterval:(display:Off,section:0,value:0),time:(from:'2016-08-29 06:06:22-0600',mode:absolute,to:'2016-08-29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6" s="113" t="str">
        <f t="shared" si="0"/>
        <v>"C:\Program Files (x86)\AstroGrep\AstroGrep.exe" /spath="%USERPROFILE%\AppData\Local\Temp\OnboardLogs" /stypes="*4013*201608291*" /stext=" 13:.+((SYSTEM_STATE.+slice.+state.+changed )|(ment ac)|(system.+state.+changed )|(\|lc)|(penalty)|(\[timeout)|(PRM\|1\|D)|(kpr)|(kdp))" /e /r /s</v>
      </c>
      <c r="S36" s="9" t="str">
        <f t="shared" si="1"/>
        <v>4013</v>
      </c>
      <c r="T36" s="38">
        <f t="shared" si="2"/>
        <v>42611.559745370374</v>
      </c>
      <c r="U36" s="52" t="str">
        <f t="shared" si="3"/>
        <v>NW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ID","value":"806-29"},{"id":16,"name":"Locomotive ID","value":"4013"},{"id":130,"name":"Impact","value":""},{"id":150,"name":"Time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42611.498680555553</v>
      </c>
      <c r="B37" s="33" t="s">
        <v>389</v>
      </c>
      <c r="C37" s="33" t="s">
        <v>442</v>
      </c>
      <c r="D37" s="33" t="s">
        <v>49</v>
      </c>
      <c r="E37" s="33" t="s">
        <v>50</v>
      </c>
      <c r="F37" s="49">
        <v>0</v>
      </c>
      <c r="G37" s="49">
        <v>41</v>
      </c>
      <c r="H37" s="49">
        <v>699</v>
      </c>
      <c r="I37" s="33" t="s">
        <v>51</v>
      </c>
      <c r="J37" s="49">
        <v>575</v>
      </c>
      <c r="K37" s="33" t="s">
        <v>53</v>
      </c>
      <c r="L37" s="92" t="str">
        <f>VLOOKUP(C37,'Trips&amp;Operators'!$C$1:$E$9999,3,0)</f>
        <v>SANTIZO</v>
      </c>
      <c r="M37" s="131" t="s">
        <v>86</v>
      </c>
      <c r="N37" s="10"/>
      <c r="O37" s="33"/>
      <c r="P37" s="108" t="str">
        <f>VLOOKUP(C37,'Train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37" s="111" t="str">
        <f>VLOOKUP(C37,'Train Runs'!$A$13:$AE$10014,22,0)</f>
        <v>https://search-rtdc-monitor-bjffxe2xuh6vdkpspy63sjmuny.us-east-1.es.amazonaws.com/_plugin/kibana/#/discover/Steve-Slow-Train-Analysis-(2080s-and-2083s)?_g=(refreshInterval:(display:Off,section:0,value:0),time:(from:'2016-08-29 10:36:18-0600',mode:absolute,to:'2016-08-29 12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7" s="113" t="str">
        <f t="shared" si="0"/>
        <v>"C:\Program Files (x86)\AstroGrep\AstroGrep.exe" /spath="%USERPROFILE%\AppData\Local\Temp\OnboardLogs" /stypes="*4017*201608291*" /stext=" 17:.+((SYSTEM_STATE.+slice.+state.+changed )|(ment ac)|(system.+state.+changed )|(\|lc)|(penalty)|(\[timeout)|(PRM\|1\|D)|(kpr)|(kdp))" /e /r /s</v>
      </c>
      <c r="S37" s="9" t="str">
        <f t="shared" si="1"/>
        <v>4017</v>
      </c>
      <c r="T37" s="38">
        <f t="shared" si="2"/>
        <v>42611.748680555553</v>
      </c>
      <c r="U37" s="52" t="str">
        <f t="shared" si="3"/>
        <v>NW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ID","value":"818-29"},{"id":16,"name":"Locomotive ID","value":"4017"},{"id":130,"name":"Impact","value":""},{"id":150,"name":"Time of Event (Mountain Time)","value":"11:58:06"},{"id":151,"name":"Denver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42611.621770833335</v>
      </c>
      <c r="B38" s="33" t="s">
        <v>389</v>
      </c>
      <c r="C38" s="33" t="s">
        <v>476</v>
      </c>
      <c r="D38" s="33" t="s">
        <v>49</v>
      </c>
      <c r="E38" s="33" t="s">
        <v>50</v>
      </c>
      <c r="F38" s="49">
        <v>0</v>
      </c>
      <c r="G38" s="49">
        <v>49</v>
      </c>
      <c r="H38" s="49">
        <v>715</v>
      </c>
      <c r="I38" s="33" t="s">
        <v>51</v>
      </c>
      <c r="J38" s="49">
        <v>575</v>
      </c>
      <c r="K38" s="33" t="s">
        <v>53</v>
      </c>
      <c r="L38" s="92" t="str">
        <f>VLOOKUP(C38,'Trips&amp;Operators'!$C$1:$E$9999,3,0)</f>
        <v>ROBINSON</v>
      </c>
      <c r="M38" s="131" t="s">
        <v>86</v>
      </c>
      <c r="N38" s="10"/>
      <c r="O38" s="33"/>
      <c r="P38" s="108" t="str">
        <f>VLOOKUP(C38,'Train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38" s="111" t="str">
        <f>VLOOKUP(C38,'Train Runs'!$A$13:$AE$10014,22,0)</f>
        <v>https://search-rtdc-monitor-bjffxe2xuh6vdkpspy63sjmuny.us-east-1.es.amazonaws.com/_plugin/kibana/#/discover/Steve-Slow-Train-Analysis-(2080s-and-2083s)?_g=(refreshInterval:(display:Off,section:0,value:0),time:(from:'2016-08-29 13:38:13-0600',mode:absolute,to:'2016-08-29 15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8" s="113" t="str">
        <f t="shared" si="0"/>
        <v>"C:\Program Files (x86)\AstroGrep\AstroGrep.exe" /spath="%USERPROFILE%\AppData\Local\Temp\OnboardLogs" /stypes="*4017*201608292*" /stext=" 20:.+((SYSTEM_STATE.+slice.+state.+changed )|(ment ac)|(system.+state.+changed )|(\|lc)|(penalty)|(\[timeout)|(PRM\|1\|D)|(kpr)|(kdp))" /e /r /s</v>
      </c>
      <c r="S38" s="9" t="str">
        <f t="shared" si="1"/>
        <v>4017</v>
      </c>
      <c r="T38" s="38">
        <f t="shared" si="2"/>
        <v>42611.871770833335</v>
      </c>
      <c r="U38" s="52" t="str">
        <f t="shared" si="3"/>
        <v>NW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ID","value":"824-29"},{"id":16,"name":"Locomotive ID","value":"4017"},{"id":130,"name":"Impact","value":""},{"id":150,"name":"Time of Event (Mountain Time)","value":"14:55:21"},{"id":151,"name":"Denver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42611.726284722223</v>
      </c>
      <c r="B39" s="33" t="s">
        <v>90</v>
      </c>
      <c r="C39" s="33" t="s">
        <v>506</v>
      </c>
      <c r="D39" s="33" t="s">
        <v>49</v>
      </c>
      <c r="E39" s="33" t="s">
        <v>50</v>
      </c>
      <c r="F39" s="49">
        <v>0</v>
      </c>
      <c r="G39" s="49">
        <v>47</v>
      </c>
      <c r="H39" s="49">
        <v>696</v>
      </c>
      <c r="I39" s="33" t="s">
        <v>51</v>
      </c>
      <c r="J39" s="49">
        <v>575</v>
      </c>
      <c r="K39" s="33" t="s">
        <v>53</v>
      </c>
      <c r="L39" s="92" t="str">
        <f>VLOOKUP(C39,'Trips&amp;Operators'!$C$1:$E$9999,3,0)</f>
        <v>COOLAHAN</v>
      </c>
      <c r="M39" s="131" t="s">
        <v>86</v>
      </c>
      <c r="N39" s="10"/>
      <c r="O39" s="33"/>
      <c r="P39" s="108" t="str">
        <f>VLOOKUP(C39,'Train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39" s="111" t="str">
        <f>VLOOKUP(C39,'Train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16:06:31-0600',mode:absolute,to:'2016-08-29 18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9" s="113" t="str">
        <f t="shared" si="0"/>
        <v>"C:\Program Files (x86)\AstroGrep\AstroGrep.exe" /spath="%USERPROFILE%\AppData\Local\Temp\OnboardLogs" /stypes="*4013*201608292*" /stext=" 23:.+((SYSTEM_STATE.+slice.+state.+changed )|(ment ac)|(system.+state.+changed )|(\|lc)|(penalty)|(\[timeout)|(PRM\|1\|D)|(kpr)|(kdp))" /e /r /s</v>
      </c>
      <c r="S39" s="9" t="str">
        <f t="shared" si="1"/>
        <v>4013</v>
      </c>
      <c r="T39" s="38">
        <f t="shared" si="2"/>
        <v>42611.976284722223</v>
      </c>
      <c r="U39" s="52" t="str">
        <f t="shared" si="3"/>
        <v>NW</v>
      </c>
      <c r="V39" s="52" t="str">
        <f t="shared" si="4"/>
        <v>KEEP</v>
      </c>
      <c r="W39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ID","value":"832-29"},{"id":16,"name":"Locomotive ID","value":"4013"},{"id":130,"name":"Impact","value":""},{"id":150,"name":"Time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42611.747256944444</v>
      </c>
      <c r="B40" s="33" t="s">
        <v>389</v>
      </c>
      <c r="C40" s="33" t="s">
        <v>513</v>
      </c>
      <c r="D40" s="33" t="s">
        <v>49</v>
      </c>
      <c r="E40" s="33" t="s">
        <v>50</v>
      </c>
      <c r="F40" s="49">
        <v>0</v>
      </c>
      <c r="G40" s="49">
        <v>37</v>
      </c>
      <c r="H40" s="49">
        <v>708</v>
      </c>
      <c r="I40" s="33" t="s">
        <v>51</v>
      </c>
      <c r="J40" s="49">
        <v>575</v>
      </c>
      <c r="K40" s="33" t="s">
        <v>53</v>
      </c>
      <c r="L40" s="92" t="str">
        <f>VLOOKUP(C40,'Trips&amp;Operators'!$C$1:$E$9999,3,0)</f>
        <v>ROBINSON</v>
      </c>
      <c r="M40" s="131" t="s">
        <v>86</v>
      </c>
      <c r="N40" s="10"/>
      <c r="O40" s="33"/>
      <c r="P40" s="108" t="str">
        <f>VLOOKUP(C40,'Train Runs'!$A$13:$AE$10014,31,0)</f>
        <v>aws s3 cp s3://rtdc.mdm.uploadarchive/RTDC4017/2016-08-29/ "%USERPROFILE%\AppData\Local\Temp\OnboardLogs"\RTDC4017\2016-08-29 --recursive &amp; "%USERPROFILE%\Documents\GitHub\mrs-test-scripts\Headless Mode &amp; Sideloading\WalkAndUnGZ.bat" "%USERPROFILE%\AppData\Local\Temp\OnboardLogs"\RTDC4017\2016-08-29 &amp; aws s3 cp s3://rtdc.mdm.uploadarchive/RTDC4017/2016-08-30/ "%USERPROFILE%\AppData\Local\Temp\OnboardLogs"\RTDC4017\2016-08-30 --recursive &amp; "%USERPROFILE%\Documents\GitHub\mrs-test-scripts\Headless Mode &amp; Sideloading\WalkAndUnGZ.bat" "%USERPROFILE%\AppData\Local\Temp\OnboardLogs"\RTDC4017\2016-08-30</v>
      </c>
      <c r="Q40" s="111" t="str">
        <f>VLOOKUP(C40,'Train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16:36:55-0600',mode:absolute,to:'2016-08-29 18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40" s="113" t="str">
        <f t="shared" si="0"/>
        <v>"C:\Program Files (x86)\AstroGrep\AstroGrep.exe" /spath="%USERPROFILE%\AppData\Local\Temp\OnboardLogs" /stypes="*4017*201608292*" /stext=" 23:.+((SYSTEM_STATE.+slice.+state.+changed )|(ment ac)|(system.+state.+changed )|(\|lc)|(penalty)|(\[timeout)|(PRM\|1\|D)|(kpr)|(kdp))" /e /r /s</v>
      </c>
      <c r="S40" s="9" t="str">
        <f t="shared" si="1"/>
        <v>4017</v>
      </c>
      <c r="T40" s="38">
        <f t="shared" si="2"/>
        <v>42611.997256944444</v>
      </c>
      <c r="U40" s="52" t="str">
        <f t="shared" si="3"/>
        <v>NW</v>
      </c>
      <c r="V40" s="52" t="str">
        <f t="shared" si="4"/>
        <v>KEEP</v>
      </c>
      <c r="W40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ID","value":"834-29"},{"id":16,"name":"Locomotive ID","value":"4017"},{"id":130,"name":"Impact","value":""},{"id":150,"name":"Time of Event (Mountain Time)","value":"17:56:03"},{"id":151,"name":"Denver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42611.768935185188</v>
      </c>
      <c r="B41" s="33" t="s">
        <v>90</v>
      </c>
      <c r="C41" s="33" t="s">
        <v>522</v>
      </c>
      <c r="D41" s="33" t="s">
        <v>49</v>
      </c>
      <c r="E41" s="33" t="s">
        <v>50</v>
      </c>
      <c r="F41" s="49">
        <v>0</v>
      </c>
      <c r="G41" s="49">
        <v>33</v>
      </c>
      <c r="H41" s="49">
        <v>666</v>
      </c>
      <c r="I41" s="33" t="s">
        <v>51</v>
      </c>
      <c r="J41" s="49">
        <v>575</v>
      </c>
      <c r="K41" s="33" t="s">
        <v>53</v>
      </c>
      <c r="L41" s="92" t="str">
        <f>VLOOKUP(C41,'Trips&amp;Operators'!$C$1:$E$9999,3,0)</f>
        <v>COOLAHAN</v>
      </c>
      <c r="M41" s="131" t="s">
        <v>86</v>
      </c>
      <c r="N41" s="10"/>
      <c r="O41" s="33"/>
      <c r="P41" s="108" t="str">
        <f>VLOOKUP(C41,'Train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41" s="111" t="str">
        <f>VLOOKUP(C41,'Train Runs'!$A$13:$AE$10014,22,0)</f>
        <v>https://search-rtdc-monitor-bjffxe2xuh6vdkpspy63sjmuny.us-east-1.es.amazonaws.com/_plugin/kibana/#/discover/Steve-Slow-Train-Analysis-(2080s-and-2083s)?_g=(refreshInterval:(display:Off,section:0,value:0),time:(from:'2016-08-29 17:07:10-0600',mode:absolute,to:'2016-08-29 19:27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41" s="113" t="str">
        <f t="shared" si="0"/>
        <v>"C:\Program Files (x86)\AstroGrep\AstroGrep.exe" /spath="%USERPROFILE%\AppData\Local\Temp\OnboardLogs" /stypes="*4013*201608300*" /stext=" 00:.+((SYSTEM_STATE.+slice.+state.+changed )|(ment ac)|(system.+state.+changed )|(\|lc)|(penalty)|(\[timeout)|(PRM\|1\|D)|(kpr)|(kdp))" /e /r /s</v>
      </c>
      <c r="S41" s="9" t="str">
        <f t="shared" si="1"/>
        <v>4013</v>
      </c>
      <c r="T41" s="38">
        <f t="shared" si="2"/>
        <v>42612.018935185188</v>
      </c>
      <c r="U41" s="52" t="str">
        <f t="shared" si="3"/>
        <v>NW</v>
      </c>
      <c r="V41" s="52" t="str">
        <f t="shared" si="4"/>
        <v>KEEP</v>
      </c>
      <c r="W41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{"issue":{"subject":"","project_id":79,"tracker_id":40,"status_id":1,"priority_id":2,"assigned_to_id":23,"start_date":"2016-08-29","description":"","custom_fields":[{"id":1,"name":"Subdivision","value":"NW"},{"id":4,"name":"Milepost","value":"0.0575"},{"id":17,"name":"Train ID","value":"836-29"},{"id":16,"name":"Locomotive ID","value":"4013"},{"id":130,"name":"Impact","value":""},{"id":150,"name":"Time of Event (Mountain Time)","value":"18:27:16"},{"id":151,"name":"Denver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42611.357372685183</v>
      </c>
      <c r="B42" s="33" t="s">
        <v>382</v>
      </c>
      <c r="C42" s="33" t="s">
        <v>406</v>
      </c>
      <c r="D42" s="33" t="s">
        <v>49</v>
      </c>
      <c r="E42" s="33" t="s">
        <v>50</v>
      </c>
      <c r="F42" s="49">
        <v>0</v>
      </c>
      <c r="G42" s="49">
        <v>77</v>
      </c>
      <c r="H42" s="49">
        <v>58758</v>
      </c>
      <c r="I42" s="33" t="s">
        <v>51</v>
      </c>
      <c r="J42" s="49">
        <v>59048</v>
      </c>
      <c r="K42" s="33" t="s">
        <v>52</v>
      </c>
      <c r="L42" s="92" t="str">
        <f>VLOOKUP(C42,'Trips&amp;Operators'!$C$1:$E$9999,3,0)</f>
        <v>SANTIZO</v>
      </c>
      <c r="M42" s="131" t="s">
        <v>86</v>
      </c>
      <c r="N42" s="10"/>
      <c r="O42" s="33"/>
      <c r="P42" s="108" t="str">
        <f>VLOOKUP(C42,'Train Runs'!$A$13:$AE$10014,31,0)</f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Q42" s="111" t="str">
        <f>VLOOKUP(C42,'Train Runs'!$A$13:$AE$10014,22,0)</f>
        <v>https://search-rtdc-monitor-bjffxe2xuh6vdkpspy63sjmuny.us-east-1.es.amazonaws.com/_plugin/kibana/#/discover/Steve-Slow-Train-Analysis-(2080s-and-2083s)?_g=(refreshInterval:(display:Off,section:0,value:0),time:(from:'2016-08-29 06:58:37-0600',mode:absolute,to:'2016-08-29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2" s="113" t="str">
        <f t="shared" si="0"/>
        <v>"C:\Program Files (x86)\AstroGrep\AstroGrep.exe" /spath="%USERPROFILE%\AppData\Local\Temp\OnboardLogs" /stypes="*4018*201608291*" /stext=" 14:.+((SYSTEM_STATE.+slice.+state.+changed )|(ment ac)|(system.+state.+changed )|(\|lc)|(penalty)|(\[timeout)|(PRM\|1\|D)|(kpr)|(kdp))" /e /r /s</v>
      </c>
      <c r="S42" s="9" t="str">
        <f t="shared" si="1"/>
        <v>4018</v>
      </c>
      <c r="T42" s="38">
        <f t="shared" si="2"/>
        <v>42611.607372685183</v>
      </c>
      <c r="U42" s="52" t="str">
        <f t="shared" si="3"/>
        <v>NW</v>
      </c>
      <c r="V42" s="52" t="str">
        <f t="shared" si="4"/>
        <v>KEEP</v>
      </c>
      <c r="W42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{"issue":{"subject":"","project_id":79,"tracker_id":40,"status_id":1,"priority_id":2,"assigned_to_id":23,"start_date":"2016-08-29","description":"","custom_fields":[{"id":1,"name":"Subdivision","value":"NW"},{"id":4,"name":"Milepost","value":"5.9048"},{"id":17,"name":"Train ID","value":"811-29"},{"id":16,"name":"Locomotive ID","value":"4018"},{"id":130,"name":"Impact","value":""},{"id":150,"name":"Time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42611.524722222224</v>
      </c>
      <c r="B43" s="33" t="s">
        <v>382</v>
      </c>
      <c r="C43" s="33" t="s">
        <v>448</v>
      </c>
      <c r="D43" s="33" t="s">
        <v>49</v>
      </c>
      <c r="E43" s="33" t="s">
        <v>50</v>
      </c>
      <c r="F43" s="49">
        <v>0</v>
      </c>
      <c r="G43" s="49">
        <v>48</v>
      </c>
      <c r="H43" s="49">
        <v>58886</v>
      </c>
      <c r="I43" s="33" t="s">
        <v>51</v>
      </c>
      <c r="J43" s="49">
        <v>59048</v>
      </c>
      <c r="K43" s="33" t="s">
        <v>52</v>
      </c>
      <c r="L43" s="92" t="str">
        <f>VLOOKUP(C43,'Trips&amp;Operators'!$C$1:$E$9999,3,0)</f>
        <v>SANTIZO</v>
      </c>
      <c r="M43" s="131" t="s">
        <v>86</v>
      </c>
      <c r="N43" s="10"/>
      <c r="O43" s="33"/>
      <c r="P43" s="108" t="str">
        <f>VLOOKUP(C43,'Train Runs'!$A$13:$AE$10014,31,0)</f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Q43" s="111" t="str">
        <f>VLOOKUP(C43,'Train Runs'!$A$13:$AE$10014,22,0)</f>
        <v>https://search-rtdc-monitor-bjffxe2xuh6vdkpspy63sjmuny.us-east-1.es.amazonaws.com/_plugin/kibana/#/discover/Steve-Slow-Train-Analysis-(2080s-and-2083s)?_g=(refreshInterval:(display:Off,section:0,value:0),time:(from:'2016-08-29 10:59:59-0600',mode:absolute,to:'2016-08-29 13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3" s="113" t="str">
        <f t="shared" si="0"/>
        <v>"C:\Program Files (x86)\AstroGrep\AstroGrep.exe" /spath="%USERPROFILE%\AppData\Local\Temp\OnboardLogs" /stypes="*4018*201608291*" /stext=" 18:.+((SYSTEM_STATE.+slice.+state.+changed )|(ment ac)|(system.+state.+changed )|(\|lc)|(penalty)|(\[timeout)|(PRM\|1\|D)|(kpr)|(kdp))" /e /r /s</v>
      </c>
      <c r="S43" s="9" t="str">
        <f t="shared" si="1"/>
        <v>4018</v>
      </c>
      <c r="T43" s="38">
        <f t="shared" si="2"/>
        <v>42611.774722222224</v>
      </c>
      <c r="U43" s="52" t="str">
        <f t="shared" si="3"/>
        <v>NW</v>
      </c>
      <c r="V43" s="52" t="str">
        <f t="shared" si="4"/>
        <v>KEEP</v>
      </c>
      <c r="W43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{"issue":{"subject":"","project_id":79,"tracker_id":40,"status_id":1,"priority_id":2,"assigned_to_id":23,"start_date":"2016-08-29","description":"","custom_fields":[{"id":1,"name":"Subdivision","value":"NW"},{"id":4,"name":"Milepost","value":"5.9048"},{"id":17,"name":"Train ID","value":"819-29"},{"id":16,"name":"Locomotive ID","value":"4018"},{"id":130,"name":"Impact","value":""},{"id":150,"name":"Time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42611.60796296296</v>
      </c>
      <c r="B44" s="33" t="s">
        <v>382</v>
      </c>
      <c r="C44" s="33" t="s">
        <v>472</v>
      </c>
      <c r="D44" s="33" t="s">
        <v>49</v>
      </c>
      <c r="E44" s="33" t="s">
        <v>50</v>
      </c>
      <c r="F44" s="49">
        <v>0</v>
      </c>
      <c r="G44" s="49">
        <v>87</v>
      </c>
      <c r="H44" s="49">
        <v>58758</v>
      </c>
      <c r="I44" s="33" t="s">
        <v>51</v>
      </c>
      <c r="J44" s="49">
        <v>59048</v>
      </c>
      <c r="K44" s="33" t="s">
        <v>52</v>
      </c>
      <c r="L44" s="92" t="str">
        <f>VLOOKUP(C44,'Trips&amp;Operators'!$C$1:$E$9999,3,0)</f>
        <v>ROBINSON</v>
      </c>
      <c r="M44" s="131" t="s">
        <v>86</v>
      </c>
      <c r="N44" s="10"/>
      <c r="O44" s="33"/>
      <c r="P44" s="108" t="str">
        <f>VLOOKUP(C44,'Train Runs'!$A$13:$AE$10014,31,0)</f>
        <v>aws s3 cp s3://rtdc.mdm.uploadarchive/RTDC4018/2016-08-29/ "%USERPROFILE%\AppData\Local\Temp\OnboardLogs"\RTDC4018\2016-08-29 --recursive &amp; "%USERPROFILE%\Documents\GitHub\mrs-test-scripts\Headless Mode &amp; Sideloading\WalkAndUnGZ.bat" "%USERPROFILE%\AppData\Local\Temp\OnboardLogs"\RTDC4018\2016-08-29 &amp; aws s3 cp s3://rtdc.mdm.uploadarchive/RTDC4018/2016-08-30/ "%USERPROFILE%\AppData\Local\Temp\OnboardLogs"\RTDC4018\2016-08-30 --recursive &amp; "%USERPROFILE%\Documents\GitHub\mrs-test-scripts\Headless Mode &amp; Sideloading\WalkAndUnGZ.bat" "%USERPROFILE%\AppData\Local\Temp\OnboardLogs"\RTDC4018\2016-08-30</v>
      </c>
      <c r="Q44" s="111" t="str">
        <f>VLOOKUP(C44,'Train Runs'!$A$13:$AE$10014,22,0)</f>
        <v>https://search-rtdc-monitor-bjffxe2xuh6vdkpspy63sjmuny.us-east-1.es.amazonaws.com/_plugin/kibana/#/discover/Steve-Slow-Train-Analysis-(2080s-and-2083s)?_g=(refreshInterval:(display:Off,section:0,value:0),time:(from:'2016-08-29 13:12:50-0600',mode:absolute,to:'2016-08-29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4" s="113" t="str">
        <f t="shared" si="0"/>
        <v>"C:\Program Files (x86)\AstroGrep\AstroGrep.exe" /spath="%USERPROFILE%\AppData\Local\Temp\OnboardLogs" /stypes="*4018*201608292*" /stext=" 20:.+((SYSTEM_STATE.+slice.+state.+changed )|(ment ac)|(system.+state.+changed )|(\|lc)|(penalty)|(\[timeout)|(PRM\|1\|D)|(kpr)|(kdp))" /e /r /s</v>
      </c>
      <c r="S44" s="9" t="str">
        <f t="shared" si="1"/>
        <v>4018</v>
      </c>
      <c r="T44" s="38">
        <f t="shared" si="2"/>
        <v>42611.85796296296</v>
      </c>
      <c r="U44" s="52" t="str">
        <f t="shared" si="3"/>
        <v>NW</v>
      </c>
      <c r="V44" s="52" t="str">
        <f t="shared" si="4"/>
        <v>KEEP</v>
      </c>
      <c r="W44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{"issue":{"subject":"","project_id":79,"tracker_id":40,"status_id":1,"priority_id":2,"assigned_to_id":23,"start_date":"2016-08-29","description":"","custom_fields":[{"id":1,"name":"Subdivision","value":"NW"},{"id":4,"name":"Milepost","value":"5.9048"},{"id":17,"name":"Train ID","value":"823-29"},{"id":16,"name":"Locomotive ID","value":"4018"},{"id":130,"name":"Impact","value":""},{"id":150,"name":"Time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42611.711168981485</v>
      </c>
      <c r="B45" s="33" t="s">
        <v>112</v>
      </c>
      <c r="C45" s="33" t="s">
        <v>502</v>
      </c>
      <c r="D45" s="33" t="s">
        <v>49</v>
      </c>
      <c r="E45" s="33" t="s">
        <v>50</v>
      </c>
      <c r="F45" s="49">
        <v>0</v>
      </c>
      <c r="G45" s="49">
        <v>150</v>
      </c>
      <c r="H45" s="49">
        <v>57882</v>
      </c>
      <c r="I45" s="33" t="s">
        <v>51</v>
      </c>
      <c r="J45" s="49">
        <v>59048</v>
      </c>
      <c r="K45" s="33" t="s">
        <v>52</v>
      </c>
      <c r="L45" s="92" t="str">
        <f>VLOOKUP(C45,'Trips&amp;Operators'!$C$1:$E$9999,3,0)</f>
        <v>COOLAHAN</v>
      </c>
      <c r="M45" s="131" t="s">
        <v>86</v>
      </c>
      <c r="N45" s="10"/>
      <c r="O45" s="33"/>
      <c r="P45" s="108" t="str">
        <f>VLOOKUP(C45,'Train Runs'!$A$13:$AE$10014,31,0)</f>
        <v>aws s3 cp s3://rtdc.mdm.uploadarchive/RTDC4014/2016-08-29/ "%USERPROFILE%\AppData\Local\Temp\OnboardLogs"\RTDC4014\2016-08-29 --recursive &amp; "%USERPROFILE%\Documents\GitHub\mrs-test-scripts\Headless Mode &amp; Sideloading\WalkAndUnGZ.bat" "%USERPROFILE%\AppData\Local\Temp\OnboardLogs"\RTDC4014\2016-08-29 &amp; aws s3 cp s3://rtdc.mdm.uploadarchive/RTDC4014/2016-08-30/ "%USERPROFILE%\AppData\Local\Temp\OnboardLogs"\RTDC4014\2016-08-30 --recursive &amp; "%USERPROFILE%\Documents\GitHub\mrs-test-scripts\Headless Mode &amp; Sideloading\WalkAndUnGZ.bat" "%USERPROFILE%\AppData\Local\Temp\OnboardLogs"\RTDC4014\2016-08-30</v>
      </c>
      <c r="Q45" s="111" t="str">
        <f>VLOOKUP(C45,'Train Runs'!$A$13:$AE$10014,22,0)</f>
        <v>https://search-rtdc-monitor-bjffxe2xuh6vdkpspy63sjmuny.us-east-1.es.amazonaws.com/_plugin/kibana/#/discover/Steve-Slow-Train-Analysis-(2080s-and-2083s)?_g=(refreshInterval:(display:Off,section:0,value:0),time:(from:'2016-08-29 15:46:20-0600',mode:absolute,to:'2016-08-29 18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45" s="113" t="str">
        <f t="shared" si="0"/>
        <v>"C:\Program Files (x86)\AstroGrep\AstroGrep.exe" /spath="%USERPROFILE%\AppData\Local\Temp\OnboardLogs" /stypes="*4014*201608292*" /stext=" 23:.+((SYSTEM_STATE.+slice.+state.+changed )|(ment ac)|(system.+state.+changed )|(\|lc)|(penalty)|(\[timeout)|(PRM\|1\|D)|(kpr)|(kdp))" /e /r /s</v>
      </c>
      <c r="S45" s="9" t="str">
        <f t="shared" si="1"/>
        <v>4014</v>
      </c>
      <c r="T45" s="38">
        <f t="shared" si="2"/>
        <v>42611.961168981485</v>
      </c>
      <c r="U45" s="52" t="str">
        <f t="shared" si="3"/>
        <v>NW</v>
      </c>
      <c r="V45" s="52" t="str">
        <f t="shared" si="4"/>
        <v>KEEP</v>
      </c>
      <c r="W45" s="149" t="str">
        <f t="shared" si="5"/>
        <v>echo {"issue":{"subject":"","project_id":79,"tracker_id":40,"status_id":1,"priority_id":2,"assigned_to_id":23,"start_date":"2016-08-29","description":"","custom_fields":[{"id":1,"name":"Subdivision","value":"NW"},{"id":4,"name":"Milepost","value":"5.9048"},{"id":17,"name":"Train ID","value":"831-29"},{"id":16,"name":"Locomotive ID","value":"4014"},{"id":130,"name":"Impact","value":""},{"id":150,"name":"Time of Event (Mountain Time)","value":"17:04:05"},{"id":151,"name":"Denver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42611.716249999998</v>
      </c>
      <c r="B46" s="33" t="s">
        <v>504</v>
      </c>
      <c r="C46" s="33" t="s">
        <v>505</v>
      </c>
      <c r="D46" s="33" t="s">
        <v>111</v>
      </c>
      <c r="E46" s="33" t="s">
        <v>54</v>
      </c>
      <c r="F46" s="49">
        <v>0</v>
      </c>
      <c r="G46" s="49">
        <v>110</v>
      </c>
      <c r="H46" s="49">
        <v>22461</v>
      </c>
      <c r="I46" s="33" t="s">
        <v>55</v>
      </c>
      <c r="J46" s="49">
        <v>24161</v>
      </c>
      <c r="K46" s="33" t="s">
        <v>53</v>
      </c>
      <c r="L46" s="92" t="str">
        <f>VLOOKUP(C46,'Trips&amp;Operators'!$C$1:$E$9999,3,0)</f>
        <v>NEWELL</v>
      </c>
      <c r="M46" s="131" t="s">
        <v>86</v>
      </c>
      <c r="N46" s="10"/>
      <c r="O46" s="33"/>
      <c r="P46" s="108" t="str">
        <f>VLOOKUP(C46,'Train Runs'!$A$13:$AE$10014,31,0)</f>
        <v>aws s3 cp s3://rtdc.mdm.uploadarchive/RTDC4005/2016-08-29/ "%USERPROFILE%\AppData\Local\Temp\OnboardLogs"\RTDC4005\2016-08-29 --recursive &amp; "%USERPROFILE%\Documents\GitHub\mrs-test-scripts\Headless Mode &amp; Sideloading\WalkAndUnGZ.bat" "%USERPROFILE%\AppData\Local\Temp\OnboardLogs"\RTDC4005\2016-08-29 &amp; aws s3 cp s3://rtdc.mdm.uploadarchive/RTDC4005/2016-08-30/ "%USERPROFILE%\AppData\Local\Temp\OnboardLogs"\RTDC4005\2016-08-30 --recursive &amp; "%USERPROFILE%\Documents\GitHub\mrs-test-scripts\Headless Mode &amp; Sideloading\WalkAndUnGZ.bat" "%USERPROFILE%\AppData\Local\Temp\OnboardLogs"\RTDC4005\2016-08-30</v>
      </c>
      <c r="Q46" s="111" t="str">
        <f>VLOOKUP(C46,'Train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16:05:36-0600',mode:absolute,to:'2016-08-29 18:11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46" s="113" t="str">
        <f t="shared" si="0"/>
        <v>"C:\Program Files (x86)\AstroGrep\AstroGrep.exe" /spath="%USERPROFILE%\AppData\Local\Temp\OnboardLogs" /stypes="*4005*201608292*" /stext=" 23:.+((SYSTEM_STATE.+slice.+state.+changed )|(ment ac)|(system.+state.+changed )|(\|lc)|(penalty)|(\[timeout)|(PRM\|1\|D)|(kpr)|(kdp))" /e /r /s</v>
      </c>
      <c r="S46" s="9" t="str">
        <f t="shared" si="1"/>
        <v>4005</v>
      </c>
      <c r="T46" s="38">
        <f t="shared" si="2"/>
        <v>42611.966249999998</v>
      </c>
      <c r="U46" s="52" t="str">
        <f t="shared" si="3"/>
        <v>Other</v>
      </c>
      <c r="V46" s="52" t="str">
        <f t="shared" si="4"/>
        <v>KEEP</v>
      </c>
      <c r="W46" s="149" t="str">
        <f t="shared" si="5"/>
        <v>echo {"issue":{"subject":"","project_id":79,"tracker_id":40,"status_id":1,"priority_id":2,"assigned_to_id":23,"start_date":"2016-08-29","description":"","custom_fields":[{"id":1,"name":"Subdivision","value":"Other"},{"id":4,"name":"Milepost","value":"2.4161"},{"id":17,"name":"Train ID","value":"50-29"},{"id":16,"name":"Locomotive ID","value":"4005"},{"id":130,"name":"Impact","value":""},{"id":150,"name":"Time of Event (Mountain Time)","value":"17:11:24"},{"id":151,"name":"Denver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42611.644178240742</v>
      </c>
      <c r="B47" s="33" t="s">
        <v>90</v>
      </c>
      <c r="C47" s="33" t="s">
        <v>483</v>
      </c>
      <c r="D47" s="33" t="s">
        <v>49</v>
      </c>
      <c r="E47" s="33" t="s">
        <v>50</v>
      </c>
      <c r="F47" s="49">
        <v>0</v>
      </c>
      <c r="G47" s="49">
        <v>83</v>
      </c>
      <c r="H47" s="49">
        <v>853</v>
      </c>
      <c r="I47" s="33" t="s">
        <v>51</v>
      </c>
      <c r="J47" s="49">
        <v>575</v>
      </c>
      <c r="K47" s="33" t="s">
        <v>53</v>
      </c>
      <c r="L47" s="92" t="str">
        <f>VLOOKUP(C47,'Trips&amp;Operators'!$C$1:$E$9999,3,0)</f>
        <v>COOLAHAN</v>
      </c>
      <c r="M47" s="131" t="s">
        <v>86</v>
      </c>
      <c r="N47" s="10"/>
      <c r="O47" s="33"/>
      <c r="P47" s="108" t="str">
        <f>VLOOKUP(C47,'Train Runs'!$A$13:$AE$10014,31,0)</f>
        <v>aws s3 cp s3://rtdc.mdm.uploadarchive/RTDC4013/2016-08-29/ "%USERPROFILE%\AppData\Local\Temp\OnboardLogs"\RTDC4013\2016-08-29 --recursive &amp; "%USERPROFILE%\Documents\GitHub\mrs-test-scripts\Headless Mode &amp; Sideloading\WalkAndUnGZ.bat" "%USERPROFILE%\AppData\Local\Temp\OnboardLogs"\RTDC4013\2016-08-29 &amp; aws s3 cp s3://rtdc.mdm.uploadarchive/RTDC4013/2016-08-30/ "%USERPROFILE%\AppData\Local\Temp\OnboardLogs"\RTDC4013\2016-08-30 --recursive &amp; "%USERPROFILE%\Documents\GitHub\mrs-test-scripts\Headless Mode &amp; Sideloading\WalkAndUnGZ.bat" "%USERPROFILE%\AppData\Local\Temp\OnboardLogs"\RTDC4013\2016-08-30</v>
      </c>
      <c r="Q47" s="111" t="str">
        <f>VLOOKUP(C47,'Train Runs'!$A$13:$AE$10014,22,0)</f>
        <v>https://search-rtdc-monitor-bjffxe2xuh6vdkpspy63sjmuny.us-east-1.es.amazonaws.com/_plugin/kibana/#/discover/Steve-Slow-Train-Analysis-(2080s-and-2083s)?_g=(refreshInterval:(display:Off,section:0,value:0),time:(from:'2016-08-29 14:14:45-0600',mode:absolute,to:'2016-08-29 16:27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47" s="113" t="str">
        <f t="shared" si="0"/>
        <v>"C:\Program Files (x86)\AstroGrep\AstroGrep.exe" /spath="%USERPROFILE%\AppData\Local\Temp\OnboardLogs" /stypes="*4013*201608292*" /stext=" 21:.+((SYSTEM_STATE.+slice.+state.+changed )|(ment ac)|(system.+state.+changed )|(\|lc)|(penalty)|(\[timeout)|(PRM\|1\|D)|(kpr)|(kdp))" /e /r /s</v>
      </c>
      <c r="S47" s="9" t="str">
        <f t="shared" si="1"/>
        <v>4013</v>
      </c>
      <c r="T47" s="38">
        <f t="shared" si="2"/>
        <v>42611.894178240742</v>
      </c>
      <c r="U47" s="52" t="str">
        <f t="shared" si="3"/>
        <v>Other</v>
      </c>
      <c r="V47" s="52" t="str">
        <f t="shared" si="4"/>
        <v>KEEP</v>
      </c>
      <c r="W47" s="149" t="str">
        <f t="shared" si="5"/>
        <v>echo {"issue":{"subject":"","project_id":79,"tracker_id":40,"status_id":1,"priority_id":2,"assigned_to_id":23,"start_date":"2016-08-29","description":"","custom_fields":[{"id":1,"name":"Subdivision","value":"Other"},{"id":4,"name":"Milepost","value":"0.0575"},{"id":17,"name":"Train ID","value":"904-29"},{"id":16,"name":"Locomotive ID","value":"4013"},{"id":130,"name":"Impact","value":""},{"id":150,"name":"Time of Event (Mountain Time)","value":"15:27:37"},{"id":151,"name":"Denver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42611.757280092592</v>
      </c>
      <c r="B48" s="33" t="s">
        <v>518</v>
      </c>
      <c r="C48" s="33" t="s">
        <v>519</v>
      </c>
      <c r="D48" s="33" t="s">
        <v>111</v>
      </c>
      <c r="E48" s="33" t="s">
        <v>54</v>
      </c>
      <c r="F48" s="49">
        <v>0</v>
      </c>
      <c r="G48" s="49">
        <v>93</v>
      </c>
      <c r="H48" s="49">
        <v>1923</v>
      </c>
      <c r="I48" s="33" t="s">
        <v>55</v>
      </c>
      <c r="J48" s="49">
        <v>1692</v>
      </c>
      <c r="K48" s="33" t="s">
        <v>52</v>
      </c>
      <c r="L48" s="92" t="str">
        <f>VLOOKUP(C48,'Trips&amp;Operators'!$C$1:$E$9999,3,0)</f>
        <v>OUN</v>
      </c>
      <c r="M48" s="131" t="s">
        <v>86</v>
      </c>
      <c r="N48" s="10"/>
      <c r="O48" s="33"/>
      <c r="P48" s="108" t="str">
        <f>VLOOKUP(C48,'Train Runs'!$A$13:$AE$10014,31,0)</f>
        <v>aws s3 cp s3://rtdc.mdm.uploadarchive/RTDC4011/2016-08-29/ "%USERPROFILE%\AppData\Local\Temp\OnboardLogs"\RTDC4011\2016-08-29 --recursive &amp; "%USERPROFILE%\Documents\GitHub\mrs-test-scripts\Headless Mode &amp; Sideloading\WalkAndUnGZ.bat" "%USERPROFILE%\AppData\Local\Temp\OnboardLogs"\RTDC4011\2016-08-29 &amp; aws s3 cp s3://rtdc.mdm.uploadarchive/RTDC4011/2016-08-30/ "%USERPROFILE%\AppData\Local\Temp\OnboardLogs"\RTDC4011\2016-08-30 --recursive &amp; "%USERPROFILE%\Documents\GitHub\mrs-test-scripts\Headless Mode &amp; Sideloading\WalkAndUnGZ.bat" "%USERPROFILE%\AppData\Local\Temp\OnboardLogs"\RTDC4011\2016-08-30</v>
      </c>
      <c r="Q48" s="111" t="str">
        <f>VLOOKUP(C48,'Train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16:56:38-0600',mode:absolute,to:'2016-08-29 19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8" s="113" t="str">
        <f t="shared" si="0"/>
        <v>"C:\Program Files (x86)\AstroGrep\AstroGrep.exe" /spath="%USERPROFILE%\AppData\Local\Temp\OnboardLogs" /stypes="*4011*201608300*" /stext=" 00:.+((SYSTEM_STATE.+slice.+state.+changed )|(ment ac)|(system.+state.+changed )|(\|lc)|(penalty)|(\[timeout)|(PRM\|1\|D)|(kpr)|(kdp))" /e /r /s</v>
      </c>
      <c r="S48" s="9" t="str">
        <f t="shared" si="1"/>
        <v>4011</v>
      </c>
      <c r="T48" s="38">
        <f t="shared" si="2"/>
        <v>42612.007280092592</v>
      </c>
      <c r="U48" s="52" t="e">
        <f t="shared" si="3"/>
        <v>#VALUE!</v>
      </c>
      <c r="V48" s="52" t="str">
        <f t="shared" si="4"/>
        <v>KEEP</v>
      </c>
      <c r="W48" s="149" t="e">
        <f t="shared" si="5"/>
        <v>#VALUE!</v>
      </c>
      <c r="X48" s="55"/>
      <c r="Y48" s="55"/>
      <c r="Z48" s="55"/>
    </row>
    <row r="49" spans="1:26" x14ac:dyDescent="0.25">
      <c r="A49" s="38">
        <v>42611.758229166669</v>
      </c>
      <c r="B49" s="33" t="s">
        <v>518</v>
      </c>
      <c r="C49" s="33" t="s">
        <v>519</v>
      </c>
      <c r="D49" s="33" t="s">
        <v>111</v>
      </c>
      <c r="E49" s="33" t="s">
        <v>54</v>
      </c>
      <c r="F49" s="49">
        <v>0</v>
      </c>
      <c r="G49" s="49">
        <v>13</v>
      </c>
      <c r="H49" s="49">
        <v>1989</v>
      </c>
      <c r="I49" s="33" t="s">
        <v>55</v>
      </c>
      <c r="J49" s="49">
        <v>1692</v>
      </c>
      <c r="K49" s="33" t="s">
        <v>52</v>
      </c>
      <c r="L49" s="92" t="str">
        <f>VLOOKUP(C49,'Trips&amp;Operators'!$C$1:$E$9999,3,0)</f>
        <v>OUN</v>
      </c>
      <c r="M49" s="131" t="s">
        <v>86</v>
      </c>
      <c r="N49" s="10"/>
      <c r="O49" s="33"/>
      <c r="P49" s="108" t="str">
        <f>VLOOKUP(C49,'Train Runs'!$A$13:$AE$10014,31,0)</f>
        <v>aws s3 cp s3://rtdc.mdm.uploadarchive/RTDC4011/2016-08-29/ "%USERPROFILE%\AppData\Local\Temp\OnboardLogs"\RTDC4011\2016-08-29 --recursive &amp; "%USERPROFILE%\Documents\GitHub\mrs-test-scripts\Headless Mode &amp; Sideloading\WalkAndUnGZ.bat" "%USERPROFILE%\AppData\Local\Temp\OnboardLogs"\RTDC4011\2016-08-29 &amp; aws s3 cp s3://rtdc.mdm.uploadarchive/RTDC4011/2016-08-30/ "%USERPROFILE%\AppData\Local\Temp\OnboardLogs"\RTDC4011\2016-08-30 --recursive &amp; "%USERPROFILE%\Documents\GitHub\mrs-test-scripts\Headless Mode &amp; Sideloading\WalkAndUnGZ.bat" "%USERPROFILE%\AppData\Local\Temp\OnboardLogs"\RTDC4011\2016-08-30</v>
      </c>
      <c r="Q49" s="111" t="str">
        <f>VLOOKUP(C49,'Train Runs'!$A$13:$AE$10014,22,0)</f>
        <v>https://search-rtdc-monitor-bjffxe2xuh6vdkpspy63sjmuny.us-east-1.es.amazonaws.com/_plugin/kibana/#/discover/Steve-Slow-Train-Analysis-(2080s-and-2083s)?_g=(refreshInterval:(display:Off,section:0,value:0),time:(from:'2016-08-29 16:56:38-0600',mode:absolute,to:'2016-08-29 19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9" s="113" t="str">
        <f t="shared" si="0"/>
        <v>"C:\Program Files (x86)\AstroGrep\AstroGrep.exe" /spath="%USERPROFILE%\AppData\Local\Temp\OnboardLogs" /stypes="*4011*201608300*" /stext=" 00:.+((SYSTEM_STATE.+slice.+state.+changed )|(ment ac)|(system.+state.+changed )|(\|lc)|(penalty)|(\[timeout)|(PRM\|1\|D)|(kpr)|(kdp))" /e /r /s</v>
      </c>
      <c r="S49" s="9" t="str">
        <f t="shared" si="1"/>
        <v>4011</v>
      </c>
      <c r="T49" s="38">
        <f t="shared" si="2"/>
        <v>42612.008229166669</v>
      </c>
      <c r="U49" s="52" t="e">
        <f t="shared" si="3"/>
        <v>#VALUE!</v>
      </c>
      <c r="V49" s="52" t="str">
        <f t="shared" si="4"/>
        <v>KEEP</v>
      </c>
      <c r="W49" s="149" t="e">
        <f t="shared" si="5"/>
        <v>#VALUE!</v>
      </c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A73" s="38"/>
      <c r="B73" s="33"/>
      <c r="C73" s="33"/>
      <c r="D73" s="33"/>
      <c r="E73" s="33"/>
      <c r="F73" s="49"/>
      <c r="G73" s="49"/>
      <c r="H73" s="49"/>
      <c r="I73" s="33"/>
      <c r="J73" s="49"/>
      <c r="K73" s="33"/>
      <c r="L73" s="92"/>
      <c r="M73" s="131"/>
      <c r="N73" s="10"/>
      <c r="O73" s="33"/>
      <c r="P73" s="108"/>
      <c r="Q73" s="111"/>
      <c r="R73" s="113"/>
      <c r="S73" s="9"/>
      <c r="T73" s="38"/>
      <c r="U73" s="52"/>
      <c r="V73" s="52"/>
      <c r="W73" s="149"/>
      <c r="X73" s="55"/>
      <c r="Y73" s="55"/>
      <c r="Z73" s="55"/>
    </row>
    <row r="74" spans="1:26" x14ac:dyDescent="0.25">
      <c r="B74" s="23"/>
      <c r="C74" s="23"/>
      <c r="D74" s="23"/>
      <c r="E74" s="23"/>
      <c r="I74" s="23"/>
      <c r="K74" s="23"/>
    </row>
  </sheetData>
  <autoFilter ref="A6:Z6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3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6"/>
  <sheetViews>
    <sheetView workbookViewId="0">
      <selection activeCell="I3" sqref="I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2016-08-29</v>
      </c>
      <c r="C1" s="165"/>
      <c r="D1" s="165"/>
      <c r="E1" s="165"/>
      <c r="F1" s="165"/>
    </row>
    <row r="2" spans="1:11" s="26" customFormat="1" ht="45" x14ac:dyDescent="0.25">
      <c r="A2" s="163" t="s">
        <v>357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121</v>
      </c>
    </row>
    <row r="3" spans="1:11" x14ac:dyDescent="0.25">
      <c r="A3" s="114">
        <v>106</v>
      </c>
      <c r="B3" s="2" t="str">
        <f>A3&amp;"-"&amp;DAY(Variables!$A$2)</f>
        <v>106-29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22106-29%22)),sort:!(Time,asc))</v>
      </c>
      <c r="J3" s="23"/>
      <c r="K3" s="23"/>
    </row>
    <row r="4" spans="1:11" x14ac:dyDescent="0.25">
      <c r="B4" s="2" t="str">
        <f>A4&amp;"-"&amp;DAY(Variables!$A$2)</f>
        <v>-29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4" s="23"/>
      <c r="K4" s="23"/>
    </row>
    <row r="5" spans="1:11" x14ac:dyDescent="0.25">
      <c r="B5" s="2" t="str">
        <f>A5&amp;"-"&amp;DAY(Variables!$A$2)</f>
        <v>-29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5" s="23"/>
      <c r="K5" s="23"/>
    </row>
    <row r="6" spans="1:11" x14ac:dyDescent="0.25">
      <c r="B6" s="2" t="str">
        <f>A6&amp;"-"&amp;DAY(Variables!$A$2)</f>
        <v>-29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6" s="23"/>
      <c r="K6" s="23"/>
    </row>
    <row r="7" spans="1:11" x14ac:dyDescent="0.25">
      <c r="B7" s="2" t="str">
        <f>A7&amp;"-"&amp;DAY(Variables!$A$2)</f>
        <v>-29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7" s="23"/>
      <c r="K7" s="23"/>
    </row>
    <row r="8" spans="1:11" x14ac:dyDescent="0.25">
      <c r="B8" s="2" t="str">
        <f>A8&amp;"-"&amp;DAY(Variables!$A$2)</f>
        <v>-29</v>
      </c>
      <c r="C8" s="129"/>
      <c r="D8" s="12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8" s="23"/>
      <c r="K8" s="23"/>
    </row>
    <row r="9" spans="1:11" x14ac:dyDescent="0.25">
      <c r="B9" s="2" t="str">
        <f>A9&amp;"-"&amp;DAY(Variables!$A$2)</f>
        <v>-29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C72" s="114"/>
      <c r="D72" s="114"/>
      <c r="I72" s="23"/>
      <c r="J72" s="23"/>
      <c r="K72" s="23"/>
    </row>
    <row r="73" spans="3:11" x14ac:dyDescent="0.25">
      <c r="C73" s="114"/>
      <c r="D73" s="114"/>
      <c r="I73" s="23"/>
      <c r="J73" s="23"/>
      <c r="K73" s="23"/>
    </row>
    <row r="74" spans="3:11" x14ac:dyDescent="0.25">
      <c r="C74" s="114"/>
      <c r="D74" s="114"/>
      <c r="I74" s="23"/>
      <c r="J74" s="23"/>
      <c r="K74" s="23"/>
    </row>
    <row r="75" spans="3:11" x14ac:dyDescent="0.25">
      <c r="C75" s="114"/>
      <c r="D75" s="114"/>
      <c r="I75" s="23"/>
      <c r="J75" s="23"/>
      <c r="K75" s="23"/>
    </row>
    <row r="76" spans="3:11" x14ac:dyDescent="0.25">
      <c r="I76" s="23"/>
      <c r="J76" s="23"/>
      <c r="K76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42611.037060185183</v>
      </c>
      <c r="B1" s="23" t="s">
        <v>181</v>
      </c>
      <c r="C1" s="23" t="s">
        <v>315</v>
      </c>
      <c r="D1" s="23">
        <v>1810000</v>
      </c>
      <c r="E1" s="23" t="s">
        <v>314</v>
      </c>
      <c r="F1" s="23" t="str">
        <f>B1</f>
        <v>rtdc.l.rtdc.4041:itc</v>
      </c>
      <c r="G1" s="8">
        <f>A1</f>
        <v>42611.037060185183</v>
      </c>
    </row>
    <row r="2" spans="1:7" x14ac:dyDescent="0.25">
      <c r="A2" s="8">
        <v>42611.046979166669</v>
      </c>
      <c r="B2" s="23" t="s">
        <v>250</v>
      </c>
      <c r="C2" s="23" t="s">
        <v>316</v>
      </c>
      <c r="D2" s="23">
        <v>1290000</v>
      </c>
      <c r="E2" s="23" t="s">
        <v>313</v>
      </c>
      <c r="F2" s="23" t="str">
        <f t="shared" ref="F2:F65" si="0">B2</f>
        <v>rtdc.l.rtdc.4040:itc</v>
      </c>
      <c r="G2" s="8">
        <f t="shared" ref="G2:G65" si="1">A2</f>
        <v>42611.046979166669</v>
      </c>
    </row>
    <row r="3" spans="1:7" x14ac:dyDescent="0.25">
      <c r="A3" s="8">
        <v>42611.060243055559</v>
      </c>
      <c r="B3" s="23" t="s">
        <v>143</v>
      </c>
      <c r="C3" s="23" t="s">
        <v>317</v>
      </c>
      <c r="D3" s="23">
        <v>1800000</v>
      </c>
      <c r="E3" s="23" t="s">
        <v>174</v>
      </c>
      <c r="F3" s="23" t="str">
        <f t="shared" si="0"/>
        <v>rtdc.l.rtdc.4037:itc</v>
      </c>
      <c r="G3" s="8">
        <f t="shared" si="1"/>
        <v>42611.060243055559</v>
      </c>
    </row>
    <row r="4" spans="1:7" x14ac:dyDescent="0.25">
      <c r="A4" s="8">
        <v>42611.06763888889</v>
      </c>
      <c r="B4" s="23" t="s">
        <v>148</v>
      </c>
      <c r="C4" s="23" t="s">
        <v>318</v>
      </c>
      <c r="D4" s="23">
        <v>1810000</v>
      </c>
      <c r="E4" s="23" t="s">
        <v>314</v>
      </c>
      <c r="F4" s="23" t="str">
        <f t="shared" si="0"/>
        <v>rtdc.l.rtdc.4042:itc</v>
      </c>
      <c r="G4" s="8">
        <f t="shared" si="1"/>
        <v>42611.06763888889</v>
      </c>
    </row>
    <row r="5" spans="1:7" x14ac:dyDescent="0.25">
      <c r="A5" s="8">
        <v>42611.094814814816</v>
      </c>
      <c r="B5" s="23" t="s">
        <v>149</v>
      </c>
      <c r="C5" s="23" t="s">
        <v>319</v>
      </c>
      <c r="D5" s="23">
        <v>1800000</v>
      </c>
      <c r="E5" s="23" t="s">
        <v>174</v>
      </c>
      <c r="F5" s="23" t="str">
        <f t="shared" si="0"/>
        <v>rtdc.l.rtdc.4038:itc</v>
      </c>
      <c r="G5" s="8">
        <f t="shared" si="1"/>
        <v>42611.094814814816</v>
      </c>
    </row>
    <row r="6" spans="1:7" x14ac:dyDescent="0.25">
      <c r="A6" s="8">
        <v>42611.132511574076</v>
      </c>
      <c r="B6" s="23" t="s">
        <v>114</v>
      </c>
      <c r="C6" s="23" t="s">
        <v>360</v>
      </c>
      <c r="D6" s="23">
        <v>2030000</v>
      </c>
      <c r="E6" s="23" t="s">
        <v>303</v>
      </c>
      <c r="F6" s="23" t="str">
        <f t="shared" si="0"/>
        <v>rtdc.l.rtdc.4031:itc</v>
      </c>
      <c r="G6" s="8">
        <f t="shared" si="1"/>
        <v>42611.132511574076</v>
      </c>
    </row>
    <row r="7" spans="1:7" x14ac:dyDescent="0.25">
      <c r="A7" s="8">
        <v>42611.153668981482</v>
      </c>
      <c r="B7" s="23" t="s">
        <v>185</v>
      </c>
      <c r="C7" s="23" t="s">
        <v>361</v>
      </c>
      <c r="D7" s="23">
        <v>1260000</v>
      </c>
      <c r="E7" s="23" t="s">
        <v>302</v>
      </c>
      <c r="F7" s="23" t="str">
        <f t="shared" si="0"/>
        <v>rtdc.l.rtdc.4003:itc</v>
      </c>
      <c r="G7" s="8">
        <f t="shared" si="1"/>
        <v>42611.153668981482</v>
      </c>
    </row>
    <row r="8" spans="1:7" x14ac:dyDescent="0.25">
      <c r="A8" s="8">
        <v>42611.165879629632</v>
      </c>
      <c r="B8" s="23" t="s">
        <v>91</v>
      </c>
      <c r="C8" s="23" t="s">
        <v>362</v>
      </c>
      <c r="D8" s="23">
        <v>1190000</v>
      </c>
      <c r="E8" s="23" t="s">
        <v>363</v>
      </c>
      <c r="F8" s="23" t="str">
        <f t="shared" si="0"/>
        <v>rtdc.l.rtdc.4029:itc</v>
      </c>
      <c r="G8" s="8">
        <f t="shared" si="1"/>
        <v>42611.165879629632</v>
      </c>
    </row>
    <row r="9" spans="1:7" ht="15.75" thickBot="1" x14ac:dyDescent="0.3">
      <c r="A9" s="27">
        <v>42611.166967592595</v>
      </c>
      <c r="B9" s="23" t="s">
        <v>91</v>
      </c>
      <c r="C9" s="23" t="s">
        <v>362</v>
      </c>
      <c r="D9" s="23">
        <v>1190000</v>
      </c>
      <c r="E9" s="23" t="s">
        <v>363</v>
      </c>
      <c r="F9" s="23" t="str">
        <f t="shared" si="0"/>
        <v>rtdc.l.rtdc.4029:itc</v>
      </c>
      <c r="G9" s="8">
        <f t="shared" si="1"/>
        <v>42611.166967592595</v>
      </c>
    </row>
    <row r="10" spans="1:7" x14ac:dyDescent="0.25">
      <c r="A10" s="8">
        <v>42611.170636574076</v>
      </c>
      <c r="B10" s="23" t="s">
        <v>254</v>
      </c>
      <c r="C10" s="23" t="s">
        <v>364</v>
      </c>
      <c r="D10" s="23">
        <v>2030000</v>
      </c>
      <c r="E10" s="23" t="s">
        <v>303</v>
      </c>
      <c r="F10" s="23" t="str">
        <f t="shared" si="0"/>
        <v>rtdc.l.rtdc.4028:itc</v>
      </c>
      <c r="G10" s="8">
        <f t="shared" si="1"/>
        <v>42611.170636574076</v>
      </c>
    </row>
    <row r="11" spans="1:7" x14ac:dyDescent="0.25">
      <c r="A11" s="8">
        <v>42611.178425925929</v>
      </c>
      <c r="B11" s="23" t="s">
        <v>171</v>
      </c>
      <c r="C11" s="23" t="s">
        <v>365</v>
      </c>
      <c r="D11" s="23">
        <v>1090000</v>
      </c>
      <c r="E11" s="23" t="s">
        <v>366</v>
      </c>
      <c r="F11" s="23" t="str">
        <f t="shared" si="0"/>
        <v>rtdc.l.rtdc.4009:itc</v>
      </c>
      <c r="G11" s="8">
        <f t="shared" si="1"/>
        <v>42611.178425925929</v>
      </c>
    </row>
    <row r="12" spans="1:7" x14ac:dyDescent="0.25">
      <c r="A12" s="8">
        <v>42611.186354166668</v>
      </c>
      <c r="B12" s="23" t="s">
        <v>250</v>
      </c>
      <c r="C12" s="23" t="s">
        <v>367</v>
      </c>
      <c r="D12" s="23">
        <v>1830000</v>
      </c>
      <c r="E12" s="23" t="s">
        <v>304</v>
      </c>
      <c r="F12" s="23" t="str">
        <f t="shared" si="0"/>
        <v>rtdc.l.rtdc.4040:itc</v>
      </c>
      <c r="G12" s="8">
        <f t="shared" si="1"/>
        <v>42611.186354166668</v>
      </c>
    </row>
    <row r="13" spans="1:7" x14ac:dyDescent="0.25">
      <c r="A13" s="8">
        <v>42611.191030092596</v>
      </c>
      <c r="B13" s="23" t="s">
        <v>171</v>
      </c>
      <c r="C13" s="23" t="s">
        <v>365</v>
      </c>
      <c r="D13" s="23">
        <v>1090000</v>
      </c>
      <c r="E13" s="23" t="s">
        <v>366</v>
      </c>
      <c r="F13" s="23" t="str">
        <f t="shared" si="0"/>
        <v>rtdc.l.rtdc.4009:itc</v>
      </c>
      <c r="G13" s="8">
        <f t="shared" si="1"/>
        <v>42611.191030092596</v>
      </c>
    </row>
    <row r="14" spans="1:7" x14ac:dyDescent="0.25">
      <c r="A14" s="8">
        <v>42611.191238425927</v>
      </c>
      <c r="B14" s="23" t="s">
        <v>167</v>
      </c>
      <c r="C14" s="23" t="s">
        <v>368</v>
      </c>
      <c r="D14" s="23">
        <v>1260000</v>
      </c>
      <c r="E14" s="23" t="s">
        <v>302</v>
      </c>
      <c r="F14" s="23" t="str">
        <f t="shared" si="0"/>
        <v>rtdc.l.rtdc.4008:itc</v>
      </c>
      <c r="G14" s="8">
        <f t="shared" si="1"/>
        <v>42611.191238425927</v>
      </c>
    </row>
    <row r="15" spans="1:7" x14ac:dyDescent="0.25">
      <c r="A15" s="8">
        <v>42611.203159722223</v>
      </c>
      <c r="B15" s="23" t="s">
        <v>114</v>
      </c>
      <c r="C15" s="23" t="s">
        <v>369</v>
      </c>
      <c r="D15" s="23">
        <v>1110000</v>
      </c>
      <c r="E15" s="23" t="s">
        <v>309</v>
      </c>
      <c r="F15" s="23" t="str">
        <f t="shared" si="0"/>
        <v>rtdc.l.rtdc.4031:itc</v>
      </c>
      <c r="G15" s="8">
        <f t="shared" si="1"/>
        <v>42611.203159722223</v>
      </c>
    </row>
    <row r="16" spans="1:7" x14ac:dyDescent="0.25">
      <c r="A16" s="8">
        <v>42611.211157407408</v>
      </c>
      <c r="B16" s="23" t="s">
        <v>93</v>
      </c>
      <c r="C16" s="23" t="s">
        <v>370</v>
      </c>
      <c r="D16" s="23">
        <v>2030000</v>
      </c>
      <c r="E16" s="23" t="s">
        <v>303</v>
      </c>
      <c r="F16" s="23" t="str">
        <f t="shared" si="0"/>
        <v>rtdc.l.rtdc.4027:itc</v>
      </c>
      <c r="G16" s="8">
        <f t="shared" si="1"/>
        <v>42611.211157407408</v>
      </c>
    </row>
    <row r="17" spans="1:7" x14ac:dyDescent="0.25">
      <c r="A17" s="8">
        <v>42611.21398148148</v>
      </c>
      <c r="B17" s="23" t="s">
        <v>90</v>
      </c>
      <c r="C17" s="23" t="s">
        <v>371</v>
      </c>
      <c r="D17" s="23">
        <v>1990000</v>
      </c>
      <c r="E17" s="23" t="s">
        <v>251</v>
      </c>
      <c r="F17" s="23" t="str">
        <f t="shared" si="0"/>
        <v>rtdc.l.rtdc.4013:itc</v>
      </c>
      <c r="G17" s="8">
        <f t="shared" si="1"/>
        <v>42611.21398148148</v>
      </c>
    </row>
    <row r="18" spans="1:7" x14ac:dyDescent="0.25">
      <c r="A18" s="8">
        <v>42611.221435185187</v>
      </c>
      <c r="B18" s="23" t="s">
        <v>172</v>
      </c>
      <c r="C18" s="23" t="s">
        <v>372</v>
      </c>
      <c r="D18" s="23">
        <v>1090000</v>
      </c>
      <c r="E18" s="23" t="s">
        <v>366</v>
      </c>
      <c r="F18" s="23" t="str">
        <f t="shared" si="0"/>
        <v>rtdc.l.rtdc.4010:itc</v>
      </c>
      <c r="G18" s="8">
        <f t="shared" si="1"/>
        <v>42611.221435185187</v>
      </c>
    </row>
    <row r="19" spans="1:7" x14ac:dyDescent="0.25">
      <c r="A19" s="8">
        <v>42611.223854166667</v>
      </c>
      <c r="B19" s="23" t="s">
        <v>253</v>
      </c>
      <c r="C19" s="23" t="s">
        <v>373</v>
      </c>
      <c r="D19" s="23">
        <v>1830000</v>
      </c>
      <c r="E19" s="23" t="s">
        <v>304</v>
      </c>
      <c r="F19" s="23" t="str">
        <f t="shared" si="0"/>
        <v>rtdc.l.rtdc.4039:itc</v>
      </c>
      <c r="G19" s="8">
        <f t="shared" si="1"/>
        <v>42611.223854166667</v>
      </c>
    </row>
    <row r="20" spans="1:7" x14ac:dyDescent="0.25">
      <c r="A20" s="8">
        <v>42611.226041666669</v>
      </c>
      <c r="B20" s="23" t="s">
        <v>185</v>
      </c>
      <c r="C20" s="23" t="s">
        <v>374</v>
      </c>
      <c r="D20" s="23">
        <v>1310000</v>
      </c>
      <c r="E20" s="23" t="s">
        <v>252</v>
      </c>
      <c r="F20" s="23" t="str">
        <f t="shared" si="0"/>
        <v>rtdc.l.rtdc.4003:itc</v>
      </c>
      <c r="G20" s="8">
        <f t="shared" si="1"/>
        <v>42611.226041666669</v>
      </c>
    </row>
    <row r="21" spans="1:7" x14ac:dyDescent="0.25">
      <c r="A21" s="8">
        <v>42611.23400462963</v>
      </c>
      <c r="B21" s="23" t="s">
        <v>182</v>
      </c>
      <c r="C21" s="23" t="s">
        <v>375</v>
      </c>
      <c r="D21" s="23">
        <v>1260000</v>
      </c>
      <c r="E21" s="23" t="s">
        <v>302</v>
      </c>
      <c r="F21" s="23" t="str">
        <f t="shared" si="0"/>
        <v>rtdc.l.rtdc.4007:itc</v>
      </c>
      <c r="G21" s="8">
        <f t="shared" si="1"/>
        <v>42611.23400462963</v>
      </c>
    </row>
    <row r="22" spans="1:7" x14ac:dyDescent="0.25">
      <c r="A22" s="29">
        <v>42611.239131944443</v>
      </c>
      <c r="B22" s="23" t="s">
        <v>112</v>
      </c>
      <c r="C22" s="23" t="s">
        <v>376</v>
      </c>
      <c r="D22" s="23">
        <v>1990000</v>
      </c>
      <c r="E22" s="23" t="s">
        <v>251</v>
      </c>
      <c r="F22" s="23" t="str">
        <f t="shared" si="0"/>
        <v>rtdc.l.rtdc.4014:itc</v>
      </c>
      <c r="G22" s="8">
        <f t="shared" si="1"/>
        <v>42611.239131944443</v>
      </c>
    </row>
    <row r="23" spans="1:7" x14ac:dyDescent="0.25">
      <c r="A23" s="8">
        <v>42611.244976851849</v>
      </c>
      <c r="B23" s="23" t="s">
        <v>115</v>
      </c>
      <c r="C23" s="23" t="s">
        <v>377</v>
      </c>
      <c r="D23" s="23">
        <v>1110000</v>
      </c>
      <c r="E23" s="23" t="s">
        <v>309</v>
      </c>
      <c r="F23" s="23" t="str">
        <f t="shared" si="0"/>
        <v>rtdc.l.rtdc.4032:itc</v>
      </c>
      <c r="G23" s="8">
        <f t="shared" si="1"/>
        <v>42611.244976851849</v>
      </c>
    </row>
    <row r="24" spans="1:7" x14ac:dyDescent="0.25">
      <c r="A24" s="8">
        <v>42611.250694444447</v>
      </c>
      <c r="B24" s="23" t="s">
        <v>254</v>
      </c>
      <c r="C24" s="23" t="s">
        <v>378</v>
      </c>
      <c r="D24" s="23">
        <v>2030000</v>
      </c>
      <c r="E24" s="23" t="s">
        <v>303</v>
      </c>
      <c r="F24" s="23" t="str">
        <f t="shared" si="0"/>
        <v>rtdc.l.rtdc.4028:itc</v>
      </c>
      <c r="G24" s="8">
        <f t="shared" si="1"/>
        <v>42611.250694444447</v>
      </c>
    </row>
    <row r="25" spans="1:7" x14ac:dyDescent="0.25">
      <c r="A25" s="8">
        <v>42611.251226851855</v>
      </c>
      <c r="B25" s="23" t="s">
        <v>91</v>
      </c>
      <c r="C25" s="23" t="s">
        <v>379</v>
      </c>
      <c r="D25" s="23">
        <v>1190000</v>
      </c>
      <c r="E25" s="23" t="s">
        <v>363</v>
      </c>
      <c r="F25" s="23" t="str">
        <f t="shared" si="0"/>
        <v>rtdc.l.rtdc.4029:itc</v>
      </c>
      <c r="G25" s="8">
        <f t="shared" si="1"/>
        <v>42611.251226851855</v>
      </c>
    </row>
    <row r="26" spans="1:7" x14ac:dyDescent="0.25">
      <c r="A26" s="8">
        <v>42611.252175925925</v>
      </c>
      <c r="B26" s="23" t="s">
        <v>91</v>
      </c>
      <c r="C26" s="23" t="s">
        <v>379</v>
      </c>
      <c r="D26" s="23">
        <v>1190000</v>
      </c>
      <c r="E26" s="23" t="s">
        <v>363</v>
      </c>
      <c r="F26" s="23" t="str">
        <f t="shared" si="0"/>
        <v>rtdc.l.rtdc.4029:itc</v>
      </c>
      <c r="G26" s="8">
        <f t="shared" si="1"/>
        <v>42611.252175925925</v>
      </c>
    </row>
    <row r="27" spans="1:7" x14ac:dyDescent="0.25">
      <c r="A27" s="8">
        <v>42611.255844907406</v>
      </c>
      <c r="B27" s="23" t="s">
        <v>90</v>
      </c>
      <c r="C27" s="23" t="s">
        <v>380</v>
      </c>
      <c r="D27" s="23">
        <v>1990000</v>
      </c>
      <c r="E27" s="23" t="s">
        <v>251</v>
      </c>
      <c r="F27" s="23" t="str">
        <f t="shared" si="0"/>
        <v>rtdc.l.rtdc.4013:itc</v>
      </c>
      <c r="G27" s="8">
        <f t="shared" si="1"/>
        <v>42611.255844907406</v>
      </c>
    </row>
    <row r="28" spans="1:7" x14ac:dyDescent="0.25">
      <c r="A28" s="8">
        <v>42611.257141203707</v>
      </c>
      <c r="B28" s="23" t="s">
        <v>171</v>
      </c>
      <c r="C28" s="23" t="s">
        <v>381</v>
      </c>
      <c r="D28" s="23">
        <v>1090000</v>
      </c>
      <c r="E28" s="23" t="s">
        <v>366</v>
      </c>
      <c r="F28" s="23" t="str">
        <f t="shared" si="0"/>
        <v>rtdc.l.rtdc.4009:itc</v>
      </c>
      <c r="G28" s="8">
        <f t="shared" si="1"/>
        <v>42611.257141203707</v>
      </c>
    </row>
    <row r="29" spans="1:7" x14ac:dyDescent="0.25">
      <c r="A29" s="8">
        <v>42611.261678240742</v>
      </c>
      <c r="B29" s="23" t="s">
        <v>382</v>
      </c>
      <c r="C29" s="23" t="s">
        <v>383</v>
      </c>
      <c r="D29" s="23">
        <v>1360000</v>
      </c>
      <c r="E29" s="23" t="s">
        <v>384</v>
      </c>
      <c r="F29" s="23" t="str">
        <f t="shared" si="0"/>
        <v>rtdc.l.rtdc.4018:itc</v>
      </c>
      <c r="G29" s="8">
        <f t="shared" si="1"/>
        <v>42611.261678240742</v>
      </c>
    </row>
    <row r="30" spans="1:7" x14ac:dyDescent="0.25">
      <c r="A30" s="8">
        <v>42611.266099537039</v>
      </c>
      <c r="B30" s="23" t="s">
        <v>250</v>
      </c>
      <c r="C30" s="23" t="s">
        <v>385</v>
      </c>
      <c r="D30" s="23">
        <v>1830000</v>
      </c>
      <c r="E30" s="23" t="s">
        <v>304</v>
      </c>
      <c r="F30" s="23" t="str">
        <f t="shared" si="0"/>
        <v>rtdc.l.rtdc.4040:itc</v>
      </c>
      <c r="G30" s="8">
        <f t="shared" si="1"/>
        <v>42611.266099537039</v>
      </c>
    </row>
    <row r="31" spans="1:7" x14ac:dyDescent="0.25">
      <c r="A31" s="8">
        <v>42611.266886574071</v>
      </c>
      <c r="B31" s="23" t="s">
        <v>199</v>
      </c>
      <c r="C31" s="23" t="s">
        <v>386</v>
      </c>
      <c r="D31" s="23">
        <v>1310000</v>
      </c>
      <c r="E31" s="23" t="s">
        <v>252</v>
      </c>
      <c r="F31" s="23" t="str">
        <f t="shared" si="0"/>
        <v>rtdc.l.rtdc.4004:itc</v>
      </c>
      <c r="G31" s="8">
        <f t="shared" si="1"/>
        <v>42611.266886574071</v>
      </c>
    </row>
    <row r="32" spans="1:7" x14ac:dyDescent="0.25">
      <c r="A32" s="8">
        <v>42611.272685185184</v>
      </c>
      <c r="B32" s="23" t="s">
        <v>167</v>
      </c>
      <c r="C32" s="23" t="s">
        <v>387</v>
      </c>
      <c r="D32" s="23">
        <v>1260000</v>
      </c>
      <c r="E32" s="23" t="s">
        <v>302</v>
      </c>
      <c r="F32" s="23" t="str">
        <f t="shared" si="0"/>
        <v>rtdc.l.rtdc.4008:itc</v>
      </c>
      <c r="G32" s="8">
        <f t="shared" si="1"/>
        <v>42611.272685185184</v>
      </c>
    </row>
    <row r="33" spans="1:7" x14ac:dyDescent="0.25">
      <c r="A33" s="8">
        <v>42611.277557870373</v>
      </c>
      <c r="B33" s="23" t="s">
        <v>114</v>
      </c>
      <c r="C33" s="23" t="s">
        <v>388</v>
      </c>
      <c r="D33" s="23">
        <v>1110000</v>
      </c>
      <c r="E33" s="23" t="s">
        <v>309</v>
      </c>
      <c r="F33" s="23" t="str">
        <f t="shared" si="0"/>
        <v>rtdc.l.rtdc.4031:itc</v>
      </c>
      <c r="G33" s="8">
        <f t="shared" si="1"/>
        <v>42611.277557870373</v>
      </c>
    </row>
    <row r="34" spans="1:7" x14ac:dyDescent="0.25">
      <c r="A34" s="8">
        <v>42611.278229166666</v>
      </c>
      <c r="B34" s="23" t="s">
        <v>389</v>
      </c>
      <c r="C34" s="23" t="s">
        <v>390</v>
      </c>
      <c r="D34" s="23">
        <v>1360000</v>
      </c>
      <c r="E34" s="23" t="s">
        <v>384</v>
      </c>
      <c r="F34" s="23" t="str">
        <f t="shared" si="0"/>
        <v>rtdc.l.rtdc.4017:itc</v>
      </c>
      <c r="G34" s="8">
        <f t="shared" si="1"/>
        <v>42611.278229166666</v>
      </c>
    </row>
    <row r="35" spans="1:7" x14ac:dyDescent="0.25">
      <c r="A35" s="8">
        <v>42611.283171296294</v>
      </c>
      <c r="B35" s="23" t="s">
        <v>112</v>
      </c>
      <c r="C35" s="23" t="s">
        <v>391</v>
      </c>
      <c r="D35" s="23">
        <v>1990000</v>
      </c>
      <c r="E35" s="23" t="s">
        <v>251</v>
      </c>
      <c r="F35" s="23" t="str">
        <f t="shared" si="0"/>
        <v>rtdc.l.rtdc.4014:itc</v>
      </c>
      <c r="G35" s="8">
        <f t="shared" si="1"/>
        <v>42611.283171296294</v>
      </c>
    </row>
    <row r="36" spans="1:7" x14ac:dyDescent="0.25">
      <c r="A36" s="8">
        <v>42611.28628472222</v>
      </c>
      <c r="B36" s="23" t="s">
        <v>92</v>
      </c>
      <c r="C36" s="23" t="s">
        <v>392</v>
      </c>
      <c r="D36" s="23">
        <v>1190000</v>
      </c>
      <c r="E36" s="23" t="s">
        <v>363</v>
      </c>
      <c r="F36" s="23" t="str">
        <f t="shared" si="0"/>
        <v>rtdc.l.rtdc.4030:itc</v>
      </c>
      <c r="G36" s="8">
        <f t="shared" si="1"/>
        <v>42611.28628472222</v>
      </c>
    </row>
    <row r="37" spans="1:7" x14ac:dyDescent="0.25">
      <c r="A37" s="8">
        <v>42611.288587962961</v>
      </c>
      <c r="B37" s="23" t="s">
        <v>93</v>
      </c>
      <c r="C37" s="23" t="s">
        <v>393</v>
      </c>
      <c r="D37" s="23">
        <v>2030000</v>
      </c>
      <c r="E37" s="23" t="s">
        <v>303</v>
      </c>
      <c r="F37" s="23" t="str">
        <f t="shared" si="0"/>
        <v>rtdc.l.rtdc.4027:itc</v>
      </c>
      <c r="G37" s="8">
        <f t="shared" si="1"/>
        <v>42611.288587962961</v>
      </c>
    </row>
    <row r="38" spans="1:7" x14ac:dyDescent="0.25">
      <c r="A38" s="8">
        <v>42611.29173611111</v>
      </c>
      <c r="B38" s="23" t="s">
        <v>382</v>
      </c>
      <c r="C38" s="23" t="s">
        <v>394</v>
      </c>
      <c r="D38" s="23">
        <v>1360000</v>
      </c>
      <c r="E38" s="23" t="s">
        <v>384</v>
      </c>
      <c r="F38" s="23" t="str">
        <f t="shared" si="0"/>
        <v>rtdc.l.rtdc.4018:itc</v>
      </c>
      <c r="G38" s="8">
        <f t="shared" si="1"/>
        <v>42611.29173611111</v>
      </c>
    </row>
    <row r="39" spans="1:7" x14ac:dyDescent="0.25">
      <c r="A39" s="8">
        <v>42611.295694444445</v>
      </c>
      <c r="B39" s="23" t="s">
        <v>172</v>
      </c>
      <c r="C39" s="23" t="s">
        <v>395</v>
      </c>
      <c r="D39" s="23">
        <v>1090000</v>
      </c>
      <c r="E39" s="23" t="s">
        <v>366</v>
      </c>
      <c r="F39" s="23" t="str">
        <f t="shared" si="0"/>
        <v>rtdc.l.rtdc.4010:itc</v>
      </c>
      <c r="G39" s="8">
        <f t="shared" si="1"/>
        <v>42611.295694444445</v>
      </c>
    </row>
    <row r="40" spans="1:7" x14ac:dyDescent="0.25">
      <c r="A40" s="8">
        <v>42611.296458333331</v>
      </c>
      <c r="B40" s="28" t="s">
        <v>90</v>
      </c>
      <c r="C40" s="23" t="s">
        <v>396</v>
      </c>
      <c r="D40" s="23">
        <v>1990000</v>
      </c>
      <c r="E40" s="23" t="s">
        <v>251</v>
      </c>
      <c r="F40" s="23" t="str">
        <f t="shared" si="0"/>
        <v>rtdc.l.rtdc.4013:itc</v>
      </c>
      <c r="G40" s="8">
        <f t="shared" si="1"/>
        <v>42611.296458333331</v>
      </c>
    </row>
    <row r="41" spans="1:7" x14ac:dyDescent="0.25">
      <c r="A41" s="8">
        <v>42611.297731481478</v>
      </c>
      <c r="B41" s="23" t="s">
        <v>253</v>
      </c>
      <c r="C41" s="23" t="s">
        <v>397</v>
      </c>
      <c r="D41" s="23">
        <v>1830000</v>
      </c>
      <c r="E41" s="23" t="s">
        <v>304</v>
      </c>
      <c r="F41" s="23" t="str">
        <f t="shared" si="0"/>
        <v>rtdc.l.rtdc.4039:itc</v>
      </c>
      <c r="G41" s="8">
        <f t="shared" si="1"/>
        <v>42611.297731481478</v>
      </c>
    </row>
    <row r="42" spans="1:7" x14ac:dyDescent="0.25">
      <c r="A42" s="8">
        <v>42611.300925925927</v>
      </c>
      <c r="B42" s="23" t="s">
        <v>185</v>
      </c>
      <c r="C42" s="23" t="s">
        <v>398</v>
      </c>
      <c r="D42" s="23">
        <v>1310000</v>
      </c>
      <c r="E42" s="23" t="s">
        <v>252</v>
      </c>
      <c r="F42" s="23" t="str">
        <f t="shared" si="0"/>
        <v>rtdc.l.rtdc.4003:itc</v>
      </c>
      <c r="G42" s="8">
        <f t="shared" si="1"/>
        <v>42611.300925925927</v>
      </c>
    </row>
    <row r="43" spans="1:7" x14ac:dyDescent="0.25">
      <c r="A43" s="8">
        <v>42611.309525462966</v>
      </c>
      <c r="B43" s="23" t="s">
        <v>182</v>
      </c>
      <c r="C43" s="23" t="s">
        <v>399</v>
      </c>
      <c r="D43" s="23">
        <v>1260000</v>
      </c>
      <c r="E43" s="23" t="s">
        <v>302</v>
      </c>
      <c r="F43" s="23" t="str">
        <f t="shared" si="0"/>
        <v>rtdc.l.rtdc.4007:itc</v>
      </c>
      <c r="G43" s="8">
        <f t="shared" si="1"/>
        <v>42611.309525462966</v>
      </c>
    </row>
    <row r="44" spans="1:7" x14ac:dyDescent="0.25">
      <c r="A44" s="8">
        <v>42611.316874999997</v>
      </c>
      <c r="B44" s="23" t="s">
        <v>115</v>
      </c>
      <c r="C44" s="23" t="s">
        <v>400</v>
      </c>
      <c r="D44" s="23">
        <v>1110000</v>
      </c>
      <c r="E44" s="23" t="s">
        <v>309</v>
      </c>
      <c r="F44" s="23" t="str">
        <f t="shared" si="0"/>
        <v>rtdc.l.rtdc.4032:itc</v>
      </c>
      <c r="G44" s="8">
        <f t="shared" si="1"/>
        <v>42611.316874999997</v>
      </c>
    </row>
    <row r="45" spans="1:7" x14ac:dyDescent="0.25">
      <c r="A45" s="8">
        <v>42611.317187499997</v>
      </c>
      <c r="B45" s="23" t="s">
        <v>389</v>
      </c>
      <c r="C45" s="23" t="s">
        <v>401</v>
      </c>
      <c r="D45" s="23">
        <v>1360000</v>
      </c>
      <c r="E45" s="23" t="s">
        <v>384</v>
      </c>
      <c r="F45" s="23" t="str">
        <f t="shared" si="0"/>
        <v>rtdc.l.rtdc.4017:itc</v>
      </c>
      <c r="G45" s="8">
        <f t="shared" si="1"/>
        <v>42611.317187499997</v>
      </c>
    </row>
    <row r="46" spans="1:7" x14ac:dyDescent="0.25">
      <c r="A46" s="8">
        <v>42611.319398148145</v>
      </c>
      <c r="B46" s="23" t="s">
        <v>91</v>
      </c>
      <c r="C46" s="23" t="s">
        <v>402</v>
      </c>
      <c r="D46" s="23">
        <v>1190000</v>
      </c>
      <c r="E46" s="23" t="s">
        <v>363</v>
      </c>
      <c r="F46" s="23" t="str">
        <f t="shared" si="0"/>
        <v>rtdc.l.rtdc.4029:itc</v>
      </c>
      <c r="G46" s="8">
        <f t="shared" si="1"/>
        <v>42611.319398148145</v>
      </c>
    </row>
    <row r="47" spans="1:7" x14ac:dyDescent="0.25">
      <c r="A47" s="8">
        <v>42611.321226851855</v>
      </c>
      <c r="B47" s="23" t="s">
        <v>112</v>
      </c>
      <c r="C47" s="23" t="s">
        <v>403</v>
      </c>
      <c r="D47" s="23">
        <v>1990000</v>
      </c>
      <c r="E47" s="23" t="s">
        <v>251</v>
      </c>
      <c r="F47" s="23" t="str">
        <f t="shared" si="0"/>
        <v>rtdc.l.rtdc.4014:itc</v>
      </c>
      <c r="G47" s="8">
        <f t="shared" si="1"/>
        <v>42611.321226851855</v>
      </c>
    </row>
    <row r="48" spans="1:7" x14ac:dyDescent="0.25">
      <c r="A48" s="8">
        <v>42611.323344907411</v>
      </c>
      <c r="B48" s="23" t="s">
        <v>254</v>
      </c>
      <c r="C48" s="23" t="s">
        <v>404</v>
      </c>
      <c r="D48" s="23">
        <v>2030000</v>
      </c>
      <c r="E48" s="23" t="s">
        <v>303</v>
      </c>
      <c r="F48" s="23" t="str">
        <f t="shared" si="0"/>
        <v>rtdc.l.rtdc.4028:itc</v>
      </c>
      <c r="G48" s="8">
        <f t="shared" si="1"/>
        <v>42611.323344907411</v>
      </c>
    </row>
    <row r="49" spans="1:7" x14ac:dyDescent="0.25">
      <c r="A49" s="8">
        <v>42611.329641203702</v>
      </c>
      <c r="B49" s="23" t="s">
        <v>171</v>
      </c>
      <c r="C49" s="23" t="s">
        <v>405</v>
      </c>
      <c r="D49" s="23">
        <v>1090000</v>
      </c>
      <c r="E49" s="23" t="s">
        <v>366</v>
      </c>
      <c r="F49" s="23" t="str">
        <f t="shared" si="0"/>
        <v>rtdc.l.rtdc.4009:itc</v>
      </c>
      <c r="G49" s="8">
        <f t="shared" si="1"/>
        <v>42611.329641203702</v>
      </c>
    </row>
    <row r="50" spans="1:7" x14ac:dyDescent="0.25">
      <c r="A50" s="8">
        <v>42611.332731481481</v>
      </c>
      <c r="B50" s="23" t="s">
        <v>382</v>
      </c>
      <c r="C50" s="23" t="s">
        <v>406</v>
      </c>
      <c r="D50" s="23">
        <v>1360000</v>
      </c>
      <c r="E50" s="23" t="s">
        <v>384</v>
      </c>
      <c r="F50" s="23" t="str">
        <f t="shared" si="0"/>
        <v>rtdc.l.rtdc.4018:itc</v>
      </c>
      <c r="G50" s="8">
        <f t="shared" si="1"/>
        <v>42611.332731481481</v>
      </c>
    </row>
    <row r="51" spans="1:7" x14ac:dyDescent="0.25">
      <c r="A51" s="8">
        <v>42611.337071759262</v>
      </c>
      <c r="B51" s="23" t="s">
        <v>250</v>
      </c>
      <c r="C51" s="23" t="s">
        <v>407</v>
      </c>
      <c r="D51" s="23">
        <v>1830000</v>
      </c>
      <c r="E51" s="23" t="s">
        <v>304</v>
      </c>
      <c r="F51" s="23" t="str">
        <f t="shared" si="0"/>
        <v>rtdc.l.rtdc.4040:itc</v>
      </c>
      <c r="G51" s="8">
        <f t="shared" si="1"/>
        <v>42611.337071759262</v>
      </c>
    </row>
    <row r="52" spans="1:7" x14ac:dyDescent="0.25">
      <c r="A52" s="8">
        <v>42611.337604166663</v>
      </c>
      <c r="B52" s="23" t="s">
        <v>90</v>
      </c>
      <c r="C52" s="23" t="s">
        <v>408</v>
      </c>
      <c r="D52" s="23">
        <v>1990000</v>
      </c>
      <c r="E52" s="23" t="s">
        <v>251</v>
      </c>
      <c r="F52" s="23" t="str">
        <f t="shared" si="0"/>
        <v>rtdc.l.rtdc.4013:itc</v>
      </c>
      <c r="G52" s="8">
        <f t="shared" si="1"/>
        <v>42611.337604166663</v>
      </c>
    </row>
    <row r="53" spans="1:7" x14ac:dyDescent="0.25">
      <c r="A53" s="8">
        <v>42611.339097222219</v>
      </c>
      <c r="B53" s="23" t="s">
        <v>199</v>
      </c>
      <c r="C53" s="23" t="s">
        <v>409</v>
      </c>
      <c r="D53" s="23">
        <v>1310000</v>
      </c>
      <c r="E53" s="23" t="s">
        <v>252</v>
      </c>
      <c r="F53" s="23" t="str">
        <f t="shared" si="0"/>
        <v>rtdc.l.rtdc.4004:itc</v>
      </c>
      <c r="G53" s="8">
        <f t="shared" si="1"/>
        <v>42611.339097222219</v>
      </c>
    </row>
    <row r="54" spans="1:7" x14ac:dyDescent="0.25">
      <c r="A54" s="8">
        <v>42611.34611111111</v>
      </c>
      <c r="B54" s="23" t="s">
        <v>167</v>
      </c>
      <c r="C54" s="23" t="s">
        <v>410</v>
      </c>
      <c r="D54" s="23">
        <v>1260000</v>
      </c>
      <c r="E54" s="23" t="s">
        <v>302</v>
      </c>
      <c r="F54" s="23" t="str">
        <f t="shared" si="0"/>
        <v>rtdc.l.rtdc.4008:itc</v>
      </c>
      <c r="G54" s="8">
        <f t="shared" si="1"/>
        <v>42611.34611111111</v>
      </c>
    </row>
    <row r="55" spans="1:7" x14ac:dyDescent="0.25">
      <c r="A55" s="8">
        <v>42611.351574074077</v>
      </c>
      <c r="B55" s="23" t="s">
        <v>114</v>
      </c>
      <c r="C55" s="23" t="s">
        <v>411</v>
      </c>
      <c r="D55" s="23">
        <v>1110000</v>
      </c>
      <c r="E55" s="23" t="s">
        <v>309</v>
      </c>
      <c r="F55" s="23" t="str">
        <f t="shared" si="0"/>
        <v>rtdc.l.rtdc.4031:itc</v>
      </c>
      <c r="G55" s="8">
        <f t="shared" si="1"/>
        <v>42611.351574074077</v>
      </c>
    </row>
    <row r="56" spans="1:7" x14ac:dyDescent="0.25">
      <c r="A56" s="8">
        <v>42611.356134259258</v>
      </c>
      <c r="B56" s="23" t="s">
        <v>92</v>
      </c>
      <c r="C56" s="23" t="s">
        <v>412</v>
      </c>
      <c r="D56" s="23">
        <v>1190000</v>
      </c>
      <c r="E56" s="23" t="s">
        <v>363</v>
      </c>
      <c r="F56" s="23" t="str">
        <f t="shared" si="0"/>
        <v>rtdc.l.rtdc.4030:itc</v>
      </c>
      <c r="G56" s="8">
        <f t="shared" si="1"/>
        <v>42611.356134259258</v>
      </c>
    </row>
    <row r="57" spans="1:7" x14ac:dyDescent="0.25">
      <c r="A57" s="8">
        <v>42611.359085648146</v>
      </c>
      <c r="B57" s="23" t="s">
        <v>389</v>
      </c>
      <c r="C57" s="23" t="s">
        <v>413</v>
      </c>
      <c r="D57" s="23">
        <v>1360000</v>
      </c>
      <c r="E57" s="23" t="s">
        <v>384</v>
      </c>
      <c r="F57" s="23" t="str">
        <f t="shared" si="0"/>
        <v>rtdc.l.rtdc.4017:itc</v>
      </c>
      <c r="G57" s="8">
        <f t="shared" si="1"/>
        <v>42611.359085648146</v>
      </c>
    </row>
    <row r="58" spans="1:7" x14ac:dyDescent="0.25">
      <c r="A58" s="8">
        <v>42611.362453703703</v>
      </c>
      <c r="B58" s="23" t="s">
        <v>93</v>
      </c>
      <c r="C58" s="23" t="s">
        <v>414</v>
      </c>
      <c r="D58" s="23">
        <v>2030000</v>
      </c>
      <c r="E58" s="23" t="s">
        <v>303</v>
      </c>
      <c r="F58" s="23" t="str">
        <f t="shared" si="0"/>
        <v>rtdc.l.rtdc.4027:itc</v>
      </c>
      <c r="G58" s="8">
        <f t="shared" si="1"/>
        <v>42611.362453703703</v>
      </c>
    </row>
    <row r="59" spans="1:7" x14ac:dyDescent="0.25">
      <c r="A59" s="8">
        <v>42611.365914351853</v>
      </c>
      <c r="B59" s="23" t="s">
        <v>172</v>
      </c>
      <c r="C59" s="23" t="s">
        <v>415</v>
      </c>
      <c r="D59" s="23">
        <v>1090000</v>
      </c>
      <c r="E59" s="23" t="s">
        <v>366</v>
      </c>
      <c r="F59" s="23" t="str">
        <f t="shared" si="0"/>
        <v>rtdc.l.rtdc.4010:itc</v>
      </c>
      <c r="G59" s="8">
        <f t="shared" si="1"/>
        <v>42611.365914351853</v>
      </c>
    </row>
    <row r="60" spans="1:7" x14ac:dyDescent="0.25">
      <c r="A60" s="8">
        <v>42611.374131944445</v>
      </c>
      <c r="B60" s="23" t="s">
        <v>185</v>
      </c>
      <c r="C60" s="23" t="s">
        <v>416</v>
      </c>
      <c r="D60" s="23">
        <v>1310000</v>
      </c>
      <c r="E60" s="23" t="s">
        <v>252</v>
      </c>
      <c r="F60" s="23" t="str">
        <f t="shared" si="0"/>
        <v>rtdc.l.rtdc.4003:itc</v>
      </c>
      <c r="G60" s="8">
        <f t="shared" si="1"/>
        <v>42611.374131944445</v>
      </c>
    </row>
    <row r="61" spans="1:7" x14ac:dyDescent="0.25">
      <c r="A61" s="8">
        <v>42611.374849537038</v>
      </c>
      <c r="B61" s="23" t="s">
        <v>382</v>
      </c>
      <c r="C61" s="23" t="s">
        <v>417</v>
      </c>
      <c r="D61" s="23">
        <v>1360000</v>
      </c>
      <c r="E61" s="23" t="s">
        <v>384</v>
      </c>
      <c r="F61" s="23" t="str">
        <f t="shared" si="0"/>
        <v>rtdc.l.rtdc.4018:itc</v>
      </c>
      <c r="G61" s="8">
        <f t="shared" si="1"/>
        <v>42611.374849537038</v>
      </c>
    </row>
    <row r="62" spans="1:7" x14ac:dyDescent="0.25">
      <c r="A62" s="8">
        <v>42611.381712962961</v>
      </c>
      <c r="B62" s="23" t="s">
        <v>182</v>
      </c>
      <c r="C62" s="23" t="s">
        <v>418</v>
      </c>
      <c r="D62" s="23">
        <v>1260000</v>
      </c>
      <c r="E62" s="23" t="s">
        <v>302</v>
      </c>
      <c r="F62" s="23" t="str">
        <f t="shared" si="0"/>
        <v>rtdc.l.rtdc.4007:itc</v>
      </c>
      <c r="G62" s="8">
        <f t="shared" si="1"/>
        <v>42611.381712962961</v>
      </c>
    </row>
    <row r="63" spans="1:7" x14ac:dyDescent="0.25">
      <c r="A63" s="8">
        <v>42611.3830787037</v>
      </c>
      <c r="B63" s="23" t="s">
        <v>253</v>
      </c>
      <c r="C63" s="23" t="s">
        <v>419</v>
      </c>
      <c r="D63" s="23">
        <v>1830000</v>
      </c>
      <c r="E63" s="23" t="s">
        <v>304</v>
      </c>
      <c r="F63" s="23" t="str">
        <f t="shared" si="0"/>
        <v>rtdc.l.rtdc.4039:itc</v>
      </c>
      <c r="G63" s="8">
        <f t="shared" si="1"/>
        <v>42611.3830787037</v>
      </c>
    </row>
    <row r="64" spans="1:7" x14ac:dyDescent="0.25">
      <c r="A64" s="29">
        <v>42611.39099537037</v>
      </c>
      <c r="B64" s="23" t="s">
        <v>115</v>
      </c>
      <c r="C64" s="23" t="s">
        <v>420</v>
      </c>
      <c r="D64" s="23">
        <v>1110000</v>
      </c>
      <c r="E64" s="23" t="s">
        <v>309</v>
      </c>
      <c r="F64" s="23" t="str">
        <f t="shared" si="0"/>
        <v>rtdc.l.rtdc.4032:itc</v>
      </c>
      <c r="G64" s="8">
        <f t="shared" si="1"/>
        <v>42611.39099537037</v>
      </c>
    </row>
    <row r="65" spans="1:7" x14ac:dyDescent="0.25">
      <c r="A65" s="8">
        <v>42611.392129629632</v>
      </c>
      <c r="B65" s="23" t="s">
        <v>91</v>
      </c>
      <c r="C65" s="23" t="s">
        <v>421</v>
      </c>
      <c r="D65" s="23">
        <v>1190000</v>
      </c>
      <c r="E65" s="23" t="s">
        <v>363</v>
      </c>
      <c r="F65" s="23" t="str">
        <f t="shared" si="0"/>
        <v>rtdc.l.rtdc.4029:itc</v>
      </c>
      <c r="G65" s="8">
        <f t="shared" si="1"/>
        <v>42611.392129629632</v>
      </c>
    </row>
    <row r="66" spans="1:7" x14ac:dyDescent="0.25">
      <c r="A66" s="8">
        <v>42611.39739583333</v>
      </c>
      <c r="B66" s="23" t="s">
        <v>254</v>
      </c>
      <c r="C66" s="23" t="s">
        <v>422</v>
      </c>
      <c r="D66" s="23">
        <v>2030000</v>
      </c>
      <c r="E66" s="23" t="s">
        <v>303</v>
      </c>
      <c r="F66" s="23" t="str">
        <f t="shared" ref="F66:F129" si="2">B66</f>
        <v>rtdc.l.rtdc.4028:itc</v>
      </c>
      <c r="G66" s="8">
        <f t="shared" ref="G66:G129" si="3">A66</f>
        <v>42611.39739583333</v>
      </c>
    </row>
    <row r="67" spans="1:7" x14ac:dyDescent="0.25">
      <c r="A67" s="8">
        <v>42611.400104166663</v>
      </c>
      <c r="B67" s="23" t="s">
        <v>389</v>
      </c>
      <c r="C67" s="23" t="s">
        <v>423</v>
      </c>
      <c r="D67" s="23">
        <v>1360000</v>
      </c>
      <c r="E67" s="23" t="s">
        <v>384</v>
      </c>
      <c r="F67" s="23" t="str">
        <f t="shared" si="2"/>
        <v>rtdc.l.rtdc.4017:itc</v>
      </c>
      <c r="G67" s="8">
        <f t="shared" si="3"/>
        <v>42611.400104166663</v>
      </c>
    </row>
    <row r="68" spans="1:7" x14ac:dyDescent="0.25">
      <c r="A68" s="8">
        <v>42611.405486111114</v>
      </c>
      <c r="B68" s="23" t="s">
        <v>171</v>
      </c>
      <c r="C68" s="23" t="s">
        <v>424</v>
      </c>
      <c r="D68" s="23">
        <v>1090000</v>
      </c>
      <c r="E68" s="23" t="s">
        <v>366</v>
      </c>
      <c r="F68" s="23" t="str">
        <f t="shared" si="2"/>
        <v>rtdc.l.rtdc.4009:itc</v>
      </c>
      <c r="G68" s="8">
        <f t="shared" si="3"/>
        <v>42611.405486111114</v>
      </c>
    </row>
    <row r="69" spans="1:7" x14ac:dyDescent="0.25">
      <c r="A69" s="8">
        <v>42611.410497685189</v>
      </c>
      <c r="B69" s="23" t="s">
        <v>250</v>
      </c>
      <c r="C69" s="23" t="s">
        <v>425</v>
      </c>
      <c r="D69" s="23">
        <v>1830000</v>
      </c>
      <c r="E69" s="23" t="s">
        <v>304</v>
      </c>
      <c r="F69" s="23" t="str">
        <f t="shared" si="2"/>
        <v>rtdc.l.rtdc.4040:itc</v>
      </c>
      <c r="G69" s="8">
        <f t="shared" si="3"/>
        <v>42611.410497685189</v>
      </c>
    </row>
    <row r="70" spans="1:7" x14ac:dyDescent="0.25">
      <c r="A70" s="8">
        <v>42611.412303240744</v>
      </c>
      <c r="B70" s="23" t="s">
        <v>199</v>
      </c>
      <c r="C70" s="23" t="s">
        <v>426</v>
      </c>
      <c r="D70" s="23">
        <v>1310000</v>
      </c>
      <c r="E70" s="23" t="s">
        <v>252</v>
      </c>
      <c r="F70" s="23" t="str">
        <f t="shared" si="2"/>
        <v>rtdc.l.rtdc.4004:itc</v>
      </c>
      <c r="G70" s="8">
        <f t="shared" si="3"/>
        <v>42611.412303240744</v>
      </c>
    </row>
    <row r="71" spans="1:7" x14ac:dyDescent="0.25">
      <c r="A71" s="8">
        <v>42611.414664351854</v>
      </c>
      <c r="B71" s="23" t="s">
        <v>382</v>
      </c>
      <c r="C71" s="23" t="s">
        <v>427</v>
      </c>
      <c r="D71" s="23">
        <v>1360000</v>
      </c>
      <c r="E71" s="23" t="s">
        <v>384</v>
      </c>
      <c r="F71" s="23" t="str">
        <f t="shared" si="2"/>
        <v>rtdc.l.rtdc.4018:itc</v>
      </c>
      <c r="G71" s="8">
        <f t="shared" si="3"/>
        <v>42611.414664351854</v>
      </c>
    </row>
    <row r="72" spans="1:7" x14ac:dyDescent="0.25">
      <c r="A72" s="8">
        <v>42611.42114583333</v>
      </c>
      <c r="B72" s="23" t="s">
        <v>167</v>
      </c>
      <c r="C72" s="23" t="s">
        <v>428</v>
      </c>
      <c r="D72" s="23">
        <v>1260000</v>
      </c>
      <c r="E72" s="23" t="s">
        <v>302</v>
      </c>
      <c r="F72" s="23" t="str">
        <f t="shared" si="2"/>
        <v>rtdc.l.rtdc.4008:itc</v>
      </c>
      <c r="G72" s="8">
        <f t="shared" si="3"/>
        <v>42611.42114583333</v>
      </c>
    </row>
    <row r="73" spans="1:7" x14ac:dyDescent="0.25">
      <c r="A73" s="8">
        <v>42611.424375000002</v>
      </c>
      <c r="B73" s="23" t="s">
        <v>114</v>
      </c>
      <c r="C73" s="23" t="s">
        <v>429</v>
      </c>
      <c r="D73" s="23">
        <v>1110000</v>
      </c>
      <c r="E73" s="23" t="s">
        <v>309</v>
      </c>
      <c r="F73" s="23" t="str">
        <f t="shared" si="2"/>
        <v>rtdc.l.rtdc.4031:itc</v>
      </c>
      <c r="G73" s="8">
        <f t="shared" si="3"/>
        <v>42611.424375000002</v>
      </c>
    </row>
    <row r="74" spans="1:7" x14ac:dyDescent="0.25">
      <c r="A74" s="8">
        <v>42611.433506944442</v>
      </c>
      <c r="B74" s="23" t="s">
        <v>92</v>
      </c>
      <c r="C74" s="23" t="s">
        <v>430</v>
      </c>
      <c r="D74" s="23">
        <v>1190000</v>
      </c>
      <c r="E74" s="23" t="s">
        <v>363</v>
      </c>
      <c r="F74" s="23" t="str">
        <f t="shared" si="2"/>
        <v>rtdc.l.rtdc.4030:itc</v>
      </c>
      <c r="G74" s="8">
        <f t="shared" si="3"/>
        <v>42611.433506944442</v>
      </c>
    </row>
    <row r="75" spans="1:7" x14ac:dyDescent="0.25">
      <c r="A75" s="8">
        <v>42611.434201388889</v>
      </c>
      <c r="B75" s="23" t="s">
        <v>93</v>
      </c>
      <c r="C75" s="23" t="s">
        <v>431</v>
      </c>
      <c r="D75" s="23">
        <v>1990000</v>
      </c>
      <c r="E75" s="23" t="s">
        <v>251</v>
      </c>
      <c r="F75" s="23" t="str">
        <f t="shared" si="2"/>
        <v>rtdc.l.rtdc.4027:itc</v>
      </c>
      <c r="G75" s="8">
        <f t="shared" si="3"/>
        <v>42611.434201388889</v>
      </c>
    </row>
    <row r="76" spans="1:7" x14ac:dyDescent="0.25">
      <c r="A76" s="8">
        <v>42611.442210648151</v>
      </c>
      <c r="B76" s="23" t="s">
        <v>253</v>
      </c>
      <c r="C76" s="23" t="s">
        <v>432</v>
      </c>
      <c r="D76" s="23">
        <v>1830000</v>
      </c>
      <c r="E76" s="23" t="s">
        <v>304</v>
      </c>
      <c r="F76" s="23" t="str">
        <f t="shared" si="2"/>
        <v>rtdc.l.rtdc.4039:itc</v>
      </c>
      <c r="G76" s="8">
        <f t="shared" si="3"/>
        <v>42611.442210648151</v>
      </c>
    </row>
    <row r="77" spans="1:7" x14ac:dyDescent="0.25">
      <c r="A77" s="8">
        <v>42611.442499999997</v>
      </c>
      <c r="B77" s="23" t="s">
        <v>389</v>
      </c>
      <c r="C77" s="23" t="s">
        <v>433</v>
      </c>
      <c r="D77" s="23">
        <v>1360000</v>
      </c>
      <c r="E77" s="23" t="s">
        <v>384</v>
      </c>
      <c r="F77" s="23" t="str">
        <f t="shared" si="2"/>
        <v>rtdc.l.rtdc.4017:itc</v>
      </c>
      <c r="G77" s="8">
        <f t="shared" si="3"/>
        <v>42611.442499999997</v>
      </c>
    </row>
    <row r="78" spans="1:7" x14ac:dyDescent="0.25">
      <c r="A78" s="8">
        <v>42611.44326388889</v>
      </c>
      <c r="B78" s="23" t="s">
        <v>172</v>
      </c>
      <c r="C78" s="23" t="s">
        <v>434</v>
      </c>
      <c r="D78" s="23">
        <v>1090000</v>
      </c>
      <c r="E78" s="23" t="s">
        <v>366</v>
      </c>
      <c r="F78" s="23" t="str">
        <f t="shared" si="2"/>
        <v>rtdc.l.rtdc.4010:itc</v>
      </c>
      <c r="G78" s="8">
        <f t="shared" si="3"/>
        <v>42611.44326388889</v>
      </c>
    </row>
    <row r="79" spans="1:7" x14ac:dyDescent="0.25">
      <c r="A79" s="8">
        <v>42611.447488425925</v>
      </c>
      <c r="B79" s="23" t="s">
        <v>185</v>
      </c>
      <c r="C79" s="23" t="s">
        <v>435</v>
      </c>
      <c r="D79" s="23">
        <v>1310000</v>
      </c>
      <c r="E79" s="23" t="s">
        <v>252</v>
      </c>
      <c r="F79" s="23" t="str">
        <f t="shared" si="2"/>
        <v>rtdc.l.rtdc.4003:itc</v>
      </c>
      <c r="G79" s="8">
        <f t="shared" si="3"/>
        <v>42611.447488425925</v>
      </c>
    </row>
    <row r="80" spans="1:7" x14ac:dyDescent="0.25">
      <c r="A80" s="8">
        <v>42611.456979166665</v>
      </c>
      <c r="B80" s="23" t="s">
        <v>182</v>
      </c>
      <c r="C80" s="23" t="s">
        <v>436</v>
      </c>
      <c r="D80" s="23">
        <v>880000</v>
      </c>
      <c r="E80" s="23" t="s">
        <v>255</v>
      </c>
      <c r="F80" s="23" t="str">
        <f t="shared" si="2"/>
        <v>rtdc.l.rtdc.4007:itc</v>
      </c>
      <c r="G80" s="8">
        <f t="shared" si="3"/>
        <v>42611.456979166665</v>
      </c>
    </row>
    <row r="81" spans="1:7" x14ac:dyDescent="0.25">
      <c r="A81" s="8">
        <v>42611.457731481481</v>
      </c>
      <c r="B81" s="23" t="s">
        <v>382</v>
      </c>
      <c r="C81" s="23" t="s">
        <v>437</v>
      </c>
      <c r="D81" s="23">
        <v>1360000</v>
      </c>
      <c r="E81" s="23" t="s">
        <v>384</v>
      </c>
      <c r="F81" s="23" t="str">
        <f t="shared" si="2"/>
        <v>rtdc.l.rtdc.4018:itc</v>
      </c>
      <c r="G81" s="8">
        <f t="shared" si="3"/>
        <v>42611.457731481481</v>
      </c>
    </row>
    <row r="82" spans="1:7" x14ac:dyDescent="0.25">
      <c r="A82" s="8">
        <v>42611.463877314818</v>
      </c>
      <c r="B82" s="23" t="s">
        <v>91</v>
      </c>
      <c r="C82" s="23" t="s">
        <v>438</v>
      </c>
      <c r="D82" s="23">
        <v>1280000</v>
      </c>
      <c r="E82" s="23" t="s">
        <v>305</v>
      </c>
      <c r="F82" s="23" t="str">
        <f t="shared" si="2"/>
        <v>rtdc.l.rtdc.4029:itc</v>
      </c>
      <c r="G82" s="8">
        <f t="shared" si="3"/>
        <v>42611.463877314818</v>
      </c>
    </row>
    <row r="83" spans="1:7" x14ac:dyDescent="0.25">
      <c r="A83" s="8">
        <v>42611.463888888888</v>
      </c>
      <c r="B83" s="23" t="s">
        <v>115</v>
      </c>
      <c r="C83" s="23" t="s">
        <v>439</v>
      </c>
      <c r="D83" s="23">
        <v>1110000</v>
      </c>
      <c r="E83" s="23" t="s">
        <v>309</v>
      </c>
      <c r="F83" s="23" t="str">
        <f t="shared" si="2"/>
        <v>rtdc.l.rtdc.4032:itc</v>
      </c>
      <c r="G83" s="8">
        <f t="shared" si="3"/>
        <v>42611.463888888888</v>
      </c>
    </row>
    <row r="84" spans="1:7" x14ac:dyDescent="0.25">
      <c r="A84" s="8">
        <v>42611.472858796296</v>
      </c>
      <c r="B84" s="23" t="s">
        <v>254</v>
      </c>
      <c r="C84" s="23" t="s">
        <v>440</v>
      </c>
      <c r="D84" s="23">
        <v>1990000</v>
      </c>
      <c r="E84" s="23" t="s">
        <v>251</v>
      </c>
      <c r="F84" s="23" t="str">
        <f t="shared" si="2"/>
        <v>rtdc.l.rtdc.4028:itc</v>
      </c>
      <c r="G84" s="8">
        <f t="shared" si="3"/>
        <v>42611.472858796296</v>
      </c>
    </row>
    <row r="85" spans="1:7" x14ac:dyDescent="0.25">
      <c r="A85" s="8">
        <v>42611.475474537037</v>
      </c>
      <c r="B85" s="23" t="s">
        <v>171</v>
      </c>
      <c r="C85" s="23" t="s">
        <v>441</v>
      </c>
      <c r="D85" s="23">
        <v>1780000</v>
      </c>
      <c r="E85" s="23" t="s">
        <v>306</v>
      </c>
      <c r="F85" s="23" t="str">
        <f t="shared" si="2"/>
        <v>rtdc.l.rtdc.4009:itc</v>
      </c>
      <c r="G85" s="8">
        <f t="shared" si="3"/>
        <v>42611.475474537037</v>
      </c>
    </row>
    <row r="86" spans="1:7" x14ac:dyDescent="0.25">
      <c r="A86" s="8">
        <v>42611.479270833333</v>
      </c>
      <c r="B86" s="23" t="s">
        <v>115</v>
      </c>
      <c r="C86" s="23" t="s">
        <v>439</v>
      </c>
      <c r="D86" s="23">
        <v>1110000</v>
      </c>
      <c r="E86" s="23" t="s">
        <v>309</v>
      </c>
      <c r="F86" s="23" t="str">
        <f t="shared" si="2"/>
        <v>rtdc.l.rtdc.4032:itc</v>
      </c>
      <c r="G86" s="8">
        <f t="shared" si="3"/>
        <v>42611.479270833333</v>
      </c>
    </row>
    <row r="87" spans="1:7" x14ac:dyDescent="0.25">
      <c r="A87" s="8">
        <v>42611.480081018519</v>
      </c>
      <c r="B87" s="23" t="s">
        <v>115</v>
      </c>
      <c r="C87" s="23" t="s">
        <v>439</v>
      </c>
      <c r="D87" s="23">
        <v>1110000</v>
      </c>
      <c r="E87" s="23" t="s">
        <v>309</v>
      </c>
      <c r="F87" s="23" t="str">
        <f t="shared" si="2"/>
        <v>rtdc.l.rtdc.4032:itc</v>
      </c>
      <c r="G87" s="8">
        <f t="shared" si="3"/>
        <v>42611.480081018519</v>
      </c>
    </row>
    <row r="88" spans="1:7" x14ac:dyDescent="0.25">
      <c r="A88" s="8">
        <v>42611.483877314815</v>
      </c>
      <c r="B88" s="23" t="s">
        <v>389</v>
      </c>
      <c r="C88" s="23" t="s">
        <v>442</v>
      </c>
      <c r="D88" s="23">
        <v>1360000</v>
      </c>
      <c r="E88" s="23" t="s">
        <v>384</v>
      </c>
      <c r="F88" s="23" t="str">
        <f t="shared" si="2"/>
        <v>rtdc.l.rtdc.4017:itc</v>
      </c>
      <c r="G88" s="8">
        <f t="shared" si="3"/>
        <v>42611.483877314815</v>
      </c>
    </row>
    <row r="89" spans="1:7" x14ac:dyDescent="0.25">
      <c r="A89" s="8">
        <v>42611.485844907409</v>
      </c>
      <c r="B89" s="23" t="s">
        <v>199</v>
      </c>
      <c r="C89" s="23" t="s">
        <v>443</v>
      </c>
      <c r="D89" s="23">
        <v>1310000</v>
      </c>
      <c r="E89" s="23" t="s">
        <v>252</v>
      </c>
      <c r="F89" s="23" t="str">
        <f t="shared" si="2"/>
        <v>rtdc.l.rtdc.4004:itc</v>
      </c>
      <c r="G89" s="8">
        <f t="shared" si="3"/>
        <v>42611.485844907409</v>
      </c>
    </row>
    <row r="90" spans="1:7" x14ac:dyDescent="0.25">
      <c r="A90" s="8">
        <v>42611.488865740743</v>
      </c>
      <c r="B90" s="23" t="s">
        <v>250</v>
      </c>
      <c r="C90" s="23" t="s">
        <v>444</v>
      </c>
      <c r="D90" s="23">
        <v>930000</v>
      </c>
      <c r="E90" s="23" t="s">
        <v>310</v>
      </c>
      <c r="F90" s="23" t="str">
        <f t="shared" si="2"/>
        <v>rtdc.l.rtdc.4040:itc</v>
      </c>
      <c r="G90" s="8">
        <f t="shared" si="3"/>
        <v>42611.488865740743</v>
      </c>
    </row>
    <row r="91" spans="1:7" x14ac:dyDescent="0.25">
      <c r="A91" s="8">
        <v>42611.495289351849</v>
      </c>
      <c r="B91" s="23" t="s">
        <v>167</v>
      </c>
      <c r="C91" s="23" t="s">
        <v>445</v>
      </c>
      <c r="D91" s="23">
        <v>890000</v>
      </c>
      <c r="E91" s="23" t="s">
        <v>446</v>
      </c>
      <c r="F91" s="23" t="str">
        <f t="shared" si="2"/>
        <v>rtdc.l.rtdc.4008:itc</v>
      </c>
      <c r="G91" s="8">
        <f t="shared" si="3"/>
        <v>42611.495289351849</v>
      </c>
    </row>
    <row r="92" spans="1:7" x14ac:dyDescent="0.25">
      <c r="A92" s="8">
        <v>42611.499351851853</v>
      </c>
      <c r="B92" s="23" t="s">
        <v>92</v>
      </c>
      <c r="C92" s="23" t="s">
        <v>447</v>
      </c>
      <c r="D92" s="23">
        <v>1280000</v>
      </c>
      <c r="E92" s="23" t="s">
        <v>305</v>
      </c>
      <c r="F92" s="23" t="str">
        <f t="shared" si="2"/>
        <v>rtdc.l.rtdc.4030:itc</v>
      </c>
      <c r="G92" s="8">
        <f t="shared" si="3"/>
        <v>42611.499351851853</v>
      </c>
    </row>
    <row r="93" spans="1:7" x14ac:dyDescent="0.25">
      <c r="A93" s="8">
        <v>42611.500439814816</v>
      </c>
      <c r="B93" s="23" t="s">
        <v>382</v>
      </c>
      <c r="C93" s="23" t="s">
        <v>448</v>
      </c>
      <c r="D93" s="23">
        <v>1360000</v>
      </c>
      <c r="E93" s="23" t="s">
        <v>384</v>
      </c>
      <c r="F93" s="23" t="str">
        <f t="shared" si="2"/>
        <v>rtdc.l.rtdc.4018:itc</v>
      </c>
      <c r="G93" s="8">
        <f t="shared" si="3"/>
        <v>42611.500439814816</v>
      </c>
    </row>
    <row r="94" spans="1:7" x14ac:dyDescent="0.25">
      <c r="A94" s="8">
        <v>42611.500891203701</v>
      </c>
      <c r="B94" s="23" t="s">
        <v>114</v>
      </c>
      <c r="C94" s="23" t="s">
        <v>449</v>
      </c>
      <c r="D94" s="23">
        <v>1140000</v>
      </c>
      <c r="E94" s="23" t="s">
        <v>311</v>
      </c>
      <c r="F94" s="23" t="str">
        <f t="shared" si="2"/>
        <v>rtdc.l.rtdc.4031:itc</v>
      </c>
      <c r="G94" s="8">
        <f t="shared" si="3"/>
        <v>42611.500891203701</v>
      </c>
    </row>
    <row r="95" spans="1:7" x14ac:dyDescent="0.25">
      <c r="A95" s="8">
        <v>42611.508113425924</v>
      </c>
      <c r="B95" s="23" t="s">
        <v>93</v>
      </c>
      <c r="C95" s="23" t="s">
        <v>450</v>
      </c>
      <c r="D95" s="23">
        <v>1540000</v>
      </c>
      <c r="E95" s="23" t="s">
        <v>451</v>
      </c>
      <c r="F95" s="23" t="str">
        <f t="shared" si="2"/>
        <v>rtdc.l.rtdc.4027:itc</v>
      </c>
      <c r="G95" s="8">
        <f t="shared" si="3"/>
        <v>42611.508113425924</v>
      </c>
    </row>
    <row r="96" spans="1:7" x14ac:dyDescent="0.25">
      <c r="A96" s="8">
        <v>42611.515543981484</v>
      </c>
      <c r="B96" s="23" t="s">
        <v>172</v>
      </c>
      <c r="C96" s="23" t="s">
        <v>452</v>
      </c>
      <c r="D96" s="23">
        <v>1780000</v>
      </c>
      <c r="E96" s="23" t="s">
        <v>306</v>
      </c>
      <c r="F96" s="23" t="str">
        <f t="shared" si="2"/>
        <v>rtdc.l.rtdc.4010:itc</v>
      </c>
      <c r="G96" s="8">
        <f t="shared" si="3"/>
        <v>42611.515543981484</v>
      </c>
    </row>
    <row r="97" spans="1:7" x14ac:dyDescent="0.25">
      <c r="A97" s="8">
        <v>42611.51902777778</v>
      </c>
      <c r="B97" s="23" t="s">
        <v>185</v>
      </c>
      <c r="C97" s="23" t="s">
        <v>453</v>
      </c>
      <c r="D97" s="23">
        <v>2020000</v>
      </c>
      <c r="E97" s="23" t="s">
        <v>247</v>
      </c>
      <c r="F97" s="23" t="str">
        <f t="shared" si="2"/>
        <v>rtdc.l.rtdc.4003:itc</v>
      </c>
      <c r="G97" s="8">
        <f t="shared" si="3"/>
        <v>42611.51902777778</v>
      </c>
    </row>
    <row r="98" spans="1:7" x14ac:dyDescent="0.25">
      <c r="A98" s="8">
        <v>42611.525405092594</v>
      </c>
      <c r="B98" s="23" t="s">
        <v>253</v>
      </c>
      <c r="C98" s="23" t="s">
        <v>454</v>
      </c>
      <c r="D98" s="23">
        <v>930000</v>
      </c>
      <c r="E98" s="23" t="s">
        <v>310</v>
      </c>
      <c r="F98" s="23" t="str">
        <f t="shared" si="2"/>
        <v>rtdc.l.rtdc.4039:itc</v>
      </c>
      <c r="G98" s="8">
        <f t="shared" si="3"/>
        <v>42611.525405092594</v>
      </c>
    </row>
    <row r="99" spans="1:7" x14ac:dyDescent="0.25">
      <c r="A99" s="8">
        <v>42611.526087962964</v>
      </c>
      <c r="B99" s="23" t="s">
        <v>389</v>
      </c>
      <c r="C99" s="23" t="s">
        <v>455</v>
      </c>
      <c r="D99" s="23">
        <v>1360000</v>
      </c>
      <c r="E99" s="23" t="s">
        <v>384</v>
      </c>
      <c r="F99" s="23" t="str">
        <f t="shared" si="2"/>
        <v>rtdc.l.rtdc.4017:itc</v>
      </c>
      <c r="G99" s="8">
        <f t="shared" si="3"/>
        <v>42611.526087962964</v>
      </c>
    </row>
    <row r="100" spans="1:7" x14ac:dyDescent="0.25">
      <c r="A100" s="8">
        <v>42611.529456018521</v>
      </c>
      <c r="B100" s="23" t="s">
        <v>182</v>
      </c>
      <c r="C100" s="23" t="s">
        <v>456</v>
      </c>
      <c r="D100" s="23">
        <v>880000</v>
      </c>
      <c r="E100" s="23" t="s">
        <v>255</v>
      </c>
      <c r="F100" s="23" t="str">
        <f t="shared" si="2"/>
        <v>rtdc.l.rtdc.4007:itc</v>
      </c>
      <c r="G100" s="8">
        <f t="shared" si="3"/>
        <v>42611.529456018521</v>
      </c>
    </row>
    <row r="101" spans="1:7" x14ac:dyDescent="0.25">
      <c r="A101" s="8">
        <v>42611.538124999999</v>
      </c>
      <c r="B101" s="23" t="s">
        <v>115</v>
      </c>
      <c r="C101" s="23" t="s">
        <v>457</v>
      </c>
      <c r="D101" s="23">
        <v>1140000</v>
      </c>
      <c r="E101" s="23" t="s">
        <v>311</v>
      </c>
      <c r="F101" s="23" t="str">
        <f t="shared" si="2"/>
        <v>rtdc.l.rtdc.4032:itc</v>
      </c>
      <c r="G101" s="8">
        <f t="shared" si="3"/>
        <v>42611.538124999999</v>
      </c>
    </row>
    <row r="102" spans="1:7" x14ac:dyDescent="0.25">
      <c r="A102" s="8">
        <v>42611.539548611108</v>
      </c>
      <c r="B102" s="23" t="s">
        <v>91</v>
      </c>
      <c r="C102" s="23" t="s">
        <v>458</v>
      </c>
      <c r="D102" s="23">
        <v>1280000</v>
      </c>
      <c r="E102" s="23" t="s">
        <v>305</v>
      </c>
      <c r="F102" s="23" t="str">
        <f t="shared" si="2"/>
        <v>rtdc.l.rtdc.4029:itc</v>
      </c>
      <c r="G102" s="8">
        <f t="shared" si="3"/>
        <v>42611.539548611108</v>
      </c>
    </row>
    <row r="103" spans="1:7" x14ac:dyDescent="0.25">
      <c r="A103" s="8">
        <v>42611.544560185182</v>
      </c>
      <c r="B103" s="23" t="s">
        <v>254</v>
      </c>
      <c r="C103" s="23" t="s">
        <v>459</v>
      </c>
      <c r="D103" s="23">
        <v>1540000</v>
      </c>
      <c r="E103" s="23" t="s">
        <v>451</v>
      </c>
      <c r="F103" s="23" t="str">
        <f t="shared" si="2"/>
        <v>rtdc.l.rtdc.4028:itc</v>
      </c>
      <c r="G103" s="8">
        <f t="shared" si="3"/>
        <v>42611.544560185182</v>
      </c>
    </row>
    <row r="104" spans="1:7" x14ac:dyDescent="0.25">
      <c r="A104" s="8">
        <v>42611.547384259262</v>
      </c>
      <c r="B104" s="23" t="s">
        <v>382</v>
      </c>
      <c r="C104" s="23" t="s">
        <v>460</v>
      </c>
      <c r="D104" s="23">
        <v>2140000</v>
      </c>
      <c r="E104" s="23" t="s">
        <v>461</v>
      </c>
      <c r="F104" s="23" t="str">
        <f t="shared" si="2"/>
        <v>rtdc.l.rtdc.4018:itc</v>
      </c>
      <c r="G104" s="8">
        <f t="shared" si="3"/>
        <v>42611.547384259262</v>
      </c>
    </row>
    <row r="105" spans="1:7" x14ac:dyDescent="0.25">
      <c r="A105" s="8">
        <v>42611.549953703703</v>
      </c>
      <c r="B105" s="23" t="s">
        <v>171</v>
      </c>
      <c r="C105" s="23" t="s">
        <v>462</v>
      </c>
      <c r="D105" s="23">
        <v>1780000</v>
      </c>
      <c r="E105" s="23" t="s">
        <v>306</v>
      </c>
      <c r="F105" s="23" t="str">
        <f t="shared" si="2"/>
        <v>rtdc.l.rtdc.4009:itc</v>
      </c>
      <c r="G105" s="8">
        <f t="shared" si="3"/>
        <v>42611.549953703703</v>
      </c>
    </row>
    <row r="106" spans="1:7" x14ac:dyDescent="0.25">
      <c r="A106" s="8">
        <v>42611.555613425924</v>
      </c>
      <c r="B106" s="23" t="s">
        <v>199</v>
      </c>
      <c r="C106" s="23" t="s">
        <v>463</v>
      </c>
      <c r="D106" s="23">
        <v>2020000</v>
      </c>
      <c r="E106" s="23" t="s">
        <v>247</v>
      </c>
      <c r="F106" s="23" t="str">
        <f t="shared" si="2"/>
        <v>rtdc.l.rtdc.4004:itc</v>
      </c>
      <c r="G106" s="8">
        <f t="shared" si="3"/>
        <v>42611.555613425924</v>
      </c>
    </row>
    <row r="107" spans="1:7" x14ac:dyDescent="0.25">
      <c r="A107" s="8">
        <v>42611.561412037037</v>
      </c>
      <c r="B107" s="23" t="s">
        <v>250</v>
      </c>
      <c r="C107" s="23" t="s">
        <v>464</v>
      </c>
      <c r="D107" s="23">
        <v>930000</v>
      </c>
      <c r="E107" s="23" t="s">
        <v>310</v>
      </c>
      <c r="F107" s="23" t="str">
        <f t="shared" si="2"/>
        <v>rtdc.l.rtdc.4040:itc</v>
      </c>
      <c r="G107" s="8">
        <f t="shared" si="3"/>
        <v>42611.561412037037</v>
      </c>
    </row>
    <row r="108" spans="1:7" x14ac:dyDescent="0.25">
      <c r="A108" s="8">
        <v>42611.567523148151</v>
      </c>
      <c r="B108" s="23" t="s">
        <v>167</v>
      </c>
      <c r="C108" s="23" t="s">
        <v>465</v>
      </c>
      <c r="D108" s="23">
        <v>890000</v>
      </c>
      <c r="E108" s="23" t="s">
        <v>446</v>
      </c>
      <c r="F108" s="23" t="str">
        <f t="shared" si="2"/>
        <v>rtdc.l.rtdc.4008:itc</v>
      </c>
      <c r="G108" s="8">
        <f t="shared" si="3"/>
        <v>42611.567523148151</v>
      </c>
    </row>
    <row r="109" spans="1:7" x14ac:dyDescent="0.25">
      <c r="A109" s="8">
        <v>42611.568402777775</v>
      </c>
      <c r="B109" s="23" t="s">
        <v>389</v>
      </c>
      <c r="C109" s="23" t="s">
        <v>466</v>
      </c>
      <c r="D109" s="23">
        <v>2140000</v>
      </c>
      <c r="E109" s="23" t="s">
        <v>461</v>
      </c>
      <c r="F109" s="23" t="str">
        <f t="shared" si="2"/>
        <v>rtdc.l.rtdc.4017:itc</v>
      </c>
      <c r="G109" s="8">
        <f t="shared" si="3"/>
        <v>42611.568402777775</v>
      </c>
    </row>
    <row r="110" spans="1:7" x14ac:dyDescent="0.25">
      <c r="A110" s="8">
        <v>42611.571076388886</v>
      </c>
      <c r="B110" s="23" t="s">
        <v>92</v>
      </c>
      <c r="C110" s="23" t="s">
        <v>467</v>
      </c>
      <c r="D110" s="23">
        <v>1280000</v>
      </c>
      <c r="E110" s="23" t="s">
        <v>305</v>
      </c>
      <c r="F110" s="23" t="str">
        <f t="shared" si="2"/>
        <v>rtdc.l.rtdc.4030:itc</v>
      </c>
      <c r="G110" s="8">
        <f t="shared" si="3"/>
        <v>42611.571076388886</v>
      </c>
    </row>
    <row r="111" spans="1:7" x14ac:dyDescent="0.25">
      <c r="A111" s="8">
        <v>42611.571932870371</v>
      </c>
      <c r="B111" s="23" t="s">
        <v>114</v>
      </c>
      <c r="C111" s="23" t="s">
        <v>468</v>
      </c>
      <c r="D111" s="23">
        <v>1140000</v>
      </c>
      <c r="E111" s="23" t="s">
        <v>311</v>
      </c>
      <c r="F111" s="23" t="str">
        <f t="shared" si="2"/>
        <v>rtdc.l.rtdc.4031:itc</v>
      </c>
      <c r="G111" s="8">
        <f t="shared" si="3"/>
        <v>42611.571932870371</v>
      </c>
    </row>
    <row r="112" spans="1:7" x14ac:dyDescent="0.25">
      <c r="A112" s="8">
        <v>42611.581180555557</v>
      </c>
      <c r="B112" s="23" t="s">
        <v>93</v>
      </c>
      <c r="C112" s="23" t="s">
        <v>469</v>
      </c>
      <c r="D112" s="23">
        <v>1540000</v>
      </c>
      <c r="E112" s="23" t="s">
        <v>451</v>
      </c>
      <c r="F112" s="23" t="str">
        <f t="shared" si="2"/>
        <v>rtdc.l.rtdc.4027:itc</v>
      </c>
      <c r="G112" s="8">
        <f t="shared" si="3"/>
        <v>42611.581180555557</v>
      </c>
    </row>
    <row r="113" spans="1:7" x14ac:dyDescent="0.25">
      <c r="A113" s="8">
        <v>42611.587951388887</v>
      </c>
      <c r="B113" s="23" t="s">
        <v>172</v>
      </c>
      <c r="C113" s="23" t="s">
        <v>470</v>
      </c>
      <c r="D113" s="23">
        <v>1780000</v>
      </c>
      <c r="E113" s="23" t="s">
        <v>306</v>
      </c>
      <c r="F113" s="23" t="str">
        <f t="shared" si="2"/>
        <v>rtdc.l.rtdc.4010:itc</v>
      </c>
      <c r="G113" s="8">
        <f t="shared" si="3"/>
        <v>42611.587951388887</v>
      </c>
    </row>
    <row r="114" spans="1:7" x14ac:dyDescent="0.25">
      <c r="A114" s="8">
        <v>42611.590011574073</v>
      </c>
      <c r="B114" s="23" t="s">
        <v>185</v>
      </c>
      <c r="C114" s="23" t="s">
        <v>471</v>
      </c>
      <c r="D114" s="23">
        <v>2020000</v>
      </c>
      <c r="E114" s="23" t="s">
        <v>247</v>
      </c>
      <c r="F114" s="23" t="str">
        <f t="shared" si="2"/>
        <v>rtdc.l.rtdc.4003:itc</v>
      </c>
      <c r="G114" s="8">
        <f t="shared" si="3"/>
        <v>42611.590011574073</v>
      </c>
    </row>
    <row r="115" spans="1:7" x14ac:dyDescent="0.25">
      <c r="A115" s="8">
        <v>42611.592719907407</v>
      </c>
      <c r="B115" s="23" t="s">
        <v>382</v>
      </c>
      <c r="C115" s="23" t="s">
        <v>472</v>
      </c>
      <c r="D115" s="23">
        <v>2140000</v>
      </c>
      <c r="E115" s="23" t="s">
        <v>461</v>
      </c>
      <c r="F115" s="23" t="str">
        <f t="shared" si="2"/>
        <v>rtdc.l.rtdc.4018:itc</v>
      </c>
      <c r="G115" s="8">
        <f t="shared" si="3"/>
        <v>42611.592719907407</v>
      </c>
    </row>
    <row r="116" spans="1:7" x14ac:dyDescent="0.25">
      <c r="A116" s="8">
        <v>42611.59851851852</v>
      </c>
      <c r="B116" s="23" t="s">
        <v>253</v>
      </c>
      <c r="C116" s="23" t="s">
        <v>473</v>
      </c>
      <c r="D116" s="23">
        <v>930000</v>
      </c>
      <c r="E116" s="23" t="s">
        <v>310</v>
      </c>
      <c r="F116" s="23" t="str">
        <f t="shared" si="2"/>
        <v>rtdc.l.rtdc.4039:itc</v>
      </c>
      <c r="G116" s="8">
        <f t="shared" si="3"/>
        <v>42611.59851851852</v>
      </c>
    </row>
    <row r="117" spans="1:7" x14ac:dyDescent="0.25">
      <c r="A117" s="8">
        <v>42611.603263888886</v>
      </c>
      <c r="B117" s="23" t="s">
        <v>182</v>
      </c>
      <c r="C117" s="23" t="s">
        <v>474</v>
      </c>
      <c r="D117" s="23">
        <v>880000</v>
      </c>
      <c r="E117" s="23" t="s">
        <v>255</v>
      </c>
      <c r="F117" s="23" t="str">
        <f t="shared" si="2"/>
        <v>rtdc.l.rtdc.4007:itc</v>
      </c>
      <c r="G117" s="8">
        <f t="shared" si="3"/>
        <v>42611.603263888886</v>
      </c>
    </row>
    <row r="118" spans="1:7" x14ac:dyDescent="0.25">
      <c r="A118" s="8">
        <v>42611.61</v>
      </c>
      <c r="B118" s="23" t="s">
        <v>115</v>
      </c>
      <c r="C118" s="23" t="s">
        <v>475</v>
      </c>
      <c r="D118" s="23">
        <v>1140000</v>
      </c>
      <c r="E118" s="23" t="s">
        <v>311</v>
      </c>
      <c r="F118" s="23" t="str">
        <f t="shared" si="2"/>
        <v>rtdc.l.rtdc.4032:itc</v>
      </c>
      <c r="G118" s="8">
        <f t="shared" si="3"/>
        <v>42611.61</v>
      </c>
    </row>
    <row r="119" spans="1:7" x14ac:dyDescent="0.25">
      <c r="A119" s="8">
        <v>42611.610289351855</v>
      </c>
      <c r="B119" s="23" t="s">
        <v>389</v>
      </c>
      <c r="C119" s="23" t="s">
        <v>476</v>
      </c>
      <c r="D119" s="23">
        <v>2140000</v>
      </c>
      <c r="E119" s="23" t="s">
        <v>461</v>
      </c>
      <c r="F119" s="23" t="str">
        <f t="shared" si="2"/>
        <v>rtdc.l.rtdc.4017:itc</v>
      </c>
      <c r="G119" s="8">
        <f t="shared" si="3"/>
        <v>42611.610289351855</v>
      </c>
    </row>
    <row r="120" spans="1:7" x14ac:dyDescent="0.25">
      <c r="A120" s="8">
        <v>42611.612476851849</v>
      </c>
      <c r="B120" s="23" t="s">
        <v>91</v>
      </c>
      <c r="C120" s="23" t="s">
        <v>477</v>
      </c>
      <c r="D120" s="23">
        <v>1280000</v>
      </c>
      <c r="E120" s="23" t="s">
        <v>305</v>
      </c>
      <c r="F120" s="23" t="str">
        <f t="shared" si="2"/>
        <v>rtdc.l.rtdc.4029:itc</v>
      </c>
      <c r="G120" s="8">
        <f t="shared" si="3"/>
        <v>42611.612476851849</v>
      </c>
    </row>
    <row r="121" spans="1:7" x14ac:dyDescent="0.25">
      <c r="A121" s="8">
        <v>42611.618252314816</v>
      </c>
      <c r="B121" s="23" t="s">
        <v>254</v>
      </c>
      <c r="C121" s="23" t="s">
        <v>478</v>
      </c>
      <c r="D121" s="23">
        <v>1540000</v>
      </c>
      <c r="E121" s="23" t="s">
        <v>451</v>
      </c>
      <c r="F121" s="23" t="str">
        <f t="shared" si="2"/>
        <v>rtdc.l.rtdc.4028:itc</v>
      </c>
      <c r="G121" s="8">
        <f t="shared" si="3"/>
        <v>42611.618252314816</v>
      </c>
    </row>
    <row r="122" spans="1:7" x14ac:dyDescent="0.25">
      <c r="A122" s="8">
        <v>42611.621481481481</v>
      </c>
      <c r="B122" s="28" t="s">
        <v>171</v>
      </c>
      <c r="C122" s="23" t="s">
        <v>479</v>
      </c>
      <c r="D122" s="23">
        <v>1780000</v>
      </c>
      <c r="E122" s="23" t="s">
        <v>306</v>
      </c>
      <c r="F122" s="23" t="str">
        <f t="shared" si="2"/>
        <v>rtdc.l.rtdc.4009:itc</v>
      </c>
      <c r="G122" s="8">
        <f t="shared" si="3"/>
        <v>42611.621481481481</v>
      </c>
    </row>
    <row r="123" spans="1:7" x14ac:dyDescent="0.25">
      <c r="A123" s="8">
        <v>42611.626979166664</v>
      </c>
      <c r="B123" s="23" t="s">
        <v>199</v>
      </c>
      <c r="C123" s="23" t="s">
        <v>480</v>
      </c>
      <c r="D123" s="23">
        <v>2020000</v>
      </c>
      <c r="E123" s="23" t="s">
        <v>247</v>
      </c>
      <c r="F123" s="23" t="str">
        <f t="shared" si="2"/>
        <v>rtdc.l.rtdc.4004:itc</v>
      </c>
      <c r="G123" s="8">
        <f t="shared" si="3"/>
        <v>42611.626979166664</v>
      </c>
    </row>
    <row r="124" spans="1:7" x14ac:dyDescent="0.25">
      <c r="A124" s="8">
        <v>42611.632962962962</v>
      </c>
      <c r="B124" s="23" t="s">
        <v>382</v>
      </c>
      <c r="C124" s="23" t="s">
        <v>481</v>
      </c>
      <c r="D124" s="23">
        <v>2140000</v>
      </c>
      <c r="E124" s="23" t="s">
        <v>461</v>
      </c>
      <c r="F124" s="23" t="str">
        <f t="shared" si="2"/>
        <v>rtdc.l.rtdc.4018:itc</v>
      </c>
      <c r="G124" s="8">
        <f t="shared" si="3"/>
        <v>42611.632962962962</v>
      </c>
    </row>
    <row r="125" spans="1:7" x14ac:dyDescent="0.25">
      <c r="A125" s="8">
        <v>42611.63354166667</v>
      </c>
      <c r="B125" s="23" t="s">
        <v>250</v>
      </c>
      <c r="C125" s="23" t="s">
        <v>482</v>
      </c>
      <c r="D125" s="23">
        <v>930000</v>
      </c>
      <c r="E125" s="23" t="s">
        <v>310</v>
      </c>
      <c r="F125" s="23" t="str">
        <f t="shared" si="2"/>
        <v>rtdc.l.rtdc.4040:itc</v>
      </c>
      <c r="G125" s="8">
        <f t="shared" si="3"/>
        <v>42611.63354166667</v>
      </c>
    </row>
    <row r="126" spans="1:7" x14ac:dyDescent="0.25">
      <c r="A126" s="8">
        <v>42611.63590277778</v>
      </c>
      <c r="B126" s="23" t="s">
        <v>90</v>
      </c>
      <c r="C126" s="23" t="s">
        <v>483</v>
      </c>
      <c r="D126" s="23">
        <v>1290000</v>
      </c>
      <c r="E126" s="23" t="s">
        <v>313</v>
      </c>
      <c r="F126" s="23" t="str">
        <f t="shared" si="2"/>
        <v>rtdc.l.rtdc.4013:itc</v>
      </c>
      <c r="G126" s="8">
        <f t="shared" si="3"/>
        <v>42611.63590277778</v>
      </c>
    </row>
    <row r="127" spans="1:7" x14ac:dyDescent="0.25">
      <c r="A127" s="8">
        <v>42611.641527777778</v>
      </c>
      <c r="B127" s="23" t="s">
        <v>167</v>
      </c>
      <c r="C127" s="23" t="s">
        <v>484</v>
      </c>
      <c r="D127" s="23">
        <v>890000</v>
      </c>
      <c r="E127" s="23" t="s">
        <v>446</v>
      </c>
      <c r="F127" s="23" t="str">
        <f t="shared" si="2"/>
        <v>rtdc.l.rtdc.4008:itc</v>
      </c>
      <c r="G127" s="8">
        <f t="shared" si="3"/>
        <v>42611.641527777778</v>
      </c>
    </row>
    <row r="128" spans="1:7" x14ac:dyDescent="0.25">
      <c r="A128" s="8">
        <v>42611.642638888887</v>
      </c>
      <c r="B128" s="23" t="s">
        <v>92</v>
      </c>
      <c r="C128" s="23" t="s">
        <v>485</v>
      </c>
      <c r="D128" s="23">
        <v>1280000</v>
      </c>
      <c r="E128" s="23" t="s">
        <v>305</v>
      </c>
      <c r="F128" s="23" t="str">
        <f t="shared" si="2"/>
        <v>rtdc.l.rtdc.4030:itc</v>
      </c>
      <c r="G128" s="8">
        <f t="shared" si="3"/>
        <v>42611.642638888887</v>
      </c>
    </row>
    <row r="129" spans="1:7" x14ac:dyDescent="0.25">
      <c r="A129" s="8">
        <v>42611.644537037035</v>
      </c>
      <c r="B129" s="23" t="s">
        <v>114</v>
      </c>
      <c r="C129" s="23" t="s">
        <v>486</v>
      </c>
      <c r="D129" s="23">
        <v>1140000</v>
      </c>
      <c r="E129" s="23" t="s">
        <v>311</v>
      </c>
      <c r="F129" s="23" t="str">
        <f t="shared" si="2"/>
        <v>rtdc.l.rtdc.4031:itc</v>
      </c>
      <c r="G129" s="8">
        <f t="shared" si="3"/>
        <v>42611.644537037035</v>
      </c>
    </row>
    <row r="130" spans="1:7" x14ac:dyDescent="0.25">
      <c r="A130" s="8">
        <v>42611.651516203703</v>
      </c>
      <c r="B130" s="23" t="s">
        <v>389</v>
      </c>
      <c r="C130" s="23" t="s">
        <v>487</v>
      </c>
      <c r="D130" s="23">
        <v>2140000</v>
      </c>
      <c r="E130" s="23" t="s">
        <v>461</v>
      </c>
      <c r="F130" s="23" t="str">
        <f t="shared" ref="F130:F193" si="4">B130</f>
        <v>rtdc.l.rtdc.4017:itc</v>
      </c>
      <c r="G130" s="8">
        <f t="shared" ref="G130:G193" si="5">A130</f>
        <v>42611.651516203703</v>
      </c>
    </row>
    <row r="131" spans="1:7" x14ac:dyDescent="0.25">
      <c r="A131" s="8">
        <v>42611.654108796298</v>
      </c>
      <c r="B131" s="23" t="s">
        <v>93</v>
      </c>
      <c r="C131" s="23" t="s">
        <v>488</v>
      </c>
      <c r="D131" s="23">
        <v>1540000</v>
      </c>
      <c r="E131" s="23" t="s">
        <v>451</v>
      </c>
      <c r="F131" s="23" t="str">
        <f t="shared" si="4"/>
        <v>rtdc.l.rtdc.4027:itc</v>
      </c>
      <c r="G131" s="8">
        <f t="shared" si="5"/>
        <v>42611.654108796298</v>
      </c>
    </row>
    <row r="132" spans="1:7" x14ac:dyDescent="0.25">
      <c r="A132" s="8">
        <v>42611.656226851854</v>
      </c>
      <c r="B132" s="23" t="s">
        <v>112</v>
      </c>
      <c r="C132" s="23" t="s">
        <v>489</v>
      </c>
      <c r="D132" s="23">
        <v>1290000</v>
      </c>
      <c r="E132" s="23" t="s">
        <v>313</v>
      </c>
      <c r="F132" s="23" t="str">
        <f t="shared" si="4"/>
        <v>rtdc.l.rtdc.4014:itc</v>
      </c>
      <c r="G132" s="8">
        <f t="shared" si="5"/>
        <v>42611.656226851854</v>
      </c>
    </row>
    <row r="133" spans="1:7" x14ac:dyDescent="0.25">
      <c r="A133" s="8">
        <v>42611.66064814815</v>
      </c>
      <c r="B133" s="23" t="s">
        <v>172</v>
      </c>
      <c r="C133" s="23" t="s">
        <v>490</v>
      </c>
      <c r="D133" s="23">
        <v>1780000</v>
      </c>
      <c r="E133" s="23" t="s">
        <v>306</v>
      </c>
      <c r="F133" s="23" t="str">
        <f t="shared" si="4"/>
        <v>rtdc.l.rtdc.4010:itc</v>
      </c>
      <c r="G133" s="8">
        <f t="shared" si="5"/>
        <v>42611.66064814815</v>
      </c>
    </row>
    <row r="134" spans="1:7" x14ac:dyDescent="0.25">
      <c r="A134" s="8">
        <v>42611.661793981482</v>
      </c>
      <c r="B134" s="23" t="s">
        <v>185</v>
      </c>
      <c r="C134" s="23" t="s">
        <v>491</v>
      </c>
      <c r="D134" s="23">
        <v>2020000</v>
      </c>
      <c r="E134" s="23" t="s">
        <v>247</v>
      </c>
      <c r="F134" s="23" t="str">
        <f t="shared" si="4"/>
        <v>rtdc.l.rtdc.4003:itc</v>
      </c>
      <c r="G134" s="8">
        <f t="shared" si="5"/>
        <v>42611.661793981482</v>
      </c>
    </row>
    <row r="135" spans="1:7" x14ac:dyDescent="0.25">
      <c r="A135" s="8">
        <v>42611.669907407406</v>
      </c>
      <c r="B135" s="23" t="s">
        <v>253</v>
      </c>
      <c r="C135" s="23" t="s">
        <v>492</v>
      </c>
      <c r="D135" s="23">
        <v>930000</v>
      </c>
      <c r="E135" s="23" t="s">
        <v>310</v>
      </c>
      <c r="F135" s="23" t="str">
        <f t="shared" si="4"/>
        <v>rtdc.l.rtdc.4039:itc</v>
      </c>
      <c r="G135" s="8">
        <f t="shared" si="5"/>
        <v>42611.669907407406</v>
      </c>
    </row>
    <row r="136" spans="1:7" x14ac:dyDescent="0.25">
      <c r="A136" s="8">
        <v>42611.671956018516</v>
      </c>
      <c r="B136" s="23" t="s">
        <v>90</v>
      </c>
      <c r="C136" s="23" t="s">
        <v>493</v>
      </c>
      <c r="D136" s="23">
        <v>1290000</v>
      </c>
      <c r="E136" s="23" t="s">
        <v>313</v>
      </c>
      <c r="F136" s="23" t="str">
        <f t="shared" si="4"/>
        <v>rtdc.l.rtdc.4013:itc</v>
      </c>
      <c r="G136" s="8">
        <f t="shared" si="5"/>
        <v>42611.671956018516</v>
      </c>
    </row>
    <row r="137" spans="1:7" x14ac:dyDescent="0.25">
      <c r="A137" s="8">
        <v>42611.673449074071</v>
      </c>
      <c r="B137" s="23" t="s">
        <v>382</v>
      </c>
      <c r="C137" s="23" t="s">
        <v>494</v>
      </c>
      <c r="D137" s="23">
        <v>2140000</v>
      </c>
      <c r="E137" s="23" t="s">
        <v>461</v>
      </c>
      <c r="F137" s="23" t="str">
        <f t="shared" si="4"/>
        <v>rtdc.l.rtdc.4018:itc</v>
      </c>
      <c r="G137" s="8">
        <f t="shared" si="5"/>
        <v>42611.673449074071</v>
      </c>
    </row>
    <row r="138" spans="1:7" x14ac:dyDescent="0.25">
      <c r="A138" s="8">
        <v>42611.674351851849</v>
      </c>
      <c r="B138" s="23" t="s">
        <v>182</v>
      </c>
      <c r="C138" s="23" t="s">
        <v>495</v>
      </c>
      <c r="D138" s="23">
        <v>880000</v>
      </c>
      <c r="E138" s="23" t="s">
        <v>255</v>
      </c>
      <c r="F138" s="23" t="str">
        <f t="shared" si="4"/>
        <v>rtdc.l.rtdc.4007:itc</v>
      </c>
      <c r="G138" s="8">
        <f t="shared" si="5"/>
        <v>42611.674351851849</v>
      </c>
    </row>
    <row r="139" spans="1:7" x14ac:dyDescent="0.25">
      <c r="A139" s="8">
        <v>42611.680590277778</v>
      </c>
      <c r="B139" s="23" t="s">
        <v>115</v>
      </c>
      <c r="C139" s="23" t="s">
        <v>496</v>
      </c>
      <c r="D139" s="23">
        <v>1140000</v>
      </c>
      <c r="E139" s="23" t="s">
        <v>311</v>
      </c>
      <c r="F139" s="23" t="str">
        <f t="shared" si="4"/>
        <v>rtdc.l.rtdc.4032:itc</v>
      </c>
      <c r="G139" s="8">
        <f t="shared" si="5"/>
        <v>42611.680590277778</v>
      </c>
    </row>
    <row r="140" spans="1:7" x14ac:dyDescent="0.25">
      <c r="A140" s="8">
        <v>42611.684050925927</v>
      </c>
      <c r="B140" s="23" t="s">
        <v>91</v>
      </c>
      <c r="C140" s="23" t="s">
        <v>497</v>
      </c>
      <c r="D140" s="23">
        <v>1280000</v>
      </c>
      <c r="E140" s="23" t="s">
        <v>305</v>
      </c>
      <c r="F140" s="23" t="str">
        <f t="shared" si="4"/>
        <v>rtdc.l.rtdc.4029:itc</v>
      </c>
      <c r="G140" s="8">
        <f t="shared" si="5"/>
        <v>42611.684050925927</v>
      </c>
    </row>
    <row r="141" spans="1:7" x14ac:dyDescent="0.25">
      <c r="A141" s="8">
        <v>42611.68818287037</v>
      </c>
      <c r="B141" s="23" t="s">
        <v>254</v>
      </c>
      <c r="C141" s="23" t="s">
        <v>498</v>
      </c>
      <c r="D141" s="23">
        <v>1540000</v>
      </c>
      <c r="E141" s="23" t="s">
        <v>451</v>
      </c>
      <c r="F141" s="23" t="str">
        <f t="shared" si="4"/>
        <v>rtdc.l.rtdc.4028:itc</v>
      </c>
      <c r="G141" s="8">
        <f t="shared" si="5"/>
        <v>42611.68818287037</v>
      </c>
    </row>
    <row r="142" spans="1:7" x14ac:dyDescent="0.25">
      <c r="A142" s="8">
        <v>42611.692731481482</v>
      </c>
      <c r="B142" s="23" t="s">
        <v>389</v>
      </c>
      <c r="C142" s="23" t="s">
        <v>499</v>
      </c>
      <c r="D142" s="23">
        <v>2140000</v>
      </c>
      <c r="E142" s="23" t="s">
        <v>461</v>
      </c>
      <c r="F142" s="23" t="str">
        <f t="shared" si="4"/>
        <v>rtdc.l.rtdc.4017:itc</v>
      </c>
      <c r="G142" s="8">
        <f t="shared" si="5"/>
        <v>42611.692731481482</v>
      </c>
    </row>
    <row r="143" spans="1:7" x14ac:dyDescent="0.25">
      <c r="A143" s="8">
        <v>42611.694687499999</v>
      </c>
      <c r="B143" s="23" t="s">
        <v>171</v>
      </c>
      <c r="C143" s="23" t="s">
        <v>500</v>
      </c>
      <c r="D143" s="23">
        <v>1780000</v>
      </c>
      <c r="E143" s="23" t="s">
        <v>306</v>
      </c>
      <c r="F143" s="23" t="str">
        <f t="shared" si="4"/>
        <v>rtdc.l.rtdc.4009:itc</v>
      </c>
      <c r="G143" s="8">
        <f t="shared" si="5"/>
        <v>42611.694687499999</v>
      </c>
    </row>
    <row r="144" spans="1:7" x14ac:dyDescent="0.25">
      <c r="A144" s="8">
        <v>42611.699224537035</v>
      </c>
      <c r="B144" s="23" t="s">
        <v>199</v>
      </c>
      <c r="C144" s="23" t="s">
        <v>501</v>
      </c>
      <c r="D144" s="23">
        <v>2020000</v>
      </c>
      <c r="E144" s="23" t="s">
        <v>247</v>
      </c>
      <c r="F144" s="23" t="str">
        <f t="shared" si="4"/>
        <v>rtdc.l.rtdc.4004:itc</v>
      </c>
      <c r="G144" s="8">
        <f t="shared" si="5"/>
        <v>42611.699224537035</v>
      </c>
    </row>
    <row r="145" spans="1:7" x14ac:dyDescent="0.25">
      <c r="A145" s="8">
        <v>42611.699317129627</v>
      </c>
      <c r="B145" s="23" t="s">
        <v>112</v>
      </c>
      <c r="C145" s="23" t="s">
        <v>502</v>
      </c>
      <c r="D145" s="23">
        <v>1290000</v>
      </c>
      <c r="E145" s="23" t="s">
        <v>313</v>
      </c>
      <c r="F145" s="23" t="str">
        <f t="shared" si="4"/>
        <v>rtdc.l.rtdc.4014:itc</v>
      </c>
      <c r="G145" s="8">
        <f t="shared" si="5"/>
        <v>42611.699317129627</v>
      </c>
    </row>
    <row r="146" spans="1:7" x14ac:dyDescent="0.25">
      <c r="A146" s="8">
        <v>42611.706643518519</v>
      </c>
      <c r="B146" s="23" t="s">
        <v>250</v>
      </c>
      <c r="C146" s="23" t="s">
        <v>503</v>
      </c>
      <c r="D146" s="23">
        <v>930000</v>
      </c>
      <c r="E146" s="23" t="s">
        <v>310</v>
      </c>
      <c r="F146" s="23" t="str">
        <f t="shared" si="4"/>
        <v>rtdc.l.rtdc.4040:itc</v>
      </c>
      <c r="G146" s="8">
        <f t="shared" si="5"/>
        <v>42611.706643518519</v>
      </c>
    </row>
    <row r="147" spans="1:7" x14ac:dyDescent="0.25">
      <c r="A147" s="8">
        <v>42611.712847222225</v>
      </c>
      <c r="B147" s="23" t="s">
        <v>504</v>
      </c>
      <c r="C147" s="23" t="s">
        <v>505</v>
      </c>
      <c r="D147" s="23">
        <v>1810000</v>
      </c>
      <c r="E147" s="23" t="s">
        <v>314</v>
      </c>
      <c r="F147" s="23" t="str">
        <f t="shared" si="4"/>
        <v>rtdc.l.rtdc.4005:itc</v>
      </c>
      <c r="G147" s="8">
        <f t="shared" si="5"/>
        <v>42611.712847222225</v>
      </c>
    </row>
    <row r="148" spans="1:7" x14ac:dyDescent="0.25">
      <c r="A148" s="8">
        <v>42611.713229166664</v>
      </c>
      <c r="B148" s="23" t="s">
        <v>90</v>
      </c>
      <c r="C148" s="23" t="s">
        <v>506</v>
      </c>
      <c r="D148" s="23">
        <v>1290000</v>
      </c>
      <c r="E148" s="23" t="s">
        <v>313</v>
      </c>
      <c r="F148" s="23" t="str">
        <f t="shared" si="4"/>
        <v>rtdc.l.rtdc.4013:itc</v>
      </c>
      <c r="G148" s="8">
        <f t="shared" si="5"/>
        <v>42611.713229166664</v>
      </c>
    </row>
    <row r="149" spans="1:7" x14ac:dyDescent="0.25">
      <c r="A149" s="8">
        <v>42611.71502314815</v>
      </c>
      <c r="B149" s="23" t="s">
        <v>167</v>
      </c>
      <c r="C149" s="23" t="s">
        <v>507</v>
      </c>
      <c r="D149" s="23">
        <v>890000</v>
      </c>
      <c r="E149" s="23" t="s">
        <v>446</v>
      </c>
      <c r="F149" s="23" t="str">
        <f t="shared" si="4"/>
        <v>rtdc.l.rtdc.4008:itc</v>
      </c>
      <c r="G149" s="8">
        <f t="shared" si="5"/>
        <v>42611.71502314815</v>
      </c>
    </row>
    <row r="150" spans="1:7" x14ac:dyDescent="0.25">
      <c r="A150" s="8">
        <v>42611.715567129628</v>
      </c>
      <c r="B150" s="23" t="s">
        <v>382</v>
      </c>
      <c r="C150" s="23" t="s">
        <v>508</v>
      </c>
      <c r="D150" s="23">
        <v>2140000</v>
      </c>
      <c r="E150" s="23" t="s">
        <v>461</v>
      </c>
      <c r="F150" s="23" t="str">
        <f t="shared" si="4"/>
        <v>rtdc.l.rtdc.4018:itc</v>
      </c>
      <c r="G150" s="8">
        <f t="shared" si="5"/>
        <v>42611.715567129628</v>
      </c>
    </row>
    <row r="151" spans="1:7" x14ac:dyDescent="0.25">
      <c r="A151" s="8">
        <v>42611.715925925928</v>
      </c>
      <c r="B151" s="23" t="s">
        <v>92</v>
      </c>
      <c r="C151" s="23" t="s">
        <v>509</v>
      </c>
      <c r="D151" s="23">
        <v>1280000</v>
      </c>
      <c r="E151" s="23" t="s">
        <v>305</v>
      </c>
      <c r="F151" s="23" t="str">
        <f t="shared" si="4"/>
        <v>rtdc.l.rtdc.4030:itc</v>
      </c>
      <c r="G151" s="8">
        <f t="shared" si="5"/>
        <v>42611.715925925928</v>
      </c>
    </row>
    <row r="152" spans="1:7" x14ac:dyDescent="0.25">
      <c r="A152" s="8">
        <v>42611.718333333331</v>
      </c>
      <c r="B152" s="23" t="s">
        <v>114</v>
      </c>
      <c r="C152" s="23" t="s">
        <v>510</v>
      </c>
      <c r="D152" s="23">
        <v>1180000</v>
      </c>
      <c r="E152" s="23" t="s">
        <v>312</v>
      </c>
      <c r="F152" s="23" t="str">
        <f t="shared" si="4"/>
        <v>rtdc.l.rtdc.4031:itc</v>
      </c>
      <c r="G152" s="8">
        <f t="shared" si="5"/>
        <v>42611.718333333331</v>
      </c>
    </row>
    <row r="153" spans="1:7" x14ac:dyDescent="0.25">
      <c r="A153" s="8">
        <v>42611.728206018517</v>
      </c>
      <c r="B153" s="23" t="s">
        <v>93</v>
      </c>
      <c r="C153" s="23" t="s">
        <v>511</v>
      </c>
      <c r="D153" s="23">
        <v>1140000</v>
      </c>
      <c r="E153" s="23" t="s">
        <v>311</v>
      </c>
      <c r="F153" s="23" t="str">
        <f t="shared" si="4"/>
        <v>rtdc.l.rtdc.4027:itc</v>
      </c>
      <c r="G153" s="8">
        <f t="shared" si="5"/>
        <v>42611.728206018517</v>
      </c>
    </row>
    <row r="154" spans="1:7" x14ac:dyDescent="0.25">
      <c r="A154" s="8">
        <v>42611.733483796299</v>
      </c>
      <c r="B154" s="23" t="s">
        <v>172</v>
      </c>
      <c r="C154" s="23" t="s">
        <v>512</v>
      </c>
      <c r="D154" s="23">
        <v>1780000</v>
      </c>
      <c r="E154" s="23" t="s">
        <v>306</v>
      </c>
      <c r="F154" s="23" t="str">
        <f t="shared" si="4"/>
        <v>rtdc.l.rtdc.4010:itc</v>
      </c>
      <c r="G154" s="8">
        <f t="shared" si="5"/>
        <v>42611.733483796299</v>
      </c>
    </row>
    <row r="155" spans="1:7" x14ac:dyDescent="0.25">
      <c r="A155" s="8">
        <v>42611.734340277777</v>
      </c>
      <c r="B155" s="23" t="s">
        <v>389</v>
      </c>
      <c r="C155" s="23" t="s">
        <v>513</v>
      </c>
      <c r="D155" s="23">
        <v>2140000</v>
      </c>
      <c r="E155" s="23" t="s">
        <v>461</v>
      </c>
      <c r="F155" s="23" t="str">
        <f t="shared" si="4"/>
        <v>rtdc.l.rtdc.4017:itc</v>
      </c>
      <c r="G155" s="8">
        <f t="shared" si="5"/>
        <v>42611.734340277777</v>
      </c>
    </row>
    <row r="156" spans="1:7" x14ac:dyDescent="0.25">
      <c r="A156" s="8">
        <v>42611.73574074074</v>
      </c>
      <c r="B156" s="23" t="s">
        <v>185</v>
      </c>
      <c r="C156" s="23" t="s">
        <v>514</v>
      </c>
      <c r="D156" s="23">
        <v>1810000</v>
      </c>
      <c r="E156" s="23" t="s">
        <v>314</v>
      </c>
      <c r="F156" s="23" t="str">
        <f t="shared" si="4"/>
        <v>rtdc.l.rtdc.4003:itc</v>
      </c>
      <c r="G156" s="8">
        <f t="shared" si="5"/>
        <v>42611.73574074074</v>
      </c>
    </row>
    <row r="157" spans="1:7" x14ac:dyDescent="0.25">
      <c r="A157" s="8">
        <v>42611.741608796299</v>
      </c>
      <c r="B157" s="23" t="s">
        <v>112</v>
      </c>
      <c r="C157" s="23" t="s">
        <v>515</v>
      </c>
      <c r="D157" s="23">
        <v>1290000</v>
      </c>
      <c r="E157" s="23" t="s">
        <v>313</v>
      </c>
      <c r="F157" s="23" t="str">
        <f t="shared" si="4"/>
        <v>rtdc.l.rtdc.4014:itc</v>
      </c>
      <c r="G157" s="8">
        <f t="shared" si="5"/>
        <v>42611.741608796299</v>
      </c>
    </row>
    <row r="158" spans="1:7" x14ac:dyDescent="0.25">
      <c r="A158" s="8">
        <v>42611.743067129632</v>
      </c>
      <c r="B158" s="23" t="s">
        <v>253</v>
      </c>
      <c r="C158" s="23" t="s">
        <v>516</v>
      </c>
      <c r="D158" s="23">
        <v>930000</v>
      </c>
      <c r="E158" s="23" t="s">
        <v>310</v>
      </c>
      <c r="F158" s="23" t="str">
        <f t="shared" si="4"/>
        <v>rtdc.l.rtdc.4039:itc</v>
      </c>
      <c r="G158" s="8">
        <f t="shared" si="5"/>
        <v>42611.743067129632</v>
      </c>
    </row>
    <row r="159" spans="1:7" x14ac:dyDescent="0.25">
      <c r="A159" s="8">
        <v>42611.746516203704</v>
      </c>
      <c r="B159" s="23" t="s">
        <v>182</v>
      </c>
      <c r="C159" s="23" t="s">
        <v>517</v>
      </c>
      <c r="D159" s="23">
        <v>2020000</v>
      </c>
      <c r="E159" s="23" t="s">
        <v>247</v>
      </c>
      <c r="F159" s="23" t="str">
        <f t="shared" si="4"/>
        <v>rtdc.l.rtdc.4007:itc</v>
      </c>
      <c r="G159" s="8">
        <f t="shared" si="5"/>
        <v>42611.746516203704</v>
      </c>
    </row>
    <row r="160" spans="1:7" x14ac:dyDescent="0.25">
      <c r="A160" s="8">
        <v>42611.748402777775</v>
      </c>
      <c r="B160" s="23" t="s">
        <v>518</v>
      </c>
      <c r="C160" s="23" t="s">
        <v>519</v>
      </c>
      <c r="D160" s="23">
        <v>2110000</v>
      </c>
      <c r="E160" s="23" t="s">
        <v>520</v>
      </c>
      <c r="F160" s="23" t="str">
        <f t="shared" si="4"/>
        <v>rtdc.l.rtdc.4011:itc</v>
      </c>
      <c r="G160" s="8">
        <f t="shared" si="5"/>
        <v>42611.748402777775</v>
      </c>
    </row>
    <row r="161" spans="1:7" x14ac:dyDescent="0.25">
      <c r="A161" s="8">
        <v>42611.752199074072</v>
      </c>
      <c r="B161" s="23" t="s">
        <v>115</v>
      </c>
      <c r="C161" s="23" t="s">
        <v>521</v>
      </c>
      <c r="D161" s="23">
        <v>1180000</v>
      </c>
      <c r="E161" s="23" t="s">
        <v>312</v>
      </c>
      <c r="F161" s="23" t="str">
        <f t="shared" si="4"/>
        <v>rtdc.l.rtdc.4032:itc</v>
      </c>
      <c r="G161" s="8">
        <f t="shared" si="5"/>
        <v>42611.752199074072</v>
      </c>
    </row>
    <row r="162" spans="1:7" x14ac:dyDescent="0.25">
      <c r="A162" s="8">
        <v>42611.755381944444</v>
      </c>
      <c r="B162" s="23" t="s">
        <v>90</v>
      </c>
      <c r="C162" s="23" t="s">
        <v>522</v>
      </c>
      <c r="D162" s="23">
        <v>1290000</v>
      </c>
      <c r="E162" s="23" t="s">
        <v>313</v>
      </c>
      <c r="F162" s="23" t="str">
        <f t="shared" si="4"/>
        <v>rtdc.l.rtdc.4013:itc</v>
      </c>
      <c r="G162" s="8">
        <f t="shared" si="5"/>
        <v>42611.755381944444</v>
      </c>
    </row>
    <row r="163" spans="1:7" x14ac:dyDescent="0.25">
      <c r="A163" s="8">
        <v>42611.759282407409</v>
      </c>
      <c r="B163" s="23" t="s">
        <v>382</v>
      </c>
      <c r="C163" s="23" t="s">
        <v>523</v>
      </c>
      <c r="D163" s="23">
        <v>2140000</v>
      </c>
      <c r="E163" s="23" t="s">
        <v>461</v>
      </c>
      <c r="F163" s="23" t="str">
        <f t="shared" si="4"/>
        <v>rtdc.l.rtdc.4018:itc</v>
      </c>
      <c r="G163" s="8">
        <f t="shared" si="5"/>
        <v>42611.759282407409</v>
      </c>
    </row>
    <row r="164" spans="1:7" x14ac:dyDescent="0.25">
      <c r="A164" s="8">
        <v>42611.759560185186</v>
      </c>
      <c r="B164" s="23" t="s">
        <v>91</v>
      </c>
      <c r="C164" s="23" t="s">
        <v>524</v>
      </c>
      <c r="D164" s="23">
        <v>1800000</v>
      </c>
      <c r="E164" s="23" t="s">
        <v>174</v>
      </c>
      <c r="F164" s="23" t="str">
        <f t="shared" si="4"/>
        <v>rtdc.l.rtdc.4029:itc</v>
      </c>
      <c r="G164" s="8">
        <f t="shared" si="5"/>
        <v>42611.759560185186</v>
      </c>
    </row>
    <row r="165" spans="1:7" x14ac:dyDescent="0.25">
      <c r="A165" s="8">
        <v>42611.761307870373</v>
      </c>
      <c r="B165" s="23" t="s">
        <v>254</v>
      </c>
      <c r="C165" s="23" t="s">
        <v>525</v>
      </c>
      <c r="D165" s="23">
        <v>1140000</v>
      </c>
      <c r="E165" s="23" t="s">
        <v>311</v>
      </c>
      <c r="F165" s="23" t="str">
        <f t="shared" si="4"/>
        <v>rtdc.l.rtdc.4028:itc</v>
      </c>
      <c r="G165" s="8">
        <f t="shared" si="5"/>
        <v>42611.761307870373</v>
      </c>
    </row>
    <row r="166" spans="1:7" x14ac:dyDescent="0.25">
      <c r="A166" s="8">
        <v>42611.763761574075</v>
      </c>
      <c r="B166" s="23" t="s">
        <v>526</v>
      </c>
      <c r="C166" s="23" t="s">
        <v>527</v>
      </c>
      <c r="D166" s="23">
        <v>880000</v>
      </c>
      <c r="E166" s="23" t="s">
        <v>255</v>
      </c>
      <c r="F166" s="23" t="str">
        <f t="shared" si="4"/>
        <v>rtdc.l.rtdc.4006:itc</v>
      </c>
      <c r="G166" s="8">
        <f t="shared" si="5"/>
        <v>42611.763761574075</v>
      </c>
    </row>
    <row r="167" spans="1:7" x14ac:dyDescent="0.25">
      <c r="A167" s="8">
        <v>42611.766493055555</v>
      </c>
      <c r="B167" s="23" t="s">
        <v>171</v>
      </c>
      <c r="C167" s="23" t="s">
        <v>528</v>
      </c>
      <c r="D167" s="23">
        <v>1230000</v>
      </c>
      <c r="E167" s="23" t="s">
        <v>168</v>
      </c>
      <c r="F167" s="23" t="str">
        <f t="shared" si="4"/>
        <v>rtdc.l.rtdc.4009:itc</v>
      </c>
      <c r="G167" s="8">
        <f t="shared" si="5"/>
        <v>42611.766493055555</v>
      </c>
    </row>
    <row r="168" spans="1:7" x14ac:dyDescent="0.25">
      <c r="A168" s="8">
        <v>42611.767187500001</v>
      </c>
      <c r="B168" s="23" t="s">
        <v>199</v>
      </c>
      <c r="C168" s="23" t="s">
        <v>529</v>
      </c>
      <c r="D168" s="23">
        <v>1810000</v>
      </c>
      <c r="E168" s="23" t="s">
        <v>314</v>
      </c>
      <c r="F168" s="23" t="str">
        <f t="shared" si="4"/>
        <v>rtdc.l.rtdc.4004:itc</v>
      </c>
      <c r="G168" s="8">
        <f t="shared" si="5"/>
        <v>42611.767187500001</v>
      </c>
    </row>
    <row r="169" spans="1:7" x14ac:dyDescent="0.25">
      <c r="A169" s="8">
        <v>42611.775717592594</v>
      </c>
      <c r="B169" s="23" t="s">
        <v>389</v>
      </c>
      <c r="C169" s="23" t="s">
        <v>530</v>
      </c>
      <c r="D169" s="23">
        <v>2140000</v>
      </c>
      <c r="E169" s="23" t="s">
        <v>461</v>
      </c>
      <c r="F169" s="23" t="str">
        <f t="shared" si="4"/>
        <v>rtdc.l.rtdc.4017:itc</v>
      </c>
      <c r="G169" s="8">
        <f t="shared" si="5"/>
        <v>42611.775717592594</v>
      </c>
    </row>
    <row r="170" spans="1:7" x14ac:dyDescent="0.25">
      <c r="A170" s="8">
        <v>42611.78334490741</v>
      </c>
      <c r="B170" s="23" t="s">
        <v>112</v>
      </c>
      <c r="C170" s="23" t="s">
        <v>531</v>
      </c>
      <c r="D170" s="23">
        <v>1290000</v>
      </c>
      <c r="E170" s="23" t="s">
        <v>313</v>
      </c>
      <c r="F170" s="23" t="str">
        <f t="shared" si="4"/>
        <v>rtdc.l.rtdc.4014:itc</v>
      </c>
      <c r="G170" s="8">
        <f t="shared" si="5"/>
        <v>42611.78334490741</v>
      </c>
    </row>
    <row r="171" spans="1:7" x14ac:dyDescent="0.25">
      <c r="A171" s="8">
        <v>42611.784594907411</v>
      </c>
      <c r="B171" s="23" t="s">
        <v>167</v>
      </c>
      <c r="C171" s="23" t="s">
        <v>532</v>
      </c>
      <c r="D171" s="23">
        <v>2020000</v>
      </c>
      <c r="E171" s="23" t="s">
        <v>247</v>
      </c>
      <c r="F171" s="23" t="str">
        <f t="shared" si="4"/>
        <v>rtdc.l.rtdc.4008:itc</v>
      </c>
      <c r="G171" s="8">
        <f t="shared" si="5"/>
        <v>42611.784594907411</v>
      </c>
    </row>
    <row r="172" spans="1:7" x14ac:dyDescent="0.25">
      <c r="A172" s="8">
        <v>42611.786145833335</v>
      </c>
      <c r="B172" s="23" t="s">
        <v>114</v>
      </c>
      <c r="C172" s="23" t="s">
        <v>533</v>
      </c>
      <c r="D172" s="23">
        <v>1180000</v>
      </c>
      <c r="E172" s="23" t="s">
        <v>312</v>
      </c>
      <c r="F172" s="23" t="str">
        <f t="shared" si="4"/>
        <v>rtdc.l.rtdc.4031:itc</v>
      </c>
      <c r="G172" s="8">
        <f t="shared" si="5"/>
        <v>42611.786145833335</v>
      </c>
    </row>
    <row r="173" spans="1:7" x14ac:dyDescent="0.25">
      <c r="A173" s="8">
        <v>42611.788611111115</v>
      </c>
      <c r="B173" s="23" t="s">
        <v>250</v>
      </c>
      <c r="C173" s="23" t="s">
        <v>534</v>
      </c>
      <c r="D173" s="23">
        <v>930000</v>
      </c>
      <c r="E173" s="23" t="s">
        <v>310</v>
      </c>
      <c r="F173" s="23" t="str">
        <f t="shared" si="4"/>
        <v>rtdc.l.rtdc.4040:itc</v>
      </c>
      <c r="G173" s="8">
        <f t="shared" si="5"/>
        <v>42611.788611111115</v>
      </c>
    </row>
    <row r="174" spans="1:7" x14ac:dyDescent="0.25">
      <c r="A174" s="8">
        <v>42611.796643518515</v>
      </c>
      <c r="B174" s="23" t="s">
        <v>90</v>
      </c>
      <c r="C174" s="23" t="s">
        <v>535</v>
      </c>
      <c r="D174" s="23">
        <v>1290000</v>
      </c>
      <c r="E174" s="23" t="s">
        <v>313</v>
      </c>
      <c r="F174" s="23" t="str">
        <f t="shared" si="4"/>
        <v>rtdc.l.rtdc.4013:itc</v>
      </c>
      <c r="G174" s="8">
        <f t="shared" si="5"/>
        <v>42611.796643518515</v>
      </c>
    </row>
    <row r="175" spans="1:7" x14ac:dyDescent="0.25">
      <c r="A175" s="8">
        <v>42611.797314814816</v>
      </c>
      <c r="B175" s="23" t="s">
        <v>92</v>
      </c>
      <c r="C175" s="23" t="s">
        <v>536</v>
      </c>
      <c r="D175" s="23">
        <v>1800000</v>
      </c>
      <c r="E175" s="23" t="s">
        <v>174</v>
      </c>
      <c r="F175" s="23" t="str">
        <f t="shared" si="4"/>
        <v>rtdc.l.rtdc.4030:itc</v>
      </c>
      <c r="G175" s="8">
        <f t="shared" si="5"/>
        <v>42611.797314814816</v>
      </c>
    </row>
    <row r="176" spans="1:7" x14ac:dyDescent="0.25">
      <c r="A176" s="8">
        <v>42611.798518518517</v>
      </c>
      <c r="B176" s="23" t="s">
        <v>172</v>
      </c>
      <c r="C176" s="23" t="s">
        <v>537</v>
      </c>
      <c r="D176" s="23">
        <v>1230000</v>
      </c>
      <c r="E176" s="23" t="s">
        <v>168</v>
      </c>
      <c r="F176" s="23" t="str">
        <f t="shared" si="4"/>
        <v>rtdc.l.rtdc.4010:itc</v>
      </c>
      <c r="G176" s="8">
        <f t="shared" si="5"/>
        <v>42611.798518518517</v>
      </c>
    </row>
    <row r="177" spans="1:7" x14ac:dyDescent="0.25">
      <c r="A177" s="8">
        <v>42611.79991898148</v>
      </c>
      <c r="B177" s="23" t="s">
        <v>382</v>
      </c>
      <c r="C177" s="23" t="s">
        <v>538</v>
      </c>
      <c r="D177" s="23">
        <v>2140000</v>
      </c>
      <c r="E177" s="23" t="s">
        <v>461</v>
      </c>
      <c r="F177" s="23" t="str">
        <f t="shared" si="4"/>
        <v>rtdc.l.rtdc.4018:itc</v>
      </c>
      <c r="G177" s="8">
        <f t="shared" si="5"/>
        <v>42611.79991898148</v>
      </c>
    </row>
    <row r="178" spans="1:7" x14ac:dyDescent="0.25">
      <c r="A178" s="8">
        <v>42611.807835648149</v>
      </c>
      <c r="B178" s="23" t="s">
        <v>185</v>
      </c>
      <c r="C178" s="23" t="s">
        <v>539</v>
      </c>
      <c r="D178" s="23">
        <v>1810000</v>
      </c>
      <c r="E178" s="23" t="s">
        <v>314</v>
      </c>
      <c r="F178" s="23" t="str">
        <f t="shared" si="4"/>
        <v>rtdc.l.rtdc.4003:itc</v>
      </c>
      <c r="G178" s="8">
        <f t="shared" si="5"/>
        <v>42611.807835648149</v>
      </c>
    </row>
    <row r="179" spans="1:7" x14ac:dyDescent="0.25">
      <c r="A179" s="8">
        <v>42611.817349537036</v>
      </c>
      <c r="B179" s="23" t="s">
        <v>389</v>
      </c>
      <c r="C179" s="23" t="s">
        <v>540</v>
      </c>
      <c r="D179" s="23">
        <v>2140000</v>
      </c>
      <c r="E179" s="23" t="s">
        <v>461</v>
      </c>
      <c r="F179" s="23" t="str">
        <f t="shared" si="4"/>
        <v>rtdc.l.rtdc.4017:itc</v>
      </c>
      <c r="G179" s="8">
        <f t="shared" si="5"/>
        <v>42611.817349537036</v>
      </c>
    </row>
    <row r="180" spans="1:7" x14ac:dyDescent="0.25">
      <c r="A180" s="8">
        <v>42611.81890046296</v>
      </c>
      <c r="B180" s="23" t="s">
        <v>182</v>
      </c>
      <c r="C180" s="23" t="s">
        <v>541</v>
      </c>
      <c r="D180" s="23">
        <v>2020000</v>
      </c>
      <c r="E180" s="23" t="s">
        <v>247</v>
      </c>
      <c r="F180" s="23" t="str">
        <f t="shared" si="4"/>
        <v>rtdc.l.rtdc.4007:itc</v>
      </c>
      <c r="G180" s="8">
        <f t="shared" si="5"/>
        <v>42611.81890046296</v>
      </c>
    </row>
    <row r="181" spans="1:7" x14ac:dyDescent="0.25">
      <c r="A181" s="8">
        <v>42611.825497685182</v>
      </c>
      <c r="B181" s="23" t="s">
        <v>115</v>
      </c>
      <c r="C181" s="23" t="s">
        <v>542</v>
      </c>
      <c r="D181" s="23">
        <v>1180000</v>
      </c>
      <c r="E181" s="23" t="s">
        <v>312</v>
      </c>
      <c r="F181" s="23" t="str">
        <f t="shared" si="4"/>
        <v>rtdc.l.rtdc.4032:itc</v>
      </c>
      <c r="G181" s="8">
        <f t="shared" si="5"/>
        <v>42611.825497685182</v>
      </c>
    </row>
    <row r="182" spans="1:7" x14ac:dyDescent="0.25">
      <c r="A182" s="8">
        <v>42611.834201388891</v>
      </c>
      <c r="B182" s="23" t="s">
        <v>91</v>
      </c>
      <c r="C182" s="23" t="s">
        <v>543</v>
      </c>
      <c r="D182" s="23">
        <v>1800000</v>
      </c>
      <c r="E182" s="23" t="s">
        <v>174</v>
      </c>
      <c r="F182" s="23" t="str">
        <f t="shared" si="4"/>
        <v>rtdc.l.rtdc.4029:itc</v>
      </c>
      <c r="G182" s="8">
        <f t="shared" si="5"/>
        <v>42611.834201388891</v>
      </c>
    </row>
    <row r="183" spans="1:7" x14ac:dyDescent="0.25">
      <c r="A183" s="8">
        <v>42611.839722222219</v>
      </c>
      <c r="B183" s="23" t="s">
        <v>199</v>
      </c>
      <c r="C183" s="23" t="s">
        <v>544</v>
      </c>
      <c r="D183" s="23">
        <v>1810000</v>
      </c>
      <c r="E183" s="23" t="s">
        <v>314</v>
      </c>
      <c r="F183" s="23" t="str">
        <f t="shared" si="4"/>
        <v>rtdc.l.rtdc.4004:itc</v>
      </c>
      <c r="G183" s="8">
        <f t="shared" si="5"/>
        <v>42611.839722222219</v>
      </c>
    </row>
    <row r="184" spans="1:7" x14ac:dyDescent="0.25">
      <c r="A184" s="8">
        <v>42611.84175925926</v>
      </c>
      <c r="B184" s="23" t="s">
        <v>382</v>
      </c>
      <c r="C184" s="23" t="s">
        <v>545</v>
      </c>
      <c r="D184" s="23">
        <v>2140000</v>
      </c>
      <c r="E184" s="23" t="s">
        <v>461</v>
      </c>
      <c r="F184" s="23" t="str">
        <f t="shared" si="4"/>
        <v>rtdc.l.rtdc.4018:itc</v>
      </c>
      <c r="G184" s="8">
        <f t="shared" si="5"/>
        <v>42611.84175925926</v>
      </c>
    </row>
    <row r="185" spans="1:7" x14ac:dyDescent="0.25">
      <c r="A185" s="8">
        <v>42611.850706018522</v>
      </c>
      <c r="B185" s="23" t="s">
        <v>171</v>
      </c>
      <c r="C185" s="23" t="s">
        <v>546</v>
      </c>
      <c r="D185" s="23">
        <v>1230000</v>
      </c>
      <c r="E185" s="23" t="s">
        <v>168</v>
      </c>
      <c r="F185" s="23" t="str">
        <f t="shared" si="4"/>
        <v>rtdc.l.rtdc.4009:itc</v>
      </c>
      <c r="G185" s="8">
        <f t="shared" si="5"/>
        <v>42611.850706018522</v>
      </c>
    </row>
    <row r="186" spans="1:7" x14ac:dyDescent="0.25">
      <c r="A186" s="8">
        <v>42611.859375</v>
      </c>
      <c r="B186" s="23" t="s">
        <v>389</v>
      </c>
      <c r="C186" s="23" t="s">
        <v>547</v>
      </c>
      <c r="D186" s="23">
        <v>2140000</v>
      </c>
      <c r="E186" s="23" t="s">
        <v>461</v>
      </c>
      <c r="F186" s="23" t="str">
        <f t="shared" si="4"/>
        <v>rtdc.l.rtdc.4017:itc</v>
      </c>
      <c r="G186" s="8">
        <f t="shared" si="5"/>
        <v>42611.859375</v>
      </c>
    </row>
    <row r="187" spans="1:7" x14ac:dyDescent="0.25">
      <c r="A187" s="8">
        <v>42611.868483796294</v>
      </c>
      <c r="B187" s="23" t="s">
        <v>114</v>
      </c>
      <c r="C187" s="23" t="s">
        <v>548</v>
      </c>
      <c r="D187" s="23">
        <v>1180000</v>
      </c>
      <c r="E187" s="23" t="s">
        <v>312</v>
      </c>
      <c r="F187" s="23" t="str">
        <f t="shared" si="4"/>
        <v>rtdc.l.rtdc.4031:itc</v>
      </c>
      <c r="G187" s="8">
        <f t="shared" si="5"/>
        <v>42611.868483796294</v>
      </c>
    </row>
    <row r="188" spans="1:7" x14ac:dyDescent="0.25">
      <c r="A188" s="8">
        <v>42611.870636574073</v>
      </c>
      <c r="B188" s="23" t="s">
        <v>92</v>
      </c>
      <c r="C188" s="23" t="s">
        <v>549</v>
      </c>
      <c r="D188" s="23">
        <v>1800000</v>
      </c>
      <c r="E188" s="23" t="s">
        <v>174</v>
      </c>
      <c r="F188" s="23" t="str">
        <f t="shared" si="4"/>
        <v>rtdc.l.rtdc.4030:itc</v>
      </c>
      <c r="G188" s="8">
        <f t="shared" si="5"/>
        <v>42611.870636574073</v>
      </c>
    </row>
    <row r="189" spans="1:7" x14ac:dyDescent="0.25">
      <c r="A189" s="8">
        <v>42611.880636574075</v>
      </c>
      <c r="B189" s="23" t="s">
        <v>185</v>
      </c>
      <c r="C189" s="23" t="s">
        <v>550</v>
      </c>
      <c r="D189" s="23">
        <v>1810000</v>
      </c>
      <c r="E189" s="23" t="s">
        <v>314</v>
      </c>
      <c r="F189" s="23" t="str">
        <f t="shared" si="4"/>
        <v>rtdc.l.rtdc.4003:itc</v>
      </c>
      <c r="G189" s="8">
        <f t="shared" si="5"/>
        <v>42611.880636574075</v>
      </c>
    </row>
    <row r="190" spans="1:7" x14ac:dyDescent="0.25">
      <c r="A190" s="8">
        <v>42611.881215277775</v>
      </c>
      <c r="B190" s="23" t="s">
        <v>172</v>
      </c>
      <c r="C190" s="23" t="s">
        <v>551</v>
      </c>
      <c r="D190" s="23">
        <v>1230000</v>
      </c>
      <c r="E190" s="23" t="s">
        <v>168</v>
      </c>
      <c r="F190" s="23" t="str">
        <f t="shared" si="4"/>
        <v>rtdc.l.rtdc.4010:itc</v>
      </c>
      <c r="G190" s="8">
        <f t="shared" si="5"/>
        <v>42611.881215277775</v>
      </c>
    </row>
    <row r="191" spans="1:7" x14ac:dyDescent="0.25">
      <c r="A191" s="8">
        <v>42611.886030092595</v>
      </c>
      <c r="B191" s="23" t="s">
        <v>382</v>
      </c>
      <c r="C191" s="23" t="s">
        <v>552</v>
      </c>
      <c r="D191" s="23">
        <v>1290000</v>
      </c>
      <c r="E191" s="23" t="s">
        <v>313</v>
      </c>
      <c r="F191" s="23" t="str">
        <f t="shared" si="4"/>
        <v>rtdc.l.rtdc.4018:itc</v>
      </c>
      <c r="G191" s="8">
        <f t="shared" si="5"/>
        <v>42611.886030092595</v>
      </c>
    </row>
    <row r="192" spans="1:7" x14ac:dyDescent="0.25">
      <c r="A192" s="8">
        <v>42611.901134259257</v>
      </c>
      <c r="B192" s="23" t="s">
        <v>389</v>
      </c>
      <c r="C192" s="23" t="s">
        <v>553</v>
      </c>
      <c r="D192" s="23">
        <v>1290000</v>
      </c>
      <c r="E192" s="23" t="s">
        <v>313</v>
      </c>
      <c r="F192" s="23" t="str">
        <f t="shared" si="4"/>
        <v>rtdc.l.rtdc.4017:itc</v>
      </c>
      <c r="G192" s="8">
        <f t="shared" si="5"/>
        <v>42611.901134259257</v>
      </c>
    </row>
    <row r="193" spans="1:7" x14ac:dyDescent="0.25">
      <c r="A193" s="8">
        <v>42611.903437499997</v>
      </c>
      <c r="B193" s="23" t="s">
        <v>172</v>
      </c>
      <c r="C193" s="23" t="s">
        <v>551</v>
      </c>
      <c r="D193" s="23">
        <v>1230000</v>
      </c>
      <c r="E193" s="23" t="s">
        <v>168</v>
      </c>
      <c r="F193" s="23" t="str">
        <f t="shared" si="4"/>
        <v>rtdc.l.rtdc.4010:itc</v>
      </c>
      <c r="G193" s="8">
        <f t="shared" si="5"/>
        <v>42611.903437499997</v>
      </c>
    </row>
    <row r="194" spans="1:7" x14ac:dyDescent="0.25">
      <c r="A194" s="8">
        <v>42611.90902777778</v>
      </c>
      <c r="B194" s="23" t="s">
        <v>115</v>
      </c>
      <c r="C194" s="23" t="s">
        <v>554</v>
      </c>
      <c r="D194" s="23">
        <v>1180000</v>
      </c>
      <c r="E194" s="23" t="s">
        <v>312</v>
      </c>
      <c r="F194" s="23" t="str">
        <f t="shared" ref="F194:F235" si="6">B194</f>
        <v>rtdc.l.rtdc.4032:itc</v>
      </c>
      <c r="G194" s="8">
        <f t="shared" ref="G194:G235" si="7">A194</f>
        <v>42611.90902777778</v>
      </c>
    </row>
    <row r="195" spans="1:7" x14ac:dyDescent="0.25">
      <c r="A195" s="8">
        <v>42611.915196759262</v>
      </c>
      <c r="B195" s="23" t="s">
        <v>91</v>
      </c>
      <c r="C195" s="23" t="s">
        <v>555</v>
      </c>
      <c r="D195" s="23">
        <v>1800000</v>
      </c>
      <c r="E195" s="23" t="s">
        <v>174</v>
      </c>
      <c r="F195" s="23" t="str">
        <f t="shared" si="6"/>
        <v>rtdc.l.rtdc.4029:itc</v>
      </c>
      <c r="G195" s="8">
        <f t="shared" si="7"/>
        <v>42611.915196759262</v>
      </c>
    </row>
    <row r="196" spans="1:7" x14ac:dyDescent="0.25">
      <c r="A196" s="8">
        <v>42611.926365740743</v>
      </c>
      <c r="B196" s="23" t="s">
        <v>199</v>
      </c>
      <c r="C196" s="23" t="s">
        <v>556</v>
      </c>
      <c r="D196" s="23">
        <v>1810000</v>
      </c>
      <c r="E196" s="23" t="s">
        <v>314</v>
      </c>
      <c r="F196" s="23" t="str">
        <f t="shared" si="6"/>
        <v>rtdc.l.rtdc.4004:itc</v>
      </c>
      <c r="G196" s="8">
        <f t="shared" si="7"/>
        <v>42611.926365740743</v>
      </c>
    </row>
    <row r="197" spans="1:7" x14ac:dyDescent="0.25">
      <c r="A197" s="8">
        <v>42611.928217592591</v>
      </c>
      <c r="B197" s="23" t="s">
        <v>382</v>
      </c>
      <c r="C197" s="23" t="s">
        <v>557</v>
      </c>
      <c r="D197" s="23">
        <v>1290000</v>
      </c>
      <c r="E197" s="23" t="s">
        <v>313</v>
      </c>
      <c r="F197" s="23" t="str">
        <f t="shared" si="6"/>
        <v>rtdc.l.rtdc.4018:itc</v>
      </c>
      <c r="G197" s="8">
        <f t="shared" si="7"/>
        <v>42611.928217592591</v>
      </c>
    </row>
    <row r="198" spans="1:7" x14ac:dyDescent="0.25">
      <c r="A198" s="8">
        <v>42611.931875000002</v>
      </c>
      <c r="B198" s="23" t="s">
        <v>171</v>
      </c>
      <c r="C198" s="23" t="s">
        <v>558</v>
      </c>
      <c r="D198" s="23">
        <v>1230000</v>
      </c>
      <c r="E198" s="23" t="s">
        <v>168</v>
      </c>
      <c r="F198" s="23" t="str">
        <f t="shared" si="6"/>
        <v>rtdc.l.rtdc.4009:itc</v>
      </c>
      <c r="G198" s="8">
        <f t="shared" si="7"/>
        <v>42611.931875000002</v>
      </c>
    </row>
    <row r="199" spans="1:7" x14ac:dyDescent="0.25">
      <c r="A199" s="8">
        <v>42611.942800925928</v>
      </c>
      <c r="B199" s="23" t="s">
        <v>389</v>
      </c>
      <c r="C199" s="23" t="s">
        <v>559</v>
      </c>
      <c r="D199" s="23">
        <v>1290000</v>
      </c>
      <c r="E199" s="23" t="s">
        <v>313</v>
      </c>
      <c r="F199" s="23" t="str">
        <f t="shared" si="6"/>
        <v>rtdc.l.rtdc.4017:itc</v>
      </c>
      <c r="G199" s="8">
        <f t="shared" si="7"/>
        <v>42611.942800925928</v>
      </c>
    </row>
    <row r="200" spans="1:7" x14ac:dyDescent="0.25">
      <c r="A200" s="8">
        <v>42611.952025462961</v>
      </c>
      <c r="B200" s="23" t="s">
        <v>114</v>
      </c>
      <c r="C200" s="23" t="s">
        <v>560</v>
      </c>
      <c r="D200" s="23">
        <v>1180000</v>
      </c>
      <c r="E200" s="23" t="s">
        <v>312</v>
      </c>
      <c r="F200" s="23" t="str">
        <f t="shared" si="6"/>
        <v>rtdc.l.rtdc.4031:itc</v>
      </c>
      <c r="G200" s="8">
        <f t="shared" si="7"/>
        <v>42611.952025462961</v>
      </c>
    </row>
    <row r="201" spans="1:7" x14ac:dyDescent="0.25">
      <c r="A201" s="8">
        <v>42611.954895833333</v>
      </c>
      <c r="B201" s="23" t="s">
        <v>92</v>
      </c>
      <c r="C201" s="23" t="s">
        <v>561</v>
      </c>
      <c r="D201" s="23">
        <v>1800000</v>
      </c>
      <c r="E201" s="23" t="s">
        <v>174</v>
      </c>
      <c r="F201" s="23" t="str">
        <f t="shared" si="6"/>
        <v>rtdc.l.rtdc.4030:itc</v>
      </c>
      <c r="G201" s="8">
        <f t="shared" si="7"/>
        <v>42611.954895833333</v>
      </c>
    </row>
    <row r="202" spans="1:7" x14ac:dyDescent="0.25">
      <c r="A202" s="29">
        <v>42611.969224537039</v>
      </c>
      <c r="B202" s="23" t="s">
        <v>185</v>
      </c>
      <c r="C202" s="23" t="s">
        <v>562</v>
      </c>
      <c r="D202" s="23">
        <v>1810000</v>
      </c>
      <c r="E202" s="23" t="s">
        <v>314</v>
      </c>
      <c r="F202" s="23" t="str">
        <f t="shared" si="6"/>
        <v>rtdc.l.rtdc.4003:itc</v>
      </c>
      <c r="G202" s="8">
        <f t="shared" si="7"/>
        <v>42611.969224537039</v>
      </c>
    </row>
    <row r="203" spans="1:7" x14ac:dyDescent="0.25">
      <c r="A203" s="8">
        <v>42611.972245370373</v>
      </c>
      <c r="B203" s="23" t="s">
        <v>172</v>
      </c>
      <c r="C203" s="23" t="s">
        <v>563</v>
      </c>
      <c r="D203" s="23">
        <v>1230000</v>
      </c>
      <c r="E203" s="23" t="s">
        <v>168</v>
      </c>
      <c r="F203" s="23" t="str">
        <f t="shared" si="6"/>
        <v>rtdc.l.rtdc.4010:itc</v>
      </c>
      <c r="G203" s="8">
        <f t="shared" si="7"/>
        <v>42611.972245370373</v>
      </c>
    </row>
    <row r="204" spans="1:7" x14ac:dyDescent="0.25">
      <c r="A204" s="8">
        <v>42611.993437500001</v>
      </c>
      <c r="B204" s="23" t="s">
        <v>115</v>
      </c>
      <c r="C204" s="23" t="s">
        <v>564</v>
      </c>
      <c r="D204" s="23">
        <v>1180000</v>
      </c>
      <c r="E204" s="23" t="s">
        <v>312</v>
      </c>
      <c r="F204" s="23" t="str">
        <f t="shared" si="6"/>
        <v>rtdc.l.rtdc.4032:itc</v>
      </c>
      <c r="G204" s="8">
        <f t="shared" si="7"/>
        <v>42611.993437500001</v>
      </c>
    </row>
    <row r="205" spans="1:7" x14ac:dyDescent="0.25">
      <c r="A205" s="8">
        <v>42611.998182870368</v>
      </c>
      <c r="B205" s="23" t="s">
        <v>91</v>
      </c>
      <c r="C205" s="23" t="s">
        <v>565</v>
      </c>
      <c r="D205" s="23">
        <v>1800000</v>
      </c>
      <c r="E205" s="23" t="s">
        <v>174</v>
      </c>
      <c r="F205" s="23" t="str">
        <f t="shared" si="6"/>
        <v>rtdc.l.rtdc.4029:itc</v>
      </c>
      <c r="G205" s="8">
        <f t="shared" si="7"/>
        <v>42611.998182870368</v>
      </c>
    </row>
    <row r="206" spans="1:7" x14ac:dyDescent="0.25">
      <c r="A206" s="8">
        <v>42612.008472222224</v>
      </c>
      <c r="B206" s="23" t="s">
        <v>199</v>
      </c>
      <c r="C206" s="23" t="s">
        <v>566</v>
      </c>
      <c r="D206" s="23">
        <v>1810000</v>
      </c>
      <c r="E206" s="23" t="s">
        <v>314</v>
      </c>
      <c r="F206" s="23" t="str">
        <f t="shared" si="6"/>
        <v>rtdc.l.rtdc.4004:itc</v>
      </c>
      <c r="G206" s="8">
        <f t="shared" si="7"/>
        <v>42612.008472222224</v>
      </c>
    </row>
    <row r="207" spans="1:7" x14ac:dyDescent="0.25">
      <c r="A207" s="8">
        <v>42612.017372685186</v>
      </c>
      <c r="B207" s="23" t="s">
        <v>171</v>
      </c>
      <c r="C207" s="23" t="s">
        <v>567</v>
      </c>
      <c r="D207" s="23">
        <v>1230000</v>
      </c>
      <c r="E207" s="23" t="s">
        <v>168</v>
      </c>
      <c r="F207" s="23" t="str">
        <f t="shared" si="6"/>
        <v>rtdc.l.rtdc.4009:itc</v>
      </c>
      <c r="G207" s="8">
        <f t="shared" si="7"/>
        <v>42612.017372685186</v>
      </c>
    </row>
    <row r="208" spans="1:7" x14ac:dyDescent="0.25">
      <c r="A208" s="8">
        <v>42612.029768518521</v>
      </c>
      <c r="B208" s="23" t="s">
        <v>114</v>
      </c>
      <c r="C208" s="23" t="s">
        <v>568</v>
      </c>
      <c r="D208" s="23">
        <v>1180000</v>
      </c>
      <c r="E208" s="23" t="s">
        <v>312</v>
      </c>
      <c r="F208" s="23" t="str">
        <f t="shared" si="6"/>
        <v>rtdc.l.rtdc.4031:itc</v>
      </c>
      <c r="G208" s="8">
        <f t="shared" si="7"/>
        <v>42612.029768518521</v>
      </c>
    </row>
    <row r="209" spans="1:7" x14ac:dyDescent="0.25">
      <c r="A209" s="8">
        <v>42612.031238425923</v>
      </c>
      <c r="B209" s="23" t="s">
        <v>114</v>
      </c>
      <c r="C209" s="23" t="s">
        <v>568</v>
      </c>
      <c r="D209" s="23">
        <v>1180000</v>
      </c>
      <c r="E209" s="23" t="s">
        <v>312</v>
      </c>
      <c r="F209" s="23" t="str">
        <f t="shared" si="6"/>
        <v>rtdc.l.rtdc.4031:itc</v>
      </c>
      <c r="G209" s="8">
        <f t="shared" si="7"/>
        <v>42612.031238425923</v>
      </c>
    </row>
    <row r="210" spans="1:7" x14ac:dyDescent="0.25">
      <c r="A210" s="8">
        <v>42612.038136574076</v>
      </c>
      <c r="B210" s="23" t="s">
        <v>92</v>
      </c>
      <c r="C210" s="23" t="s">
        <v>569</v>
      </c>
      <c r="D210" s="23">
        <v>1800000</v>
      </c>
      <c r="E210" s="23" t="s">
        <v>174</v>
      </c>
      <c r="F210" s="23" t="str">
        <f t="shared" si="6"/>
        <v>rtdc.l.rtdc.4030:itc</v>
      </c>
      <c r="G210" s="8">
        <f t="shared" si="7"/>
        <v>42612.038136574076</v>
      </c>
    </row>
    <row r="211" spans="1:7" x14ac:dyDescent="0.25">
      <c r="A211" s="8">
        <v>42612.048298611109</v>
      </c>
      <c r="B211" s="23" t="s">
        <v>185</v>
      </c>
      <c r="C211" s="23" t="s">
        <v>570</v>
      </c>
      <c r="D211" s="23">
        <v>1810000</v>
      </c>
      <c r="E211" s="23" t="s">
        <v>314</v>
      </c>
      <c r="F211" s="23" t="str">
        <f t="shared" si="6"/>
        <v>rtdc.l.rtdc.4003:itc</v>
      </c>
      <c r="G211" s="8">
        <f t="shared" si="7"/>
        <v>42612.048298611109</v>
      </c>
    </row>
    <row r="212" spans="1:7" x14ac:dyDescent="0.25">
      <c r="A212" s="8">
        <v>42612.04991898148</v>
      </c>
      <c r="B212" s="23" t="s">
        <v>185</v>
      </c>
      <c r="C212" s="23" t="s">
        <v>570</v>
      </c>
      <c r="D212" s="23">
        <v>1810000</v>
      </c>
      <c r="E212" s="23" t="s">
        <v>314</v>
      </c>
      <c r="F212" s="23" t="str">
        <f t="shared" si="6"/>
        <v>rtdc.l.rtdc.4003:itc</v>
      </c>
      <c r="G212" s="8">
        <f t="shared" si="7"/>
        <v>42612.04991898148</v>
      </c>
    </row>
    <row r="213" spans="1:7" x14ac:dyDescent="0.25">
      <c r="A213" s="8">
        <v>42612.051435185182</v>
      </c>
      <c r="B213" s="23" t="s">
        <v>172</v>
      </c>
      <c r="C213" s="23" t="s">
        <v>571</v>
      </c>
      <c r="D213" s="23">
        <v>1230000</v>
      </c>
      <c r="E213" s="23" t="s">
        <v>168</v>
      </c>
      <c r="F213" s="23" t="str">
        <f t="shared" si="6"/>
        <v>rtdc.l.rtdc.4010:itc</v>
      </c>
      <c r="G213" s="8">
        <f t="shared" si="7"/>
        <v>42612.051435185182</v>
      </c>
    </row>
    <row r="214" spans="1:7" x14ac:dyDescent="0.25">
      <c r="A214" s="8">
        <v>42612.072754629633</v>
      </c>
      <c r="B214" s="23" t="s">
        <v>91</v>
      </c>
      <c r="C214" s="23" t="s">
        <v>572</v>
      </c>
      <c r="D214" s="23">
        <v>1800000</v>
      </c>
      <c r="E214" s="23" t="s">
        <v>174</v>
      </c>
      <c r="F214" s="23" t="str">
        <f t="shared" si="6"/>
        <v>rtdc.l.rtdc.4029:itc</v>
      </c>
      <c r="G214" s="8">
        <f t="shared" si="7"/>
        <v>42612.072754629633</v>
      </c>
    </row>
    <row r="215" spans="1:7" x14ac:dyDescent="0.25">
      <c r="A215" s="8">
        <v>42612.085856481484</v>
      </c>
      <c r="B215" s="23" t="s">
        <v>91</v>
      </c>
      <c r="C215" s="23" t="s">
        <v>572</v>
      </c>
      <c r="D215" s="23">
        <v>1800000</v>
      </c>
      <c r="E215" s="23" t="s">
        <v>174</v>
      </c>
      <c r="F215" s="23" t="str">
        <f t="shared" si="6"/>
        <v>rtdc.l.rtdc.4029:itc</v>
      </c>
      <c r="G215" s="8">
        <f t="shared" si="7"/>
        <v>42612.085856481484</v>
      </c>
    </row>
    <row r="216" spans="1:7" x14ac:dyDescent="0.25">
      <c r="A216" s="8">
        <v>42612.089189814818</v>
      </c>
      <c r="B216" s="23" t="s">
        <v>171</v>
      </c>
      <c r="C216" s="23" t="s">
        <v>573</v>
      </c>
      <c r="D216" s="23">
        <v>1230000</v>
      </c>
      <c r="E216" s="23" t="s">
        <v>168</v>
      </c>
      <c r="F216" s="23" t="str">
        <f t="shared" si="6"/>
        <v>rtdc.l.rtdc.4009:itc</v>
      </c>
      <c r="G216" s="8">
        <f t="shared" si="7"/>
        <v>42612.089189814818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42610.027083333334</v>
      </c>
      <c r="B218" s="23" t="s">
        <v>91</v>
      </c>
      <c r="C218" s="23" t="s">
        <v>294</v>
      </c>
      <c r="D218" s="23">
        <v>2000000</v>
      </c>
      <c r="E218" s="23" t="s">
        <v>142</v>
      </c>
      <c r="F218" s="23" t="str">
        <f t="shared" si="6"/>
        <v>rtdc.l.rtdc.4029:itc</v>
      </c>
      <c r="G218" s="8">
        <f t="shared" si="7"/>
        <v>42610.027083333334</v>
      </c>
    </row>
    <row r="219" spans="1:7" x14ac:dyDescent="0.25">
      <c r="A219" s="8">
        <v>42610.038726851853</v>
      </c>
      <c r="B219" s="23" t="s">
        <v>245</v>
      </c>
      <c r="C219" s="23" t="s">
        <v>291</v>
      </c>
      <c r="D219" s="23">
        <v>1800000</v>
      </c>
      <c r="E219" s="23" t="s">
        <v>174</v>
      </c>
      <c r="F219" s="23" t="str">
        <f t="shared" si="6"/>
        <v>rtdc.l.rtdc.4019:itc</v>
      </c>
      <c r="G219" s="8">
        <f t="shared" si="7"/>
        <v>42610.038726851853</v>
      </c>
    </row>
    <row r="220" spans="1:7" x14ac:dyDescent="0.25">
      <c r="A220" s="8">
        <v>42610.053599537037</v>
      </c>
      <c r="B220" s="23" t="s">
        <v>115</v>
      </c>
      <c r="C220" s="23" t="s">
        <v>293</v>
      </c>
      <c r="D220" s="23">
        <v>1480000</v>
      </c>
      <c r="E220" s="23" t="s">
        <v>237</v>
      </c>
      <c r="F220" s="23" t="str">
        <f t="shared" si="6"/>
        <v>rtdc.l.rtdc.4032:itc</v>
      </c>
      <c r="G220" s="8">
        <f t="shared" si="7"/>
        <v>42610.053599537037</v>
      </c>
    </row>
    <row r="221" spans="1:7" x14ac:dyDescent="0.25">
      <c r="A221" s="8">
        <v>42610.054131944446</v>
      </c>
      <c r="B221" s="23" t="s">
        <v>235</v>
      </c>
      <c r="C221" s="23" t="s">
        <v>298</v>
      </c>
      <c r="D221" s="23">
        <v>1410000</v>
      </c>
      <c r="E221" s="23" t="s">
        <v>307</v>
      </c>
      <c r="F221" s="23" t="str">
        <f t="shared" si="6"/>
        <v>rtdc.l.rtdc.4025:itc</v>
      </c>
      <c r="G221" s="8">
        <f t="shared" si="7"/>
        <v>42610.054131944446</v>
      </c>
    </row>
    <row r="222" spans="1:7" x14ac:dyDescent="0.25">
      <c r="A222" s="8">
        <v>42610.072962962964</v>
      </c>
      <c r="B222" s="23" t="s">
        <v>246</v>
      </c>
      <c r="C222" s="23" t="s">
        <v>296</v>
      </c>
      <c r="D222" s="23">
        <v>1800000</v>
      </c>
      <c r="E222" s="23" t="s">
        <v>174</v>
      </c>
      <c r="F222" s="23" t="str">
        <f t="shared" si="6"/>
        <v>rtdc.l.rtdc.4020:itc</v>
      </c>
      <c r="G222" s="8">
        <f t="shared" si="7"/>
        <v>42610.072962962964</v>
      </c>
    </row>
    <row r="223" spans="1:7" x14ac:dyDescent="0.25">
      <c r="A223" s="8">
        <v>42610.075509259259</v>
      </c>
      <c r="B223" s="23" t="s">
        <v>92</v>
      </c>
      <c r="C223" s="23" t="s">
        <v>295</v>
      </c>
      <c r="D223" s="23">
        <v>2000000</v>
      </c>
      <c r="E223" s="23" t="s">
        <v>142</v>
      </c>
      <c r="F223" s="23" t="str">
        <f t="shared" si="6"/>
        <v>rtdc.l.rtdc.4030:itc</v>
      </c>
      <c r="G223" s="8">
        <f t="shared" si="7"/>
        <v>42610.075509259259</v>
      </c>
    </row>
    <row r="224" spans="1:7" x14ac:dyDescent="0.25">
      <c r="A224" s="8">
        <v>42610.088275462964</v>
      </c>
      <c r="B224" t="s">
        <v>236</v>
      </c>
      <c r="C224" t="s">
        <v>300</v>
      </c>
      <c r="D224">
        <v>1410000</v>
      </c>
      <c r="E224" t="s">
        <v>307</v>
      </c>
      <c r="F224" s="23" t="str">
        <f t="shared" si="6"/>
        <v>rtdc.l.rtdc.4026:itc</v>
      </c>
      <c r="G224" s="8">
        <f t="shared" si="7"/>
        <v>42610.088275462964</v>
      </c>
    </row>
    <row r="225" spans="1:7" x14ac:dyDescent="0.25">
      <c r="A225" s="8">
        <v>42610.096782407411</v>
      </c>
      <c r="B225" t="s">
        <v>114</v>
      </c>
      <c r="C225" t="s">
        <v>297</v>
      </c>
      <c r="D225">
        <v>1480000</v>
      </c>
      <c r="E225" t="s">
        <v>237</v>
      </c>
      <c r="F225" s="23" t="str">
        <f t="shared" si="6"/>
        <v>rtdc.l.rtdc.4031:itc</v>
      </c>
      <c r="G225" s="8">
        <f t="shared" si="7"/>
        <v>42610.096782407411</v>
      </c>
    </row>
    <row r="226" spans="1:7" x14ac:dyDescent="0.25">
      <c r="A226" s="8">
        <v>42610.108541666668</v>
      </c>
      <c r="B226" t="s">
        <v>91</v>
      </c>
      <c r="C226" t="s">
        <v>308</v>
      </c>
      <c r="D226">
        <v>2000000</v>
      </c>
      <c r="E226" t="s">
        <v>142</v>
      </c>
      <c r="F226" s="23" t="str">
        <f t="shared" si="6"/>
        <v>rtdc.l.rtdc.4029:itc</v>
      </c>
      <c r="G226" s="8">
        <f t="shared" si="7"/>
        <v>42610.108541666668</v>
      </c>
    </row>
    <row r="227" spans="1:7" x14ac:dyDescent="0.25">
      <c r="F227" s="23">
        <f t="shared" si="6"/>
        <v>0</v>
      </c>
      <c r="G227" s="8">
        <f t="shared" si="7"/>
        <v>0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42609.014421296299</v>
      </c>
      <c r="B229" t="s">
        <v>177</v>
      </c>
      <c r="C229" t="s">
        <v>256</v>
      </c>
      <c r="D229">
        <v>1230000</v>
      </c>
      <c r="E229" t="s">
        <v>168</v>
      </c>
      <c r="F229" s="23" t="str">
        <f t="shared" si="6"/>
        <v>rtdc.l.rtdc.4001:itc</v>
      </c>
      <c r="G229" s="8">
        <f t="shared" si="7"/>
        <v>42609.014421296299</v>
      </c>
    </row>
    <row r="230" spans="1:7" x14ac:dyDescent="0.25">
      <c r="A230" s="8">
        <v>42609.025173611109</v>
      </c>
      <c r="B230" t="s">
        <v>185</v>
      </c>
      <c r="C230" t="s">
        <v>257</v>
      </c>
      <c r="D230">
        <v>2090000</v>
      </c>
      <c r="E230" t="s">
        <v>193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253</v>
      </c>
      <c r="C231" t="s">
        <v>258</v>
      </c>
      <c r="D231">
        <v>1800000</v>
      </c>
      <c r="E231" t="s">
        <v>174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185</v>
      </c>
      <c r="C232" t="s">
        <v>257</v>
      </c>
      <c r="D232">
        <v>2090000</v>
      </c>
      <c r="E232" t="s">
        <v>193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176</v>
      </c>
      <c r="C233" t="s">
        <v>259</v>
      </c>
      <c r="D233">
        <v>1230000</v>
      </c>
      <c r="E233" t="s">
        <v>168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254</v>
      </c>
      <c r="C234" t="s">
        <v>260</v>
      </c>
      <c r="D234">
        <v>2260000</v>
      </c>
      <c r="E234" t="s">
        <v>200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250</v>
      </c>
      <c r="C235" t="s">
        <v>261</v>
      </c>
      <c r="D235">
        <v>1800000</v>
      </c>
      <c r="E235" t="s">
        <v>174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199</v>
      </c>
      <c r="C236" t="s">
        <v>262</v>
      </c>
      <c r="D236">
        <v>2090000</v>
      </c>
      <c r="E236" t="s">
        <v>193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263</v>
      </c>
      <c r="D237">
        <v>2260000</v>
      </c>
      <c r="E237" t="s">
        <v>200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155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143</v>
      </c>
      <c r="C240" t="s">
        <v>156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158</v>
      </c>
      <c r="D241">
        <v>2000000</v>
      </c>
      <c r="E241" t="s">
        <v>142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157</v>
      </c>
      <c r="D242">
        <v>1230000</v>
      </c>
      <c r="E242" t="s">
        <v>168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160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149</v>
      </c>
      <c r="C244" t="s">
        <v>162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159</v>
      </c>
      <c r="D245">
        <v>2000000</v>
      </c>
      <c r="E245" t="s">
        <v>142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164</v>
      </c>
      <c r="D246">
        <v>1230000</v>
      </c>
      <c r="E246" t="s">
        <v>168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161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165</v>
      </c>
      <c r="D248">
        <v>2000000</v>
      </c>
      <c r="E248" t="s">
        <v>142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143</v>
      </c>
      <c r="C249" t="s">
        <v>163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169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149</v>
      </c>
      <c r="C251" t="s">
        <v>166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42611</v>
      </c>
      <c r="B2" s="4"/>
      <c r="C2" s="75">
        <v>50</v>
      </c>
      <c r="D2" s="76">
        <v>25</v>
      </c>
      <c r="F2" t="s">
        <v>144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145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146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147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178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248</v>
      </c>
      <c r="M25" s="70" t="b">
        <v>1</v>
      </c>
    </row>
    <row r="26" spans="10:13" x14ac:dyDescent="0.25">
      <c r="J26" t="s">
        <v>249</v>
      </c>
      <c r="M26" s="70" t="str">
        <f>"C:\Users\stu\Documents\GitHub\eaglep3-reporting\EC\"&amp;TEXT(A2,"yyyy-mm-dd")&amp;"-refined-times.txt"</f>
        <v>C:\Users\stu\Documents\GitHub\eaglep3-reporting\EC\2016-08-29-refined-times.txt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205</v>
      </c>
      <c r="B1" s="142" t="s">
        <v>206</v>
      </c>
      <c r="C1" s="143" t="s">
        <v>207</v>
      </c>
      <c r="H1" t="s">
        <v>201</v>
      </c>
      <c r="I1" s="144" t="s">
        <v>203</v>
      </c>
      <c r="J1"/>
    </row>
    <row r="2" spans="1:11" x14ac:dyDescent="0.25">
      <c r="A2" s="143" t="s">
        <v>208</v>
      </c>
      <c r="B2" s="143" t="s">
        <v>209</v>
      </c>
      <c r="C2" s="143" t="s">
        <v>210</v>
      </c>
      <c r="H2" t="s">
        <v>202</v>
      </c>
      <c r="I2" s="114" t="s">
        <v>204</v>
      </c>
      <c r="J2"/>
    </row>
    <row r="3" spans="1:11" x14ac:dyDescent="0.25">
      <c r="A3" s="143" t="s">
        <v>211</v>
      </c>
      <c r="B3" s="143" t="s">
        <v>212</v>
      </c>
      <c r="C3" s="143" t="s">
        <v>213</v>
      </c>
      <c r="H3" t="s">
        <v>228</v>
      </c>
      <c r="I3" s="114">
        <v>1</v>
      </c>
      <c r="J3"/>
      <c r="K3" s="70"/>
    </row>
    <row r="4" spans="1:11" x14ac:dyDescent="0.25">
      <c r="A4" s="143" t="s">
        <v>214</v>
      </c>
      <c r="C4" s="143" t="s">
        <v>215</v>
      </c>
      <c r="H4" t="s">
        <v>229</v>
      </c>
      <c r="I4" s="114">
        <v>2</v>
      </c>
      <c r="J4"/>
      <c r="K4" s="70"/>
    </row>
    <row r="5" spans="1:11" x14ac:dyDescent="0.25">
      <c r="A5" s="143" t="s">
        <v>216</v>
      </c>
      <c r="C5" s="143" t="s">
        <v>217</v>
      </c>
      <c r="H5" t="s">
        <v>230</v>
      </c>
      <c r="I5" s="114">
        <v>23</v>
      </c>
      <c r="J5"/>
      <c r="K5" s="70"/>
    </row>
    <row r="6" spans="1:11" x14ac:dyDescent="0.25">
      <c r="A6" s="143" t="s">
        <v>218</v>
      </c>
      <c r="C6" s="143" t="s">
        <v>219</v>
      </c>
      <c r="H6" s="146" t="s">
        <v>231</v>
      </c>
      <c r="I6" s="147" t="s">
        <v>209</v>
      </c>
    </row>
    <row r="7" spans="1:11" x14ac:dyDescent="0.25">
      <c r="A7" s="143" t="s">
        <v>220</v>
      </c>
      <c r="C7" s="143" t="s">
        <v>221</v>
      </c>
    </row>
    <row r="8" spans="1:11" x14ac:dyDescent="0.25">
      <c r="C8" s="143" t="s">
        <v>222</v>
      </c>
    </row>
    <row r="9" spans="1:11" x14ac:dyDescent="0.25">
      <c r="C9" s="143" t="s">
        <v>223</v>
      </c>
    </row>
    <row r="10" spans="1:11" x14ac:dyDescent="0.25">
      <c r="C10" s="143" t="s">
        <v>224</v>
      </c>
    </row>
    <row r="11" spans="1:11" x14ac:dyDescent="0.25">
      <c r="C11" s="143" t="s">
        <v>225</v>
      </c>
    </row>
    <row r="12" spans="1:11" x14ac:dyDescent="0.25">
      <c r="C12" s="143" t="s">
        <v>226</v>
      </c>
    </row>
    <row r="13" spans="1:11" x14ac:dyDescent="0.25">
      <c r="C13" s="143" t="s">
        <v>227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2016-08-31T17:48:34Z</dcterms:modified>
</cp:coreProperties>
</file>