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Runs'!$A$12:$AG$256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08" i="1" l="1"/>
  <c r="X208" i="1"/>
  <c r="X209" i="1"/>
  <c r="X210" i="1"/>
  <c r="X211" i="1"/>
  <c r="AD166" i="1"/>
  <c r="AG166" i="1" s="1"/>
  <c r="AD165" i="1"/>
  <c r="AG165" i="1" s="1"/>
  <c r="P116" i="1"/>
  <c r="P87" i="1"/>
  <c r="P16" i="1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V16" i="1"/>
  <c r="Y16" i="1"/>
  <c r="AB16" i="1"/>
  <c r="AC16" i="1"/>
  <c r="AD16" i="1"/>
  <c r="AE16" i="1"/>
  <c r="AF16" i="1"/>
  <c r="K17" i="1"/>
  <c r="L17" i="1"/>
  <c r="M17" i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K27" i="1"/>
  <c r="L27" i="1"/>
  <c r="M27" i="1"/>
  <c r="P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V28" i="1"/>
  <c r="Y28" i="1"/>
  <c r="Z28" i="1"/>
  <c r="AB28" i="1"/>
  <c r="AC28" i="1"/>
  <c r="AD28" i="1"/>
  <c r="AE28" i="1"/>
  <c r="AF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K34" i="1"/>
  <c r="L34" i="1"/>
  <c r="M34" i="1"/>
  <c r="N34" i="1" s="1"/>
  <c r="V34" i="1"/>
  <c r="Y34" i="1"/>
  <c r="Z34" i="1"/>
  <c r="AA34" i="1" s="1"/>
  <c r="AB34" i="1"/>
  <c r="AC34" i="1"/>
  <c r="AD34" i="1"/>
  <c r="AG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I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K37" i="1"/>
  <c r="L37" i="1"/>
  <c r="M37" i="1"/>
  <c r="P37" i="1" s="1"/>
  <c r="V37" i="1"/>
  <c r="Y37" i="1"/>
  <c r="Z37" i="1"/>
  <c r="AB37" i="1"/>
  <c r="AC37" i="1"/>
  <c r="AD37" i="1"/>
  <c r="T37" i="1" s="1"/>
  <c r="AE37" i="1"/>
  <c r="AF37" i="1"/>
  <c r="K38" i="1"/>
  <c r="L38" i="1"/>
  <c r="M38" i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V50" i="1"/>
  <c r="Y50" i="1"/>
  <c r="Z50" i="1"/>
  <c r="AI50" i="1" s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K76" i="1"/>
  <c r="L76" i="1"/>
  <c r="M76" i="1"/>
  <c r="N76" i="1" s="1"/>
  <c r="V76" i="1"/>
  <c r="Y76" i="1"/>
  <c r="Z76" i="1"/>
  <c r="AI76" i="1" s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P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V83" i="1"/>
  <c r="Y83" i="1"/>
  <c r="Z83" i="1"/>
  <c r="AB83" i="1"/>
  <c r="AC83" i="1"/>
  <c r="AD83" i="1"/>
  <c r="AE83" i="1"/>
  <c r="AF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K85" i="1"/>
  <c r="L85" i="1"/>
  <c r="M85" i="1"/>
  <c r="N85" i="1" s="1"/>
  <c r="V85" i="1"/>
  <c r="Y85" i="1"/>
  <c r="Z85" i="1"/>
  <c r="AA85" i="1" s="1"/>
  <c r="AB85" i="1"/>
  <c r="AC85" i="1"/>
  <c r="AD85" i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V87" i="1"/>
  <c r="Y87" i="1"/>
  <c r="Z87" i="1"/>
  <c r="AB87" i="1"/>
  <c r="AC87" i="1"/>
  <c r="AD87" i="1"/>
  <c r="T87" i="1" s="1"/>
  <c r="AE87" i="1"/>
  <c r="AF87" i="1"/>
  <c r="K88" i="1"/>
  <c r="L88" i="1"/>
  <c r="M88" i="1"/>
  <c r="V88" i="1"/>
  <c r="Y88" i="1"/>
  <c r="Z88" i="1"/>
  <c r="AB88" i="1"/>
  <c r="AC88" i="1"/>
  <c r="AD88" i="1"/>
  <c r="AE88" i="1"/>
  <c r="AF88" i="1"/>
  <c r="K89" i="1"/>
  <c r="L89" i="1"/>
  <c r="M89" i="1"/>
  <c r="P89" i="1" s="1"/>
  <c r="V89" i="1"/>
  <c r="S20" i="3" s="1"/>
  <c r="Y89" i="1"/>
  <c r="Z89" i="1"/>
  <c r="AB89" i="1"/>
  <c r="AC89" i="1"/>
  <c r="AD89" i="1"/>
  <c r="AE89" i="1"/>
  <c r="R20" i="3" s="1"/>
  <c r="AF89" i="1"/>
  <c r="K90" i="1"/>
  <c r="L90" i="1"/>
  <c r="M90" i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K99" i="1"/>
  <c r="L99" i="1"/>
  <c r="M99" i="1"/>
  <c r="P99" i="1" s="1"/>
  <c r="V99" i="1"/>
  <c r="Y99" i="1"/>
  <c r="Z99" i="1"/>
  <c r="AB99" i="1"/>
  <c r="AC99" i="1"/>
  <c r="AD99" i="1"/>
  <c r="AG99" i="1" s="1"/>
  <c r="AE99" i="1"/>
  <c r="AF99" i="1"/>
  <c r="K100" i="1"/>
  <c r="L100" i="1"/>
  <c r="M100" i="1"/>
  <c r="V100" i="1"/>
  <c r="Y100" i="1"/>
  <c r="Z100" i="1"/>
  <c r="AB100" i="1"/>
  <c r="AC100" i="1"/>
  <c r="AD100" i="1"/>
  <c r="AE100" i="1"/>
  <c r="AF100" i="1"/>
  <c r="K101" i="1"/>
  <c r="L101" i="1"/>
  <c r="M101" i="1"/>
  <c r="N101" i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K103" i="1"/>
  <c r="L103" i="1"/>
  <c r="M103" i="1"/>
  <c r="P103" i="1" s="1"/>
  <c r="V103" i="1"/>
  <c r="Y103" i="1"/>
  <c r="Z103" i="1"/>
  <c r="AB103" i="1"/>
  <c r="AC103" i="1"/>
  <c r="AD103" i="1"/>
  <c r="AE103" i="1"/>
  <c r="AF103" i="1"/>
  <c r="K104" i="1"/>
  <c r="L104" i="1"/>
  <c r="M104" i="1"/>
  <c r="V104" i="1"/>
  <c r="Y104" i="1"/>
  <c r="Z104" i="1"/>
  <c r="AI104" i="1" s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K106" i="1"/>
  <c r="L106" i="1"/>
  <c r="M106" i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P106" i="1" s="1"/>
  <c r="V107" i="1"/>
  <c r="Y107" i="1"/>
  <c r="Z107" i="1"/>
  <c r="AB107" i="1"/>
  <c r="AC107" i="1"/>
  <c r="AD107" i="1"/>
  <c r="T107" i="1" s="1"/>
  <c r="AE107" i="1"/>
  <c r="AF107" i="1"/>
  <c r="K108" i="1"/>
  <c r="L108" i="1"/>
  <c r="M108" i="1"/>
  <c r="N108" i="1"/>
  <c r="V108" i="1"/>
  <c r="X108" i="1"/>
  <c r="Y108" i="1"/>
  <c r="Z108" i="1"/>
  <c r="AA108" i="1" s="1"/>
  <c r="W108" i="1" s="1"/>
  <c r="AB108" i="1"/>
  <c r="AC108" i="1"/>
  <c r="AD108" i="1"/>
  <c r="AG108" i="1" s="1"/>
  <c r="AE108" i="1"/>
  <c r="AF108" i="1"/>
  <c r="K109" i="1"/>
  <c r="L109" i="1"/>
  <c r="M109" i="1"/>
  <c r="P109" i="1" s="1"/>
  <c r="V109" i="1"/>
  <c r="Y109" i="1"/>
  <c r="Z109" i="1"/>
  <c r="AB109" i="1"/>
  <c r="AC109" i="1"/>
  <c r="AD109" i="1"/>
  <c r="AE109" i="1"/>
  <c r="AF109" i="1"/>
  <c r="K110" i="1"/>
  <c r="L110" i="1"/>
  <c r="M110" i="1"/>
  <c r="V110" i="1"/>
  <c r="Y110" i="1"/>
  <c r="Z110" i="1"/>
  <c r="AB110" i="1"/>
  <c r="AC110" i="1"/>
  <c r="AD110" i="1"/>
  <c r="AE110" i="1"/>
  <c r="AF110" i="1"/>
  <c r="K111" i="1"/>
  <c r="L111" i="1"/>
  <c r="M111" i="1"/>
  <c r="P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P113" i="1" s="1"/>
  <c r="V113" i="1"/>
  <c r="Y113" i="1"/>
  <c r="AA113" i="1" s="1"/>
  <c r="Z113" i="1"/>
  <c r="AB113" i="1"/>
  <c r="AC113" i="1"/>
  <c r="AD113" i="1"/>
  <c r="AG113" i="1" s="1"/>
  <c r="AI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K116" i="1"/>
  <c r="L116" i="1"/>
  <c r="M116" i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P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P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P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/>
  <c r="V150" i="1"/>
  <c r="Y150" i="1"/>
  <c r="AA150" i="1" s="1"/>
  <c r="W150" i="1" s="1"/>
  <c r="Z150" i="1"/>
  <c r="AB150" i="1"/>
  <c r="AC150" i="1"/>
  <c r="AD150" i="1"/>
  <c r="AG150" i="1" s="1"/>
  <c r="AI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P156" i="1" s="1"/>
  <c r="V156" i="1"/>
  <c r="Y156" i="1"/>
  <c r="Z156" i="1"/>
  <c r="AB156" i="1"/>
  <c r="AC156" i="1"/>
  <c r="AD156" i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I159" i="1" s="1"/>
  <c r="AE159" i="1"/>
  <c r="AF159" i="1"/>
  <c r="K160" i="1"/>
  <c r="L160" i="1"/>
  <c r="M160" i="1"/>
  <c r="N160" i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K163" i="1"/>
  <c r="L163" i="1"/>
  <c r="M163" i="1"/>
  <c r="N163" i="1" s="1"/>
  <c r="V163" i="1"/>
  <c r="Y163" i="1"/>
  <c r="Z163" i="1"/>
  <c r="AA163" i="1" s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AF164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K225" i="1"/>
  <c r="L225" i="1"/>
  <c r="M225" i="1"/>
  <c r="N225" i="1"/>
  <c r="V225" i="1"/>
  <c r="Y225" i="1"/>
  <c r="Z225" i="1"/>
  <c r="AB225" i="1"/>
  <c r="AC225" i="1"/>
  <c r="AD225" i="1"/>
  <c r="AG225" i="1" s="1"/>
  <c r="AE225" i="1"/>
  <c r="AF225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K237" i="1"/>
  <c r="L237" i="1"/>
  <c r="M237" i="1"/>
  <c r="N237" i="1" s="1"/>
  <c r="V237" i="1"/>
  <c r="Y237" i="1"/>
  <c r="Z237" i="1"/>
  <c r="AB237" i="1"/>
  <c r="AC237" i="1"/>
  <c r="AD237" i="1"/>
  <c r="AG237" i="1" s="1"/>
  <c r="AE237" i="1"/>
  <c r="AF237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K239" i="1"/>
  <c r="L239" i="1"/>
  <c r="M239" i="1"/>
  <c r="N239" i="1" s="1"/>
  <c r="V239" i="1"/>
  <c r="Y239" i="1"/>
  <c r="Z239" i="1"/>
  <c r="AB239" i="1"/>
  <c r="AC239" i="1"/>
  <c r="AD239" i="1"/>
  <c r="AG239" i="1" s="1"/>
  <c r="AE239" i="1"/>
  <c r="AF239" i="1"/>
  <c r="K240" i="1"/>
  <c r="L240" i="1"/>
  <c r="M240" i="1"/>
  <c r="N240" i="1" s="1"/>
  <c r="V240" i="1"/>
  <c r="Y240" i="1"/>
  <c r="Z240" i="1"/>
  <c r="AB240" i="1"/>
  <c r="AC240" i="1"/>
  <c r="AD240" i="1"/>
  <c r="AG240" i="1" s="1"/>
  <c r="AE240" i="1"/>
  <c r="AF240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K244" i="1"/>
  <c r="L244" i="1"/>
  <c r="M244" i="1"/>
  <c r="N244" i="1" s="1"/>
  <c r="V244" i="1"/>
  <c r="Y244" i="1"/>
  <c r="Z244" i="1"/>
  <c r="AB244" i="1"/>
  <c r="AC244" i="1"/>
  <c r="AD244" i="1"/>
  <c r="AG244" i="1" s="1"/>
  <c r="AE244" i="1"/>
  <c r="AF244" i="1"/>
  <c r="K245" i="1"/>
  <c r="L245" i="1"/>
  <c r="M245" i="1"/>
  <c r="N245" i="1" s="1"/>
  <c r="V245" i="1"/>
  <c r="Y245" i="1"/>
  <c r="Z245" i="1"/>
  <c r="AB245" i="1"/>
  <c r="AC245" i="1"/>
  <c r="AD245" i="1"/>
  <c r="AG245" i="1" s="1"/>
  <c r="AE245" i="1"/>
  <c r="AF245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K247" i="1"/>
  <c r="L247" i="1"/>
  <c r="M247" i="1"/>
  <c r="N247" i="1" s="1"/>
  <c r="V247" i="1"/>
  <c r="Y247" i="1"/>
  <c r="Z247" i="1"/>
  <c r="AB247" i="1"/>
  <c r="AC247" i="1"/>
  <c r="AD247" i="1"/>
  <c r="AG247" i="1" s="1"/>
  <c r="AE247" i="1"/>
  <c r="AF247" i="1"/>
  <c r="K248" i="1"/>
  <c r="L248" i="1"/>
  <c r="M248" i="1"/>
  <c r="N248" i="1" s="1"/>
  <c r="V248" i="1"/>
  <c r="Y248" i="1"/>
  <c r="Z248" i="1"/>
  <c r="AB248" i="1"/>
  <c r="AC248" i="1"/>
  <c r="AD248" i="1"/>
  <c r="AG248" i="1" s="1"/>
  <c r="AE248" i="1"/>
  <c r="AF248" i="1"/>
  <c r="K249" i="1"/>
  <c r="L249" i="1"/>
  <c r="M249" i="1"/>
  <c r="N249" i="1" s="1"/>
  <c r="V249" i="1"/>
  <c r="Y249" i="1"/>
  <c r="Z249" i="1"/>
  <c r="AB249" i="1"/>
  <c r="AC249" i="1"/>
  <c r="AD249" i="1"/>
  <c r="AE249" i="1"/>
  <c r="AF249" i="1"/>
  <c r="K250" i="1"/>
  <c r="L250" i="1"/>
  <c r="M250" i="1"/>
  <c r="N250" i="1" s="1"/>
  <c r="V250" i="1"/>
  <c r="Y250" i="1"/>
  <c r="Z250" i="1"/>
  <c r="AB250" i="1"/>
  <c r="AC250" i="1"/>
  <c r="AD250" i="1"/>
  <c r="AE250" i="1"/>
  <c r="AF250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K253" i="1"/>
  <c r="L253" i="1"/>
  <c r="M253" i="1"/>
  <c r="N253" i="1" s="1"/>
  <c r="V253" i="1"/>
  <c r="Y253" i="1"/>
  <c r="Z253" i="1"/>
  <c r="AB253" i="1"/>
  <c r="AC253" i="1"/>
  <c r="AD253" i="1"/>
  <c r="AG253" i="1" s="1"/>
  <c r="AE253" i="1"/>
  <c r="AF253" i="1"/>
  <c r="K254" i="1"/>
  <c r="L254" i="1"/>
  <c r="M254" i="1"/>
  <c r="N254" i="1" s="1"/>
  <c r="V254" i="1"/>
  <c r="Y254" i="1"/>
  <c r="Z254" i="1"/>
  <c r="AB254" i="1"/>
  <c r="AC254" i="1"/>
  <c r="AD254" i="1"/>
  <c r="AE254" i="1"/>
  <c r="AF254" i="1"/>
  <c r="K255" i="1"/>
  <c r="L255" i="1"/>
  <c r="M255" i="1"/>
  <c r="N255" i="1" s="1"/>
  <c r="V255" i="1"/>
  <c r="Y255" i="1"/>
  <c r="Z255" i="1"/>
  <c r="AB255" i="1"/>
  <c r="AC255" i="1"/>
  <c r="AD255" i="1"/>
  <c r="AE255" i="1"/>
  <c r="AF255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K170" i="1"/>
  <c r="L170" i="1"/>
  <c r="M170" i="1"/>
  <c r="N170" i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I216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K189" i="1"/>
  <c r="L189" i="1"/>
  <c r="M189" i="1"/>
  <c r="P189" i="1" s="1"/>
  <c r="V189" i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/>
  <c r="V190" i="1"/>
  <c r="Y190" i="1"/>
  <c r="Z190" i="1"/>
  <c r="AB190" i="1"/>
  <c r="AC190" i="1"/>
  <c r="AD190" i="1"/>
  <c r="AG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V208" i="1"/>
  <c r="Y208" i="1"/>
  <c r="Z208" i="1"/>
  <c r="AB208" i="1"/>
  <c r="AC208" i="1"/>
  <c r="AD208" i="1"/>
  <c r="T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K213" i="1"/>
  <c r="L213" i="1"/>
  <c r="M213" i="1"/>
  <c r="N213" i="1" s="1"/>
  <c r="V213" i="1"/>
  <c r="S54" i="3" s="1"/>
  <c r="Y213" i="1"/>
  <c r="Z213" i="1"/>
  <c r="AB213" i="1"/>
  <c r="AC213" i="1"/>
  <c r="AD213" i="1"/>
  <c r="AG213" i="1" s="1"/>
  <c r="AE213" i="1"/>
  <c r="R54" i="3" s="1"/>
  <c r="AF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K230" i="1"/>
  <c r="L230" i="1"/>
  <c r="M230" i="1"/>
  <c r="N230" i="1" s="1"/>
  <c r="V230" i="1"/>
  <c r="S62" i="3" s="1"/>
  <c r="Y230" i="1"/>
  <c r="Z230" i="1"/>
  <c r="AB230" i="1"/>
  <c r="AC230" i="1"/>
  <c r="AD230" i="1"/>
  <c r="T230" i="1" s="1"/>
  <c r="AE230" i="1"/>
  <c r="R62" i="3" s="1"/>
  <c r="AF230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U59" i="3"/>
  <c r="AC59" i="3" s="1"/>
  <c r="V59" i="3"/>
  <c r="W59" i="3"/>
  <c r="X59" i="3"/>
  <c r="U7" i="3"/>
  <c r="T7" i="3" s="1"/>
  <c r="V7" i="3"/>
  <c r="W7" i="3"/>
  <c r="X7" i="3"/>
  <c r="AC7" i="3"/>
  <c r="U62" i="3"/>
  <c r="T62" i="3" s="1"/>
  <c r="V62" i="3"/>
  <c r="W62" i="3"/>
  <c r="X62" i="3"/>
  <c r="AC62" i="3"/>
  <c r="U19" i="3"/>
  <c r="T19" i="3" s="1"/>
  <c r="V19" i="3"/>
  <c r="W19" i="3"/>
  <c r="X19" i="3"/>
  <c r="U35" i="3"/>
  <c r="AC35" i="3" s="1"/>
  <c r="V35" i="3"/>
  <c r="W35" i="3"/>
  <c r="X35" i="3"/>
  <c r="U28" i="3"/>
  <c r="AC28" i="3" s="1"/>
  <c r="V28" i="3"/>
  <c r="W28" i="3"/>
  <c r="X28" i="3"/>
  <c r="U43" i="3"/>
  <c r="T43" i="3" s="1"/>
  <c r="V43" i="3"/>
  <c r="W43" i="3"/>
  <c r="X43" i="3"/>
  <c r="AC43" i="3"/>
  <c r="U12" i="3"/>
  <c r="T12" i="3" s="1"/>
  <c r="V12" i="3"/>
  <c r="W12" i="3"/>
  <c r="X12" i="3"/>
  <c r="U16" i="3"/>
  <c r="AC16" i="3" s="1"/>
  <c r="V16" i="3"/>
  <c r="W16" i="3"/>
  <c r="X16" i="3"/>
  <c r="U36" i="3"/>
  <c r="AC36" i="3" s="1"/>
  <c r="V36" i="3"/>
  <c r="W36" i="3"/>
  <c r="X36" i="3"/>
  <c r="U17" i="3"/>
  <c r="T17" i="3" s="1"/>
  <c r="V17" i="3"/>
  <c r="W17" i="3"/>
  <c r="X17" i="3"/>
  <c r="AC17" i="3"/>
  <c r="U13" i="3"/>
  <c r="T13" i="3" s="1"/>
  <c r="V13" i="3"/>
  <c r="W13" i="3"/>
  <c r="X13" i="3"/>
  <c r="U55" i="3"/>
  <c r="AC55" i="3" s="1"/>
  <c r="V55" i="3"/>
  <c r="W55" i="3"/>
  <c r="X55" i="3"/>
  <c r="U11" i="3"/>
  <c r="AC11" i="3" s="1"/>
  <c r="V11" i="3"/>
  <c r="W11" i="3"/>
  <c r="X11" i="3"/>
  <c r="U25" i="3"/>
  <c r="T25" i="3" s="1"/>
  <c r="V25" i="3"/>
  <c r="W25" i="3"/>
  <c r="X25" i="3"/>
  <c r="AC25" i="3"/>
  <c r="U44" i="3"/>
  <c r="T44" i="3" s="1"/>
  <c r="V44" i="3"/>
  <c r="W44" i="3"/>
  <c r="X44" i="3"/>
  <c r="U23" i="3"/>
  <c r="AC23" i="3" s="1"/>
  <c r="V23" i="3"/>
  <c r="W23" i="3"/>
  <c r="X23" i="3"/>
  <c r="U48" i="3"/>
  <c r="AC48" i="3" s="1"/>
  <c r="V48" i="3"/>
  <c r="W48" i="3"/>
  <c r="X48" i="3"/>
  <c r="U56" i="3"/>
  <c r="T56" i="3" s="1"/>
  <c r="V56" i="3"/>
  <c r="W56" i="3"/>
  <c r="X56" i="3"/>
  <c r="AC56" i="3"/>
  <c r="U61" i="3"/>
  <c r="T61" i="3" s="1"/>
  <c r="V61" i="3"/>
  <c r="W61" i="3"/>
  <c r="X61" i="3"/>
  <c r="U21" i="3"/>
  <c r="AC21" i="3" s="1"/>
  <c r="V21" i="3"/>
  <c r="W21" i="3"/>
  <c r="X21" i="3"/>
  <c r="U18" i="3"/>
  <c r="AC18" i="3" s="1"/>
  <c r="V18" i="3"/>
  <c r="W18" i="3"/>
  <c r="X18" i="3"/>
  <c r="U31" i="3"/>
  <c r="T31" i="3" s="1"/>
  <c r="V31" i="3"/>
  <c r="W31" i="3"/>
  <c r="X31" i="3"/>
  <c r="AC31" i="3"/>
  <c r="U9" i="3"/>
  <c r="T9" i="3" s="1"/>
  <c r="V9" i="3"/>
  <c r="W9" i="3"/>
  <c r="X9" i="3"/>
  <c r="U32" i="3"/>
  <c r="AC32" i="3" s="1"/>
  <c r="V32" i="3"/>
  <c r="W32" i="3"/>
  <c r="X32" i="3"/>
  <c r="S30" i="3"/>
  <c r="U30" i="3"/>
  <c r="AC30" i="3" s="1"/>
  <c r="V30" i="3"/>
  <c r="W30" i="3"/>
  <c r="X30" i="3"/>
  <c r="U20" i="3"/>
  <c r="T20" i="3" s="1"/>
  <c r="V20" i="3"/>
  <c r="W20" i="3"/>
  <c r="X20" i="3"/>
  <c r="AC20" i="3"/>
  <c r="U8" i="3"/>
  <c r="T8" i="3" s="1"/>
  <c r="V8" i="3"/>
  <c r="W8" i="3"/>
  <c r="X8" i="3"/>
  <c r="U40" i="3"/>
  <c r="AC40" i="3" s="1"/>
  <c r="V40" i="3"/>
  <c r="W40" i="3"/>
  <c r="X40" i="3"/>
  <c r="U49" i="3"/>
  <c r="AC49" i="3" s="1"/>
  <c r="V49" i="3"/>
  <c r="W49" i="3"/>
  <c r="X49" i="3"/>
  <c r="U33" i="3"/>
  <c r="T33" i="3" s="1"/>
  <c r="V33" i="3"/>
  <c r="W33" i="3"/>
  <c r="X33" i="3"/>
  <c r="AC33" i="3"/>
  <c r="U29" i="3"/>
  <c r="T29" i="3" s="1"/>
  <c r="V29" i="3"/>
  <c r="W29" i="3"/>
  <c r="X29" i="3"/>
  <c r="U42" i="3"/>
  <c r="AC42" i="3" s="1"/>
  <c r="V42" i="3"/>
  <c r="W42" i="3"/>
  <c r="X42" i="3"/>
  <c r="U34" i="3"/>
  <c r="AC34" i="3" s="1"/>
  <c r="V34" i="3"/>
  <c r="W34" i="3"/>
  <c r="X34" i="3"/>
  <c r="U14" i="3"/>
  <c r="T14" i="3" s="1"/>
  <c r="V14" i="3"/>
  <c r="W14" i="3"/>
  <c r="X14" i="3"/>
  <c r="AC14" i="3"/>
  <c r="U27" i="3"/>
  <c r="T27" i="3" s="1"/>
  <c r="V27" i="3"/>
  <c r="W27" i="3"/>
  <c r="X27" i="3"/>
  <c r="U50" i="3"/>
  <c r="AC50" i="3" s="1"/>
  <c r="V50" i="3"/>
  <c r="W50" i="3"/>
  <c r="Y50" i="3" s="1"/>
  <c r="X50" i="3"/>
  <c r="U10" i="3"/>
  <c r="AC10" i="3" s="1"/>
  <c r="V10" i="3"/>
  <c r="W10" i="3"/>
  <c r="X10" i="3"/>
  <c r="U41" i="3"/>
  <c r="T41" i="3" s="1"/>
  <c r="V41" i="3"/>
  <c r="W41" i="3"/>
  <c r="X41" i="3"/>
  <c r="AC41" i="3"/>
  <c r="U60" i="3"/>
  <c r="T60" i="3" s="1"/>
  <c r="V60" i="3"/>
  <c r="W60" i="3"/>
  <c r="X60" i="3"/>
  <c r="U51" i="3"/>
  <c r="AC51" i="3" s="1"/>
  <c r="V51" i="3"/>
  <c r="W51" i="3"/>
  <c r="X51" i="3"/>
  <c r="U52" i="3"/>
  <c r="AC52" i="3" s="1"/>
  <c r="V52" i="3"/>
  <c r="W52" i="3"/>
  <c r="X52" i="3"/>
  <c r="U26" i="3"/>
  <c r="T26" i="3" s="1"/>
  <c r="V26" i="3"/>
  <c r="W26" i="3"/>
  <c r="X26" i="3"/>
  <c r="AC26" i="3"/>
  <c r="U15" i="3"/>
  <c r="T15" i="3" s="1"/>
  <c r="V15" i="3"/>
  <c r="W15" i="3"/>
  <c r="X15" i="3"/>
  <c r="U53" i="3"/>
  <c r="AC53" i="3" s="1"/>
  <c r="V53" i="3"/>
  <c r="W53" i="3"/>
  <c r="X53" i="3"/>
  <c r="U22" i="3"/>
  <c r="AC22" i="3" s="1"/>
  <c r="V22" i="3"/>
  <c r="W22" i="3"/>
  <c r="X22" i="3"/>
  <c r="U37" i="3"/>
  <c r="T37" i="3" s="1"/>
  <c r="V37" i="3"/>
  <c r="W37" i="3"/>
  <c r="X37" i="3"/>
  <c r="AC37" i="3"/>
  <c r="U57" i="3"/>
  <c r="T57" i="3" s="1"/>
  <c r="V57" i="3"/>
  <c r="W57" i="3"/>
  <c r="X57" i="3"/>
  <c r="U38" i="3"/>
  <c r="AC38" i="3" s="1"/>
  <c r="V38" i="3"/>
  <c r="W38" i="3"/>
  <c r="X38" i="3"/>
  <c r="U45" i="3"/>
  <c r="AC45" i="3" s="1"/>
  <c r="V45" i="3"/>
  <c r="W45" i="3"/>
  <c r="X45" i="3"/>
  <c r="U46" i="3"/>
  <c r="T46" i="3" s="1"/>
  <c r="V46" i="3"/>
  <c r="W46" i="3"/>
  <c r="X46" i="3"/>
  <c r="AC46" i="3"/>
  <c r="U47" i="3"/>
  <c r="T47" i="3" s="1"/>
  <c r="V47" i="3"/>
  <c r="W47" i="3"/>
  <c r="X47" i="3"/>
  <c r="U54" i="3"/>
  <c r="AC54" i="3" s="1"/>
  <c r="V54" i="3"/>
  <c r="W54" i="3"/>
  <c r="X54" i="3"/>
  <c r="U24" i="3"/>
  <c r="AC24" i="3" s="1"/>
  <c r="V24" i="3"/>
  <c r="W24" i="3"/>
  <c r="Y24" i="3" s="1"/>
  <c r="X24" i="3"/>
  <c r="U39" i="3"/>
  <c r="T39" i="3" s="1"/>
  <c r="V39" i="3"/>
  <c r="W39" i="3"/>
  <c r="X39" i="3"/>
  <c r="AC39" i="3"/>
  <c r="T120" i="1" l="1"/>
  <c r="X165" i="1"/>
  <c r="X192" i="1"/>
  <c r="Y21" i="3"/>
  <c r="AA233" i="1"/>
  <c r="AA214" i="1"/>
  <c r="AA174" i="1"/>
  <c r="W174" i="1" s="1"/>
  <c r="AA252" i="1"/>
  <c r="T164" i="1"/>
  <c r="AA92" i="1"/>
  <c r="AA88" i="1"/>
  <c r="X56" i="1"/>
  <c r="T41" i="1"/>
  <c r="AA39" i="1"/>
  <c r="T165" i="1"/>
  <c r="X191" i="1"/>
  <c r="X194" i="1"/>
  <c r="X190" i="1"/>
  <c r="AA207" i="1"/>
  <c r="AA189" i="1"/>
  <c r="AA154" i="1"/>
  <c r="W154" i="1" s="1"/>
  <c r="AG87" i="1"/>
  <c r="U87" i="1" s="1"/>
  <c r="S87" i="1" s="1"/>
  <c r="X87" i="1"/>
  <c r="AI84" i="1"/>
  <c r="AA67" i="1"/>
  <c r="AA29" i="1"/>
  <c r="AA20" i="1"/>
  <c r="X193" i="1"/>
  <c r="X189" i="1"/>
  <c r="X187" i="1"/>
  <c r="AG184" i="1"/>
  <c r="AI184" i="1" s="1"/>
  <c r="AA133" i="1"/>
  <c r="AI129" i="1"/>
  <c r="X48" i="1"/>
  <c r="X37" i="1"/>
  <c r="AC47" i="3"/>
  <c r="Y15" i="3"/>
  <c r="Y9" i="3"/>
  <c r="Y13" i="3"/>
  <c r="Y54" i="3"/>
  <c r="Y52" i="3"/>
  <c r="Y60" i="3"/>
  <c r="Y40" i="3"/>
  <c r="Y8" i="3"/>
  <c r="AA231" i="1"/>
  <c r="AA195" i="1"/>
  <c r="AA191" i="1"/>
  <c r="AA160" i="1"/>
  <c r="AA128" i="1"/>
  <c r="T99" i="1"/>
  <c r="U99" i="1" s="1"/>
  <c r="AA97" i="1"/>
  <c r="W97" i="1" s="1"/>
  <c r="AA37" i="1"/>
  <c r="AA31" i="1"/>
  <c r="AA18" i="1"/>
  <c r="T166" i="1"/>
  <c r="X166" i="1"/>
  <c r="AG230" i="1"/>
  <c r="AI196" i="1"/>
  <c r="AI138" i="1"/>
  <c r="X168" i="1"/>
  <c r="Y55" i="3"/>
  <c r="T201" i="1"/>
  <c r="AI120" i="1"/>
  <c r="AI72" i="1"/>
  <c r="T66" i="1"/>
  <c r="W34" i="1"/>
  <c r="X167" i="1"/>
  <c r="Y46" i="3"/>
  <c r="Y38" i="3"/>
  <c r="Y35" i="3"/>
  <c r="Y19" i="3"/>
  <c r="AA123" i="1"/>
  <c r="R30" i="3"/>
  <c r="X221" i="1"/>
  <c r="AA218" i="1"/>
  <c r="AA167" i="1"/>
  <c r="AA159" i="1"/>
  <c r="W159" i="1" s="1"/>
  <c r="AI154" i="1"/>
  <c r="AI142" i="1"/>
  <c r="X141" i="1"/>
  <c r="AA117" i="1"/>
  <c r="AI96" i="1"/>
  <c r="AA78" i="1"/>
  <c r="AA57" i="1"/>
  <c r="W57" i="1" s="1"/>
  <c r="AG55" i="1"/>
  <c r="U55" i="1" s="1"/>
  <c r="S55" i="1" s="1"/>
  <c r="AA35" i="1"/>
  <c r="W35" i="1" s="1"/>
  <c r="X26" i="1"/>
  <c r="X250" i="1"/>
  <c r="AG78" i="1"/>
  <c r="AI78" i="1" s="1"/>
  <c r="AA33" i="1"/>
  <c r="W33" i="1" s="1"/>
  <c r="AA235" i="1"/>
  <c r="W235" i="1" s="1"/>
  <c r="AA234" i="1"/>
  <c r="W234" i="1" s="1"/>
  <c r="AG188" i="1"/>
  <c r="U188" i="1" s="1"/>
  <c r="S188" i="1" s="1"/>
  <c r="X156" i="1"/>
  <c r="X96" i="1"/>
  <c r="AA212" i="1"/>
  <c r="W212" i="1" s="1"/>
  <c r="AA181" i="1"/>
  <c r="AG251" i="1"/>
  <c r="U251" i="1" s="1"/>
  <c r="S251" i="1" s="1"/>
  <c r="AA249" i="1"/>
  <c r="AA226" i="1"/>
  <c r="X224" i="1"/>
  <c r="AG160" i="1"/>
  <c r="AI160" i="1" s="1"/>
  <c r="X160" i="1"/>
  <c r="AI158" i="1"/>
  <c r="AA149" i="1"/>
  <c r="X140" i="1"/>
  <c r="AA120" i="1"/>
  <c r="W120" i="1" s="1"/>
  <c r="AA119" i="1"/>
  <c r="AG91" i="1"/>
  <c r="X91" i="1"/>
  <c r="AI46" i="1"/>
  <c r="AI42" i="1"/>
  <c r="AA41" i="1"/>
  <c r="AG23" i="1"/>
  <c r="U23" i="1" s="1"/>
  <c r="S23" i="1" s="1"/>
  <c r="Y56" i="3"/>
  <c r="Y23" i="3"/>
  <c r="Y53" i="3"/>
  <c r="Y27" i="3"/>
  <c r="Y62" i="3"/>
  <c r="Y14" i="3"/>
  <c r="Y42" i="3"/>
  <c r="Y30" i="3"/>
  <c r="Y61" i="3"/>
  <c r="Y36" i="3"/>
  <c r="Y12" i="3"/>
  <c r="Y7" i="3"/>
  <c r="U230" i="1"/>
  <c r="S230" i="1" s="1"/>
  <c r="AI253" i="1"/>
  <c r="T247" i="1"/>
  <c r="U247" i="1" s="1"/>
  <c r="S247" i="1" s="1"/>
  <c r="T228" i="1"/>
  <c r="AG193" i="1"/>
  <c r="U193" i="1" s="1"/>
  <c r="S193" i="1" s="1"/>
  <c r="AA178" i="1"/>
  <c r="X176" i="1"/>
  <c r="AA173" i="1"/>
  <c r="W173" i="1" s="1"/>
  <c r="AA248" i="1"/>
  <c r="W248" i="1" s="1"/>
  <c r="X239" i="1"/>
  <c r="AA229" i="1"/>
  <c r="W229" i="1" s="1"/>
  <c r="AA221" i="1"/>
  <c r="AA217" i="1"/>
  <c r="AA162" i="1"/>
  <c r="AG115" i="1"/>
  <c r="U115" i="1" s="1"/>
  <c r="S115" i="1" s="1"/>
  <c r="AA96" i="1"/>
  <c r="W96" i="1" s="1"/>
  <c r="AA89" i="1"/>
  <c r="AA86" i="1"/>
  <c r="X83" i="1"/>
  <c r="AA83" i="1"/>
  <c r="AI80" i="1"/>
  <c r="AA79" i="1"/>
  <c r="AG74" i="1"/>
  <c r="AA69" i="1"/>
  <c r="AA66" i="1"/>
  <c r="W66" i="1" s="1"/>
  <c r="AG36" i="1"/>
  <c r="AI36" i="1" s="1"/>
  <c r="X36" i="1"/>
  <c r="AA27" i="1"/>
  <c r="W27" i="1" s="1"/>
  <c r="AA19" i="1"/>
  <c r="W149" i="1"/>
  <c r="T141" i="1"/>
  <c r="U41" i="1"/>
  <c r="S41" i="1" s="1"/>
  <c r="AA232" i="1"/>
  <c r="AI215" i="1"/>
  <c r="AI206" i="1"/>
  <c r="AA205" i="1"/>
  <c r="AA199" i="1"/>
  <c r="AA197" i="1"/>
  <c r="AA180" i="1"/>
  <c r="X179" i="1"/>
  <c r="AG172" i="1"/>
  <c r="U172" i="1" s="1"/>
  <c r="S172" i="1" s="1"/>
  <c r="AA239" i="1"/>
  <c r="W239" i="1" s="1"/>
  <c r="AA223" i="1"/>
  <c r="W223" i="1" s="1"/>
  <c r="X222" i="1"/>
  <c r="AI219" i="1"/>
  <c r="X218" i="1"/>
  <c r="AI168" i="1"/>
  <c r="AA152" i="1"/>
  <c r="AA134" i="1"/>
  <c r="W134" i="1" s="1"/>
  <c r="AA129" i="1"/>
  <c r="X126" i="1"/>
  <c r="AA121" i="1"/>
  <c r="AG119" i="1"/>
  <c r="AI119" i="1" s="1"/>
  <c r="AA116" i="1"/>
  <c r="X110" i="1"/>
  <c r="AG106" i="1"/>
  <c r="U106" i="1" s="1"/>
  <c r="S106" i="1" s="1"/>
  <c r="X106" i="1"/>
  <c r="AA103" i="1"/>
  <c r="AA94" i="1"/>
  <c r="AA91" i="1"/>
  <c r="W91" i="1" s="1"/>
  <c r="AG86" i="1"/>
  <c r="U86" i="1" s="1"/>
  <c r="S86" i="1" s="1"/>
  <c r="AA77" i="1"/>
  <c r="X65" i="1"/>
  <c r="AA65" i="1"/>
  <c r="AA62" i="1"/>
  <c r="W62" i="1" s="1"/>
  <c r="AG53" i="1"/>
  <c r="U53" i="1" s="1"/>
  <c r="S53" i="1" s="1"/>
  <c r="AI45" i="1"/>
  <c r="AA38" i="1"/>
  <c r="AA36" i="1"/>
  <c r="W36" i="1" s="1"/>
  <c r="AG32" i="1"/>
  <c r="AI32" i="1" s="1"/>
  <c r="AG27" i="1"/>
  <c r="U27" i="1" s="1"/>
  <c r="S27" i="1" s="1"/>
  <c r="AG25" i="1"/>
  <c r="AI25" i="1" s="1"/>
  <c r="AA16" i="1"/>
  <c r="AA15" i="1"/>
  <c r="AG58" i="1"/>
  <c r="AI58" i="1" s="1"/>
  <c r="T58" i="1"/>
  <c r="AA204" i="1"/>
  <c r="AA203" i="1"/>
  <c r="AA202" i="1"/>
  <c r="T197" i="1"/>
  <c r="AG197" i="1"/>
  <c r="AI197" i="1" s="1"/>
  <c r="X184" i="1"/>
  <c r="T176" i="1"/>
  <c r="X172" i="1"/>
  <c r="AA255" i="1"/>
  <c r="AA251" i="1"/>
  <c r="U228" i="1"/>
  <c r="S228" i="1" s="1"/>
  <c r="AG153" i="1"/>
  <c r="AI153" i="1" s="1"/>
  <c r="X153" i="1"/>
  <c r="AA147" i="1"/>
  <c r="T133" i="1"/>
  <c r="AG133" i="1"/>
  <c r="AI133" i="1" s="1"/>
  <c r="T130" i="1"/>
  <c r="X130" i="1"/>
  <c r="T79" i="1"/>
  <c r="X80" i="1"/>
  <c r="X79" i="1"/>
  <c r="AG79" i="1"/>
  <c r="AG92" i="1"/>
  <c r="AI92" i="1" s="1"/>
  <c r="X92" i="1"/>
  <c r="AG183" i="1"/>
  <c r="U183" i="1" s="1"/>
  <c r="S183" i="1" s="1"/>
  <c r="X183" i="1"/>
  <c r="AG176" i="1"/>
  <c r="U176" i="1" s="1"/>
  <c r="S176" i="1" s="1"/>
  <c r="AA222" i="1"/>
  <c r="AA219" i="1"/>
  <c r="W219" i="1" s="1"/>
  <c r="T114" i="1"/>
  <c r="X115" i="1"/>
  <c r="X114" i="1"/>
  <c r="AG114" i="1"/>
  <c r="AI114" i="1" s="1"/>
  <c r="W113" i="1"/>
  <c r="T69" i="1"/>
  <c r="AG69" i="1"/>
  <c r="AG255" i="1"/>
  <c r="U255" i="1" s="1"/>
  <c r="S255" i="1" s="1"/>
  <c r="T255" i="1"/>
  <c r="X185" i="1"/>
  <c r="AA236" i="1"/>
  <c r="T234" i="1"/>
  <c r="U234" i="1" s="1"/>
  <c r="S234" i="1" s="1"/>
  <c r="X231" i="1"/>
  <c r="AI201" i="1"/>
  <c r="X198" i="1"/>
  <c r="W188" i="1"/>
  <c r="X244" i="1"/>
  <c r="T243" i="1"/>
  <c r="AG243" i="1"/>
  <c r="X243" i="1"/>
  <c r="X157" i="1"/>
  <c r="AA153" i="1"/>
  <c r="T144" i="1"/>
  <c r="X144" i="1"/>
  <c r="AG144" i="1"/>
  <c r="AI144" i="1" s="1"/>
  <c r="AA142" i="1"/>
  <c r="W142" i="1" s="1"/>
  <c r="W129" i="1"/>
  <c r="AA161" i="1"/>
  <c r="AA107" i="1"/>
  <c r="AA95" i="1"/>
  <c r="AA75" i="1"/>
  <c r="X69" i="1"/>
  <c r="AA56" i="1"/>
  <c r="AA55" i="1"/>
  <c r="AA51" i="1"/>
  <c r="W51" i="1" s="1"/>
  <c r="AA50" i="1"/>
  <c r="W50" i="1" s="1"/>
  <c r="T49" i="1"/>
  <c r="U49" i="1" s="1"/>
  <c r="S49" i="1" s="1"/>
  <c r="AA45" i="1"/>
  <c r="W45" i="1" s="1"/>
  <c r="AG33" i="1"/>
  <c r="AI33" i="1" s="1"/>
  <c r="AG29" i="1"/>
  <c r="AI29" i="1" s="1"/>
  <c r="AA28" i="1"/>
  <c r="AA23" i="1"/>
  <c r="W23" i="1" s="1"/>
  <c r="T18" i="1"/>
  <c r="U18" i="1" s="1"/>
  <c r="S18" i="1" s="1"/>
  <c r="AA225" i="1"/>
  <c r="W225" i="1" s="1"/>
  <c r="AA213" i="1"/>
  <c r="W213" i="1" s="1"/>
  <c r="AA211" i="1"/>
  <c r="AA210" i="1"/>
  <c r="AA209" i="1"/>
  <c r="W209" i="1" s="1"/>
  <c r="AA206" i="1"/>
  <c r="W206" i="1" s="1"/>
  <c r="AA198" i="1"/>
  <c r="W198" i="1" s="1"/>
  <c r="AA194" i="1"/>
  <c r="W194" i="1" s="1"/>
  <c r="AI190" i="1"/>
  <c r="AA185" i="1"/>
  <c r="W185" i="1" s="1"/>
  <c r="AA184" i="1"/>
  <c r="W184" i="1" s="1"/>
  <c r="AA245" i="1"/>
  <c r="W245" i="1" s="1"/>
  <c r="AA244" i="1"/>
  <c r="W244" i="1" s="1"/>
  <c r="AA228" i="1"/>
  <c r="W228" i="1" s="1"/>
  <c r="AA224" i="1"/>
  <c r="AA168" i="1"/>
  <c r="W168" i="1" s="1"/>
  <c r="AA158" i="1"/>
  <c r="W158" i="1" s="1"/>
  <c r="AG157" i="1"/>
  <c r="AI157" i="1" s="1"/>
  <c r="AA156" i="1"/>
  <c r="AA155" i="1"/>
  <c r="X145" i="1"/>
  <c r="AA143" i="1"/>
  <c r="W143" i="1" s="1"/>
  <c r="AA122" i="1"/>
  <c r="AA115" i="1"/>
  <c r="AG107" i="1"/>
  <c r="AI107" i="1" s="1"/>
  <c r="X107" i="1"/>
  <c r="AA106" i="1"/>
  <c r="W106" i="1" s="1"/>
  <c r="AA104" i="1"/>
  <c r="W104" i="1" s="1"/>
  <c r="AG95" i="1"/>
  <c r="U95" i="1" s="1"/>
  <c r="S95" i="1" s="1"/>
  <c r="X95" i="1"/>
  <c r="AA93" i="1"/>
  <c r="AG90" i="1"/>
  <c r="U90" i="1" s="1"/>
  <c r="AA84" i="1"/>
  <c r="W84" i="1" s="1"/>
  <c r="AG82" i="1"/>
  <c r="U82" i="1" s="1"/>
  <c r="S82" i="1" s="1"/>
  <c r="AA80" i="1"/>
  <c r="W80" i="1" s="1"/>
  <c r="AG75" i="1"/>
  <c r="U75" i="1" s="1"/>
  <c r="S75" i="1" s="1"/>
  <c r="X75" i="1"/>
  <c r="AA73" i="1"/>
  <c r="AG64" i="1"/>
  <c r="AI64" i="1" s="1"/>
  <c r="AI62" i="1"/>
  <c r="W41" i="1"/>
  <c r="AA144" i="1"/>
  <c r="AA137" i="1"/>
  <c r="AA132" i="1"/>
  <c r="AA130" i="1"/>
  <c r="X127" i="1"/>
  <c r="AA114" i="1"/>
  <c r="AA112" i="1"/>
  <c r="AA76" i="1"/>
  <c r="W76" i="1" s="1"/>
  <c r="AA72" i="1"/>
  <c r="W72" i="1" s="1"/>
  <c r="X61" i="1"/>
  <c r="AA53" i="1"/>
  <c r="W53" i="1" s="1"/>
  <c r="AA47" i="1"/>
  <c r="AA43" i="1"/>
  <c r="W43" i="1" s="1"/>
  <c r="AA42" i="1"/>
  <c r="W42" i="1" s="1"/>
  <c r="AG37" i="1"/>
  <c r="AI37" i="1" s="1"/>
  <c r="AI34" i="1"/>
  <c r="AI212" i="1"/>
  <c r="T231" i="1"/>
  <c r="U231" i="1" s="1"/>
  <c r="S231" i="1" s="1"/>
  <c r="T212" i="1"/>
  <c r="U212" i="1" s="1"/>
  <c r="S212" i="1" s="1"/>
  <c r="T202" i="1"/>
  <c r="U202" i="1" s="1"/>
  <c r="S202" i="1" s="1"/>
  <c r="AI182" i="1"/>
  <c r="AG181" i="1"/>
  <c r="AI181" i="1" s="1"/>
  <c r="T181" i="1"/>
  <c r="AG180" i="1"/>
  <c r="U180" i="1" s="1"/>
  <c r="S180" i="1" s="1"/>
  <c r="X173" i="1"/>
  <c r="AG169" i="1"/>
  <c r="AI169" i="1" s="1"/>
  <c r="X169" i="1"/>
  <c r="AG252" i="1"/>
  <c r="W252" i="1" s="1"/>
  <c r="T252" i="1"/>
  <c r="X235" i="1"/>
  <c r="X234" i="1"/>
  <c r="AA230" i="1"/>
  <c r="W230" i="1" s="1"/>
  <c r="AA215" i="1"/>
  <c r="W215" i="1" s="1"/>
  <c r="T213" i="1"/>
  <c r="U213" i="1" s="1"/>
  <c r="S213" i="1" s="1"/>
  <c r="X206" i="1"/>
  <c r="AG205" i="1"/>
  <c r="AI205" i="1" s="1"/>
  <c r="AA201" i="1"/>
  <c r="W201" i="1" s="1"/>
  <c r="AA200" i="1"/>
  <c r="T198" i="1"/>
  <c r="U198" i="1" s="1"/>
  <c r="S198" i="1" s="1"/>
  <c r="AA190" i="1"/>
  <c r="W190" i="1" s="1"/>
  <c r="T190" i="1"/>
  <c r="U190" i="1" s="1"/>
  <c r="S190" i="1" s="1"/>
  <c r="AI185" i="1"/>
  <c r="X255" i="1"/>
  <c r="AI149" i="1"/>
  <c r="T209" i="1"/>
  <c r="U209" i="1" s="1"/>
  <c r="S209" i="1" s="1"/>
  <c r="X202" i="1"/>
  <c r="AA196" i="1"/>
  <c r="W196" i="1" s="1"/>
  <c r="T194" i="1"/>
  <c r="AA186" i="1"/>
  <c r="U184" i="1"/>
  <c r="S184" i="1" s="1"/>
  <c r="AA177" i="1"/>
  <c r="W177" i="1" s="1"/>
  <c r="T175" i="1"/>
  <c r="X175" i="1"/>
  <c r="AG175" i="1"/>
  <c r="T173" i="1"/>
  <c r="T254" i="1"/>
  <c r="X254" i="1"/>
  <c r="AG254" i="1"/>
  <c r="AI254" i="1" s="1"/>
  <c r="T246" i="1"/>
  <c r="X246" i="1"/>
  <c r="AG246" i="1"/>
  <c r="AI246" i="1" s="1"/>
  <c r="X247" i="1"/>
  <c r="T235" i="1"/>
  <c r="U235" i="1" s="1"/>
  <c r="S235" i="1" s="1"/>
  <c r="X213" i="1"/>
  <c r="AA208" i="1"/>
  <c r="T206" i="1"/>
  <c r="U206" i="1" s="1"/>
  <c r="S206" i="1" s="1"/>
  <c r="AA193" i="1"/>
  <c r="AA192" i="1"/>
  <c r="W192" i="1" s="1"/>
  <c r="T244" i="1"/>
  <c r="U244" i="1" s="1"/>
  <c r="S244" i="1" s="1"/>
  <c r="T239" i="1"/>
  <c r="U239" i="1" s="1"/>
  <c r="S239" i="1" s="1"/>
  <c r="T218" i="1"/>
  <c r="T158" i="1"/>
  <c r="AG88" i="1"/>
  <c r="W88" i="1" s="1"/>
  <c r="X88" i="1"/>
  <c r="AA175" i="1"/>
  <c r="AA172" i="1"/>
  <c r="AA170" i="1"/>
  <c r="AA246" i="1"/>
  <c r="AA243" i="1"/>
  <c r="AA241" i="1"/>
  <c r="X240" i="1"/>
  <c r="AG238" i="1"/>
  <c r="U238" i="1" s="1"/>
  <c r="S238" i="1" s="1"/>
  <c r="X238" i="1"/>
  <c r="T225" i="1"/>
  <c r="U225" i="1" s="1"/>
  <c r="S225" i="1" s="1"/>
  <c r="T224" i="1"/>
  <c r="T223" i="1"/>
  <c r="X219" i="1"/>
  <c r="AG218" i="1"/>
  <c r="AA216" i="1"/>
  <c r="W216" i="1" s="1"/>
  <c r="AG167" i="1"/>
  <c r="AG161" i="1"/>
  <c r="U161" i="1" s="1"/>
  <c r="X161" i="1"/>
  <c r="AA157" i="1"/>
  <c r="T149" i="1"/>
  <c r="U149" i="1" s="1"/>
  <c r="S149" i="1" s="1"/>
  <c r="T142" i="1"/>
  <c r="U142" i="1" s="1"/>
  <c r="S142" i="1" s="1"/>
  <c r="AA138" i="1"/>
  <c r="W138" i="1" s="1"/>
  <c r="AA135" i="1"/>
  <c r="W135" i="1" s="1"/>
  <c r="AG131" i="1"/>
  <c r="AI131" i="1" s="1"/>
  <c r="AA124" i="1"/>
  <c r="W124" i="1" s="1"/>
  <c r="AI124" i="1"/>
  <c r="T222" i="1"/>
  <c r="X158" i="1"/>
  <c r="T153" i="1"/>
  <c r="AA145" i="1"/>
  <c r="AA141" i="1"/>
  <c r="W141" i="1" s="1"/>
  <c r="X137" i="1"/>
  <c r="AG128" i="1"/>
  <c r="AI128" i="1" s="1"/>
  <c r="X128" i="1"/>
  <c r="T88" i="1"/>
  <c r="AA183" i="1"/>
  <c r="AA182" i="1"/>
  <c r="W182" i="1" s="1"/>
  <c r="AA176" i="1"/>
  <c r="AA169" i="1"/>
  <c r="AA254" i="1"/>
  <c r="AA253" i="1"/>
  <c r="W253" i="1" s="1"/>
  <c r="AA247" i="1"/>
  <c r="W247" i="1" s="1"/>
  <c r="AA240" i="1"/>
  <c r="W240" i="1" s="1"/>
  <c r="AA238" i="1"/>
  <c r="AA237" i="1"/>
  <c r="W237" i="1" s="1"/>
  <c r="T229" i="1"/>
  <c r="U229" i="1" s="1"/>
  <c r="S229" i="1" s="1"/>
  <c r="X225" i="1"/>
  <c r="AG224" i="1"/>
  <c r="X223" i="1"/>
  <c r="AG222" i="1"/>
  <c r="X154" i="1"/>
  <c r="AA151" i="1"/>
  <c r="W151" i="1" s="1"/>
  <c r="AA146" i="1"/>
  <c r="AG145" i="1"/>
  <c r="U145" i="1" s="1"/>
  <c r="S145" i="1" s="1"/>
  <c r="X142" i="1"/>
  <c r="AG141" i="1"/>
  <c r="U141" i="1" s="1"/>
  <c r="S141" i="1" s="1"/>
  <c r="AA140" i="1"/>
  <c r="AA139" i="1"/>
  <c r="X138" i="1"/>
  <c r="AG137" i="1"/>
  <c r="AI134" i="1"/>
  <c r="AA131" i="1"/>
  <c r="W131" i="1" s="1"/>
  <c r="AG112" i="1"/>
  <c r="AI112" i="1" s="1"/>
  <c r="X112" i="1"/>
  <c r="AG103" i="1"/>
  <c r="T103" i="1"/>
  <c r="T98" i="1"/>
  <c r="X98" i="1"/>
  <c r="AG98" i="1"/>
  <c r="X99" i="1"/>
  <c r="AI97" i="1"/>
  <c r="AA136" i="1"/>
  <c r="AG127" i="1"/>
  <c r="U127" i="1" s="1"/>
  <c r="S127" i="1" s="1"/>
  <c r="AA126" i="1"/>
  <c r="AA125" i="1"/>
  <c r="X124" i="1"/>
  <c r="AG123" i="1"/>
  <c r="AG122" i="1"/>
  <c r="W122" i="1" s="1"/>
  <c r="X122" i="1"/>
  <c r="AG111" i="1"/>
  <c r="U111" i="1" s="1"/>
  <c r="X111" i="1"/>
  <c r="AI108" i="1"/>
  <c r="T104" i="1"/>
  <c r="U104" i="1" s="1"/>
  <c r="AA100" i="1"/>
  <c r="T96" i="1"/>
  <c r="U96" i="1" s="1"/>
  <c r="S96" i="1" s="1"/>
  <c r="AA87" i="1"/>
  <c r="AA82" i="1"/>
  <c r="W82" i="1" s="1"/>
  <c r="T80" i="1"/>
  <c r="U80" i="1" s="1"/>
  <c r="S80" i="1" s="1"/>
  <c r="X76" i="1"/>
  <c r="W75" i="1"/>
  <c r="AA70" i="1"/>
  <c r="AG68" i="1"/>
  <c r="AI68" i="1" s="1"/>
  <c r="X68" i="1"/>
  <c r="AA64" i="1"/>
  <c r="AA63" i="1"/>
  <c r="X62" i="1"/>
  <c r="AG61" i="1"/>
  <c r="AA60" i="1"/>
  <c r="T57" i="1"/>
  <c r="U57" i="1" s="1"/>
  <c r="S57" i="1" s="1"/>
  <c r="AA54" i="1"/>
  <c r="X50" i="1"/>
  <c r="X45" i="1"/>
  <c r="U37" i="1"/>
  <c r="S37" i="1" s="1"/>
  <c r="T34" i="1"/>
  <c r="U32" i="1"/>
  <c r="S32" i="1" s="1"/>
  <c r="X32" i="1"/>
  <c r="AA26" i="1"/>
  <c r="T26" i="1"/>
  <c r="U26" i="1" s="1"/>
  <c r="S26" i="1" s="1"/>
  <c r="AI23" i="1"/>
  <c r="T21" i="1"/>
  <c r="U21" i="1" s="1"/>
  <c r="S21" i="1" s="1"/>
  <c r="X18" i="1"/>
  <c r="AG17" i="1"/>
  <c r="AI17" i="1" s="1"/>
  <c r="AG15" i="1"/>
  <c r="W15" i="1" s="1"/>
  <c r="X123" i="1"/>
  <c r="AA110" i="1"/>
  <c r="AA109" i="1"/>
  <c r="AA98" i="1"/>
  <c r="W98" i="1" s="1"/>
  <c r="T84" i="1"/>
  <c r="U84" i="1" s="1"/>
  <c r="S84" i="1" s="1"/>
  <c r="T83" i="1"/>
  <c r="AA81" i="1"/>
  <c r="T72" i="1"/>
  <c r="U72" i="1" s="1"/>
  <c r="S72" i="1" s="1"/>
  <c r="T65" i="1"/>
  <c r="X60" i="1"/>
  <c r="AA52" i="1"/>
  <c r="AA46" i="1"/>
  <c r="W46" i="1" s="1"/>
  <c r="AA44" i="1"/>
  <c r="AA24" i="1"/>
  <c r="AA22" i="1"/>
  <c r="W22" i="1" s="1"/>
  <c r="T22" i="1"/>
  <c r="U22" i="1" s="1"/>
  <c r="S22" i="1" s="1"/>
  <c r="T76" i="1"/>
  <c r="U76" i="1" s="1"/>
  <c r="S76" i="1" s="1"/>
  <c r="T62" i="1"/>
  <c r="T50" i="1"/>
  <c r="U50" i="1" s="1"/>
  <c r="S50" i="1" s="1"/>
  <c r="T45" i="1"/>
  <c r="U45" i="1" s="1"/>
  <c r="S45" i="1" s="1"/>
  <c r="T42" i="1"/>
  <c r="AA127" i="1"/>
  <c r="AA111" i="1"/>
  <c r="AA105" i="1"/>
  <c r="W105" i="1" s="1"/>
  <c r="AA101" i="1"/>
  <c r="AA99" i="1"/>
  <c r="W99" i="1" s="1"/>
  <c r="T92" i="1"/>
  <c r="X84" i="1"/>
  <c r="AG83" i="1"/>
  <c r="X72" i="1"/>
  <c r="AA71" i="1"/>
  <c r="W71" i="1" s="1"/>
  <c r="AI66" i="1"/>
  <c r="AG65" i="1"/>
  <c r="AI65" i="1" s="1"/>
  <c r="AA61" i="1"/>
  <c r="AI53" i="1"/>
  <c r="X52" i="1"/>
  <c r="AA49" i="1"/>
  <c r="W49" i="1" s="1"/>
  <c r="X46" i="1"/>
  <c r="AG44" i="1"/>
  <c r="AI44" i="1" s="1"/>
  <c r="X44" i="1"/>
  <c r="AI41" i="1"/>
  <c r="AG31" i="1"/>
  <c r="W31" i="1" s="1"/>
  <c r="AA30" i="1"/>
  <c r="AI27" i="1"/>
  <c r="X22" i="1"/>
  <c r="AG19" i="1"/>
  <c r="AA14" i="1"/>
  <c r="T14" i="1"/>
  <c r="U14" i="1" s="1"/>
  <c r="S14" i="1" s="1"/>
  <c r="AI248" i="1"/>
  <c r="U194" i="1"/>
  <c r="S194" i="1" s="1"/>
  <c r="W189" i="1"/>
  <c r="AI234" i="1"/>
  <c r="AI224" i="1"/>
  <c r="W231" i="1"/>
  <c r="W202" i="1"/>
  <c r="AI228" i="1"/>
  <c r="AI230" i="1"/>
  <c r="U201" i="1"/>
  <c r="S201" i="1" s="1"/>
  <c r="T186" i="1"/>
  <c r="X186" i="1"/>
  <c r="T227" i="1"/>
  <c r="X227" i="1"/>
  <c r="AA58" i="1"/>
  <c r="AG208" i="1"/>
  <c r="AI208" i="1" s="1"/>
  <c r="X201" i="1"/>
  <c r="AG200" i="1"/>
  <c r="AI200" i="1" s="1"/>
  <c r="X233" i="1"/>
  <c r="T233" i="1"/>
  <c r="AG232" i="1"/>
  <c r="AI245" i="1"/>
  <c r="AG207" i="1"/>
  <c r="W207" i="1" s="1"/>
  <c r="AI225" i="1"/>
  <c r="T178" i="1"/>
  <c r="X178" i="1"/>
  <c r="X177" i="1"/>
  <c r="T171" i="1"/>
  <c r="AI198" i="1"/>
  <c r="T249" i="1"/>
  <c r="X249" i="1"/>
  <c r="X248" i="1"/>
  <c r="AI189" i="1"/>
  <c r="T242" i="1"/>
  <c r="T220" i="1"/>
  <c r="X220" i="1"/>
  <c r="X148" i="1"/>
  <c r="AG148" i="1"/>
  <c r="X149" i="1"/>
  <c r="T139" i="1"/>
  <c r="X139" i="1"/>
  <c r="AG139" i="1"/>
  <c r="AI135" i="1"/>
  <c r="AI121" i="1"/>
  <c r="T109" i="1"/>
  <c r="X109" i="1"/>
  <c r="AG109" i="1"/>
  <c r="AG100" i="1"/>
  <c r="T100" i="1"/>
  <c r="X100" i="1"/>
  <c r="T179" i="1"/>
  <c r="T250" i="1"/>
  <c r="T241" i="1"/>
  <c r="X241" i="1"/>
  <c r="X102" i="1"/>
  <c r="AG102" i="1"/>
  <c r="X103" i="1"/>
  <c r="T102" i="1"/>
  <c r="AG233" i="1"/>
  <c r="W233" i="1" s="1"/>
  <c r="X230" i="1"/>
  <c r="X212" i="1"/>
  <c r="AG211" i="1"/>
  <c r="AI211" i="1" s="1"/>
  <c r="X205" i="1"/>
  <c r="AG204" i="1"/>
  <c r="AG236" i="1"/>
  <c r="X215" i="1"/>
  <c r="T215" i="1"/>
  <c r="U215" i="1" s="1"/>
  <c r="S215" i="1" s="1"/>
  <c r="AG214" i="1"/>
  <c r="AI214" i="1" s="1"/>
  <c r="AG210" i="1"/>
  <c r="AI237" i="1"/>
  <c r="X204" i="1"/>
  <c r="AG203" i="1"/>
  <c r="X200" i="1"/>
  <c r="AG199" i="1"/>
  <c r="W199" i="1" s="1"/>
  <c r="AI229" i="1"/>
  <c r="X196" i="1"/>
  <c r="T196" i="1"/>
  <c r="U196" i="1" s="1"/>
  <c r="S196" i="1" s="1"/>
  <c r="AG195" i="1"/>
  <c r="T192" i="1"/>
  <c r="U192" i="1" s="1"/>
  <c r="S192" i="1" s="1"/>
  <c r="AG191" i="1"/>
  <c r="AI191" i="1" s="1"/>
  <c r="T189" i="1"/>
  <c r="U189" i="1" s="1"/>
  <c r="S189" i="1" s="1"/>
  <c r="T187" i="1"/>
  <c r="AI213" i="1"/>
  <c r="X236" i="1"/>
  <c r="X232" i="1"/>
  <c r="X214" i="1"/>
  <c r="X207" i="1"/>
  <c r="X203" i="1"/>
  <c r="X199" i="1"/>
  <c r="X195" i="1"/>
  <c r="X188" i="1"/>
  <c r="AG187" i="1"/>
  <c r="T185" i="1"/>
  <c r="U185" i="1" s="1"/>
  <c r="S185" i="1" s="1"/>
  <c r="T182" i="1"/>
  <c r="U182" i="1" s="1"/>
  <c r="S182" i="1" s="1"/>
  <c r="X182" i="1"/>
  <c r="X181" i="1"/>
  <c r="X180" i="1"/>
  <c r="AA179" i="1"/>
  <c r="AG178" i="1"/>
  <c r="U173" i="1"/>
  <c r="S173" i="1" s="1"/>
  <c r="AG171" i="1"/>
  <c r="AI171" i="1" s="1"/>
  <c r="X171" i="1"/>
  <c r="T169" i="1"/>
  <c r="T253" i="1"/>
  <c r="U253" i="1" s="1"/>
  <c r="S253" i="1" s="1"/>
  <c r="X253" i="1"/>
  <c r="X252" i="1"/>
  <c r="X251" i="1"/>
  <c r="AA250" i="1"/>
  <c r="AG249" i="1"/>
  <c r="AI249" i="1" s="1"/>
  <c r="AI192" i="1"/>
  <c r="AG242" i="1"/>
  <c r="AI242" i="1" s="1"/>
  <c r="X242" i="1"/>
  <c r="T240" i="1"/>
  <c r="U240" i="1" s="1"/>
  <c r="S240" i="1" s="1"/>
  <c r="T237" i="1"/>
  <c r="U237" i="1" s="1"/>
  <c r="S237" i="1" s="1"/>
  <c r="X237" i="1"/>
  <c r="X229" i="1"/>
  <c r="X228" i="1"/>
  <c r="AA227" i="1"/>
  <c r="T226" i="1"/>
  <c r="X226" i="1"/>
  <c r="AG226" i="1"/>
  <c r="W224" i="1"/>
  <c r="AG220" i="1"/>
  <c r="AI220" i="1" s="1"/>
  <c r="AG164" i="1"/>
  <c r="U160" i="1"/>
  <c r="S160" i="1" s="1"/>
  <c r="T155" i="1"/>
  <c r="X155" i="1"/>
  <c r="AG155" i="1"/>
  <c r="W155" i="1" s="1"/>
  <c r="AI151" i="1"/>
  <c r="T170" i="1"/>
  <c r="X170" i="1"/>
  <c r="AI177" i="1"/>
  <c r="AG146" i="1"/>
  <c r="W146" i="1" s="1"/>
  <c r="T146" i="1"/>
  <c r="X146" i="1"/>
  <c r="AI143" i="1"/>
  <c r="X197" i="1"/>
  <c r="AA187" i="1"/>
  <c r="AG186" i="1"/>
  <c r="AI186" i="1" s="1"/>
  <c r="AG179" i="1"/>
  <c r="T177" i="1"/>
  <c r="U177" i="1" s="1"/>
  <c r="S177" i="1" s="1"/>
  <c r="T174" i="1"/>
  <c r="U174" i="1" s="1"/>
  <c r="S174" i="1" s="1"/>
  <c r="X174" i="1"/>
  <c r="AA171" i="1"/>
  <c r="W171" i="1" s="1"/>
  <c r="AG170" i="1"/>
  <c r="W170" i="1" s="1"/>
  <c r="AG250" i="1"/>
  <c r="AI250" i="1" s="1"/>
  <c r="T248" i="1"/>
  <c r="U248" i="1" s="1"/>
  <c r="S248" i="1" s="1"/>
  <c r="T245" i="1"/>
  <c r="U245" i="1" s="1"/>
  <c r="S245" i="1" s="1"/>
  <c r="X245" i="1"/>
  <c r="AA242" i="1"/>
  <c r="AG241" i="1"/>
  <c r="AG227" i="1"/>
  <c r="AA220" i="1"/>
  <c r="AG162" i="1"/>
  <c r="T162" i="1"/>
  <c r="X162" i="1"/>
  <c r="T221" i="1"/>
  <c r="AG217" i="1"/>
  <c r="X217" i="1"/>
  <c r="T168" i="1"/>
  <c r="U168" i="1" s="1"/>
  <c r="S168" i="1" s="1"/>
  <c r="T163" i="1"/>
  <c r="X163" i="1"/>
  <c r="T156" i="1"/>
  <c r="AG152" i="1"/>
  <c r="X152" i="1"/>
  <c r="T150" i="1"/>
  <c r="U150" i="1" s="1"/>
  <c r="S150" i="1" s="1"/>
  <c r="T147" i="1"/>
  <c r="X147" i="1"/>
  <c r="T140" i="1"/>
  <c r="AG136" i="1"/>
  <c r="X136" i="1"/>
  <c r="T134" i="1"/>
  <c r="U134" i="1" s="1"/>
  <c r="S134" i="1" s="1"/>
  <c r="AI98" i="1"/>
  <c r="T77" i="1"/>
  <c r="X77" i="1"/>
  <c r="AG77" i="1"/>
  <c r="U74" i="1"/>
  <c r="S74" i="1" s="1"/>
  <c r="AI49" i="1"/>
  <c r="U223" i="1"/>
  <c r="S223" i="1" s="1"/>
  <c r="AG221" i="1"/>
  <c r="AI221" i="1" s="1"/>
  <c r="T219" i="1"/>
  <c r="U219" i="1" s="1"/>
  <c r="S219" i="1" s="1"/>
  <c r="T216" i="1"/>
  <c r="U216" i="1" s="1"/>
  <c r="S216" i="1" s="1"/>
  <c r="X216" i="1"/>
  <c r="AA164" i="1"/>
  <c r="AG163" i="1"/>
  <c r="S161" i="1"/>
  <c r="U158" i="1"/>
  <c r="S158" i="1" s="1"/>
  <c r="AG156" i="1"/>
  <c r="T154" i="1"/>
  <c r="U154" i="1" s="1"/>
  <c r="S154" i="1" s="1"/>
  <c r="T151" i="1"/>
  <c r="U151" i="1" s="1"/>
  <c r="S151" i="1" s="1"/>
  <c r="X151" i="1"/>
  <c r="X150" i="1"/>
  <c r="AA148" i="1"/>
  <c r="AG147" i="1"/>
  <c r="AG140" i="1"/>
  <c r="T138" i="1"/>
  <c r="U138" i="1" s="1"/>
  <c r="S138" i="1" s="1"/>
  <c r="T135" i="1"/>
  <c r="U135" i="1" s="1"/>
  <c r="S135" i="1" s="1"/>
  <c r="X135" i="1"/>
  <c r="X134" i="1"/>
  <c r="AG132" i="1"/>
  <c r="X133" i="1"/>
  <c r="T132" i="1"/>
  <c r="X132" i="1"/>
  <c r="U131" i="1"/>
  <c r="S131" i="1" s="1"/>
  <c r="T125" i="1"/>
  <c r="X125" i="1"/>
  <c r="AG125" i="1"/>
  <c r="W121" i="1"/>
  <c r="X118" i="1"/>
  <c r="AG118" i="1"/>
  <c r="X119" i="1"/>
  <c r="W109" i="1"/>
  <c r="T159" i="1"/>
  <c r="U159" i="1" s="1"/>
  <c r="S159" i="1" s="1"/>
  <c r="X159" i="1"/>
  <c r="T143" i="1"/>
  <c r="U143" i="1" s="1"/>
  <c r="S143" i="1" s="1"/>
  <c r="X143" i="1"/>
  <c r="AG116" i="1"/>
  <c r="T116" i="1"/>
  <c r="X116" i="1"/>
  <c r="AI105" i="1"/>
  <c r="AI59" i="1"/>
  <c r="T126" i="1"/>
  <c r="T117" i="1"/>
  <c r="X117" i="1"/>
  <c r="T110" i="1"/>
  <c r="T101" i="1"/>
  <c r="X101" i="1"/>
  <c r="T94" i="1"/>
  <c r="X94" i="1"/>
  <c r="T85" i="1"/>
  <c r="X85" i="1"/>
  <c r="AG85" i="1"/>
  <c r="AA59" i="1"/>
  <c r="W59" i="1" s="1"/>
  <c r="AI51" i="1"/>
  <c r="X131" i="1"/>
  <c r="AG130" i="1"/>
  <c r="U128" i="1"/>
  <c r="S128" i="1" s="1"/>
  <c r="AG126" i="1"/>
  <c r="T124" i="1"/>
  <c r="U124" i="1" s="1"/>
  <c r="S124" i="1" s="1"/>
  <c r="T121" i="1"/>
  <c r="U121" i="1" s="1"/>
  <c r="S121" i="1" s="1"/>
  <c r="X121" i="1"/>
  <c r="X120" i="1"/>
  <c r="AA118" i="1"/>
  <c r="AG117" i="1"/>
  <c r="AI115" i="1"/>
  <c r="AG110" i="1"/>
  <c r="T108" i="1"/>
  <c r="U108" i="1" s="1"/>
  <c r="S108" i="1" s="1"/>
  <c r="T105" i="1"/>
  <c r="U105" i="1" s="1"/>
  <c r="S105" i="1" s="1"/>
  <c r="X105" i="1"/>
  <c r="X104" i="1"/>
  <c r="AA102" i="1"/>
  <c r="AG101" i="1"/>
  <c r="AI99" i="1"/>
  <c r="AG94" i="1"/>
  <c r="AA90" i="1"/>
  <c r="T81" i="1"/>
  <c r="X81" i="1"/>
  <c r="AG81" i="1"/>
  <c r="AA74" i="1"/>
  <c r="W74" i="1" s="1"/>
  <c r="W65" i="1"/>
  <c r="T63" i="1"/>
  <c r="X63" i="1"/>
  <c r="AG63" i="1"/>
  <c r="X64" i="1"/>
  <c r="AI26" i="1"/>
  <c r="AA25" i="1"/>
  <c r="U25" i="1"/>
  <c r="S25" i="1" s="1"/>
  <c r="T129" i="1"/>
  <c r="U129" i="1" s="1"/>
  <c r="S129" i="1" s="1"/>
  <c r="X129" i="1"/>
  <c r="U120" i="1"/>
  <c r="S120" i="1" s="1"/>
  <c r="T113" i="1"/>
  <c r="U113" i="1" s="1"/>
  <c r="S113" i="1" s="1"/>
  <c r="X113" i="1"/>
  <c r="T97" i="1"/>
  <c r="U97" i="1" s="1"/>
  <c r="S97" i="1" s="1"/>
  <c r="X97" i="1"/>
  <c r="T93" i="1"/>
  <c r="X93" i="1"/>
  <c r="AG93" i="1"/>
  <c r="T89" i="1"/>
  <c r="X89" i="1"/>
  <c r="AG89" i="1"/>
  <c r="AI74" i="1"/>
  <c r="T73" i="1"/>
  <c r="X73" i="1"/>
  <c r="AG73" i="1"/>
  <c r="AG70" i="1"/>
  <c r="X70" i="1"/>
  <c r="T70" i="1"/>
  <c r="AG54" i="1"/>
  <c r="X54" i="1"/>
  <c r="T54" i="1"/>
  <c r="U91" i="1"/>
  <c r="S91" i="1" s="1"/>
  <c r="T68" i="1"/>
  <c r="U68" i="1" s="1"/>
  <c r="S68" i="1" s="1"/>
  <c r="U66" i="1"/>
  <c r="S66" i="1" s="1"/>
  <c r="U61" i="1"/>
  <c r="S61" i="1" s="1"/>
  <c r="T59" i="1"/>
  <c r="U59" i="1" s="1"/>
  <c r="S59" i="1" s="1"/>
  <c r="X59" i="1"/>
  <c r="AG56" i="1"/>
  <c r="X57" i="1"/>
  <c r="AG30" i="1"/>
  <c r="T30" i="1"/>
  <c r="X30" i="1"/>
  <c r="AI14" i="1"/>
  <c r="AI91" i="1"/>
  <c r="X90" i="1"/>
  <c r="AI87" i="1"/>
  <c r="X86" i="1"/>
  <c r="X82" i="1"/>
  <c r="AI79" i="1"/>
  <c r="X78" i="1"/>
  <c r="AI75" i="1"/>
  <c r="X74" i="1"/>
  <c r="AI71" i="1"/>
  <c r="T67" i="1"/>
  <c r="X67" i="1"/>
  <c r="X66" i="1"/>
  <c r="AI61" i="1"/>
  <c r="T60" i="1"/>
  <c r="AI57" i="1"/>
  <c r="T47" i="1"/>
  <c r="X47" i="1"/>
  <c r="AG47" i="1"/>
  <c r="X41" i="1"/>
  <c r="X40" i="1"/>
  <c r="AG40" i="1"/>
  <c r="AI22" i="1"/>
  <c r="AA21" i="1"/>
  <c r="W21" i="1" s="1"/>
  <c r="T71" i="1"/>
  <c r="U71" i="1" s="1"/>
  <c r="S71" i="1" s="1"/>
  <c r="X71" i="1"/>
  <c r="AA68" i="1"/>
  <c r="W68" i="1" s="1"/>
  <c r="AG67" i="1"/>
  <c r="U62" i="1"/>
  <c r="S62" i="1" s="1"/>
  <c r="AG60" i="1"/>
  <c r="X58" i="1"/>
  <c r="T56" i="1"/>
  <c r="AG52" i="1"/>
  <c r="W52" i="1" s="1"/>
  <c r="X53" i="1"/>
  <c r="AI43" i="1"/>
  <c r="AG38" i="1"/>
  <c r="X38" i="1"/>
  <c r="T38" i="1"/>
  <c r="AI18" i="1"/>
  <c r="AA17" i="1"/>
  <c r="U17" i="1"/>
  <c r="T51" i="1"/>
  <c r="U51" i="1" s="1"/>
  <c r="S51" i="1" s="1"/>
  <c r="X51" i="1"/>
  <c r="X49" i="1"/>
  <c r="AA48" i="1"/>
  <c r="U42" i="1"/>
  <c r="S42" i="1" s="1"/>
  <c r="T35" i="1"/>
  <c r="U35" i="1" s="1"/>
  <c r="S35" i="1" s="1"/>
  <c r="X35" i="1"/>
  <c r="X34" i="1"/>
  <c r="X33" i="1"/>
  <c r="AA32" i="1"/>
  <c r="AI21" i="1"/>
  <c r="T48" i="1"/>
  <c r="T39" i="1"/>
  <c r="X39" i="1"/>
  <c r="AG28" i="1"/>
  <c r="X29" i="1"/>
  <c r="T28" i="1"/>
  <c r="X28" i="1"/>
  <c r="AG24" i="1"/>
  <c r="X25" i="1"/>
  <c r="T24" i="1"/>
  <c r="X24" i="1"/>
  <c r="AG20" i="1"/>
  <c r="W20" i="1" s="1"/>
  <c r="X21" i="1"/>
  <c r="T20" i="1"/>
  <c r="X20" i="1"/>
  <c r="AG16" i="1"/>
  <c r="X17" i="1"/>
  <c r="T16" i="1"/>
  <c r="X16" i="1"/>
  <c r="X55" i="1"/>
  <c r="AG48" i="1"/>
  <c r="T46" i="1"/>
  <c r="U46" i="1" s="1"/>
  <c r="S46" i="1" s="1"/>
  <c r="T43" i="1"/>
  <c r="U43" i="1" s="1"/>
  <c r="S43" i="1" s="1"/>
  <c r="X43" i="1"/>
  <c r="X42" i="1"/>
  <c r="AA40" i="1"/>
  <c r="AG39" i="1"/>
  <c r="U34" i="1"/>
  <c r="S34" i="1" s="1"/>
  <c r="W26" i="1"/>
  <c r="W18" i="1"/>
  <c r="W14" i="1"/>
  <c r="X31" i="1"/>
  <c r="X27" i="1"/>
  <c r="X23" i="1"/>
  <c r="X19" i="1"/>
  <c r="X15" i="1"/>
  <c r="T24" i="3"/>
  <c r="Y26" i="3"/>
  <c r="Y20" i="3"/>
  <c r="Y17" i="3"/>
  <c r="Y45" i="3"/>
  <c r="Y57" i="3"/>
  <c r="Y51" i="3"/>
  <c r="Y34" i="3"/>
  <c r="Y29" i="3"/>
  <c r="Y32" i="3"/>
  <c r="Y48" i="3"/>
  <c r="Y44" i="3"/>
  <c r="Y16" i="3"/>
  <c r="Y59" i="3"/>
  <c r="Y47" i="3"/>
  <c r="Y22" i="3"/>
  <c r="Y10" i="3"/>
  <c r="Y49" i="3"/>
  <c r="Y18" i="3"/>
  <c r="Y11" i="3"/>
  <c r="Y28" i="3"/>
  <c r="Y39" i="3"/>
  <c r="T45" i="3"/>
  <c r="Y37" i="3"/>
  <c r="AC15" i="3"/>
  <c r="T52" i="3"/>
  <c r="Y41" i="3"/>
  <c r="AC27" i="3"/>
  <c r="T34" i="3"/>
  <c r="Y33" i="3"/>
  <c r="AC8" i="3"/>
  <c r="T30" i="3"/>
  <c r="Y31" i="3"/>
  <c r="AC61" i="3"/>
  <c r="T48" i="3"/>
  <c r="Y25" i="3"/>
  <c r="AC13" i="3"/>
  <c r="T36" i="3"/>
  <c r="Y43" i="3"/>
  <c r="AC19" i="3"/>
  <c r="AC57" i="3"/>
  <c r="T22" i="3"/>
  <c r="AC60" i="3"/>
  <c r="T10" i="3"/>
  <c r="AC29" i="3"/>
  <c r="T49" i="3"/>
  <c r="AC9" i="3"/>
  <c r="T18" i="3"/>
  <c r="AC44" i="3"/>
  <c r="T11" i="3"/>
  <c r="AC12" i="3"/>
  <c r="T28" i="3"/>
  <c r="T54" i="3"/>
  <c r="T53" i="3"/>
  <c r="T51" i="3"/>
  <c r="T50" i="3"/>
  <c r="T38" i="3"/>
  <c r="T42" i="3"/>
  <c r="T40" i="3"/>
  <c r="T32" i="3"/>
  <c r="T21" i="3"/>
  <c r="T23" i="3"/>
  <c r="T55" i="3"/>
  <c r="T16" i="3"/>
  <c r="T35" i="3"/>
  <c r="T59" i="3"/>
  <c r="S7" i="3"/>
  <c r="R7" i="3"/>
  <c r="S19" i="3"/>
  <c r="R19" i="3"/>
  <c r="S35" i="3"/>
  <c r="R35" i="3"/>
  <c r="S17" i="3"/>
  <c r="R17" i="3"/>
  <c r="S13" i="3"/>
  <c r="R13" i="3"/>
  <c r="S11" i="3"/>
  <c r="R11" i="3"/>
  <c r="S25" i="3"/>
  <c r="R25" i="3"/>
  <c r="S31" i="3"/>
  <c r="R31" i="3"/>
  <c r="S32" i="3"/>
  <c r="R32" i="3"/>
  <c r="S9" i="3"/>
  <c r="R9" i="3"/>
  <c r="S8" i="3"/>
  <c r="R8" i="3"/>
  <c r="S29" i="3"/>
  <c r="R29" i="3"/>
  <c r="S33" i="3"/>
  <c r="R33" i="3"/>
  <c r="S34" i="3"/>
  <c r="R34" i="3"/>
  <c r="S14" i="3"/>
  <c r="R14" i="3"/>
  <c r="S26" i="3"/>
  <c r="R26" i="3"/>
  <c r="S38" i="3"/>
  <c r="R38" i="3"/>
  <c r="S15" i="3"/>
  <c r="R15" i="3"/>
  <c r="S55" i="3"/>
  <c r="R55" i="3"/>
  <c r="S44" i="3"/>
  <c r="R44" i="3"/>
  <c r="S40" i="3"/>
  <c r="R40" i="3"/>
  <c r="S49" i="3"/>
  <c r="R49" i="3"/>
  <c r="S50" i="3"/>
  <c r="R50" i="3"/>
  <c r="S53" i="3"/>
  <c r="R53" i="3"/>
  <c r="S57" i="3"/>
  <c r="R57" i="3"/>
  <c r="S59" i="3"/>
  <c r="R59" i="3"/>
  <c r="S61" i="3"/>
  <c r="R61" i="3"/>
  <c r="S60" i="3"/>
  <c r="R60" i="3"/>
  <c r="S43" i="3"/>
  <c r="R43" i="3"/>
  <c r="S42" i="3"/>
  <c r="R42" i="3"/>
  <c r="M59" i="3"/>
  <c r="N59" i="3"/>
  <c r="M7" i="3"/>
  <c r="N7" i="3"/>
  <c r="M62" i="3"/>
  <c r="N62" i="3"/>
  <c r="M19" i="3"/>
  <c r="N19" i="3"/>
  <c r="M35" i="3"/>
  <c r="N35" i="3"/>
  <c r="M28" i="3"/>
  <c r="N28" i="3"/>
  <c r="M43" i="3"/>
  <c r="N43" i="3"/>
  <c r="M12" i="3"/>
  <c r="N12" i="3"/>
  <c r="M16" i="3"/>
  <c r="N16" i="3"/>
  <c r="M36" i="3"/>
  <c r="N36" i="3"/>
  <c r="M17" i="3"/>
  <c r="N17" i="3"/>
  <c r="M13" i="3"/>
  <c r="N13" i="3"/>
  <c r="M55" i="3"/>
  <c r="N55" i="3"/>
  <c r="M11" i="3"/>
  <c r="N11" i="3"/>
  <c r="M25" i="3"/>
  <c r="N25" i="3"/>
  <c r="M44" i="3"/>
  <c r="N44" i="3"/>
  <c r="M23" i="3"/>
  <c r="N23" i="3"/>
  <c r="M48" i="3"/>
  <c r="N48" i="3"/>
  <c r="M56" i="3"/>
  <c r="N56" i="3"/>
  <c r="M61" i="3"/>
  <c r="N61" i="3"/>
  <c r="M21" i="3"/>
  <c r="N21" i="3"/>
  <c r="M18" i="3"/>
  <c r="N18" i="3"/>
  <c r="M31" i="3"/>
  <c r="N31" i="3"/>
  <c r="M9" i="3"/>
  <c r="N9" i="3"/>
  <c r="M32" i="3"/>
  <c r="N32" i="3"/>
  <c r="M30" i="3"/>
  <c r="N30" i="3"/>
  <c r="M20" i="3"/>
  <c r="N20" i="3"/>
  <c r="M8" i="3"/>
  <c r="N8" i="3"/>
  <c r="M40" i="3"/>
  <c r="N40" i="3"/>
  <c r="M49" i="3"/>
  <c r="N49" i="3"/>
  <c r="M33" i="3"/>
  <c r="N33" i="3"/>
  <c r="M29" i="3"/>
  <c r="N29" i="3"/>
  <c r="M42" i="3"/>
  <c r="N42" i="3"/>
  <c r="M34" i="3"/>
  <c r="N34" i="3"/>
  <c r="M14" i="3"/>
  <c r="N14" i="3"/>
  <c r="M27" i="3"/>
  <c r="N27" i="3"/>
  <c r="M50" i="3"/>
  <c r="N50" i="3"/>
  <c r="M10" i="3"/>
  <c r="N10" i="3"/>
  <c r="M41" i="3"/>
  <c r="N41" i="3"/>
  <c r="M60" i="3"/>
  <c r="N60" i="3"/>
  <c r="M51" i="3"/>
  <c r="N51" i="3"/>
  <c r="M52" i="3"/>
  <c r="N52" i="3"/>
  <c r="M26" i="3"/>
  <c r="N26" i="3"/>
  <c r="M15" i="3"/>
  <c r="N15" i="3"/>
  <c r="M53" i="3"/>
  <c r="N53" i="3"/>
  <c r="M22" i="3"/>
  <c r="N22" i="3"/>
  <c r="M37" i="3"/>
  <c r="N37" i="3"/>
  <c r="M57" i="3"/>
  <c r="N57" i="3"/>
  <c r="M38" i="3"/>
  <c r="N38" i="3"/>
  <c r="M45" i="3"/>
  <c r="N45" i="3"/>
  <c r="M46" i="3"/>
  <c r="N46" i="3"/>
  <c r="M47" i="3"/>
  <c r="N47" i="3"/>
  <c r="M54" i="3"/>
  <c r="N54" i="3"/>
  <c r="M24" i="3"/>
  <c r="N24" i="3"/>
  <c r="M39" i="3"/>
  <c r="N39" i="3"/>
  <c r="U58" i="3"/>
  <c r="AC58" i="3" s="1"/>
  <c r="V58" i="3"/>
  <c r="W58" i="3"/>
  <c r="X58" i="3"/>
  <c r="W79" i="1" l="1"/>
  <c r="W160" i="1"/>
  <c r="U122" i="1"/>
  <c r="W58" i="1"/>
  <c r="W83" i="1"/>
  <c r="W64" i="1"/>
  <c r="W87" i="1"/>
  <c r="AI176" i="1"/>
  <c r="W69" i="1"/>
  <c r="W222" i="1"/>
  <c r="U58" i="1"/>
  <c r="S58" i="1" s="1"/>
  <c r="U64" i="1"/>
  <c r="S64" i="1" s="1"/>
  <c r="W94" i="1"/>
  <c r="W195" i="1"/>
  <c r="W251" i="1"/>
  <c r="W86" i="1"/>
  <c r="W90" i="1"/>
  <c r="U222" i="1"/>
  <c r="S222" i="1" s="1"/>
  <c r="W30" i="1"/>
  <c r="W89" i="1"/>
  <c r="W93" i="1"/>
  <c r="W126" i="1"/>
  <c r="AI145" i="1"/>
  <c r="U224" i="1"/>
  <c r="S224" i="1" s="1"/>
  <c r="W254" i="1"/>
  <c r="W181" i="1"/>
  <c r="U33" i="1"/>
  <c r="S33" i="1" s="1"/>
  <c r="W172" i="1"/>
  <c r="W40" i="1"/>
  <c r="AI90" i="1"/>
  <c r="W125" i="1"/>
  <c r="W164" i="1"/>
  <c r="U181" i="1"/>
  <c r="S181" i="1" s="1"/>
  <c r="AI233" i="1"/>
  <c r="W210" i="1"/>
  <c r="U205" i="1"/>
  <c r="S205" i="1" s="1"/>
  <c r="W61" i="1"/>
  <c r="W123" i="1"/>
  <c r="U98" i="1"/>
  <c r="S98" i="1" s="1"/>
  <c r="W193" i="1"/>
  <c r="U254" i="1"/>
  <c r="S254" i="1" s="1"/>
  <c r="AI193" i="1"/>
  <c r="AI111" i="1"/>
  <c r="U112" i="1"/>
  <c r="S111" i="1" s="1"/>
  <c r="W110" i="1"/>
  <c r="W16" i="1"/>
  <c r="AI82" i="1"/>
  <c r="W78" i="1"/>
  <c r="W204" i="1"/>
  <c r="W114" i="1"/>
  <c r="U197" i="1"/>
  <c r="S197" i="1" s="1"/>
  <c r="U36" i="1"/>
  <c r="S36" i="1" s="1"/>
  <c r="W38" i="1"/>
  <c r="AI83" i="1"/>
  <c r="W25" i="1"/>
  <c r="W81" i="1"/>
  <c r="AI106" i="1"/>
  <c r="U78" i="1"/>
  <c r="S78" i="1" s="1"/>
  <c r="AI161" i="1"/>
  <c r="U153" i="1"/>
  <c r="S153" i="1" s="1"/>
  <c r="W162" i="1"/>
  <c r="W226" i="1"/>
  <c r="AI183" i="1"/>
  <c r="AI69" i="1"/>
  <c r="W127" i="1"/>
  <c r="AI172" i="1"/>
  <c r="W63" i="1"/>
  <c r="AI86" i="1"/>
  <c r="U65" i="1"/>
  <c r="S65" i="1" s="1"/>
  <c r="W132" i="1"/>
  <c r="W178" i="1"/>
  <c r="W183" i="1"/>
  <c r="U157" i="1"/>
  <c r="S157" i="1" s="1"/>
  <c r="W197" i="1"/>
  <c r="AI55" i="1"/>
  <c r="W56" i="1"/>
  <c r="U83" i="1"/>
  <c r="W144" i="1"/>
  <c r="W220" i="1"/>
  <c r="W232" i="1"/>
  <c r="W19" i="1"/>
  <c r="U119" i="1"/>
  <c r="S119" i="1" s="1"/>
  <c r="W157" i="1"/>
  <c r="U252" i="1"/>
  <c r="S252" i="1" s="1"/>
  <c r="W55" i="1"/>
  <c r="U144" i="1"/>
  <c r="S144" i="1" s="1"/>
  <c r="U243" i="1"/>
  <c r="S243" i="1" s="1"/>
  <c r="U114" i="1"/>
  <c r="S114" i="1" s="1"/>
  <c r="W148" i="1"/>
  <c r="W187" i="1"/>
  <c r="U218" i="1"/>
  <c r="S218" i="1" s="1"/>
  <c r="W32" i="1"/>
  <c r="U44" i="1"/>
  <c r="S44" i="1" s="1"/>
  <c r="W156" i="1"/>
  <c r="AI141" i="1"/>
  <c r="W111" i="1"/>
  <c r="W95" i="1"/>
  <c r="W115" i="1"/>
  <c r="W169" i="1"/>
  <c r="W175" i="1"/>
  <c r="AI122" i="1"/>
  <c r="U169" i="1"/>
  <c r="S169" i="1" s="1"/>
  <c r="AI207" i="1"/>
  <c r="AI238" i="1"/>
  <c r="AI222" i="1"/>
  <c r="W100" i="1"/>
  <c r="U79" i="1"/>
  <c r="S79" i="1" s="1"/>
  <c r="W119" i="1"/>
  <c r="W208" i="1"/>
  <c r="AI95" i="1"/>
  <c r="AI127" i="1"/>
  <c r="U133" i="1"/>
  <c r="S133" i="1" s="1"/>
  <c r="W241" i="1"/>
  <c r="U92" i="1"/>
  <c r="S92" i="1" s="1"/>
  <c r="U29" i="1"/>
  <c r="S29" i="1" s="1"/>
  <c r="W153" i="1"/>
  <c r="W218" i="1"/>
  <c r="W29" i="1"/>
  <c r="W107" i="1"/>
  <c r="W242" i="1"/>
  <c r="AI178" i="1"/>
  <c r="W238" i="1"/>
  <c r="W37" i="1"/>
  <c r="U69" i="1"/>
  <c r="S69" i="1" s="1"/>
  <c r="W255" i="1"/>
  <c r="W17" i="1"/>
  <c r="U107" i="1"/>
  <c r="AI175" i="1"/>
  <c r="W246" i="1"/>
  <c r="W133" i="1"/>
  <c r="W176" i="1"/>
  <c r="W243" i="1"/>
  <c r="W92" i="1"/>
  <c r="W48" i="1"/>
  <c r="AI199" i="1"/>
  <c r="U137" i="1"/>
  <c r="S137" i="1" s="1"/>
  <c r="AI137" i="1"/>
  <c r="W145" i="1"/>
  <c r="W128" i="1"/>
  <c r="W161" i="1"/>
  <c r="U246" i="1"/>
  <c r="S246" i="1" s="1"/>
  <c r="U175" i="1"/>
  <c r="S175" i="1" s="1"/>
  <c r="AI204" i="1"/>
  <c r="U103" i="1"/>
  <c r="S103" i="1" s="1"/>
  <c r="AI103" i="1"/>
  <c r="U88" i="1"/>
  <c r="AI88" i="1"/>
  <c r="W137" i="1"/>
  <c r="W227" i="1"/>
  <c r="W250" i="1"/>
  <c r="AI226" i="1"/>
  <c r="U19" i="1"/>
  <c r="S19" i="1" s="1"/>
  <c r="AI19" i="1"/>
  <c r="U31" i="1"/>
  <c r="S31" i="1" s="1"/>
  <c r="AI31" i="1"/>
  <c r="W44" i="1"/>
  <c r="U15" i="1"/>
  <c r="S15" i="1" s="1"/>
  <c r="AI15" i="1"/>
  <c r="W103" i="1"/>
  <c r="U167" i="1"/>
  <c r="S167" i="1" s="1"/>
  <c r="AI167" i="1"/>
  <c r="W167" i="1"/>
  <c r="W205" i="1"/>
  <c r="U123" i="1"/>
  <c r="AI123" i="1"/>
  <c r="W112" i="1"/>
  <c r="AI241" i="1"/>
  <c r="W180" i="1"/>
  <c r="U70" i="1"/>
  <c r="S70" i="1" s="1"/>
  <c r="AI70" i="1"/>
  <c r="AI117" i="1"/>
  <c r="U117" i="1"/>
  <c r="S117" i="1" s="1"/>
  <c r="W117" i="1"/>
  <c r="AI118" i="1"/>
  <c r="U118" i="1"/>
  <c r="S118" i="1" s="1"/>
  <c r="AI140" i="1"/>
  <c r="U140" i="1"/>
  <c r="S140" i="1" s="1"/>
  <c r="AI174" i="1"/>
  <c r="U221" i="1"/>
  <c r="S221" i="1" s="1"/>
  <c r="AI223" i="1"/>
  <c r="U191" i="1"/>
  <c r="S191" i="1" s="1"/>
  <c r="U203" i="1"/>
  <c r="S203" i="1" s="1"/>
  <c r="AI235" i="1"/>
  <c r="AI232" i="1"/>
  <c r="U200" i="1"/>
  <c r="S200" i="1" s="1"/>
  <c r="AI94" i="1"/>
  <c r="U94" i="1"/>
  <c r="S94" i="1" s="1"/>
  <c r="AI101" i="1"/>
  <c r="U101" i="1"/>
  <c r="S101" i="1" s="1"/>
  <c r="AI126" i="1"/>
  <c r="U126" i="1"/>
  <c r="S126" i="1" s="1"/>
  <c r="U85" i="1"/>
  <c r="S85" i="1" s="1"/>
  <c r="AI85" i="1"/>
  <c r="U132" i="1"/>
  <c r="S132" i="1" s="1"/>
  <c r="AI132" i="1"/>
  <c r="AI156" i="1"/>
  <c r="U156" i="1"/>
  <c r="S156" i="1" s="1"/>
  <c r="AI163" i="1"/>
  <c r="U163" i="1"/>
  <c r="S163" i="1" s="1"/>
  <c r="W163" i="1"/>
  <c r="W70" i="1"/>
  <c r="U162" i="1"/>
  <c r="S162" i="1" s="1"/>
  <c r="AI162" i="1"/>
  <c r="AI180" i="1"/>
  <c r="U227" i="1"/>
  <c r="S227" i="1" s="1"/>
  <c r="AI217" i="1"/>
  <c r="U186" i="1"/>
  <c r="S186" i="1" s="1"/>
  <c r="U146" i="1"/>
  <c r="S146" i="1" s="1"/>
  <c r="AI146" i="1"/>
  <c r="AI164" i="1"/>
  <c r="U164" i="1"/>
  <c r="S164" i="1" s="1"/>
  <c r="AI173" i="1"/>
  <c r="U220" i="1"/>
  <c r="S220" i="1" s="1"/>
  <c r="U187" i="1"/>
  <c r="S187" i="1" s="1"/>
  <c r="AI218" i="1"/>
  <c r="AI247" i="1"/>
  <c r="U214" i="1"/>
  <c r="S214" i="1" s="1"/>
  <c r="AI255" i="1"/>
  <c r="U236" i="1"/>
  <c r="S236" i="1" s="1"/>
  <c r="AI109" i="1"/>
  <c r="U109" i="1"/>
  <c r="S109" i="1" s="1"/>
  <c r="AI240" i="1"/>
  <c r="U208" i="1"/>
  <c r="S208" i="1" s="1"/>
  <c r="W203" i="1"/>
  <c r="W191" i="1"/>
  <c r="W186" i="1"/>
  <c r="W214" i="1"/>
  <c r="AI110" i="1"/>
  <c r="U110" i="1"/>
  <c r="AI147" i="1"/>
  <c r="U147" i="1"/>
  <c r="S147" i="1" s="1"/>
  <c r="W147" i="1"/>
  <c r="U77" i="1"/>
  <c r="S77" i="1" s="1"/>
  <c r="AI77" i="1"/>
  <c r="AI136" i="1"/>
  <c r="U136" i="1"/>
  <c r="S136" i="1" s="1"/>
  <c r="AI170" i="1"/>
  <c r="U217" i="1"/>
  <c r="S217" i="1" s="1"/>
  <c r="W136" i="1"/>
  <c r="AI210" i="1"/>
  <c r="U179" i="1"/>
  <c r="S179" i="1" s="1"/>
  <c r="AI102" i="1"/>
  <c r="U102" i="1"/>
  <c r="S102" i="1" s="1"/>
  <c r="U16" i="1"/>
  <c r="S16" i="1" s="1"/>
  <c r="AI16" i="1"/>
  <c r="U20" i="1"/>
  <c r="S20" i="1" s="1"/>
  <c r="AI20" i="1"/>
  <c r="U24" i="1"/>
  <c r="S24" i="1" s="1"/>
  <c r="AI24" i="1"/>
  <c r="U28" i="1"/>
  <c r="AI28" i="1"/>
  <c r="W28" i="1"/>
  <c r="U38" i="1"/>
  <c r="AI38" i="1"/>
  <c r="AI47" i="1"/>
  <c r="U47" i="1"/>
  <c r="S47" i="1" s="1"/>
  <c r="AI48" i="1"/>
  <c r="U48" i="1"/>
  <c r="S48" i="1" s="1"/>
  <c r="W24" i="1"/>
  <c r="AI52" i="1"/>
  <c r="U52" i="1"/>
  <c r="S52" i="1" s="1"/>
  <c r="AI60" i="1"/>
  <c r="U60" i="1"/>
  <c r="S60" i="1" s="1"/>
  <c r="AI40" i="1"/>
  <c r="U40" i="1"/>
  <c r="S40" i="1" s="1"/>
  <c r="AI56" i="1"/>
  <c r="U56" i="1"/>
  <c r="S56" i="1" s="1"/>
  <c r="W85" i="1"/>
  <c r="AI63" i="1"/>
  <c r="U63" i="1"/>
  <c r="S63" i="1" s="1"/>
  <c r="U81" i="1"/>
  <c r="S81" i="1" s="1"/>
  <c r="AI81" i="1"/>
  <c r="W102" i="1"/>
  <c r="AI125" i="1"/>
  <c r="U125" i="1"/>
  <c r="S125" i="1" s="1"/>
  <c r="U170" i="1"/>
  <c r="S170" i="1" s="1"/>
  <c r="AI202" i="1"/>
  <c r="W101" i="1"/>
  <c r="AI155" i="1"/>
  <c r="U155" i="1"/>
  <c r="S155" i="1" s="1"/>
  <c r="W221" i="1"/>
  <c r="AI188" i="1"/>
  <c r="U242" i="1"/>
  <c r="S242" i="1" s="1"/>
  <c r="AI194" i="1"/>
  <c r="U249" i="1"/>
  <c r="S249" i="1" s="1"/>
  <c r="AI203" i="1"/>
  <c r="U171" i="1"/>
  <c r="S171" i="1" s="1"/>
  <c r="AI209" i="1"/>
  <c r="U178" i="1"/>
  <c r="S178" i="1" s="1"/>
  <c r="AI243" i="1"/>
  <c r="U210" i="1"/>
  <c r="S210" i="1" s="1"/>
  <c r="AI236" i="1"/>
  <c r="U204" i="1"/>
  <c r="S204" i="1" s="1"/>
  <c r="AI148" i="1"/>
  <c r="U148" i="1"/>
  <c r="S148" i="1" s="1"/>
  <c r="U207" i="1"/>
  <c r="S207" i="1" s="1"/>
  <c r="AI239" i="1"/>
  <c r="U39" i="1"/>
  <c r="S39" i="1" s="1"/>
  <c r="AI39" i="1"/>
  <c r="W39" i="1"/>
  <c r="U54" i="1"/>
  <c r="S54" i="1" s="1"/>
  <c r="AI54" i="1"/>
  <c r="U89" i="1"/>
  <c r="S89" i="1" s="1"/>
  <c r="AI89" i="1"/>
  <c r="AI130" i="1"/>
  <c r="U130" i="1"/>
  <c r="S130" i="1" s="1"/>
  <c r="U116" i="1"/>
  <c r="S116" i="1" s="1"/>
  <c r="AI116" i="1"/>
  <c r="AI152" i="1"/>
  <c r="U152" i="1"/>
  <c r="S152" i="1" s="1"/>
  <c r="AI187" i="1"/>
  <c r="U241" i="1"/>
  <c r="S241" i="1" s="1"/>
  <c r="W179" i="1"/>
  <c r="AI227" i="1"/>
  <c r="U195" i="1"/>
  <c r="S195" i="1" s="1"/>
  <c r="AI252" i="1"/>
  <c r="U233" i="1"/>
  <c r="S233" i="1" s="1"/>
  <c r="AI139" i="1"/>
  <c r="U139" i="1"/>
  <c r="S139" i="1" s="1"/>
  <c r="AI251" i="1"/>
  <c r="U232" i="1"/>
  <c r="S232" i="1" s="1"/>
  <c r="U67" i="1"/>
  <c r="S67" i="1" s="1"/>
  <c r="AI67" i="1"/>
  <c r="AI30" i="1"/>
  <c r="U30" i="1"/>
  <c r="S30" i="1" s="1"/>
  <c r="W54" i="1"/>
  <c r="W67" i="1"/>
  <c r="U73" i="1"/>
  <c r="S73" i="1" s="1"/>
  <c r="AI73" i="1"/>
  <c r="U93" i="1"/>
  <c r="S93" i="1" s="1"/>
  <c r="AI93" i="1"/>
  <c r="W47" i="1"/>
  <c r="W77" i="1"/>
  <c r="W118" i="1"/>
  <c r="W140" i="1"/>
  <c r="W60" i="1"/>
  <c r="W139" i="1"/>
  <c r="AI195" i="1"/>
  <c r="U250" i="1"/>
  <c r="S250" i="1" s="1"/>
  <c r="W217" i="1"/>
  <c r="U226" i="1"/>
  <c r="S226" i="1" s="1"/>
  <c r="AI179" i="1"/>
  <c r="U199" i="1"/>
  <c r="S199" i="1" s="1"/>
  <c r="AI231" i="1"/>
  <c r="AI244" i="1"/>
  <c r="U211" i="1"/>
  <c r="S211" i="1" s="1"/>
  <c r="W73" i="1"/>
  <c r="U100" i="1"/>
  <c r="S99" i="1" s="1"/>
  <c r="AI100" i="1"/>
  <c r="W116" i="1"/>
  <c r="W130" i="1"/>
  <c r="W152" i="1"/>
  <c r="W200" i="1"/>
  <c r="W249" i="1"/>
  <c r="W236" i="1"/>
  <c r="W211" i="1"/>
  <c r="R45" i="3"/>
  <c r="R47" i="3"/>
  <c r="R46" i="3"/>
  <c r="S28" i="3"/>
  <c r="S12" i="3"/>
  <c r="S16" i="3"/>
  <c r="S36" i="3"/>
  <c r="R52" i="3"/>
  <c r="R41" i="3"/>
  <c r="R51" i="3"/>
  <c r="R48" i="3"/>
  <c r="R56" i="3"/>
  <c r="R39" i="3"/>
  <c r="R24" i="3"/>
  <c r="S22" i="3"/>
  <c r="S37" i="3"/>
  <c r="S27" i="3"/>
  <c r="S10" i="3"/>
  <c r="R23" i="3"/>
  <c r="R18" i="3"/>
  <c r="R21" i="3"/>
  <c r="S45" i="3"/>
  <c r="S47" i="3"/>
  <c r="S46" i="3"/>
  <c r="R28" i="3"/>
  <c r="R12" i="3"/>
  <c r="R36" i="3"/>
  <c r="R16" i="3"/>
  <c r="S51" i="3"/>
  <c r="S52" i="3"/>
  <c r="S41" i="3"/>
  <c r="S48" i="3"/>
  <c r="S56" i="3"/>
  <c r="S24" i="3"/>
  <c r="S39" i="3"/>
  <c r="R37" i="3"/>
  <c r="R22" i="3"/>
  <c r="R10" i="3"/>
  <c r="R27" i="3"/>
  <c r="S21" i="3"/>
  <c r="S23" i="3"/>
  <c r="S18" i="3"/>
  <c r="Y58" i="3"/>
  <c r="T58" i="3"/>
  <c r="S58" i="3"/>
  <c r="R58" i="3"/>
  <c r="S122" i="1" l="1"/>
  <c r="B14" i="6"/>
  <c r="F14" i="6" s="1"/>
  <c r="V13" i="1"/>
  <c r="M58" i="3"/>
  <c r="N58" i="3"/>
  <c r="H14" i="6" l="1"/>
  <c r="G14" i="6"/>
  <c r="B5" i="6"/>
  <c r="F5" i="6" s="1"/>
  <c r="I14" i="6"/>
  <c r="G5" i="6" l="1"/>
  <c r="I5" i="6"/>
  <c r="H5" i="6"/>
  <c r="B6" i="6"/>
  <c r="B7" i="6" l="1"/>
  <c r="H6" i="6"/>
  <c r="I6" i="6"/>
  <c r="F6" i="6"/>
  <c r="G6" i="6"/>
  <c r="AE13" i="1"/>
  <c r="G7" i="6" l="1"/>
  <c r="H7" i="6"/>
  <c r="I7" i="6"/>
  <c r="F7" i="6"/>
  <c r="B8" i="6"/>
  <c r="B15" i="6"/>
  <c r="B3" i="6"/>
  <c r="G3" i="6" s="1"/>
  <c r="B4" i="6"/>
  <c r="F4" i="6" s="1"/>
  <c r="F8" i="6" l="1"/>
  <c r="H8" i="6"/>
  <c r="I8" i="6"/>
  <c r="G8" i="6"/>
  <c r="B9" i="6"/>
  <c r="F15" i="6"/>
  <c r="G15" i="6"/>
  <c r="H15" i="6"/>
  <c r="I15" i="6"/>
  <c r="B16" i="6"/>
  <c r="I4" i="6"/>
  <c r="H4" i="6"/>
  <c r="G4" i="6"/>
  <c r="F3" i="6"/>
  <c r="I3" i="6"/>
  <c r="H3" i="6"/>
  <c r="F9" i="6" l="1"/>
  <c r="I9" i="6"/>
  <c r="G9" i="6"/>
  <c r="H9" i="6"/>
  <c r="B10" i="6"/>
  <c r="B17" i="6"/>
  <c r="H16" i="6"/>
  <c r="I16" i="6"/>
  <c r="F16" i="6"/>
  <c r="G16" i="6"/>
  <c r="AF13" i="1"/>
  <c r="H10" i="6" l="1"/>
  <c r="I10" i="6"/>
  <c r="F10" i="6"/>
  <c r="G10" i="6"/>
  <c r="B11" i="6"/>
  <c r="F17" i="6"/>
  <c r="G17" i="6"/>
  <c r="H17" i="6"/>
  <c r="I17" i="6"/>
  <c r="B18" i="6"/>
  <c r="K13" i="1"/>
  <c r="L13" i="1"/>
  <c r="M13" i="1"/>
  <c r="N13" i="1" s="1"/>
  <c r="Y13" i="1"/>
  <c r="Z13" i="1"/>
  <c r="AB13" i="1"/>
  <c r="AC13" i="1"/>
  <c r="AD13" i="1"/>
  <c r="X14" i="1" s="1"/>
  <c r="G11" i="6" l="1"/>
  <c r="F11" i="6"/>
  <c r="I11" i="6"/>
  <c r="H11" i="6"/>
  <c r="B13" i="6"/>
  <c r="B12" i="6"/>
  <c r="B19" i="6"/>
  <c r="H18" i="6"/>
  <c r="I18" i="6"/>
  <c r="F18" i="6"/>
  <c r="G18" i="6"/>
  <c r="T13" i="1"/>
  <c r="X13" i="1"/>
  <c r="AA13" i="1"/>
  <c r="AG13" i="1"/>
  <c r="M26" i="5"/>
  <c r="AH16" i="1" l="1"/>
  <c r="AH17" i="1"/>
  <c r="AH25" i="1"/>
  <c r="AH42" i="1"/>
  <c r="AH47" i="1"/>
  <c r="AH48" i="1"/>
  <c r="AH49" i="1"/>
  <c r="AH53" i="1"/>
  <c r="AH54" i="1"/>
  <c r="AH66" i="1"/>
  <c r="AH67" i="1"/>
  <c r="AH68" i="1"/>
  <c r="AH69" i="1"/>
  <c r="AH85" i="1"/>
  <c r="AH97" i="1"/>
  <c r="AH98" i="1"/>
  <c r="AH115" i="1"/>
  <c r="AH116" i="1"/>
  <c r="AH117" i="1"/>
  <c r="AH118" i="1"/>
  <c r="AH139" i="1"/>
  <c r="AH140" i="1"/>
  <c r="AH151" i="1"/>
  <c r="AH152" i="1"/>
  <c r="AH153" i="1"/>
  <c r="AH155" i="1"/>
  <c r="AH156" i="1"/>
  <c r="AH159" i="1"/>
  <c r="AH160" i="1"/>
  <c r="AH161" i="1"/>
  <c r="AH162" i="1"/>
  <c r="AH163" i="1"/>
  <c r="AH178" i="1"/>
  <c r="AH179" i="1"/>
  <c r="AH180" i="1"/>
  <c r="AH187" i="1"/>
  <c r="AH188" i="1"/>
  <c r="AH189" i="1"/>
  <c r="AH190" i="1"/>
  <c r="AH191" i="1"/>
  <c r="AH198" i="1"/>
  <c r="AH199" i="1"/>
  <c r="AH200" i="1"/>
  <c r="AH201" i="1"/>
  <c r="AH213" i="1"/>
  <c r="AH214" i="1"/>
  <c r="AH222" i="1"/>
  <c r="AH232" i="1"/>
  <c r="AH18" i="1"/>
  <c r="AH19" i="1"/>
  <c r="AH20" i="1"/>
  <c r="AH21" i="1"/>
  <c r="AH26" i="1"/>
  <c r="AH35" i="1"/>
  <c r="AH36" i="1"/>
  <c r="AH50" i="1"/>
  <c r="AH55" i="1"/>
  <c r="AH56" i="1"/>
  <c r="AH57" i="1"/>
  <c r="AH58" i="1"/>
  <c r="AH59" i="1"/>
  <c r="AH60" i="1"/>
  <c r="AH61" i="1"/>
  <c r="AH70" i="1"/>
  <c r="AH71" i="1"/>
  <c r="AH72" i="1"/>
  <c r="AH77" i="1"/>
  <c r="AH86" i="1"/>
  <c r="AH91" i="1"/>
  <c r="AH92" i="1"/>
  <c r="AH99" i="1"/>
  <c r="AH106" i="1"/>
  <c r="AH107" i="1"/>
  <c r="AH120" i="1"/>
  <c r="AH128" i="1"/>
  <c r="AH129" i="1"/>
  <c r="AH130" i="1"/>
  <c r="AH131" i="1"/>
  <c r="AH132" i="1"/>
  <c r="AH133" i="1"/>
  <c r="AH141" i="1"/>
  <c r="AH142" i="1"/>
  <c r="AH150" i="1"/>
  <c r="AH157" i="1"/>
  <c r="AH202" i="1"/>
  <c r="AH203" i="1"/>
  <c r="AH215" i="1"/>
  <c r="AH216" i="1"/>
  <c r="AH223" i="1"/>
  <c r="AH224" i="1"/>
  <c r="AH239" i="1"/>
  <c r="AH240" i="1"/>
  <c r="AH241" i="1"/>
  <c r="AH242" i="1"/>
  <c r="AH243" i="1"/>
  <c r="AH244" i="1"/>
  <c r="AH245" i="1"/>
  <c r="AH248" i="1"/>
  <c r="AH254" i="1"/>
  <c r="AH255" i="1"/>
  <c r="AH22" i="1"/>
  <c r="AH27" i="1"/>
  <c r="AH28" i="1"/>
  <c r="AH29" i="1"/>
  <c r="AH30" i="1"/>
  <c r="AH31" i="1"/>
  <c r="AH37" i="1"/>
  <c r="AH38" i="1"/>
  <c r="AH39" i="1"/>
  <c r="AH40" i="1"/>
  <c r="AH43" i="1"/>
  <c r="AH44" i="1"/>
  <c r="AH45" i="1"/>
  <c r="AH46" i="1"/>
  <c r="AH62" i="1"/>
  <c r="AH63" i="1"/>
  <c r="AH64" i="1"/>
  <c r="AH65" i="1"/>
  <c r="AH73" i="1"/>
  <c r="AH78" i="1"/>
  <c r="AH79" i="1"/>
  <c r="AH80" i="1"/>
  <c r="AH81" i="1"/>
  <c r="AH82" i="1"/>
  <c r="AH83" i="1"/>
  <c r="AH93" i="1"/>
  <c r="AH94" i="1"/>
  <c r="AH95" i="1"/>
  <c r="AH100" i="1"/>
  <c r="AH119" i="1"/>
  <c r="AH121" i="1"/>
  <c r="AH134" i="1"/>
  <c r="AH135" i="1"/>
  <c r="AH14" i="1"/>
  <c r="AH15" i="1"/>
  <c r="AH23" i="1"/>
  <c r="AH24" i="1"/>
  <c r="AH32" i="1"/>
  <c r="AH33" i="1"/>
  <c r="AH34" i="1"/>
  <c r="AH41" i="1"/>
  <c r="AH51" i="1"/>
  <c r="AH52" i="1"/>
  <c r="AH74" i="1"/>
  <c r="AH75" i="1"/>
  <c r="AH76" i="1"/>
  <c r="AH84" i="1"/>
  <c r="AH87" i="1"/>
  <c r="AH88" i="1"/>
  <c r="AH89" i="1"/>
  <c r="AH90" i="1"/>
  <c r="AH192" i="1"/>
  <c r="AH193" i="1"/>
  <c r="AH194" i="1"/>
  <c r="AH195" i="1"/>
  <c r="AH230" i="1"/>
  <c r="AH231" i="1"/>
  <c r="AH108" i="1"/>
  <c r="AH109" i="1"/>
  <c r="AH110" i="1"/>
  <c r="AH111" i="1"/>
  <c r="AH112" i="1"/>
  <c r="AH113" i="1"/>
  <c r="AH114" i="1"/>
  <c r="AH136" i="1"/>
  <c r="AH137" i="1"/>
  <c r="AH138" i="1"/>
  <c r="AH143" i="1"/>
  <c r="AH144" i="1"/>
  <c r="AH168" i="1"/>
  <c r="AH172" i="1"/>
  <c r="AH196" i="1"/>
  <c r="AH122" i="1"/>
  <c r="AH123" i="1"/>
  <c r="AH124" i="1"/>
  <c r="AH125" i="1"/>
  <c r="AH126" i="1"/>
  <c r="AH127" i="1"/>
  <c r="AH145" i="1"/>
  <c r="AH146" i="1"/>
  <c r="AH147" i="1"/>
  <c r="AH148" i="1"/>
  <c r="AH149" i="1"/>
  <c r="AH158" i="1"/>
  <c r="AH176" i="1"/>
  <c r="AH177" i="1"/>
  <c r="AH181" i="1"/>
  <c r="AH182" i="1"/>
  <c r="AH183" i="1"/>
  <c r="AH184" i="1"/>
  <c r="AH204" i="1"/>
  <c r="AH205" i="1"/>
  <c r="AH206" i="1"/>
  <c r="AH207" i="1"/>
  <c r="AH208" i="1"/>
  <c r="AH217" i="1"/>
  <c r="AH218" i="1"/>
  <c r="AH233" i="1"/>
  <c r="AH234" i="1"/>
  <c r="AH235" i="1"/>
  <c r="AH236" i="1"/>
  <c r="AH237" i="1"/>
  <c r="AH226" i="1"/>
  <c r="AH227" i="1"/>
  <c r="AH229" i="1"/>
  <c r="AH238" i="1"/>
  <c r="AH249" i="1"/>
  <c r="AH250" i="1"/>
  <c r="AH252" i="1"/>
  <c r="AH253" i="1"/>
  <c r="AH164" i="1"/>
  <c r="AH167" i="1"/>
  <c r="AH169" i="1"/>
  <c r="AH171" i="1"/>
  <c r="AH173" i="1"/>
  <c r="AH175" i="1"/>
  <c r="AH197" i="1"/>
  <c r="AH96" i="1"/>
  <c r="AH101" i="1"/>
  <c r="AH102" i="1"/>
  <c r="AH103" i="1"/>
  <c r="AH104" i="1"/>
  <c r="AH105" i="1"/>
  <c r="AH185" i="1"/>
  <c r="AH186" i="1"/>
  <c r="AH209" i="1"/>
  <c r="AH210" i="1"/>
  <c r="AH211" i="1"/>
  <c r="AH212" i="1"/>
  <c r="AH219" i="1"/>
  <c r="AH220" i="1"/>
  <c r="AH221" i="1"/>
  <c r="AH225" i="1"/>
  <c r="AH228" i="1"/>
  <c r="AH246" i="1"/>
  <c r="AH251" i="1"/>
  <c r="AH154" i="1"/>
  <c r="AH170" i="1"/>
  <c r="AH174" i="1"/>
  <c r="AH247" i="1"/>
  <c r="F12" i="6"/>
  <c r="I12" i="6"/>
  <c r="G12" i="6"/>
  <c r="H12" i="6"/>
  <c r="F13" i="6"/>
  <c r="I13" i="6"/>
  <c r="H13" i="6"/>
  <c r="G13" i="6"/>
  <c r="F19" i="6"/>
  <c r="G19" i="6"/>
  <c r="H19" i="6"/>
  <c r="I19" i="6"/>
  <c r="B20" i="6"/>
  <c r="J7" i="1"/>
  <c r="AI13" i="1"/>
  <c r="AH13" i="1"/>
  <c r="W13" i="1"/>
  <c r="U13" i="1"/>
  <c r="S13" i="1" s="1"/>
  <c r="B21" i="6" l="1"/>
  <c r="H20" i="6"/>
  <c r="I20" i="6"/>
  <c r="F20" i="6"/>
  <c r="G20" i="6"/>
  <c r="X6" i="1"/>
  <c r="W6" i="1"/>
  <c r="V6" i="1"/>
  <c r="S6" i="1"/>
  <c r="R2" i="1"/>
  <c r="I2" i="1"/>
  <c r="O6" i="1"/>
  <c r="N6" i="1"/>
  <c r="M6" i="1"/>
  <c r="J6" i="1"/>
  <c r="F21" i="6" l="1"/>
  <c r="G21" i="6"/>
  <c r="H21" i="6"/>
  <c r="I21" i="6"/>
  <c r="B22" i="6"/>
  <c r="P3" i="5"/>
  <c r="B23" i="6" l="1"/>
  <c r="H22" i="6"/>
  <c r="I22" i="6"/>
  <c r="F22" i="6"/>
  <c r="G22" i="6"/>
  <c r="M18" i="5"/>
  <c r="F23" i="6" l="1"/>
  <c r="G23" i="6"/>
  <c r="H23" i="6"/>
  <c r="I23" i="6"/>
  <c r="B24" i="6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B25" i="6" l="1"/>
  <c r="H24" i="6"/>
  <c r="I24" i="6"/>
  <c r="F24" i="6"/>
  <c r="G24" i="6"/>
  <c r="V5" i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" i="6" l="1"/>
  <c r="G25" i="6"/>
  <c r="H25" i="6"/>
  <c r="I25" i="6"/>
  <c r="B26" i="6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B28" i="6" l="1"/>
  <c r="B27" i="6"/>
  <c r="H26" i="6"/>
  <c r="I26" i="6"/>
  <c r="F26" i="6"/>
  <c r="G26" i="6"/>
  <c r="M14" i="5"/>
  <c r="M13" i="5"/>
  <c r="M12" i="5"/>
  <c r="M11" i="5"/>
  <c r="M10" i="5"/>
  <c r="M9" i="5"/>
  <c r="M8" i="5"/>
  <c r="M7" i="5"/>
  <c r="M6" i="5"/>
  <c r="M5" i="5"/>
  <c r="M4" i="5"/>
  <c r="M3" i="5"/>
  <c r="F27" i="6" l="1"/>
  <c r="G27" i="6"/>
  <c r="H27" i="6"/>
  <c r="I27" i="6"/>
  <c r="H28" i="6"/>
  <c r="I28" i="6"/>
  <c r="F28" i="6"/>
  <c r="G28" i="6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<sst xmlns="http://schemas.openxmlformats.org/spreadsheetml/2006/main" count="2523" uniqueCount="847">
  <si>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</si>
  <si>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</si>
  <si>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</si>
  <si>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</si>
  <si>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</si>
  <si>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</si>
  <si>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</si>
  <si>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</si>
  <si>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</si>
  <si>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</si>
  <si>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</si>
  <si>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</si>
  <si>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</si>
  <si>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</si>
  <si>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</si>
  <si>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</si>
  <si>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</si>
  <si>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</si>
  <si>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</si>
  <si>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</si>
  <si>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</si>
  <si>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</si>
  <si>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</si>
  <si>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</si>
  <si>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</si>
  <si>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</si>
  <si>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</si>
  <si>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</si>
  <si>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</si>
  <si>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</si>
  <si>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</si>
  <si>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</si>
  <si>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</si>
  <si>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</si>
  <si>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</si>
  <si>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</si>
  <si>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</si>
  <si>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</si>
  <si>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</si>
  <si>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</si>
  <si>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</si>
  <si>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</si>
  <si>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</si>
  <si>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</si>
  <si>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</si>
  <si>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</si>
  <si>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</si>
  <si>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</si>
  <si>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</si>
  <si>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</si>
  <si>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</si>
  <si>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</si>
  <si>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</si>
  <si>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</si>
  <si>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</si>
  <si>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</si>
  <si>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</si>
  <si>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</si>
  <si>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</si>
  <si>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</si>
  <si>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</si>
  <si>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</si>
  <si>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</si>
  <si>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</si>
  <si>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</si>
  <si>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</si>
  <si>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</si>
  <si>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</si>
  <si>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</si>
  <si>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</si>
  <si>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</si>
  <si>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</si>
  <si>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</si>
  <si>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</si>
  <si>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</si>
  <si>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</si>
  <si>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</si>
  <si>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</si>
  <si>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</si>
  <si>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</si>
  <si>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</si>
  <si>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</si>
  <si>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</si>
  <si>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</si>
  <si>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</si>
  <si>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</si>
  <si>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</si>
  <si>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</si>
  <si>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</si>
  <si>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</si>
  <si>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</si>
  <si>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</si>
  <si>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</si>
  <si>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</si>
  <si>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</si>
  <si>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</si>
  <si>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</si>
  <si>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</si>
  <si>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</si>
  <si>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</si>
  <si>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</si>
  <si>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</si>
  <si>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</si>
  <si>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</si>
  <si>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</si>
  <si>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</si>
  <si>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</si>
  <si>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</si>
  <si>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</si>
  <si>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</si>
  <si>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</si>
  <si>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</si>
  <si>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</si>
  <si>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</si>
  <si>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</si>
  <si>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</si>
  <si>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</si>
  <si>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</si>
  <si>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</si>
  <si>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</si>
  <si>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</si>
  <si>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</si>
  <si>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</si>
  <si>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</si>
  <si>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</si>
  <si>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</si>
  <si>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204:154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</si>
  <si>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</si>
  <si>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</si>
  <si>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</si>
  <si>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</si>
  <si>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</si>
  <si>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</si>
  <si>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</si>
  <si>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</si>
  <si>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</si>
  <si>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</si>
  <si>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</si>
  <si>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</si>
  <si>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</si>
  <si>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</si>
  <si>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</si>
  <si>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</si>
  <si>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</si>
  <si>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</si>
  <si>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</si>
  <si>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</si>
  <si>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</si>
  <si>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</si>
  <si>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</si>
  <si>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</si>
  <si>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</si>
  <si>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</si>
  <si>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</si>
  <si>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</si>
  <si>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</si>
  <si>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</si>
  <si>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</si>
  <si>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</si>
  <si>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</si>
  <si>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</si>
  <si>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</si>
  <si>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</si>
  <si>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</si>
  <si>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</si>
  <si>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</si>
  <si>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</si>
  <si>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</si>
  <si>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</si>
  <si>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</si>
  <si>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</si>
  <si>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rtdc.l.rtdc.4042:itc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</si>
  <si>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</si>
  <si>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</si>
  <si>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</si>
  <si>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</si>
  <si>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</si>
  <si>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</si>
  <si>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</si>
  <si>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</si>
  <si>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</si>
  <si>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</si>
  <si>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</si>
  <si>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</si>
  <si>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</si>
  <si>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</si>
  <si>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</si>
  <si>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</si>
  <si>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</si>
  <si>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</si>
  <si>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</si>
  <si>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</si>
  <si>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</si>
  <si>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</si>
  <si>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</si>
  <si>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</si>
  <si>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</si>
  <si>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</si>
  <si>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</si>
  <si>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</si>
  <si>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204:466</t>
  </si>
  <si>
    <t>204:451</t>
  </si>
  <si>
    <t>204:455</t>
  </si>
  <si>
    <t>204:458</t>
  </si>
  <si>
    <t>human_readable_time</t>
  </si>
  <si>
    <t>204:138</t>
  </si>
  <si>
    <t>204:462</t>
  </si>
  <si>
    <t>Loco - PTC</t>
  </si>
  <si>
    <t>Power</t>
  </si>
  <si>
    <t>204:156</t>
  </si>
  <si>
    <t>204:233314</t>
  </si>
  <si>
    <t>CLI Grep</t>
  </si>
  <si>
    <t>204:145</t>
  </si>
  <si>
    <t>204:141</t>
  </si>
  <si>
    <t>204:233312</t>
  </si>
  <si>
    <t>204:233300</t>
  </si>
  <si>
    <t>Time (US/Mountain)</t>
  </si>
  <si>
    <t>Source</t>
  </si>
  <si>
    <t>Employee Identifier</t>
  </si>
  <si>
    <t>Employee Last Name</t>
  </si>
  <si>
    <t>204:464</t>
  </si>
  <si>
    <t>204:232977</t>
  </si>
  <si>
    <t>Clear</t>
  </si>
  <si>
    <t>rtdc.l.rtdc.4017:itc</t>
  </si>
  <si>
    <t>rtdc.l.rtdc.4018:itc</t>
  </si>
  <si>
    <t>Reactive Warning (1)</t>
  </si>
  <si>
    <t>LEVERE</t>
  </si>
  <si>
    <t>204:233293</t>
  </si>
  <si>
    <t>rtdc.l.rtdc.4006:itc</t>
  </si>
  <si>
    <t>:.+((SYSTEM_STATE.+slice.+state.+changed )|(ment ac)|(system.+state.+changed )|(\[timeout)|(PRM\|1\|D)|(kpr)|(kdp)|(\|lc)|(penalty))</t>
  </si>
  <si>
    <t>partly-cloudy-day</t>
  </si>
  <si>
    <t>Partly Cloudy</t>
  </si>
  <si>
    <t>STURGEON</t>
  </si>
  <si>
    <t>204:232978</t>
  </si>
  <si>
    <t>204:232986</t>
  </si>
  <si>
    <t>204:161</t>
  </si>
  <si>
    <t>204:477</t>
  </si>
  <si>
    <t>s3://rtdc.mdm.uploadarchive.raw</t>
  </si>
  <si>
    <t>partly-cloudy-night</t>
  </si>
  <si>
    <t>204:449</t>
  </si>
  <si>
    <t>204:232980</t>
  </si>
  <si>
    <t>204:232996</t>
  </si>
  <si>
    <t>204:165</t>
  </si>
  <si>
    <t>204:232969</t>
  </si>
  <si>
    <t>rtdc.l.rtdc.4010:itc</t>
  </si>
  <si>
    <t>rtdc.l.rtdc.4015:itc</t>
  </si>
  <si>
    <t>rtdc.l.rtdc.4016:itc</t>
  </si>
  <si>
    <t>rtdc.l.rtdc.4032:itc</t>
  </si>
  <si>
    <t>rtdc.l.rtdc.4031:itc</t>
  </si>
  <si>
    <t>rtdc.l.rtdc.4053:itc</t>
  </si>
  <si>
    <t>rtdc.l.rtdc.4009:itc</t>
  </si>
  <si>
    <t>204:233308</t>
  </si>
  <si>
    <t>204:467</t>
  </si>
  <si>
    <t>204:233289</t>
  </si>
  <si>
    <t>204:233006</t>
  </si>
  <si>
    <t>204:447</t>
  </si>
  <si>
    <t>204:163</t>
  </si>
  <si>
    <t>204:233321</t>
  </si>
  <si>
    <t>rtdc.l.rtdc.4003:itc</t>
  </si>
  <si>
    <t>rtdc.l.rtdc.4004:itc</t>
  </si>
  <si>
    <t>rtdc.l.rtdc.4030:itc</t>
  </si>
  <si>
    <t>204:232998</t>
  </si>
  <si>
    <t>204:233297</t>
  </si>
  <si>
    <t>204:233304</t>
  </si>
  <si>
    <t>204:469</t>
  </si>
  <si>
    <t>204:233021</t>
  </si>
  <si>
    <t>204:232975</t>
  </si>
  <si>
    <t>Onboard in-route failure</t>
  </si>
  <si>
    <t>204:233276</t>
  </si>
  <si>
    <t>204:438</t>
  </si>
  <si>
    <t>204:176</t>
  </si>
  <si>
    <t>204:233299</t>
  </si>
  <si>
    <t>204:232985</t>
  </si>
  <si>
    <t>204:446</t>
  </si>
  <si>
    <t>204:233319</t>
  </si>
  <si>
    <t>204:442</t>
  </si>
  <si>
    <t>204:132</t>
  </si>
  <si>
    <t>204:480</t>
  </si>
  <si>
    <t>204:232979</t>
  </si>
  <si>
    <t>rtdc.l.rtdc.4001:itc</t>
  </si>
  <si>
    <t>rtdc.l.rtdc.4002:itc</t>
  </si>
  <si>
    <t>BRANNON</t>
  </si>
  <si>
    <t>rtdc.l.rtdc.4021:itc</t>
  </si>
  <si>
    <t>rtdc.l.rtdc.4022:itc</t>
  </si>
  <si>
    <t>BONDS</t>
  </si>
  <si>
    <t>40th 4S STOP, cleared afterward</t>
  </si>
  <si>
    <t>Overspeed</t>
  </si>
  <si>
    <t>rtdc.l.rtdc.4008:itc</t>
  </si>
  <si>
    <t>rtdc.l.rtdc.4044:itc</t>
  </si>
  <si>
    <t>GEBRETEKLE</t>
  </si>
  <si>
    <t>rtdc.l.rtdc.4007:itc</t>
  </si>
  <si>
    <t>STORY</t>
  </si>
  <si>
    <t>YANAI</t>
  </si>
  <si>
    <t>204:712</t>
  </si>
  <si>
    <t>204:233002</t>
  </si>
  <si>
    <t>204:233298</t>
  </si>
  <si>
    <t>204:232993</t>
  </si>
  <si>
    <t>204:233325</t>
  </si>
  <si>
    <t>204:233010</t>
  </si>
  <si>
    <t>204:232974</t>
  </si>
  <si>
    <t>204:233320</t>
  </si>
  <si>
    <t>204:233013</t>
  </si>
  <si>
    <t>204:484</t>
  </si>
  <si>
    <t>204:233315</t>
  </si>
  <si>
    <t>204:460</t>
  </si>
  <si>
    <t>204:431</t>
  </si>
  <si>
    <t>204:134</t>
  </si>
  <si>
    <t>204:478</t>
  </si>
  <si>
    <t>300:23299</t>
  </si>
  <si>
    <t>DE.1.0.8.0</t>
  </si>
  <si>
    <t>300:58931</t>
  </si>
  <si>
    <t>300:58929</t>
  </si>
  <si>
    <t>204:972</t>
  </si>
  <si>
    <t>204:687</t>
  </si>
  <si>
    <t>204:1002</t>
  </si>
  <si>
    <t>204:1016</t>
  </si>
  <si>
    <t>Early arrival</t>
  </si>
  <si>
    <t>rtdc.l.rtdc.4028:itc</t>
  </si>
  <si>
    <t>rtdc.l.rtdc.4027:itc</t>
  </si>
  <si>
    <t>MAELZER</t>
  </si>
  <si>
    <t>STRICKLAND</t>
  </si>
  <si>
    <t>ROCHA</t>
  </si>
  <si>
    <t>CRAYTON</t>
  </si>
  <si>
    <t>BROWN</t>
  </si>
  <si>
    <t>MOSES</t>
  </si>
  <si>
    <t>STAMBAUGH</t>
  </si>
  <si>
    <t>HILLS</t>
  </si>
  <si>
    <t>57-05</t>
  </si>
  <si>
    <t>OSULLIVAN</t>
  </si>
  <si>
    <t>YOUNG</t>
  </si>
  <si>
    <t>56-05</t>
  </si>
  <si>
    <t>309-05</t>
  </si>
  <si>
    <t>242-05</t>
  </si>
  <si>
    <t>311-05</t>
  </si>
  <si>
    <t>244-05</t>
  </si>
  <si>
    <t>313-05</t>
  </si>
  <si>
    <t>315-05</t>
  </si>
  <si>
    <t>precipType</t>
  </si>
  <si>
    <t>Mostly Cloudy</t>
  </si>
  <si>
    <t>rain</t>
  </si>
  <si>
    <t>Drizzle</t>
  </si>
  <si>
    <t>204:739</t>
  </si>
  <si>
    <t>204:752</t>
  </si>
  <si>
    <t>204:232976</t>
  </si>
  <si>
    <t>204:232990</t>
  </si>
  <si>
    <t>204:233286</t>
  </si>
  <si>
    <t>204:232961</t>
  </si>
  <si>
    <t>204:232989</t>
  </si>
  <si>
    <t>204:233270</t>
  </si>
  <si>
    <t>204:233000</t>
  </si>
  <si>
    <t>204:233305</t>
  </si>
  <si>
    <t>204:233340</t>
  </si>
  <si>
    <t>204:170</t>
  </si>
  <si>
    <t>204:169</t>
  </si>
  <si>
    <t>300:23312</t>
  </si>
  <si>
    <t>204:1177</t>
  </si>
  <si>
    <t>300:4913</t>
  </si>
  <si>
    <t>204:1105</t>
  </si>
  <si>
    <t>204:473</t>
  </si>
  <si>
    <t>300:5217</t>
  </si>
  <si>
    <t>300:24244</t>
  </si>
  <si>
    <t>204:127785</t>
  </si>
  <si>
    <t>204:10389</t>
  </si>
  <si>
    <t>204:10631</t>
  </si>
  <si>
    <t>204:127959</t>
  </si>
  <si>
    <t>204:1053</t>
  </si>
  <si>
    <t>300:58950</t>
  </si>
  <si>
    <t>300:58628</t>
  </si>
  <si>
    <t>300:58995</t>
  </si>
  <si>
    <t>204:691</t>
  </si>
  <si>
    <t>204:965</t>
  </si>
  <si>
    <t>300:58677</t>
  </si>
  <si>
    <t>300:58673</t>
  </si>
  <si>
    <t>204:680</t>
  </si>
  <si>
    <t>300:58990</t>
  </si>
  <si>
    <t>204:1014</t>
  </si>
  <si>
    <t>300:58984</t>
  </si>
  <si>
    <t>300:58666</t>
  </si>
  <si>
    <t>204:682</t>
  </si>
  <si>
    <t>204:986</t>
  </si>
  <si>
    <t>204:988</t>
  </si>
  <si>
    <t>300:58675</t>
  </si>
  <si>
    <t>300:58952</t>
  </si>
  <si>
    <t>300:58941</t>
  </si>
  <si>
    <t>300:58668</t>
  </si>
  <si>
    <t>300:58641</t>
  </si>
  <si>
    <t>300:58948</t>
  </si>
  <si>
    <t>Did not init</t>
  </si>
  <si>
    <t>302-06</t>
  </si>
  <si>
    <t>rtdc.l.rtdc.4046:itc</t>
  </si>
  <si>
    <t>101-06</t>
  </si>
  <si>
    <t>rtdc.l.rtdc.4043:itc</t>
  </si>
  <si>
    <t>304-06</t>
  </si>
  <si>
    <t>OUN</t>
  </si>
  <si>
    <t>103-06</t>
  </si>
  <si>
    <t>306-06</t>
  </si>
  <si>
    <t>SMITH</t>
  </si>
  <si>
    <t>102-06</t>
  </si>
  <si>
    <t>308-06</t>
  </si>
  <si>
    <t>105-06</t>
  </si>
  <si>
    <t>107-06</t>
  </si>
  <si>
    <t>310-06</t>
  </si>
  <si>
    <t>104-06</t>
  </si>
  <si>
    <t>109-06</t>
  </si>
  <si>
    <t>901-06</t>
  </si>
  <si>
    <t>YORK</t>
  </si>
  <si>
    <t>111-06</t>
  </si>
  <si>
    <t>BERLING</t>
  </si>
  <si>
    <t>113-06</t>
  </si>
  <si>
    <t>rtdc.l.rtdc.4054:itc</t>
  </si>
  <si>
    <t>800-06</t>
  </si>
  <si>
    <t>106-06</t>
  </si>
  <si>
    <t>108-06</t>
  </si>
  <si>
    <t>110-06</t>
  </si>
  <si>
    <t>115-06</t>
  </si>
  <si>
    <t>117-06</t>
  </si>
  <si>
    <t>801-06</t>
  </si>
  <si>
    <t>rtdc.l.rtdc.4045:itc</t>
  </si>
  <si>
    <t>112-06</t>
  </si>
  <si>
    <t>902-06</t>
  </si>
  <si>
    <t>119-06</t>
  </si>
  <si>
    <t>802-06</t>
  </si>
  <si>
    <t>114-06</t>
  </si>
  <si>
    <t>121-06</t>
  </si>
  <si>
    <t>rtdc.l.rtdc.4029:itc</t>
  </si>
  <si>
    <t>803-06</t>
  </si>
  <si>
    <t>116-06</t>
  </si>
  <si>
    <t>123-06</t>
  </si>
  <si>
    <t>804-06</t>
  </si>
  <si>
    <t>118-06</t>
  </si>
  <si>
    <t>805-06</t>
  </si>
  <si>
    <t>125-06</t>
  </si>
  <si>
    <t>120-06</t>
  </si>
  <si>
    <t>122-06</t>
  </si>
  <si>
    <t>806-06</t>
  </si>
  <si>
    <t>127-06</t>
  </si>
  <si>
    <t>807-06</t>
  </si>
  <si>
    <t>129-06</t>
  </si>
  <si>
    <t>124-06</t>
  </si>
  <si>
    <t>131-06</t>
  </si>
  <si>
    <t>133-06</t>
  </si>
  <si>
    <t>808-06</t>
  </si>
  <si>
    <t>126-06</t>
  </si>
  <si>
    <t>135-06</t>
  </si>
  <si>
    <t>809-06</t>
  </si>
  <si>
    <t>128-06</t>
  </si>
  <si>
    <t>137-06</t>
  </si>
  <si>
    <t>810-06</t>
  </si>
  <si>
    <t>130-06</t>
  </si>
  <si>
    <t>132-06</t>
  </si>
  <si>
    <t>139-06</t>
  </si>
  <si>
    <t>811-06</t>
  </si>
  <si>
    <t>903-06</t>
  </si>
  <si>
    <t>51-06</t>
  </si>
  <si>
    <t>134-06</t>
  </si>
  <si>
    <t>812-06</t>
  </si>
  <si>
    <t>141-06</t>
  </si>
  <si>
    <t>136-06</t>
  </si>
  <si>
    <t>143-06</t>
  </si>
  <si>
    <t>138-06</t>
  </si>
  <si>
    <t>145-06</t>
  </si>
  <si>
    <t>813-06</t>
  </si>
  <si>
    <t>140-06</t>
  </si>
  <si>
    <t>50-06</t>
  </si>
  <si>
    <t>147-06</t>
  </si>
  <si>
    <t>142-06</t>
  </si>
  <si>
    <t>814-06</t>
  </si>
  <si>
    <t>149-06</t>
  </si>
  <si>
    <t>144-06</t>
  </si>
  <si>
    <t>151-06</t>
  </si>
  <si>
    <t>146-06</t>
  </si>
  <si>
    <t>153-06</t>
  </si>
  <si>
    <t>815-06</t>
  </si>
  <si>
    <t>148-06</t>
  </si>
  <si>
    <t>BALTHROP</t>
  </si>
  <si>
    <t>150-06</t>
  </si>
  <si>
    <t>155-06</t>
  </si>
  <si>
    <t>52-06</t>
  </si>
  <si>
    <t>SHOOK</t>
  </si>
  <si>
    <t>816-06</t>
  </si>
  <si>
    <t>157-06</t>
  </si>
  <si>
    <t>152-06</t>
  </si>
  <si>
    <t>159-06</t>
  </si>
  <si>
    <t>rtdc.l.rtdc.4005:itc</t>
  </si>
  <si>
    <t>54-06</t>
  </si>
  <si>
    <t>154-06</t>
  </si>
  <si>
    <t>161-06</t>
  </si>
  <si>
    <t>817-06</t>
  </si>
  <si>
    <t>156-06</t>
  </si>
  <si>
    <t>53-06</t>
  </si>
  <si>
    <t>163-06</t>
  </si>
  <si>
    <t>158-06</t>
  </si>
  <si>
    <t>818-06</t>
  </si>
  <si>
    <t>165-06</t>
  </si>
  <si>
    <t>NEWELL</t>
  </si>
  <si>
    <t>160-06</t>
  </si>
  <si>
    <t>167-06</t>
  </si>
  <si>
    <t>162-06</t>
  </si>
  <si>
    <t>169-06</t>
  </si>
  <si>
    <t>819-06</t>
  </si>
  <si>
    <t>164-06</t>
  </si>
  <si>
    <t>171-06</t>
  </si>
  <si>
    <t>166-06</t>
  </si>
  <si>
    <t>820-06</t>
  </si>
  <si>
    <t>173-06</t>
  </si>
  <si>
    <t>168-06</t>
  </si>
  <si>
    <t>175-06</t>
  </si>
  <si>
    <t>170-06</t>
  </si>
  <si>
    <t>177-06</t>
  </si>
  <si>
    <t>821-06</t>
  </si>
  <si>
    <t>PUGH</t>
  </si>
  <si>
    <t>172-06</t>
  </si>
  <si>
    <t>179-06</t>
  </si>
  <si>
    <t>174-06</t>
  </si>
  <si>
    <t>181-06</t>
  </si>
  <si>
    <t>822-06</t>
  </si>
  <si>
    <t>176-06</t>
  </si>
  <si>
    <t>183-06</t>
  </si>
  <si>
    <t>178-06</t>
  </si>
  <si>
    <t>185-06</t>
  </si>
  <si>
    <t>823-06</t>
  </si>
  <si>
    <t>180-06</t>
  </si>
  <si>
    <t>187-06</t>
  </si>
  <si>
    <t>182-06</t>
  </si>
  <si>
    <t>189-06</t>
  </si>
  <si>
    <t>824-06</t>
  </si>
  <si>
    <t>184-06</t>
  </si>
  <si>
    <t>191-06</t>
  </si>
  <si>
    <t>825-06</t>
  </si>
  <si>
    <t>186-06</t>
  </si>
  <si>
    <t>193-06</t>
  </si>
  <si>
    <t>188-06</t>
  </si>
  <si>
    <t>904-06</t>
  </si>
  <si>
    <t>195-06</t>
  </si>
  <si>
    <t>826-06</t>
  </si>
  <si>
    <t>56-06</t>
  </si>
  <si>
    <t>827-06</t>
  </si>
  <si>
    <t>197-06</t>
  </si>
  <si>
    <t>192-06</t>
  </si>
  <si>
    <t>199-06</t>
  </si>
  <si>
    <t>190-06</t>
  </si>
  <si>
    <t>828-06</t>
  </si>
  <si>
    <t>194-06</t>
  </si>
  <si>
    <t>201-06</t>
  </si>
  <si>
    <t>829-06</t>
  </si>
  <si>
    <t>196-06</t>
  </si>
  <si>
    <t>203-06</t>
  </si>
  <si>
    <t>198-06</t>
  </si>
  <si>
    <t>830-06</t>
  </si>
  <si>
    <t>58-06</t>
  </si>
  <si>
    <t>831-06</t>
  </si>
  <si>
    <t>205-06</t>
  </si>
  <si>
    <t>207-06</t>
  </si>
  <si>
    <t>200-06</t>
  </si>
  <si>
    <t>832-06</t>
  </si>
  <si>
    <t>202-06</t>
  </si>
  <si>
    <t>60-06</t>
  </si>
  <si>
    <t>209-06</t>
  </si>
  <si>
    <t>833-06</t>
  </si>
  <si>
    <t>62-06</t>
  </si>
  <si>
    <t>204-06</t>
  </si>
  <si>
    <t>211-06</t>
  </si>
  <si>
    <t>206-06</t>
  </si>
  <si>
    <t>834-06</t>
  </si>
  <si>
    <t>65-06</t>
  </si>
  <si>
    <t>208-06</t>
  </si>
  <si>
    <t>64-06</t>
  </si>
  <si>
    <t>213-06</t>
  </si>
  <si>
    <t>835-06</t>
  </si>
  <si>
    <t>215-06</t>
  </si>
  <si>
    <t>210-06</t>
  </si>
  <si>
    <t>836-06</t>
  </si>
  <si>
    <t>217-06</t>
  </si>
  <si>
    <t>66-06</t>
  </si>
  <si>
    <t>837-06</t>
  </si>
  <si>
    <t>212-06</t>
  </si>
  <si>
    <t>219-06</t>
  </si>
  <si>
    <t>214-06</t>
  </si>
  <si>
    <t>838-06</t>
  </si>
  <si>
    <t>303-06</t>
  </si>
  <si>
    <t>839-06</t>
  </si>
  <si>
    <t>216-06</t>
  </si>
  <si>
    <t>221-06</t>
  </si>
  <si>
    <t>218-06</t>
  </si>
  <si>
    <t>906-06</t>
  </si>
  <si>
    <t>305-06</t>
  </si>
  <si>
    <t>220-06</t>
  </si>
  <si>
    <t>841-06</t>
  </si>
  <si>
    <t>223-06</t>
  </si>
  <si>
    <t>840-06</t>
  </si>
  <si>
    <t>307-06</t>
  </si>
  <si>
    <t>222-06</t>
  </si>
  <si>
    <t>225-06</t>
  </si>
  <si>
    <t>843-06</t>
  </si>
  <si>
    <t>224-06</t>
  </si>
  <si>
    <t>227-06</t>
  </si>
  <si>
    <t>842-06</t>
  </si>
  <si>
    <t>229-06</t>
  </si>
  <si>
    <t>226-06</t>
  </si>
  <si>
    <t>231-06</t>
  </si>
  <si>
    <t>845-06</t>
  </si>
  <si>
    <t>228-06</t>
  </si>
  <si>
    <t>844-06</t>
  </si>
  <si>
    <t>230-06</t>
  </si>
  <si>
    <t>233-06</t>
  </si>
  <si>
    <t>847-06</t>
  </si>
  <si>
    <t>232-06</t>
  </si>
  <si>
    <t>235-06</t>
  </si>
  <si>
    <t>908-06</t>
  </si>
  <si>
    <t>234-06</t>
  </si>
  <si>
    <t>237-06</t>
  </si>
  <si>
    <t>236-06</t>
  </si>
  <si>
    <t>239-06</t>
  </si>
  <si>
    <t>238-06</t>
  </si>
  <si>
    <t>240-06</t>
  </si>
  <si>
    <t>243-06</t>
  </si>
  <si>
    <t>309-06</t>
  </si>
  <si>
    <t>244-06</t>
  </si>
  <si>
    <t>311-06</t>
  </si>
  <si>
    <t>315-06</t>
  </si>
  <si>
    <t>SWITCH ALIGNMENT</t>
  </si>
  <si>
    <t>Track device (7)</t>
  </si>
  <si>
    <t>Y</t>
  </si>
  <si>
    <t>204:754</t>
  </si>
  <si>
    <t>204:232689</t>
  </si>
  <si>
    <t>204:765</t>
  </si>
  <si>
    <t>204:233329</t>
  </si>
  <si>
    <t>204:232679</t>
  </si>
  <si>
    <t>204:36724</t>
  </si>
  <si>
    <t>204:805</t>
  </si>
  <si>
    <t>204:232666</t>
  </si>
  <si>
    <t>204:475</t>
  </si>
  <si>
    <t>204:233303</t>
  </si>
  <si>
    <t>204:232983</t>
  </si>
  <si>
    <t>204:233307</t>
  </si>
  <si>
    <t>204:232963</t>
  </si>
  <si>
    <t>204:320</t>
  </si>
  <si>
    <t>204:444</t>
  </si>
  <si>
    <t>204:195193</t>
  </si>
  <si>
    <t>204:233008</t>
  </si>
  <si>
    <t>204:195191</t>
  </si>
  <si>
    <t>204:750</t>
  </si>
  <si>
    <t>204:232617</t>
  </si>
  <si>
    <t>204:19128</t>
  </si>
  <si>
    <t>204:233263</t>
  </si>
  <si>
    <t>204:2031</t>
  </si>
  <si>
    <t>204:232971</t>
  </si>
  <si>
    <t>204:440</t>
  </si>
  <si>
    <t>204:233338</t>
  </si>
  <si>
    <t>204:1152</t>
  </si>
  <si>
    <t>204:626</t>
  </si>
  <si>
    <t>204:232948</t>
  </si>
  <si>
    <t>204:130</t>
  </si>
  <si>
    <t>204:437</t>
  </si>
  <si>
    <t>204:427</t>
  </si>
  <si>
    <t>204:233311</t>
  </si>
  <si>
    <t>204:482</t>
  </si>
  <si>
    <t>204:232973</t>
  </si>
  <si>
    <t>204:231656</t>
  </si>
  <si>
    <t>204:136</t>
  </si>
  <si>
    <t>204:233332</t>
  </si>
  <si>
    <t>204:233318</t>
  </si>
  <si>
    <t>204:233282</t>
  </si>
  <si>
    <t>204:233306</t>
  </si>
  <si>
    <t>204:139</t>
  </si>
  <si>
    <t>204:233264</t>
  </si>
  <si>
    <t>204:233280</t>
  </si>
  <si>
    <t>204:232972</t>
  </si>
  <si>
    <t>204:143</t>
  </si>
  <si>
    <t>204:233344</t>
  </si>
  <si>
    <t>204:233059</t>
  </si>
  <si>
    <t>204:233368</t>
  </si>
  <si>
    <t>204:233019</t>
  </si>
  <si>
    <t>204:19136</t>
  </si>
  <si>
    <t>204:3630</t>
  </si>
  <si>
    <t>204:19119</t>
  </si>
  <si>
    <t>204:49213</t>
  </si>
  <si>
    <t>204:36572</t>
  </si>
  <si>
    <t>204:233357</t>
  </si>
  <si>
    <t>204:233044</t>
  </si>
  <si>
    <t>204:233403</t>
  </si>
  <si>
    <t>204:154016</t>
  </si>
  <si>
    <t>204:265</t>
  </si>
  <si>
    <t>204:157983</t>
  </si>
  <si>
    <t>204:127874</t>
  </si>
  <si>
    <t>204:231</t>
  </si>
  <si>
    <t>204:158182</t>
  </si>
  <si>
    <t>204:127858</t>
  </si>
  <si>
    <t>204:158310</t>
  </si>
  <si>
    <t>204:128244</t>
  </si>
  <si>
    <t>204:134881</t>
  </si>
  <si>
    <t>204:126091</t>
  </si>
  <si>
    <t>204:127869</t>
  </si>
  <si>
    <t>204:154418</t>
  </si>
  <si>
    <t>204:128272</t>
  </si>
  <si>
    <t>204:559</t>
  </si>
  <si>
    <t>204:128261</t>
  </si>
  <si>
    <t>204:132727</t>
  </si>
  <si>
    <t>204:551</t>
  </si>
  <si>
    <t>204:125767</t>
  </si>
  <si>
    <t>204:125796</t>
  </si>
  <si>
    <t>204:232967</t>
  </si>
  <si>
    <t>204:126057</t>
  </si>
  <si>
    <t>204:233036</t>
  </si>
  <si>
    <t>204:232965</t>
  </si>
  <si>
    <t>204:148</t>
  </si>
  <si>
    <t>204:162</t>
  </si>
  <si>
    <t>204:84</t>
  </si>
  <si>
    <t>204:232960</t>
  </si>
  <si>
    <t>204:285</t>
  </si>
  <si>
    <t>204:580</t>
  </si>
  <si>
    <t>204:233327</t>
  </si>
  <si>
    <t>204:233015</t>
  </si>
  <si>
    <t>204:232952</t>
  </si>
  <si>
    <t>204:174</t>
  </si>
  <si>
    <t>300:23110</t>
  </si>
  <si>
    <t>204:435</t>
  </si>
  <si>
    <t>300:23314</t>
  </si>
  <si>
    <t>300:23391</t>
  </si>
  <si>
    <t>300:23297</t>
  </si>
  <si>
    <t>300:23231</t>
  </si>
  <si>
    <t>300:18445</t>
  </si>
  <si>
    <t>204:390</t>
  </si>
  <si>
    <t>300:23302</t>
  </si>
  <si>
    <t>300:22155</t>
  </si>
  <si>
    <t>300:22845</t>
  </si>
  <si>
    <t>300:23211</t>
  </si>
  <si>
    <t>204:4408</t>
  </si>
  <si>
    <t>300:23295</t>
  </si>
  <si>
    <t>204:491</t>
  </si>
  <si>
    <t>300:23308</t>
  </si>
  <si>
    <t>300:23202</t>
  </si>
  <si>
    <t>204:1488</t>
  </si>
  <si>
    <t>300:22682</t>
  </si>
  <si>
    <t>204:911</t>
  </si>
  <si>
    <t>204:1225</t>
  </si>
  <si>
    <t>300:25505</t>
  </si>
  <si>
    <t>300:23529</t>
  </si>
  <si>
    <t>204:479</t>
  </si>
  <si>
    <t>204:127698</t>
  </si>
  <si>
    <t>204:3695</t>
  </si>
  <si>
    <t>204:441</t>
  </si>
  <si>
    <t>204:10603</t>
  </si>
  <si>
    <t>204:128134</t>
  </si>
  <si>
    <t>204:1479</t>
  </si>
  <si>
    <t>204:128274</t>
  </si>
  <si>
    <t>204:127875</t>
  </si>
  <si>
    <t>204:10343</t>
  </si>
  <si>
    <t>204:128005</t>
  </si>
  <si>
    <t>204:10368</t>
  </si>
  <si>
    <t>300:23346</t>
  </si>
  <si>
    <t>204:928</t>
  </si>
  <si>
    <t>204:732</t>
  </si>
  <si>
    <t>204:721</t>
  </si>
  <si>
    <t>300:23310</t>
  </si>
  <si>
    <t>300:24616</t>
  </si>
  <si>
    <t>300:24049</t>
  </si>
  <si>
    <t>204:1190</t>
  </si>
  <si>
    <t>300:24231</t>
  </si>
  <si>
    <t>204:401</t>
  </si>
  <si>
    <t>300:58613</t>
  </si>
  <si>
    <t>204:743</t>
  </si>
  <si>
    <t>204:1023</t>
  </si>
  <si>
    <t>300:58624</t>
  </si>
  <si>
    <t>204:421</t>
  </si>
  <si>
    <t>204:1035</t>
  </si>
  <si>
    <t>204:727</t>
  </si>
  <si>
    <t>204:962</t>
  </si>
  <si>
    <t>204:1020</t>
  </si>
  <si>
    <t>204:755</t>
  </si>
  <si>
    <t>300:59010</t>
  </si>
  <si>
    <t>300:58694</t>
  </si>
  <si>
    <t>204:698</t>
  </si>
  <si>
    <t>204:983</t>
  </si>
  <si>
    <t>300:58963</t>
  </si>
  <si>
    <t>300:58564</t>
  </si>
  <si>
    <t>300:58992</t>
  </si>
  <si>
    <t>300:58604</t>
  </si>
  <si>
    <t>204:979</t>
  </si>
  <si>
    <t>204:731</t>
  </si>
  <si>
    <t>300:58636</t>
  </si>
  <si>
    <t>204:1007</t>
  </si>
  <si>
    <t>300:58954</t>
  </si>
  <si>
    <t>300:58647</t>
  </si>
  <si>
    <t>204:724</t>
  </si>
  <si>
    <t>300:58943</t>
  </si>
  <si>
    <t>204:736</t>
  </si>
  <si>
    <t>204:939</t>
  </si>
  <si>
    <t>300:58946</t>
  </si>
  <si>
    <t>204:645</t>
  </si>
  <si>
    <t>204:1009</t>
  </si>
  <si>
    <t>204:934</t>
  </si>
  <si>
    <t>300:58640</t>
  </si>
  <si>
    <t>204:668</t>
  </si>
  <si>
    <t>204:999</t>
  </si>
  <si>
    <t>300:58975</t>
  </si>
  <si>
    <t>300:58672</t>
  </si>
  <si>
    <t>204:894</t>
  </si>
  <si>
    <t>204:951</t>
  </si>
  <si>
    <t>300:58960</t>
  </si>
  <si>
    <t>204:738</t>
  </si>
  <si>
    <t>204:1188</t>
  </si>
  <si>
    <t>300:58649</t>
  </si>
  <si>
    <t>204:708</t>
  </si>
  <si>
    <t>300:58935</t>
  </si>
  <si>
    <t>300:58600</t>
  </si>
  <si>
    <t>300:58914</t>
  </si>
  <si>
    <t>300:58986</t>
  </si>
  <si>
    <t>204:654</t>
  </si>
  <si>
    <t>300:58956</t>
  </si>
  <si>
    <t>204:948</t>
  </si>
  <si>
    <t>300:29032</t>
  </si>
  <si>
    <t>300:29417</t>
  </si>
  <si>
    <t>300:37152</t>
  </si>
  <si>
    <t>204:110</t>
  </si>
  <si>
    <t>300:24263</t>
  </si>
  <si>
    <t>300:23323</t>
  </si>
  <si>
    <t>204:650</t>
  </si>
  <si>
    <t>300:28791</t>
  </si>
  <si>
    <t>300:21680</t>
  </si>
  <si>
    <t>clear-night</t>
  </si>
  <si>
    <t>Light Rain</t>
  </si>
  <si>
    <t>Rain</t>
  </si>
  <si>
    <t>Summary for DUS 2016-10-06: Rain starting in the morning, continuing until evening.</t>
  </si>
  <si>
    <t>Mechanical issue - wheel tach reading slipped</t>
  </si>
  <si>
    <t>2016-10-06 05:13:21 - detected a wheel tach slip. System went disengaged as failsafe.</t>
  </si>
  <si>
    <t>From before 06:11:18.317 until after 06:25:59.000, EC1981RH 204-2T 2S was at STOP &amp; PROCEED the entire time. Was there anything unusual going on at the time?</t>
  </si>
  <si>
    <t>Went active too close to signal</t>
  </si>
  <si>
    <t>On this trip at DUS, the train went active too close to DUS 4N, and was enforced reactively</t>
  </si>
  <si>
    <t>Triplex issue - changed primary slice twice in a short timeframe, cause TMDS to send cut out due to conflicting state info</t>
  </si>
  <si>
    <t>Improper execution of Form C</t>
  </si>
  <si>
    <t>Train came to stop too far from Form C edge, permanent red fence. Should have pulled closer for prompts.</t>
  </si>
  <si>
    <t>CP 61st ELXS failure</t>
  </si>
  <si>
    <t>241-06</t>
  </si>
  <si>
    <t>242-06</t>
  </si>
  <si>
    <t>No issues found… any notes from ops?</t>
  </si>
  <si>
    <t>2016-10-06 12:40:55 - Multiple CPU Faults</t>
  </si>
  <si>
    <t>Onboard in-route failure delayed departure</t>
  </si>
  <si>
    <t>Form C</t>
  </si>
  <si>
    <t>Early arrival - Ped Xing</t>
  </si>
  <si>
    <t>DUS 2S STOP, cleared afterward</t>
  </si>
  <si>
    <t>Poor GPS at I-25 bridge</t>
  </si>
  <si>
    <t>Jury is still out on if poor GPS is indeed the culprit here, but this is our continuing hypothesis for the time being</t>
  </si>
  <si>
    <t>Wi-MAX outage</t>
  </si>
  <si>
    <t>4029,,,,0:00:17.971661,2016-10-06 20:26:23.456538-06:00</t>
  </si>
  <si>
    <t>4029,,,,0:00:32.932444,2016-10-06 11:26:47.984163-06:00</t>
  </si>
  <si>
    <t>EC1981RH 204-2T 2S stuck at STOP &amp; PROCEED - heavy traffic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</si>
</sst>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0" fillId="0" borderId="18" xfId="0" applyNumberFormat="1" applyBorder="1"/>
    <xf numFmtId="169" fontId="0" fillId="0" borderId="18" xfId="0" applyBorder="1"/>
    <xf numFmtId="169" fontId="0" fillId="0" borderId="18" xfId="0" applyFill="1" applyBorder="1" applyAlignment="1">
      <alignment horizontal="left"/>
    </xf>
    <xf numFmtId="168" fontId="0" fillId="0" borderId="18" xfId="0" applyNumberFormat="1" applyFill="1" applyBorder="1" applyAlignment="1">
      <alignment horizontal="left"/>
    </xf>
    <xf numFmtId="169" fontId="0" fillId="0" borderId="18" xfId="0" applyFill="1" applyBorder="1"/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6"/>
  <sheetViews>
    <sheetView tabSelected="1" topLeftCell="A4" workbookViewId="0">
      <selection activeCell="R27" sqref="R27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" style="43" customWidth="1"/>
    <col min="15" max="15" width="2.85546875" style="2" customWidth="1"/>
    <col min="16" max="16" width="2.7109375" style="2" customWidth="1"/>
    <col min="17" max="17" width="0.5703125" hidden="1" customWidth="1"/>
    <col min="18" max="18" width="41" bestFit="1" customWidth="1"/>
    <col min="19" max="19" width="7.42578125" style="23" customWidth="1"/>
    <col min="20" max="20" width="3.85546875" customWidth="1"/>
    <col min="21" max="21" width="5" style="157" customWidth="1"/>
    <col min="22" max="22" width="5.7109375" style="100" customWidth="1"/>
    <col min="23" max="23" width="3.85546875" style="22" customWidth="1"/>
    <col min="24" max="24" width="5.28515625" style="162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3" customWidth="1"/>
    <col min="32" max="32" width="6.28515625" style="90" customWidth="1"/>
    <col min="33" max="33" width="5.42578125" customWidth="1"/>
    <col min="34" max="34" width="5" style="96" customWidth="1"/>
    <col min="35" max="35" width="5.7109375" style="122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3"/>
      <c r="V1" s="42"/>
      <c r="W1" s="43"/>
      <c r="X1" s="157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4">
        <f>Variables!$A$2</f>
        <v>42649</v>
      </c>
      <c r="J2" s="75"/>
      <c r="K2" s="76"/>
      <c r="L2" s="76"/>
      <c r="M2" s="77" t="s">
        <v>8</v>
      </c>
      <c r="N2" s="78"/>
      <c r="O2" s="79"/>
      <c r="P2" s="2"/>
      <c r="R2" s="74">
        <f>Variables!$A$2</f>
        <v>42649</v>
      </c>
      <c r="S2" s="75"/>
      <c r="T2" s="76"/>
      <c r="U2" s="154"/>
      <c r="V2" s="98" t="s">
        <v>8</v>
      </c>
      <c r="W2" s="78"/>
      <c r="X2" s="160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0" t="s">
        <v>10</v>
      </c>
      <c r="J3" s="81"/>
      <c r="K3" s="82"/>
      <c r="L3" s="82"/>
      <c r="M3" s="44" t="s">
        <v>11</v>
      </c>
      <c r="N3" s="45" t="s">
        <v>12</v>
      </c>
      <c r="O3" s="3" t="s">
        <v>13</v>
      </c>
      <c r="P3" s="2"/>
      <c r="R3" s="80" t="s">
        <v>10</v>
      </c>
      <c r="S3" s="81"/>
      <c r="T3" s="82"/>
      <c r="U3" s="155"/>
      <c r="V3" s="44" t="s">
        <v>11</v>
      </c>
      <c r="W3" s="45" t="s">
        <v>12</v>
      </c>
      <c r="X3" s="161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3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3" t="s">
        <v>14</v>
      </c>
      <c r="S4" s="57">
        <f>SUM(S5:S7)</f>
        <v>47</v>
      </c>
      <c r="T4" s="46"/>
      <c r="U4" s="156"/>
      <c r="V4" s="47" t="s">
        <v>15</v>
      </c>
      <c r="W4" s="45" t="s">
        <v>15</v>
      </c>
      <c r="X4" s="161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3" t="s">
        <v>17</v>
      </c>
      <c r="J5" s="57">
        <f>COUNTIFS($N$13:$N$9389,"&gt;0",$AG$13:$AG$9389,I1)</f>
        <v>125</v>
      </c>
      <c r="K5" s="46"/>
      <c r="L5" s="46"/>
      <c r="M5" s="47">
        <f>AVERAGEIFS($N$13:$N$9389,$AG$13:$AG$9389,I1)</f>
        <v>40.582000000393016</v>
      </c>
      <c r="N5" s="45">
        <f t="array" ref="N5">MIN(IF($AG$13:$AG$9389=I1,IF(ISNUMBER($N$13:$N$9389),IF($N$13:$N$9389&gt;0,$N$13:$N$9389))))</f>
        <v>27.583333337679505</v>
      </c>
      <c r="O5" s="3">
        <f t="array" ref="O5">MAX(IF($AG$13:$AG$9389=I1,IF(ISNUMBER($N$13:$N$9389),IF($N$13:$N$9389&gt;0,$N$13:$N$9389))))</f>
        <v>71.500000002561137</v>
      </c>
      <c r="P5" s="2"/>
      <c r="R5" s="83" t="s">
        <v>17</v>
      </c>
      <c r="S5" s="57">
        <f>COUNTIFS($N$13:$N$9389,"&gt;0",$AG$13:$AG$9389,R1)</f>
        <v>46</v>
      </c>
      <c r="T5" s="46"/>
      <c r="U5" s="156"/>
      <c r="V5" s="47">
        <f>AVERAGEIFS($N$13:$N$9389,$AG$13:$AG$9389,R1)</f>
        <v>15.134057971527396</v>
      </c>
      <c r="W5" s="45">
        <f t="array" ref="W5">MIN(IF($AG$13:$AG$9389=R1,IF(ISNUMBER($N$13:$N$9389),IF($N$13:$N$9389&gt;0,$N$13:$N$9389))))</f>
        <v>12.749999994412065</v>
      </c>
      <c r="X5" s="161">
        <f t="array" ref="X5">MAX(IF($AG$13:$AG$9389=R1,IF(ISNUMBER($N$13:$N$9389),IF($N$13:$N$9389&gt;0,$N$13:$N$9389))))</f>
        <v>20.966666664462537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4" t="s">
        <v>43</v>
      </c>
      <c r="J6" s="57">
        <f>COUNT($O$13:$O$167)</f>
        <v>0</v>
      </c>
      <c r="K6" s="46"/>
      <c r="L6" s="46"/>
      <c r="M6" s="47">
        <f>IFERROR(AVERAGE($O$13:$O$167),0)</f>
        <v>0</v>
      </c>
      <c r="N6" s="45">
        <f>MIN($O$13:$O$167)</f>
        <v>0</v>
      </c>
      <c r="O6" s="3">
        <f>MAX($O$13:$O$167)</f>
        <v>0</v>
      </c>
      <c r="P6" s="2"/>
      <c r="R6" s="84" t="s">
        <v>43</v>
      </c>
      <c r="S6" s="57">
        <f>COUNT($O$13:$O$167)</f>
        <v>0</v>
      </c>
      <c r="T6" s="46"/>
      <c r="U6" s="156"/>
      <c r="V6" s="47">
        <f>IFERROR(AVERAGE($O$13:$O$167),0)</f>
        <v>0</v>
      </c>
      <c r="W6" s="45">
        <f>MIN($O$13:$O$167)</f>
        <v>0</v>
      </c>
      <c r="X6" s="161">
        <f>MAX($O$13:$O$167)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5" t="s">
        <v>9</v>
      </c>
      <c r="J7" s="57">
        <f>COUNTIFS($P$13:$P$9389,"&gt;0",$AG$13:$AG$9389,I1)</f>
        <v>19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5" t="s">
        <v>9</v>
      </c>
      <c r="S7" s="57">
        <f>COUNTIFS($P$13:$P$9389,"&gt;0",$AG$13:$AG$9389,R1)</f>
        <v>1</v>
      </c>
      <c r="T7" s="46"/>
      <c r="U7" s="156"/>
      <c r="V7" s="47" t="s">
        <v>15</v>
      </c>
      <c r="W7" s="45" t="s">
        <v>15</v>
      </c>
      <c r="X7" s="161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3" t="s">
        <v>16</v>
      </c>
      <c r="J8" s="57">
        <f>J5</f>
        <v>125</v>
      </c>
      <c r="K8" s="46"/>
      <c r="L8" s="46"/>
      <c r="M8" s="47">
        <f>M5</f>
        <v>40.582000000393016</v>
      </c>
      <c r="N8" s="45">
        <f>N5</f>
        <v>27.583333337679505</v>
      </c>
      <c r="O8" s="3">
        <f>O5</f>
        <v>71.500000002561137</v>
      </c>
      <c r="P8" s="2"/>
      <c r="R8" s="83" t="s">
        <v>16</v>
      </c>
      <c r="S8" s="57">
        <f>S5</f>
        <v>46</v>
      </c>
      <c r="T8" s="46"/>
      <c r="U8" s="156"/>
      <c r="V8" s="47">
        <f>V5</f>
        <v>15.134057971527396</v>
      </c>
      <c r="W8" s="45">
        <f>W5</f>
        <v>12.749999994412065</v>
      </c>
      <c r="X8" s="161">
        <f>X5</f>
        <v>20.966666664462537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3" t="s">
        <v>19</v>
      </c>
      <c r="J9" s="71">
        <f>J8/J4</f>
        <v>0.86805555555555558</v>
      </c>
      <c r="K9" s="48"/>
      <c r="L9" s="48"/>
      <c r="M9" s="86"/>
      <c r="N9" s="43"/>
      <c r="O9" s="87"/>
      <c r="P9" s="2"/>
      <c r="R9" s="83" t="s">
        <v>19</v>
      </c>
      <c r="S9" s="71">
        <f>S8/S4</f>
        <v>0.97872340425531912</v>
      </c>
      <c r="T9" s="48"/>
      <c r="U9" s="153"/>
      <c r="V9" s="86"/>
      <c r="W9" s="43"/>
      <c r="X9" s="150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7"/>
      <c r="V10" s="99"/>
      <c r="W10" s="22"/>
      <c r="X10" s="162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- 2016-10-06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72">
        <f>AVERAGE(S13:S114)</f>
        <v>0.99816849816849806</v>
      </c>
      <c r="V11" s="99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9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8" t="s">
        <v>71</v>
      </c>
      <c r="V12" s="101" t="s">
        <v>45</v>
      </c>
      <c r="W12" s="53" t="s">
        <v>23</v>
      </c>
      <c r="X12" s="163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4" t="s">
        <v>96</v>
      </c>
      <c r="AF12" s="91" t="s">
        <v>101</v>
      </c>
      <c r="AG12" s="4" t="s">
        <v>115</v>
      </c>
      <c r="AH12" s="97" t="s">
        <v>117</v>
      </c>
      <c r="AI12" s="129" t="s">
        <v>157</v>
      </c>
      <c r="AJ12" s="53" t="s">
        <v>158</v>
      </c>
      <c r="AK12" s="53" t="s">
        <v>131</v>
      </c>
      <c r="AL12" s="53" t="s">
        <v>159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390</v>
      </c>
      <c r="B13" s="7">
        <v>4046</v>
      </c>
      <c r="C13" s="24" t="s">
        <v>106</v>
      </c>
      <c r="D13" s="24" t="s">
        <v>623</v>
      </c>
      <c r="E13" s="15">
        <v>42649.131192129629</v>
      </c>
      <c r="F13" s="15">
        <v>42649.135706018518</v>
      </c>
      <c r="G13" s="7">
        <v>2</v>
      </c>
      <c r="H13" s="15" t="s">
        <v>257</v>
      </c>
      <c r="I13" s="15">
        <v>42649.160844907405</v>
      </c>
      <c r="J13" s="7">
        <v>0</v>
      </c>
      <c r="K13" s="117" t="str">
        <f t="shared" ref="K13:K44" si="0">IF(ISEVEN(B13),(B13-1)&amp;"/"&amp;B13,B13&amp;"/"&amp;(B13+1))</f>
        <v>4045/4046</v>
      </c>
      <c r="L13" s="24" t="str">
        <f>VLOOKUP(A13,'Trips&amp;Operators'!$C$1:$E$10000,3,FALSE)</f>
        <v>MAELZER</v>
      </c>
      <c r="M13" s="6">
        <f t="shared" ref="M13:M44" si="1">I13-F13</f>
        <v>2.5138888886431232E-2</v>
      </c>
      <c r="N13" s="7">
        <f>24*60*SUM($M13:$M13)</f>
        <v>36.199999996460974</v>
      </c>
      <c r="O13" s="7"/>
      <c r="P13" s="7"/>
      <c r="Q13" s="25"/>
      <c r="R13" s="25"/>
      <c r="S13" s="37">
        <f>SUM(U13:U13)/IF(AG13="EC",12,1)</f>
        <v>1</v>
      </c>
      <c r="T13" s="52" t="str">
        <f t="shared" ref="T13:T76" si="2">IF(ISEVEN(LEFT(AD13,4)),"Southbound","NorthBound")</f>
        <v>NorthBound</v>
      </c>
      <c r="U13" s="159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2" t="str">
        <f t="shared" ref="V13:V44" si="3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https://search-rtdc-monitor-bjffxe2xuh6vdkpspy63sjmuny.us-east-1.es.amazonaws.com/_plugin/kibana/#/discover/Steve-Slow-Train-Analysis-(2080s-and-2083s)?_g=(refreshInterval:(display:Off,section:0,value:0),time:(from:'2016-10-06 02:08:55-0600',mode:absolute,to:'2016-10-06 04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" s="54" t="str">
        <f t="shared" ref="W13:W44" si="4">IF(AA13&lt;IF(AG13="EC",23,5.65),"Y","N")</f>
        <v>N</v>
      </c>
      <c r="X13" s="164" t="e">
        <f t="shared" ref="X13:X44" si="5">VALUE(LEFT(AD13,4))-VALUE(LEFT(AD12,4))</f>
        <v>#VALUE!</v>
      </c>
      <c r="Y13" s="69">
        <f t="shared" ref="Y13:Y44" si="6">RIGHT(D13,LEN(D13)-4)/10000</f>
        <v>7.5399999999999995E-2</v>
      </c>
      <c r="Z13" s="69">
        <f>RIGHT(H13,LEN(H13)-4)/10000</f>
        <v>23.332100000000001</v>
      </c>
      <c r="AA13" s="69">
        <f t="shared" ref="AA13:AA44" si="7">ABS(Z13-Y13)</f>
        <v>23.256700000000002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76" si="8">IF(LEN(A13)=6,"0"&amp;A13,A13)</f>
        <v>0101-06</v>
      </c>
      <c r="AE13" s="95" t="str">
        <f t="shared" ref="AE13:AE44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"%USERPROFILE%\AppData\Local\Temp\OnboardLogs"\RTDC4046\2016-10-06 --exclude "*" --recursive --include "*20161006*" &amp; "%USERPROFILE%\Documents\GitHub\mrs-test-scripts\Headless Mode &amp; Sideloading\WalkAndUnGZ.bat" "%USERPROFILE%\AppData\Local\Temp\OnboardLogs"\RTDC4046\2016-10-06 &amp; 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</v>
      </c>
      <c r="AF13" s="92" t="str">
        <f t="shared" ref="AF13:AF44" si="10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/stypes="app*4046*20161006*" /stext=" 09:.+((SYSTEM_STATE.+slice.+state.+changed )|(ment ac)|(system.+state.+changed )|(\[timeout)|(PRM\|1\|D)|(kpr)|(kdp)|(\|lc)|(penalty))" /e /r /s</v>
      </c>
      <c r="AG13" s="1" t="str">
        <f t="shared" ref="AG13:AG76" si="11">IFERROR(IF(VALUE(LEFT(AD13,2))&lt;=2,"EC",IF(OR(VALUE(LEFT(AD13,2))=8,VALUE(LEFT(AD13,2))=18),"NW","Other")),"Other")</f>
        <v>EC</v>
      </c>
      <c r="AH13" s="96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4046 --swversion DE.1.0.7.0 --startMP 204:754 --initTime 2016-10-06T03:08:55 --startdatetime 2016-10-06T03:15:25 --delay 2 --endMP 204:233321 --enddatetime 2016-10-06T03:51:37 --enforcementcount 0 &gt;&gt;C:\Users\stu\Documents\GitHub\eaglep3-reporting\EC\2016-10-06-refined-times.txt</v>
      </c>
      <c r="AI13" s="130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{"issue":{"subject":"","project_id":79,"tracker_id":40,"status_id":1,"priority_id":2,"assigned_to_id":23,"start_date":"2016-10-06","description":"","custom_fields":[{"id":1,"name":"Subdivision","value":"EC"},{"id":4,"name":"Milepost","value":"23.3321"},{"id":17,"name":"Train ID","value":"101-06"},{"id":16,"name":"Locomotive ID","value":"4046"},{"id":130,"name":"Impact","value":""},{"id":150,"name":"Time of Event (Mountain Time)","value":"03:51:37"},{"id":151,"name":"Denver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397</v>
      </c>
      <c r="B14" s="7">
        <v>4032</v>
      </c>
      <c r="C14" s="24" t="s">
        <v>106</v>
      </c>
      <c r="D14" s="24" t="s">
        <v>624</v>
      </c>
      <c r="E14" s="15">
        <v>42649.16746527778</v>
      </c>
      <c r="F14" s="15">
        <v>42649.174641203703</v>
      </c>
      <c r="G14" s="7">
        <v>1</v>
      </c>
      <c r="H14" s="15" t="s">
        <v>212</v>
      </c>
      <c r="I14" s="15">
        <v>42649.203009259261</v>
      </c>
      <c r="J14" s="7">
        <v>0</v>
      </c>
      <c r="K14" s="117" t="str">
        <f t="shared" si="0"/>
        <v>4031/4032</v>
      </c>
      <c r="L14" s="24" t="str">
        <f>VLOOKUP(A14,'Trips&amp;Operators'!$C$1:$E$10000,3,FALSE)</f>
        <v>MAELZER</v>
      </c>
      <c r="M14" s="6">
        <f t="shared" si="1"/>
        <v>2.8368055558530614E-2</v>
      </c>
      <c r="N14" s="7">
        <f>24*60*SUM($M14:$M14)</f>
        <v>40.850000004284084</v>
      </c>
      <c r="O14" s="7"/>
      <c r="P14" s="7"/>
      <c r="Q14" s="25"/>
      <c r="R14" s="25"/>
      <c r="S14" s="37">
        <f>SUM(U14:U14)/IF(AG14="EC",12,1)</f>
        <v>1</v>
      </c>
      <c r="T14" s="52" t="str">
        <f t="shared" si="2"/>
        <v>Southbound</v>
      </c>
      <c r="U14" s="159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03:01:09-0600',mode:absolute,to:'2016-10-06 05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" s="54" t="str">
        <f t="shared" si="4"/>
        <v>N</v>
      </c>
      <c r="X14" s="164">
        <f t="shared" si="5"/>
        <v>1</v>
      </c>
      <c r="Y14" s="69">
        <f t="shared" si="6"/>
        <v>23.268899999999999</v>
      </c>
      <c r="Z14" s="69">
        <f>RIGHT(H14,LEN(H14)-4)/10000</f>
        <v>1.4500000000000001E-2</v>
      </c>
      <c r="AA14" s="69">
        <f t="shared" si="7"/>
        <v>23.254399999999997</v>
      </c>
      <c r="AB14" s="66" t="str">
        <f>VLOOKUP(A14,Enforcements!$C$7:$K$21,8,0)</f>
        <v>Bulletin (2)</v>
      </c>
      <c r="AC14" s="62" t="str">
        <f>VLOOKUP(A14,Enforcements!$C$7:$E$21,3,0)</f>
        <v>GRADE CROSSING</v>
      </c>
      <c r="AD14" s="63" t="str">
        <f t="shared" si="8"/>
        <v>0102-06</v>
      </c>
      <c r="AE14" s="95" t="str">
        <f t="shared" si="9"/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AF14" s="92" t="str">
        <f t="shared" si="10"/>
        <v>"C:\Program Files (x86)\AstroGrep\AstroGrep.exe" /spath="%USERPROFILE%\AppData\Local\Temp\OnboardLogs" /stypes="app*4032*20161006*" /stext=" 10:.+((SYSTEM_STATE.+slice.+state.+changed )|(ment ac)|(system.+state.+changed )|(\[timeout)|(PRM\|1\|D)|(kpr)|(kdp)|(\|lc)|(penalty))" /e /r /s</v>
      </c>
      <c r="AG14" s="1" t="str">
        <f t="shared" si="11"/>
        <v>EC</v>
      </c>
      <c r="AH14" s="96" t="str">
        <f t="shared" ref="AH14:AH77" si="1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4032 --swversion DE.1.0.7.0 --startMP 204:232689 --initTime 2016-10-06T04:01:09 --startdatetime 2016-10-06T04:11:29 --delay 1 --endMP 204:145 --enddatetime 2016-10-06T04:52:20 --enforcementcount 0 &gt;&gt;C:\Users\stu\Documents\GitHub\eaglep3-reporting\EC\2016-10-06-refined-times.txt</v>
      </c>
      <c r="AI14" s="130" t="str">
        <f t="shared" ref="AI14:AI77" si="1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{"issue":{"subject":"","project_id":79,"tracker_id":40,"status_id":1,"priority_id":2,"assigned_to_id":23,"start_date":"2016-10-06","description":"","custom_fields":[{"id":1,"name":"Subdivision","value":"EC"},{"id":4,"name":"Milepost","value":"0.0145"},{"id":17,"name":"Train ID","value":"102-06"},{"id":16,"name":"Locomotive ID","value":"4032"},{"id":130,"name":"Impact","value":""},{"id":150,"name":"Time of Event (Mountain Time)","value":"04:52:20"},{"id":151,"name":"Denver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394</v>
      </c>
      <c r="B15" s="7">
        <v>4027</v>
      </c>
      <c r="C15" s="24" t="s">
        <v>106</v>
      </c>
      <c r="D15" s="24" t="s">
        <v>625</v>
      </c>
      <c r="E15" s="15">
        <v>42649.15047453704</v>
      </c>
      <c r="F15" s="15">
        <v>42649.156597222223</v>
      </c>
      <c r="G15" s="7">
        <v>1</v>
      </c>
      <c r="H15" s="15" t="s">
        <v>626</v>
      </c>
      <c r="I15" s="15">
        <v>42649.183136574073</v>
      </c>
      <c r="J15" s="7">
        <v>0</v>
      </c>
      <c r="K15" s="117" t="str">
        <f t="shared" si="0"/>
        <v>4027/4028</v>
      </c>
      <c r="L15" s="24" t="str">
        <f>VLOOKUP(A15,'Trips&amp;Operators'!$C$1:$E$10000,3,FALSE)</f>
        <v>OUN</v>
      </c>
      <c r="M15" s="6">
        <f t="shared" si="1"/>
        <v>2.6539351849351078E-2</v>
      </c>
      <c r="N15" s="7">
        <f>24*60*SUM($M15:$M15)</f>
        <v>38.216666663065553</v>
      </c>
      <c r="O15" s="7"/>
      <c r="P15" s="7"/>
      <c r="Q15" s="25"/>
      <c r="R15" s="25"/>
      <c r="S15" s="37">
        <f>SUM(U15:U15)/IF(AG15="EC",12,1)</f>
        <v>1</v>
      </c>
      <c r="T15" s="52" t="str">
        <f t="shared" si="2"/>
        <v>NorthBound</v>
      </c>
      <c r="U15" s="159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02:36:41-0600',mode:absolute,to:'2016-10-06 05:23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" s="54" t="str">
        <f t="shared" si="4"/>
        <v>N</v>
      </c>
      <c r="X15" s="164">
        <f t="shared" si="5"/>
        <v>1</v>
      </c>
      <c r="Y15" s="69">
        <f t="shared" si="6"/>
        <v>7.6499999999999999E-2</v>
      </c>
      <c r="Z15" s="69">
        <f>RIGHT(H15,LEN(H15)-4)/10000</f>
        <v>23.332899999999999</v>
      </c>
      <c r="AA15" s="69">
        <f t="shared" si="7"/>
        <v>23.256399999999999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8"/>
        <v>0103-06</v>
      </c>
      <c r="AE15" s="95" t="str">
        <f t="shared" si="9"/>
        <v>aws s3 cp s3://rtdc.mdm.uploadarchive.raw/RTDC4027/ "%USERPROFILE%\AppData\Local\Temp\OnboardLogs"\RTDC4027\2016-10-06 --exclude "*" --recursive --include "*20161006*" &amp; "%USERPROFILE%\Documents\GitHub\mrs-test-scripts\Headless Mode &amp; Sideloading\WalkAndUnGZ.bat" "%USERPROFILE%\AppData\Local\Temp\OnboardLogs"\RTDC4027\2016-10-06 &amp; aws s3 cp s3://rtdc.mdm.uploadarchive.raw/RTDC4027/ "%USERPROFILE%\AppData\Local\Temp\OnboardLogs"\RTDC4027\2016-10-07 --exclude "*" --recursive --include "*20161007*" &amp; "%USERPROFILE%\Documents\GitHub\mrs-test-scripts\Headless Mode &amp; Sideloading\WalkAndUnGZ.bat" "%USERPROFILE%\AppData\Local\Temp\OnboardLogs"\RTDC4027\2016-10-07</v>
      </c>
      <c r="AF15" s="92" t="str">
        <f t="shared" si="10"/>
        <v>"C:\Program Files (x86)\AstroGrep\AstroGrep.exe" /spath="%USERPROFILE%\AppData\Local\Temp\OnboardLogs" /stypes="app*4027*20161006*" /stext=" 10:.+((SYSTEM_STATE.+slice.+state.+changed )|(ment ac)|(system.+state.+changed )|(\[timeout)|(PRM\|1\|D)|(kpr)|(kdp)|(\|lc)|(penalty))" /e /r /s</v>
      </c>
      <c r="AG15" s="1" t="str">
        <f t="shared" si="11"/>
        <v>EC</v>
      </c>
      <c r="AH15" s="96" t="str">
        <f t="shared" si="14"/>
        <v>"%USERPROFILE%\Documents\GitHub\eaglep3\Utilities\RefineRTDCRunTimes.py" --tripid 103-06 --locoid 4027 --swversion DE.1.0.7.0 --startMP 204:765 --initTime 2016-10-06T03:36:41 --startdatetime 2016-10-06T03:45:30 --delay 1 --endMP 204:233329 --enddatetime 2016-10-06T04:23:43 --enforcementcount 0 &gt;&gt;C:\Users\stu\Documents\GitHub\eaglep3-reporting\EC\2016-10-06-refined-times.txt</v>
      </c>
      <c r="AI15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{"issue":{"subject":"","project_id":79,"tracker_id":40,"status_id":1,"priority_id":2,"assigned_to_id":23,"start_date":"2016-10-06","description":"","custom_fields":[{"id":1,"name":"Subdivision","value":"EC"},{"id":4,"name":"Milepost","value":"23.3329"},{"id":17,"name":"Train ID","value":"103-06"},{"id":16,"name":"Locomotive ID","value":"4027"},{"id":130,"name":"Impact","value":""},{"id":150,"name":"Time of Event (Mountain Time)","value":"04:23:43"},{"id":151,"name":"Denver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402</v>
      </c>
      <c r="B16" s="7">
        <v>4043</v>
      </c>
      <c r="C16" s="24" t="s">
        <v>106</v>
      </c>
      <c r="D16" s="24" t="s">
        <v>627</v>
      </c>
      <c r="E16" s="15">
        <v>42649.189583333333</v>
      </c>
      <c r="F16" s="15">
        <v>42649.195428240739</v>
      </c>
      <c r="G16" s="7">
        <v>1</v>
      </c>
      <c r="H16" s="15" t="s">
        <v>193</v>
      </c>
      <c r="I16" s="15">
        <v>42649.217083333337</v>
      </c>
      <c r="J16" s="7">
        <v>0</v>
      </c>
      <c r="K16" s="117" t="str">
        <f t="shared" si="0"/>
        <v>4043/4044</v>
      </c>
      <c r="L16" s="24" t="str">
        <f>VLOOKUP(A16,'Trips&amp;Operators'!$C$1:$E$10000,3,FALSE)</f>
        <v>OUN</v>
      </c>
      <c r="M16" s="6">
        <f t="shared" si="1"/>
        <v>2.1655092597939074E-2</v>
      </c>
      <c r="N16" s="7"/>
      <c r="O16" s="7"/>
      <c r="P16" s="7">
        <f>24*60*SUM($M16:$M17)</f>
        <v>42.466666671680287</v>
      </c>
      <c r="Q16" s="25"/>
      <c r="R16" s="25" t="s">
        <v>824</v>
      </c>
      <c r="S16" s="37">
        <f>SUM(U16:U17)/IF(AG16="EC",12,1)</f>
        <v>1</v>
      </c>
      <c r="T16" s="52" t="str">
        <f t="shared" si="2"/>
        <v>Southbound</v>
      </c>
      <c r="U16" s="159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9</v>
      </c>
      <c r="V16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03:33:00-0600',mode:absolute,to:'2016-10-06 06:12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" s="54" t="str">
        <f t="shared" si="4"/>
        <v>Y</v>
      </c>
      <c r="X16" s="164">
        <f t="shared" si="5"/>
        <v>1</v>
      </c>
      <c r="Y16" s="69">
        <f t="shared" si="6"/>
        <v>23.267900000000001</v>
      </c>
      <c r="Z16" s="69">
        <v>4.2</v>
      </c>
      <c r="AA16" s="69">
        <f t="shared" si="7"/>
        <v>19.067900000000002</v>
      </c>
      <c r="AB16" s="66" t="str">
        <f>VLOOKUP(A16,Enforcements!$C$7:$K$21,8,0)</f>
        <v>Speed (6)</v>
      </c>
      <c r="AC16" s="62" t="str">
        <f>VLOOKUP(A16,Enforcements!$C$7:$E$21,3,0)</f>
        <v>PERMANENT SPEED RESTRICTION</v>
      </c>
      <c r="AD16" s="63" t="str">
        <f t="shared" si="8"/>
        <v>0104-06</v>
      </c>
      <c r="AE16" s="95" t="str">
        <f t="shared" si="9"/>
        <v>aws s3 cp s3://rtdc.mdm.uploadarchive.raw/RTDC4043/ "%USERPROFILE%\AppData\Local\Temp\OnboardLogs"\RTDC4043\2016-10-06 --exclude "*" --recursive --include "*20161006*" &amp; "%USERPROFILE%\Documents\GitHub\mrs-test-scripts\Headless Mode &amp; Sideloading\WalkAndUnGZ.bat" "%USERPROFILE%\AppData\Local\Temp\OnboardLogs"\RTDC4043\2016-10-06 &amp; aws s3 cp s3://rtdc.mdm.uploadarchive.raw/RTDC4043/ "%USERPROFILE%\AppData\Local\Temp\OnboardLogs"\RTDC4043\2016-10-07 --exclude "*" --recursive --include "*20161007*" &amp; "%USERPROFILE%\Documents\GitHub\mrs-test-scripts\Headless Mode &amp; Sideloading\WalkAndUnGZ.bat" "%USERPROFILE%\AppData\Local\Temp\OnboardLogs"\RTDC4043\2016-10-07</v>
      </c>
      <c r="AF16" s="92" t="str">
        <f t="shared" si="10"/>
        <v>"C:\Program Files (x86)\AstroGrep\AstroGrep.exe" /spath="%USERPROFILE%\AppData\Local\Temp\OnboardLogs" /stypes="app*4043*20161006*" /stext=" 11:.+((SYSTEM_STATE.+slice.+state.+changed )|(ment ac)|(system.+state.+changed )|(\[timeout)|(PRM\|1\|D)|(kpr)|(kdp)|(\|lc)|(penalty))" /e /r /s</v>
      </c>
      <c r="AG16" s="1" t="str">
        <f t="shared" si="11"/>
        <v>EC</v>
      </c>
      <c r="AH16" s="96" t="str">
        <f t="shared" si="14"/>
        <v>"%USERPROFILE%\Documents\GitHub\eaglep3\Utilities\RefineRTDCRunTimes.py" --tripid 104-06 --locoid 4043 --swversion DE.1.0.7.0 --startMP 204:232679 --initTime 2016-10-06T04:33:00 --startdatetime 2016-10-06T04:41:25 --delay 1 --endMP 204:158 --enddatetime 2016-10-06T05:12:36 --enforcementcount 0 &gt;&gt;C:\Users\stu\Documents\GitHub\eaglep3-reporting\EC\2016-10-06-refined-times.txt</v>
      </c>
      <c r="AI16" s="130" t="str">
        <f t="shared" si="15"/>
        <v>echo {"issue":{"subject":"Mechanical issue - wheel tach reading slipped","project_id":79,"tracker_id":40,"status_id":1,"priority_id":2,"assigned_to_id":23,"start_date":"2016-10-06","description":"2016-10-06 05:13:21 - detected a wheel tach slip. System went disengaged as failsafe.","custom_fields":[{"id":1,"name":"Subdivision","value":"EC"},{"id":4,"name":"Milepost","value":"4.2"},{"id":17,"name":"Train ID","value":"104-06"},{"id":16,"name":"Locomotive ID","value":"4043"},{"id":130,"name":"Impact","value":"Unexpected Cut-Out or Disengaged"},{"id":150,"name":"Time of Event (Mountain Time)","value":"05:12:36"},{"id":151,"name":"Denver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6" s="55" t="s">
        <v>825</v>
      </c>
      <c r="AK16" s="55" t="s">
        <v>140</v>
      </c>
      <c r="AL16" s="55" t="s">
        <v>207</v>
      </c>
    </row>
    <row r="17" spans="1:38" s="1" customFormat="1" x14ac:dyDescent="0.25">
      <c r="A17" s="39" t="s">
        <v>402</v>
      </c>
      <c r="B17" s="7">
        <v>4043</v>
      </c>
      <c r="C17" s="24" t="s">
        <v>106</v>
      </c>
      <c r="D17" s="24" t="s">
        <v>628</v>
      </c>
      <c r="E17" s="15">
        <v>42649.22078703704</v>
      </c>
      <c r="F17" s="15">
        <v>42649.221956018519</v>
      </c>
      <c r="G17" s="7">
        <v>1</v>
      </c>
      <c r="H17" s="15" t="s">
        <v>193</v>
      </c>
      <c r="I17" s="15">
        <v>42649.229791666665</v>
      </c>
      <c r="J17" s="7">
        <v>0</v>
      </c>
      <c r="K17" s="117" t="str">
        <f t="shared" si="0"/>
        <v>4043/4044</v>
      </c>
      <c r="L17" s="24" t="str">
        <f>VLOOKUP(A17,'Trips&amp;Operators'!$C$1:$E$10000,3,FALSE)</f>
        <v>OUN</v>
      </c>
      <c r="M17" s="6">
        <f t="shared" si="1"/>
        <v>7.8356481462833472E-3</v>
      </c>
      <c r="N17" s="7"/>
      <c r="O17" s="7"/>
      <c r="P17" s="7"/>
      <c r="Q17" s="25"/>
      <c r="R17" s="25"/>
      <c r="S17" s="37"/>
      <c r="T17" s="52" t="str">
        <f t="shared" si="2"/>
        <v>Southbound</v>
      </c>
      <c r="U17" s="159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3</v>
      </c>
      <c r="V17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04:17:56-0600',mode:absolute,to:'2016-10-06 06:30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" s="54" t="str">
        <f t="shared" si="4"/>
        <v>Y</v>
      </c>
      <c r="X17" s="164">
        <f t="shared" si="5"/>
        <v>0</v>
      </c>
      <c r="Y17" s="69">
        <f t="shared" si="6"/>
        <v>3.6724000000000001</v>
      </c>
      <c r="Z17" s="69">
        <f t="shared" ref="Z17:Z48" si="16">RIGHT(H17,LEN(H17)-4)/10000</f>
        <v>1.5800000000000002E-2</v>
      </c>
      <c r="AA17" s="69">
        <f t="shared" si="7"/>
        <v>3.6566000000000001</v>
      </c>
      <c r="AB17" s="66" t="str">
        <f>VLOOKUP(A17,Enforcements!$C$7:$K$21,8,0)</f>
        <v>Speed (6)</v>
      </c>
      <c r="AC17" s="62" t="str">
        <f>VLOOKUP(A17,Enforcements!$C$7:$E$21,3,0)</f>
        <v>PERMANENT SPEED RESTRICTION</v>
      </c>
      <c r="AD17" s="63" t="str">
        <f t="shared" si="8"/>
        <v>0104-06</v>
      </c>
      <c r="AE17" s="95" t="str">
        <f t="shared" si="9"/>
        <v>aws s3 cp s3://rtdc.mdm.uploadarchive.raw/RTDC4043/ "%USERPROFILE%\AppData\Local\Temp\OnboardLogs"\RTDC4043\2016-10-06 --exclude "*" --recursive --include "*20161006*" &amp; "%USERPROFILE%\Documents\GitHub\mrs-test-scripts\Headless Mode &amp; Sideloading\WalkAndUnGZ.bat" "%USERPROFILE%\AppData\Local\Temp\OnboardLogs"\RTDC4043\2016-10-06 &amp; aws s3 cp s3://rtdc.mdm.uploadarchive.raw/RTDC4043/ "%USERPROFILE%\AppData\Local\Temp\OnboardLogs"\RTDC4043\2016-10-07 --exclude "*" --recursive --include "*20161007*" &amp; "%USERPROFILE%\Documents\GitHub\mrs-test-scripts\Headless Mode &amp; Sideloading\WalkAndUnGZ.bat" "%USERPROFILE%\AppData\Local\Temp\OnboardLogs"\RTDC4043\2016-10-07</v>
      </c>
      <c r="AF17" s="92" t="str">
        <f t="shared" si="10"/>
        <v>"C:\Program Files (x86)\AstroGrep\AstroGrep.exe" /spath="%USERPROFILE%\AppData\Local\Temp\OnboardLogs" /stypes="app*4043*20161006*" /stext=" 11:.+((SYSTEM_STATE.+slice.+state.+changed )|(ment ac)|(system.+state.+changed )|(\[timeout)|(PRM\|1\|D)|(kpr)|(kdp)|(\|lc)|(penalty))" /e /r /s</v>
      </c>
      <c r="AG17" s="1" t="str">
        <f t="shared" si="11"/>
        <v>EC</v>
      </c>
      <c r="AH17" s="96" t="str">
        <f t="shared" si="14"/>
        <v>"%USERPROFILE%\Documents\GitHub\eaglep3\Utilities\RefineRTDCRunTimes.py" --tripid 104-06 --locoid 4043 --swversion DE.1.0.7.0 --startMP 204:36724 --initTime 2016-10-06T05:17:56 --startdatetime 2016-10-06T05:19:37 --delay 1 --endMP 204:158 --enddatetime 2016-10-06T05:30:54 --enforcementcount 0 &gt;&gt;C:\Users\stu\Documents\GitHub\eaglep3-reporting\EC\2016-10-06-refined-times.txt</v>
      </c>
      <c r="AI17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{"issue":{"subject":"","project_id":79,"tracker_id":40,"status_id":1,"priority_id":2,"assigned_to_id":23,"start_date":"2016-10-06","description":"","custom_fields":[{"id":1,"name":"Subdivision","value":"EC"},{"id":4,"name":"Milepost","value":"0.0158"},{"id":17,"name":"Train ID","value":"104-06"},{"id":16,"name":"Locomotive ID","value":"4043"},{"id":130,"name":"Impact","value":""},{"id":150,"name":"Time of Event (Mountain Time)","value":"05:30:54"},{"id":151,"name":"Denver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399</v>
      </c>
      <c r="B18" s="7">
        <v>4009</v>
      </c>
      <c r="C18" s="24" t="s">
        <v>106</v>
      </c>
      <c r="D18" s="24" t="s">
        <v>629</v>
      </c>
      <c r="E18" s="15">
        <v>42649.175613425927</v>
      </c>
      <c r="F18" s="15">
        <v>42649.177430555559</v>
      </c>
      <c r="G18" s="7">
        <v>1</v>
      </c>
      <c r="H18" s="15" t="s">
        <v>297</v>
      </c>
      <c r="I18" s="15">
        <v>42649.217060185183</v>
      </c>
      <c r="J18" s="7">
        <v>0</v>
      </c>
      <c r="K18" s="117" t="str">
        <f t="shared" si="0"/>
        <v>4009/4010</v>
      </c>
      <c r="L18" s="24" t="str">
        <f>VLOOKUP(A18,'Trips&amp;Operators'!$C$1:$E$10000,3,FALSE)</f>
        <v>SMITH</v>
      </c>
      <c r="M18" s="6">
        <f t="shared" si="1"/>
        <v>3.9629629623959772E-2</v>
      </c>
      <c r="N18" s="7">
        <f t="shared" ref="N18:N26" si="17">24*60*SUM($M18:$M18)</f>
        <v>57.066666658502072</v>
      </c>
      <c r="O18" s="7"/>
      <c r="P18" s="7"/>
      <c r="Q18" s="25"/>
      <c r="R18" s="25"/>
      <c r="S18" s="37">
        <f t="shared" ref="S18:S27" si="18">SUM(U18:U18)/IF(AG18="EC",12,1)</f>
        <v>1</v>
      </c>
      <c r="T18" s="52" t="str">
        <f t="shared" si="2"/>
        <v>NorthBound</v>
      </c>
      <c r="U18" s="159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03:12:53-0600',mode:absolute,to:'2016-10-06 06:12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" s="54" t="str">
        <f t="shared" si="4"/>
        <v>N</v>
      </c>
      <c r="X18" s="164">
        <f t="shared" si="5"/>
        <v>1</v>
      </c>
      <c r="Y18" s="69">
        <f t="shared" si="6"/>
        <v>8.0500000000000002E-2</v>
      </c>
      <c r="Z18" s="69">
        <f t="shared" si="16"/>
        <v>23.3325</v>
      </c>
      <c r="AA18" s="69">
        <f t="shared" si="7"/>
        <v>23.251999999999999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8"/>
        <v>0105-06</v>
      </c>
      <c r="AE18" s="95" t="str">
        <f t="shared" si="9"/>
        <v>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 &amp; aws s3 cp s3://rtdc.mdm.uploadarchive.raw/RTDC4009/ "%USERPROFILE%\AppData\Local\Temp\OnboardLogs"\RTDC4009\2016-10-07 --exclude "*" --recursive --include "*20161007*" &amp; "%USERPROFILE%\Documents\GitHub\mrs-test-scripts\Headless Mode &amp; Sideloading\WalkAndUnGZ.bat" "%USERPROFILE%\AppData\Local\Temp\OnboardLogs"\RTDC4009\2016-10-07</v>
      </c>
      <c r="AF18" s="92" t="str">
        <f t="shared" si="10"/>
        <v>"C:\Program Files (x86)\AstroGrep\AstroGrep.exe" /spath="%USERPROFILE%\AppData\Local\Temp\OnboardLogs" /stypes="app*4009*20161006*" /stext=" 11:.+((SYSTEM_STATE.+slice.+state.+changed )|(ment ac)|(system.+state.+changed )|(\[timeout)|(PRM\|1\|D)|(kpr)|(kdp)|(\|lc)|(penalty))" /e /r /s</v>
      </c>
      <c r="AG18" s="1" t="str">
        <f t="shared" si="11"/>
        <v>EC</v>
      </c>
      <c r="AH18" s="96" t="str">
        <f t="shared" si="14"/>
        <v>"%USERPROFILE%\Documents\GitHub\eaglep3\Utilities\RefineRTDCRunTimes.py" --tripid 105-06 --locoid 4009 --swversion DE.1.0.7.0 --startMP 204:805 --initTime 2016-10-06T04:12:53 --startdatetime 2016-10-06T04:15:30 --delay 1 --endMP 204:233325 --enddatetime 2016-10-06T05:12:34 --enforcementcount 0 &gt;&gt;C:\Users\stu\Documents\GitHub\eaglep3-reporting\EC\2016-10-06-refined-times.txt</v>
      </c>
      <c r="AI18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{"issue":{"subject":"","project_id":79,"tracker_id":40,"status_id":1,"priority_id":2,"assigned_to_id":23,"start_date":"2016-10-06","description":"","custom_fields":[{"id":1,"name":"Subdivision","value":"EC"},{"id":4,"name":"Milepost","value":"23.3325"},{"id":17,"name":"Train ID","value":"105-06"},{"id":16,"name":"Locomotive ID","value":"4009"},{"id":130,"name":"Impact","value":""},{"id":150,"name":"Time of Event (Mountain Time)","value":"05:12:34"},{"id":151,"name":"Denver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411</v>
      </c>
      <c r="B19" s="7">
        <v>4026</v>
      </c>
      <c r="C19" s="24" t="s">
        <v>106</v>
      </c>
      <c r="D19" s="24" t="s">
        <v>630</v>
      </c>
      <c r="E19" s="15">
        <v>42649.218460648146</v>
      </c>
      <c r="F19" s="15">
        <v>42649.220462962963</v>
      </c>
      <c r="G19" s="7">
        <v>2</v>
      </c>
      <c r="H19" s="15" t="s">
        <v>190</v>
      </c>
      <c r="I19" s="15">
        <v>42649.246736111112</v>
      </c>
      <c r="J19" s="7">
        <v>0</v>
      </c>
      <c r="K19" s="117" t="str">
        <f t="shared" si="0"/>
        <v>4025/4026</v>
      </c>
      <c r="L19" s="24" t="str">
        <f>VLOOKUP(A19,'Trips&amp;Operators'!$C$1:$E$10000,3,FALSE)</f>
        <v>SMITH</v>
      </c>
      <c r="M19" s="6">
        <f t="shared" si="1"/>
        <v>2.6273148148902692E-2</v>
      </c>
      <c r="N19" s="7">
        <f t="shared" si="17"/>
        <v>37.833333334419876</v>
      </c>
      <c r="O19" s="7"/>
      <c r="P19" s="7"/>
      <c r="Q19" s="25"/>
      <c r="R19" s="25"/>
      <c r="S19" s="37">
        <f t="shared" si="18"/>
        <v>1</v>
      </c>
      <c r="T19" s="52" t="str">
        <f t="shared" si="2"/>
        <v>Southbound</v>
      </c>
      <c r="U19" s="159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04:14:35-0600',mode:absolute,to:'2016-10-06 06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" s="54" t="str">
        <f t="shared" si="4"/>
        <v>N</v>
      </c>
      <c r="X19" s="164">
        <f t="shared" si="5"/>
        <v>1</v>
      </c>
      <c r="Y19" s="69">
        <f t="shared" si="6"/>
        <v>23.2666</v>
      </c>
      <c r="Z19" s="69">
        <f t="shared" si="16"/>
        <v>1.49E-2</v>
      </c>
      <c r="AA19" s="69">
        <f t="shared" si="7"/>
        <v>23.2517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8"/>
        <v>0106-06</v>
      </c>
      <c r="AE19" s="95" t="str">
        <f t="shared" si="9"/>
        <v>aws s3 cp s3://rtdc.mdm.uploadarchive.raw/RTDC4026/ "%USERPROFILE%\AppData\Local\Temp\OnboardLogs"\RTDC4026\2016-10-06 --exclude "*" --recursive --include "*20161006*" &amp; "%USERPROFILE%\Documents\GitHub\mrs-test-scripts\Headless Mode &amp; Sideloading\WalkAndUnGZ.bat" "%USERPROFILE%\AppData\Local\Temp\OnboardLogs"\RTDC4026\2016-10-06 &amp; 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</v>
      </c>
      <c r="AF19" s="92" t="str">
        <f t="shared" si="10"/>
        <v>"C:\Program Files (x86)\AstroGrep\AstroGrep.exe" /spath="%USERPROFILE%\AppData\Local\Temp\OnboardLogs" /stypes="app*4026*20161006*" /stext=" 11:.+((SYSTEM_STATE.+slice.+state.+changed )|(ment ac)|(system.+state.+changed )|(\[timeout)|(PRM\|1\|D)|(kpr)|(kdp)|(\|lc)|(penalty))" /e /r /s</v>
      </c>
      <c r="AG19" s="1" t="str">
        <f t="shared" si="11"/>
        <v>EC</v>
      </c>
      <c r="AH19" s="96" t="str">
        <f t="shared" si="14"/>
        <v>"%USERPROFILE%\Documents\GitHub\eaglep3\Utilities\RefineRTDCRunTimes.py" --tripid 106-06 --locoid 4026 --swversion DE.1.0.7.0 --startMP 204:232666 --initTime 2016-10-06T05:14:35 --startdatetime 2016-10-06T05:17:28 --delay 2 --endMP 204:149 --enddatetime 2016-10-06T05:55:18 --enforcementcount 0 &gt;&gt;C:\Users\stu\Documents\GitHub\eaglep3-reporting\EC\2016-10-06-refined-times.txt</v>
      </c>
      <c r="AI19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{"issue":{"subject":"","project_id":79,"tracker_id":40,"status_id":1,"priority_id":2,"assigned_to_id":23,"start_date":"2016-10-06","description":"","custom_fields":[{"id":1,"name":"Subdivision","value":"EC"},{"id":4,"name":"Milepost","value":"0.0149"},{"id":17,"name":"Train ID","value":"106-06"},{"id":16,"name":"Locomotive ID","value":"4026"},{"id":130,"name":"Impact","value":""},{"id":150,"name":"Time of Event (Mountain Time)","value":"05:55:18"},{"id":151,"name":"Denver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400</v>
      </c>
      <c r="B20" s="7">
        <v>4018</v>
      </c>
      <c r="C20" s="24" t="s">
        <v>106</v>
      </c>
      <c r="D20" s="24" t="s">
        <v>631</v>
      </c>
      <c r="E20" s="15">
        <v>42649.184282407405</v>
      </c>
      <c r="F20" s="15">
        <v>42649.187743055554</v>
      </c>
      <c r="G20" s="7">
        <v>1</v>
      </c>
      <c r="H20" s="15" t="s">
        <v>632</v>
      </c>
      <c r="I20" s="15">
        <v>42649.22278935185</v>
      </c>
      <c r="J20" s="7">
        <v>0</v>
      </c>
      <c r="K20" s="117" t="str">
        <f t="shared" si="0"/>
        <v>4017/4018</v>
      </c>
      <c r="L20" s="24" t="str">
        <f>VLOOKUP(A20,'Trips&amp;Operators'!$C$1:$E$10000,3,FALSE)</f>
        <v>STRICKLAND</v>
      </c>
      <c r="M20" s="6">
        <f t="shared" si="1"/>
        <v>3.5046296296059154E-2</v>
      </c>
      <c r="N20" s="7">
        <f t="shared" si="17"/>
        <v>50.466666666325182</v>
      </c>
      <c r="O20" s="7"/>
      <c r="P20" s="7"/>
      <c r="Q20" s="25"/>
      <c r="R20" s="25"/>
      <c r="S20" s="37">
        <f t="shared" si="18"/>
        <v>1</v>
      </c>
      <c r="T20" s="52" t="str">
        <f t="shared" si="2"/>
        <v>NorthBound</v>
      </c>
      <c r="U20" s="159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03:25:22-0600',mode:absolute,to:'2016-10-06 06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" s="54" t="str">
        <f t="shared" si="4"/>
        <v>N</v>
      </c>
      <c r="X20" s="164">
        <f t="shared" si="5"/>
        <v>1</v>
      </c>
      <c r="Y20" s="69">
        <f t="shared" si="6"/>
        <v>4.7500000000000001E-2</v>
      </c>
      <c r="Z20" s="69">
        <f t="shared" si="16"/>
        <v>23.330300000000001</v>
      </c>
      <c r="AA20" s="69">
        <f t="shared" si="7"/>
        <v>23.282800000000002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8"/>
        <v>0107-06</v>
      </c>
      <c r="AE20" s="95" t="str">
        <f t="shared" si="9"/>
        <v>aws s3 cp s3://rtdc.mdm.uploadarchive.raw/RTDC4018/ "%USERPROFILE%\AppData\Local\Temp\OnboardLogs"\RTDC4018\2016-10-06 --exclude "*" --recursive --include "*20161006*" &amp; "%USERPROFILE%\Documents\GitHub\mrs-test-scripts\Headless Mode &amp; Sideloading\WalkAndUnGZ.bat" "%USERPROFILE%\AppData\Local\Temp\OnboardLogs"\RTDC4018\2016-10-06 &amp; 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</v>
      </c>
      <c r="AF20" s="92" t="str">
        <f t="shared" si="10"/>
        <v>"C:\Program Files (x86)\AstroGrep\AstroGrep.exe" /spath="%USERPROFILE%\AppData\Local\Temp\OnboardLogs" /stypes="app*4018*20161006*" /stext=" 11:.+((SYSTEM_STATE.+slice.+state.+changed )|(ment ac)|(system.+state.+changed )|(\[timeout)|(PRM\|1\|D)|(kpr)|(kdp)|(\|lc)|(penalty))" /e /r /s</v>
      </c>
      <c r="AG20" s="1" t="str">
        <f t="shared" si="11"/>
        <v>EC</v>
      </c>
      <c r="AH20" s="96" t="str">
        <f t="shared" si="14"/>
        <v>"%USERPROFILE%\Documents\GitHub\eaglep3\Utilities\RefineRTDCRunTimes.py" --tripid 107-06 --locoid 4018 --swversion DE.1.0.7.0 --startMP 204:475 --initTime 2016-10-06T04:25:22 --startdatetime 2016-10-06T04:30:21 --delay 1 --endMP 204:233303 --enddatetime 2016-10-06T05:20:49 --enforcementcount 0 &gt;&gt;C:\Users\stu\Documents\GitHub\eaglep3-reporting\EC\2016-10-06-refined-times.txt</v>
      </c>
      <c r="AI20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{"issue":{"subject":"","project_id":79,"tracker_id":40,"status_id":1,"priority_id":2,"assigned_to_id":23,"start_date":"2016-10-06","description":"","custom_fields":[{"id":1,"name":"Subdivision","value":"EC"},{"id":4,"name":"Milepost","value":"23.3303"},{"id":17,"name":"Train ID","value":"107-06"},{"id":16,"name":"Locomotive ID","value":"4018"},{"id":130,"name":"Impact","value":""},{"id":150,"name":"Time of Event (Mountain Time)","value":"05:20:49"},{"id":151,"name":"Denver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412</v>
      </c>
      <c r="B21" s="7">
        <v>4017</v>
      </c>
      <c r="C21" s="24" t="s">
        <v>106</v>
      </c>
      <c r="D21" s="24" t="s">
        <v>266</v>
      </c>
      <c r="E21" s="15">
        <v>42649.224502314813</v>
      </c>
      <c r="F21" s="15">
        <v>42649.226585648146</v>
      </c>
      <c r="G21" s="7">
        <v>1</v>
      </c>
      <c r="H21" s="15" t="s">
        <v>193</v>
      </c>
      <c r="I21" s="15">
        <v>42649.255590277775</v>
      </c>
      <c r="J21" s="7">
        <v>0</v>
      </c>
      <c r="K21" s="117" t="str">
        <f t="shared" si="0"/>
        <v>4017/4018</v>
      </c>
      <c r="L21" s="24" t="str">
        <f>VLOOKUP(A21,'Trips&amp;Operators'!$C$1:$E$10000,3,FALSE)</f>
        <v>STRICKLAND</v>
      </c>
      <c r="M21" s="6">
        <f t="shared" si="1"/>
        <v>2.9004629628616385E-2</v>
      </c>
      <c r="N21" s="7">
        <f t="shared" si="17"/>
        <v>41.766666665207595</v>
      </c>
      <c r="O21" s="7"/>
      <c r="P21" s="7"/>
      <c r="Q21" s="25"/>
      <c r="R21" s="25"/>
      <c r="S21" s="37">
        <f t="shared" si="18"/>
        <v>1</v>
      </c>
      <c r="T21" s="52" t="str">
        <f t="shared" si="2"/>
        <v>Southbound</v>
      </c>
      <c r="U21" s="159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04:23:17-0600',mode:absolute,to:'2016-10-06 07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" s="54" t="str">
        <f t="shared" si="4"/>
        <v>N</v>
      </c>
      <c r="X21" s="164">
        <f t="shared" si="5"/>
        <v>1</v>
      </c>
      <c r="Y21" s="69">
        <f t="shared" si="6"/>
        <v>23.297499999999999</v>
      </c>
      <c r="Z21" s="69">
        <f t="shared" si="16"/>
        <v>1.5800000000000002E-2</v>
      </c>
      <c r="AA21" s="69">
        <f t="shared" si="7"/>
        <v>23.281700000000001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8"/>
        <v>0108-06</v>
      </c>
      <c r="AE21" s="95" t="str">
        <f t="shared" si="9"/>
        <v>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 &amp; 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</v>
      </c>
      <c r="AF21" s="92" t="str">
        <f t="shared" si="10"/>
        <v>"C:\Program Files (x86)\AstroGrep\AstroGrep.exe" /spath="%USERPROFILE%\AppData\Local\Temp\OnboardLogs" /stypes="app*4017*20161006*" /stext=" 12:.+((SYSTEM_STATE.+slice.+state.+changed )|(ment ac)|(system.+state.+changed )|(\[timeout)|(PRM\|1\|D)|(kpr)|(kdp)|(\|lc)|(penalty))" /e /r /s</v>
      </c>
      <c r="AG21" s="1" t="str">
        <f t="shared" si="11"/>
        <v>EC</v>
      </c>
      <c r="AH21" s="96" t="str">
        <f t="shared" si="14"/>
        <v>"%USERPROFILE%\Documents\GitHub\eaglep3\Utilities\RefineRTDCRunTimes.py" --tripid 108-06 --locoid 4017 --swversion DE.1.0.7.0 --startMP 204:232975 --initTime 2016-10-06T05:23:17 --startdatetime 2016-10-06T05:26:17 --delay 1 --endMP 204:158 --enddatetime 2016-10-06T06:08:03 --enforcementcount 0 &gt;&gt;C:\Users\stu\Documents\GitHub\eaglep3-reporting\EC\2016-10-06-refined-times.txt</v>
      </c>
      <c r="AI21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{"issue":{"subject":"","project_id":79,"tracker_id":40,"status_id":1,"priority_id":2,"assigned_to_id":23,"start_date":"2016-10-06","description":"","custom_fields":[{"id":1,"name":"Subdivision","value":"EC"},{"id":4,"name":"Milepost","value":"0.0158"},{"id":17,"name":"Train ID","value":"108-06"},{"id":16,"name":"Locomotive ID","value":"4017"},{"id":130,"name":"Impact","value":""},{"id":150,"name":"Time of Event (Mountain Time)","value":"06:08:03"},{"id":151,"name":"Denver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403</v>
      </c>
      <c r="B22" s="7">
        <v>4007</v>
      </c>
      <c r="C22" s="24" t="s">
        <v>106</v>
      </c>
      <c r="D22" s="24" t="s">
        <v>239</v>
      </c>
      <c r="E22" s="15">
        <v>42649.196956018517</v>
      </c>
      <c r="F22" s="15">
        <v>42649.198368055557</v>
      </c>
      <c r="G22" s="7">
        <v>1</v>
      </c>
      <c r="H22" s="15" t="s">
        <v>262</v>
      </c>
      <c r="I22" s="15">
        <v>42649.224976851852</v>
      </c>
      <c r="J22" s="7">
        <v>0</v>
      </c>
      <c r="K22" s="117" t="str">
        <f t="shared" si="0"/>
        <v>4007/4008</v>
      </c>
      <c r="L22" s="24" t="str">
        <f>VLOOKUP(A22,'Trips&amp;Operators'!$C$1:$E$10000,3,FALSE)</f>
        <v>ROCHA</v>
      </c>
      <c r="M22" s="6">
        <f t="shared" si="1"/>
        <v>2.6608796295477077E-2</v>
      </c>
      <c r="N22" s="7">
        <f t="shared" si="17"/>
        <v>38.316666665486991</v>
      </c>
      <c r="O22" s="7"/>
      <c r="P22" s="7"/>
      <c r="Q22" s="25"/>
      <c r="R22" s="25"/>
      <c r="S22" s="37">
        <f t="shared" si="18"/>
        <v>1</v>
      </c>
      <c r="T22" s="52" t="str">
        <f t="shared" si="2"/>
        <v>NorthBound</v>
      </c>
      <c r="U22" s="159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03:43:37-0600',mode:absolute,to:'2016-10-06 06:23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" s="54" t="str">
        <f t="shared" si="4"/>
        <v>N</v>
      </c>
      <c r="X22" s="164">
        <f t="shared" si="5"/>
        <v>1</v>
      </c>
      <c r="Y22" s="69">
        <f t="shared" si="6"/>
        <v>4.4900000000000002E-2</v>
      </c>
      <c r="Z22" s="69">
        <f t="shared" si="16"/>
        <v>23.329699999999999</v>
      </c>
      <c r="AA22" s="69">
        <f t="shared" si="7"/>
        <v>23.284800000000001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8"/>
        <v>0109-06</v>
      </c>
      <c r="AE22" s="95" t="str">
        <f t="shared" si="9"/>
        <v>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 &amp; 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</v>
      </c>
      <c r="AF22" s="92" t="str">
        <f t="shared" si="10"/>
        <v>"C:\Program Files (x86)\AstroGrep\AstroGrep.exe" /spath="%USERPROFILE%\AppData\Local\Temp\OnboardLogs" /stypes="app*4007*20161006*" /stext=" 11:.+((SYSTEM_STATE.+slice.+state.+changed )|(ment ac)|(system.+state.+changed )|(\[timeout)|(PRM\|1\|D)|(kpr)|(kdp)|(\|lc)|(penalty))" /e /r /s</v>
      </c>
      <c r="AG22" s="1" t="str">
        <f t="shared" si="11"/>
        <v>EC</v>
      </c>
      <c r="AH22" s="96" t="str">
        <f t="shared" si="14"/>
        <v>"%USERPROFILE%\Documents\GitHub\eaglep3\Utilities\RefineRTDCRunTimes.py" --tripid 109-06 --locoid 4007 --swversion DE.1.0.7.0 --startMP 204:449 --initTime 2016-10-06T04:43:37 --startdatetime 2016-10-06T04:45:39 --delay 1 --endMP 204:233297 --enddatetime 2016-10-06T05:23:58 --enforcementcount 0 &gt;&gt;C:\Users\stu\Documents\GitHub\eaglep3-reporting\EC\2016-10-06-refined-times.txt</v>
      </c>
      <c r="AI22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{"issue":{"subject":"","project_id":79,"tracker_id":40,"status_id":1,"priority_id":2,"assigned_to_id":23,"start_date":"2016-10-06","description":"","custom_fields":[{"id":1,"name":"Subdivision","value":"EC"},{"id":4,"name":"Milepost","value":"23.3297"},{"id":17,"name":"Train ID","value":"109-06"},{"id":16,"name":"Locomotive ID","value":"4007"},{"id":130,"name":"Impact","value":""},{"id":150,"name":"Time of Event (Mountain Time)","value":"05:23:58"},{"id":151,"name":"Denver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413</v>
      </c>
      <c r="B23" s="7">
        <v>4008</v>
      </c>
      <c r="C23" s="24" t="s">
        <v>106</v>
      </c>
      <c r="D23" s="24" t="s">
        <v>633</v>
      </c>
      <c r="E23" s="15">
        <v>42649.228321759256</v>
      </c>
      <c r="F23" s="15">
        <v>42649.23704861111</v>
      </c>
      <c r="G23" s="7">
        <v>1</v>
      </c>
      <c r="H23" s="15" t="s">
        <v>209</v>
      </c>
      <c r="I23" s="15">
        <v>42649.267592592594</v>
      </c>
      <c r="J23" s="7">
        <v>0</v>
      </c>
      <c r="K23" s="117" t="str">
        <f t="shared" si="0"/>
        <v>4007/4008</v>
      </c>
      <c r="L23" s="24" t="str">
        <f>VLOOKUP(A23,'Trips&amp;Operators'!$C$1:$E$10000,3,FALSE)</f>
        <v>ROCHA</v>
      </c>
      <c r="M23" s="6">
        <f t="shared" si="1"/>
        <v>3.054398148378823E-2</v>
      </c>
      <c r="N23" s="7">
        <f t="shared" si="17"/>
        <v>43.983333336655051</v>
      </c>
      <c r="O23" s="7"/>
      <c r="P23" s="7"/>
      <c r="Q23" s="25"/>
      <c r="R23" s="25"/>
      <c r="S23" s="37">
        <f t="shared" si="18"/>
        <v>1</v>
      </c>
      <c r="T23" s="52" t="str">
        <f t="shared" si="2"/>
        <v>Southbound</v>
      </c>
      <c r="U23" s="159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04:28:47-0600',mode:absolute,to:'2016-10-06 07:25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3" s="54" t="str">
        <f t="shared" si="4"/>
        <v>N</v>
      </c>
      <c r="X23" s="164">
        <f t="shared" si="5"/>
        <v>1</v>
      </c>
      <c r="Y23" s="69">
        <f t="shared" si="6"/>
        <v>23.298300000000001</v>
      </c>
      <c r="Z23" s="69">
        <f t="shared" si="16"/>
        <v>1.5599999999999999E-2</v>
      </c>
      <c r="AA23" s="69">
        <f t="shared" si="7"/>
        <v>23.282700000000002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8"/>
        <v>0110-06</v>
      </c>
      <c r="AE23" s="95" t="str">
        <f t="shared" si="9"/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AF23" s="92" t="str">
        <f t="shared" si="10"/>
        <v>"C:\Program Files (x86)\AstroGrep\AstroGrep.exe" /spath="%USERPROFILE%\AppData\Local\Temp\OnboardLogs" /stypes="app*4008*20161006*" /stext=" 12:.+((SYSTEM_STATE.+slice.+state.+changed )|(ment ac)|(system.+state.+changed )|(\[timeout)|(PRM\|1\|D)|(kpr)|(kdp)|(\|lc)|(penalty))" /e /r /s</v>
      </c>
      <c r="AG23" s="1" t="str">
        <f t="shared" si="11"/>
        <v>EC</v>
      </c>
      <c r="AH23" s="96" t="str">
        <f t="shared" si="14"/>
        <v>"%USERPROFILE%\Documents\GitHub\eaglep3\Utilities\RefineRTDCRunTimes.py" --tripid 110-06 --locoid 4008 --swversion DE.1.0.7.0 --startMP 204:232983 --initTime 2016-10-06T05:28:47 --startdatetime 2016-10-06T05:41:21 --delay 1 --endMP 204:156 --enddatetime 2016-10-06T06:25:20 --enforcementcount 0 &gt;&gt;C:\Users\stu\Documents\GitHub\eaglep3-reporting\EC\2016-10-06-refined-times.txt</v>
      </c>
      <c r="AI23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{"issue":{"subject":"","project_id":79,"tracker_id":40,"status_id":1,"priority_id":2,"assigned_to_id":23,"start_date":"2016-10-06","description":"","custom_fields":[{"id":1,"name":"Subdivision","value":"EC"},{"id":4,"name":"Milepost","value":"0.0156"},{"id":17,"name":"Train ID","value":"110-06"},{"id":16,"name":"Locomotive ID","value":"4008"},{"id":130,"name":"Impact","value":""},{"id":150,"name":"Time of Event (Mountain Time)","value":"06:25:20"},{"id":151,"name":"Denver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406</v>
      </c>
      <c r="B24" s="7">
        <v>4046</v>
      </c>
      <c r="C24" s="24" t="s">
        <v>106</v>
      </c>
      <c r="D24" s="24" t="s">
        <v>623</v>
      </c>
      <c r="E24" s="15">
        <v>42649.204756944448</v>
      </c>
      <c r="F24" s="15">
        <v>42649.20853009259</v>
      </c>
      <c r="G24" s="7">
        <v>5</v>
      </c>
      <c r="H24" s="15" t="s">
        <v>634</v>
      </c>
      <c r="I24" s="15">
        <v>42649.227685185186</v>
      </c>
      <c r="J24" s="7">
        <v>0</v>
      </c>
      <c r="K24" s="117" t="str">
        <f t="shared" si="0"/>
        <v>4045/4046</v>
      </c>
      <c r="L24" s="24" t="str">
        <f>VLOOKUP(A24,'Trips&amp;Operators'!$C$1:$E$10000,3,FALSE)</f>
        <v>BERLING</v>
      </c>
      <c r="M24" s="6">
        <f t="shared" si="1"/>
        <v>1.9155092595610768E-2</v>
      </c>
      <c r="N24" s="7">
        <f t="shared" si="17"/>
        <v>27.583333337679505</v>
      </c>
      <c r="O24" s="7"/>
      <c r="P24" s="7"/>
      <c r="Q24" s="25"/>
      <c r="R24" s="25"/>
      <c r="S24" s="37">
        <f t="shared" si="18"/>
        <v>1</v>
      </c>
      <c r="T24" s="52" t="str">
        <f t="shared" si="2"/>
        <v>NorthBound</v>
      </c>
      <c r="U24" s="159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03:54:51-0600',mode:absolute,to:'2016-10-06 06:27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4" s="54" t="str">
        <f t="shared" si="4"/>
        <v>N</v>
      </c>
      <c r="X24" s="164">
        <f t="shared" si="5"/>
        <v>1</v>
      </c>
      <c r="Y24" s="69">
        <f t="shared" si="6"/>
        <v>7.5399999999999995E-2</v>
      </c>
      <c r="Z24" s="69">
        <f t="shared" si="16"/>
        <v>23.3307</v>
      </c>
      <c r="AA24" s="69">
        <f t="shared" si="7"/>
        <v>23.255300000000002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 t="shared" si="8"/>
        <v>0111-06</v>
      </c>
      <c r="AE24" s="95" t="str">
        <f t="shared" si="9"/>
        <v>aws s3 cp s3://rtdc.mdm.uploadarchive.raw/RTDC4046/ "%USERPROFILE%\AppData\Local\Temp\OnboardLogs"\RTDC4046\2016-10-06 --exclude "*" --recursive --include "*20161006*" &amp; "%USERPROFILE%\Documents\GitHub\mrs-test-scripts\Headless Mode &amp; Sideloading\WalkAndUnGZ.bat" "%USERPROFILE%\AppData\Local\Temp\OnboardLogs"\RTDC4046\2016-10-06 &amp; 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</v>
      </c>
      <c r="AF24" s="92" t="str">
        <f t="shared" si="10"/>
        <v>"C:\Program Files (x86)\AstroGrep\AstroGrep.exe" /spath="%USERPROFILE%\AppData\Local\Temp\OnboardLogs" /stypes="app*4046*20161006*" /stext=" 11:.+((SYSTEM_STATE.+slice.+state.+changed )|(ment ac)|(system.+state.+changed )|(\[timeout)|(PRM\|1\|D)|(kpr)|(kdp)|(\|lc)|(penalty))" /e /r /s</v>
      </c>
      <c r="AG24" s="1" t="str">
        <f t="shared" si="11"/>
        <v>EC</v>
      </c>
      <c r="AH24" s="96" t="str">
        <f t="shared" si="14"/>
        <v>"%USERPROFILE%\Documents\GitHub\eaglep3\Utilities\RefineRTDCRunTimes.py" --tripid 111-06 --locoid 4046 --swversion DE.1.0.7.0 --startMP 204:754 --initTime 2016-10-06T04:54:51 --startdatetime 2016-10-06T05:00:17 --delay 5 --endMP 204:233307 --enddatetime 2016-10-06T05:27:52 --enforcementcount 0 &gt;&gt;C:\Users\stu\Documents\GitHub\eaglep3-reporting\EC\2016-10-06-refined-times.txt</v>
      </c>
      <c r="AI24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{"issue":{"subject":"","project_id":79,"tracker_id":40,"status_id":1,"priority_id":2,"assigned_to_id":23,"start_date":"2016-10-06","description":"","custom_fields":[{"id":1,"name":"Subdivision","value":"EC"},{"id":4,"name":"Milepost","value":"23.3307"},{"id":17,"name":"Train ID","value":"111-06"},{"id":16,"name":"Locomotive ID","value":"4046"},{"id":130,"name":"Impact","value":""},{"id":150,"name":"Time of Event (Mountain Time)","value":"05:27:52"},{"id":151,"name":"Denver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418</v>
      </c>
      <c r="B25" s="7">
        <v>4045</v>
      </c>
      <c r="C25" s="24" t="s">
        <v>106</v>
      </c>
      <c r="D25" s="24" t="s">
        <v>635</v>
      </c>
      <c r="E25" s="15">
        <v>42649.241828703707</v>
      </c>
      <c r="F25" s="15">
        <v>42649.247418981482</v>
      </c>
      <c r="G25" s="7">
        <v>1</v>
      </c>
      <c r="H25" s="15" t="s">
        <v>636</v>
      </c>
      <c r="I25" s="15">
        <v>42649.297071759262</v>
      </c>
      <c r="J25" s="7">
        <v>0</v>
      </c>
      <c r="K25" s="117" t="str">
        <f t="shared" si="0"/>
        <v>4045/4046</v>
      </c>
      <c r="L25" s="24" t="str">
        <f>VLOOKUP(A25,'Trips&amp;Operators'!$C$1:$E$10000,3,FALSE)</f>
        <v>BERLING</v>
      </c>
      <c r="M25" s="6">
        <f t="shared" si="1"/>
        <v>4.9652777779556345E-2</v>
      </c>
      <c r="N25" s="7">
        <f t="shared" si="17"/>
        <v>71.500000002561137</v>
      </c>
      <c r="O25" s="7"/>
      <c r="P25" s="7"/>
      <c r="Q25" s="25"/>
      <c r="R25" s="25"/>
      <c r="S25" s="37">
        <f t="shared" si="18"/>
        <v>1</v>
      </c>
      <c r="T25" s="52" t="str">
        <f t="shared" si="2"/>
        <v>Southbound</v>
      </c>
      <c r="U25" s="159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04:48:14-0600',mode:absolute,to:'2016-10-06 08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5" s="54" t="str">
        <f t="shared" si="4"/>
        <v>N</v>
      </c>
      <c r="X25" s="164">
        <f t="shared" si="5"/>
        <v>1</v>
      </c>
      <c r="Y25" s="69">
        <f t="shared" si="6"/>
        <v>23.296299999999999</v>
      </c>
      <c r="Z25" s="69">
        <f t="shared" si="16"/>
        <v>3.2000000000000001E-2</v>
      </c>
      <c r="AA25" s="69">
        <f t="shared" si="7"/>
        <v>23.264299999999999</v>
      </c>
      <c r="AB25" s="66" t="str">
        <f>VLOOKUP(A25,Enforcements!$C$7:$K$21,8,0)</f>
        <v>Speed (6)</v>
      </c>
      <c r="AC25" s="62" t="str">
        <f>VLOOKUP(A25,Enforcements!$C$7:$E$21,3,0)</f>
        <v>PERMANENT SPEED RESTRICTION</v>
      </c>
      <c r="AD25" s="63" t="str">
        <f t="shared" si="8"/>
        <v>0112-06</v>
      </c>
      <c r="AE25" s="95" t="str">
        <f t="shared" si="9"/>
        <v>aws s3 cp s3://rtdc.mdm.uploadarchive.raw/RTDC4045/ "%USERPROFILE%\AppData\Local\Temp\OnboardLogs"\RTDC4045\2016-10-06 --exclude "*" --recursive --include "*20161006*" &amp; "%USERPROFILE%\Documents\GitHub\mrs-test-scripts\Headless Mode &amp; Sideloading\WalkAndUnGZ.bat" "%USERPROFILE%\AppData\Local\Temp\OnboardLogs"\RTDC4045\2016-10-06 &amp; 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</v>
      </c>
      <c r="AF25" s="92" t="str">
        <f t="shared" si="10"/>
        <v>"C:\Program Files (x86)\AstroGrep\AstroGrep.exe" /spath="%USERPROFILE%\AppData\Local\Temp\OnboardLogs" /stypes="app*4045*20161006*" /stext=" 13:.+((SYSTEM_STATE.+slice.+state.+changed )|(ment ac)|(system.+state.+changed )|(\[timeout)|(PRM\|1\|D)|(kpr)|(kdp)|(\|lc)|(penalty))" /e /r /s</v>
      </c>
      <c r="AG25" s="1" t="str">
        <f t="shared" si="11"/>
        <v>EC</v>
      </c>
      <c r="AH25" s="96" t="str">
        <f t="shared" si="14"/>
        <v>"%USERPROFILE%\Documents\GitHub\eaglep3\Utilities\RefineRTDCRunTimes.py" --tripid 112-06 --locoid 4045 --swversion DE.1.0.7.0 --startMP 204:232963 --initTime 2016-10-06T05:48:14 --startdatetime 2016-10-06T05:56:17 --delay 1 --endMP 204:320 --enddatetime 2016-10-06T07:07:47 --enforcementcount 0 &gt;&gt;C:\Users\stu\Documents\GitHub\eaglep3-reporting\EC\2016-10-06-refined-times.txt</v>
      </c>
      <c r="AI25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{"issue":{"subject":"","project_id":79,"tracker_id":40,"status_id":1,"priority_id":2,"assigned_to_id":23,"start_date":"2016-10-06","description":"","custom_fields":[{"id":1,"name":"Subdivision","value":"EC"},{"id":4,"name":"Milepost","value":"0.032"},{"id":17,"name":"Train ID","value":"112-06"},{"id":16,"name":"Locomotive ID","value":"4045"},{"id":130,"name":"Impact","value":""},{"id":150,"name":"Time of Event (Mountain Time)","value":"07:07:47"},{"id":151,"name":"Denver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408</v>
      </c>
      <c r="B26" s="7">
        <v>4031</v>
      </c>
      <c r="C26" s="24" t="s">
        <v>106</v>
      </c>
      <c r="D26" s="24" t="s">
        <v>637</v>
      </c>
      <c r="E26" s="15">
        <v>42649.209247685183</v>
      </c>
      <c r="F26" s="15">
        <v>42649.2190162037</v>
      </c>
      <c r="G26" s="7">
        <v>1</v>
      </c>
      <c r="H26" s="15" t="s">
        <v>297</v>
      </c>
      <c r="I26" s="15">
        <v>42649.245069444441</v>
      </c>
      <c r="J26" s="7">
        <v>0</v>
      </c>
      <c r="K26" s="117" t="str">
        <f t="shared" si="0"/>
        <v>4031/4032</v>
      </c>
      <c r="L26" s="24" t="str">
        <f>VLOOKUP(A26,'Trips&amp;Operators'!$C$1:$E$10000,3,FALSE)</f>
        <v>MAELZER</v>
      </c>
      <c r="M26" s="6">
        <f t="shared" si="1"/>
        <v>2.6053240741021E-2</v>
      </c>
      <c r="N26" s="7">
        <f t="shared" si="17"/>
        <v>37.51666666707024</v>
      </c>
      <c r="O26" s="7"/>
      <c r="P26" s="7"/>
      <c r="Q26" s="25"/>
      <c r="R26" s="25"/>
      <c r="S26" s="37">
        <f t="shared" si="18"/>
        <v>1</v>
      </c>
      <c r="T26" s="52" t="str">
        <f t="shared" si="2"/>
        <v>NorthBound</v>
      </c>
      <c r="U26" s="159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04:01:19-0600',mode:absolute,to:'2016-10-06 06:52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6" s="54" t="str">
        <f t="shared" si="4"/>
        <v>N</v>
      </c>
      <c r="X26" s="164">
        <f t="shared" si="5"/>
        <v>1</v>
      </c>
      <c r="Y26" s="69">
        <f t="shared" si="6"/>
        <v>4.4400000000000002E-2</v>
      </c>
      <c r="Z26" s="69">
        <f t="shared" si="16"/>
        <v>23.3325</v>
      </c>
      <c r="AA26" s="69">
        <f t="shared" si="7"/>
        <v>23.2881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8"/>
        <v>0113-06</v>
      </c>
      <c r="AE26" s="95" t="str">
        <f t="shared" si="9"/>
        <v>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 &amp; aws s3 cp s3://rtdc.mdm.uploadarchive.raw/RTDC4031/ "%USERPROFILE%\AppData\Local\Temp\OnboardLogs"\RTDC4031\2016-10-07 --exclude "*" --recursive --include "*20161007*" &amp; "%USERPROFILE%\Documents\GitHub\mrs-test-scripts\Headless Mode &amp; Sideloading\WalkAndUnGZ.bat" "%USERPROFILE%\AppData\Local\Temp\OnboardLogs"\RTDC4031\2016-10-07</v>
      </c>
      <c r="AF26" s="92" t="str">
        <f t="shared" si="10"/>
        <v>"C:\Program Files (x86)\AstroGrep\AstroGrep.exe" /spath="%USERPROFILE%\AppData\Local\Temp\OnboardLogs" /stypes="app*4031*20161006*" /stext=" 11:.+((SYSTEM_STATE.+slice.+state.+changed )|(ment ac)|(system.+state.+changed )|(\[timeout)|(PRM\|1\|D)|(kpr)|(kdp)|(\|lc)|(penalty))" /e /r /s</v>
      </c>
      <c r="AG26" s="1" t="str">
        <f t="shared" si="11"/>
        <v>EC</v>
      </c>
      <c r="AH26" s="96" t="str">
        <f t="shared" si="14"/>
        <v>"%USERPROFILE%\Documents\GitHub\eaglep3\Utilities\RefineRTDCRunTimes.py" --tripid 113-06 --locoid 4031 --swversion DE.1.0.7.0 --startMP 204:444 --initTime 2016-10-06T05:01:19 --startdatetime 2016-10-06T05:15:23 --delay 1 --endMP 204:233325 --enddatetime 2016-10-06T05:52:54 --enforcementcount 0 &gt;&gt;C:\Users\stu\Documents\GitHub\eaglep3-reporting\EC\2016-10-06-refined-times.txt</v>
      </c>
      <c r="AI26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{"issue":{"subject":"","project_id":79,"tracker_id":40,"status_id":1,"priority_id":2,"assigned_to_id":23,"start_date":"2016-10-06","description":"","custom_fields":[{"id":1,"name":"Subdivision","value":"EC"},{"id":4,"name":"Milepost","value":"23.3325"},{"id":17,"name":"Train ID","value":"113-06"},{"id":16,"name":"Locomotive ID","value":"4031"},{"id":130,"name":"Impact","value":""},{"id":150,"name":"Time of Event (Mountain Time)","value":"05:52:54"},{"id":151,"name":"Denver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422</v>
      </c>
      <c r="B27" s="7">
        <v>4032</v>
      </c>
      <c r="C27" s="24" t="s">
        <v>106</v>
      </c>
      <c r="D27" s="24" t="s">
        <v>638</v>
      </c>
      <c r="E27" s="15">
        <v>42649.270462962966</v>
      </c>
      <c r="F27" s="15">
        <v>42649.272048611114</v>
      </c>
      <c r="G27" s="7">
        <v>1</v>
      </c>
      <c r="H27" s="15" t="s">
        <v>193</v>
      </c>
      <c r="I27" s="15">
        <v>42649.300150462965</v>
      </c>
      <c r="J27" s="7">
        <v>0</v>
      </c>
      <c r="K27" s="117" t="str">
        <f t="shared" si="0"/>
        <v>4031/4032</v>
      </c>
      <c r="L27" s="24" t="str">
        <f>VLOOKUP(A27,'Trips&amp;Operators'!$C$1:$E$10000,3,FALSE)</f>
        <v>MAELZER</v>
      </c>
      <c r="M27" s="6">
        <f t="shared" si="1"/>
        <v>2.810185185080627E-2</v>
      </c>
      <c r="N27" s="7"/>
      <c r="O27" s="7"/>
      <c r="P27" s="7">
        <f>24*60*SUM($M27:$M28)</f>
        <v>54.600000001955777</v>
      </c>
      <c r="Q27" s="25"/>
      <c r="R27" s="25" t="s">
        <v>846</v>
      </c>
      <c r="S27" s="37">
        <f t="shared" si="18"/>
        <v>1</v>
      </c>
      <c r="T27" s="52" t="str">
        <f t="shared" si="2"/>
        <v>Southbound</v>
      </c>
      <c r="U27" s="159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05:29:28-0600',mode:absolute,to:'2016-10-06 08:12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7" s="54" t="str">
        <f t="shared" si="4"/>
        <v>Y</v>
      </c>
      <c r="X27" s="164">
        <f t="shared" si="5"/>
        <v>1</v>
      </c>
      <c r="Y27" s="69">
        <f t="shared" si="6"/>
        <v>19.519300000000001</v>
      </c>
      <c r="Z27" s="69">
        <f t="shared" si="16"/>
        <v>1.5800000000000002E-2</v>
      </c>
      <c r="AA27" s="69">
        <f t="shared" si="7"/>
        <v>19.503500000000003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8"/>
        <v>0114-06</v>
      </c>
      <c r="AE27" s="95" t="str">
        <f t="shared" si="9"/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AF27" s="92" t="str">
        <f t="shared" si="10"/>
        <v>"C:\Program Files (x86)\AstroGrep\AstroGrep.exe" /spath="%USERPROFILE%\AppData\Local\Temp\OnboardLogs" /stypes="app*4032*20161006*" /stext=" 13:.+((SYSTEM_STATE.+slice.+state.+changed )|(ment ac)|(system.+state.+changed )|(\[timeout)|(PRM\|1\|D)|(kpr)|(kdp)|(\|lc)|(penalty))" /e /r /s</v>
      </c>
      <c r="AG27" s="1" t="str">
        <f t="shared" si="11"/>
        <v>EC</v>
      </c>
      <c r="AH27" s="96" t="str">
        <f t="shared" si="14"/>
        <v>"%USERPROFILE%\Documents\GitHub\eaglep3\Utilities\RefineRTDCRunTimes.py" --tripid 114-06 --locoid 4032 --swversion DE.1.0.7.0 --startMP 204:195193 --initTime 2016-10-06T06:29:28 --startdatetime 2016-10-06T06:31:45 --delay 1 --endMP 204:158 --enddatetime 2016-10-06T07:12:13 --enforcementcount 0 &gt;&gt;C:\Users\stu\Documents\GitHub\eaglep3-reporting\EC\2016-10-06-refined-times.txt</v>
      </c>
      <c r="AI27" s="130" t="str">
        <f t="shared" si="15"/>
        <v>echo {"issue":{"subject":"EC1981RH 204-2T 2S stuck at STOP &amp; PROCEED - heavy traffic","project_id":79,"tracker_id":40,"status_id":1,"priority_id":2,"assigned_to_id":23,"start_date":"2016-10-06","description":"From before 06:11:18.317 until after 06:25:59.000, EC1981RH 204-2T 2S was at STOP &amp; PROCEED the entire time. Was there anything unusual going on at the time?","custom_fields":[{"id":1,"name":"Subdivision","value":"EC"},{"id":4,"name":"Milepost","value":"0.0158"},{"id":17,"name":"Train ID","value":"114-06"},{"id":16,"name":"Locomotive ID","value":"4032"},{"id":130,"name":"Impact","value":"Unexpected Cut-Out or Disengaged"},{"id":150,"name":"Time of Event (Mountain Time)","value":"07:12:13"},{"id":151,"name":"Denver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7" s="55" t="s">
        <v>826</v>
      </c>
      <c r="AK27" s="55" t="s">
        <v>140</v>
      </c>
      <c r="AL27" s="55" t="s">
        <v>139</v>
      </c>
    </row>
    <row r="28" spans="1:38" s="1" customFormat="1" x14ac:dyDescent="0.25">
      <c r="A28" s="39" t="s">
        <v>422</v>
      </c>
      <c r="B28" s="7">
        <v>4032</v>
      </c>
      <c r="C28" s="24" t="s">
        <v>106</v>
      </c>
      <c r="D28" s="24" t="s">
        <v>639</v>
      </c>
      <c r="E28" s="15">
        <v>42649.25675925926</v>
      </c>
      <c r="F28" s="15">
        <v>42649.2580787037</v>
      </c>
      <c r="G28" s="7">
        <v>1</v>
      </c>
      <c r="H28" s="15" t="s">
        <v>640</v>
      </c>
      <c r="I28" s="15">
        <v>42649.267893518518</v>
      </c>
      <c r="J28" s="7">
        <v>0</v>
      </c>
      <c r="K28" s="117" t="str">
        <f t="shared" si="0"/>
        <v>4031/4032</v>
      </c>
      <c r="L28" s="24" t="str">
        <f>VLOOKUP(A28,'Trips&amp;Operators'!$C$1:$E$10000,3,FALSE)</f>
        <v>MAELZER</v>
      </c>
      <c r="M28" s="6">
        <f t="shared" si="1"/>
        <v>9.8148148172185756E-3</v>
      </c>
      <c r="N28" s="7"/>
      <c r="O28" s="7"/>
      <c r="P28" s="7"/>
      <c r="Q28" s="25"/>
      <c r="R28" s="25"/>
      <c r="S28" s="37"/>
      <c r="T28" s="52" t="str">
        <f t="shared" si="2"/>
        <v>Southbound</v>
      </c>
      <c r="U28" s="159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0</v>
      </c>
      <c r="V28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05:09:44-0600',mode:absolute,to:'2016-10-06 07:25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8" s="54" t="str">
        <f t="shared" si="4"/>
        <v>Y</v>
      </c>
      <c r="X28" s="164">
        <f t="shared" si="5"/>
        <v>0</v>
      </c>
      <c r="Y28" s="69">
        <f t="shared" si="6"/>
        <v>23.300799999999999</v>
      </c>
      <c r="Z28" s="69">
        <f t="shared" si="16"/>
        <v>19.519100000000002</v>
      </c>
      <c r="AA28" s="69">
        <f t="shared" si="7"/>
        <v>3.7816999999999972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8"/>
        <v>0114-06</v>
      </c>
      <c r="AE28" s="95" t="str">
        <f t="shared" si="9"/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AF28" s="92" t="str">
        <f t="shared" si="10"/>
        <v>"C:\Program Files (x86)\AstroGrep\AstroGrep.exe" /spath="%USERPROFILE%\AppData\Local\Temp\OnboardLogs" /stypes="app*4032*20161006*" /stext=" 12:.+((SYSTEM_STATE.+slice.+state.+changed )|(ment ac)|(system.+state.+changed )|(\[timeout)|(PRM\|1\|D)|(kpr)|(kdp)|(\|lc)|(penalty))" /e /r /s</v>
      </c>
      <c r="AG28" s="1" t="str">
        <f t="shared" si="11"/>
        <v>EC</v>
      </c>
      <c r="AH28" s="96" t="str">
        <f t="shared" si="14"/>
        <v>"%USERPROFILE%\Documents\GitHub\eaglep3\Utilities\RefineRTDCRunTimes.py" --tripid 114-06 --locoid 4032 --swversion DE.1.0.7.0 --startMP 204:233008 --initTime 2016-10-06T06:09:44 --startdatetime 2016-10-06T06:11:38 --delay 1 --endMP 204:195191 --enddatetime 2016-10-06T06:25:46 --enforcementcount 0 &gt;&gt;C:\Users\stu\Documents\GitHub\eaglep3-reporting\EC\2016-10-06-refined-times.txt</v>
      </c>
      <c r="AI28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{"issue":{"subject":"","project_id":79,"tracker_id":40,"status_id":1,"priority_id":2,"assigned_to_id":23,"start_date":"2016-10-06","description":"","custom_fields":[{"id":1,"name":"Subdivision","value":"EC"},{"id":4,"name":"Milepost","value":"19.5191"},{"id":17,"name":"Train ID","value":"114-06"},{"id":16,"name":"Locomotive ID","value":"4032"},{"id":130,"name":"Impact","value":""},{"id":150,"name":"Time of Event (Mountain Time)","value":"06:25:46"},{"id":151,"name":"Denver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414</v>
      </c>
      <c r="B29" s="7">
        <v>4027</v>
      </c>
      <c r="C29" s="24" t="s">
        <v>106</v>
      </c>
      <c r="D29" s="24" t="s">
        <v>641</v>
      </c>
      <c r="E29" s="15">
        <v>42649.232245370367</v>
      </c>
      <c r="F29" s="15">
        <v>42649.233668981484</v>
      </c>
      <c r="G29" s="7">
        <v>1</v>
      </c>
      <c r="H29" s="15" t="s">
        <v>632</v>
      </c>
      <c r="I29" s="15">
        <v>42649.259409722225</v>
      </c>
      <c r="J29" s="7">
        <v>0</v>
      </c>
      <c r="K29" s="117" t="str">
        <f t="shared" si="0"/>
        <v>4027/4028</v>
      </c>
      <c r="L29" s="24" t="str">
        <f>VLOOKUP(A29,'Trips&amp;Operators'!$C$1:$E$10000,3,FALSE)</f>
        <v>BRANNON</v>
      </c>
      <c r="M29" s="6">
        <f t="shared" si="1"/>
        <v>2.5740740740729962E-2</v>
      </c>
      <c r="N29" s="7">
        <f t="shared" ref="N29:N36" si="19">24*60*SUM($M29:$M29)</f>
        <v>37.066666666651145</v>
      </c>
      <c r="O29" s="7"/>
      <c r="P29" s="7"/>
      <c r="Q29" s="25"/>
      <c r="R29" s="25"/>
      <c r="S29" s="37">
        <f t="shared" ref="S29:S37" si="20">SUM(U29:U29)/IF(AG29="EC",12,1)</f>
        <v>1</v>
      </c>
      <c r="T29" s="52" t="str">
        <f t="shared" si="2"/>
        <v>NorthBound</v>
      </c>
      <c r="U29" s="159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04:34:26-0600',mode:absolute,to:'2016-10-06 07:13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9" s="54" t="str">
        <f t="shared" si="4"/>
        <v>N</v>
      </c>
      <c r="X29" s="164">
        <f t="shared" si="5"/>
        <v>1</v>
      </c>
      <c r="Y29" s="69">
        <f t="shared" si="6"/>
        <v>7.4999999999999997E-2</v>
      </c>
      <c r="Z29" s="69">
        <f t="shared" si="16"/>
        <v>23.330300000000001</v>
      </c>
      <c r="AA29" s="69">
        <f t="shared" si="7"/>
        <v>23.255300000000002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8"/>
        <v>0115-06</v>
      </c>
      <c r="AE29" s="95" t="str">
        <f t="shared" si="9"/>
        <v>aws s3 cp s3://rtdc.mdm.uploadarchive.raw/RTDC4027/ "%USERPROFILE%\AppData\Local\Temp\OnboardLogs"\RTDC4027\2016-10-06 --exclude "*" --recursive --include "*20161006*" &amp; "%USERPROFILE%\Documents\GitHub\mrs-test-scripts\Headless Mode &amp; Sideloading\WalkAndUnGZ.bat" "%USERPROFILE%\AppData\Local\Temp\OnboardLogs"\RTDC4027\2016-10-06 &amp; aws s3 cp s3://rtdc.mdm.uploadarchive.raw/RTDC4027/ "%USERPROFILE%\AppData\Local\Temp\OnboardLogs"\RTDC4027\2016-10-07 --exclude "*" --recursive --include "*20161007*" &amp; "%USERPROFILE%\Documents\GitHub\mrs-test-scripts\Headless Mode &amp; Sideloading\WalkAndUnGZ.bat" "%USERPROFILE%\AppData\Local\Temp\OnboardLogs"\RTDC4027\2016-10-07</v>
      </c>
      <c r="AF29" s="92" t="str">
        <f t="shared" si="10"/>
        <v>"C:\Program Files (x86)\AstroGrep\AstroGrep.exe" /spath="%USERPROFILE%\AppData\Local\Temp\OnboardLogs" /stypes="app*4027*20161006*" /stext=" 12:.+((SYSTEM_STATE.+slice.+state.+changed )|(ment ac)|(system.+state.+changed )|(\[timeout)|(PRM\|1\|D)|(kpr)|(kdp)|(\|lc)|(penalty))" /e /r /s</v>
      </c>
      <c r="AG29" s="1" t="str">
        <f t="shared" si="11"/>
        <v>EC</v>
      </c>
      <c r="AH29" s="96" t="str">
        <f t="shared" si="14"/>
        <v>"%USERPROFILE%\Documents\GitHub\eaglep3\Utilities\RefineRTDCRunTimes.py" --tripid 115-06 --locoid 4027 --swversion DE.1.0.7.0 --startMP 204:750 --initTime 2016-10-06T05:34:26 --startdatetime 2016-10-06T05:36:29 --delay 1 --endMP 204:233303 --enddatetime 2016-10-06T06:13:33 --enforcementcount 0 &gt;&gt;C:\Users\stu\Documents\GitHub\eaglep3-reporting\EC\2016-10-06-refined-times.txt</v>
      </c>
      <c r="AI29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{"issue":{"subject":"","project_id":79,"tracker_id":40,"status_id":1,"priority_id":2,"assigned_to_id":23,"start_date":"2016-10-06","description":"","custom_fields":[{"id":1,"name":"Subdivision","value":"EC"},{"id":4,"name":"Milepost","value":"23.3303"},{"id":17,"name":"Train ID","value":"115-06"},{"id":16,"name":"Locomotive ID","value":"4027"},{"id":130,"name":"Impact","value":""},{"id":150,"name":"Time of Event (Mountain Time)","value":"06:13:33"},{"id":151,"name":"Denver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426</v>
      </c>
      <c r="B30" s="7">
        <v>4028</v>
      </c>
      <c r="C30" s="24" t="s">
        <v>106</v>
      </c>
      <c r="D30" s="24" t="s">
        <v>233</v>
      </c>
      <c r="E30" s="15">
        <v>42649.260891203703</v>
      </c>
      <c r="F30" s="15">
        <v>42649.269004629627</v>
      </c>
      <c r="G30" s="7">
        <v>1</v>
      </c>
      <c r="H30" s="15" t="s">
        <v>191</v>
      </c>
      <c r="I30" s="15">
        <v>42649.307835648149</v>
      </c>
      <c r="J30" s="7">
        <v>0</v>
      </c>
      <c r="K30" s="117" t="str">
        <f t="shared" si="0"/>
        <v>4027/4028</v>
      </c>
      <c r="L30" s="24" t="str">
        <f>VLOOKUP(A30,'Trips&amp;Operators'!$C$1:$E$10000,3,FALSE)</f>
        <v>BRANNON</v>
      </c>
      <c r="M30" s="6">
        <f t="shared" si="1"/>
        <v>3.8831018522614613E-2</v>
      </c>
      <c r="N30" s="7">
        <f t="shared" si="19"/>
        <v>55.916666672565043</v>
      </c>
      <c r="O30" s="7"/>
      <c r="P30" s="7"/>
      <c r="Q30" s="25"/>
      <c r="R30" s="25"/>
      <c r="S30" s="37">
        <f t="shared" si="20"/>
        <v>1</v>
      </c>
      <c r="T30" s="52" t="str">
        <f t="shared" si="2"/>
        <v>Southbound</v>
      </c>
      <c r="U30" s="159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05:15:41-0600',mode:absolute,to:'2016-10-06 08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0" s="54" t="str">
        <f t="shared" si="4"/>
        <v>N</v>
      </c>
      <c r="X30" s="164">
        <f t="shared" si="5"/>
        <v>1</v>
      </c>
      <c r="Y30" s="69">
        <f t="shared" si="6"/>
        <v>23.297799999999999</v>
      </c>
      <c r="Z30" s="69">
        <f t="shared" si="16"/>
        <v>1.6E-2</v>
      </c>
      <c r="AA30" s="69">
        <f t="shared" si="7"/>
        <v>23.2818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8"/>
        <v>0116-06</v>
      </c>
      <c r="AE30" s="95" t="str">
        <f t="shared" si="9"/>
        <v>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 &amp; aws s3 cp s3://rtdc.mdm.uploadarchive.raw/RTDC4028/ "%USERPROFILE%\AppData\Local\Temp\OnboardLogs"\RTDC4028\2016-10-07 --exclude "*" --recursive --include "*20161007*" &amp; "%USERPROFILE%\Documents\GitHub\mrs-test-scripts\Headless Mode &amp; Sideloading\WalkAndUnGZ.bat" "%USERPROFILE%\AppData\Local\Temp\OnboardLogs"\RTDC4028\2016-10-07</v>
      </c>
      <c r="AF30" s="92" t="str">
        <f t="shared" si="10"/>
        <v>"C:\Program Files (x86)\AstroGrep\AstroGrep.exe" /spath="%USERPROFILE%\AppData\Local\Temp\OnboardLogs" /stypes="app*4028*20161006*" /stext=" 13:.+((SYSTEM_STATE.+slice.+state.+changed )|(ment ac)|(system.+state.+changed )|(\[timeout)|(PRM\|1\|D)|(kpr)|(kdp)|(\|lc)|(penalty))" /e /r /s</v>
      </c>
      <c r="AG30" s="1" t="str">
        <f t="shared" si="11"/>
        <v>EC</v>
      </c>
      <c r="AH30" s="96" t="str">
        <f t="shared" si="14"/>
        <v>"%USERPROFILE%\Documents\GitHub\eaglep3\Utilities\RefineRTDCRunTimes.py" --tripid 116-06 --locoid 4028 --swversion DE.1.0.7.0 --startMP 204:232978 --initTime 2016-10-06T06:15:41 --startdatetime 2016-10-06T06:27:22 --delay 1 --endMP 204:160 --enddatetime 2016-10-06T07:23:17 --enforcementcount 0 &gt;&gt;C:\Users\stu\Documents\GitHub\eaglep3-reporting\EC\2016-10-06-refined-times.txt</v>
      </c>
      <c r="AI30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{"issue":{"subject":"","project_id":79,"tracker_id":40,"status_id":1,"priority_id":2,"assigned_to_id":23,"start_date":"2016-10-06","description":"","custom_fields":[{"id":1,"name":"Subdivision","value":"EC"},{"id":4,"name":"Milepost","value":"0.016"},{"id":17,"name":"Train ID","value":"116-06"},{"id":16,"name":"Locomotive ID","value":"4028"},{"id":130,"name":"Impact","value":""},{"id":150,"name":"Time of Event (Mountain Time)","value":"07:23:17"},{"id":151,"name":"Denver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415</v>
      </c>
      <c r="B31" s="7">
        <v>4044</v>
      </c>
      <c r="C31" s="24" t="s">
        <v>106</v>
      </c>
      <c r="D31" s="24" t="s">
        <v>275</v>
      </c>
      <c r="E31" s="15">
        <v>42649.237685185188</v>
      </c>
      <c r="F31" s="15">
        <v>42649.23982638889</v>
      </c>
      <c r="G31" s="7">
        <v>1</v>
      </c>
      <c r="H31" s="15" t="s">
        <v>274</v>
      </c>
      <c r="I31" s="15">
        <v>42649.274733796294</v>
      </c>
      <c r="J31" s="7">
        <v>0</v>
      </c>
      <c r="K31" s="117" t="str">
        <f t="shared" si="0"/>
        <v>4043/4044</v>
      </c>
      <c r="L31" s="24" t="str">
        <f>VLOOKUP(A31,'Trips&amp;Operators'!$C$1:$E$10000,3,FALSE)</f>
        <v>OUN</v>
      </c>
      <c r="M31" s="6">
        <f t="shared" si="1"/>
        <v>3.4907407403807156E-2</v>
      </c>
      <c r="N31" s="7">
        <f t="shared" si="19"/>
        <v>50.266666661482304</v>
      </c>
      <c r="O31" s="7"/>
      <c r="P31" s="7"/>
      <c r="Q31" s="25"/>
      <c r="R31" s="25"/>
      <c r="S31" s="37">
        <f t="shared" si="20"/>
        <v>1</v>
      </c>
      <c r="T31" s="52" t="str">
        <f t="shared" si="2"/>
        <v>NorthBound</v>
      </c>
      <c r="U31" s="159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04:42:16-0600',mode:absolute,to:'2016-10-06 07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1" s="54" t="str">
        <f t="shared" si="4"/>
        <v>N</v>
      </c>
      <c r="X31" s="164">
        <f t="shared" si="5"/>
        <v>1</v>
      </c>
      <c r="Y31" s="69">
        <f t="shared" si="6"/>
        <v>4.4200000000000003E-2</v>
      </c>
      <c r="Z31" s="69">
        <f t="shared" si="16"/>
        <v>23.331900000000001</v>
      </c>
      <c r="AA31" s="69">
        <f t="shared" si="7"/>
        <v>23.287700000000001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8"/>
        <v>0117-06</v>
      </c>
      <c r="AE31" s="95" t="str">
        <f t="shared" si="9"/>
        <v>aws s3 cp s3://rtdc.mdm.uploadarchive.raw/RTDC4044/ "%USERPROFILE%\AppData\Local\Temp\OnboardLogs"\RTDC4044\2016-10-06 --exclude "*" --recursive --include "*20161006*" &amp; "%USERPROFILE%\Documents\GitHub\mrs-test-scripts\Headless Mode &amp; Sideloading\WalkAndUnGZ.bat" "%USERPROFILE%\AppData\Local\Temp\OnboardLogs"\RTDC4044\2016-10-06 &amp; aws s3 cp s3://rtdc.mdm.uploadarchive.raw/RTDC4044/ "%USERPROFILE%\AppData\Local\Temp\OnboardLogs"\RTDC4044\2016-10-07 --exclude "*" --recursive --include "*20161007*" &amp; "%USERPROFILE%\Documents\GitHub\mrs-test-scripts\Headless Mode &amp; Sideloading\WalkAndUnGZ.bat" "%USERPROFILE%\AppData\Local\Temp\OnboardLogs"\RTDC4044\2016-10-07</v>
      </c>
      <c r="AF31" s="92" t="str">
        <f t="shared" si="10"/>
        <v>"C:\Program Files (x86)\AstroGrep\AstroGrep.exe" /spath="%USERPROFILE%\AppData\Local\Temp\OnboardLogs" /stypes="app*4044*20161006*" /stext=" 12:.+((SYSTEM_STATE.+slice.+state.+changed )|(ment ac)|(system.+state.+changed )|(\[timeout)|(PRM\|1\|D)|(kpr)|(kdp)|(\|lc)|(penalty))" /e /r /s</v>
      </c>
      <c r="AG31" s="1" t="str">
        <f t="shared" si="11"/>
        <v>EC</v>
      </c>
      <c r="AH31" s="96" t="str">
        <f t="shared" si="14"/>
        <v>"%USERPROFILE%\Documents\GitHub\eaglep3\Utilities\RefineRTDCRunTimes.py" --tripid 117-06 --locoid 4044 --swversion DE.1.0.7.0 --startMP 204:442 --initTime 2016-10-06T05:42:16 --startdatetime 2016-10-06T05:45:21 --delay 1 --endMP 204:233319 --enddatetime 2016-10-06T06:35:37 --enforcementcount 0 &gt;&gt;C:\Users\stu\Documents\GitHub\eaglep3-reporting\EC\2016-10-06-refined-times.txt</v>
      </c>
      <c r="AI31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{"issue":{"subject":"","project_id":79,"tracker_id":40,"status_id":1,"priority_id":2,"assigned_to_id":23,"start_date":"2016-10-06","description":"","custom_fields":[{"id":1,"name":"Subdivision","value":"EC"},{"id":4,"name":"Milepost","value":"23.3319"},{"id":17,"name":"Train ID","value":"117-06"},{"id":16,"name":"Locomotive ID","value":"4044"},{"id":130,"name":"Impact","value":""},{"id":150,"name":"Time of Event (Mountain Time)","value":"06:35:37"},{"id":151,"name":"Denver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429</v>
      </c>
      <c r="B32" s="7">
        <v>4043</v>
      </c>
      <c r="C32" s="24" t="s">
        <v>106</v>
      </c>
      <c r="D32" s="24" t="s">
        <v>642</v>
      </c>
      <c r="E32" s="15">
        <v>42649.277557870373</v>
      </c>
      <c r="F32" s="15">
        <v>42649.27884259259</v>
      </c>
      <c r="G32" s="7">
        <v>2</v>
      </c>
      <c r="H32" s="15" t="s">
        <v>235</v>
      </c>
      <c r="I32" s="15">
        <v>42649.312164351853</v>
      </c>
      <c r="J32" s="7">
        <v>0</v>
      </c>
      <c r="K32" s="117" t="str">
        <f t="shared" si="0"/>
        <v>4043/4044</v>
      </c>
      <c r="L32" s="24" t="str">
        <f>VLOOKUP(A32,'Trips&amp;Operators'!$C$1:$E$10000,3,FALSE)</f>
        <v>OUN</v>
      </c>
      <c r="M32" s="6">
        <f t="shared" si="1"/>
        <v>3.3321759263344575E-2</v>
      </c>
      <c r="N32" s="7">
        <f t="shared" si="19"/>
        <v>47.983333339216188</v>
      </c>
      <c r="O32" s="7"/>
      <c r="P32" s="7"/>
      <c r="Q32" s="25"/>
      <c r="R32" s="25"/>
      <c r="S32" s="37">
        <f t="shared" si="20"/>
        <v>1</v>
      </c>
      <c r="T32" s="52" t="str">
        <f t="shared" si="2"/>
        <v>Southbound</v>
      </c>
      <c r="U32" s="159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05:39:41-0600',mode:absolute,to:'2016-10-06 08:29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2" s="54" t="str">
        <f t="shared" si="4"/>
        <v>N</v>
      </c>
      <c r="X32" s="164">
        <f t="shared" si="5"/>
        <v>1</v>
      </c>
      <c r="Y32" s="69">
        <f t="shared" si="6"/>
        <v>23.261700000000001</v>
      </c>
      <c r="Z32" s="69">
        <f t="shared" si="16"/>
        <v>1.61E-2</v>
      </c>
      <c r="AA32" s="69">
        <f t="shared" si="7"/>
        <v>23.2456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8"/>
        <v>0118-06</v>
      </c>
      <c r="AE32" s="95" t="str">
        <f t="shared" si="9"/>
        <v>aws s3 cp s3://rtdc.mdm.uploadarchive.raw/RTDC4043/ "%USERPROFILE%\AppData\Local\Temp\OnboardLogs"\RTDC4043\2016-10-06 --exclude "*" --recursive --include "*20161006*" &amp; "%USERPROFILE%\Documents\GitHub\mrs-test-scripts\Headless Mode &amp; Sideloading\WalkAndUnGZ.bat" "%USERPROFILE%\AppData\Local\Temp\OnboardLogs"\RTDC4043\2016-10-06 &amp; aws s3 cp s3://rtdc.mdm.uploadarchive.raw/RTDC4043/ "%USERPROFILE%\AppData\Local\Temp\OnboardLogs"\RTDC4043\2016-10-07 --exclude "*" --recursive --include "*20161007*" &amp; "%USERPROFILE%\Documents\GitHub\mrs-test-scripts\Headless Mode &amp; Sideloading\WalkAndUnGZ.bat" "%USERPROFILE%\AppData\Local\Temp\OnboardLogs"\RTDC4043\2016-10-07</v>
      </c>
      <c r="AF32" s="92" t="str">
        <f t="shared" si="10"/>
        <v>"C:\Program Files (x86)\AstroGrep\AstroGrep.exe" /spath="%USERPROFILE%\AppData\Local\Temp\OnboardLogs" /stypes="app*4043*20161006*" /stext=" 13:.+((SYSTEM_STATE.+slice.+state.+changed )|(ment ac)|(system.+state.+changed )|(\[timeout)|(PRM\|1\|D)|(kpr)|(kdp)|(\|lc)|(penalty))" /e /r /s</v>
      </c>
      <c r="AG32" s="1" t="str">
        <f t="shared" si="11"/>
        <v>EC</v>
      </c>
      <c r="AH32" s="96" t="str">
        <f t="shared" si="14"/>
        <v>"%USERPROFILE%\Documents\GitHub\eaglep3\Utilities\RefineRTDCRunTimes.py" --tripid 118-06 --locoid 4043 --swversion DE.1.0.7.0 --startMP 204:232617 --initTime 2016-10-06T06:39:41 --startdatetime 2016-10-06T06:41:32 --delay 2 --endMP 204:161 --enddatetime 2016-10-06T07:29:31 --enforcementcount 0 &gt;&gt;C:\Users\stu\Documents\GitHub\eaglep3-reporting\EC\2016-10-06-refined-times.txt</v>
      </c>
      <c r="AI32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{"issue":{"subject":"","project_id":79,"tracker_id":40,"status_id":1,"priority_id":2,"assigned_to_id":23,"start_date":"2016-10-06","description":"","custom_fields":[{"id":1,"name":"Subdivision","value":"EC"},{"id":4,"name":"Milepost","value":"0.0161"},{"id":17,"name":"Train ID","value":"118-06"},{"id":16,"name":"Locomotive ID","value":"4043"},{"id":130,"name":"Impact","value":""},{"id":150,"name":"Time of Event (Mountain Time)","value":"07:29:31"},{"id":151,"name":"Denver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420</v>
      </c>
      <c r="B33" s="7">
        <v>4009</v>
      </c>
      <c r="C33" s="24" t="s">
        <v>106</v>
      </c>
      <c r="D33" s="24" t="s">
        <v>341</v>
      </c>
      <c r="E33" s="15">
        <v>42649.253842592596</v>
      </c>
      <c r="F33" s="15">
        <v>42649.255347222221</v>
      </c>
      <c r="G33" s="7">
        <v>1</v>
      </c>
      <c r="H33" s="15" t="s">
        <v>253</v>
      </c>
      <c r="I33" s="15">
        <v>42649.283263888887</v>
      </c>
      <c r="J33" s="7">
        <v>0</v>
      </c>
      <c r="K33" s="117" t="str">
        <f t="shared" si="0"/>
        <v>4009/4010</v>
      </c>
      <c r="L33" s="24" t="str">
        <f>VLOOKUP(A33,'Trips&amp;Operators'!$C$1:$E$10000,3,FALSE)</f>
        <v>SMITH</v>
      </c>
      <c r="M33" s="6">
        <f t="shared" si="1"/>
        <v>2.7916666665987577E-2</v>
      </c>
      <c r="N33" s="7">
        <f t="shared" si="19"/>
        <v>40.199999999022111</v>
      </c>
      <c r="O33" s="7"/>
      <c r="P33" s="7"/>
      <c r="Q33" s="25"/>
      <c r="R33" s="25"/>
      <c r="S33" s="37">
        <f t="shared" si="20"/>
        <v>1</v>
      </c>
      <c r="T33" s="52" t="str">
        <f t="shared" si="2"/>
        <v>NorthBound</v>
      </c>
      <c r="U33" s="159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05:05:32-0600',mode:absolute,to:'2016-10-06 07:47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3" s="54" t="str">
        <f t="shared" si="4"/>
        <v>N</v>
      </c>
      <c r="X33" s="164">
        <f t="shared" si="5"/>
        <v>1</v>
      </c>
      <c r="Y33" s="69">
        <f t="shared" si="6"/>
        <v>7.3899999999999993E-2</v>
      </c>
      <c r="Z33" s="69">
        <f t="shared" si="16"/>
        <v>23.328900000000001</v>
      </c>
      <c r="AA33" s="69">
        <f t="shared" si="7"/>
        <v>23.255000000000003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8"/>
        <v>0119-06</v>
      </c>
      <c r="AE33" s="95" t="str">
        <f t="shared" si="9"/>
        <v>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 &amp; aws s3 cp s3://rtdc.mdm.uploadarchive.raw/RTDC4009/ "%USERPROFILE%\AppData\Local\Temp\OnboardLogs"\RTDC4009\2016-10-07 --exclude "*" --recursive --include "*20161007*" &amp; "%USERPROFILE%\Documents\GitHub\mrs-test-scripts\Headless Mode &amp; Sideloading\WalkAndUnGZ.bat" "%USERPROFILE%\AppData\Local\Temp\OnboardLogs"\RTDC4009\2016-10-07</v>
      </c>
      <c r="AF33" s="92" t="str">
        <f t="shared" si="10"/>
        <v>"C:\Program Files (x86)\AstroGrep\AstroGrep.exe" /spath="%USERPROFILE%\AppData\Local\Temp\OnboardLogs" /stypes="app*4009*20161006*" /stext=" 12:.+((SYSTEM_STATE.+slice.+state.+changed )|(ment ac)|(system.+state.+changed )|(\[timeout)|(PRM\|1\|D)|(kpr)|(kdp)|(\|lc)|(penalty))" /e /r /s</v>
      </c>
      <c r="AG33" s="1" t="str">
        <f t="shared" si="11"/>
        <v>EC</v>
      </c>
      <c r="AH33" s="96" t="str">
        <f t="shared" si="14"/>
        <v>"%USERPROFILE%\Documents\GitHub\eaglep3\Utilities\RefineRTDCRunTimes.py" --tripid 119-06 --locoid 4009 --swversion DE.1.0.7.0 --startMP 204:739 --initTime 2016-10-06T06:05:32 --startdatetime 2016-10-06T06:07:42 --delay 1 --endMP 204:233289 --enddatetime 2016-10-06T06:47:54 --enforcementcount 0 &gt;&gt;C:\Users\stu\Documents\GitHub\eaglep3-reporting\EC\2016-10-06-refined-times.txt</v>
      </c>
      <c r="AI33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{"issue":{"subject":"","project_id":79,"tracker_id":40,"status_id":1,"priority_id":2,"assigned_to_id":23,"start_date":"2016-10-06","description":"","custom_fields":[{"id":1,"name":"Subdivision","value":"EC"},{"id":4,"name":"Milepost","value":"23.3289"},{"id":17,"name":"Train ID","value":"119-06"},{"id":16,"name":"Locomotive ID","value":"4009"},{"id":130,"name":"Impact","value":""},{"id":150,"name":"Time of Event (Mountain Time)","value":"06:47:54"},{"id":151,"name":"Denver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432</v>
      </c>
      <c r="B34" s="7">
        <v>4010</v>
      </c>
      <c r="C34" s="24" t="s">
        <v>106</v>
      </c>
      <c r="D34" s="24" t="s">
        <v>266</v>
      </c>
      <c r="E34" s="15">
        <v>42649.29042824074</v>
      </c>
      <c r="F34" s="15">
        <v>42649.291388888887</v>
      </c>
      <c r="G34" s="7">
        <v>0</v>
      </c>
      <c r="H34" s="15" t="s">
        <v>242</v>
      </c>
      <c r="I34" s="15">
        <v>42649.319502314815</v>
      </c>
      <c r="J34" s="7">
        <v>0</v>
      </c>
      <c r="K34" s="117" t="str">
        <f t="shared" si="0"/>
        <v>4009/4010</v>
      </c>
      <c r="L34" s="24" t="str">
        <f>VLOOKUP(A34,'Trips&amp;Operators'!$C$1:$E$10000,3,FALSE)</f>
        <v>SMITH</v>
      </c>
      <c r="M34" s="6">
        <f t="shared" si="1"/>
        <v>2.8113425927585922E-2</v>
      </c>
      <c r="N34" s="7">
        <f t="shared" si="19"/>
        <v>40.483333335723728</v>
      </c>
      <c r="O34" s="7"/>
      <c r="P34" s="7"/>
      <c r="Q34" s="25"/>
      <c r="R34" s="25"/>
      <c r="S34" s="37">
        <f t="shared" si="20"/>
        <v>1</v>
      </c>
      <c r="T34" s="52" t="str">
        <f t="shared" si="2"/>
        <v>Southbound</v>
      </c>
      <c r="U34" s="159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05:58:13-0600',mode:absolute,to:'2016-10-06 08:40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4" s="54" t="str">
        <f t="shared" si="4"/>
        <v>N</v>
      </c>
      <c r="X34" s="164">
        <f t="shared" si="5"/>
        <v>1</v>
      </c>
      <c r="Y34" s="69">
        <f t="shared" si="6"/>
        <v>23.297499999999999</v>
      </c>
      <c r="Z34" s="69">
        <f t="shared" si="16"/>
        <v>1.6500000000000001E-2</v>
      </c>
      <c r="AA34" s="69">
        <f t="shared" si="7"/>
        <v>23.280999999999999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 t="shared" si="8"/>
        <v>0120-06</v>
      </c>
      <c r="AE34" s="95" t="str">
        <f t="shared" si="9"/>
        <v>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 &amp; aws s3 cp s3://rtdc.mdm.uploadarchive.raw/RTDC4010/ "%USERPROFILE%\AppData\Local\Temp\OnboardLogs"\RTDC4010\2016-10-07 --exclude "*" --recursive --include "*20161007*" &amp; "%USERPROFILE%\Documents\GitHub\mrs-test-scripts\Headless Mode &amp; Sideloading\WalkAndUnGZ.bat" "%USERPROFILE%\AppData\Local\Temp\OnboardLogs"\RTDC4010\2016-10-07</v>
      </c>
      <c r="AF34" s="92" t="str">
        <f t="shared" si="10"/>
        <v>"C:\Program Files (x86)\AstroGrep\AstroGrep.exe" /spath="%USERPROFILE%\AppData\Local\Temp\OnboardLogs" /stypes="app*4010*20161006*" /stext=" 13:.+((SYSTEM_STATE.+slice.+state.+changed )|(ment ac)|(system.+state.+changed )|(\[timeout)|(PRM\|1\|D)|(kpr)|(kdp)|(\|lc)|(penalty))" /e /r /s</v>
      </c>
      <c r="AG34" s="1" t="str">
        <f t="shared" si="11"/>
        <v>EC</v>
      </c>
      <c r="AH34" s="96" t="str">
        <f t="shared" si="14"/>
        <v>"%USERPROFILE%\Documents\GitHub\eaglep3\Utilities\RefineRTDCRunTimes.py" --tripid 120-06 --locoid 4010 --swversion DE.1.0.7.0 --startMP 204:232975 --initTime 2016-10-06T06:58:13 --startdatetime 2016-10-06T06:59:36 --delay 0 --endMP 204:165 --enddatetime 2016-10-06T07:40:05 --enforcementcount 0 &gt;&gt;C:\Users\stu\Documents\GitHub\eaglep3-reporting\EC\2016-10-06-refined-times.txt</v>
      </c>
      <c r="AI34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{"issue":{"subject":"","project_id":79,"tracker_id":40,"status_id":1,"priority_id":2,"assigned_to_id":23,"start_date":"2016-10-06","description":"","custom_fields":[{"id":1,"name":"Subdivision","value":"EC"},{"id":4,"name":"Milepost","value":"0.0165"},{"id":17,"name":"Train ID","value":"120-06"},{"id":16,"name":"Locomotive ID","value":"4010"},{"id":130,"name":"Impact","value":""},{"id":150,"name":"Time of Event (Mountain Time)","value":"07:40:05"},{"id":151,"name":"Denver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423</v>
      </c>
      <c r="B35" s="7">
        <v>4018</v>
      </c>
      <c r="C35" s="24" t="s">
        <v>106</v>
      </c>
      <c r="D35" s="24" t="s">
        <v>304</v>
      </c>
      <c r="E35" s="15">
        <v>42649.257210648146</v>
      </c>
      <c r="F35" s="15">
        <v>42649.260821759257</v>
      </c>
      <c r="G35" s="7">
        <v>1</v>
      </c>
      <c r="H35" s="15" t="s">
        <v>251</v>
      </c>
      <c r="I35" s="15">
        <v>42649.291770833333</v>
      </c>
      <c r="J35" s="7">
        <v>0</v>
      </c>
      <c r="K35" s="117" t="str">
        <f t="shared" si="0"/>
        <v>4017/4018</v>
      </c>
      <c r="L35" s="24" t="str">
        <f>VLOOKUP(A35,'Trips&amp;Operators'!$C$1:$E$10000,3,FALSE)</f>
        <v>STRICKLAND</v>
      </c>
      <c r="M35" s="6">
        <f t="shared" si="1"/>
        <v>3.0949074076488614E-2</v>
      </c>
      <c r="N35" s="7">
        <f t="shared" si="19"/>
        <v>44.566666670143604</v>
      </c>
      <c r="O35" s="7"/>
      <c r="P35" s="7"/>
      <c r="Q35" s="25"/>
      <c r="R35" s="25"/>
      <c r="S35" s="37">
        <f t="shared" si="20"/>
        <v>1</v>
      </c>
      <c r="T35" s="52" t="str">
        <f t="shared" si="2"/>
        <v>NorthBound</v>
      </c>
      <c r="U35" s="159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05:10:23-0600',mode:absolute,to:'2016-10-06 08:00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5" s="54" t="str">
        <f t="shared" si="4"/>
        <v>N</v>
      </c>
      <c r="X35" s="164">
        <f t="shared" si="5"/>
        <v>1</v>
      </c>
      <c r="Y35" s="69">
        <f t="shared" si="6"/>
        <v>4.5999999999999999E-2</v>
      </c>
      <c r="Z35" s="69">
        <f t="shared" si="16"/>
        <v>23.3308</v>
      </c>
      <c r="AA35" s="69">
        <f t="shared" si="7"/>
        <v>23.284800000000001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8"/>
        <v>0121-06</v>
      </c>
      <c r="AE35" s="95" t="str">
        <f t="shared" si="9"/>
        <v>aws s3 cp s3://rtdc.mdm.uploadarchive.raw/RTDC4018/ "%USERPROFILE%\AppData\Local\Temp\OnboardLogs"\RTDC4018\2016-10-06 --exclude "*" --recursive --include "*20161006*" &amp; "%USERPROFILE%\Documents\GitHub\mrs-test-scripts\Headless Mode &amp; Sideloading\WalkAndUnGZ.bat" "%USERPROFILE%\AppData\Local\Temp\OnboardLogs"\RTDC4018\2016-10-06 &amp; 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</v>
      </c>
      <c r="AF35" s="92" t="str">
        <f t="shared" si="10"/>
        <v>"C:\Program Files (x86)\AstroGrep\AstroGrep.exe" /spath="%USERPROFILE%\AppData\Local\Temp\OnboardLogs" /stypes="app*4018*20161006*" /stext=" 13:.+((SYSTEM_STATE.+slice.+state.+changed )|(ment ac)|(system.+state.+changed )|(\[timeout)|(PRM\|1\|D)|(kpr)|(kdp)|(\|lc)|(penalty))" /e /r /s</v>
      </c>
      <c r="AG35" s="1" t="str">
        <f t="shared" si="11"/>
        <v>EC</v>
      </c>
      <c r="AH35" s="96" t="str">
        <f t="shared" si="14"/>
        <v>"%USERPROFILE%\Documents\GitHub\eaglep3\Utilities\RefineRTDCRunTimes.py" --tripid 121-06 --locoid 4018 --swversion DE.1.0.7.0 --startMP 204:460 --initTime 2016-10-06T06:10:23 --startdatetime 2016-10-06T06:15:35 --delay 1 --endMP 204:233308 --enddatetime 2016-10-06T07:00:09 --enforcementcount 0 &gt;&gt;C:\Users\stu\Documents\GitHub\eaglep3-reporting\EC\2016-10-06-refined-times.txt</v>
      </c>
      <c r="AI35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{"issue":{"subject":"","project_id":79,"tracker_id":40,"status_id":1,"priority_id":2,"assigned_to_id":23,"start_date":"2016-10-06","description":"","custom_fields":[{"id":1,"name":"Subdivision","value":"EC"},{"id":4,"name":"Milepost","value":"23.3308"},{"id":17,"name":"Train ID","value":"121-06"},{"id":16,"name":"Locomotive ID","value":"4018"},{"id":130,"name":"Impact","value":""},{"id":150,"name":"Time of Event (Mountain Time)","value":"07:00:09"},{"id":151,"name":"Denver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433</v>
      </c>
      <c r="B36" s="7">
        <v>4017</v>
      </c>
      <c r="C36" s="24" t="s">
        <v>106</v>
      </c>
      <c r="D36" s="24" t="s">
        <v>272</v>
      </c>
      <c r="E36" s="15">
        <v>42649.295231481483</v>
      </c>
      <c r="F36" s="15">
        <v>42649.299513888887</v>
      </c>
      <c r="G36" s="7">
        <v>1</v>
      </c>
      <c r="H36" s="15" t="s">
        <v>270</v>
      </c>
      <c r="I36" s="15">
        <v>42649.329502314817</v>
      </c>
      <c r="J36" s="7">
        <v>0</v>
      </c>
      <c r="K36" s="117" t="str">
        <f t="shared" si="0"/>
        <v>4017/4018</v>
      </c>
      <c r="L36" s="24" t="str">
        <f>VLOOKUP(A36,'Trips&amp;Operators'!$C$1:$E$10000,3,FALSE)</f>
        <v>STRICKLAND</v>
      </c>
      <c r="M36" s="6">
        <f t="shared" si="1"/>
        <v>2.9988425929332152E-2</v>
      </c>
      <c r="N36" s="7">
        <f t="shared" si="19"/>
        <v>43.183333338238299</v>
      </c>
      <c r="O36" s="7"/>
      <c r="P36" s="7"/>
      <c r="Q36" s="25"/>
      <c r="R36" s="25"/>
      <c r="S36" s="37">
        <f t="shared" si="20"/>
        <v>1</v>
      </c>
      <c r="T36" s="52" t="str">
        <f t="shared" si="2"/>
        <v>Southbound</v>
      </c>
      <c r="U36" s="159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06:05:08-0600',mode:absolute,to:'2016-10-06 08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6" s="54" t="str">
        <f t="shared" si="4"/>
        <v>N</v>
      </c>
      <c r="X36" s="164">
        <f t="shared" si="5"/>
        <v>1</v>
      </c>
      <c r="Y36" s="69">
        <f t="shared" si="6"/>
        <v>23.298500000000001</v>
      </c>
      <c r="Z36" s="69">
        <f t="shared" si="16"/>
        <v>1.7600000000000001E-2</v>
      </c>
      <c r="AA36" s="69">
        <f t="shared" si="7"/>
        <v>23.280899999999999</v>
      </c>
      <c r="AB36" s="66" t="str">
        <f>VLOOKUP(A36,Enforcements!$C$7:$K$21,8,0)</f>
        <v>Speed (6)</v>
      </c>
      <c r="AC36" s="62" t="str">
        <f>VLOOKUP(A36,Enforcements!$C$7:$E$21,3,0)</f>
        <v>PERMANENT SPEED RESTRICTION</v>
      </c>
      <c r="AD36" s="63" t="str">
        <f t="shared" si="8"/>
        <v>0122-06</v>
      </c>
      <c r="AE36" s="95" t="str">
        <f t="shared" si="9"/>
        <v>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 &amp; 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</v>
      </c>
      <c r="AF36" s="92" t="str">
        <f t="shared" si="10"/>
        <v>"C:\Program Files (x86)\AstroGrep\AstroGrep.exe" /spath="%USERPROFILE%\AppData\Local\Temp\OnboardLogs" /stypes="app*4017*20161006*" /stext=" 13:.+((SYSTEM_STATE.+slice.+state.+changed )|(ment ac)|(system.+state.+changed )|(\[timeout)|(PRM\|1\|D)|(kpr)|(kdp)|(\|lc)|(penalty))" /e /r /s</v>
      </c>
      <c r="AG36" s="1" t="str">
        <f t="shared" si="11"/>
        <v>EC</v>
      </c>
      <c r="AH36" s="96" t="str">
        <f t="shared" si="14"/>
        <v>"%USERPROFILE%\Documents\GitHub\eaglep3\Utilities\RefineRTDCRunTimes.py" --tripid 122-06 --locoid 4017 --swversion DE.1.0.7.0 --startMP 204:232985 --initTime 2016-10-06T07:05:08 --startdatetime 2016-10-06T07:11:18 --delay 1 --endMP 204:176 --enddatetime 2016-10-06T07:54:29 --enforcementcount 0 &gt;&gt;C:\Users\stu\Documents\GitHub\eaglep3-reporting\EC\2016-10-06-refined-times.txt</v>
      </c>
      <c r="AI36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{"issue":{"subject":"","project_id":79,"tracker_id":40,"status_id":1,"priority_id":2,"assigned_to_id":23,"start_date":"2016-10-06","description":"","custom_fields":[{"id":1,"name":"Subdivision","value":"EC"},{"id":4,"name":"Milepost","value":"0.0176"},{"id":17,"name":"Train ID","value":"122-06"},{"id":16,"name":"Locomotive ID","value":"4017"},{"id":130,"name":"Impact","value":""},{"id":150,"name":"Time of Event (Mountain Time)","value":"07:54:29"},{"id":151,"name":"Denver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427</v>
      </c>
      <c r="B37" s="7">
        <v>4007</v>
      </c>
      <c r="C37" s="24" t="s">
        <v>106</v>
      </c>
      <c r="D37" s="24" t="s">
        <v>643</v>
      </c>
      <c r="E37" s="15">
        <v>42649.27449074074</v>
      </c>
      <c r="F37" s="15">
        <v>42649.275497685187</v>
      </c>
      <c r="G37" s="7">
        <v>1</v>
      </c>
      <c r="H37" s="15" t="s">
        <v>644</v>
      </c>
      <c r="I37" s="15">
        <v>42649.298576388886</v>
      </c>
      <c r="J37" s="7">
        <v>0</v>
      </c>
      <c r="K37" s="117" t="str">
        <f t="shared" si="0"/>
        <v>4007/4008</v>
      </c>
      <c r="L37" s="24" t="str">
        <f>VLOOKUP(A37,'Trips&amp;Operators'!$C$1:$E$10000,3,FALSE)</f>
        <v>ROCHA</v>
      </c>
      <c r="M37" s="6">
        <f t="shared" si="1"/>
        <v>2.307870369986631E-2</v>
      </c>
      <c r="N37" s="7"/>
      <c r="O37" s="7"/>
      <c r="P37" s="7">
        <f>24*60*SUM($M37:$M37)</f>
        <v>33.233333327807486</v>
      </c>
      <c r="Q37" s="25"/>
      <c r="R37" s="25" t="s">
        <v>827</v>
      </c>
      <c r="S37" s="37">
        <f t="shared" si="20"/>
        <v>1</v>
      </c>
      <c r="T37" s="52" t="str">
        <f t="shared" si="2"/>
        <v>NorthBound</v>
      </c>
      <c r="U37" s="159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05:35:16-0600',mode:absolute,to:'2016-10-06 08:09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7" s="54" t="str">
        <f t="shared" si="4"/>
        <v>Y</v>
      </c>
      <c r="X37" s="164">
        <f t="shared" si="5"/>
        <v>1</v>
      </c>
      <c r="Y37" s="69">
        <f t="shared" si="6"/>
        <v>1.9128000000000001</v>
      </c>
      <c r="Z37" s="69">
        <f t="shared" si="16"/>
        <v>23.3263</v>
      </c>
      <c r="AA37" s="69">
        <f t="shared" si="7"/>
        <v>21.413499999999999</v>
      </c>
      <c r="AB37" s="66" t="str">
        <f>VLOOKUP(A37,Enforcements!$C$7:$K$21,8,0)</f>
        <v>Bulletin (2)</v>
      </c>
      <c r="AC37" s="62" t="str">
        <f>VLOOKUP(A37,Enforcements!$C$7:$E$21,3,0)</f>
        <v>GRADE CROSSING</v>
      </c>
      <c r="AD37" s="63" t="str">
        <f t="shared" si="8"/>
        <v>0123-06</v>
      </c>
      <c r="AE37" s="95" t="str">
        <f t="shared" si="9"/>
        <v>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 &amp; 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</v>
      </c>
      <c r="AF37" s="92" t="str">
        <f t="shared" si="10"/>
        <v>"C:\Program Files (x86)\AstroGrep\AstroGrep.exe" /spath="%USERPROFILE%\AppData\Local\Temp\OnboardLogs" /stypes="app*4007*20161006*" /stext=" 13:.+((SYSTEM_STATE.+slice.+state.+changed )|(ment ac)|(system.+state.+changed )|(\[timeout)|(PRM\|1\|D)|(kpr)|(kdp)|(\|lc)|(penalty))" /e /r /s</v>
      </c>
      <c r="AG37" s="1" t="str">
        <f t="shared" si="11"/>
        <v>EC</v>
      </c>
      <c r="AH37" s="96" t="str">
        <f t="shared" si="14"/>
        <v>"%USERPROFILE%\Documents\GitHub\eaglep3\Utilities\RefineRTDCRunTimes.py" --tripid 123-06 --locoid 4007 --swversion DE.1.0.7.0 --startMP 204:19128 --initTime 2016-10-06T06:35:16 --startdatetime 2016-10-06T06:36:43 --delay 1 --endMP 204:233263 --enddatetime 2016-10-06T07:09:57 --enforcementcount 0 &gt;&gt;C:\Users\stu\Documents\GitHub\eaglep3-reporting\EC\2016-10-06-refined-times.txt</v>
      </c>
      <c r="AI37" s="130" t="str">
        <f t="shared" si="15"/>
        <v>echo {"issue":{"subject":"Went active too close to signal","project_id":79,"tracker_id":40,"status_id":1,"priority_id":2,"assigned_to_id":23,"start_date":"2016-10-06","description":"On this trip at DUS, the train went active too close to DUS 4N, and was enforced reactively","custom_fields":[{"id":1,"name":"Subdivision","value":"EC"},{"id":4,"name":"Milepost","value":"23.3263"},{"id":17,"name":"Train ID","value":"123-06"},{"id":16,"name":"Locomotive ID","value":"4007"},{"id":130,"name":"Impact","value":"Enforcement"},{"id":150,"name":"Time of Event (Mountain Time)","value":"07:09:57"},{"id":151,"name":"Denver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37" s="55" t="s">
        <v>828</v>
      </c>
      <c r="AK37" s="55" t="s">
        <v>134</v>
      </c>
      <c r="AL37" s="55" t="s">
        <v>207</v>
      </c>
    </row>
    <row r="38" spans="1:38" s="1" customFormat="1" x14ac:dyDescent="0.25">
      <c r="A38" s="39" t="s">
        <v>427</v>
      </c>
      <c r="B38" s="7">
        <v>4007</v>
      </c>
      <c r="C38" s="24" t="s">
        <v>106</v>
      </c>
      <c r="D38" s="24" t="s">
        <v>203</v>
      </c>
      <c r="E38" s="15">
        <v>42649.269421296296</v>
      </c>
      <c r="F38" s="15">
        <v>42649.275497685187</v>
      </c>
      <c r="G38" s="7">
        <v>1</v>
      </c>
      <c r="H38" s="15" t="s">
        <v>645</v>
      </c>
      <c r="I38" s="15">
        <v>42649.298576388886</v>
      </c>
      <c r="J38" s="7">
        <v>0</v>
      </c>
      <c r="K38" s="117" t="str">
        <f t="shared" si="0"/>
        <v>4007/4008</v>
      </c>
      <c r="L38" s="24" t="str">
        <f>VLOOKUP(A38,'Trips&amp;Operators'!$C$1:$E$10000,3,FALSE)</f>
        <v>ROCHA</v>
      </c>
      <c r="M38" s="6">
        <f t="shared" si="1"/>
        <v>2.307870369986631E-2</v>
      </c>
      <c r="N38" s="7"/>
      <c r="O38" s="7"/>
      <c r="P38" s="7"/>
      <c r="Q38" s="25"/>
      <c r="R38" s="25"/>
      <c r="S38" s="37"/>
      <c r="T38" s="52" t="str">
        <f t="shared" si="2"/>
        <v>NorthBound</v>
      </c>
      <c r="U38" s="159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0</v>
      </c>
      <c r="V38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05:27:58-0600',mode:absolute,to:'2016-10-06 08:09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8" s="54" t="str">
        <f t="shared" si="4"/>
        <v>Y</v>
      </c>
      <c r="X38" s="164">
        <f t="shared" si="5"/>
        <v>0</v>
      </c>
      <c r="Y38" s="69">
        <f t="shared" si="6"/>
        <v>4.58E-2</v>
      </c>
      <c r="Z38" s="69">
        <f t="shared" si="16"/>
        <v>0.2031</v>
      </c>
      <c r="AA38" s="69">
        <f t="shared" si="7"/>
        <v>0.1573</v>
      </c>
      <c r="AB38" s="66" t="str">
        <f>VLOOKUP(A38,Enforcements!$C$7:$K$21,8,0)</f>
        <v>Bulletin (2)</v>
      </c>
      <c r="AC38" s="62" t="str">
        <f>VLOOKUP(A38,Enforcements!$C$7:$E$21,3,0)</f>
        <v>GRADE CROSSING</v>
      </c>
      <c r="AD38" s="63" t="str">
        <f t="shared" si="8"/>
        <v>0123-06</v>
      </c>
      <c r="AE38" s="95" t="str">
        <f t="shared" si="9"/>
        <v>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 &amp; 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</v>
      </c>
      <c r="AF38" s="92" t="str">
        <f t="shared" si="10"/>
        <v>"C:\Program Files (x86)\AstroGrep\AstroGrep.exe" /spath="%USERPROFILE%\AppData\Local\Temp\OnboardLogs" /stypes="app*4007*20161006*" /stext=" 13:.+((SYSTEM_STATE.+slice.+state.+changed )|(ment ac)|(system.+state.+changed )|(\[timeout)|(PRM\|1\|D)|(kpr)|(kdp)|(\|lc)|(penalty))" /e /r /s</v>
      </c>
      <c r="AG38" s="1" t="str">
        <f t="shared" si="11"/>
        <v>EC</v>
      </c>
      <c r="AH38" s="96" t="str">
        <f t="shared" si="14"/>
        <v>"%USERPROFILE%\Documents\GitHub\eaglep3\Utilities\RefineRTDCRunTimes.py" --tripid 123-06 --locoid 4007 --swversion DE.1.0.7.0 --startMP 204:458 --initTime 2016-10-06T06:27:58 --startdatetime 2016-10-06T06:36:43 --delay 1 --endMP 204:2031 --enddatetime 2016-10-06T07:09:57 --enforcementcount 0 &gt;&gt;C:\Users\stu\Documents\GitHub\eaglep3-reporting\EC\2016-10-06-refined-times.txt</v>
      </c>
      <c r="AI38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{"issue":{"subject":"","project_id":79,"tracker_id":40,"status_id":1,"priority_id":2,"assigned_to_id":23,"start_date":"2016-10-06","description":"","custom_fields":[{"id":1,"name":"Subdivision","value":"EC"},{"id":4,"name":"Milepost","value":"0.2031"},{"id":17,"name":"Train ID","value":"123-06"},{"id":16,"name":"Locomotive ID","value":"4007"},{"id":130,"name":"Impact","value":""},{"id":150,"name":"Time of Event (Mountain Time)","value":"07:09:57"},{"id":151,"name":"Denver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438</v>
      </c>
      <c r="B39" s="7">
        <v>4008</v>
      </c>
      <c r="C39" s="24" t="s">
        <v>106</v>
      </c>
      <c r="D39" s="24" t="s">
        <v>646</v>
      </c>
      <c r="E39" s="15">
        <v>42649.308715277781</v>
      </c>
      <c r="F39" s="15">
        <v>42649.310196759259</v>
      </c>
      <c r="G39" s="7">
        <v>1</v>
      </c>
      <c r="H39" s="15" t="s">
        <v>191</v>
      </c>
      <c r="I39" s="15">
        <v>42649.339571759258</v>
      </c>
      <c r="J39" s="7">
        <v>0</v>
      </c>
      <c r="K39" s="117" t="str">
        <f t="shared" si="0"/>
        <v>4007/4008</v>
      </c>
      <c r="L39" s="24" t="str">
        <f>VLOOKUP(A39,'Trips&amp;Operators'!$C$1:$E$10000,3,FALSE)</f>
        <v>ROCHA</v>
      </c>
      <c r="M39" s="6">
        <f t="shared" si="1"/>
        <v>2.937499999825377E-2</v>
      </c>
      <c r="N39" s="7">
        <f t="shared" ref="N39:N81" si="21">24*60*SUM($M39:$M39)</f>
        <v>42.299999997485429</v>
      </c>
      <c r="O39" s="7"/>
      <c r="P39" s="7"/>
      <c r="Q39" s="25"/>
      <c r="R39" s="25"/>
      <c r="S39" s="37">
        <f t="shared" ref="S39:S82" si="22">SUM(U39:U39)/IF(AG39="EC",12,1)</f>
        <v>1</v>
      </c>
      <c r="T39" s="52" t="str">
        <f t="shared" si="2"/>
        <v>Southbound</v>
      </c>
      <c r="U39" s="159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06:24:33-0600',mode:absolute,to:'2016-10-06 09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9" s="54" t="str">
        <f t="shared" si="4"/>
        <v>N</v>
      </c>
      <c r="X39" s="164">
        <f t="shared" si="5"/>
        <v>1</v>
      </c>
      <c r="Y39" s="69">
        <f t="shared" si="6"/>
        <v>23.2971</v>
      </c>
      <c r="Z39" s="69">
        <f t="shared" si="16"/>
        <v>1.6E-2</v>
      </c>
      <c r="AA39" s="69">
        <f t="shared" si="7"/>
        <v>23.281100000000002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8"/>
        <v>0124-06</v>
      </c>
      <c r="AE39" s="95" t="str">
        <f t="shared" si="9"/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AF39" s="92" t="str">
        <f t="shared" si="10"/>
        <v>"C:\Program Files (x86)\AstroGrep\AstroGrep.exe" /spath="%USERPROFILE%\AppData\Local\Temp\OnboardLogs" /stypes="app*4008*20161006*" /stext=" 14:.+((SYSTEM_STATE.+slice.+state.+changed )|(ment ac)|(system.+state.+changed )|(\[timeout)|(PRM\|1\|D)|(kpr)|(kdp)|(\|lc)|(penalty))" /e /r /s</v>
      </c>
      <c r="AG39" s="1" t="str">
        <f t="shared" si="11"/>
        <v>EC</v>
      </c>
      <c r="AH39" s="96" t="str">
        <f t="shared" si="14"/>
        <v>"%USERPROFILE%\Documents\GitHub\eaglep3\Utilities\RefineRTDCRunTimes.py" --tripid 124-06 --locoid 4008 --swversion DE.1.0.7.0 --startMP 204:232971 --initTime 2016-10-06T07:24:33 --startdatetime 2016-10-06T07:26:41 --delay 1 --endMP 204:160 --enddatetime 2016-10-06T08:08:59 --enforcementcount 0 &gt;&gt;C:\Users\stu\Documents\GitHub\eaglep3-reporting\EC\2016-10-06-refined-times.txt</v>
      </c>
      <c r="AI39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{"issue":{"subject":"","project_id":79,"tracker_id":40,"status_id":1,"priority_id":2,"assigned_to_id":23,"start_date":"2016-10-06","description":"","custom_fields":[{"id":1,"name":"Subdivision","value":"EC"},{"id":4,"name":"Milepost","value":"0.016"},{"id":17,"name":"Train ID","value":"124-06"},{"id":16,"name":"Locomotive ID","value":"4008"},{"id":130,"name":"Impact","value":""},{"id":150,"name":"Time of Event (Mountain Time)","value":"08:08:59"},{"id":151,"name":"Denver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431</v>
      </c>
      <c r="B40" s="7">
        <v>4025</v>
      </c>
      <c r="C40" s="24" t="s">
        <v>106</v>
      </c>
      <c r="D40" s="24" t="s">
        <v>647</v>
      </c>
      <c r="E40" s="15">
        <v>42649.280150462961</v>
      </c>
      <c r="F40" s="15">
        <v>42649.281840277778</v>
      </c>
      <c r="G40" s="7">
        <v>1</v>
      </c>
      <c r="H40" s="15" t="s">
        <v>648</v>
      </c>
      <c r="I40" s="15">
        <v>42649.308356481481</v>
      </c>
      <c r="J40" s="7">
        <v>0</v>
      </c>
      <c r="K40" s="117" t="str">
        <f t="shared" si="0"/>
        <v>4025/4026</v>
      </c>
      <c r="L40" s="24" t="str">
        <f>VLOOKUP(A40,'Trips&amp;Operators'!$C$1:$E$10000,3,FALSE)</f>
        <v>BROWN</v>
      </c>
      <c r="M40" s="6">
        <f t="shared" si="1"/>
        <v>2.6516203703067731E-2</v>
      </c>
      <c r="N40" s="7">
        <f t="shared" si="21"/>
        <v>38.183333332417533</v>
      </c>
      <c r="O40" s="7"/>
      <c r="P40" s="7"/>
      <c r="Q40" s="25"/>
      <c r="R40" s="25"/>
      <c r="S40" s="37">
        <f t="shared" si="22"/>
        <v>1</v>
      </c>
      <c r="T40" s="52" t="str">
        <f t="shared" si="2"/>
        <v>NorthBound</v>
      </c>
      <c r="U40" s="159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05:43:25-0600',mode:absolute,to:'2016-10-06 08:24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0" s="54" t="str">
        <f t="shared" si="4"/>
        <v>N</v>
      </c>
      <c r="X40" s="164">
        <f t="shared" si="5"/>
        <v>1</v>
      </c>
      <c r="Y40" s="69">
        <f t="shared" si="6"/>
        <v>4.3999999999999997E-2</v>
      </c>
      <c r="Z40" s="69">
        <f t="shared" si="16"/>
        <v>23.3338</v>
      </c>
      <c r="AA40" s="69">
        <f t="shared" si="7"/>
        <v>23.2898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8"/>
        <v>0125-06</v>
      </c>
      <c r="AE40" s="95" t="str">
        <f t="shared" si="9"/>
        <v>aws s3 cp s3://rtdc.mdm.uploadarchive.raw/RTDC4025/ "%USERPROFILE%\AppData\Local\Temp\OnboardLogs"\RTDC4025\2016-10-06 --exclude "*" --recursive --include "*20161006*" &amp; "%USERPROFILE%\Documents\GitHub\mrs-test-scripts\Headless Mode &amp; Sideloading\WalkAndUnGZ.bat" "%USERPROFILE%\AppData\Local\Temp\OnboardLogs"\RTDC4025\2016-10-06 &amp; 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</v>
      </c>
      <c r="AF40" s="92" t="str">
        <f t="shared" si="10"/>
        <v>"C:\Program Files (x86)\AstroGrep\AstroGrep.exe" /spath="%USERPROFILE%\AppData\Local\Temp\OnboardLogs" /stypes="app*4025*20161006*" /stext=" 13:.+((SYSTEM_STATE.+slice.+state.+changed )|(ment ac)|(system.+state.+changed )|(\[timeout)|(PRM\|1\|D)|(kpr)|(kdp)|(\|lc)|(penalty))" /e /r /s</v>
      </c>
      <c r="AG40" s="1" t="str">
        <f t="shared" si="11"/>
        <v>EC</v>
      </c>
      <c r="AH40" s="96" t="str">
        <f t="shared" si="14"/>
        <v>"%USERPROFILE%\Documents\GitHub\eaglep3\Utilities\RefineRTDCRunTimes.py" --tripid 125-06 --locoid 4025 --swversion DE.1.0.7.0 --startMP 204:440 --initTime 2016-10-06T06:43:25 --startdatetime 2016-10-06T06:45:51 --delay 1 --endMP 204:233338 --enddatetime 2016-10-06T07:24:02 --enforcementcount 0 &gt;&gt;C:\Users\stu\Documents\GitHub\eaglep3-reporting\EC\2016-10-06-refined-times.txt</v>
      </c>
      <c r="AI40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{"issue":{"subject":"","project_id":79,"tracker_id":40,"status_id":1,"priority_id":2,"assigned_to_id":23,"start_date":"2016-10-06","description":"","custom_fields":[{"id":1,"name":"Subdivision","value":"EC"},{"id":4,"name":"Milepost","value":"23.3338"},{"id":17,"name":"Train ID","value":"125-06"},{"id":16,"name":"Locomotive ID","value":"4025"},{"id":130,"name":"Impact","value":""},{"id":150,"name":"Time of Event (Mountain Time)","value":"07:24:02"},{"id":151,"name":"Denver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442</v>
      </c>
      <c r="B41" s="7">
        <v>4026</v>
      </c>
      <c r="C41" s="24" t="s">
        <v>106</v>
      </c>
      <c r="D41" s="24" t="s">
        <v>298</v>
      </c>
      <c r="E41" s="15">
        <v>42649.320277777777</v>
      </c>
      <c r="F41" s="15">
        <v>42649.321805555555</v>
      </c>
      <c r="G41" s="7">
        <v>1</v>
      </c>
      <c r="H41" s="15" t="s">
        <v>649</v>
      </c>
      <c r="I41" s="15">
        <v>42649.351122685184</v>
      </c>
      <c r="J41" s="7">
        <v>0</v>
      </c>
      <c r="K41" s="117" t="str">
        <f t="shared" si="0"/>
        <v>4025/4026</v>
      </c>
      <c r="L41" s="24" t="str">
        <f>VLOOKUP(A41,'Trips&amp;Operators'!$C$1:$E$10000,3,FALSE)</f>
        <v>BROWN</v>
      </c>
      <c r="M41" s="6">
        <f t="shared" si="1"/>
        <v>2.9317129628907423E-2</v>
      </c>
      <c r="N41" s="7">
        <f t="shared" si="21"/>
        <v>42.21666666562669</v>
      </c>
      <c r="O41" s="7"/>
      <c r="P41" s="7"/>
      <c r="Q41" s="25"/>
      <c r="R41" s="25"/>
      <c r="S41" s="37">
        <f t="shared" si="22"/>
        <v>1</v>
      </c>
      <c r="T41" s="52" t="str">
        <f t="shared" si="2"/>
        <v>Southbound</v>
      </c>
      <c r="U41" s="159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06:41:12-0600',mode:absolute,to:'2016-10-06 09:25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1" s="54" t="str">
        <f t="shared" si="4"/>
        <v>N</v>
      </c>
      <c r="X41" s="164">
        <f t="shared" si="5"/>
        <v>1</v>
      </c>
      <c r="Y41" s="69">
        <f t="shared" si="6"/>
        <v>23.300999999999998</v>
      </c>
      <c r="Z41" s="69">
        <f t="shared" si="16"/>
        <v>0.1152</v>
      </c>
      <c r="AA41" s="69">
        <f t="shared" si="7"/>
        <v>23.185799999999997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8"/>
        <v>0126-06</v>
      </c>
      <c r="AE41" s="95" t="str">
        <f t="shared" si="9"/>
        <v>aws s3 cp s3://rtdc.mdm.uploadarchive.raw/RTDC4026/ "%USERPROFILE%\AppData\Local\Temp\OnboardLogs"\RTDC4026\2016-10-06 --exclude "*" --recursive --include "*20161006*" &amp; "%USERPROFILE%\Documents\GitHub\mrs-test-scripts\Headless Mode &amp; Sideloading\WalkAndUnGZ.bat" "%USERPROFILE%\AppData\Local\Temp\OnboardLogs"\RTDC4026\2016-10-06 &amp; 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</v>
      </c>
      <c r="AF41" s="92" t="str">
        <f t="shared" si="10"/>
        <v>"C:\Program Files (x86)\AstroGrep\AstroGrep.exe" /spath="%USERPROFILE%\AppData\Local\Temp\OnboardLogs" /stypes="app*4026*20161006*" /stext=" 14:.+((SYSTEM_STATE.+slice.+state.+changed )|(ment ac)|(system.+state.+changed )|(\[timeout)|(PRM\|1\|D)|(kpr)|(kdp)|(\|lc)|(penalty))" /e /r /s</v>
      </c>
      <c r="AG41" s="1" t="str">
        <f t="shared" si="11"/>
        <v>EC</v>
      </c>
      <c r="AH41" s="96" t="str">
        <f t="shared" si="14"/>
        <v>"%USERPROFILE%\Documents\GitHub\eaglep3\Utilities\RefineRTDCRunTimes.py" --tripid 126-06 --locoid 4026 --swversion DE.1.0.7.0 --startMP 204:233010 --initTime 2016-10-06T07:41:12 --startdatetime 2016-10-06T07:43:24 --delay 1 --endMP 204:1152 --enddatetime 2016-10-06T08:25:37 --enforcementcount 0 &gt;&gt;C:\Users\stu\Documents\GitHub\eaglep3-reporting\EC\2016-10-06-refined-times.txt</v>
      </c>
      <c r="AI41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{"issue":{"subject":"","project_id":79,"tracker_id":40,"status_id":1,"priority_id":2,"assigned_to_id":23,"start_date":"2016-10-06","description":"","custom_fields":[{"id":1,"name":"Subdivision","value":"EC"},{"id":4,"name":"Milepost","value":"0.1152"},{"id":17,"name":"Train ID","value":"126-06"},{"id":16,"name":"Locomotive ID","value":"4026"},{"id":130,"name":"Impact","value":""},{"id":150,"name":"Time of Event (Mountain Time)","value":"08:25:37"},{"id":151,"name":"Denver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435</v>
      </c>
      <c r="B42" s="7">
        <v>4046</v>
      </c>
      <c r="C42" s="24" t="s">
        <v>106</v>
      </c>
      <c r="D42" s="24" t="s">
        <v>650</v>
      </c>
      <c r="E42" s="15">
        <v>42649.298819444448</v>
      </c>
      <c r="F42" s="15">
        <v>42649.301469907405</v>
      </c>
      <c r="G42" s="7">
        <v>2</v>
      </c>
      <c r="H42" s="15" t="s">
        <v>253</v>
      </c>
      <c r="I42" s="15">
        <v>42649.326898148145</v>
      </c>
      <c r="J42" s="7">
        <v>0</v>
      </c>
      <c r="K42" s="117" t="str">
        <f t="shared" si="0"/>
        <v>4045/4046</v>
      </c>
      <c r="L42" s="24" t="str">
        <f>VLOOKUP(A42,'Trips&amp;Operators'!$C$1:$E$10000,3,FALSE)</f>
        <v>BERLING</v>
      </c>
      <c r="M42" s="6">
        <f t="shared" si="1"/>
        <v>2.5428240740438923E-2</v>
      </c>
      <c r="N42" s="7">
        <f t="shared" si="21"/>
        <v>36.616666666232049</v>
      </c>
      <c r="O42" s="7"/>
      <c r="P42" s="7"/>
      <c r="Q42" s="25"/>
      <c r="R42" s="25"/>
      <c r="S42" s="37">
        <f t="shared" si="22"/>
        <v>1</v>
      </c>
      <c r="T42" s="52" t="str">
        <f t="shared" si="2"/>
        <v>NorthBound</v>
      </c>
      <c r="U42" s="159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06:10:18-0600',mode:absolute,to:'2016-10-06 08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2" s="54" t="str">
        <f t="shared" si="4"/>
        <v>N</v>
      </c>
      <c r="X42" s="164">
        <f t="shared" si="5"/>
        <v>1</v>
      </c>
      <c r="Y42" s="69">
        <f t="shared" si="6"/>
        <v>6.2600000000000003E-2</v>
      </c>
      <c r="Z42" s="69">
        <f t="shared" si="16"/>
        <v>23.328900000000001</v>
      </c>
      <c r="AA42" s="69">
        <f t="shared" si="7"/>
        <v>23.266300000000001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8"/>
        <v>0127-06</v>
      </c>
      <c r="AE42" s="95" t="str">
        <f t="shared" si="9"/>
        <v>aws s3 cp s3://rtdc.mdm.uploadarchive.raw/RTDC4046/ "%USERPROFILE%\AppData\Local\Temp\OnboardLogs"\RTDC4046\2016-10-06 --exclude "*" --recursive --include "*20161006*" &amp; "%USERPROFILE%\Documents\GitHub\mrs-test-scripts\Headless Mode &amp; Sideloading\WalkAndUnGZ.bat" "%USERPROFILE%\AppData\Local\Temp\OnboardLogs"\RTDC4046\2016-10-06 &amp; 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</v>
      </c>
      <c r="AF42" s="92" t="str">
        <f t="shared" si="10"/>
        <v>"C:\Program Files (x86)\AstroGrep\AstroGrep.exe" /spath="%USERPROFILE%\AppData\Local\Temp\OnboardLogs" /stypes="app*4046*20161006*" /stext=" 13:.+((SYSTEM_STATE.+slice.+state.+changed )|(ment ac)|(system.+state.+changed )|(\[timeout)|(PRM\|1\|D)|(kpr)|(kdp)|(\|lc)|(penalty))" /e /r /s</v>
      </c>
      <c r="AG42" s="1" t="str">
        <f t="shared" si="11"/>
        <v>EC</v>
      </c>
      <c r="AH42" s="96" t="str">
        <f t="shared" si="14"/>
        <v>"%USERPROFILE%\Documents\GitHub\eaglep3\Utilities\RefineRTDCRunTimes.py" --tripid 127-06 --locoid 4046 --swversion DE.1.0.7.0 --startMP 204:626 --initTime 2016-10-06T07:10:18 --startdatetime 2016-10-06T07:14:07 --delay 2 --endMP 204:233289 --enddatetime 2016-10-06T07:50:44 --enforcementcount 0 &gt;&gt;C:\Users\stu\Documents\GitHub\eaglep3-reporting\EC\2016-10-06-refined-times.txt</v>
      </c>
      <c r="AI42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{"issue":{"subject":"","project_id":79,"tracker_id":40,"status_id":1,"priority_id":2,"assigned_to_id":23,"start_date":"2016-10-06","description":"","custom_fields":[{"id":1,"name":"Subdivision","value":"EC"},{"id":4,"name":"Milepost","value":"23.3289"},{"id":17,"name":"Train ID","value":"127-06"},{"id":16,"name":"Locomotive ID","value":"4046"},{"id":130,"name":"Impact","value":""},{"id":150,"name":"Time of Event (Mountain Time)","value":"07:50:44"},{"id":151,"name":"Denver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445</v>
      </c>
      <c r="B43" s="7">
        <v>4045</v>
      </c>
      <c r="C43" s="24" t="s">
        <v>106</v>
      </c>
      <c r="D43" s="24" t="s">
        <v>651</v>
      </c>
      <c r="E43" s="15">
        <v>42649.328796296293</v>
      </c>
      <c r="F43" s="15">
        <v>42649.33184027778</v>
      </c>
      <c r="G43" s="7">
        <v>2</v>
      </c>
      <c r="H43" s="15" t="s">
        <v>652</v>
      </c>
      <c r="I43" s="15">
        <v>42649.358749999999</v>
      </c>
      <c r="J43" s="7">
        <v>0</v>
      </c>
      <c r="K43" s="117" t="str">
        <f t="shared" si="0"/>
        <v>4045/4046</v>
      </c>
      <c r="L43" s="24" t="str">
        <f>VLOOKUP(A43,'Trips&amp;Operators'!$C$1:$E$10000,3,FALSE)</f>
        <v>BERLING</v>
      </c>
      <c r="M43" s="6">
        <f t="shared" si="1"/>
        <v>2.6909722218988463E-2</v>
      </c>
      <c r="N43" s="7">
        <f t="shared" si="21"/>
        <v>38.749999995343387</v>
      </c>
      <c r="O43" s="7"/>
      <c r="P43" s="7"/>
      <c r="Q43" s="25"/>
      <c r="R43" s="25"/>
      <c r="S43" s="37">
        <f t="shared" si="22"/>
        <v>1</v>
      </c>
      <c r="T43" s="52" t="str">
        <f t="shared" si="2"/>
        <v>Southbound</v>
      </c>
      <c r="U43" s="159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06:53:28-0600',mode:absolute,to:'2016-10-06 09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3" s="54" t="str">
        <f t="shared" si="4"/>
        <v>N</v>
      </c>
      <c r="X43" s="164">
        <f t="shared" si="5"/>
        <v>1</v>
      </c>
      <c r="Y43" s="69">
        <f t="shared" si="6"/>
        <v>23.294799999999999</v>
      </c>
      <c r="Z43" s="69">
        <f t="shared" si="16"/>
        <v>1.2999999999999999E-2</v>
      </c>
      <c r="AA43" s="69">
        <f t="shared" si="7"/>
        <v>23.281799999999997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8"/>
        <v>0128-06</v>
      </c>
      <c r="AE43" s="95" t="str">
        <f t="shared" si="9"/>
        <v>aws s3 cp s3://rtdc.mdm.uploadarchive.raw/RTDC4045/ "%USERPROFILE%\AppData\Local\Temp\OnboardLogs"\RTDC4045\2016-10-06 --exclude "*" --recursive --include "*20161006*" &amp; "%USERPROFILE%\Documents\GitHub\mrs-test-scripts\Headless Mode &amp; Sideloading\WalkAndUnGZ.bat" "%USERPROFILE%\AppData\Local\Temp\OnboardLogs"\RTDC4045\2016-10-06 &amp; 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</v>
      </c>
      <c r="AF43" s="92" t="str">
        <f t="shared" si="10"/>
        <v>"C:\Program Files (x86)\AstroGrep\AstroGrep.exe" /spath="%USERPROFILE%\AppData\Local\Temp\OnboardLogs" /stypes="app*4045*20161006*" /stext=" 14:.+((SYSTEM_STATE.+slice.+state.+changed )|(ment ac)|(system.+state.+changed )|(\[timeout)|(PRM\|1\|D)|(kpr)|(kdp)|(\|lc)|(penalty))" /e /r /s</v>
      </c>
      <c r="AG43" s="1" t="str">
        <f t="shared" si="11"/>
        <v>EC</v>
      </c>
      <c r="AH43" s="96" t="str">
        <f t="shared" si="14"/>
        <v>"%USERPROFILE%\Documents\GitHub\eaglep3\Utilities\RefineRTDCRunTimes.py" --tripid 128-06 --locoid 4045 --swversion DE.1.0.7.0 --startMP 204:232948 --initTime 2016-10-06T07:53:28 --startdatetime 2016-10-06T07:57:51 --delay 2 --endMP 204:130 --enddatetime 2016-10-06T08:36:36 --enforcementcount 0 &gt;&gt;C:\Users\stu\Documents\GitHub\eaglep3-reporting\EC\2016-10-06-refined-times.txt</v>
      </c>
      <c r="AI43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{"issue":{"subject":"","project_id":79,"tracker_id":40,"status_id":1,"priority_id":2,"assigned_to_id":23,"start_date":"2016-10-06","description":"","custom_fields":[{"id":1,"name":"Subdivision","value":"EC"},{"id":4,"name":"Milepost","value":"0.013"},{"id":17,"name":"Train ID","value":"128-06"},{"id":16,"name":"Locomotive ID","value":"4045"},{"id":130,"name":"Impact","value":""},{"id":150,"name":"Time of Event (Mountain Time)","value":"08:36:36"},{"id":151,"name":"Denver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437</v>
      </c>
      <c r="B44" s="7">
        <v>4031</v>
      </c>
      <c r="C44" s="24" t="s">
        <v>106</v>
      </c>
      <c r="D44" s="24" t="s">
        <v>653</v>
      </c>
      <c r="E44" s="15">
        <v>42649.304178240738</v>
      </c>
      <c r="F44" s="15">
        <v>42649.305937500001</v>
      </c>
      <c r="G44" s="7">
        <v>1</v>
      </c>
      <c r="H44" s="15" t="s">
        <v>251</v>
      </c>
      <c r="I44" s="15">
        <v>42649.331516203703</v>
      </c>
      <c r="J44" s="7">
        <v>0</v>
      </c>
      <c r="K44" s="117" t="str">
        <f t="shared" si="0"/>
        <v>4031/4032</v>
      </c>
      <c r="L44" s="24" t="str">
        <f>VLOOKUP(A44,'Trips&amp;Operators'!$C$1:$E$10000,3,FALSE)</f>
        <v>MAELZER</v>
      </c>
      <c r="M44" s="6">
        <f t="shared" si="1"/>
        <v>2.5578703702194616E-2</v>
      </c>
      <c r="N44" s="7">
        <f t="shared" si="21"/>
        <v>36.833333331160247</v>
      </c>
      <c r="O44" s="7"/>
      <c r="P44" s="7"/>
      <c r="Q44" s="25"/>
      <c r="R44" s="25"/>
      <c r="S44" s="37">
        <f t="shared" si="22"/>
        <v>1</v>
      </c>
      <c r="T44" s="52" t="str">
        <f t="shared" si="2"/>
        <v>NorthBound</v>
      </c>
      <c r="U44" s="159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2" t="str">
        <f t="shared" si="3"/>
        <v>https://search-rtdc-monitor-bjffxe2xuh6vdkpspy63sjmuny.us-east-1.es.amazonaws.com/_plugin/kibana/#/discover/Steve-Slow-Train-Analysis-(2080s-and-2083s)?_g=(refreshInterval:(display:Off,section:0,value:0),time:(from:'2016-10-06 06:18:01-0600',mode:absolute,to:'2016-10-06 08:57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4" s="54" t="str">
        <f t="shared" si="4"/>
        <v>N</v>
      </c>
      <c r="X44" s="164">
        <f t="shared" si="5"/>
        <v>1</v>
      </c>
      <c r="Y44" s="69">
        <f t="shared" si="6"/>
        <v>4.3700000000000003E-2</v>
      </c>
      <c r="Z44" s="69">
        <f t="shared" si="16"/>
        <v>23.3308</v>
      </c>
      <c r="AA44" s="69">
        <f t="shared" si="7"/>
        <v>23.287099999999999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8"/>
        <v>0129-06</v>
      </c>
      <c r="AE44" s="95" t="str">
        <f t="shared" si="9"/>
        <v>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 &amp; aws s3 cp s3://rtdc.mdm.uploadarchive.raw/RTDC4031/ "%USERPROFILE%\AppData\Local\Temp\OnboardLogs"\RTDC4031\2016-10-07 --exclude "*" --recursive --include "*20161007*" &amp; "%USERPROFILE%\Documents\GitHub\mrs-test-scripts\Headless Mode &amp; Sideloading\WalkAndUnGZ.bat" "%USERPROFILE%\AppData\Local\Temp\OnboardLogs"\RTDC4031\2016-10-07</v>
      </c>
      <c r="AF44" s="92" t="str">
        <f t="shared" si="10"/>
        <v>"C:\Program Files (x86)\AstroGrep\AstroGrep.exe" /spath="%USERPROFILE%\AppData\Local\Temp\OnboardLogs" /stypes="app*4031*20161006*" /stext=" 13:.+((SYSTEM_STATE.+slice.+state.+changed )|(ment ac)|(system.+state.+changed )|(\[timeout)|(PRM\|1\|D)|(kpr)|(kdp)|(\|lc)|(penalty))" /e /r /s</v>
      </c>
      <c r="AG44" s="1" t="str">
        <f t="shared" si="11"/>
        <v>EC</v>
      </c>
      <c r="AH44" s="96" t="str">
        <f t="shared" si="14"/>
        <v>"%USERPROFILE%\Documents\GitHub\eaglep3\Utilities\RefineRTDCRunTimes.py" --tripid 129-06 --locoid 4031 --swversion DE.1.0.7.0 --startMP 204:437 --initTime 2016-10-06T07:18:01 --startdatetime 2016-10-06T07:20:33 --delay 1 --endMP 204:233308 --enddatetime 2016-10-06T07:57:23 --enforcementcount 0 &gt;&gt;C:\Users\stu\Documents\GitHub\eaglep3-reporting\EC\2016-10-06-refined-times.txt</v>
      </c>
      <c r="AI44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{"issue":{"subject":"","project_id":79,"tracker_id":40,"status_id":1,"priority_id":2,"assigned_to_id":23,"start_date":"2016-10-06","description":"","custom_fields":[{"id":1,"name":"Subdivision","value":"EC"},{"id":4,"name":"Milepost","value":"23.3308"},{"id":17,"name":"Train ID","value":"129-06"},{"id":16,"name":"Locomotive ID","value":"4031"},{"id":130,"name":"Impact","value":""},{"id":150,"name":"Time of Event (Mountain Time)","value":"07:57:23"},{"id":151,"name":"Denver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31" customFormat="1" x14ac:dyDescent="0.25">
      <c r="A45" s="39" t="s">
        <v>448</v>
      </c>
      <c r="B45" s="7">
        <v>4032</v>
      </c>
      <c r="C45" s="24" t="s">
        <v>106</v>
      </c>
      <c r="D45" s="24" t="s">
        <v>261</v>
      </c>
      <c r="E45" s="15">
        <v>42649.338726851849</v>
      </c>
      <c r="F45" s="15">
        <v>42649.341435185182</v>
      </c>
      <c r="G45" s="7">
        <v>1</v>
      </c>
      <c r="H45" s="15" t="s">
        <v>212</v>
      </c>
      <c r="I45" s="15">
        <v>42649.368020833332</v>
      </c>
      <c r="J45" s="7">
        <v>0</v>
      </c>
      <c r="K45" s="117" t="str">
        <f t="shared" ref="K45:K76" si="23">IF(ISEVEN(B45),(B45-1)&amp;"/"&amp;B45,B45&amp;"/"&amp;(B45+1))</f>
        <v>4031/4032</v>
      </c>
      <c r="L45" s="24" t="str">
        <f>VLOOKUP(A45,'Trips&amp;Operators'!$C$1:$E$10000,3,FALSE)</f>
        <v>MAELZER</v>
      </c>
      <c r="M45" s="6">
        <f t="shared" ref="M45:M76" si="24">I45-F45</f>
        <v>2.658564814919373E-2</v>
      </c>
      <c r="N45" s="7">
        <f t="shared" si="21"/>
        <v>38.283333334838971</v>
      </c>
      <c r="O45" s="7"/>
      <c r="P45" s="7"/>
      <c r="Q45" s="25"/>
      <c r="R45" s="25"/>
      <c r="S45" s="37">
        <f t="shared" si="22"/>
        <v>1</v>
      </c>
      <c r="T45" s="52" t="str">
        <f t="shared" si="2"/>
        <v>Southbound</v>
      </c>
      <c r="U45" s="159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2" t="str">
        <f t="shared" ref="V45:V76" si="25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https://search-rtdc-monitor-bjffxe2xuh6vdkpspy63sjmuny.us-east-1.es.amazonaws.com/_plugin/kibana/#/discover/Steve-Slow-Train-Analysis-(2080s-and-2083s)?_g=(refreshInterval:(display:Off,section:0,value:0),time:(from:'2016-10-06 07:07:46-0600',mode:absolute,to:'2016-10-06 09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5" s="54" t="str">
        <f t="shared" ref="W45:W76" si="26">IF(AA45&lt;IF(AG45="EC",23,5.65),"Y","N")</f>
        <v>N</v>
      </c>
      <c r="X45" s="164">
        <f t="shared" ref="X45:X76" si="27">VALUE(LEFT(AD45,4))-VALUE(LEFT(AD44,4))</f>
        <v>1</v>
      </c>
      <c r="Y45" s="69">
        <f t="shared" ref="Y45:Y76" si="28">RIGHT(D45,LEN(D45)-4)/10000</f>
        <v>23.299800000000001</v>
      </c>
      <c r="Z45" s="69">
        <f t="shared" si="16"/>
        <v>1.4500000000000001E-2</v>
      </c>
      <c r="AA45" s="69">
        <f t="shared" ref="AA45:AA76" si="29">ABS(Z45-Y45)</f>
        <v>23.285299999999999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8"/>
        <v>0130-06</v>
      </c>
      <c r="AE45" s="95" t="str">
        <f t="shared" ref="AE45:AE76" si="30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AF45" s="92" t="str">
        <f t="shared" ref="AF45:AF76" si="31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/stypes="app*4032*20161006*" /stext=" 14:.+((SYSTEM_STATE.+slice.+state.+changed )|(ment ac)|(system.+state.+changed )|(\[timeout)|(PRM\|1\|D)|(kpr)|(kdp)|(\|lc)|(penalty))" /e /r /s</v>
      </c>
      <c r="AG45" s="1" t="str">
        <f t="shared" si="11"/>
        <v>EC</v>
      </c>
      <c r="AH45" s="96" t="str">
        <f t="shared" si="14"/>
        <v>"%USERPROFILE%\Documents\GitHub\eaglep3\Utilities\RefineRTDCRunTimes.py" --tripid 130-06 --locoid 4032 --swversion DE.1.0.7.0 --startMP 204:232998 --initTime 2016-10-06T08:07:46 --startdatetime 2016-10-06T08:11:40 --delay 1 --endMP 204:145 --enddatetime 2016-10-06T08:49:57 --enforcementcount 0 &gt;&gt;C:\Users\stu\Documents\GitHub\eaglep3-reporting\EC\2016-10-06-refined-times.txt</v>
      </c>
      <c r="AI45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{"issue":{"subject":"","project_id":79,"tracker_id":40,"status_id":1,"priority_id":2,"assigned_to_id":23,"start_date":"2016-10-06","description":"","custom_fields":[{"id":1,"name":"Subdivision","value":"EC"},{"id":4,"name":"Milepost","value":"0.0145"},{"id":17,"name":"Train ID","value":"130-06"},{"id":16,"name":"Locomotive ID","value":"4032"},{"id":130,"name":"Impact","value":""},{"id":150,"name":"Time of Event (Mountain Time)","value":"08:49:57"},{"id":151,"name":"Denver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439</v>
      </c>
      <c r="B46" s="7">
        <v>4027</v>
      </c>
      <c r="C46" s="24" t="s">
        <v>106</v>
      </c>
      <c r="D46" s="24" t="s">
        <v>654</v>
      </c>
      <c r="E46" s="15">
        <v>42649.309166666666</v>
      </c>
      <c r="F46" s="15">
        <v>42649.312696759262</v>
      </c>
      <c r="G46" s="7">
        <v>1</v>
      </c>
      <c r="H46" s="15" t="s">
        <v>655</v>
      </c>
      <c r="I46" s="15">
        <v>42649.339016203703</v>
      </c>
      <c r="J46" s="7">
        <v>0</v>
      </c>
      <c r="K46" s="117" t="str">
        <f t="shared" si="23"/>
        <v>4027/4028</v>
      </c>
      <c r="L46" s="24" t="str">
        <f>VLOOKUP(A46,'Trips&amp;Operators'!$C$1:$E$10000,3,FALSE)</f>
        <v>BRANNON</v>
      </c>
      <c r="M46" s="6">
        <f t="shared" si="24"/>
        <v>2.6319444441469386E-2</v>
      </c>
      <c r="N46" s="7">
        <f t="shared" si="21"/>
        <v>37.899999995715916</v>
      </c>
      <c r="O46" s="7"/>
      <c r="P46" s="7"/>
      <c r="Q46" s="25"/>
      <c r="R46" s="25"/>
      <c r="S46" s="37">
        <f t="shared" si="22"/>
        <v>1</v>
      </c>
      <c r="T46" s="52" t="str">
        <f t="shared" si="2"/>
        <v>NorthBound</v>
      </c>
      <c r="U46" s="159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06:25:12-0600',mode:absolute,to:'2016-10-06 09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6" s="54" t="str">
        <f t="shared" si="26"/>
        <v>N</v>
      </c>
      <c r="X46" s="164">
        <f t="shared" si="27"/>
        <v>1</v>
      </c>
      <c r="Y46" s="69">
        <f t="shared" si="28"/>
        <v>4.2700000000000002E-2</v>
      </c>
      <c r="Z46" s="69">
        <f t="shared" si="16"/>
        <v>23.331099999999999</v>
      </c>
      <c r="AA46" s="69">
        <f t="shared" si="29"/>
        <v>23.288399999999999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8"/>
        <v>0131-06</v>
      </c>
      <c r="AE46" s="95" t="str">
        <f t="shared" si="30"/>
        <v>aws s3 cp s3://rtdc.mdm.uploadarchive.raw/RTDC4027/ "%USERPROFILE%\AppData\Local\Temp\OnboardLogs"\RTDC4027\2016-10-06 --exclude "*" --recursive --include "*20161006*" &amp; "%USERPROFILE%\Documents\GitHub\mrs-test-scripts\Headless Mode &amp; Sideloading\WalkAndUnGZ.bat" "%USERPROFILE%\AppData\Local\Temp\OnboardLogs"\RTDC4027\2016-10-06 &amp; aws s3 cp s3://rtdc.mdm.uploadarchive.raw/RTDC4027/ "%USERPROFILE%\AppData\Local\Temp\OnboardLogs"\RTDC4027\2016-10-07 --exclude "*" --recursive --include "*20161007*" &amp; "%USERPROFILE%\Documents\GitHub\mrs-test-scripts\Headless Mode &amp; Sideloading\WalkAndUnGZ.bat" "%USERPROFILE%\AppData\Local\Temp\OnboardLogs"\RTDC4027\2016-10-07</v>
      </c>
      <c r="AF46" s="92" t="str">
        <f t="shared" si="31"/>
        <v>"C:\Program Files (x86)\AstroGrep\AstroGrep.exe" /spath="%USERPROFILE%\AppData\Local\Temp\OnboardLogs" /stypes="app*4027*20161006*" /stext=" 14:.+((SYSTEM_STATE.+slice.+state.+changed )|(ment ac)|(system.+state.+changed )|(\[timeout)|(PRM\|1\|D)|(kpr)|(kdp)|(\|lc)|(penalty))" /e /r /s</v>
      </c>
      <c r="AG46" s="1" t="str">
        <f t="shared" si="11"/>
        <v>EC</v>
      </c>
      <c r="AH46" s="96" t="str">
        <f t="shared" si="14"/>
        <v>"%USERPROFILE%\Documents\GitHub\eaglep3\Utilities\RefineRTDCRunTimes.py" --tripid 131-06 --locoid 4027 --swversion DE.1.0.7.0 --startMP 204:427 --initTime 2016-10-06T07:25:12 --startdatetime 2016-10-06T07:30:17 --delay 1 --endMP 204:233311 --enddatetime 2016-10-06T08:08:11 --enforcementcount 0 &gt;&gt;C:\Users\stu\Documents\GitHub\eaglep3-reporting\EC\2016-10-06-refined-times.txt</v>
      </c>
      <c r="AI46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{"issue":{"subject":"","project_id":79,"tracker_id":40,"status_id":1,"priority_id":2,"assigned_to_id":23,"start_date":"2016-10-06","description":"","custom_fields":[{"id":1,"name":"Subdivision","value":"EC"},{"id":4,"name":"Milepost","value":"23.3311"},{"id":17,"name":"Train ID","value":"131-06"},{"id":16,"name":"Locomotive ID","value":"4027"},{"id":130,"name":"Impact","value":""},{"id":150,"name":"Time of Event (Mountain Time)","value":"08:08:11"},{"id":151,"name":"Denver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449</v>
      </c>
      <c r="B47" s="7">
        <v>4028</v>
      </c>
      <c r="C47" s="24" t="s">
        <v>106</v>
      </c>
      <c r="D47" s="24" t="s">
        <v>243</v>
      </c>
      <c r="E47" s="15">
        <v>42649.344293981485</v>
      </c>
      <c r="F47" s="15">
        <v>42649.3515625</v>
      </c>
      <c r="G47" s="7">
        <v>1</v>
      </c>
      <c r="H47" s="15" t="s">
        <v>194</v>
      </c>
      <c r="I47" s="15">
        <v>42649.380219907405</v>
      </c>
      <c r="J47" s="7">
        <v>0</v>
      </c>
      <c r="K47" s="117" t="str">
        <f t="shared" si="23"/>
        <v>4027/4028</v>
      </c>
      <c r="L47" s="24" t="str">
        <f>VLOOKUP(A47,'Trips&amp;Operators'!$C$1:$E$10000,3,FALSE)</f>
        <v>BRANNON</v>
      </c>
      <c r="M47" s="6">
        <f t="shared" si="24"/>
        <v>2.8657407405262347E-2</v>
      </c>
      <c r="N47" s="7">
        <f t="shared" si="21"/>
        <v>41.26666666357778</v>
      </c>
      <c r="O47" s="7"/>
      <c r="P47" s="7"/>
      <c r="Q47" s="25"/>
      <c r="R47" s="25"/>
      <c r="S47" s="37">
        <f t="shared" si="22"/>
        <v>1</v>
      </c>
      <c r="T47" s="52" t="str">
        <f t="shared" si="2"/>
        <v>Southbound</v>
      </c>
      <c r="U47" s="159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07:15:47-0600',mode:absolute,to:'2016-10-06 10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7" s="54" t="str">
        <f t="shared" si="26"/>
        <v>N</v>
      </c>
      <c r="X47" s="164">
        <f t="shared" si="27"/>
        <v>1</v>
      </c>
      <c r="Y47" s="69">
        <f t="shared" si="28"/>
        <v>23.296900000000001</v>
      </c>
      <c r="Z47" s="69">
        <f t="shared" si="16"/>
        <v>1.47E-2</v>
      </c>
      <c r="AA47" s="69">
        <f t="shared" si="29"/>
        <v>23.2822</v>
      </c>
      <c r="AB47" s="66" t="str">
        <f>VLOOKUP(A47,Enforcements!$C$7:$K$21,8,0)</f>
        <v>Bulletin (2)</v>
      </c>
      <c r="AC47" s="62" t="str">
        <f>VLOOKUP(A47,Enforcements!$C$7:$E$21,3,0)</f>
        <v>GRADE CROSSING</v>
      </c>
      <c r="AD47" s="63" t="str">
        <f t="shared" si="8"/>
        <v>0132-06</v>
      </c>
      <c r="AE47" s="95" t="str">
        <f t="shared" si="30"/>
        <v>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 &amp; aws s3 cp s3://rtdc.mdm.uploadarchive.raw/RTDC4028/ "%USERPROFILE%\AppData\Local\Temp\OnboardLogs"\RTDC4028\2016-10-07 --exclude "*" --recursive --include "*20161007*" &amp; "%USERPROFILE%\Documents\GitHub\mrs-test-scripts\Headless Mode &amp; Sideloading\WalkAndUnGZ.bat" "%USERPROFILE%\AppData\Local\Temp\OnboardLogs"\RTDC4028\2016-10-07</v>
      </c>
      <c r="AF47" s="92" t="str">
        <f t="shared" si="31"/>
        <v>"C:\Program Files (x86)\AstroGrep\AstroGrep.exe" /spath="%USERPROFILE%\AppData\Local\Temp\OnboardLogs" /stypes="app*4028*20161006*" /stext=" 15:.+((SYSTEM_STATE.+slice.+state.+changed )|(ment ac)|(system.+state.+changed )|(\[timeout)|(PRM\|1\|D)|(kpr)|(kdp)|(\|lc)|(penalty))" /e /r /s</v>
      </c>
      <c r="AG47" s="1" t="str">
        <f t="shared" si="11"/>
        <v>EC</v>
      </c>
      <c r="AH47" s="96" t="str">
        <f t="shared" si="14"/>
        <v>"%USERPROFILE%\Documents\GitHub\eaglep3\Utilities\RefineRTDCRunTimes.py" --tripid 132-06 --locoid 4028 --swversion DE.1.0.7.0 --startMP 204:232969 --initTime 2016-10-06T08:15:47 --startdatetime 2016-10-06T08:26:15 --delay 1 --endMP 204:147 --enddatetime 2016-10-06T09:07:31 --enforcementcount 0 &gt;&gt;C:\Users\stu\Documents\GitHub\eaglep3-reporting\EC\2016-10-06-refined-times.txt</v>
      </c>
      <c r="AI47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{"issue":{"subject":"","project_id":79,"tracker_id":40,"status_id":1,"priority_id":2,"assigned_to_id":23,"start_date":"2016-10-06","description":"","custom_fields":[{"id":1,"name":"Subdivision","value":"EC"},{"id":4,"name":"Milepost","value":"0.0147"},{"id":17,"name":"Train ID","value":"132-06"},{"id":16,"name":"Locomotive ID","value":"4028"},{"id":130,"name":"Impact","value":""},{"id":150,"name":"Time of Event (Mountain Time)","value":"09:07:31"},{"id":151,"name":"Denver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440</v>
      </c>
      <c r="B48" s="7">
        <v>4044</v>
      </c>
      <c r="C48" s="24" t="s">
        <v>106</v>
      </c>
      <c r="D48" s="24" t="s">
        <v>631</v>
      </c>
      <c r="E48" s="15">
        <v>42649.317615740743</v>
      </c>
      <c r="F48" s="15">
        <v>42649.323136574072</v>
      </c>
      <c r="G48" s="7">
        <v>1</v>
      </c>
      <c r="H48" s="15" t="s">
        <v>251</v>
      </c>
      <c r="I48" s="15">
        <v>42649.349027777775</v>
      </c>
      <c r="J48" s="7">
        <v>0</v>
      </c>
      <c r="K48" s="117" t="str">
        <f t="shared" si="23"/>
        <v>4043/4044</v>
      </c>
      <c r="L48" s="24" t="str">
        <f>VLOOKUP(A48,'Trips&amp;Operators'!$C$1:$E$10000,3,FALSE)</f>
        <v>OUN</v>
      </c>
      <c r="M48" s="6">
        <f t="shared" si="24"/>
        <v>2.5891203702485655E-2</v>
      </c>
      <c r="N48" s="7">
        <f t="shared" si="21"/>
        <v>37.283333331579342</v>
      </c>
      <c r="O48" s="7"/>
      <c r="P48" s="7"/>
      <c r="Q48" s="25"/>
      <c r="R48" s="25"/>
      <c r="S48" s="37">
        <f t="shared" si="22"/>
        <v>1</v>
      </c>
      <c r="T48" s="52" t="str">
        <f t="shared" si="2"/>
        <v>NorthBound</v>
      </c>
      <c r="U48" s="159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06:37:22-0600',mode:absolute,to:'2016-10-06 09:22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8" s="54" t="str">
        <f t="shared" si="26"/>
        <v>N</v>
      </c>
      <c r="X48" s="164">
        <f t="shared" si="27"/>
        <v>1</v>
      </c>
      <c r="Y48" s="69">
        <f t="shared" si="28"/>
        <v>4.7500000000000001E-2</v>
      </c>
      <c r="Z48" s="69">
        <f t="shared" si="16"/>
        <v>23.3308</v>
      </c>
      <c r="AA48" s="69">
        <f t="shared" si="29"/>
        <v>23.283300000000001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8"/>
        <v>0133-06</v>
      </c>
      <c r="AE48" s="95" t="str">
        <f t="shared" si="30"/>
        <v>aws s3 cp s3://rtdc.mdm.uploadarchive.raw/RTDC4044/ "%USERPROFILE%\AppData\Local\Temp\OnboardLogs"\RTDC4044\2016-10-06 --exclude "*" --recursive --include "*20161006*" &amp; "%USERPROFILE%\Documents\GitHub\mrs-test-scripts\Headless Mode &amp; Sideloading\WalkAndUnGZ.bat" "%USERPROFILE%\AppData\Local\Temp\OnboardLogs"\RTDC4044\2016-10-06 &amp; aws s3 cp s3://rtdc.mdm.uploadarchive.raw/RTDC4044/ "%USERPROFILE%\AppData\Local\Temp\OnboardLogs"\RTDC4044\2016-10-07 --exclude "*" --recursive --include "*20161007*" &amp; "%USERPROFILE%\Documents\GitHub\mrs-test-scripts\Headless Mode &amp; Sideloading\WalkAndUnGZ.bat" "%USERPROFILE%\AppData\Local\Temp\OnboardLogs"\RTDC4044\2016-10-07</v>
      </c>
      <c r="AF48" s="92" t="str">
        <f t="shared" si="31"/>
        <v>"C:\Program Files (x86)\AstroGrep\AstroGrep.exe" /spath="%USERPROFILE%\AppData\Local\Temp\OnboardLogs" /stypes="app*4044*20161006*" /stext=" 14:.+((SYSTEM_STATE.+slice.+state.+changed )|(ment ac)|(system.+state.+changed )|(\[timeout)|(PRM\|1\|D)|(kpr)|(kdp)|(\|lc)|(penalty))" /e /r /s</v>
      </c>
      <c r="AG48" s="1" t="str">
        <f t="shared" si="11"/>
        <v>EC</v>
      </c>
      <c r="AH48" s="96" t="str">
        <f t="shared" si="14"/>
        <v>"%USERPROFILE%\Documents\GitHub\eaglep3\Utilities\RefineRTDCRunTimes.py" --tripid 133-06 --locoid 4044 --swversion DE.1.0.7.0 --startMP 204:475 --initTime 2016-10-06T07:37:22 --startdatetime 2016-10-06T07:45:19 --delay 1 --endMP 204:233308 --enddatetime 2016-10-06T08:22:36 --enforcementcount 0 &gt;&gt;C:\Users\stu\Documents\GitHub\eaglep3-reporting\EC\2016-10-06-refined-times.txt</v>
      </c>
      <c r="AI48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{"issue":{"subject":"","project_id":79,"tracker_id":40,"status_id":1,"priority_id":2,"assigned_to_id":23,"start_date":"2016-10-06","description":"","custom_fields":[{"id":1,"name":"Subdivision","value":"EC"},{"id":4,"name":"Milepost","value":"23.3308"},{"id":17,"name":"Train ID","value":"133-06"},{"id":16,"name":"Locomotive ID","value":"4044"},{"id":130,"name":"Impact","value":""},{"id":150,"name":"Time of Event (Mountain Time)","value":"08:22:36"},{"id":151,"name":"Denver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454</v>
      </c>
      <c r="B49" s="7">
        <v>4043</v>
      </c>
      <c r="C49" s="24" t="s">
        <v>106</v>
      </c>
      <c r="D49" s="24" t="s">
        <v>294</v>
      </c>
      <c r="E49" s="15">
        <v>42649.357222222221</v>
      </c>
      <c r="F49" s="15">
        <v>42649.362037037034</v>
      </c>
      <c r="G49" s="7">
        <v>1</v>
      </c>
      <c r="H49" s="15" t="s">
        <v>191</v>
      </c>
      <c r="I49" s="15">
        <v>42649.389768518522</v>
      </c>
      <c r="J49" s="7">
        <v>0</v>
      </c>
      <c r="K49" s="117" t="str">
        <f t="shared" si="23"/>
        <v>4043/4044</v>
      </c>
      <c r="L49" s="24" t="str">
        <f>VLOOKUP(A49,'Trips&amp;Operators'!$C$1:$E$10000,3,FALSE)</f>
        <v>OUN</v>
      </c>
      <c r="M49" s="6">
        <f t="shared" si="24"/>
        <v>2.7731481488444842E-2</v>
      </c>
      <c r="N49" s="7">
        <f t="shared" si="21"/>
        <v>39.933333343360573</v>
      </c>
      <c r="O49" s="7"/>
      <c r="P49" s="7"/>
      <c r="Q49" s="25"/>
      <c r="R49" s="25"/>
      <c r="S49" s="37">
        <f t="shared" si="22"/>
        <v>1</v>
      </c>
      <c r="T49" s="52" t="str">
        <f t="shared" si="2"/>
        <v>Southbound</v>
      </c>
      <c r="U49" s="159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07:34:24-0600',mode:absolute,to:'2016-10-06 10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9" s="54" t="str">
        <f t="shared" si="26"/>
        <v>N</v>
      </c>
      <c r="X49" s="164">
        <f t="shared" si="27"/>
        <v>1</v>
      </c>
      <c r="Y49" s="69">
        <f t="shared" si="28"/>
        <v>23.3002</v>
      </c>
      <c r="Z49" s="69">
        <f t="shared" ref="Z49:Z80" si="32">RIGHT(H49,LEN(H49)-4)/10000</f>
        <v>1.6E-2</v>
      </c>
      <c r="AA49" s="69">
        <f t="shared" si="29"/>
        <v>23.284200000000002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8"/>
        <v>0134-06</v>
      </c>
      <c r="AE49" s="95" t="str">
        <f t="shared" si="30"/>
        <v>aws s3 cp s3://rtdc.mdm.uploadarchive.raw/RTDC4043/ "%USERPROFILE%\AppData\Local\Temp\OnboardLogs"\RTDC4043\2016-10-06 --exclude "*" --recursive --include "*20161006*" &amp; "%USERPROFILE%\Documents\GitHub\mrs-test-scripts\Headless Mode &amp; Sideloading\WalkAndUnGZ.bat" "%USERPROFILE%\AppData\Local\Temp\OnboardLogs"\RTDC4043\2016-10-06 &amp; aws s3 cp s3://rtdc.mdm.uploadarchive.raw/RTDC4043/ "%USERPROFILE%\AppData\Local\Temp\OnboardLogs"\RTDC4043\2016-10-07 --exclude "*" --recursive --include "*20161007*" &amp; "%USERPROFILE%\Documents\GitHub\mrs-test-scripts\Headless Mode &amp; Sideloading\WalkAndUnGZ.bat" "%USERPROFILE%\AppData\Local\Temp\OnboardLogs"\RTDC4043\2016-10-07</v>
      </c>
      <c r="AF49" s="92" t="str">
        <f t="shared" si="31"/>
        <v>"C:\Program Files (x86)\AstroGrep\AstroGrep.exe" /spath="%USERPROFILE%\AppData\Local\Temp\OnboardLogs" /stypes="app*4043*20161006*" /stext=" 15:.+((SYSTEM_STATE.+slice.+state.+changed )|(ment ac)|(system.+state.+changed )|(\[timeout)|(PRM\|1\|D)|(kpr)|(kdp)|(\|lc)|(penalty))" /e /r /s</v>
      </c>
      <c r="AG49" s="1" t="str">
        <f t="shared" si="11"/>
        <v>EC</v>
      </c>
      <c r="AH49" s="96" t="str">
        <f t="shared" si="14"/>
        <v>"%USERPROFILE%\Documents\GitHub\eaglep3\Utilities\RefineRTDCRunTimes.py" --tripid 134-06 --locoid 4043 --swversion DE.1.0.7.0 --startMP 204:233002 --initTime 2016-10-06T08:34:24 --startdatetime 2016-10-06T08:41:20 --delay 1 --endMP 204:160 --enddatetime 2016-10-06T09:21:16 --enforcementcount 0 &gt;&gt;C:\Users\stu\Documents\GitHub\eaglep3-reporting\EC\2016-10-06-refined-times.txt</v>
      </c>
      <c r="AI49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{"issue":{"subject":"","project_id":79,"tracker_id":40,"status_id":1,"priority_id":2,"assigned_to_id":23,"start_date":"2016-10-06","description":"","custom_fields":[{"id":1,"name":"Subdivision","value":"EC"},{"id":4,"name":"Milepost","value":"0.016"},{"id":17,"name":"Train ID","value":"134-06"},{"id":16,"name":"Locomotive ID","value":"4043"},{"id":130,"name":"Impact","value":""},{"id":150,"name":"Time of Event (Mountain Time)","value":"09:21:16"},{"id":151,"name":"Denver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443</v>
      </c>
      <c r="B50" s="7">
        <v>4009</v>
      </c>
      <c r="C50" s="24" t="s">
        <v>106</v>
      </c>
      <c r="D50" s="24" t="s">
        <v>656</v>
      </c>
      <c r="E50" s="15">
        <v>42649.322418981479</v>
      </c>
      <c r="F50" s="15">
        <v>42649.333645833336</v>
      </c>
      <c r="G50" s="7">
        <v>1</v>
      </c>
      <c r="H50" s="15" t="s">
        <v>271</v>
      </c>
      <c r="I50" s="15">
        <v>42649.358819444446</v>
      </c>
      <c r="J50" s="7">
        <v>0</v>
      </c>
      <c r="K50" s="117" t="str">
        <f t="shared" si="23"/>
        <v>4009/4010</v>
      </c>
      <c r="L50" s="24" t="str">
        <f>VLOOKUP(A50,'Trips&amp;Operators'!$C$1:$E$10000,3,FALSE)</f>
        <v>SMITH</v>
      </c>
      <c r="M50" s="6">
        <f t="shared" si="24"/>
        <v>2.5173611109494232E-2</v>
      </c>
      <c r="N50" s="7">
        <f t="shared" si="21"/>
        <v>36.249999997671694</v>
      </c>
      <c r="O50" s="7"/>
      <c r="P50" s="7"/>
      <c r="Q50" s="25"/>
      <c r="R50" s="25"/>
      <c r="S50" s="37">
        <f t="shared" si="22"/>
        <v>1</v>
      </c>
      <c r="T50" s="52" t="str">
        <f t="shared" si="2"/>
        <v>NorthBound</v>
      </c>
      <c r="U50" s="159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06:44:17-0600',mode:absolute,to:'2016-10-06 09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0" s="54" t="str">
        <f t="shared" si="26"/>
        <v>N</v>
      </c>
      <c r="X50" s="164">
        <f t="shared" si="27"/>
        <v>1</v>
      </c>
      <c r="Y50" s="69">
        <f t="shared" si="28"/>
        <v>4.82E-2</v>
      </c>
      <c r="Z50" s="69">
        <f t="shared" si="32"/>
        <v>23.329899999999999</v>
      </c>
      <c r="AA50" s="69">
        <f t="shared" si="29"/>
        <v>23.281699999999997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8"/>
        <v>0135-06</v>
      </c>
      <c r="AE50" s="95" t="str">
        <f t="shared" si="30"/>
        <v>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 &amp; aws s3 cp s3://rtdc.mdm.uploadarchive.raw/RTDC4009/ "%USERPROFILE%\AppData\Local\Temp\OnboardLogs"\RTDC4009\2016-10-07 --exclude "*" --recursive --include "*20161007*" &amp; "%USERPROFILE%\Documents\GitHub\mrs-test-scripts\Headless Mode &amp; Sideloading\WalkAndUnGZ.bat" "%USERPROFILE%\AppData\Local\Temp\OnboardLogs"\RTDC4009\2016-10-07</v>
      </c>
      <c r="AF50" s="92" t="str">
        <f t="shared" si="31"/>
        <v>"C:\Program Files (x86)\AstroGrep\AstroGrep.exe" /spath="%USERPROFILE%\AppData\Local\Temp\OnboardLogs" /stypes="app*4009*20161006*" /stext=" 14:.+((SYSTEM_STATE.+slice.+state.+changed )|(ment ac)|(system.+state.+changed )|(\[timeout)|(PRM\|1\|D)|(kpr)|(kdp)|(\|lc)|(penalty))" /e /r /s</v>
      </c>
      <c r="AG50" s="1" t="str">
        <f t="shared" si="11"/>
        <v>EC</v>
      </c>
      <c r="AH50" s="96" t="str">
        <f t="shared" si="14"/>
        <v>"%USERPROFILE%\Documents\GitHub\eaglep3\Utilities\RefineRTDCRunTimes.py" --tripid 135-06 --locoid 4009 --swversion DE.1.0.7.0 --startMP 204:482 --initTime 2016-10-06T07:44:17 --startdatetime 2016-10-06T08:00:27 --delay 1 --endMP 204:233299 --enddatetime 2016-10-06T08:36:42 --enforcementcount 0 &gt;&gt;C:\Users\stu\Documents\GitHub\eaglep3-reporting\EC\2016-10-06-refined-times.txt</v>
      </c>
      <c r="AI50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{"issue":{"subject":"","project_id":79,"tracker_id":40,"status_id":1,"priority_id":2,"assigned_to_id":23,"start_date":"2016-10-06","description":"","custom_fields":[{"id":1,"name":"Subdivision","value":"EC"},{"id":4,"name":"Milepost","value":"23.3299"},{"id":17,"name":"Train ID","value":"135-06"},{"id":16,"name":"Locomotive ID","value":"4009"},{"id":130,"name":"Impact","value":""},{"id":150,"name":"Time of Event (Mountain Time)","value":"08:36:42"},{"id":151,"name":"Denver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457</v>
      </c>
      <c r="B51" s="7">
        <v>4010</v>
      </c>
      <c r="C51" s="24" t="s">
        <v>106</v>
      </c>
      <c r="D51" s="24" t="s">
        <v>657</v>
      </c>
      <c r="E51" s="15">
        <v>42649.364386574074</v>
      </c>
      <c r="F51" s="15">
        <v>42649.372430555559</v>
      </c>
      <c r="G51" s="7">
        <v>1</v>
      </c>
      <c r="H51" s="15" t="s">
        <v>198</v>
      </c>
      <c r="I51" s="15">
        <v>42649.400069444448</v>
      </c>
      <c r="J51" s="7">
        <v>0</v>
      </c>
      <c r="K51" s="117" t="str">
        <f t="shared" si="23"/>
        <v>4009/4010</v>
      </c>
      <c r="L51" s="24" t="str">
        <f>VLOOKUP(A51,'Trips&amp;Operators'!$C$1:$E$10000,3,FALSE)</f>
        <v>SMITH</v>
      </c>
      <c r="M51" s="6">
        <f t="shared" si="24"/>
        <v>2.7638888888759539E-2</v>
      </c>
      <c r="N51" s="7">
        <f t="shared" si="21"/>
        <v>39.799999999813735</v>
      </c>
      <c r="O51" s="7"/>
      <c r="P51" s="7"/>
      <c r="Q51" s="25"/>
      <c r="R51" s="25"/>
      <c r="S51" s="37">
        <f t="shared" si="22"/>
        <v>1</v>
      </c>
      <c r="T51" s="52" t="str">
        <f t="shared" si="2"/>
        <v>Southbound</v>
      </c>
      <c r="U51" s="159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07:44:43-0600',mode:absolute,to:'2016-10-06 10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1" s="54" t="str">
        <f t="shared" si="26"/>
        <v>N</v>
      </c>
      <c r="X51" s="164">
        <f t="shared" si="27"/>
        <v>1</v>
      </c>
      <c r="Y51" s="69">
        <f t="shared" si="28"/>
        <v>23.2973</v>
      </c>
      <c r="Z51" s="69">
        <f t="shared" si="32"/>
        <v>1.52E-2</v>
      </c>
      <c r="AA51" s="69">
        <f t="shared" si="29"/>
        <v>23.2821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8"/>
        <v>0136-06</v>
      </c>
      <c r="AE51" s="95" t="str">
        <f t="shared" si="30"/>
        <v>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 &amp; aws s3 cp s3://rtdc.mdm.uploadarchive.raw/RTDC4010/ "%USERPROFILE%\AppData\Local\Temp\OnboardLogs"\RTDC4010\2016-10-07 --exclude "*" --recursive --include "*20161007*" &amp; "%USERPROFILE%\Documents\GitHub\mrs-test-scripts\Headless Mode &amp; Sideloading\WalkAndUnGZ.bat" "%USERPROFILE%\AppData\Local\Temp\OnboardLogs"\RTDC4010\2016-10-07</v>
      </c>
      <c r="AF51" s="92" t="str">
        <f t="shared" si="31"/>
        <v>"C:\Program Files (x86)\AstroGrep\AstroGrep.exe" /spath="%USERPROFILE%\AppData\Local\Temp\OnboardLogs" /stypes="app*4010*20161006*" /stext=" 15:.+((SYSTEM_STATE.+slice.+state.+changed )|(ment ac)|(system.+state.+changed )|(\[timeout)|(PRM\|1\|D)|(kpr)|(kdp)|(\|lc)|(penalty))" /e /r /s</v>
      </c>
      <c r="AG51" s="1" t="str">
        <f t="shared" si="11"/>
        <v>EC</v>
      </c>
      <c r="AH51" s="96" t="str">
        <f t="shared" si="14"/>
        <v>"%USERPROFILE%\Documents\GitHub\eaglep3\Utilities\RefineRTDCRunTimes.py" --tripid 136-06 --locoid 4010 --swversion DE.1.0.7.0 --startMP 204:232973 --initTime 2016-10-06T08:44:43 --startdatetime 2016-10-06T08:56:18 --delay 1 --endMP 204:152 --enddatetime 2016-10-06T09:36:06 --enforcementcount 0 &gt;&gt;C:\Users\stu\Documents\GitHub\eaglep3-reporting\EC\2016-10-06-refined-times.txt</v>
      </c>
      <c r="AI51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{"issue":{"subject":"","project_id":79,"tracker_id":40,"status_id":1,"priority_id":2,"assigned_to_id":23,"start_date":"2016-10-06","description":"","custom_fields":[{"id":1,"name":"Subdivision","value":"EC"},{"id":4,"name":"Milepost","value":"0.0152"},{"id":17,"name":"Train ID","value":"136-06"},{"id":16,"name":"Locomotive ID","value":"4010"},{"id":130,"name":"Impact","value":""},{"id":150,"name":"Time of Event (Mountain Time)","value":"09:36:06"},{"id":151,"name":"Denver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446</v>
      </c>
      <c r="B52" s="7">
        <v>4018</v>
      </c>
      <c r="C52" s="24" t="s">
        <v>106</v>
      </c>
      <c r="D52" s="24" t="s">
        <v>195</v>
      </c>
      <c r="E52" s="15">
        <v>42649.33489583333</v>
      </c>
      <c r="F52" s="15">
        <v>42649.344027777777</v>
      </c>
      <c r="G52" s="7">
        <v>1</v>
      </c>
      <c r="H52" s="15" t="s">
        <v>262</v>
      </c>
      <c r="I52" s="15">
        <v>42649.371111111112</v>
      </c>
      <c r="J52" s="7">
        <v>0</v>
      </c>
      <c r="K52" s="117" t="str">
        <f t="shared" si="23"/>
        <v>4017/4018</v>
      </c>
      <c r="L52" s="24" t="str">
        <f>VLOOKUP(A52,'Trips&amp;Operators'!$C$1:$E$10000,3,FALSE)</f>
        <v>STRICKLAND</v>
      </c>
      <c r="M52" s="6">
        <f t="shared" si="24"/>
        <v>2.7083333334303461E-2</v>
      </c>
      <c r="N52" s="7">
        <f t="shared" si="21"/>
        <v>39.000000001396984</v>
      </c>
      <c r="O52" s="7"/>
      <c r="P52" s="7"/>
      <c r="Q52" s="25"/>
      <c r="R52" s="25"/>
      <c r="S52" s="37">
        <f t="shared" si="22"/>
        <v>1</v>
      </c>
      <c r="T52" s="52" t="str">
        <f t="shared" si="2"/>
        <v>NorthBound</v>
      </c>
      <c r="U52" s="159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07:02:15-0600',mode:absolute,to:'2016-10-06 09:54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2" s="54" t="str">
        <f t="shared" si="26"/>
        <v>N</v>
      </c>
      <c r="X52" s="164">
        <f t="shared" si="27"/>
        <v>1</v>
      </c>
      <c r="Y52" s="69">
        <f t="shared" si="28"/>
        <v>4.53E-2</v>
      </c>
      <c r="Z52" s="69">
        <f t="shared" si="32"/>
        <v>23.329699999999999</v>
      </c>
      <c r="AA52" s="69">
        <f t="shared" si="29"/>
        <v>23.284399999999998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8"/>
        <v>0137-06</v>
      </c>
      <c r="AE52" s="95" t="str">
        <f t="shared" si="30"/>
        <v>aws s3 cp s3://rtdc.mdm.uploadarchive.raw/RTDC4018/ "%USERPROFILE%\AppData\Local\Temp\OnboardLogs"\RTDC4018\2016-10-06 --exclude "*" --recursive --include "*20161006*" &amp; "%USERPROFILE%\Documents\GitHub\mrs-test-scripts\Headless Mode &amp; Sideloading\WalkAndUnGZ.bat" "%USERPROFILE%\AppData\Local\Temp\OnboardLogs"\RTDC4018\2016-10-06 &amp; 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</v>
      </c>
      <c r="AF52" s="92" t="str">
        <f t="shared" si="31"/>
        <v>"C:\Program Files (x86)\AstroGrep\AstroGrep.exe" /spath="%USERPROFILE%\AppData\Local\Temp\OnboardLogs" /stypes="app*4018*20161006*" /stext=" 14:.+((SYSTEM_STATE.+slice.+state.+changed )|(ment ac)|(system.+state.+changed )|(\[timeout)|(PRM\|1\|D)|(kpr)|(kdp)|(\|lc)|(penalty))" /e /r /s</v>
      </c>
      <c r="AG52" s="1" t="str">
        <f t="shared" si="11"/>
        <v>EC</v>
      </c>
      <c r="AH52" s="96" t="str">
        <f t="shared" si="14"/>
        <v>"%USERPROFILE%\Documents\GitHub\eaglep3\Utilities\RefineRTDCRunTimes.py" --tripid 137-06 --locoid 4018 --swversion DE.1.0.7.0 --startMP 204:453 --initTime 2016-10-06T08:02:15 --startdatetime 2016-10-06T08:15:24 --delay 1 --endMP 204:233297 --enddatetime 2016-10-06T08:54:24 --enforcementcount 0 &gt;&gt;C:\Users\stu\Documents\GitHub\eaglep3-reporting\EC\2016-10-06-refined-times.txt</v>
      </c>
      <c r="AI52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{"issue":{"subject":"","project_id":79,"tracker_id":40,"status_id":1,"priority_id":2,"assigned_to_id":23,"start_date":"2016-10-06","description":"","custom_fields":[{"id":1,"name":"Subdivision","value":"EC"},{"id":4,"name":"Milepost","value":"23.3297"},{"id":17,"name":"Train ID","value":"137-06"},{"id":16,"name":"Locomotive ID","value":"4018"},{"id":130,"name":"Impact","value":""},{"id":150,"name":"Time of Event (Mountain Time)","value":"08:54:24"},{"id":151,"name":"Denver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459</v>
      </c>
      <c r="B53" s="7">
        <v>4017</v>
      </c>
      <c r="C53" s="24" t="s">
        <v>106</v>
      </c>
      <c r="D53" s="24" t="s">
        <v>299</v>
      </c>
      <c r="E53" s="15">
        <v>42649.37804398148</v>
      </c>
      <c r="F53" s="15">
        <v>42649.382835648146</v>
      </c>
      <c r="G53" s="7">
        <v>1</v>
      </c>
      <c r="H53" s="15" t="s">
        <v>191</v>
      </c>
      <c r="I53" s="15">
        <v>42649.410601851851</v>
      </c>
      <c r="J53" s="7">
        <v>0</v>
      </c>
      <c r="K53" s="117" t="str">
        <f t="shared" si="23"/>
        <v>4017/4018</v>
      </c>
      <c r="L53" s="24" t="str">
        <f>VLOOKUP(A53,'Trips&amp;Operators'!$C$1:$E$10000,3,FALSE)</f>
        <v>STRICKLAND</v>
      </c>
      <c r="M53" s="6">
        <f t="shared" si="24"/>
        <v>2.7766203704231884E-2</v>
      </c>
      <c r="N53" s="7">
        <f t="shared" si="21"/>
        <v>39.983333334093913</v>
      </c>
      <c r="O53" s="7"/>
      <c r="P53" s="7"/>
      <c r="Q53" s="25"/>
      <c r="R53" s="25"/>
      <c r="S53" s="37">
        <f t="shared" si="22"/>
        <v>1</v>
      </c>
      <c r="T53" s="52" t="str">
        <f t="shared" si="2"/>
        <v>Southbound</v>
      </c>
      <c r="U53" s="159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08:04:23-0600',mode:absolute,to:'2016-10-06 10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3" s="54" t="str">
        <f t="shared" si="26"/>
        <v>N</v>
      </c>
      <c r="X53" s="164">
        <f t="shared" si="27"/>
        <v>1</v>
      </c>
      <c r="Y53" s="69">
        <f t="shared" si="28"/>
        <v>23.2974</v>
      </c>
      <c r="Z53" s="69">
        <f t="shared" si="32"/>
        <v>1.6E-2</v>
      </c>
      <c r="AA53" s="69">
        <f t="shared" si="29"/>
        <v>23.281400000000001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8"/>
        <v>0138-06</v>
      </c>
      <c r="AE53" s="95" t="str">
        <f t="shared" si="30"/>
        <v>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 &amp; 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</v>
      </c>
      <c r="AF53" s="92" t="str">
        <f t="shared" si="31"/>
        <v>"C:\Program Files (x86)\AstroGrep\AstroGrep.exe" /spath="%USERPROFILE%\AppData\Local\Temp\OnboardLogs" /stypes="app*4017*20161006*" /stext=" 15:.+((SYSTEM_STATE.+slice.+state.+changed )|(ment ac)|(system.+state.+changed )|(\[timeout)|(PRM\|1\|D)|(kpr)|(kdp)|(\|lc)|(penalty))" /e /r /s</v>
      </c>
      <c r="AG53" s="1" t="str">
        <f t="shared" si="11"/>
        <v>EC</v>
      </c>
      <c r="AH53" s="96" t="str">
        <f t="shared" si="14"/>
        <v>"%USERPROFILE%\Documents\GitHub\eaglep3\Utilities\RefineRTDCRunTimes.py" --tripid 138-06 --locoid 4017 --swversion DE.1.0.7.0 --startMP 204:232974 --initTime 2016-10-06T09:04:23 --startdatetime 2016-10-06T09:11:17 --delay 1 --endMP 204:160 --enddatetime 2016-10-06T09:51:16 --enforcementcount 0 &gt;&gt;C:\Users\stu\Documents\GitHub\eaglep3-reporting\EC\2016-10-06-refined-times.txt</v>
      </c>
      <c r="AI53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{"issue":{"subject":"","project_id":79,"tracker_id":40,"status_id":1,"priority_id":2,"assigned_to_id":23,"start_date":"2016-10-06","description":"","custom_fields":[{"id":1,"name":"Subdivision","value":"EC"},{"id":4,"name":"Milepost","value":"0.016"},{"id":17,"name":"Train ID","value":"138-06"},{"id":16,"name":"Locomotive ID","value":"4017"},{"id":130,"name":"Impact","value":""},{"id":150,"name":"Time of Event (Mountain Time)","value":"09:51:16"},{"id":151,"name":"Denver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450</v>
      </c>
      <c r="B54" s="7">
        <v>4007</v>
      </c>
      <c r="C54" s="24" t="s">
        <v>106</v>
      </c>
      <c r="D54" s="24" t="s">
        <v>239</v>
      </c>
      <c r="E54" s="15">
        <v>42649.344814814816</v>
      </c>
      <c r="F54" s="15">
        <v>42649.354502314818</v>
      </c>
      <c r="G54" s="7">
        <v>1</v>
      </c>
      <c r="H54" s="15" t="s">
        <v>348</v>
      </c>
      <c r="I54" s="15">
        <v>42649.379652777781</v>
      </c>
      <c r="J54" s="7">
        <v>0</v>
      </c>
      <c r="K54" s="117" t="str">
        <f t="shared" si="23"/>
        <v>4007/4008</v>
      </c>
      <c r="L54" s="24" t="str">
        <f>VLOOKUP(A54,'Trips&amp;Operators'!$C$1:$E$10000,3,FALSE)</f>
        <v>ROCHA</v>
      </c>
      <c r="M54" s="6">
        <f t="shared" si="24"/>
        <v>2.5150462963210884E-2</v>
      </c>
      <c r="N54" s="7">
        <f t="shared" si="21"/>
        <v>36.216666667023674</v>
      </c>
      <c r="O54" s="7"/>
      <c r="P54" s="7"/>
      <c r="Q54" s="25"/>
      <c r="R54" s="25"/>
      <c r="S54" s="37">
        <f t="shared" si="22"/>
        <v>1</v>
      </c>
      <c r="T54" s="52" t="str">
        <f t="shared" si="2"/>
        <v>NorthBound</v>
      </c>
      <c r="U54" s="159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07:16:32-0600',mode:absolute,to:'2016-10-06 10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4" s="54" t="str">
        <f t="shared" si="26"/>
        <v>N</v>
      </c>
      <c r="X54" s="164">
        <f t="shared" si="27"/>
        <v>1</v>
      </c>
      <c r="Y54" s="69">
        <f t="shared" si="28"/>
        <v>4.4900000000000002E-2</v>
      </c>
      <c r="Z54" s="69">
        <f t="shared" si="32"/>
        <v>23.327000000000002</v>
      </c>
      <c r="AA54" s="69">
        <f t="shared" si="29"/>
        <v>23.282100000000003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8"/>
        <v>0139-06</v>
      </c>
      <c r="AE54" s="95" t="str">
        <f t="shared" si="30"/>
        <v>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 &amp; 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</v>
      </c>
      <c r="AF54" s="92" t="str">
        <f t="shared" si="31"/>
        <v>"C:\Program Files (x86)\AstroGrep\AstroGrep.exe" /spath="%USERPROFILE%\AppData\Local\Temp\OnboardLogs" /stypes="app*4007*20161006*" /stext=" 15:.+((SYSTEM_STATE.+slice.+state.+changed )|(ment ac)|(system.+state.+changed )|(\[timeout)|(PRM\|1\|D)|(kpr)|(kdp)|(\|lc)|(penalty))" /e /r /s</v>
      </c>
      <c r="AG54" s="1" t="str">
        <f t="shared" si="11"/>
        <v>EC</v>
      </c>
      <c r="AH54" s="96" t="str">
        <f t="shared" si="14"/>
        <v>"%USERPROFILE%\Documents\GitHub\eaglep3\Utilities\RefineRTDCRunTimes.py" --tripid 139-06 --locoid 4007 --swversion DE.1.0.7.0 --startMP 204:449 --initTime 2016-10-06T08:16:32 --startdatetime 2016-10-06T08:30:29 --delay 1 --endMP 204:233270 --enddatetime 2016-10-06T09:06:42 --enforcementcount 0 &gt;&gt;C:\Users\stu\Documents\GitHub\eaglep3-reporting\EC\2016-10-06-refined-times.txt</v>
      </c>
      <c r="AI54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{"issue":{"subject":"","project_id":79,"tracker_id":40,"status_id":1,"priority_id":2,"assigned_to_id":23,"start_date":"2016-10-06","description":"","custom_fields":[{"id":1,"name":"Subdivision","value":"EC"},{"id":4,"name":"Milepost","value":"23.327"},{"id":17,"name":"Train ID","value":"139-06"},{"id":16,"name":"Locomotive ID","value":"4007"},{"id":130,"name":"Impact","value":""},{"id":150,"name":"Time of Event (Mountain Time)","value":"09:06:42"},{"id":151,"name":"Denver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462</v>
      </c>
      <c r="B55" s="7">
        <v>4008</v>
      </c>
      <c r="C55" s="24" t="s">
        <v>106</v>
      </c>
      <c r="D55" s="24" t="s">
        <v>658</v>
      </c>
      <c r="E55" s="15">
        <v>42649.391875000001</v>
      </c>
      <c r="F55" s="15">
        <v>42649.39335648148</v>
      </c>
      <c r="G55" s="7">
        <v>2</v>
      </c>
      <c r="H55" s="15" t="s">
        <v>659</v>
      </c>
      <c r="I55" s="15">
        <v>42649.421226851853</v>
      </c>
      <c r="J55" s="7">
        <v>0</v>
      </c>
      <c r="K55" s="117" t="str">
        <f t="shared" si="23"/>
        <v>4007/4008</v>
      </c>
      <c r="L55" s="24" t="str">
        <f>VLOOKUP(A55,'Trips&amp;Operators'!$C$1:$E$10000,3,FALSE)</f>
        <v>ROCHA</v>
      </c>
      <c r="M55" s="6">
        <f t="shared" si="24"/>
        <v>2.7870370373420883E-2</v>
      </c>
      <c r="N55" s="7">
        <f t="shared" si="21"/>
        <v>40.133333337726071</v>
      </c>
      <c r="O55" s="7"/>
      <c r="P55" s="7"/>
      <c r="Q55" s="25"/>
      <c r="R55" s="25"/>
      <c r="S55" s="37">
        <f t="shared" si="22"/>
        <v>1</v>
      </c>
      <c r="T55" s="52" t="str">
        <f t="shared" si="2"/>
        <v>Southbound</v>
      </c>
      <c r="U55" s="159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08:24:18-0600',mode:absolute,to:'2016-10-06 11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5" s="54" t="str">
        <f t="shared" si="26"/>
        <v>N</v>
      </c>
      <c r="X55" s="164">
        <f t="shared" si="27"/>
        <v>1</v>
      </c>
      <c r="Y55" s="69">
        <f t="shared" si="28"/>
        <v>23.165600000000001</v>
      </c>
      <c r="Z55" s="69">
        <f t="shared" si="32"/>
        <v>1.3599999999999999E-2</v>
      </c>
      <c r="AA55" s="69">
        <f t="shared" si="29"/>
        <v>23.152000000000001</v>
      </c>
      <c r="AB55" s="66" t="str">
        <f>VLOOKUP(A55,Enforcements!$C$7:$K$21,8,0)</f>
        <v>Bulletin (2)</v>
      </c>
      <c r="AC55" s="62" t="str">
        <f>VLOOKUP(A55,Enforcements!$C$7:$E$21,3,0)</f>
        <v>GRADE CROSSING</v>
      </c>
      <c r="AD55" s="63" t="str">
        <f t="shared" si="8"/>
        <v>0140-06</v>
      </c>
      <c r="AE55" s="95" t="str">
        <f t="shared" si="30"/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AF55" s="92" t="str">
        <f t="shared" si="31"/>
        <v>"C:\Program Files (x86)\AstroGrep\AstroGrep.exe" /spath="%USERPROFILE%\AppData\Local\Temp\OnboardLogs" /stypes="app*4008*20161006*" /stext=" 16:.+((SYSTEM_STATE.+slice.+state.+changed )|(ment ac)|(system.+state.+changed )|(\[timeout)|(PRM\|1\|D)|(kpr)|(kdp)|(\|lc)|(penalty))" /e /r /s</v>
      </c>
      <c r="AG55" s="1" t="str">
        <f t="shared" si="11"/>
        <v>EC</v>
      </c>
      <c r="AH55" s="96" t="str">
        <f t="shared" si="14"/>
        <v>"%USERPROFILE%\Documents\GitHub\eaglep3\Utilities\RefineRTDCRunTimes.py" --tripid 140-06 --locoid 4008 --swversion DE.1.0.7.0 --startMP 204:231656 --initTime 2016-10-06T09:24:18 --startdatetime 2016-10-06T09:26:26 --delay 2 --endMP 204:136 --enddatetime 2016-10-06T10:06:34 --enforcementcount 0 &gt;&gt;C:\Users\stu\Documents\GitHub\eaglep3-reporting\EC\2016-10-06-refined-times.txt</v>
      </c>
      <c r="AI55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{"issue":{"subject":"","project_id":79,"tracker_id":40,"status_id":1,"priority_id":2,"assigned_to_id":23,"start_date":"2016-10-06","description":"","custom_fields":[{"id":1,"name":"Subdivision","value":"EC"},{"id":4,"name":"Milepost","value":"0.0136"},{"id":17,"name":"Train ID","value":"140-06"},{"id":16,"name":"Locomotive ID","value":"4008"},{"id":130,"name":"Impact","value":""},{"id":150,"name":"Time of Event (Mountain Time)","value":"10:06:34"},{"id":151,"name":"Denver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456</v>
      </c>
      <c r="B56" s="7">
        <v>4046</v>
      </c>
      <c r="C56" s="24" t="s">
        <v>106</v>
      </c>
      <c r="D56" s="24" t="s">
        <v>239</v>
      </c>
      <c r="E56" s="15">
        <v>42649.360671296294</v>
      </c>
      <c r="F56" s="15">
        <v>42649.36478009259</v>
      </c>
      <c r="G56" s="7">
        <v>1</v>
      </c>
      <c r="H56" s="15" t="s">
        <v>660</v>
      </c>
      <c r="I56" s="15">
        <v>42649.390081018515</v>
      </c>
      <c r="J56" s="7">
        <v>0</v>
      </c>
      <c r="K56" s="117" t="str">
        <f t="shared" si="23"/>
        <v>4045/4046</v>
      </c>
      <c r="L56" s="24" t="str">
        <f>VLOOKUP(A56,'Trips&amp;Operators'!$C$1:$E$10000,3,FALSE)</f>
        <v>BERLING</v>
      </c>
      <c r="M56" s="6">
        <f t="shared" si="24"/>
        <v>2.5300925924966577E-2</v>
      </c>
      <c r="N56" s="7">
        <f t="shared" si="21"/>
        <v>36.433333331951872</v>
      </c>
      <c r="O56" s="7"/>
      <c r="P56" s="7"/>
      <c r="Q56" s="25"/>
      <c r="R56" s="25"/>
      <c r="S56" s="37">
        <f t="shared" si="22"/>
        <v>1</v>
      </c>
      <c r="T56" s="52" t="str">
        <f t="shared" si="2"/>
        <v>NorthBound</v>
      </c>
      <c r="U56" s="159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07:39:22-0600',mode:absolute,to:'2016-10-06 10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6" s="54" t="str">
        <f t="shared" si="26"/>
        <v>N</v>
      </c>
      <c r="X56" s="164">
        <f t="shared" si="27"/>
        <v>1</v>
      </c>
      <c r="Y56" s="69">
        <f t="shared" si="28"/>
        <v>4.4900000000000002E-2</v>
      </c>
      <c r="Z56" s="69">
        <f t="shared" si="32"/>
        <v>23.333200000000001</v>
      </c>
      <c r="AA56" s="69">
        <f t="shared" si="29"/>
        <v>23.288300000000003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8"/>
        <v>0141-06</v>
      </c>
      <c r="AE56" s="95" t="str">
        <f t="shared" si="30"/>
        <v>aws s3 cp s3://rtdc.mdm.uploadarchive.raw/RTDC4046/ "%USERPROFILE%\AppData\Local\Temp\OnboardLogs"\RTDC4046\2016-10-06 --exclude "*" --recursive --include "*20161006*" &amp; "%USERPROFILE%\Documents\GitHub\mrs-test-scripts\Headless Mode &amp; Sideloading\WalkAndUnGZ.bat" "%USERPROFILE%\AppData\Local\Temp\OnboardLogs"\RTDC4046\2016-10-06 &amp; 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</v>
      </c>
      <c r="AF56" s="92" t="str">
        <f t="shared" si="31"/>
        <v>"C:\Program Files (x86)\AstroGrep\AstroGrep.exe" /spath="%USERPROFILE%\AppData\Local\Temp\OnboardLogs" /stypes="app*4046*20161006*" /stext=" 15:.+((SYSTEM_STATE.+slice.+state.+changed )|(ment ac)|(system.+state.+changed )|(\[timeout)|(PRM\|1\|D)|(kpr)|(kdp)|(\|lc)|(penalty))" /e /r /s</v>
      </c>
      <c r="AG56" s="1" t="str">
        <f t="shared" si="11"/>
        <v>EC</v>
      </c>
      <c r="AH56" s="96" t="str">
        <f t="shared" si="14"/>
        <v>"%USERPROFILE%\Documents\GitHub\eaglep3\Utilities\RefineRTDCRunTimes.py" --tripid 141-06 --locoid 4046 --swversion DE.1.0.7.0 --startMP 204:449 --initTime 2016-10-06T08:39:22 --startdatetime 2016-10-06T08:45:17 --delay 1 --endMP 204:233332 --enddatetime 2016-10-06T09:21:43 --enforcementcount 0 &gt;&gt;C:\Users\stu\Documents\GitHub\eaglep3-reporting\EC\2016-10-06-refined-times.txt</v>
      </c>
      <c r="AI56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{"issue":{"subject":"","project_id":79,"tracker_id":40,"status_id":1,"priority_id":2,"assigned_to_id":23,"start_date":"2016-10-06","description":"","custom_fields":[{"id":1,"name":"Subdivision","value":"EC"},{"id":4,"name":"Milepost","value":"23.3332"},{"id":17,"name":"Train ID","value":"141-06"},{"id":16,"name":"Locomotive ID","value":"4046"},{"id":130,"name":"Impact","value":""},{"id":150,"name":"Time of Event (Mountain Time)","value":"09:21:43"},{"id":151,"name":"Denver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465</v>
      </c>
      <c r="B57" s="7">
        <v>4045</v>
      </c>
      <c r="C57" s="24" t="s">
        <v>106</v>
      </c>
      <c r="D57" s="24" t="s">
        <v>639</v>
      </c>
      <c r="E57" s="15">
        <v>42649.394918981481</v>
      </c>
      <c r="F57" s="15">
        <v>42649.403912037036</v>
      </c>
      <c r="G57" s="7">
        <v>1</v>
      </c>
      <c r="H57" s="15" t="s">
        <v>194</v>
      </c>
      <c r="I57" s="15">
        <v>42649.430891203701</v>
      </c>
      <c r="J57" s="7">
        <v>0</v>
      </c>
      <c r="K57" s="117" t="str">
        <f t="shared" si="23"/>
        <v>4045/4046</v>
      </c>
      <c r="L57" s="24" t="str">
        <f>VLOOKUP(A57,'Trips&amp;Operators'!$C$1:$E$10000,3,FALSE)</f>
        <v>BERLING</v>
      </c>
      <c r="M57" s="6">
        <f t="shared" si="24"/>
        <v>2.6979166665114462E-2</v>
      </c>
      <c r="N57" s="7">
        <f t="shared" si="21"/>
        <v>38.849999997764826</v>
      </c>
      <c r="O57" s="7"/>
      <c r="P57" s="7"/>
      <c r="Q57" s="25"/>
      <c r="R57" s="25"/>
      <c r="S57" s="37">
        <f t="shared" si="22"/>
        <v>1</v>
      </c>
      <c r="T57" s="52" t="str">
        <f t="shared" si="2"/>
        <v>Southbound</v>
      </c>
      <c r="U57" s="159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08:28:41-0600',mode:absolute,to:'2016-10-06 11:20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7" s="54" t="str">
        <f t="shared" si="26"/>
        <v>N</v>
      </c>
      <c r="X57" s="164">
        <f t="shared" si="27"/>
        <v>1</v>
      </c>
      <c r="Y57" s="69">
        <f t="shared" si="28"/>
        <v>23.300799999999999</v>
      </c>
      <c r="Z57" s="69">
        <f t="shared" si="32"/>
        <v>1.47E-2</v>
      </c>
      <c r="AA57" s="69">
        <f t="shared" si="29"/>
        <v>23.286099999999998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8"/>
        <v>0142-06</v>
      </c>
      <c r="AE57" s="95" t="str">
        <f t="shared" si="30"/>
        <v>aws s3 cp s3://rtdc.mdm.uploadarchive.raw/RTDC4045/ "%USERPROFILE%\AppData\Local\Temp\OnboardLogs"\RTDC4045\2016-10-06 --exclude "*" --recursive --include "*20161006*" &amp; "%USERPROFILE%\Documents\GitHub\mrs-test-scripts\Headless Mode &amp; Sideloading\WalkAndUnGZ.bat" "%USERPROFILE%\AppData\Local\Temp\OnboardLogs"\RTDC4045\2016-10-06 &amp; 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</v>
      </c>
      <c r="AF57" s="92" t="str">
        <f t="shared" si="31"/>
        <v>"C:\Program Files (x86)\AstroGrep\AstroGrep.exe" /spath="%USERPROFILE%\AppData\Local\Temp\OnboardLogs" /stypes="app*4045*20161006*" /stext=" 16:.+((SYSTEM_STATE.+slice.+state.+changed )|(ment ac)|(system.+state.+changed )|(\[timeout)|(PRM\|1\|D)|(kpr)|(kdp)|(\|lc)|(penalty))" /e /r /s</v>
      </c>
      <c r="AG57" s="1" t="str">
        <f t="shared" si="11"/>
        <v>EC</v>
      </c>
      <c r="AH57" s="96" t="str">
        <f t="shared" si="14"/>
        <v>"%USERPROFILE%\Documents\GitHub\eaglep3\Utilities\RefineRTDCRunTimes.py" --tripid 142-06 --locoid 4045 --swversion DE.1.0.7.0 --startMP 204:233008 --initTime 2016-10-06T09:28:41 --startdatetime 2016-10-06T09:41:38 --delay 1 --endMP 204:147 --enddatetime 2016-10-06T10:20:29 --enforcementcount 0 &gt;&gt;C:\Users\stu\Documents\GitHub\eaglep3-reporting\EC\2016-10-06-refined-times.txt</v>
      </c>
      <c r="AI57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{"issue":{"subject":"","project_id":79,"tracker_id":40,"status_id":1,"priority_id":2,"assigned_to_id":23,"start_date":"2016-10-06","description":"","custom_fields":[{"id":1,"name":"Subdivision","value":"EC"},{"id":4,"name":"Milepost","value":"0.0147"},{"id":17,"name":"Train ID","value":"142-06"},{"id":16,"name":"Locomotive ID","value":"4045"},{"id":130,"name":"Impact","value":""},{"id":150,"name":"Time of Event (Mountain Time)","value":"10:20:29"},{"id":151,"name":"Denver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458</v>
      </c>
      <c r="B58" s="7">
        <v>4031</v>
      </c>
      <c r="C58" s="24" t="s">
        <v>106</v>
      </c>
      <c r="D58" s="24" t="s">
        <v>192</v>
      </c>
      <c r="E58" s="15">
        <v>42649.370474537034</v>
      </c>
      <c r="F58" s="15">
        <v>42649.3752662037</v>
      </c>
      <c r="G58" s="7">
        <v>0</v>
      </c>
      <c r="H58" s="15" t="s">
        <v>661</v>
      </c>
      <c r="I58" s="15">
        <v>42649.400613425925</v>
      </c>
      <c r="J58" s="7">
        <v>0</v>
      </c>
      <c r="K58" s="117" t="str">
        <f t="shared" si="23"/>
        <v>4031/4032</v>
      </c>
      <c r="L58" s="24" t="str">
        <f>VLOOKUP(A58,'Trips&amp;Operators'!$C$1:$E$10000,3,FALSE)</f>
        <v>MAELZER</v>
      </c>
      <c r="M58" s="6">
        <f t="shared" si="24"/>
        <v>2.5347222224809229E-2</v>
      </c>
      <c r="N58" s="7">
        <f t="shared" si="21"/>
        <v>36.50000000372529</v>
      </c>
      <c r="O58" s="7"/>
      <c r="P58" s="7"/>
      <c r="Q58" s="25"/>
      <c r="R58" s="25"/>
      <c r="S58" s="37">
        <f t="shared" si="22"/>
        <v>1</v>
      </c>
      <c r="T58" s="52" t="str">
        <f t="shared" si="2"/>
        <v>NorthBound</v>
      </c>
      <c r="U58" s="159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07:53:29-0600',mode:absolute,to:'2016-10-06 10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8" s="54" t="str">
        <f t="shared" si="26"/>
        <v>N</v>
      </c>
      <c r="X58" s="164">
        <f t="shared" si="27"/>
        <v>1</v>
      </c>
      <c r="Y58" s="69">
        <f t="shared" si="28"/>
        <v>4.7100000000000003E-2</v>
      </c>
      <c r="Z58" s="69">
        <f t="shared" si="32"/>
        <v>23.331800000000001</v>
      </c>
      <c r="AA58" s="69">
        <f t="shared" si="29"/>
        <v>23.284700000000001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8"/>
        <v>0143-06</v>
      </c>
      <c r="AE58" s="95" t="str">
        <f t="shared" si="30"/>
        <v>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 &amp; aws s3 cp s3://rtdc.mdm.uploadarchive.raw/RTDC4031/ "%USERPROFILE%\AppData\Local\Temp\OnboardLogs"\RTDC4031\2016-10-07 --exclude "*" --recursive --include "*20161007*" &amp; "%USERPROFILE%\Documents\GitHub\mrs-test-scripts\Headless Mode &amp; Sideloading\WalkAndUnGZ.bat" "%USERPROFILE%\AppData\Local\Temp\OnboardLogs"\RTDC4031\2016-10-07</v>
      </c>
      <c r="AF58" s="92" t="str">
        <f t="shared" si="31"/>
        <v>"C:\Program Files (x86)\AstroGrep\AstroGrep.exe" /spath="%USERPROFILE%\AppData\Local\Temp\OnboardLogs" /stypes="app*4031*20161006*" /stext=" 15:.+((SYSTEM_STATE.+slice.+state.+changed )|(ment ac)|(system.+state.+changed )|(\[timeout)|(PRM\|1\|D)|(kpr)|(kdp)|(\|lc)|(penalty))" /e /r /s</v>
      </c>
      <c r="AG58" s="1" t="str">
        <f t="shared" si="11"/>
        <v>EC</v>
      </c>
      <c r="AH58" s="96" t="str">
        <f t="shared" si="14"/>
        <v>"%USERPROFILE%\Documents\GitHub\eaglep3\Utilities\RefineRTDCRunTimes.py" --tripid 143-06 --locoid 4031 --swversion DE.1.0.7.0 --startMP 204:471 --initTime 2016-10-06T08:53:29 --startdatetime 2016-10-06T09:00:23 --delay 0 --endMP 204:233318 --enddatetime 2016-10-06T09:36:53 --enforcementcount 0 &gt;&gt;C:\Users\stu\Documents\GitHub\eaglep3-reporting\EC\2016-10-06-refined-times.txt</v>
      </c>
      <c r="AI58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{"issue":{"subject":"","project_id":79,"tracker_id":40,"status_id":1,"priority_id":2,"assigned_to_id":23,"start_date":"2016-10-06","description":"","custom_fields":[{"id":1,"name":"Subdivision","value":"EC"},{"id":4,"name":"Milepost","value":"23.3318"},{"id":17,"name":"Train ID","value":"143-06"},{"id":16,"name":"Locomotive ID","value":"4031"},{"id":130,"name":"Impact","value":""},{"id":150,"name":"Time of Event (Mountain Time)","value":"09:36:53"},{"id":151,"name":"Denver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468</v>
      </c>
      <c r="B59" s="7">
        <v>4032</v>
      </c>
      <c r="C59" s="24" t="s">
        <v>106</v>
      </c>
      <c r="D59" s="24" t="s">
        <v>349</v>
      </c>
      <c r="E59" s="15">
        <v>42649.406782407408</v>
      </c>
      <c r="F59" s="15">
        <v>42649.414733796293</v>
      </c>
      <c r="G59" s="7">
        <v>1</v>
      </c>
      <c r="H59" s="15" t="s">
        <v>190</v>
      </c>
      <c r="I59" s="15">
        <v>42649.440995370373</v>
      </c>
      <c r="J59" s="7">
        <v>0</v>
      </c>
      <c r="K59" s="117" t="str">
        <f t="shared" si="23"/>
        <v>4031/4032</v>
      </c>
      <c r="L59" s="24" t="str">
        <f>VLOOKUP(A59,'Trips&amp;Operators'!$C$1:$E$10000,3,FALSE)</f>
        <v>MAELZER</v>
      </c>
      <c r="M59" s="6">
        <f t="shared" si="24"/>
        <v>2.6261574079398997E-2</v>
      </c>
      <c r="N59" s="7">
        <f t="shared" si="21"/>
        <v>37.816666674334556</v>
      </c>
      <c r="O59" s="7"/>
      <c r="P59" s="7"/>
      <c r="Q59" s="25"/>
      <c r="R59" s="25"/>
      <c r="S59" s="37">
        <f t="shared" si="22"/>
        <v>1</v>
      </c>
      <c r="T59" s="52" t="str">
        <f t="shared" si="2"/>
        <v>Southbound</v>
      </c>
      <c r="U59" s="159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08:45:46-0600',mode:absolute,to:'2016-10-06 11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9" s="54" t="str">
        <f t="shared" si="26"/>
        <v>N</v>
      </c>
      <c r="X59" s="164">
        <f t="shared" si="27"/>
        <v>1</v>
      </c>
      <c r="Y59" s="69">
        <f t="shared" si="28"/>
        <v>23.3</v>
      </c>
      <c r="Z59" s="69">
        <f t="shared" si="32"/>
        <v>1.49E-2</v>
      </c>
      <c r="AA59" s="69">
        <f t="shared" si="29"/>
        <v>23.2851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8"/>
        <v>0144-06</v>
      </c>
      <c r="AE59" s="95" t="str">
        <f t="shared" si="30"/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AF59" s="92" t="str">
        <f t="shared" si="31"/>
        <v>"C:\Program Files (x86)\AstroGrep\AstroGrep.exe" /spath="%USERPROFILE%\AppData\Local\Temp\OnboardLogs" /stypes="app*4032*20161006*" /stext=" 16:.+((SYSTEM_STATE.+slice.+state.+changed )|(ment ac)|(system.+state.+changed )|(\[timeout)|(PRM\|1\|D)|(kpr)|(kdp)|(\|lc)|(penalty))" /e /r /s</v>
      </c>
      <c r="AG59" s="1" t="str">
        <f t="shared" si="11"/>
        <v>EC</v>
      </c>
      <c r="AH59" s="96" t="str">
        <f t="shared" si="14"/>
        <v>"%USERPROFILE%\Documents\GitHub\eaglep3\Utilities\RefineRTDCRunTimes.py" --tripid 144-06 --locoid 4032 --swversion DE.1.0.7.0 --startMP 204:233000 --initTime 2016-10-06T09:45:46 --startdatetime 2016-10-06T09:57:13 --delay 1 --endMP 204:149 --enddatetime 2016-10-06T10:35:02 --enforcementcount 0 &gt;&gt;C:\Users\stu\Documents\GitHub\eaglep3-reporting\EC\2016-10-06-refined-times.txt</v>
      </c>
      <c r="AI59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{"issue":{"subject":"","project_id":79,"tracker_id":40,"status_id":1,"priority_id":2,"assigned_to_id":23,"start_date":"2016-10-06","description":"","custom_fields":[{"id":1,"name":"Subdivision","value":"EC"},{"id":4,"name":"Milepost","value":"0.0149"},{"id":17,"name":"Train ID","value":"144-06"},{"id":16,"name":"Locomotive ID","value":"4032"},{"id":130,"name":"Impact","value":""},{"id":150,"name":"Time of Event (Mountain Time)","value":"10:35:02"},{"id":151,"name":"Denver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460</v>
      </c>
      <c r="B60" s="7">
        <v>4027</v>
      </c>
      <c r="C60" s="24" t="s">
        <v>106</v>
      </c>
      <c r="D60" s="24" t="s">
        <v>236</v>
      </c>
      <c r="E60" s="15">
        <v>42649.38140046296</v>
      </c>
      <c r="F60" s="15">
        <v>42649.38559027778</v>
      </c>
      <c r="G60" s="7">
        <v>1</v>
      </c>
      <c r="H60" s="15" t="s">
        <v>215</v>
      </c>
      <c r="I60" s="15">
        <v>42649.411828703705</v>
      </c>
      <c r="J60" s="7">
        <v>0</v>
      </c>
      <c r="K60" s="117" t="str">
        <f t="shared" si="23"/>
        <v>4027/4028</v>
      </c>
      <c r="L60" s="24" t="str">
        <f>VLOOKUP(A60,'Trips&amp;Operators'!$C$1:$E$10000,3,FALSE)</f>
        <v>BRANNON</v>
      </c>
      <c r="M60" s="6">
        <f t="shared" si="24"/>
        <v>2.6238425925839692E-2</v>
      </c>
      <c r="N60" s="7">
        <f t="shared" si="21"/>
        <v>37.783333333209157</v>
      </c>
      <c r="O60" s="7"/>
      <c r="P60" s="7"/>
      <c r="Q60" s="25"/>
      <c r="R60" s="25"/>
      <c r="S60" s="37">
        <f t="shared" si="22"/>
        <v>1</v>
      </c>
      <c r="T60" s="52" t="str">
        <f t="shared" si="2"/>
        <v>NorthBound</v>
      </c>
      <c r="U60" s="159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08:09:13-0600',mode:absolute,to:'2016-10-06 10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0" s="54" t="str">
        <f t="shared" si="26"/>
        <v>N</v>
      </c>
      <c r="X60" s="164">
        <f t="shared" si="27"/>
        <v>1</v>
      </c>
      <c r="Y60" s="69">
        <f t="shared" si="28"/>
        <v>4.7699999999999999E-2</v>
      </c>
      <c r="Z60" s="69">
        <f t="shared" si="32"/>
        <v>23.33</v>
      </c>
      <c r="AA60" s="69">
        <f t="shared" si="29"/>
        <v>23.282299999999999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8"/>
        <v>0145-06</v>
      </c>
      <c r="AE60" s="95" t="str">
        <f t="shared" si="30"/>
        <v>aws s3 cp s3://rtdc.mdm.uploadarchive.raw/RTDC4027/ "%USERPROFILE%\AppData\Local\Temp\OnboardLogs"\RTDC4027\2016-10-06 --exclude "*" --recursive --include "*20161006*" &amp; "%USERPROFILE%\Documents\GitHub\mrs-test-scripts\Headless Mode &amp; Sideloading\WalkAndUnGZ.bat" "%USERPROFILE%\AppData\Local\Temp\OnboardLogs"\RTDC4027\2016-10-06 &amp; aws s3 cp s3://rtdc.mdm.uploadarchive.raw/RTDC4027/ "%USERPROFILE%\AppData\Local\Temp\OnboardLogs"\RTDC4027\2016-10-07 --exclude "*" --recursive --include "*20161007*" &amp; "%USERPROFILE%\Documents\GitHub\mrs-test-scripts\Headless Mode &amp; Sideloading\WalkAndUnGZ.bat" "%USERPROFILE%\AppData\Local\Temp\OnboardLogs"\RTDC4027\2016-10-07</v>
      </c>
      <c r="AF60" s="92" t="str">
        <f t="shared" si="31"/>
        <v>"C:\Program Files (x86)\AstroGrep\AstroGrep.exe" /spath="%USERPROFILE%\AppData\Local\Temp\OnboardLogs" /stypes="app*4027*20161006*" /stext=" 15:.+((SYSTEM_STATE.+slice.+state.+changed )|(ment ac)|(system.+state.+changed )|(\[timeout)|(PRM\|1\|D)|(kpr)|(kdp)|(\|lc)|(penalty))" /e /r /s</v>
      </c>
      <c r="AG60" s="1" t="str">
        <f t="shared" si="11"/>
        <v>EC</v>
      </c>
      <c r="AH60" s="96" t="str">
        <f t="shared" si="14"/>
        <v>"%USERPROFILE%\Documents\GitHub\eaglep3\Utilities\RefineRTDCRunTimes.py" --tripid 145-06 --locoid 4027 --swversion DE.1.0.7.0 --startMP 204:477 --initTime 2016-10-06T09:09:13 --startdatetime 2016-10-06T09:15:15 --delay 1 --endMP 204:233300 --enddatetime 2016-10-06T09:53:02 --enforcementcount 0 &gt;&gt;C:\Users\stu\Documents\GitHub\eaglep3-reporting\EC\2016-10-06-refined-times.txt</v>
      </c>
      <c r="AI60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{"issue":{"subject":"","project_id":79,"tracker_id":40,"status_id":1,"priority_id":2,"assigned_to_id":23,"start_date":"2016-10-06","description":"","custom_fields":[{"id":1,"name":"Subdivision","value":"EC"},{"id":4,"name":"Milepost","value":"23.33"},{"id":17,"name":"Train ID","value":"145-06"},{"id":16,"name":"Locomotive ID","value":"4027"},{"id":130,"name":"Impact","value":""},{"id":150,"name":"Time of Event (Mountain Time)","value":"09:53:02"},{"id":151,"name":"Denver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470</v>
      </c>
      <c r="B61" s="7">
        <v>4028</v>
      </c>
      <c r="C61" s="24" t="s">
        <v>106</v>
      </c>
      <c r="D61" s="24" t="s">
        <v>278</v>
      </c>
      <c r="E61" s="15">
        <v>42649.418437499997</v>
      </c>
      <c r="F61" s="15">
        <v>42649.424571759257</v>
      </c>
      <c r="G61" s="7">
        <v>1</v>
      </c>
      <c r="H61" s="15" t="s">
        <v>235</v>
      </c>
      <c r="I61" s="15">
        <v>42649.451886574076</v>
      </c>
      <c r="J61" s="7">
        <v>0</v>
      </c>
      <c r="K61" s="117" t="str">
        <f t="shared" si="23"/>
        <v>4027/4028</v>
      </c>
      <c r="L61" s="24" t="str">
        <f>VLOOKUP(A61,'Trips&amp;Operators'!$C$1:$E$10000,3,FALSE)</f>
        <v>BRANNON</v>
      </c>
      <c r="M61" s="6">
        <f t="shared" si="24"/>
        <v>2.7314814818964805E-2</v>
      </c>
      <c r="N61" s="7">
        <f t="shared" si="21"/>
        <v>39.33333333930932</v>
      </c>
      <c r="O61" s="7"/>
      <c r="P61" s="7"/>
      <c r="Q61" s="25"/>
      <c r="R61" s="25"/>
      <c r="S61" s="37">
        <f t="shared" si="22"/>
        <v>1</v>
      </c>
      <c r="T61" s="52" t="str">
        <f t="shared" si="2"/>
        <v>Southbound</v>
      </c>
      <c r="U61" s="159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09:02:33-0600',mode:absolute,to:'2016-10-06 11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1" s="54" t="str">
        <f t="shared" si="26"/>
        <v>N</v>
      </c>
      <c r="X61" s="164">
        <f t="shared" si="27"/>
        <v>1</v>
      </c>
      <c r="Y61" s="69">
        <f t="shared" si="28"/>
        <v>23.297899999999998</v>
      </c>
      <c r="Z61" s="69">
        <f t="shared" si="32"/>
        <v>1.61E-2</v>
      </c>
      <c r="AA61" s="69">
        <f t="shared" si="29"/>
        <v>23.281799999999997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8"/>
        <v>0146-06</v>
      </c>
      <c r="AE61" s="95" t="str">
        <f t="shared" si="30"/>
        <v>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 &amp; aws s3 cp s3://rtdc.mdm.uploadarchive.raw/RTDC4028/ "%USERPROFILE%\AppData\Local\Temp\OnboardLogs"\RTDC4028\2016-10-07 --exclude "*" --recursive --include "*20161007*" &amp; "%USERPROFILE%\Documents\GitHub\mrs-test-scripts\Headless Mode &amp; Sideloading\WalkAndUnGZ.bat" "%USERPROFILE%\AppData\Local\Temp\OnboardLogs"\RTDC4028\2016-10-07</v>
      </c>
      <c r="AF61" s="92" t="str">
        <f t="shared" si="31"/>
        <v>"C:\Program Files (x86)\AstroGrep\AstroGrep.exe" /spath="%USERPROFILE%\AppData\Local\Temp\OnboardLogs" /stypes="app*4028*20161006*" /stext=" 16:.+((SYSTEM_STATE.+slice.+state.+changed )|(ment ac)|(system.+state.+changed )|(\[timeout)|(PRM\|1\|D)|(kpr)|(kdp)|(\|lc)|(penalty))" /e /r /s</v>
      </c>
      <c r="AG61" s="1" t="str">
        <f t="shared" si="11"/>
        <v>EC</v>
      </c>
      <c r="AH61" s="96" t="str">
        <f t="shared" si="14"/>
        <v>"%USERPROFILE%\Documents\GitHub\eaglep3\Utilities\RefineRTDCRunTimes.py" --tripid 146-06 --locoid 4028 --swversion DE.1.0.7.0 --startMP 204:232979 --initTime 2016-10-06T10:02:33 --startdatetime 2016-10-06T10:11:23 --delay 1 --endMP 204:161 --enddatetime 2016-10-06T10:50:43 --enforcementcount 0 &gt;&gt;C:\Users\stu\Documents\GitHub\eaglep3-reporting\EC\2016-10-06-refined-times.txt</v>
      </c>
      <c r="AI61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{"issue":{"subject":"","project_id":79,"tracker_id":40,"status_id":1,"priority_id":2,"assigned_to_id":23,"start_date":"2016-10-06","description":"","custom_fields":[{"id":1,"name":"Subdivision","value":"EC"},{"id":4,"name":"Milepost","value":"0.0161"},{"id":17,"name":"Train ID","value":"146-06"},{"id":16,"name":"Locomotive ID","value":"4028"},{"id":130,"name":"Impact","value":""},{"id":150,"name":"Time of Event (Mountain Time)","value":"10:50:43"},{"id":151,"name":"Denver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464</v>
      </c>
      <c r="B62" s="7">
        <v>4044</v>
      </c>
      <c r="C62" s="24" t="s">
        <v>106</v>
      </c>
      <c r="D62" s="24" t="s">
        <v>199</v>
      </c>
      <c r="E62" s="15">
        <v>42649.392442129632</v>
      </c>
      <c r="F62" s="15">
        <v>42649.396458333336</v>
      </c>
      <c r="G62" s="7">
        <v>2</v>
      </c>
      <c r="H62" s="15" t="s">
        <v>662</v>
      </c>
      <c r="I62" s="15">
        <v>42649.422268518516</v>
      </c>
      <c r="J62" s="7">
        <v>0</v>
      </c>
      <c r="K62" s="117" t="str">
        <f t="shared" si="23"/>
        <v>4043/4044</v>
      </c>
      <c r="L62" s="24" t="str">
        <f>VLOOKUP(A62,'Trips&amp;Operators'!$C$1:$E$10000,3,FALSE)</f>
        <v>OUN</v>
      </c>
      <c r="M62" s="6">
        <f t="shared" si="24"/>
        <v>2.5810185179580003E-2</v>
      </c>
      <c r="N62" s="7">
        <f t="shared" si="21"/>
        <v>37.166666658595204</v>
      </c>
      <c r="O62" s="7"/>
      <c r="P62" s="7"/>
      <c r="Q62" s="25"/>
      <c r="R62" s="25"/>
      <c r="S62" s="37">
        <f t="shared" si="22"/>
        <v>1</v>
      </c>
      <c r="T62" s="52" t="str">
        <f t="shared" si="2"/>
        <v>NorthBound</v>
      </c>
      <c r="U62" s="159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08:25:07-0600',mode:absolute,to:'2016-10-06 11:08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2" s="54" t="str">
        <f t="shared" si="26"/>
        <v>N</v>
      </c>
      <c r="X62" s="164">
        <f t="shared" si="27"/>
        <v>1</v>
      </c>
      <c r="Y62" s="69">
        <f t="shared" si="28"/>
        <v>4.5699999999999998E-2</v>
      </c>
      <c r="Z62" s="69">
        <f t="shared" si="32"/>
        <v>23.328199999999999</v>
      </c>
      <c r="AA62" s="69">
        <f t="shared" si="29"/>
        <v>23.282499999999999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8"/>
        <v>0147-06</v>
      </c>
      <c r="AE62" s="95" t="str">
        <f t="shared" si="30"/>
        <v>aws s3 cp s3://rtdc.mdm.uploadarchive.raw/RTDC4044/ "%USERPROFILE%\AppData\Local\Temp\OnboardLogs"\RTDC4044\2016-10-06 --exclude "*" --recursive --include "*20161006*" &amp; "%USERPROFILE%\Documents\GitHub\mrs-test-scripts\Headless Mode &amp; Sideloading\WalkAndUnGZ.bat" "%USERPROFILE%\AppData\Local\Temp\OnboardLogs"\RTDC4044\2016-10-06 &amp; aws s3 cp s3://rtdc.mdm.uploadarchive.raw/RTDC4044/ "%USERPROFILE%\AppData\Local\Temp\OnboardLogs"\RTDC4044\2016-10-07 --exclude "*" --recursive --include "*20161007*" &amp; "%USERPROFILE%\Documents\GitHub\mrs-test-scripts\Headless Mode &amp; Sideloading\WalkAndUnGZ.bat" "%USERPROFILE%\AppData\Local\Temp\OnboardLogs"\RTDC4044\2016-10-07</v>
      </c>
      <c r="AF62" s="92" t="str">
        <f t="shared" si="31"/>
        <v>"C:\Program Files (x86)\AstroGrep\AstroGrep.exe" /spath="%USERPROFILE%\AppData\Local\Temp\OnboardLogs" /stypes="app*4044*20161006*" /stext=" 16:.+((SYSTEM_STATE.+slice.+state.+changed )|(ment ac)|(system.+state.+changed )|(\[timeout)|(PRM\|1\|D)|(kpr)|(kdp)|(\|lc)|(penalty))" /e /r /s</v>
      </c>
      <c r="AG62" s="1" t="str">
        <f t="shared" si="11"/>
        <v>EC</v>
      </c>
      <c r="AH62" s="96" t="str">
        <f t="shared" si="14"/>
        <v>"%USERPROFILE%\Documents\GitHub\eaglep3\Utilities\RefineRTDCRunTimes.py" --tripid 147-06 --locoid 4044 --swversion DE.1.0.7.0 --startMP 204:457 --initTime 2016-10-06T09:25:07 --startdatetime 2016-10-06T09:30:54 --delay 2 --endMP 204:233282 --enddatetime 2016-10-06T10:08:04 --enforcementcount 0 &gt;&gt;C:\Users\stu\Documents\GitHub\eaglep3-reporting\EC\2016-10-06-refined-times.txt</v>
      </c>
      <c r="AI62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{"issue":{"subject":"","project_id":79,"tracker_id":40,"status_id":1,"priority_id":2,"assigned_to_id":23,"start_date":"2016-10-06","description":"","custom_fields":[{"id":1,"name":"Subdivision","value":"EC"},{"id":4,"name":"Milepost","value":"23.3282"},{"id":17,"name":"Train ID","value":"147-06"},{"id":16,"name":"Locomotive ID","value":"4044"},{"id":130,"name":"Impact","value":""},{"id":150,"name":"Time of Event (Mountain Time)","value":"10:08:04"},{"id":151,"name":"Denver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473</v>
      </c>
      <c r="B63" s="7">
        <v>4043</v>
      </c>
      <c r="C63" s="24" t="s">
        <v>106</v>
      </c>
      <c r="D63" s="24" t="s">
        <v>651</v>
      </c>
      <c r="E63" s="15">
        <v>42649.42732638889</v>
      </c>
      <c r="F63" s="15">
        <v>42649.435023148151</v>
      </c>
      <c r="G63" s="7">
        <v>5</v>
      </c>
      <c r="H63" s="15" t="s">
        <v>193</v>
      </c>
      <c r="I63" s="15">
        <v>42649.462627314817</v>
      </c>
      <c r="J63" s="7">
        <v>0</v>
      </c>
      <c r="K63" s="117" t="str">
        <f t="shared" si="23"/>
        <v>4043/4044</v>
      </c>
      <c r="L63" s="24" t="str">
        <f>VLOOKUP(A63,'Trips&amp;Operators'!$C$1:$E$10000,3,FALSE)</f>
        <v>BALTHROP</v>
      </c>
      <c r="M63" s="6">
        <f t="shared" si="24"/>
        <v>2.7604166665696539E-2</v>
      </c>
      <c r="N63" s="7">
        <f t="shared" si="21"/>
        <v>39.749999998603016</v>
      </c>
      <c r="O63" s="7"/>
      <c r="P63" s="7"/>
      <c r="Q63" s="25"/>
      <c r="R63" s="25"/>
      <c r="S63" s="37">
        <f t="shared" si="22"/>
        <v>1</v>
      </c>
      <c r="T63" s="52" t="str">
        <f t="shared" si="2"/>
        <v>Southbound</v>
      </c>
      <c r="U63" s="159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09:15:21-0600',mode:absolute,to:'2016-10-06 12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3" s="54" t="str">
        <f t="shared" si="26"/>
        <v>N</v>
      </c>
      <c r="X63" s="164">
        <f t="shared" si="27"/>
        <v>1</v>
      </c>
      <c r="Y63" s="69">
        <f t="shared" si="28"/>
        <v>23.294799999999999</v>
      </c>
      <c r="Z63" s="69">
        <f t="shared" si="32"/>
        <v>1.5800000000000002E-2</v>
      </c>
      <c r="AA63" s="69">
        <f t="shared" si="29"/>
        <v>23.279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8"/>
        <v>0148-06</v>
      </c>
      <c r="AE63" s="95" t="str">
        <f t="shared" si="30"/>
        <v>aws s3 cp s3://rtdc.mdm.uploadarchive.raw/RTDC4043/ "%USERPROFILE%\AppData\Local\Temp\OnboardLogs"\RTDC4043\2016-10-06 --exclude "*" --recursive --include "*20161006*" &amp; "%USERPROFILE%\Documents\GitHub\mrs-test-scripts\Headless Mode &amp; Sideloading\WalkAndUnGZ.bat" "%USERPROFILE%\AppData\Local\Temp\OnboardLogs"\RTDC4043\2016-10-06 &amp; aws s3 cp s3://rtdc.mdm.uploadarchive.raw/RTDC4043/ "%USERPROFILE%\AppData\Local\Temp\OnboardLogs"\RTDC4043\2016-10-07 --exclude "*" --recursive --include "*20161007*" &amp; "%USERPROFILE%\Documents\GitHub\mrs-test-scripts\Headless Mode &amp; Sideloading\WalkAndUnGZ.bat" "%USERPROFILE%\AppData\Local\Temp\OnboardLogs"\RTDC4043\2016-10-07</v>
      </c>
      <c r="AF63" s="92" t="str">
        <f t="shared" si="31"/>
        <v>"C:\Program Files (x86)\AstroGrep\AstroGrep.exe" /spath="%USERPROFILE%\AppData\Local\Temp\OnboardLogs" /stypes="app*4043*20161006*" /stext=" 17:.+((SYSTEM_STATE.+slice.+state.+changed )|(ment ac)|(system.+state.+changed )|(\[timeout)|(PRM\|1\|D)|(kpr)|(kdp)|(\|lc)|(penalty))" /e /r /s</v>
      </c>
      <c r="AG63" s="1" t="str">
        <f t="shared" si="11"/>
        <v>EC</v>
      </c>
      <c r="AH63" s="96" t="str">
        <f t="shared" si="14"/>
        <v>"%USERPROFILE%\Documents\GitHub\eaglep3\Utilities\RefineRTDCRunTimes.py" --tripid 148-06 --locoid 4043 --swversion DE.1.0.7.0 --startMP 204:232948 --initTime 2016-10-06T10:15:21 --startdatetime 2016-10-06T10:26:26 --delay 5 --endMP 204:158 --enddatetime 2016-10-06T11:06:11 --enforcementcount 0 &gt;&gt;C:\Users\stu\Documents\GitHub\eaglep3-reporting\EC\2016-10-06-refined-times.txt</v>
      </c>
      <c r="AI63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{"issue":{"subject":"","project_id":79,"tracker_id":40,"status_id":1,"priority_id":2,"assigned_to_id":23,"start_date":"2016-10-06","description":"","custom_fields":[{"id":1,"name":"Subdivision","value":"EC"},{"id":4,"name":"Milepost","value":"0.0158"},{"id":17,"name":"Train ID","value":"148-06"},{"id":16,"name":"Locomotive ID","value":"4043"},{"id":130,"name":"Impact","value":""},{"id":150,"name":"Time of Event (Mountain Time)","value":"11:06:11"},{"id":151,"name":"Denver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467</v>
      </c>
      <c r="B64" s="7">
        <v>4009</v>
      </c>
      <c r="C64" s="24" t="s">
        <v>106</v>
      </c>
      <c r="D64" s="24" t="s">
        <v>307</v>
      </c>
      <c r="E64" s="15">
        <v>42649.402060185188</v>
      </c>
      <c r="F64" s="15">
        <v>42649.406597222223</v>
      </c>
      <c r="G64" s="7">
        <v>6</v>
      </c>
      <c r="H64" s="15" t="s">
        <v>663</v>
      </c>
      <c r="I64" s="15">
        <v>42649.43209490741</v>
      </c>
      <c r="J64" s="7">
        <v>0</v>
      </c>
      <c r="K64" s="117" t="str">
        <f t="shared" si="23"/>
        <v>4009/4010</v>
      </c>
      <c r="L64" s="24" t="str">
        <f>VLOOKUP(A64,'Trips&amp;Operators'!$C$1:$E$10000,3,FALSE)</f>
        <v>SMITH</v>
      </c>
      <c r="M64" s="6">
        <f t="shared" si="24"/>
        <v>2.5497685186564922E-2</v>
      </c>
      <c r="N64" s="7">
        <f t="shared" si="21"/>
        <v>36.716666668653488</v>
      </c>
      <c r="O64" s="7"/>
      <c r="P64" s="7"/>
      <c r="Q64" s="25"/>
      <c r="R64" s="25"/>
      <c r="S64" s="37">
        <f t="shared" si="22"/>
        <v>1</v>
      </c>
      <c r="T64" s="52" t="str">
        <f t="shared" si="2"/>
        <v>NorthBound</v>
      </c>
      <c r="U64" s="159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08:38:58-0600',mode:absolute,to:'2016-10-06 11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4" s="54" t="str">
        <f t="shared" si="26"/>
        <v>N</v>
      </c>
      <c r="X64" s="164">
        <f t="shared" si="27"/>
        <v>1</v>
      </c>
      <c r="Y64" s="69">
        <f t="shared" si="28"/>
        <v>4.7800000000000002E-2</v>
      </c>
      <c r="Z64" s="69">
        <f t="shared" si="32"/>
        <v>23.3306</v>
      </c>
      <c r="AA64" s="69">
        <f t="shared" si="29"/>
        <v>23.282800000000002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8"/>
        <v>0149-06</v>
      </c>
      <c r="AE64" s="95" t="str">
        <f t="shared" si="30"/>
        <v>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 &amp; aws s3 cp s3://rtdc.mdm.uploadarchive.raw/RTDC4009/ "%USERPROFILE%\AppData\Local\Temp\OnboardLogs"\RTDC4009\2016-10-07 --exclude "*" --recursive --include "*20161007*" &amp; "%USERPROFILE%\Documents\GitHub\mrs-test-scripts\Headless Mode &amp; Sideloading\WalkAndUnGZ.bat" "%USERPROFILE%\AppData\Local\Temp\OnboardLogs"\RTDC4009\2016-10-07</v>
      </c>
      <c r="AF64" s="92" t="str">
        <f t="shared" si="31"/>
        <v>"C:\Program Files (x86)\AstroGrep\AstroGrep.exe" /spath="%USERPROFILE%\AppData\Local\Temp\OnboardLogs" /stypes="app*4009*20161006*" /stext=" 16:.+((SYSTEM_STATE.+slice.+state.+changed )|(ment ac)|(system.+state.+changed )|(\[timeout)|(PRM\|1\|D)|(kpr)|(kdp)|(\|lc)|(penalty))" /e /r /s</v>
      </c>
      <c r="AG64" s="1" t="str">
        <f t="shared" si="11"/>
        <v>EC</v>
      </c>
      <c r="AH64" s="96" t="str">
        <f t="shared" si="14"/>
        <v>"%USERPROFILE%\Documents\GitHub\eaglep3\Utilities\RefineRTDCRunTimes.py" --tripid 149-06 --locoid 4009 --swversion DE.1.0.7.0 --startMP 204:478 --initTime 2016-10-06T09:38:58 --startdatetime 2016-10-06T09:45:30 --delay 6 --endMP 204:233306 --enddatetime 2016-10-06T10:22:13 --enforcementcount 0 &gt;&gt;C:\Users\stu\Documents\GitHub\eaglep3-reporting\EC\2016-10-06-refined-times.txt</v>
      </c>
      <c r="AI64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{"issue":{"subject":"","project_id":79,"tracker_id":40,"status_id":1,"priority_id":2,"assigned_to_id":23,"start_date":"2016-10-06","description":"","custom_fields":[{"id":1,"name":"Subdivision","value":"EC"},{"id":4,"name":"Milepost","value":"23.3306"},{"id":17,"name":"Train ID","value":"149-06"},{"id":16,"name":"Locomotive ID","value":"4009"},{"id":130,"name":"Impact","value":""},{"id":150,"name":"Time of Event (Mountain Time)","value":"10:22:13"},{"id":151,"name":"Denver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475</v>
      </c>
      <c r="B65" s="7">
        <v>4010</v>
      </c>
      <c r="C65" s="24" t="s">
        <v>106</v>
      </c>
      <c r="D65" s="24" t="s">
        <v>347</v>
      </c>
      <c r="E65" s="15">
        <v>42649.435578703706</v>
      </c>
      <c r="F65" s="15">
        <v>42649.445381944446</v>
      </c>
      <c r="G65" s="7">
        <v>1</v>
      </c>
      <c r="H65" s="15" t="s">
        <v>664</v>
      </c>
      <c r="I65" s="15">
        <v>42649.472905092596</v>
      </c>
      <c r="J65" s="7">
        <v>0</v>
      </c>
      <c r="K65" s="117" t="str">
        <f t="shared" si="23"/>
        <v>4009/4010</v>
      </c>
      <c r="L65" s="24" t="str">
        <f>VLOOKUP(A65,'Trips&amp;Operators'!$C$1:$E$10000,3,FALSE)</f>
        <v>SMITH</v>
      </c>
      <c r="M65" s="6">
        <f t="shared" si="24"/>
        <v>2.7523148150066845E-2</v>
      </c>
      <c r="N65" s="7">
        <f t="shared" si="21"/>
        <v>39.633333336096257</v>
      </c>
      <c r="O65" s="7"/>
      <c r="P65" s="7"/>
      <c r="Q65" s="25"/>
      <c r="R65" s="25"/>
      <c r="S65" s="37">
        <f t="shared" si="22"/>
        <v>1</v>
      </c>
      <c r="T65" s="52" t="str">
        <f t="shared" si="2"/>
        <v>Southbound</v>
      </c>
      <c r="U65" s="159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09:27:14-0600',mode:absolute,to:'2016-10-06 12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5" s="54" t="str">
        <f t="shared" si="26"/>
        <v>N</v>
      </c>
      <c r="X65" s="164">
        <f t="shared" si="27"/>
        <v>1</v>
      </c>
      <c r="Y65" s="69">
        <f t="shared" si="28"/>
        <v>23.2989</v>
      </c>
      <c r="Z65" s="69">
        <f t="shared" si="32"/>
        <v>1.3899999999999999E-2</v>
      </c>
      <c r="AA65" s="69">
        <f t="shared" si="29"/>
        <v>23.285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8"/>
        <v>0150-06</v>
      </c>
      <c r="AE65" s="95" t="str">
        <f t="shared" si="30"/>
        <v>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 &amp; aws s3 cp s3://rtdc.mdm.uploadarchive.raw/RTDC4010/ "%USERPROFILE%\AppData\Local\Temp\OnboardLogs"\RTDC4010\2016-10-07 --exclude "*" --recursive --include "*20161007*" &amp; "%USERPROFILE%\Documents\GitHub\mrs-test-scripts\Headless Mode &amp; Sideloading\WalkAndUnGZ.bat" "%USERPROFILE%\AppData\Local\Temp\OnboardLogs"\RTDC4010\2016-10-07</v>
      </c>
      <c r="AF65" s="92" t="str">
        <f t="shared" si="31"/>
        <v>"C:\Program Files (x86)\AstroGrep\AstroGrep.exe" /spath="%USERPROFILE%\AppData\Local\Temp\OnboardLogs" /stypes="app*4010*20161006*" /stext=" 17:.+((SYSTEM_STATE.+slice.+state.+changed )|(ment ac)|(system.+state.+changed )|(\[timeout)|(PRM\|1\|D)|(kpr)|(kdp)|(\|lc)|(penalty))" /e /r /s</v>
      </c>
      <c r="AG65" s="1" t="str">
        <f t="shared" si="11"/>
        <v>EC</v>
      </c>
      <c r="AH65" s="96" t="str">
        <f t="shared" si="14"/>
        <v>"%USERPROFILE%\Documents\GitHub\eaglep3\Utilities\RefineRTDCRunTimes.py" --tripid 150-06 --locoid 4010 --swversion DE.1.0.7.0 --startMP 204:232989 --initTime 2016-10-06T10:27:14 --startdatetime 2016-10-06T10:41:21 --delay 1 --endMP 204:139 --enddatetime 2016-10-06T11:20:59 --enforcementcount 0 &gt;&gt;C:\Users\stu\Documents\GitHub\eaglep3-reporting\EC\2016-10-06-refined-times.txt</v>
      </c>
      <c r="AI65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{"issue":{"subject":"","project_id":79,"tracker_id":40,"status_id":1,"priority_id":2,"assigned_to_id":23,"start_date":"2016-10-06","description":"","custom_fields":[{"id":1,"name":"Subdivision","value":"EC"},{"id":4,"name":"Milepost","value":"0.0139"},{"id":17,"name":"Train ID","value":"150-06"},{"id":16,"name":"Locomotive ID","value":"4010"},{"id":130,"name":"Impact","value":""},{"id":150,"name":"Time of Event (Mountain Time)","value":"11:20:59"},{"id":151,"name":"Denver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469</v>
      </c>
      <c r="B66" s="7">
        <v>4018</v>
      </c>
      <c r="C66" s="24" t="s">
        <v>106</v>
      </c>
      <c r="D66" s="24" t="s">
        <v>192</v>
      </c>
      <c r="E66" s="15">
        <v>42649.413738425923</v>
      </c>
      <c r="F66" s="15">
        <v>42649.416909722226</v>
      </c>
      <c r="G66" s="7">
        <v>2</v>
      </c>
      <c r="H66" s="15" t="s">
        <v>665</v>
      </c>
      <c r="I66" s="15">
        <v>42649.443055555559</v>
      </c>
      <c r="J66" s="7">
        <v>0</v>
      </c>
      <c r="K66" s="117" t="str">
        <f t="shared" si="23"/>
        <v>4017/4018</v>
      </c>
      <c r="L66" s="24" t="str">
        <f>VLOOKUP(A66,'Trips&amp;Operators'!$C$1:$E$10000,3,FALSE)</f>
        <v>STRICKLAND</v>
      </c>
      <c r="M66" s="6">
        <f t="shared" si="24"/>
        <v>2.6145833333430346E-2</v>
      </c>
      <c r="N66" s="7">
        <f t="shared" si="21"/>
        <v>37.650000000139698</v>
      </c>
      <c r="O66" s="7"/>
      <c r="P66" s="7"/>
      <c r="Q66" s="25"/>
      <c r="R66" s="25"/>
      <c r="S66" s="37">
        <f t="shared" si="22"/>
        <v>1</v>
      </c>
      <c r="T66" s="52" t="str">
        <f t="shared" si="2"/>
        <v>NorthBound</v>
      </c>
      <c r="U66" s="159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08:55:47-0600',mode:absolute,to:'2016-10-06 11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6" s="54" t="str">
        <f t="shared" si="26"/>
        <v>N</v>
      </c>
      <c r="X66" s="164">
        <f t="shared" si="27"/>
        <v>1</v>
      </c>
      <c r="Y66" s="69">
        <f t="shared" si="28"/>
        <v>4.7100000000000003E-2</v>
      </c>
      <c r="Z66" s="69">
        <f t="shared" si="32"/>
        <v>23.3264</v>
      </c>
      <c r="AA66" s="69">
        <f t="shared" si="29"/>
        <v>23.279299999999999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si="8"/>
        <v>0151-06</v>
      </c>
      <c r="AE66" s="95" t="str">
        <f t="shared" si="30"/>
        <v>aws s3 cp s3://rtdc.mdm.uploadarchive.raw/RTDC4018/ "%USERPROFILE%\AppData\Local\Temp\OnboardLogs"\RTDC4018\2016-10-06 --exclude "*" --recursive --include "*20161006*" &amp; "%USERPROFILE%\Documents\GitHub\mrs-test-scripts\Headless Mode &amp; Sideloading\WalkAndUnGZ.bat" "%USERPROFILE%\AppData\Local\Temp\OnboardLogs"\RTDC4018\2016-10-06 &amp; 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</v>
      </c>
      <c r="AF66" s="92" t="str">
        <f t="shared" si="31"/>
        <v>"C:\Program Files (x86)\AstroGrep\AstroGrep.exe" /spath="%USERPROFILE%\AppData\Local\Temp\OnboardLogs" /stypes="app*4018*20161006*" /stext=" 16:.+((SYSTEM_STATE.+slice.+state.+changed )|(ment ac)|(system.+state.+changed )|(\[timeout)|(PRM\|1\|D)|(kpr)|(kdp)|(\|lc)|(penalty))" /e /r /s</v>
      </c>
      <c r="AG66" s="1" t="str">
        <f t="shared" si="11"/>
        <v>EC</v>
      </c>
      <c r="AH66" s="96" t="str">
        <f t="shared" si="14"/>
        <v>"%USERPROFILE%\Documents\GitHub\eaglep3\Utilities\RefineRTDCRunTimes.py" --tripid 151-06 --locoid 4018 --swversion DE.1.0.7.0 --startMP 204:471 --initTime 2016-10-06T09:55:47 --startdatetime 2016-10-06T10:00:21 --delay 2 --endMP 204:233264 --enddatetime 2016-10-06T10:38:00 --enforcementcount 0 &gt;&gt;C:\Users\stu\Documents\GitHub\eaglep3-reporting\EC\2016-10-06-refined-times.txt</v>
      </c>
      <c r="AI66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{"issue":{"subject":"","project_id":79,"tracker_id":40,"status_id":1,"priority_id":2,"assigned_to_id":23,"start_date":"2016-10-06","description":"","custom_fields":[{"id":1,"name":"Subdivision","value":"EC"},{"id":4,"name":"Milepost","value":"23.3264"},{"id":17,"name":"Train ID","value":"151-06"},{"id":16,"name":"Locomotive ID","value":"4018"},{"id":130,"name":"Impact","value":""},{"id":150,"name":"Time of Event (Mountain Time)","value":"10:38:00"},{"id":151,"name":"Denver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481</v>
      </c>
      <c r="B67" s="7">
        <v>4017</v>
      </c>
      <c r="C67" s="24" t="s">
        <v>106</v>
      </c>
      <c r="D67" s="24" t="s">
        <v>221</v>
      </c>
      <c r="E67" s="15">
        <v>42649.449560185189</v>
      </c>
      <c r="F67" s="15">
        <v>42649.456087962964</v>
      </c>
      <c r="G67" s="7">
        <v>1</v>
      </c>
      <c r="H67" s="15" t="s">
        <v>190</v>
      </c>
      <c r="I67" s="15">
        <v>42649.483726851853</v>
      </c>
      <c r="J67" s="7">
        <v>0</v>
      </c>
      <c r="K67" s="117" t="str">
        <f t="shared" si="23"/>
        <v>4017/4018</v>
      </c>
      <c r="L67" s="24" t="str">
        <f>VLOOKUP(A67,'Trips&amp;Operators'!$C$1:$E$10000,3,FALSE)</f>
        <v>STRICKLAND</v>
      </c>
      <c r="M67" s="6">
        <f t="shared" si="24"/>
        <v>2.7638888888759539E-2</v>
      </c>
      <c r="N67" s="7">
        <f t="shared" si="21"/>
        <v>39.799999999813735</v>
      </c>
      <c r="O67" s="7"/>
      <c r="P67" s="7"/>
      <c r="Q67" s="25"/>
      <c r="R67" s="25"/>
      <c r="S67" s="37">
        <f t="shared" si="22"/>
        <v>1</v>
      </c>
      <c r="T67" s="52" t="str">
        <f t="shared" si="2"/>
        <v>Southbound</v>
      </c>
      <c r="U67" s="159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09:47:22-0600',mode:absolute,to:'2016-10-06 12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7" s="54" t="str">
        <f t="shared" si="26"/>
        <v>N</v>
      </c>
      <c r="X67" s="164">
        <f t="shared" si="27"/>
        <v>1</v>
      </c>
      <c r="Y67" s="69">
        <f t="shared" si="28"/>
        <v>23.297699999999999</v>
      </c>
      <c r="Z67" s="69">
        <f t="shared" si="32"/>
        <v>1.49E-2</v>
      </c>
      <c r="AA67" s="69">
        <f t="shared" si="29"/>
        <v>23.282799999999998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8"/>
        <v>0152-06</v>
      </c>
      <c r="AE67" s="95" t="str">
        <f t="shared" si="30"/>
        <v>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 &amp; 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</v>
      </c>
      <c r="AF67" s="92" t="str">
        <f t="shared" si="31"/>
        <v>"C:\Program Files (x86)\AstroGrep\AstroGrep.exe" /spath="%USERPROFILE%\AppData\Local\Temp\OnboardLogs" /stypes="app*4017*20161006*" /stext=" 17:.+((SYSTEM_STATE.+slice.+state.+changed )|(ment ac)|(system.+state.+changed )|(\[timeout)|(PRM\|1\|D)|(kpr)|(kdp)|(\|lc)|(penalty))" /e /r /s</v>
      </c>
      <c r="AG67" s="1" t="str">
        <f t="shared" si="11"/>
        <v>EC</v>
      </c>
      <c r="AH67" s="96" t="str">
        <f t="shared" si="14"/>
        <v>"%USERPROFILE%\Documents\GitHub\eaglep3\Utilities\RefineRTDCRunTimes.py" --tripid 152-06 --locoid 4017 --swversion DE.1.0.7.0 --startMP 204:232977 --initTime 2016-10-06T10:47:22 --startdatetime 2016-10-06T10:56:46 --delay 1 --endMP 204:149 --enddatetime 2016-10-06T11:36:34 --enforcementcount 0 &gt;&gt;C:\Users\stu\Documents\GitHub\eaglep3-reporting\EC\2016-10-06-refined-times.txt</v>
      </c>
      <c r="AI67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{"issue":{"subject":"","project_id":79,"tracker_id":40,"status_id":1,"priority_id":2,"assigned_to_id":23,"start_date":"2016-10-06","description":"","custom_fields":[{"id":1,"name":"Subdivision","value":"EC"},{"id":4,"name":"Milepost","value":"0.0149"},{"id":17,"name":"Train ID","value":"152-06"},{"id":16,"name":"Locomotive ID","value":"4017"},{"id":130,"name":"Impact","value":""},{"id":150,"name":"Time of Event (Mountain Time)","value":"11:36:34"},{"id":151,"name":"Denver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471</v>
      </c>
      <c r="B68" s="7">
        <v>4007</v>
      </c>
      <c r="C68" s="24" t="s">
        <v>106</v>
      </c>
      <c r="D68" s="24" t="s">
        <v>200</v>
      </c>
      <c r="E68" s="15">
        <v>42649.425775462965</v>
      </c>
      <c r="F68" s="15">
        <v>42649.427893518521</v>
      </c>
      <c r="G68" s="7">
        <v>1</v>
      </c>
      <c r="H68" s="15" t="s">
        <v>666</v>
      </c>
      <c r="I68" s="15">
        <v>42649.45449074074</v>
      </c>
      <c r="J68" s="7">
        <v>0</v>
      </c>
      <c r="K68" s="117" t="str">
        <f t="shared" si="23"/>
        <v>4007/4008</v>
      </c>
      <c r="L68" s="24" t="str">
        <f>VLOOKUP(A68,'Trips&amp;Operators'!$C$1:$E$10000,3,FALSE)</f>
        <v>ROCHA</v>
      </c>
      <c r="M68" s="6">
        <f t="shared" si="24"/>
        <v>2.6597222218697425E-2</v>
      </c>
      <c r="N68" s="7">
        <f t="shared" si="21"/>
        <v>38.299999994924292</v>
      </c>
      <c r="O68" s="7"/>
      <c r="P68" s="7"/>
      <c r="Q68" s="25"/>
      <c r="R68" s="25"/>
      <c r="S68" s="37">
        <f t="shared" si="22"/>
        <v>1</v>
      </c>
      <c r="T68" s="52" t="str">
        <f t="shared" si="2"/>
        <v>NorthBound</v>
      </c>
      <c r="U68" s="159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09:13:07-0600',mode:absolute,to:'2016-10-06 11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8" s="54" t="str">
        <f t="shared" si="26"/>
        <v>N</v>
      </c>
      <c r="X68" s="164">
        <f t="shared" si="27"/>
        <v>1</v>
      </c>
      <c r="Y68" s="69">
        <f t="shared" si="28"/>
        <v>4.6600000000000003E-2</v>
      </c>
      <c r="Z68" s="69">
        <f t="shared" si="32"/>
        <v>23.327999999999999</v>
      </c>
      <c r="AA68" s="69">
        <f t="shared" si="29"/>
        <v>23.281399999999998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8"/>
        <v>0153-06</v>
      </c>
      <c r="AE68" s="95" t="str">
        <f t="shared" si="30"/>
        <v>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 &amp; 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</v>
      </c>
      <c r="AF68" s="92" t="str">
        <f t="shared" si="31"/>
        <v>"C:\Program Files (x86)\AstroGrep\AstroGrep.exe" /spath="%USERPROFILE%\AppData\Local\Temp\OnboardLogs" /stypes="app*4007*20161006*" /stext=" 16:.+((SYSTEM_STATE.+slice.+state.+changed )|(ment ac)|(system.+state.+changed )|(\[timeout)|(PRM\|1\|D)|(kpr)|(kdp)|(\|lc)|(penalty))" /e /r /s</v>
      </c>
      <c r="AG68" s="1" t="str">
        <f t="shared" si="11"/>
        <v>EC</v>
      </c>
      <c r="AH68" s="96" t="str">
        <f t="shared" si="14"/>
        <v>"%USERPROFILE%\Documents\GitHub\eaglep3\Utilities\RefineRTDCRunTimes.py" --tripid 153-06 --locoid 4007 --swversion DE.1.0.7.0 --startMP 204:466 --initTime 2016-10-06T10:13:07 --startdatetime 2016-10-06T10:16:10 --delay 1 --endMP 204:233280 --enddatetime 2016-10-06T10:54:28 --enforcementcount 0 &gt;&gt;C:\Users\stu\Documents\GitHub\eaglep3-reporting\EC\2016-10-06-refined-times.txt</v>
      </c>
      <c r="AI68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{"issue":{"subject":"","project_id":79,"tracker_id":40,"status_id":1,"priority_id":2,"assigned_to_id":23,"start_date":"2016-10-06","description":"","custom_fields":[{"id":1,"name":"Subdivision","value":"EC"},{"id":4,"name":"Milepost","value":"23.328"},{"id":17,"name":"Train ID","value":"153-06"},{"id":16,"name":"Locomotive ID","value":"4007"},{"id":130,"name":"Impact","value":""},{"id":150,"name":"Time of Event (Mountain Time)","value":"10:54:28"},{"id":151,"name":"Denver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485</v>
      </c>
      <c r="B69" s="7">
        <v>4008</v>
      </c>
      <c r="C69" s="24" t="s">
        <v>106</v>
      </c>
      <c r="D69" s="24" t="s">
        <v>667</v>
      </c>
      <c r="E69" s="15">
        <v>42649.461689814816</v>
      </c>
      <c r="F69" s="15">
        <v>42649.466516203705</v>
      </c>
      <c r="G69" s="7">
        <v>3</v>
      </c>
      <c r="H69" s="15" t="s">
        <v>190</v>
      </c>
      <c r="I69" s="15">
        <v>42649.494618055556</v>
      </c>
      <c r="J69" s="7">
        <v>0</v>
      </c>
      <c r="K69" s="117" t="str">
        <f t="shared" si="23"/>
        <v>4007/4008</v>
      </c>
      <c r="L69" s="24" t="str">
        <f>VLOOKUP(A69,'Trips&amp;Operators'!$C$1:$E$10000,3,FALSE)</f>
        <v>ROCHA</v>
      </c>
      <c r="M69" s="6">
        <f t="shared" si="24"/>
        <v>2.810185185080627E-2</v>
      </c>
      <c r="N69" s="7">
        <f t="shared" si="21"/>
        <v>40.466666665161029</v>
      </c>
      <c r="O69" s="7"/>
      <c r="P69" s="7"/>
      <c r="Q69" s="25"/>
      <c r="R69" s="25"/>
      <c r="S69" s="37">
        <f t="shared" si="22"/>
        <v>1</v>
      </c>
      <c r="T69" s="52" t="str">
        <f t="shared" si="2"/>
        <v>Southbound</v>
      </c>
      <c r="U69" s="159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10:04:50-0600',mode:absolute,to:'2016-10-06 12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9" s="54" t="str">
        <f t="shared" si="26"/>
        <v>N</v>
      </c>
      <c r="X69" s="164">
        <f t="shared" si="27"/>
        <v>1</v>
      </c>
      <c r="Y69" s="69">
        <f t="shared" si="28"/>
        <v>23.2972</v>
      </c>
      <c r="Z69" s="69">
        <f t="shared" si="32"/>
        <v>1.49E-2</v>
      </c>
      <c r="AA69" s="69">
        <f t="shared" si="29"/>
        <v>23.282299999999999</v>
      </c>
      <c r="AB69" s="66" t="str">
        <f>VLOOKUP(A69,Enforcements!$C$7:$K$21,8,0)</f>
        <v>Speed (6)</v>
      </c>
      <c r="AC69" s="62" t="str">
        <f>VLOOKUP(A69,Enforcements!$C$7:$E$21,3,0)</f>
        <v>PERMANENT SPEED RESTRICTION</v>
      </c>
      <c r="AD69" s="63" t="str">
        <f t="shared" si="8"/>
        <v>0154-06</v>
      </c>
      <c r="AE69" s="95" t="str">
        <f t="shared" si="30"/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AF69" s="92" t="str">
        <f t="shared" si="31"/>
        <v>"C:\Program Files (x86)\AstroGrep\AstroGrep.exe" /spath="%USERPROFILE%\AppData\Local\Temp\OnboardLogs" /stypes="app*4008*20161006*" /stext=" 17:.+((SYSTEM_STATE.+slice.+state.+changed )|(ment ac)|(system.+state.+changed )|(\[timeout)|(PRM\|1\|D)|(kpr)|(kdp)|(\|lc)|(penalty))" /e /r /s</v>
      </c>
      <c r="AG69" s="1" t="str">
        <f t="shared" si="11"/>
        <v>EC</v>
      </c>
      <c r="AH69" s="96" t="str">
        <f t="shared" si="14"/>
        <v>"%USERPROFILE%\Documents\GitHub\eaglep3\Utilities\RefineRTDCRunTimes.py" --tripid 154-06 --locoid 4008 --swversion DE.1.0.7.0 --startMP 204:232972 --initTime 2016-10-06T11:04:50 --startdatetime 2016-10-06T11:11:47 --delay 3 --endMP 204:149 --enddatetime 2016-10-06T11:52:15 --enforcementcount 0 &gt;&gt;C:\Users\stu\Documents\GitHub\eaglep3-reporting\EC\2016-10-06-refined-times.txt</v>
      </c>
      <c r="AI69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{"issue":{"subject":"","project_id":79,"tracker_id":40,"status_id":1,"priority_id":2,"assigned_to_id":23,"start_date":"2016-10-06","description":"","custom_fields":[{"id":1,"name":"Subdivision","value":"EC"},{"id":4,"name":"Milepost","value":"0.0149"},{"id":17,"name":"Train ID","value":"154-06"},{"id":16,"name":"Locomotive ID","value":"4008"},{"id":130,"name":"Impact","value":""},{"id":150,"name":"Time of Event (Mountain Time)","value":"11:52:15"},{"id":151,"name":"Denver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476</v>
      </c>
      <c r="B70" s="7">
        <v>4046</v>
      </c>
      <c r="C70" s="24" t="s">
        <v>106</v>
      </c>
      <c r="D70" s="24" t="s">
        <v>239</v>
      </c>
      <c r="E70" s="15">
        <v>42649.435856481483</v>
      </c>
      <c r="F70" s="15">
        <v>42649.437905092593</v>
      </c>
      <c r="G70" s="7">
        <v>1</v>
      </c>
      <c r="H70" s="15" t="s">
        <v>253</v>
      </c>
      <c r="I70" s="15">
        <v>42649.463240740741</v>
      </c>
      <c r="J70" s="7">
        <v>0</v>
      </c>
      <c r="K70" s="117" t="str">
        <f t="shared" si="23"/>
        <v>4045/4046</v>
      </c>
      <c r="L70" s="24" t="str">
        <f>VLOOKUP(A70,'Trips&amp;Operators'!$C$1:$E$10000,3,FALSE)</f>
        <v>YORK</v>
      </c>
      <c r="M70" s="6">
        <f t="shared" si="24"/>
        <v>2.5335648148029577E-2</v>
      </c>
      <c r="N70" s="7">
        <f t="shared" si="21"/>
        <v>36.483333333162591</v>
      </c>
      <c r="O70" s="7"/>
      <c r="P70" s="7"/>
      <c r="Q70" s="25"/>
      <c r="R70" s="25"/>
      <c r="S70" s="37">
        <f t="shared" si="22"/>
        <v>1</v>
      </c>
      <c r="T70" s="52" t="str">
        <f t="shared" si="2"/>
        <v>NorthBound</v>
      </c>
      <c r="U70" s="159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09:27:38-0600',mode:absolute,to:'2016-10-06 12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0" s="54" t="str">
        <f t="shared" si="26"/>
        <v>N</v>
      </c>
      <c r="X70" s="164">
        <f t="shared" si="27"/>
        <v>1</v>
      </c>
      <c r="Y70" s="69">
        <f t="shared" si="28"/>
        <v>4.4900000000000002E-2</v>
      </c>
      <c r="Z70" s="69">
        <f t="shared" si="32"/>
        <v>23.328900000000001</v>
      </c>
      <c r="AA70" s="69">
        <f t="shared" si="29"/>
        <v>23.284000000000002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8"/>
        <v>0155-06</v>
      </c>
      <c r="AE70" s="95" t="str">
        <f t="shared" si="30"/>
        <v>aws s3 cp s3://rtdc.mdm.uploadarchive.raw/RTDC4046/ "%USERPROFILE%\AppData\Local\Temp\OnboardLogs"\RTDC4046\2016-10-06 --exclude "*" --recursive --include "*20161006*" &amp; "%USERPROFILE%\Documents\GitHub\mrs-test-scripts\Headless Mode &amp; Sideloading\WalkAndUnGZ.bat" "%USERPROFILE%\AppData\Local\Temp\OnboardLogs"\RTDC4046\2016-10-06 &amp; 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</v>
      </c>
      <c r="AF70" s="92" t="str">
        <f t="shared" si="31"/>
        <v>"C:\Program Files (x86)\AstroGrep\AstroGrep.exe" /spath="%USERPROFILE%\AppData\Local\Temp\OnboardLogs" /stypes="app*4046*20161006*" /stext=" 17:.+((SYSTEM_STATE.+slice.+state.+changed )|(ment ac)|(system.+state.+changed )|(\[timeout)|(PRM\|1\|D)|(kpr)|(kdp)|(\|lc)|(penalty))" /e /r /s</v>
      </c>
      <c r="AG70" s="1" t="str">
        <f t="shared" si="11"/>
        <v>EC</v>
      </c>
      <c r="AH70" s="96" t="str">
        <f t="shared" si="14"/>
        <v>"%USERPROFILE%\Documents\GitHub\eaglep3\Utilities\RefineRTDCRunTimes.py" --tripid 155-06 --locoid 4046 --swversion DE.1.0.7.0 --startMP 204:449 --initTime 2016-10-06T10:27:38 --startdatetime 2016-10-06T10:30:35 --delay 1 --endMP 204:233289 --enddatetime 2016-10-06T11:07:04 --enforcementcount 0 &gt;&gt;C:\Users\stu\Documents\GitHub\eaglep3-reporting\EC\2016-10-06-refined-times.txt</v>
      </c>
      <c r="AI70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{"issue":{"subject":"","project_id":79,"tracker_id":40,"status_id":1,"priority_id":2,"assigned_to_id":23,"start_date":"2016-10-06","description":"","custom_fields":[{"id":1,"name":"Subdivision","value":"EC"},{"id":4,"name":"Milepost","value":"23.3289"},{"id":17,"name":"Train ID","value":"155-06"},{"id":16,"name":"Locomotive ID","value":"4046"},{"id":130,"name":"Impact","value":""},{"id":150,"name":"Time of Event (Mountain Time)","value":"11:07:04"},{"id":151,"name":"Denver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488</v>
      </c>
      <c r="B71" s="7">
        <v>4045</v>
      </c>
      <c r="C71" s="24" t="s">
        <v>106</v>
      </c>
      <c r="D71" s="24" t="s">
        <v>221</v>
      </c>
      <c r="E71" s="15">
        <v>42649.470763888887</v>
      </c>
      <c r="F71" s="15">
        <v>42649.476782407408</v>
      </c>
      <c r="G71" s="7">
        <v>2</v>
      </c>
      <c r="H71" s="15" t="s">
        <v>668</v>
      </c>
      <c r="I71" s="15">
        <v>42649.506793981483</v>
      </c>
      <c r="J71" s="7">
        <v>0</v>
      </c>
      <c r="K71" s="117" t="str">
        <f t="shared" si="23"/>
        <v>4045/4046</v>
      </c>
      <c r="L71" s="24" t="str">
        <f>VLOOKUP(A71,'Trips&amp;Operators'!$C$1:$E$10000,3,FALSE)</f>
        <v>YORK</v>
      </c>
      <c r="M71" s="6">
        <f t="shared" si="24"/>
        <v>3.0011574075615499E-2</v>
      </c>
      <c r="N71" s="7">
        <f t="shared" si="21"/>
        <v>43.216666668886319</v>
      </c>
      <c r="O71" s="7"/>
      <c r="P71" s="7"/>
      <c r="Q71" s="25"/>
      <c r="R71" s="25"/>
      <c r="S71" s="37">
        <f t="shared" si="22"/>
        <v>1</v>
      </c>
      <c r="T71" s="52" t="str">
        <f t="shared" si="2"/>
        <v>Southbound</v>
      </c>
      <c r="U71" s="159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10:17:54-0600',mode:absolute,to:'2016-10-06 13:09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1" s="54" t="str">
        <f t="shared" si="26"/>
        <v>N</v>
      </c>
      <c r="X71" s="164">
        <f t="shared" si="27"/>
        <v>1</v>
      </c>
      <c r="Y71" s="69">
        <f t="shared" si="28"/>
        <v>23.297699999999999</v>
      </c>
      <c r="Z71" s="69">
        <f t="shared" si="32"/>
        <v>1.43E-2</v>
      </c>
      <c r="AA71" s="69">
        <f t="shared" si="29"/>
        <v>23.2834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8"/>
        <v>0156-06</v>
      </c>
      <c r="AE71" s="95" t="str">
        <f t="shared" si="30"/>
        <v>aws s3 cp s3://rtdc.mdm.uploadarchive.raw/RTDC4045/ "%USERPROFILE%\AppData\Local\Temp\OnboardLogs"\RTDC4045\2016-10-06 --exclude "*" --recursive --include "*20161006*" &amp; "%USERPROFILE%\Documents\GitHub\mrs-test-scripts\Headless Mode &amp; Sideloading\WalkAndUnGZ.bat" "%USERPROFILE%\AppData\Local\Temp\OnboardLogs"\RTDC4045\2016-10-06 &amp; 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</v>
      </c>
      <c r="AF71" s="92" t="str">
        <f t="shared" si="31"/>
        <v>"C:\Program Files (x86)\AstroGrep\AstroGrep.exe" /spath="%USERPROFILE%\AppData\Local\Temp\OnboardLogs" /stypes="app*4045*20161006*" /stext=" 18:.+((SYSTEM_STATE.+slice.+state.+changed )|(ment ac)|(system.+state.+changed )|(\[timeout)|(PRM\|1\|D)|(kpr)|(kdp)|(\|lc)|(penalty))" /e /r /s</v>
      </c>
      <c r="AG71" s="1" t="str">
        <f t="shared" si="11"/>
        <v>EC</v>
      </c>
      <c r="AH71" s="96" t="str">
        <f t="shared" si="14"/>
        <v>"%USERPROFILE%\Documents\GitHub\eaglep3\Utilities\RefineRTDCRunTimes.py" --tripid 156-06 --locoid 4045 --swversion DE.1.0.7.0 --startMP 204:232977 --initTime 2016-10-06T11:17:54 --startdatetime 2016-10-06T11:26:34 --delay 2 --endMP 204:143 --enddatetime 2016-10-06T12:09:47 --enforcementcount 0 &gt;&gt;C:\Users\stu\Documents\GitHub\eaglep3-reporting\EC\2016-10-06-refined-times.txt</v>
      </c>
      <c r="AI71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{"issue":{"subject":"","project_id":79,"tracker_id":40,"status_id":1,"priority_id":2,"assigned_to_id":23,"start_date":"2016-10-06","description":"","custom_fields":[{"id":1,"name":"Subdivision","value":"EC"},{"id":4,"name":"Milepost","value":"0.0143"},{"id":17,"name":"Train ID","value":"156-06"},{"id":16,"name":"Locomotive ID","value":"4045"},{"id":130,"name":"Impact","value":""},{"id":150,"name":"Time of Event (Mountain Time)","value":"12:09:47"},{"id":151,"name":"Denver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480</v>
      </c>
      <c r="B72" s="7">
        <v>4031</v>
      </c>
      <c r="C72" s="24" t="s">
        <v>106</v>
      </c>
      <c r="D72" s="24" t="s">
        <v>305</v>
      </c>
      <c r="E72" s="15">
        <v>42649.443067129629</v>
      </c>
      <c r="F72" s="15">
        <v>42649.448229166665</v>
      </c>
      <c r="G72" s="7">
        <v>1</v>
      </c>
      <c r="H72" s="15" t="s">
        <v>303</v>
      </c>
      <c r="I72" s="15">
        <v>42649.473194444443</v>
      </c>
      <c r="J72" s="7">
        <v>0</v>
      </c>
      <c r="K72" s="117" t="str">
        <f t="shared" si="23"/>
        <v>4031/4032</v>
      </c>
      <c r="L72" s="24" t="str">
        <f>VLOOKUP(A72,'Trips&amp;Operators'!$C$1:$E$10000,3,FALSE)</f>
        <v>BERLING</v>
      </c>
      <c r="M72" s="6">
        <f t="shared" si="24"/>
        <v>2.4965277778392192E-2</v>
      </c>
      <c r="N72" s="7">
        <f t="shared" si="21"/>
        <v>35.950000000884756</v>
      </c>
      <c r="O72" s="7"/>
      <c r="P72" s="7"/>
      <c r="Q72" s="25"/>
      <c r="R72" s="25"/>
      <c r="S72" s="37">
        <f t="shared" si="22"/>
        <v>1</v>
      </c>
      <c r="T72" s="52" t="str">
        <f t="shared" si="2"/>
        <v>NorthBound</v>
      </c>
      <c r="U72" s="159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09:38:01-0600',mode:absolute,to:'2016-10-06 12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2" s="54" t="str">
        <f t="shared" si="26"/>
        <v>N</v>
      </c>
      <c r="X72" s="164">
        <f t="shared" si="27"/>
        <v>1</v>
      </c>
      <c r="Y72" s="69">
        <f t="shared" si="28"/>
        <v>4.3099999999999999E-2</v>
      </c>
      <c r="Z72" s="69">
        <f t="shared" si="32"/>
        <v>23.331499999999998</v>
      </c>
      <c r="AA72" s="69">
        <f t="shared" si="29"/>
        <v>23.288399999999999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8"/>
        <v>0157-06</v>
      </c>
      <c r="AE72" s="95" t="str">
        <f t="shared" si="30"/>
        <v>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 &amp; aws s3 cp s3://rtdc.mdm.uploadarchive.raw/RTDC4031/ "%USERPROFILE%\AppData\Local\Temp\OnboardLogs"\RTDC4031\2016-10-07 --exclude "*" --recursive --include "*20161007*" &amp; "%USERPROFILE%\Documents\GitHub\mrs-test-scripts\Headless Mode &amp; Sideloading\WalkAndUnGZ.bat" "%USERPROFILE%\AppData\Local\Temp\OnboardLogs"\RTDC4031\2016-10-07</v>
      </c>
      <c r="AF72" s="92" t="str">
        <f t="shared" si="31"/>
        <v>"C:\Program Files (x86)\AstroGrep\AstroGrep.exe" /spath="%USERPROFILE%\AppData\Local\Temp\OnboardLogs" /stypes="app*4031*20161006*" /stext=" 17:.+((SYSTEM_STATE.+slice.+state.+changed )|(ment ac)|(system.+state.+changed )|(\[timeout)|(PRM\|1\|D)|(kpr)|(kdp)|(\|lc)|(penalty))" /e /r /s</v>
      </c>
      <c r="AG72" s="1" t="str">
        <f t="shared" si="11"/>
        <v>EC</v>
      </c>
      <c r="AH72" s="96" t="str">
        <f t="shared" si="14"/>
        <v>"%USERPROFILE%\Documents\GitHub\eaglep3\Utilities\RefineRTDCRunTimes.py" --tripid 157-06 --locoid 4031 --swversion DE.1.0.7.0 --startMP 204:431 --initTime 2016-10-06T10:38:01 --startdatetime 2016-10-06T10:45:27 --delay 1 --endMP 204:233315 --enddatetime 2016-10-06T11:21:24 --enforcementcount 0 &gt;&gt;C:\Users\stu\Documents\GitHub\eaglep3-reporting\EC\2016-10-06-refined-times.txt</v>
      </c>
      <c r="AI72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{"issue":{"subject":"","project_id":79,"tracker_id":40,"status_id":1,"priority_id":2,"assigned_to_id":23,"start_date":"2016-10-06","description":"","custom_fields":[{"id":1,"name":"Subdivision","value":"EC"},{"id":4,"name":"Milepost","value":"23.3315"},{"id":17,"name":"Train ID","value":"157-06"},{"id":16,"name":"Locomotive ID","value":"4031"},{"id":130,"name":"Impact","value":""},{"id":150,"name":"Time of Event (Mountain Time)","value":"11:21:24"},{"id":151,"name":"Denver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491</v>
      </c>
      <c r="B73" s="7">
        <v>4032</v>
      </c>
      <c r="C73" s="24" t="s">
        <v>106</v>
      </c>
      <c r="D73" s="24" t="s">
        <v>296</v>
      </c>
      <c r="E73" s="15">
        <v>42649.481412037036</v>
      </c>
      <c r="F73" s="15">
        <v>42649.486990740741</v>
      </c>
      <c r="G73" s="7">
        <v>1</v>
      </c>
      <c r="H73" s="15" t="s">
        <v>276</v>
      </c>
      <c r="I73" s="15">
        <v>42649.514062499999</v>
      </c>
      <c r="J73" s="7">
        <v>0</v>
      </c>
      <c r="K73" s="117" t="str">
        <f t="shared" si="23"/>
        <v>4031/4032</v>
      </c>
      <c r="L73" s="24" t="str">
        <f>VLOOKUP(A73,'Trips&amp;Operators'!$C$1:$E$10000,3,FALSE)</f>
        <v>BERLING</v>
      </c>
      <c r="M73" s="6">
        <f t="shared" si="24"/>
        <v>2.7071759257523809E-2</v>
      </c>
      <c r="N73" s="7">
        <f t="shared" si="21"/>
        <v>38.983333330834284</v>
      </c>
      <c r="O73" s="7"/>
      <c r="P73" s="7"/>
      <c r="Q73" s="25"/>
      <c r="R73" s="25"/>
      <c r="S73" s="37">
        <f t="shared" si="22"/>
        <v>1</v>
      </c>
      <c r="T73" s="52" t="str">
        <f t="shared" si="2"/>
        <v>Southbound</v>
      </c>
      <c r="U73" s="159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10:33:14-0600',mode:absolute,to:'2016-10-06 13:20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3" s="54" t="str">
        <f t="shared" si="26"/>
        <v>N</v>
      </c>
      <c r="X73" s="164">
        <f t="shared" si="27"/>
        <v>1</v>
      </c>
      <c r="Y73" s="69">
        <f t="shared" si="28"/>
        <v>23.299299999999999</v>
      </c>
      <c r="Z73" s="69">
        <f t="shared" si="32"/>
        <v>1.32E-2</v>
      </c>
      <c r="AA73" s="69">
        <f t="shared" si="29"/>
        <v>23.286099999999998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8"/>
        <v>0158-06</v>
      </c>
      <c r="AE73" s="95" t="str">
        <f t="shared" si="30"/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AF73" s="92" t="str">
        <f t="shared" si="31"/>
        <v>"C:\Program Files (x86)\AstroGrep\AstroGrep.exe" /spath="%USERPROFILE%\AppData\Local\Temp\OnboardLogs" /stypes="app*4032*20161006*" /stext=" 18:.+((SYSTEM_STATE.+slice.+state.+changed )|(ment ac)|(system.+state.+changed )|(\[timeout)|(PRM\|1\|D)|(kpr)|(kdp)|(\|lc)|(penalty))" /e /r /s</v>
      </c>
      <c r="AG73" s="1" t="str">
        <f t="shared" si="11"/>
        <v>EC</v>
      </c>
      <c r="AH73" s="96" t="str">
        <f t="shared" si="14"/>
        <v>"%USERPROFILE%\Documents\GitHub\eaglep3\Utilities\RefineRTDCRunTimes.py" --tripid 158-06 --locoid 4032 --swversion DE.1.0.7.0 --startMP 204:232993 --initTime 2016-10-06T11:33:14 --startdatetime 2016-10-06T11:41:16 --delay 1 --endMP 204:132 --enddatetime 2016-10-06T12:20:15 --enforcementcount 0 &gt;&gt;C:\Users\stu\Documents\GitHub\eaglep3-reporting\EC\2016-10-06-refined-times.txt</v>
      </c>
      <c r="AI73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{"issue":{"subject":"","project_id":79,"tracker_id":40,"status_id":1,"priority_id":2,"assigned_to_id":23,"start_date":"2016-10-06","description":"","custom_fields":[{"id":1,"name":"Subdivision","value":"EC"},{"id":4,"name":"Milepost","value":"0.0132"},{"id":17,"name":"Train ID","value":"158-06"},{"id":16,"name":"Locomotive ID","value":"4032"},{"id":130,"name":"Impact","value":""},{"id":150,"name":"Time of Event (Mountain Time)","value":"12:20:15"},{"id":151,"name":"Denver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482</v>
      </c>
      <c r="B74" s="7">
        <v>4027</v>
      </c>
      <c r="C74" s="24" t="s">
        <v>106</v>
      </c>
      <c r="D74" s="24" t="s">
        <v>195</v>
      </c>
      <c r="E74" s="15">
        <v>42649.453831018516</v>
      </c>
      <c r="F74" s="15">
        <v>42649.458483796298</v>
      </c>
      <c r="G74" s="7">
        <v>1</v>
      </c>
      <c r="H74" s="15" t="s">
        <v>253</v>
      </c>
      <c r="I74" s="15">
        <v>42649.483437499999</v>
      </c>
      <c r="J74" s="7">
        <v>0</v>
      </c>
      <c r="K74" s="117" t="str">
        <f t="shared" si="23"/>
        <v>4027/4028</v>
      </c>
      <c r="L74" s="24" t="str">
        <f>VLOOKUP(A74,'Trips&amp;Operators'!$C$1:$E$10000,3,FALSE)</f>
        <v>BONDS</v>
      </c>
      <c r="M74" s="6">
        <f t="shared" si="24"/>
        <v>2.495370370161254E-2</v>
      </c>
      <c r="N74" s="7">
        <f t="shared" si="21"/>
        <v>35.933333330322057</v>
      </c>
      <c r="O74" s="7"/>
      <c r="P74" s="7"/>
      <c r="Q74" s="25"/>
      <c r="R74" s="25"/>
      <c r="S74" s="37">
        <f t="shared" si="22"/>
        <v>1</v>
      </c>
      <c r="T74" s="52" t="str">
        <f t="shared" si="2"/>
        <v>NorthBound</v>
      </c>
      <c r="U74" s="159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09:53:31-0600',mode:absolute,to:'2016-10-06 12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4" s="54" t="str">
        <f t="shared" si="26"/>
        <v>N</v>
      </c>
      <c r="X74" s="164">
        <f t="shared" si="27"/>
        <v>1</v>
      </c>
      <c r="Y74" s="69">
        <f t="shared" si="28"/>
        <v>4.53E-2</v>
      </c>
      <c r="Z74" s="69">
        <f t="shared" si="32"/>
        <v>23.328900000000001</v>
      </c>
      <c r="AA74" s="69">
        <f t="shared" si="29"/>
        <v>23.2836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8"/>
        <v>0159-06</v>
      </c>
      <c r="AE74" s="95" t="str">
        <f t="shared" si="30"/>
        <v>aws s3 cp s3://rtdc.mdm.uploadarchive.raw/RTDC4027/ "%USERPROFILE%\AppData\Local\Temp\OnboardLogs"\RTDC4027\2016-10-06 --exclude "*" --recursive --include "*20161006*" &amp; "%USERPROFILE%\Documents\GitHub\mrs-test-scripts\Headless Mode &amp; Sideloading\WalkAndUnGZ.bat" "%USERPROFILE%\AppData\Local\Temp\OnboardLogs"\RTDC4027\2016-10-06 &amp; aws s3 cp s3://rtdc.mdm.uploadarchive.raw/RTDC4027/ "%USERPROFILE%\AppData\Local\Temp\OnboardLogs"\RTDC4027\2016-10-07 --exclude "*" --recursive --include "*20161007*" &amp; "%USERPROFILE%\Documents\GitHub\mrs-test-scripts\Headless Mode &amp; Sideloading\WalkAndUnGZ.bat" "%USERPROFILE%\AppData\Local\Temp\OnboardLogs"\RTDC4027\2016-10-07</v>
      </c>
      <c r="AF74" s="92" t="str">
        <f t="shared" si="31"/>
        <v>"C:\Program Files (x86)\AstroGrep\AstroGrep.exe" /spath="%USERPROFILE%\AppData\Local\Temp\OnboardLogs" /stypes="app*4027*20161006*" /stext=" 17:.+((SYSTEM_STATE.+slice.+state.+changed )|(ment ac)|(system.+state.+changed )|(\[timeout)|(PRM\|1\|D)|(kpr)|(kdp)|(\|lc)|(penalty))" /e /r /s</v>
      </c>
      <c r="AG74" s="1" t="str">
        <f t="shared" si="11"/>
        <v>EC</v>
      </c>
      <c r="AH74" s="96" t="str">
        <f t="shared" si="14"/>
        <v>"%USERPROFILE%\Documents\GitHub\eaglep3\Utilities\RefineRTDCRunTimes.py" --tripid 159-06 --locoid 4027 --swversion DE.1.0.7.0 --startMP 204:453 --initTime 2016-10-06T10:53:31 --startdatetime 2016-10-06T11:00:13 --delay 1 --endMP 204:233289 --enddatetime 2016-10-06T11:36:09 --enforcementcount 0 &gt;&gt;C:\Users\stu\Documents\GitHub\eaglep3-reporting\EC\2016-10-06-refined-times.txt</v>
      </c>
      <c r="AI74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{"issue":{"subject":"","project_id":79,"tracker_id":40,"status_id":1,"priority_id":2,"assigned_to_id":23,"start_date":"2016-10-06","description":"","custom_fields":[{"id":1,"name":"Subdivision","value":"EC"},{"id":4,"name":"Milepost","value":"23.3289"},{"id":17,"name":"Train ID","value":"159-06"},{"id":16,"name":"Locomotive ID","value":"4027"},{"id":130,"name":"Impact","value":""},{"id":150,"name":"Time of Event (Mountain Time)","value":"11:36:09"},{"id":151,"name":"Denver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495</v>
      </c>
      <c r="B75" s="7">
        <v>4028</v>
      </c>
      <c r="C75" s="24" t="s">
        <v>106</v>
      </c>
      <c r="D75" s="24" t="s">
        <v>266</v>
      </c>
      <c r="E75" s="15">
        <v>42649.487754629627</v>
      </c>
      <c r="F75" s="15">
        <v>42649.497511574074</v>
      </c>
      <c r="G75" s="7">
        <v>1</v>
      </c>
      <c r="H75" s="15" t="s">
        <v>191</v>
      </c>
      <c r="I75" s="15">
        <v>42649.524756944447</v>
      </c>
      <c r="J75" s="7">
        <v>0</v>
      </c>
      <c r="K75" s="117" t="str">
        <f t="shared" si="23"/>
        <v>4027/4028</v>
      </c>
      <c r="L75" s="24" t="str">
        <f>VLOOKUP(A75,'Trips&amp;Operators'!$C$1:$E$10000,3,FALSE)</f>
        <v>BONDS</v>
      </c>
      <c r="M75" s="6">
        <f t="shared" si="24"/>
        <v>2.7245370372838806E-2</v>
      </c>
      <c r="N75" s="7">
        <f t="shared" si="21"/>
        <v>39.233333336887881</v>
      </c>
      <c r="O75" s="7"/>
      <c r="P75" s="7"/>
      <c r="Q75" s="25"/>
      <c r="R75" s="25"/>
      <c r="S75" s="37">
        <f t="shared" si="22"/>
        <v>1</v>
      </c>
      <c r="T75" s="52" t="str">
        <f t="shared" si="2"/>
        <v>Southbound</v>
      </c>
      <c r="U75" s="159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10:42:22-0600',mode:absolute,to:'2016-10-06 13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5" s="54" t="str">
        <f t="shared" si="26"/>
        <v>N</v>
      </c>
      <c r="X75" s="164">
        <f t="shared" si="27"/>
        <v>1</v>
      </c>
      <c r="Y75" s="69">
        <f t="shared" si="28"/>
        <v>23.297499999999999</v>
      </c>
      <c r="Z75" s="69">
        <f t="shared" si="32"/>
        <v>1.6E-2</v>
      </c>
      <c r="AA75" s="69">
        <f t="shared" si="29"/>
        <v>23.281500000000001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8"/>
        <v>0160-06</v>
      </c>
      <c r="AE75" s="95" t="str">
        <f t="shared" si="30"/>
        <v>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 &amp; aws s3 cp s3://rtdc.mdm.uploadarchive.raw/RTDC4028/ "%USERPROFILE%\AppData\Local\Temp\OnboardLogs"\RTDC4028\2016-10-07 --exclude "*" --recursive --include "*20161007*" &amp; "%USERPROFILE%\Documents\GitHub\mrs-test-scripts\Headless Mode &amp; Sideloading\WalkAndUnGZ.bat" "%USERPROFILE%\AppData\Local\Temp\OnboardLogs"\RTDC4028\2016-10-07</v>
      </c>
      <c r="AF75" s="92" t="str">
        <f t="shared" si="31"/>
        <v>"C:\Program Files (x86)\AstroGrep\AstroGrep.exe" /spath="%USERPROFILE%\AppData\Local\Temp\OnboardLogs" /stypes="app*4028*20161006*" /stext=" 18:.+((SYSTEM_STATE.+slice.+state.+changed )|(ment ac)|(system.+state.+changed )|(\[timeout)|(PRM\|1\|D)|(kpr)|(kdp)|(\|lc)|(penalty))" /e /r /s</v>
      </c>
      <c r="AG75" s="1" t="str">
        <f t="shared" si="11"/>
        <v>EC</v>
      </c>
      <c r="AH75" s="96" t="str">
        <f t="shared" si="14"/>
        <v>"%USERPROFILE%\Documents\GitHub\eaglep3\Utilities\RefineRTDCRunTimes.py" --tripid 160-06 --locoid 4028 --swversion DE.1.0.7.0 --startMP 204:232975 --initTime 2016-10-06T11:42:22 --startdatetime 2016-10-06T11:56:25 --delay 1 --endMP 204:160 --enddatetime 2016-10-06T12:35:39 --enforcementcount 0 &gt;&gt;C:\Users\stu\Documents\GitHub\eaglep3-reporting\EC\2016-10-06-refined-times.txt</v>
      </c>
      <c r="AI75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{"issue":{"subject":"","project_id":79,"tracker_id":40,"status_id":1,"priority_id":2,"assigned_to_id":23,"start_date":"2016-10-06","description":"","custom_fields":[{"id":1,"name":"Subdivision","value":"EC"},{"id":4,"name":"Milepost","value":"0.016"},{"id":17,"name":"Train ID","value":"160-06"},{"id":16,"name":"Locomotive ID","value":"4028"},{"id":130,"name":"Impact","value":""},{"id":150,"name":"Time of Event (Mountain Time)","value":"12:35:39"},{"id":151,"name":"Denver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486</v>
      </c>
      <c r="B76" s="7">
        <v>4044</v>
      </c>
      <c r="C76" s="24" t="s">
        <v>106</v>
      </c>
      <c r="D76" s="24" t="s">
        <v>239</v>
      </c>
      <c r="E76" s="15">
        <v>42649.465648148151</v>
      </c>
      <c r="F76" s="15">
        <v>42649.468993055554</v>
      </c>
      <c r="G76" s="7">
        <v>1</v>
      </c>
      <c r="H76" s="15" t="s">
        <v>669</v>
      </c>
      <c r="I76" s="15">
        <v>42649.494259259256</v>
      </c>
      <c r="J76" s="7">
        <v>0</v>
      </c>
      <c r="K76" s="117" t="str">
        <f t="shared" si="23"/>
        <v>4043/4044</v>
      </c>
      <c r="L76" s="24" t="str">
        <f>VLOOKUP(A76,'Trips&amp;Operators'!$C$1:$E$10000,3,FALSE)</f>
        <v>SHOOK</v>
      </c>
      <c r="M76" s="6">
        <f t="shared" si="24"/>
        <v>2.5266203701903578E-2</v>
      </c>
      <c r="N76" s="7">
        <f t="shared" si="21"/>
        <v>36.383333330741152</v>
      </c>
      <c r="O76" s="7"/>
      <c r="P76" s="7"/>
      <c r="Q76" s="25"/>
      <c r="R76" s="25"/>
      <c r="S76" s="37">
        <f t="shared" si="22"/>
        <v>1</v>
      </c>
      <c r="T76" s="52" t="str">
        <f t="shared" si="2"/>
        <v>NorthBound</v>
      </c>
      <c r="U76" s="159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https://search-rtdc-monitor-bjffxe2xuh6vdkpspy63sjmuny.us-east-1.es.amazonaws.com/_plugin/kibana/#/discover/Steve-Slow-Train-Analysis-(2080s-and-2083s)?_g=(refreshInterval:(display:Off,section:0,value:0),time:(from:'2016-10-06 10:10:32-0600',mode:absolute,to:'2016-10-06 12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6" s="54" t="str">
        <f t="shared" si="26"/>
        <v>N</v>
      </c>
      <c r="X76" s="164">
        <f t="shared" si="27"/>
        <v>1</v>
      </c>
      <c r="Y76" s="69">
        <f t="shared" si="28"/>
        <v>4.4900000000000002E-2</v>
      </c>
      <c r="Z76" s="69">
        <f t="shared" si="32"/>
        <v>23.334399999999999</v>
      </c>
      <c r="AA76" s="69">
        <f t="shared" si="29"/>
        <v>23.2895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8"/>
        <v>0161-06</v>
      </c>
      <c r="AE76" s="95" t="str">
        <f t="shared" si="30"/>
        <v>aws s3 cp s3://rtdc.mdm.uploadarchive.raw/RTDC4044/ "%USERPROFILE%\AppData\Local\Temp\OnboardLogs"\RTDC4044\2016-10-06 --exclude "*" --recursive --include "*20161006*" &amp; "%USERPROFILE%\Documents\GitHub\mrs-test-scripts\Headless Mode &amp; Sideloading\WalkAndUnGZ.bat" "%USERPROFILE%\AppData\Local\Temp\OnboardLogs"\RTDC4044\2016-10-06 &amp; aws s3 cp s3://rtdc.mdm.uploadarchive.raw/RTDC4044/ "%USERPROFILE%\AppData\Local\Temp\OnboardLogs"\RTDC4044\2016-10-07 --exclude "*" --recursive --include "*20161007*" &amp; "%USERPROFILE%\Documents\GitHub\mrs-test-scripts\Headless Mode &amp; Sideloading\WalkAndUnGZ.bat" "%USERPROFILE%\AppData\Local\Temp\OnboardLogs"\RTDC4044\2016-10-07</v>
      </c>
      <c r="AF76" s="92" t="str">
        <f t="shared" si="31"/>
        <v>"C:\Program Files (x86)\AstroGrep\AstroGrep.exe" /spath="%USERPROFILE%\AppData\Local\Temp\OnboardLogs" /stypes="app*4044*20161006*" /stext=" 17:.+((SYSTEM_STATE.+slice.+state.+changed )|(ment ac)|(system.+state.+changed )|(\[timeout)|(PRM\|1\|D)|(kpr)|(kdp)|(\|lc)|(penalty))" /e /r /s</v>
      </c>
      <c r="AG76" s="1" t="str">
        <f t="shared" si="11"/>
        <v>EC</v>
      </c>
      <c r="AH76" s="96" t="str">
        <f t="shared" si="14"/>
        <v>"%USERPROFILE%\Documents\GitHub\eaglep3\Utilities\RefineRTDCRunTimes.py" --tripid 161-06 --locoid 4044 --swversion DE.1.0.7.0 --startMP 204:449 --initTime 2016-10-06T11:10:32 --startdatetime 2016-10-06T11:15:21 --delay 1 --endMP 204:233344 --enddatetime 2016-10-06T11:51:44 --enforcementcount 0 &gt;&gt;C:\Users\stu\Documents\GitHub\eaglep3-reporting\EC\2016-10-06-refined-times.txt</v>
      </c>
      <c r="AI76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{"issue":{"subject":"","project_id":79,"tracker_id":40,"status_id":1,"priority_id":2,"assigned_to_id":23,"start_date":"2016-10-06","description":"","custom_fields":[{"id":1,"name":"Subdivision","value":"EC"},{"id":4,"name":"Milepost","value":"23.3344"},{"id":17,"name":"Train ID","value":"161-06"},{"id":16,"name":"Locomotive ID","value":"4044"},{"id":130,"name":"Impact","value":""},{"id":150,"name":"Time of Event (Mountain Time)","value":"11:51:44"},{"id":151,"name":"Denver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497</v>
      </c>
      <c r="B77" s="7">
        <v>4043</v>
      </c>
      <c r="C77" s="24" t="s">
        <v>106</v>
      </c>
      <c r="D77" s="24" t="s">
        <v>670</v>
      </c>
      <c r="E77" s="15">
        <v>42649.50267361111</v>
      </c>
      <c r="F77" s="15">
        <v>42649.507824074077</v>
      </c>
      <c r="G77" s="7">
        <v>1</v>
      </c>
      <c r="H77" s="15" t="s">
        <v>190</v>
      </c>
      <c r="I77" s="15">
        <v>42649.538969907408</v>
      </c>
      <c r="J77" s="7">
        <v>0</v>
      </c>
      <c r="K77" s="117" t="str">
        <f t="shared" ref="K77:K108" si="33">IF(ISEVEN(B77),(B77-1)&amp;"/"&amp;B77,B77&amp;"/"&amp;(B77+1))</f>
        <v>4043/4044</v>
      </c>
      <c r="L77" s="24" t="str">
        <f>VLOOKUP(A77,'Trips&amp;Operators'!$C$1:$E$10000,3,FALSE)</f>
        <v>SHOOK</v>
      </c>
      <c r="M77" s="6">
        <f t="shared" ref="M77:M108" si="34">I77-F77</f>
        <v>3.1145833330811001E-2</v>
      </c>
      <c r="N77" s="7">
        <f t="shared" si="21"/>
        <v>44.849999996367842</v>
      </c>
      <c r="O77" s="7"/>
      <c r="P77" s="7"/>
      <c r="Q77" s="25"/>
      <c r="R77" s="25"/>
      <c r="S77" s="37">
        <f t="shared" si="22"/>
        <v>1</v>
      </c>
      <c r="T77" s="52" t="str">
        <f t="shared" ref="T77:T140" si="35">IF(ISEVEN(LEFT(AD77,4)),"Southbound","NorthBound")</f>
        <v>Southbound</v>
      </c>
      <c r="U77" s="159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2" t="str">
        <f t="shared" ref="V77:V108" si="36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https://search-rtdc-monitor-bjffxe2xuh6vdkpspy63sjmuny.us-east-1.es.amazonaws.com/_plugin/kibana/#/discover/Steve-Slow-Train-Analysis-(2080s-and-2083s)?_g=(refreshInterval:(display:Off,section:0,value:0),time:(from:'2016-10-06 11:03:51-0600',mode:absolute,to:'2016-10-06 13:56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7" s="54" t="str">
        <f t="shared" ref="W77:W108" si="37">IF(AA77&lt;IF(AG77="EC",23,5.65),"Y","N")</f>
        <v>N</v>
      </c>
      <c r="X77" s="164">
        <f t="shared" ref="X77:X108" si="38">VALUE(LEFT(AD77,4))-VALUE(LEFT(AD76,4))</f>
        <v>1</v>
      </c>
      <c r="Y77" s="69">
        <f t="shared" ref="Y77:Y108" si="39">RIGHT(D77,LEN(D77)-4)/10000</f>
        <v>23.305900000000001</v>
      </c>
      <c r="Z77" s="69">
        <f t="shared" si="32"/>
        <v>1.49E-2</v>
      </c>
      <c r="AA77" s="69">
        <f t="shared" ref="AA77:AA108" si="40">ABS(Z77-Y77)</f>
        <v>23.291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40" si="41">IF(LEN(A77)=6,"0"&amp;A77,A77)</f>
        <v>0162-06</v>
      </c>
      <c r="AE77" s="95" t="str">
        <f t="shared" ref="AE77:AE108" si="4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s3://rtdc.mdm.uploadarchive.raw/RTDC4043/ "%USERPROFILE%\AppData\Local\Temp\OnboardLogs"\RTDC4043\2016-10-06 --exclude "*" --recursive --include "*20161006*" &amp; "%USERPROFILE%\Documents\GitHub\mrs-test-scripts\Headless Mode &amp; Sideloading\WalkAndUnGZ.bat" "%USERPROFILE%\AppData\Local\Temp\OnboardLogs"\RTDC4043\2016-10-06 &amp; aws s3 cp s3://rtdc.mdm.uploadarchive.raw/RTDC4043/ "%USERPROFILE%\AppData\Local\Temp\OnboardLogs"\RTDC4043\2016-10-07 --exclude "*" --recursive --include "*20161007*" &amp; "%USERPROFILE%\Documents\GitHub\mrs-test-scripts\Headless Mode &amp; Sideloading\WalkAndUnGZ.bat" "%USERPROFILE%\AppData\Local\Temp\OnboardLogs"\RTDC4043\2016-10-07</v>
      </c>
      <c r="AF77" s="92" t="str">
        <f t="shared" ref="AF77:AF108" si="43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/stypes="app*4043*20161006*" /stext=" 18:.+((SYSTEM_STATE.+slice.+state.+changed )|(ment ac)|(system.+state.+changed )|(\[timeout)|(PRM\|1\|D)|(kpr)|(kdp)|(\|lc)|(penalty))" /e /r /s</v>
      </c>
      <c r="AG77" s="1" t="str">
        <f t="shared" ref="AG77:AG140" si="44">IFERROR(IF(VALUE(LEFT(AD77,2))&lt;=2,"EC",IF(OR(VALUE(LEFT(AD77,2))=8,VALUE(LEFT(AD77,2))=18),"NW","Other")),"Other")</f>
        <v>EC</v>
      </c>
      <c r="AH77" s="96" t="str">
        <f t="shared" si="14"/>
        <v>"%USERPROFILE%\Documents\GitHub\eaglep3\Utilities\RefineRTDCRunTimes.py" --tripid 162-06 --locoid 4043 --swversion DE.1.0.7.0 --startMP 204:233059 --initTime 2016-10-06T12:03:51 --startdatetime 2016-10-06T12:11:16 --delay 1 --endMP 204:149 --enddatetime 2016-10-06T12:56:07 --enforcementcount 0 &gt;&gt;C:\Users\stu\Documents\GitHub\eaglep3-reporting\EC\2016-10-06-refined-times.txt</v>
      </c>
      <c r="AI77" s="130" t="str">
        <f t="shared" si="15"/>
        <v>echo {"issue":{"subject":"","project_id":79,"tracker_id":40,"status_id":1,"priority_id":2,"assigned_to_id":23,"start_date":"2016-10-06","description":"","custom_fields":[{"id":1,"name":"Subdivision","value":"EC"},{"id":4,"name":"Milepost","value":"0.0149"},{"id":17,"name":"Train ID","value":"162-06"},{"id":16,"name":"Locomotive ID","value":"4043"},{"id":130,"name":"Impact","value":""},{"id":150,"name":"Time of Event (Mountain Time)","value":"12:56:07"},{"id":151,"name":"Denver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490</v>
      </c>
      <c r="B78" s="7">
        <v>4009</v>
      </c>
      <c r="C78" s="24" t="s">
        <v>106</v>
      </c>
      <c r="D78" s="24" t="s">
        <v>220</v>
      </c>
      <c r="E78" s="15">
        <v>42649.475960648146</v>
      </c>
      <c r="F78" s="15">
        <v>42649.479513888888</v>
      </c>
      <c r="G78" s="7">
        <v>2</v>
      </c>
      <c r="H78" s="15" t="s">
        <v>671</v>
      </c>
      <c r="I78" s="15">
        <v>42649.505428240744</v>
      </c>
      <c r="J78" s="7">
        <v>0</v>
      </c>
      <c r="K78" s="117" t="str">
        <f t="shared" si="33"/>
        <v>4009/4010</v>
      </c>
      <c r="L78" s="24" t="str">
        <f>VLOOKUP(A78,'Trips&amp;Operators'!$C$1:$E$10000,3,FALSE)</f>
        <v>MOSES</v>
      </c>
      <c r="M78" s="6">
        <f t="shared" si="34"/>
        <v>2.5914351856044959E-2</v>
      </c>
      <c r="N78" s="7">
        <f t="shared" si="21"/>
        <v>37.316666672704741</v>
      </c>
      <c r="O78" s="7"/>
      <c r="P78" s="7"/>
      <c r="Q78" s="25"/>
      <c r="R78" s="25"/>
      <c r="S78" s="37">
        <f t="shared" si="22"/>
        <v>1</v>
      </c>
      <c r="T78" s="52" t="str">
        <f t="shared" si="35"/>
        <v>NorthBound</v>
      </c>
      <c r="U78" s="159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10:25:23-0600',mode:absolute,to:'2016-10-06 13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8" s="54" t="str">
        <f t="shared" si="37"/>
        <v>N</v>
      </c>
      <c r="X78" s="164">
        <f t="shared" si="38"/>
        <v>1</v>
      </c>
      <c r="Y78" s="69">
        <f t="shared" si="39"/>
        <v>4.6399999999999997E-2</v>
      </c>
      <c r="Z78" s="69">
        <f t="shared" si="32"/>
        <v>23.3368</v>
      </c>
      <c r="AA78" s="69">
        <f t="shared" si="40"/>
        <v>23.290400000000002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41"/>
        <v>0163-06</v>
      </c>
      <c r="AE78" s="95" t="str">
        <f t="shared" si="42"/>
        <v>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 &amp; aws s3 cp s3://rtdc.mdm.uploadarchive.raw/RTDC4009/ "%USERPROFILE%\AppData\Local\Temp\OnboardLogs"\RTDC4009\2016-10-07 --exclude "*" --recursive --include "*20161007*" &amp; "%USERPROFILE%\Documents\GitHub\mrs-test-scripts\Headless Mode &amp; Sideloading\WalkAndUnGZ.bat" "%USERPROFILE%\AppData\Local\Temp\OnboardLogs"\RTDC4009\2016-10-07</v>
      </c>
      <c r="AF78" s="92" t="str">
        <f t="shared" si="43"/>
        <v>"C:\Program Files (x86)\AstroGrep\AstroGrep.exe" /spath="%USERPROFILE%\AppData\Local\Temp\OnboardLogs" /stypes="app*4009*20161006*" /stext=" 18:.+((SYSTEM_STATE.+slice.+state.+changed )|(ment ac)|(system.+state.+changed )|(\[timeout)|(PRM\|1\|D)|(kpr)|(kdp)|(\|lc)|(penalty))" /e /r /s</v>
      </c>
      <c r="AG78" s="1" t="str">
        <f t="shared" si="44"/>
        <v>EC</v>
      </c>
      <c r="AH78" s="96" t="str">
        <f t="shared" ref="AH78:AH141" si="45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163-06 --locoid 4009 --swversion DE.1.0.7.0 --startMP 204:464 --initTime 2016-10-06T11:25:23 --startdatetime 2016-10-06T11:30:30 --delay 2 --endMP 204:233368 --enddatetime 2016-10-06T12:07:49 --enforcementcount 0 &gt;&gt;C:\Users\stu\Documents\GitHub\eaglep3-reporting\EC\2016-10-06-refined-times.txt</v>
      </c>
      <c r="AI78" s="130" t="str">
        <f t="shared" ref="AI78:AI141" si="46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{"issue":{"subject":"","project_id":79,"tracker_id":40,"status_id":1,"priority_id":2,"assigned_to_id":23,"start_date":"2016-10-06","description":"","custom_fields":[{"id":1,"name":"Subdivision","value":"EC"},{"id":4,"name":"Milepost","value":"23.3368"},{"id":17,"name":"Train ID","value":"163-06"},{"id":16,"name":"Locomotive ID","value":"4009"},{"id":130,"name":"Impact","value":""},{"id":150,"name":"Time of Event (Mountain Time)","value":"12:07:49"},{"id":151,"name":"Denver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500</v>
      </c>
      <c r="B79" s="7">
        <v>4010</v>
      </c>
      <c r="C79" s="24" t="s">
        <v>106</v>
      </c>
      <c r="D79" s="24" t="s">
        <v>672</v>
      </c>
      <c r="E79" s="15">
        <v>42649.515266203707</v>
      </c>
      <c r="F79" s="15">
        <v>42649.518287037034</v>
      </c>
      <c r="G79" s="7">
        <v>2</v>
      </c>
      <c r="H79" s="15" t="s">
        <v>352</v>
      </c>
      <c r="I79" s="15">
        <v>42649.550740740742</v>
      </c>
      <c r="J79" s="7">
        <v>0</v>
      </c>
      <c r="K79" s="117" t="str">
        <f t="shared" si="33"/>
        <v>4009/4010</v>
      </c>
      <c r="L79" s="24" t="str">
        <f>VLOOKUP(A79,'Trips&amp;Operators'!$C$1:$E$10000,3,FALSE)</f>
        <v>MOSES</v>
      </c>
      <c r="M79" s="6">
        <f t="shared" si="34"/>
        <v>3.2453703708597459E-2</v>
      </c>
      <c r="N79" s="7">
        <f t="shared" si="21"/>
        <v>46.733333340380341</v>
      </c>
      <c r="O79" s="7"/>
      <c r="P79" s="7"/>
      <c r="Q79" s="25"/>
      <c r="R79" s="25"/>
      <c r="S79" s="37">
        <f t="shared" si="22"/>
        <v>1</v>
      </c>
      <c r="T79" s="52" t="str">
        <f t="shared" si="35"/>
        <v>Southbound</v>
      </c>
      <c r="U79" s="159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11:21:59-0600',mode:absolute,to:'2016-10-06 14:13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9" s="54" t="str">
        <f t="shared" si="37"/>
        <v>N</v>
      </c>
      <c r="X79" s="164">
        <f t="shared" si="38"/>
        <v>1</v>
      </c>
      <c r="Y79" s="69">
        <f t="shared" si="39"/>
        <v>23.3019</v>
      </c>
      <c r="Z79" s="69">
        <f t="shared" si="32"/>
        <v>1.7000000000000001E-2</v>
      </c>
      <c r="AA79" s="69">
        <f t="shared" si="40"/>
        <v>23.2849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41"/>
        <v>0164-06</v>
      </c>
      <c r="AE79" s="95" t="str">
        <f t="shared" si="42"/>
        <v>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 &amp; aws s3 cp s3://rtdc.mdm.uploadarchive.raw/RTDC4010/ "%USERPROFILE%\AppData\Local\Temp\OnboardLogs"\RTDC4010\2016-10-07 --exclude "*" --recursive --include "*20161007*" &amp; "%USERPROFILE%\Documents\GitHub\mrs-test-scripts\Headless Mode &amp; Sideloading\WalkAndUnGZ.bat" "%USERPROFILE%\AppData\Local\Temp\OnboardLogs"\RTDC4010\2016-10-07</v>
      </c>
      <c r="AF79" s="92" t="str">
        <f t="shared" si="43"/>
        <v>"C:\Program Files (x86)\AstroGrep\AstroGrep.exe" /spath="%USERPROFILE%\AppData\Local\Temp\OnboardLogs" /stypes="app*4010*20161006*" /stext=" 19:.+((SYSTEM_STATE.+slice.+state.+changed )|(ment ac)|(system.+state.+changed )|(\[timeout)|(PRM\|1\|D)|(kpr)|(kdp)|(\|lc)|(penalty))" /e /r /s</v>
      </c>
      <c r="AG79" s="1" t="str">
        <f t="shared" si="44"/>
        <v>EC</v>
      </c>
      <c r="AH79" s="96" t="str">
        <f t="shared" si="45"/>
        <v>"%USERPROFILE%\Documents\GitHub\eaglep3\Utilities\RefineRTDCRunTimes.py" --tripid 164-06 --locoid 4010 --swversion DE.1.0.7.0 --startMP 204:233019 --initTime 2016-10-06T12:21:59 --startdatetime 2016-10-06T12:26:20 --delay 2 --endMP 204:170 --enddatetime 2016-10-06T13:13:04 --enforcementcount 0 &gt;&gt;C:\Users\stu\Documents\GitHub\eaglep3-reporting\EC\2016-10-06-refined-times.txt</v>
      </c>
      <c r="AI79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{"issue":{"subject":"","project_id":79,"tracker_id":40,"status_id":1,"priority_id":2,"assigned_to_id":23,"start_date":"2016-10-06","description":"","custom_fields":[{"id":1,"name":"Subdivision","value":"EC"},{"id":4,"name":"Milepost","value":"0.017"},{"id":17,"name":"Train ID","value":"164-06"},{"id":16,"name":"Locomotive ID","value":"4010"},{"id":130,"name":"Impact","value":""},{"id":150,"name":"Time of Event (Mountain Time)","value":"13:13:04"},{"id":151,"name":"Denver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493</v>
      </c>
      <c r="B80" s="7">
        <v>4018</v>
      </c>
      <c r="C80" s="24" t="s">
        <v>106</v>
      </c>
      <c r="D80" s="24" t="s">
        <v>192</v>
      </c>
      <c r="E80" s="15">
        <v>42649.487187500003</v>
      </c>
      <c r="F80" s="15">
        <v>42649.489907407406</v>
      </c>
      <c r="G80" s="7">
        <v>1</v>
      </c>
      <c r="H80" s="15" t="s">
        <v>262</v>
      </c>
      <c r="I80" s="15">
        <v>42649.514537037037</v>
      </c>
      <c r="J80" s="7">
        <v>0</v>
      </c>
      <c r="K80" s="117" t="str">
        <f t="shared" si="33"/>
        <v>4017/4018</v>
      </c>
      <c r="L80" s="24" t="str">
        <f>VLOOKUP(A80,'Trips&amp;Operators'!$C$1:$E$10000,3,FALSE)</f>
        <v>NEWELL</v>
      </c>
      <c r="M80" s="6">
        <f t="shared" si="34"/>
        <v>2.4629629631817807E-2</v>
      </c>
      <c r="N80" s="7">
        <f t="shared" si="21"/>
        <v>35.466666669817641</v>
      </c>
      <c r="O80" s="7"/>
      <c r="P80" s="7"/>
      <c r="Q80" s="25"/>
      <c r="R80" s="25"/>
      <c r="S80" s="37">
        <f t="shared" si="22"/>
        <v>1</v>
      </c>
      <c r="T80" s="52" t="str">
        <f t="shared" si="35"/>
        <v>NorthBound</v>
      </c>
      <c r="U80" s="159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10:41:33-0600',mode:absolute,to:'2016-10-06 13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0" s="54" t="str">
        <f t="shared" si="37"/>
        <v>N</v>
      </c>
      <c r="X80" s="164">
        <f t="shared" si="38"/>
        <v>1</v>
      </c>
      <c r="Y80" s="69">
        <f t="shared" si="39"/>
        <v>4.7100000000000003E-2</v>
      </c>
      <c r="Z80" s="69">
        <f t="shared" si="32"/>
        <v>23.329699999999999</v>
      </c>
      <c r="AA80" s="69">
        <f t="shared" si="40"/>
        <v>23.282599999999999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41"/>
        <v>0165-06</v>
      </c>
      <c r="AE80" s="95" t="str">
        <f t="shared" si="42"/>
        <v>aws s3 cp s3://rtdc.mdm.uploadarchive.raw/RTDC4018/ "%USERPROFILE%\AppData\Local\Temp\OnboardLogs"\RTDC4018\2016-10-06 --exclude "*" --recursive --include "*20161006*" &amp; "%USERPROFILE%\Documents\GitHub\mrs-test-scripts\Headless Mode &amp; Sideloading\WalkAndUnGZ.bat" "%USERPROFILE%\AppData\Local\Temp\OnboardLogs"\RTDC4018\2016-10-06 &amp; 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</v>
      </c>
      <c r="AF80" s="92" t="str">
        <f t="shared" si="43"/>
        <v>"C:\Program Files (x86)\AstroGrep\AstroGrep.exe" /spath="%USERPROFILE%\AppData\Local\Temp\OnboardLogs" /stypes="app*4018*20161006*" /stext=" 18:.+((SYSTEM_STATE.+slice.+state.+changed )|(ment ac)|(system.+state.+changed )|(\[timeout)|(PRM\|1\|D)|(kpr)|(kdp)|(\|lc)|(penalty))" /e /r /s</v>
      </c>
      <c r="AG80" s="1" t="str">
        <f t="shared" si="44"/>
        <v>EC</v>
      </c>
      <c r="AH80" s="96" t="str">
        <f t="shared" si="45"/>
        <v>"%USERPROFILE%\Documents\GitHub\eaglep3\Utilities\RefineRTDCRunTimes.py" --tripid 165-06 --locoid 4018 --swversion DE.1.0.7.0 --startMP 204:471 --initTime 2016-10-06T11:41:33 --startdatetime 2016-10-06T11:45:28 --delay 1 --endMP 204:233297 --enddatetime 2016-10-06T12:20:56 --enforcementcount 0 &gt;&gt;C:\Users\stu\Documents\GitHub\eaglep3-reporting\EC\2016-10-06-refined-times.txt</v>
      </c>
      <c r="AI80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{"issue":{"subject":"","project_id":79,"tracker_id":40,"status_id":1,"priority_id":2,"assigned_to_id":23,"start_date":"2016-10-06","description":"","custom_fields":[{"id":1,"name":"Subdivision","value":"EC"},{"id":4,"name":"Milepost","value":"23.3297"},{"id":17,"name":"Train ID","value":"165-06"},{"id":16,"name":"Locomotive ID","value":"4018"},{"id":130,"name":"Impact","value":""},{"id":150,"name":"Time of Event (Mountain Time)","value":"12:20:56"},{"id":151,"name":"Denver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502</v>
      </c>
      <c r="B81" s="7">
        <v>4017</v>
      </c>
      <c r="C81" s="24" t="s">
        <v>106</v>
      </c>
      <c r="D81" s="24" t="s">
        <v>633</v>
      </c>
      <c r="E81" s="15">
        <v>42649.523923611108</v>
      </c>
      <c r="F81" s="15">
        <v>42649.528634259259</v>
      </c>
      <c r="G81" s="7">
        <v>2</v>
      </c>
      <c r="H81" s="15" t="s">
        <v>664</v>
      </c>
      <c r="I81" s="15">
        <v>42649.55909722222</v>
      </c>
      <c r="J81" s="7">
        <v>0</v>
      </c>
      <c r="K81" s="117" t="str">
        <f t="shared" si="33"/>
        <v>4017/4018</v>
      </c>
      <c r="L81" s="24" t="str">
        <f>VLOOKUP(A81,'Trips&amp;Operators'!$C$1:$E$10000,3,FALSE)</f>
        <v>NEWELL</v>
      </c>
      <c r="M81" s="6">
        <f t="shared" si="34"/>
        <v>3.0462962960882578E-2</v>
      </c>
      <c r="N81" s="7">
        <f t="shared" si="21"/>
        <v>43.866666663670912</v>
      </c>
      <c r="O81" s="7"/>
      <c r="P81" s="7"/>
      <c r="Q81" s="25"/>
      <c r="R81" s="25"/>
      <c r="S81" s="37">
        <f t="shared" si="22"/>
        <v>1</v>
      </c>
      <c r="T81" s="52" t="str">
        <f t="shared" si="35"/>
        <v>Southbound</v>
      </c>
      <c r="U81" s="159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11:34:27-0600',mode:absolute,to:'2016-10-06 14:25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1" s="54" t="str">
        <f t="shared" si="37"/>
        <v>N</v>
      </c>
      <c r="X81" s="164">
        <f t="shared" si="38"/>
        <v>1</v>
      </c>
      <c r="Y81" s="69">
        <f t="shared" si="39"/>
        <v>23.298300000000001</v>
      </c>
      <c r="Z81" s="69">
        <f t="shared" ref="Z81:Z112" si="47">RIGHT(H81,LEN(H81)-4)/10000</f>
        <v>1.3899999999999999E-2</v>
      </c>
      <c r="AA81" s="69">
        <f t="shared" si="40"/>
        <v>23.284400000000002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41"/>
        <v>0166-06</v>
      </c>
      <c r="AE81" s="95" t="str">
        <f t="shared" si="42"/>
        <v>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 &amp; 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</v>
      </c>
      <c r="AF81" s="92" t="str">
        <f t="shared" si="43"/>
        <v>"C:\Program Files (x86)\AstroGrep\AstroGrep.exe" /spath="%USERPROFILE%\AppData\Local\Temp\OnboardLogs" /stypes="app*4017*20161006*" /stext=" 19:.+((SYSTEM_STATE.+slice.+state.+changed )|(ment ac)|(system.+state.+changed )|(\[timeout)|(PRM\|1\|D)|(kpr)|(kdp)|(\|lc)|(penalty))" /e /r /s</v>
      </c>
      <c r="AG81" s="1" t="str">
        <f t="shared" si="44"/>
        <v>EC</v>
      </c>
      <c r="AH81" s="96" t="str">
        <f t="shared" si="45"/>
        <v>"%USERPROFILE%\Documents\GitHub\eaglep3\Utilities\RefineRTDCRunTimes.py" --tripid 166-06 --locoid 4017 --swversion DE.1.0.7.0 --startMP 204:232983 --initTime 2016-10-06T12:34:27 --startdatetime 2016-10-06T12:41:14 --delay 2 --endMP 204:139 --enddatetime 2016-10-06T13:25:06 --enforcementcount 0 &gt;&gt;C:\Users\stu\Documents\GitHub\eaglep3-reporting\EC\2016-10-06-refined-times.txt</v>
      </c>
      <c r="AI81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{"issue":{"subject":"","project_id":79,"tracker_id":40,"status_id":1,"priority_id":2,"assigned_to_id":23,"start_date":"2016-10-06","description":"","custom_fields":[{"id":1,"name":"Subdivision","value":"EC"},{"id":4,"name":"Milepost","value":"0.0139"},{"id":17,"name":"Train ID","value":"166-06"},{"id":16,"name":"Locomotive ID","value":"4017"},{"id":130,"name":"Impact","value":""},{"id":150,"name":"Time of Event (Mountain Time)","value":"13:25:06"},{"id":151,"name":"Denver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496</v>
      </c>
      <c r="B82" s="7">
        <v>4007</v>
      </c>
      <c r="C82" s="24" t="s">
        <v>106</v>
      </c>
      <c r="D82" s="24" t="s">
        <v>673</v>
      </c>
      <c r="E82" s="15">
        <v>42649.50508101852</v>
      </c>
      <c r="F82" s="15">
        <v>42649.506145833337</v>
      </c>
      <c r="G82" s="7">
        <v>1</v>
      </c>
      <c r="H82" s="15" t="s">
        <v>300</v>
      </c>
      <c r="I82" s="15">
        <v>42649.528009259258</v>
      </c>
      <c r="J82" s="7">
        <v>0</v>
      </c>
      <c r="K82" s="117" t="str">
        <f t="shared" si="33"/>
        <v>4007/4008</v>
      </c>
      <c r="L82" s="24" t="str">
        <f>VLOOKUP(A82,'Trips&amp;Operators'!$C$1:$E$10000,3,FALSE)</f>
        <v>HILLS</v>
      </c>
      <c r="M82" s="6">
        <f t="shared" si="34"/>
        <v>2.1863425921765156E-2</v>
      </c>
      <c r="N82" s="7"/>
      <c r="O82" s="7"/>
      <c r="P82" s="7">
        <f>24*60*SUM($M82:$M82)</f>
        <v>31.483333327341825</v>
      </c>
      <c r="Q82" s="25"/>
      <c r="R82" s="25" t="s">
        <v>267</v>
      </c>
      <c r="S82" s="37">
        <f t="shared" si="22"/>
        <v>1</v>
      </c>
      <c r="T82" s="52" t="str">
        <f t="shared" si="35"/>
        <v>NorthBound</v>
      </c>
      <c r="U82" s="159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11:07:19-0600',mode:absolute,to:'2016-10-06 13:40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2" s="54" t="str">
        <f t="shared" si="37"/>
        <v>Y</v>
      </c>
      <c r="X82" s="164">
        <f t="shared" si="38"/>
        <v>1</v>
      </c>
      <c r="Y82" s="69">
        <f t="shared" si="39"/>
        <v>1.9136</v>
      </c>
      <c r="Z82" s="69">
        <f t="shared" si="47"/>
        <v>23.332000000000001</v>
      </c>
      <c r="AA82" s="69">
        <f t="shared" si="40"/>
        <v>21.418400000000002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41"/>
        <v>0167-06</v>
      </c>
      <c r="AE82" s="95" t="str">
        <f t="shared" si="42"/>
        <v>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 &amp; 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</v>
      </c>
      <c r="AF82" s="92" t="str">
        <f t="shared" si="43"/>
        <v>"C:\Program Files (x86)\AstroGrep\AstroGrep.exe" /spath="%USERPROFILE%\AppData\Local\Temp\OnboardLogs" /stypes="app*4007*20161006*" /stext=" 18:.+((SYSTEM_STATE.+slice.+state.+changed )|(ment ac)|(system.+state.+changed )|(\[timeout)|(PRM\|1\|D)|(kpr)|(kdp)|(\|lc)|(penalty))" /e /r /s</v>
      </c>
      <c r="AG82" s="1" t="str">
        <f t="shared" si="44"/>
        <v>EC</v>
      </c>
      <c r="AH82" s="96" t="str">
        <f t="shared" si="45"/>
        <v>"%USERPROFILE%\Documents\GitHub\eaglep3\Utilities\RefineRTDCRunTimes.py" --tripid 167-06 --locoid 4007 --swversion DE.1.0.7.0 --startMP 204:19136 --initTime 2016-10-06T12:07:19 --startdatetime 2016-10-06T12:08:51 --delay 1 --endMP 204:233320 --enddatetime 2016-10-06T12:40:20 --enforcementcount 0 &gt;&gt;C:\Users\stu\Documents\GitHub\eaglep3-reporting\EC\2016-10-06-refined-times.txt</v>
      </c>
      <c r="AI82" s="130" t="str">
        <f t="shared" si="46"/>
        <v>echo {"issue":{"subject":"Onboard in-route failure","project_id":79,"tracker_id":40,"status_id":1,"priority_id":2,"assigned_to_id":23,"start_date":"2016-10-06","description":"Triplex issue - changed primary slice twice in a short timeframe, cause TMDS to send cut out due to conflicting state info","custom_fields":[{"id":1,"name":"Subdivision","value":"EC"},{"id":4,"name":"Milepost","value":"23.332"},{"id":17,"name":"Train ID","value":"167-06"},{"id":16,"name":"Locomotive ID","value":"4007"},{"id":130,"name":"Impact","value":"Unexpected Cut-Out or Disengaged"},{"id":150,"name":"Time of Event (Mountain Time)","value":"12:40:20"},{"id":151,"name":"Denver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82" s="55" t="s">
        <v>829</v>
      </c>
      <c r="AK82" s="55" t="s">
        <v>140</v>
      </c>
      <c r="AL82" s="55" t="s">
        <v>207</v>
      </c>
    </row>
    <row r="83" spans="1:38" s="1" customFormat="1" x14ac:dyDescent="0.25">
      <c r="A83" s="39" t="s">
        <v>496</v>
      </c>
      <c r="B83" s="7">
        <v>4007</v>
      </c>
      <c r="C83" s="24" t="s">
        <v>106</v>
      </c>
      <c r="D83" s="24" t="s">
        <v>195</v>
      </c>
      <c r="E83" s="15">
        <v>42649.499988425923</v>
      </c>
      <c r="F83" s="15">
        <v>42649.506145833337</v>
      </c>
      <c r="G83" s="7">
        <v>1</v>
      </c>
      <c r="H83" s="15" t="s">
        <v>674</v>
      </c>
      <c r="I83" s="15">
        <v>42649.528009259258</v>
      </c>
      <c r="J83" s="7">
        <v>0</v>
      </c>
      <c r="K83" s="117" t="str">
        <f t="shared" si="33"/>
        <v>4007/4008</v>
      </c>
      <c r="L83" s="24" t="str">
        <f>VLOOKUP(A83,'Trips&amp;Operators'!$C$1:$E$10000,3,FALSE)</f>
        <v>HILLS</v>
      </c>
      <c r="M83" s="6">
        <f t="shared" si="34"/>
        <v>2.1863425921765156E-2</v>
      </c>
      <c r="N83" s="7"/>
      <c r="O83" s="7"/>
      <c r="P83" s="7"/>
      <c r="Q83" s="25"/>
      <c r="R83" s="25"/>
      <c r="S83" s="37"/>
      <c r="T83" s="52" t="str">
        <f t="shared" si="35"/>
        <v>NorthBound</v>
      </c>
      <c r="U83" s="159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0</v>
      </c>
      <c r="V83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10:59:59-0600',mode:absolute,to:'2016-10-06 13:40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3" s="54" t="str">
        <f t="shared" si="37"/>
        <v>Y</v>
      </c>
      <c r="X83" s="164">
        <f t="shared" si="38"/>
        <v>0</v>
      </c>
      <c r="Y83" s="69">
        <f t="shared" si="39"/>
        <v>4.53E-2</v>
      </c>
      <c r="Z83" s="69">
        <f t="shared" si="47"/>
        <v>0.36299999999999999</v>
      </c>
      <c r="AA83" s="69">
        <f t="shared" si="40"/>
        <v>0.31769999999999998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41"/>
        <v>0167-06</v>
      </c>
      <c r="AE83" s="95" t="str">
        <f t="shared" si="42"/>
        <v>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 &amp; 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</v>
      </c>
      <c r="AF83" s="92" t="str">
        <f t="shared" si="43"/>
        <v>"C:\Program Files (x86)\AstroGrep\AstroGrep.exe" /spath="%USERPROFILE%\AppData\Local\Temp\OnboardLogs" /stypes="app*4007*20161006*" /stext=" 18:.+((SYSTEM_STATE.+slice.+state.+changed )|(ment ac)|(system.+state.+changed )|(\[timeout)|(PRM\|1\|D)|(kpr)|(kdp)|(\|lc)|(penalty))" /e /r /s</v>
      </c>
      <c r="AG83" s="1" t="str">
        <f t="shared" si="44"/>
        <v>EC</v>
      </c>
      <c r="AH83" s="96" t="str">
        <f t="shared" si="45"/>
        <v>"%USERPROFILE%\Documents\GitHub\eaglep3\Utilities\RefineRTDCRunTimes.py" --tripid 167-06 --locoid 4007 --swversion DE.1.0.7.0 --startMP 204:453 --initTime 2016-10-06T11:59:59 --startdatetime 2016-10-06T12:08:51 --delay 1 --endMP 204:3630 --enddatetime 2016-10-06T12:40:20 --enforcementcount 0 &gt;&gt;C:\Users\stu\Documents\GitHub\eaglep3-reporting\EC\2016-10-06-refined-times.txt</v>
      </c>
      <c r="AI83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{"issue":{"subject":"","project_id":79,"tracker_id":40,"status_id":1,"priority_id":2,"assigned_to_id":23,"start_date":"2016-10-06","description":"","custom_fields":[{"id":1,"name":"Subdivision","value":"EC"},{"id":4,"name":"Milepost","value":"0.363"},{"id":17,"name":"Train ID","value":"167-06"},{"id":16,"name":"Locomotive ID","value":"4007"},{"id":130,"name":"Impact","value":""},{"id":150,"name":"Time of Event (Mountain Time)","value":"12:40:20"},{"id":151,"name":"Denver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505</v>
      </c>
      <c r="B84" s="7">
        <v>4008</v>
      </c>
      <c r="C84" s="24" t="s">
        <v>106</v>
      </c>
      <c r="D84" s="24" t="s">
        <v>240</v>
      </c>
      <c r="E84" s="15">
        <v>42649.532106481478</v>
      </c>
      <c r="F84" s="15">
        <v>42649.539351851854</v>
      </c>
      <c r="G84" s="7">
        <v>2</v>
      </c>
      <c r="H84" s="15" t="s">
        <v>190</v>
      </c>
      <c r="I84" s="15">
        <v>42649.567303240743</v>
      </c>
      <c r="J84" s="7">
        <v>0</v>
      </c>
      <c r="K84" s="117" t="str">
        <f t="shared" si="33"/>
        <v>4007/4008</v>
      </c>
      <c r="L84" s="24" t="str">
        <f>VLOOKUP(A84,'Trips&amp;Operators'!$C$1:$E$10000,3,FALSE)</f>
        <v>HILLS</v>
      </c>
      <c r="M84" s="6">
        <f t="shared" si="34"/>
        <v>2.7951388889050577E-2</v>
      </c>
      <c r="N84" s="7">
        <f>24*60*SUM($M84:$M84)</f>
        <v>40.250000000232831</v>
      </c>
      <c r="O84" s="7"/>
      <c r="P84" s="7"/>
      <c r="Q84" s="25"/>
      <c r="R84" s="25"/>
      <c r="S84" s="37">
        <f>SUM(U84:U84)/IF(AG84="EC",12,1)</f>
        <v>1</v>
      </c>
      <c r="T84" s="52" t="str">
        <f t="shared" si="35"/>
        <v>Southbound</v>
      </c>
      <c r="U84" s="159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11:46:14-0600',mode:absolute,to:'2016-10-06 14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4" s="54" t="str">
        <f t="shared" si="37"/>
        <v>N</v>
      </c>
      <c r="X84" s="164">
        <f t="shared" si="38"/>
        <v>1</v>
      </c>
      <c r="Y84" s="69">
        <f t="shared" si="39"/>
        <v>23.297999999999998</v>
      </c>
      <c r="Z84" s="69">
        <f t="shared" si="47"/>
        <v>1.49E-2</v>
      </c>
      <c r="AA84" s="69">
        <f t="shared" si="40"/>
        <v>23.283099999999997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41"/>
        <v>0168-06</v>
      </c>
      <c r="AE84" s="95" t="str">
        <f t="shared" si="42"/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AF84" s="92" t="str">
        <f t="shared" si="43"/>
        <v>"C:\Program Files (x86)\AstroGrep\AstroGrep.exe" /spath="%USERPROFILE%\AppData\Local\Temp\OnboardLogs" /stypes="app*4008*20161006*" /stext=" 19:.+((SYSTEM_STATE.+slice.+state.+changed )|(ment ac)|(system.+state.+changed )|(\[timeout)|(PRM\|1\|D)|(kpr)|(kdp)|(\|lc)|(penalty))" /e /r /s</v>
      </c>
      <c r="AG84" s="1" t="str">
        <f t="shared" si="44"/>
        <v>EC</v>
      </c>
      <c r="AH84" s="96" t="str">
        <f t="shared" si="45"/>
        <v>"%USERPROFILE%\Documents\GitHub\eaglep3\Utilities\RefineRTDCRunTimes.py" --tripid 168-06 --locoid 4008 --swversion DE.1.0.7.0 --startMP 204:232980 --initTime 2016-10-06T12:46:14 --startdatetime 2016-10-06T12:56:40 --delay 2 --endMP 204:149 --enddatetime 2016-10-06T13:36:55 --enforcementcount 0 &gt;&gt;C:\Users\stu\Documents\GitHub\eaglep3-reporting\EC\2016-10-06-refined-times.txt</v>
      </c>
      <c r="AI84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{"issue":{"subject":"","project_id":79,"tracker_id":40,"status_id":1,"priority_id":2,"assigned_to_id":23,"start_date":"2016-10-06","description":"","custom_fields":[{"id":1,"name":"Subdivision","value":"EC"},{"id":4,"name":"Milepost","value":"0.0149"},{"id":17,"name":"Train ID","value":"168-06"},{"id":16,"name":"Locomotive ID","value":"4008"},{"id":130,"name":"Impact","value":""},{"id":150,"name":"Time of Event (Mountain Time)","value":"13:36:55"},{"id":151,"name":"Denver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498</v>
      </c>
      <c r="B85" s="7">
        <v>4046</v>
      </c>
      <c r="C85" s="24" t="s">
        <v>106</v>
      </c>
      <c r="D85" s="24" t="s">
        <v>656</v>
      </c>
      <c r="E85" s="15">
        <v>42649.508738425924</v>
      </c>
      <c r="F85" s="15">
        <v>42649.510752314818</v>
      </c>
      <c r="G85" s="7">
        <v>1</v>
      </c>
      <c r="H85" s="15" t="s">
        <v>303</v>
      </c>
      <c r="I85" s="15">
        <v>42649.541759259257</v>
      </c>
      <c r="J85" s="7">
        <v>0</v>
      </c>
      <c r="K85" s="117" t="str">
        <f t="shared" si="33"/>
        <v>4045/4046</v>
      </c>
      <c r="L85" s="24" t="str">
        <f>VLOOKUP(A85,'Trips&amp;Operators'!$C$1:$E$10000,3,FALSE)</f>
        <v>CRAYTON</v>
      </c>
      <c r="M85" s="6">
        <f t="shared" si="34"/>
        <v>3.1006944438559003E-2</v>
      </c>
      <c r="N85" s="7">
        <f>24*60*SUM($M85:$M85)</f>
        <v>44.649999991524965</v>
      </c>
      <c r="O85" s="7"/>
      <c r="P85" s="7"/>
      <c r="Q85" s="25"/>
      <c r="R85" s="25"/>
      <c r="S85" s="37">
        <f>SUM(U85:U85)/IF(AG85="EC",12,1)</f>
        <v>1</v>
      </c>
      <c r="T85" s="52" t="str">
        <f t="shared" si="35"/>
        <v>NorthBound</v>
      </c>
      <c r="U85" s="159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11:12:35-0600',mode:absolute,to:'2016-10-06 14:00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5" s="54" t="str">
        <f t="shared" si="37"/>
        <v>N</v>
      </c>
      <c r="X85" s="164">
        <f t="shared" si="38"/>
        <v>1</v>
      </c>
      <c r="Y85" s="69">
        <f t="shared" si="39"/>
        <v>4.82E-2</v>
      </c>
      <c r="Z85" s="69">
        <f t="shared" si="47"/>
        <v>23.331499999999998</v>
      </c>
      <c r="AA85" s="69">
        <f t="shared" si="40"/>
        <v>23.283299999999997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41"/>
        <v>0169-06</v>
      </c>
      <c r="AE85" s="95" t="str">
        <f t="shared" si="42"/>
        <v>aws s3 cp s3://rtdc.mdm.uploadarchive.raw/RTDC4046/ "%USERPROFILE%\AppData\Local\Temp\OnboardLogs"\RTDC4046\2016-10-06 --exclude "*" --recursive --include "*20161006*" &amp; "%USERPROFILE%\Documents\GitHub\mrs-test-scripts\Headless Mode &amp; Sideloading\WalkAndUnGZ.bat" "%USERPROFILE%\AppData\Local\Temp\OnboardLogs"\RTDC4046\2016-10-06 &amp; 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</v>
      </c>
      <c r="AF85" s="92" t="str">
        <f t="shared" si="43"/>
        <v>"C:\Program Files (x86)\AstroGrep\AstroGrep.exe" /spath="%USERPROFILE%\AppData\Local\Temp\OnboardLogs" /stypes="app*4046*20161006*" /stext=" 19:.+((SYSTEM_STATE.+slice.+state.+changed )|(ment ac)|(system.+state.+changed )|(\[timeout)|(PRM\|1\|D)|(kpr)|(kdp)|(\|lc)|(penalty))" /e /r /s</v>
      </c>
      <c r="AG85" s="1" t="str">
        <f t="shared" si="44"/>
        <v>EC</v>
      </c>
      <c r="AH85" s="96" t="str">
        <f t="shared" si="45"/>
        <v>"%USERPROFILE%\Documents\GitHub\eaglep3\Utilities\RefineRTDCRunTimes.py" --tripid 169-06 --locoid 4046 --swversion DE.1.0.7.0 --startMP 204:482 --initTime 2016-10-06T12:12:35 --startdatetime 2016-10-06T12:15:29 --delay 1 --endMP 204:233315 --enddatetime 2016-10-06T13:00:08 --enforcementcount 0 &gt;&gt;C:\Users\stu\Documents\GitHub\eaglep3-reporting\EC\2016-10-06-refined-times.txt</v>
      </c>
      <c r="AI85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{"issue":{"subject":"","project_id":79,"tracker_id":40,"status_id":1,"priority_id":2,"assigned_to_id":23,"start_date":"2016-10-06","description":"","custom_fields":[{"id":1,"name":"Subdivision","value":"EC"},{"id":4,"name":"Milepost","value":"23.3315"},{"id":17,"name":"Train ID","value":"169-06"},{"id":16,"name":"Locomotive ID","value":"4046"},{"id":130,"name":"Impact","value":""},{"id":150,"name":"Time of Event (Mountain Time)","value":"13:00:08"},{"id":151,"name":"Denver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507</v>
      </c>
      <c r="B86" s="7">
        <v>4045</v>
      </c>
      <c r="C86" s="24" t="s">
        <v>106</v>
      </c>
      <c r="D86" s="24" t="s">
        <v>241</v>
      </c>
      <c r="E86" s="15">
        <v>42649.543182870373</v>
      </c>
      <c r="F86" s="15">
        <v>42649.549490740741</v>
      </c>
      <c r="G86" s="7">
        <v>1</v>
      </c>
      <c r="H86" s="15" t="s">
        <v>198</v>
      </c>
      <c r="I86" s="15">
        <v>42649.578819444447</v>
      </c>
      <c r="J86" s="7">
        <v>0</v>
      </c>
      <c r="K86" s="117" t="str">
        <f t="shared" si="33"/>
        <v>4045/4046</v>
      </c>
      <c r="L86" s="24" t="str">
        <f>VLOOKUP(A86,'Trips&amp;Operators'!$C$1:$E$10000,3,FALSE)</f>
        <v>CRAYTON</v>
      </c>
      <c r="M86" s="6">
        <f t="shared" si="34"/>
        <v>2.9328703705687076E-2</v>
      </c>
      <c r="N86" s="7">
        <f>24*60*SUM($M86:$M86)</f>
        <v>42.233333336189389</v>
      </c>
      <c r="O86" s="7"/>
      <c r="P86" s="7"/>
      <c r="Q86" s="25"/>
      <c r="R86" s="25"/>
      <c r="S86" s="37">
        <f>SUM(U86:U86)/IF(AG86="EC",12,1)</f>
        <v>1</v>
      </c>
      <c r="T86" s="52" t="str">
        <f t="shared" si="35"/>
        <v>Southbound</v>
      </c>
      <c r="U86" s="159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12:02:11-0600',mode:absolute,to:'2016-10-06 14:53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6" s="54" t="str">
        <f t="shared" si="37"/>
        <v>N</v>
      </c>
      <c r="X86" s="164">
        <f t="shared" si="38"/>
        <v>1</v>
      </c>
      <c r="Y86" s="69">
        <f t="shared" si="39"/>
        <v>23.299600000000002</v>
      </c>
      <c r="Z86" s="69">
        <f t="shared" si="47"/>
        <v>1.52E-2</v>
      </c>
      <c r="AA86" s="69">
        <f t="shared" si="40"/>
        <v>23.284400000000002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41"/>
        <v>0170-06</v>
      </c>
      <c r="AE86" s="95" t="str">
        <f t="shared" si="42"/>
        <v>aws s3 cp s3://rtdc.mdm.uploadarchive.raw/RTDC4045/ "%USERPROFILE%\AppData\Local\Temp\OnboardLogs"\RTDC4045\2016-10-06 --exclude "*" --recursive --include "*20161006*" &amp; "%USERPROFILE%\Documents\GitHub\mrs-test-scripts\Headless Mode &amp; Sideloading\WalkAndUnGZ.bat" "%USERPROFILE%\AppData\Local\Temp\OnboardLogs"\RTDC4045\2016-10-06 &amp; 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</v>
      </c>
      <c r="AF86" s="92" t="str">
        <f t="shared" si="43"/>
        <v>"C:\Program Files (x86)\AstroGrep\AstroGrep.exe" /spath="%USERPROFILE%\AppData\Local\Temp\OnboardLogs" /stypes="app*4045*20161006*" /stext=" 19:.+((SYSTEM_STATE.+slice.+state.+changed )|(ment ac)|(system.+state.+changed )|(\[timeout)|(PRM\|1\|D)|(kpr)|(kdp)|(\|lc)|(penalty))" /e /r /s</v>
      </c>
      <c r="AG86" s="1" t="str">
        <f t="shared" si="44"/>
        <v>EC</v>
      </c>
      <c r="AH86" s="96" t="str">
        <f t="shared" si="45"/>
        <v>"%USERPROFILE%\Documents\GitHub\eaglep3\Utilities\RefineRTDCRunTimes.py" --tripid 170-06 --locoid 4045 --swversion DE.1.0.7.0 --startMP 204:232996 --initTime 2016-10-06T13:02:11 --startdatetime 2016-10-06T13:11:16 --delay 1 --endMP 204:152 --enddatetime 2016-10-06T13:53:30 --enforcementcount 0 &gt;&gt;C:\Users\stu\Documents\GitHub\eaglep3-reporting\EC\2016-10-06-refined-times.txt</v>
      </c>
      <c r="AI86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{"issue":{"subject":"","project_id":79,"tracker_id":40,"status_id":1,"priority_id":2,"assigned_to_id":23,"start_date":"2016-10-06","description":"","custom_fields":[{"id":1,"name":"Subdivision","value":"EC"},{"id":4,"name":"Milepost","value":"0.0152"},{"id":17,"name":"Train ID","value":"170-06"},{"id":16,"name":"Locomotive ID","value":"4045"},{"id":130,"name":"Impact","value":""},{"id":150,"name":"Time of Event (Mountain Time)","value":"13:53:30"},{"id":151,"name":"Denver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501</v>
      </c>
      <c r="B87" s="7">
        <v>4031</v>
      </c>
      <c r="C87" s="24" t="s">
        <v>106</v>
      </c>
      <c r="D87" s="24" t="s">
        <v>675</v>
      </c>
      <c r="E87" s="15">
        <v>42649.525578703702</v>
      </c>
      <c r="F87" s="15">
        <v>42649.527997685182</v>
      </c>
      <c r="G87" s="7">
        <v>1</v>
      </c>
      <c r="H87" s="15" t="s">
        <v>227</v>
      </c>
      <c r="I87" s="15">
        <v>42649.55228009259</v>
      </c>
      <c r="J87" s="7">
        <v>0</v>
      </c>
      <c r="K87" s="117" t="str">
        <f t="shared" si="33"/>
        <v>4031/4032</v>
      </c>
      <c r="L87" s="24" t="str">
        <f>VLOOKUP(A87,'Trips&amp;Operators'!$C$1:$E$10000,3,FALSE)</f>
        <v>STORY</v>
      </c>
      <c r="M87" s="6">
        <f t="shared" si="34"/>
        <v>2.4282407408463769E-2</v>
      </c>
      <c r="N87" s="7"/>
      <c r="O87" s="7"/>
      <c r="P87" s="7">
        <f>24*60*SUM($M87:$M87)</f>
        <v>34.966666668187827</v>
      </c>
      <c r="Q87" s="25"/>
      <c r="R87" s="25" t="s">
        <v>267</v>
      </c>
      <c r="S87" s="37">
        <f>SUM(U87:U87)/IF(AG87="EC",12,1)</f>
        <v>1</v>
      </c>
      <c r="T87" s="52" t="str">
        <f t="shared" si="35"/>
        <v>NorthBound</v>
      </c>
      <c r="U87" s="159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11:36:50-0600',mode:absolute,to:'2016-10-06 14:15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7" s="54" t="str">
        <f t="shared" si="37"/>
        <v>Y</v>
      </c>
      <c r="X87" s="164">
        <f t="shared" si="38"/>
        <v>1</v>
      </c>
      <c r="Y87" s="69">
        <f t="shared" si="39"/>
        <v>1.9118999999999999</v>
      </c>
      <c r="Z87" s="69">
        <f t="shared" si="47"/>
        <v>23.3293</v>
      </c>
      <c r="AA87" s="69">
        <f t="shared" si="40"/>
        <v>21.417400000000001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41"/>
        <v>0171-06</v>
      </c>
      <c r="AE87" s="95" t="str">
        <f t="shared" si="42"/>
        <v>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 &amp; aws s3 cp s3://rtdc.mdm.uploadarchive.raw/RTDC4031/ "%USERPROFILE%\AppData\Local\Temp\OnboardLogs"\RTDC4031\2016-10-07 --exclude "*" --recursive --include "*20161007*" &amp; "%USERPROFILE%\Documents\GitHub\mrs-test-scripts\Headless Mode &amp; Sideloading\WalkAndUnGZ.bat" "%USERPROFILE%\AppData\Local\Temp\OnboardLogs"\RTDC4031\2016-10-07</v>
      </c>
      <c r="AF87" s="92" t="str">
        <f t="shared" si="43"/>
        <v>"C:\Program Files (x86)\AstroGrep\AstroGrep.exe" /spath="%USERPROFILE%\AppData\Local\Temp\OnboardLogs" /stypes="app*4031*20161006*" /stext=" 19:.+((SYSTEM_STATE.+slice.+state.+changed )|(ment ac)|(system.+state.+changed )|(\[timeout)|(PRM\|1\|D)|(kpr)|(kdp)|(\|lc)|(penalty))" /e /r /s</v>
      </c>
      <c r="AG87" s="1" t="str">
        <f t="shared" si="44"/>
        <v>EC</v>
      </c>
      <c r="AH87" s="96" t="str">
        <f t="shared" si="45"/>
        <v>"%USERPROFILE%\Documents\GitHub\eaglep3\Utilities\RefineRTDCRunTimes.py" --tripid 171-06 --locoid 4031 --swversion DE.1.0.7.0 --startMP 204:19119 --initTime 2016-10-06T12:36:50 --startdatetime 2016-10-06T12:40:19 --delay 1 --endMP 204:233293 --enddatetime 2016-10-06T13:15:17 --enforcementcount 0 &gt;&gt;C:\Users\stu\Documents\GitHub\eaglep3-reporting\EC\2016-10-06-refined-times.txt</v>
      </c>
      <c r="AI87" s="130" t="str">
        <f t="shared" si="46"/>
        <v>echo {"issue":{"subject":"Onboard in-route failure","project_id":79,"tracker_id":40,"status_id":1,"priority_id":2,"assigned_to_id":23,"start_date":"2016-10-06","description":"Triplex issue - changed primary slice twice in a short timeframe, cause TMDS to send cut out due to conflicting state info","custom_fields":[{"id":1,"name":"Subdivision","value":"EC"},{"id":4,"name":"Milepost","value":"23.3293"},{"id":17,"name":"Train ID","value":"171-06"},{"id":16,"name":"Locomotive ID","value":"4031"},{"id":130,"name":"Impact","value":"Unexpected Cut-Out or Disengaged"},{"id":150,"name":"Time of Event (Mountain Time)","value":"13:15:17"},{"id":151,"name":"Denver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87" s="55" t="s">
        <v>829</v>
      </c>
      <c r="AK87" s="55" t="s">
        <v>140</v>
      </c>
      <c r="AL87" s="55" t="s">
        <v>207</v>
      </c>
    </row>
    <row r="88" spans="1:38" s="1" customFormat="1" x14ac:dyDescent="0.25">
      <c r="A88" s="39" t="s">
        <v>501</v>
      </c>
      <c r="B88" s="7">
        <v>4031</v>
      </c>
      <c r="C88" s="24" t="s">
        <v>106</v>
      </c>
      <c r="D88" s="24" t="s">
        <v>273</v>
      </c>
      <c r="E88" s="15">
        <v>42649.516400462962</v>
      </c>
      <c r="F88" s="15">
        <v>42649.527997685182</v>
      </c>
      <c r="G88" s="7">
        <v>2</v>
      </c>
      <c r="H88" s="15" t="s">
        <v>273</v>
      </c>
      <c r="I88" s="15">
        <v>42649.55228009259</v>
      </c>
      <c r="J88" s="7">
        <v>0</v>
      </c>
      <c r="K88" s="117" t="str">
        <f t="shared" si="33"/>
        <v>4031/4032</v>
      </c>
      <c r="L88" s="24" t="str">
        <f>VLOOKUP(A88,'Trips&amp;Operators'!$C$1:$E$10000,3,FALSE)</f>
        <v>STORY</v>
      </c>
      <c r="M88" s="6">
        <f t="shared" si="34"/>
        <v>2.4282407408463769E-2</v>
      </c>
      <c r="N88" s="7"/>
      <c r="O88" s="7"/>
      <c r="P88" s="7"/>
      <c r="Q88" s="25"/>
      <c r="R88" s="25"/>
      <c r="S88" s="37"/>
      <c r="T88" s="52" t="str">
        <f t="shared" si="35"/>
        <v>NorthBound</v>
      </c>
      <c r="U88" s="159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0</v>
      </c>
      <c r="V88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11:23:37-0600',mode:absolute,to:'2016-10-06 14:15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8" s="54" t="str">
        <f t="shared" si="37"/>
        <v>Y</v>
      </c>
      <c r="X88" s="164">
        <f t="shared" si="38"/>
        <v>0</v>
      </c>
      <c r="Y88" s="69">
        <f t="shared" si="39"/>
        <v>4.4600000000000001E-2</v>
      </c>
      <c r="Z88" s="69">
        <f t="shared" si="47"/>
        <v>4.4600000000000001E-2</v>
      </c>
      <c r="AA88" s="69">
        <f t="shared" si="40"/>
        <v>0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41"/>
        <v>0171-06</v>
      </c>
      <c r="AE88" s="95" t="str">
        <f t="shared" si="42"/>
        <v>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 &amp; aws s3 cp s3://rtdc.mdm.uploadarchive.raw/RTDC4031/ "%USERPROFILE%\AppData\Local\Temp\OnboardLogs"\RTDC4031\2016-10-07 --exclude "*" --recursive --include "*20161007*" &amp; "%USERPROFILE%\Documents\GitHub\mrs-test-scripts\Headless Mode &amp; Sideloading\WalkAndUnGZ.bat" "%USERPROFILE%\AppData\Local\Temp\OnboardLogs"\RTDC4031\2016-10-07</v>
      </c>
      <c r="AF88" s="92" t="str">
        <f t="shared" si="43"/>
        <v>"C:\Program Files (x86)\AstroGrep\AstroGrep.exe" /spath="%USERPROFILE%\AppData\Local\Temp\OnboardLogs" /stypes="app*4031*20161006*" /stext=" 19:.+((SYSTEM_STATE.+slice.+state.+changed )|(ment ac)|(system.+state.+changed )|(\[timeout)|(PRM\|1\|D)|(kpr)|(kdp)|(\|lc)|(penalty))" /e /r /s</v>
      </c>
      <c r="AG88" s="1" t="str">
        <f t="shared" si="44"/>
        <v>EC</v>
      </c>
      <c r="AH88" s="96" t="str">
        <f t="shared" si="45"/>
        <v>"%USERPROFILE%\Documents\GitHub\eaglep3\Utilities\RefineRTDCRunTimes.py" --tripid 171-06 --locoid 4031 --swversion DE.1.0.7.0 --startMP 204:446 --initTime 2016-10-06T12:23:37 --startdatetime 2016-10-06T12:40:19 --delay 2 --endMP 204:446 --enddatetime 2016-10-06T13:15:17 --enforcementcount 0 &gt;&gt;C:\Users\stu\Documents\GitHub\eaglep3-reporting\EC\2016-10-06-refined-times.txt</v>
      </c>
      <c r="AI88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{"issue":{"subject":"","project_id":79,"tracker_id":40,"status_id":1,"priority_id":2,"assigned_to_id":23,"start_date":"2016-10-06","description":"","custom_fields":[{"id":1,"name":"Subdivision","value":"EC"},{"id":4,"name":"Milepost","value":"0.0446"},{"id":17,"name":"Train ID","value":"171-06"},{"id":16,"name":"Locomotive ID","value":"4031"},{"id":130,"name":"Impact","value":""},{"id":150,"name":"Time of Event (Mountain Time)","value":"13:15:17"},{"id":151,"name":"Denver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511</v>
      </c>
      <c r="B89" s="7">
        <v>4032</v>
      </c>
      <c r="C89" s="24" t="s">
        <v>106</v>
      </c>
      <c r="D89" s="24" t="s">
        <v>266</v>
      </c>
      <c r="E89" s="15">
        <v>42649.555023148147</v>
      </c>
      <c r="F89" s="15">
        <v>42649.560023148151</v>
      </c>
      <c r="G89" s="7">
        <v>2</v>
      </c>
      <c r="H89" s="15" t="s">
        <v>676</v>
      </c>
      <c r="I89" s="15">
        <v>42649.581944444442</v>
      </c>
      <c r="J89" s="7">
        <v>0</v>
      </c>
      <c r="K89" s="117" t="str">
        <f t="shared" si="33"/>
        <v>4031/4032</v>
      </c>
      <c r="L89" s="24" t="str">
        <f>VLOOKUP(A89,'Trips&amp;Operators'!$C$1:$E$10000,3,FALSE)</f>
        <v>STORY</v>
      </c>
      <c r="M89" s="6">
        <f t="shared" si="34"/>
        <v>2.1921296291111503E-2</v>
      </c>
      <c r="N89" s="7"/>
      <c r="O89" s="7"/>
      <c r="P89" s="7">
        <f>24*60*SUM($M89:$M90)</f>
        <v>43.21666665840894</v>
      </c>
      <c r="Q89" s="25"/>
      <c r="R89" s="25" t="s">
        <v>830</v>
      </c>
      <c r="S89" s="37">
        <f>SUM(U89:U90)/IF(AG89="EC",12,1)</f>
        <v>0.83333333333333337</v>
      </c>
      <c r="T89" s="52" t="str">
        <f t="shared" si="35"/>
        <v>Southbound</v>
      </c>
      <c r="U89" s="159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7</v>
      </c>
      <c r="V89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12:19:14-0600',mode:absolute,to:'2016-10-06 14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9" s="54" t="str">
        <f t="shared" si="37"/>
        <v>Y</v>
      </c>
      <c r="X89" s="164">
        <f t="shared" si="38"/>
        <v>1</v>
      </c>
      <c r="Y89" s="69">
        <f t="shared" si="39"/>
        <v>23.297499999999999</v>
      </c>
      <c r="Z89" s="69">
        <f t="shared" si="47"/>
        <v>4.9212999999999996</v>
      </c>
      <c r="AA89" s="69">
        <f t="shared" si="40"/>
        <v>18.376200000000001</v>
      </c>
      <c r="AB89" s="66" t="str">
        <f>VLOOKUP(A89,Enforcements!$C$7:$K$21,8,0)</f>
        <v>Speed (6)</v>
      </c>
      <c r="AC89" s="62" t="str">
        <f>VLOOKUP(A89,Enforcements!$C$7:$E$21,3,0)</f>
        <v>PERMANENT SPEED RESTRICTION</v>
      </c>
      <c r="AD89" s="63" t="str">
        <f t="shared" si="41"/>
        <v>0172-06</v>
      </c>
      <c r="AE89" s="95" t="str">
        <f t="shared" si="42"/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AF89" s="92" t="str">
        <f t="shared" si="43"/>
        <v>"C:\Program Files (x86)\AstroGrep\AstroGrep.exe" /spath="%USERPROFILE%\AppData\Local\Temp\OnboardLogs" /stypes="app*4032*20161006*" /stext=" 19:.+((SYSTEM_STATE.+slice.+state.+changed )|(ment ac)|(system.+state.+changed )|(\[timeout)|(PRM\|1\|D)|(kpr)|(kdp)|(\|lc)|(penalty))" /e /r /s</v>
      </c>
      <c r="AG89" s="1" t="str">
        <f t="shared" si="44"/>
        <v>EC</v>
      </c>
      <c r="AH89" s="96" t="str">
        <f t="shared" si="45"/>
        <v>"%USERPROFILE%\Documents\GitHub\eaglep3\Utilities\RefineRTDCRunTimes.py" --tripid 172-06 --locoid 4032 --swversion DE.1.0.7.0 --startMP 204:232975 --initTime 2016-10-06T13:19:14 --startdatetime 2016-10-06T13:26:26 --delay 2 --endMP 204:49213 --enddatetime 2016-10-06T13:58:00 --enforcementcount 0 &gt;&gt;C:\Users\stu\Documents\GitHub\eaglep3-reporting\EC\2016-10-06-refined-times.txt</v>
      </c>
      <c r="AI89" s="130" t="str">
        <f t="shared" si="46"/>
        <v>echo {"issue":{"subject":"Improper execution of Form C","project_id":79,"tracker_id":40,"status_id":1,"priority_id":2,"assigned_to_id":23,"start_date":"2016-10-06","description":"Train came to stop too far from Form C edge, permanent red fence. Should have pulled closer for prompts.","custom_fields":[{"id":1,"name":"Subdivision","value":"EC"},{"id":4,"name":"Milepost","value":"4.9213"},{"id":17,"name":"Train ID","value":"172-06"},{"id":16,"name":"Locomotive ID","value":"4032"},{"id":130,"name":"Impact","value":"Unexpected Cut-Out or Disengaged"},{"id":150,"name":"Time of Event (Mountain Time)","value":"13:58:00"},{"id":151,"name":"Denver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89" s="55" t="s">
        <v>831</v>
      </c>
      <c r="AK89" s="55" t="s">
        <v>140</v>
      </c>
      <c r="AL89" s="55" t="s">
        <v>152</v>
      </c>
    </row>
    <row r="90" spans="1:38" s="1" customFormat="1" x14ac:dyDescent="0.25">
      <c r="A90" s="39" t="s">
        <v>511</v>
      </c>
      <c r="B90" s="7">
        <v>4032</v>
      </c>
      <c r="C90" s="24" t="s">
        <v>106</v>
      </c>
      <c r="D90" s="24" t="s">
        <v>677</v>
      </c>
      <c r="E90" s="15">
        <v>42649.583634259259</v>
      </c>
      <c r="F90" s="15">
        <v>42649.584548611114</v>
      </c>
      <c r="G90" s="7">
        <v>1</v>
      </c>
      <c r="H90" s="15" t="s">
        <v>126</v>
      </c>
      <c r="I90" s="15">
        <v>42649.592638888891</v>
      </c>
      <c r="J90" s="7">
        <v>0</v>
      </c>
      <c r="K90" s="117" t="str">
        <f t="shared" si="33"/>
        <v>4031/4032</v>
      </c>
      <c r="L90" s="24" t="str">
        <f>VLOOKUP(A90,'Trips&amp;Operators'!$C$1:$E$10000,3,FALSE)</f>
        <v>STORY</v>
      </c>
      <c r="M90" s="6">
        <f t="shared" si="34"/>
        <v>8.0902777772280388E-3</v>
      </c>
      <c r="N90" s="7"/>
      <c r="O90" s="7"/>
      <c r="P90" s="7"/>
      <c r="Q90" s="25"/>
      <c r="R90" s="25"/>
      <c r="S90" s="37"/>
      <c r="T90" s="52" t="str">
        <f t="shared" si="35"/>
        <v>Southbound</v>
      </c>
      <c r="U90" s="159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3</v>
      </c>
      <c r="V90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13:00:26-0600',mode:absolute,to:'2016-10-06 15:13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0" s="54" t="str">
        <f t="shared" si="37"/>
        <v>Y</v>
      </c>
      <c r="X90" s="164">
        <f t="shared" si="38"/>
        <v>0</v>
      </c>
      <c r="Y90" s="69">
        <f t="shared" si="39"/>
        <v>3.6572</v>
      </c>
      <c r="Z90" s="69">
        <f t="shared" si="47"/>
        <v>1.54E-2</v>
      </c>
      <c r="AA90" s="69">
        <f t="shared" si="40"/>
        <v>3.6417999999999999</v>
      </c>
      <c r="AB90" s="66" t="str">
        <f>VLOOKUP(A90,Enforcements!$C$7:$K$21,8,0)</f>
        <v>Speed (6)</v>
      </c>
      <c r="AC90" s="62" t="str">
        <f>VLOOKUP(A90,Enforcements!$C$7:$E$21,3,0)</f>
        <v>PERMANENT SPEED RESTRICTION</v>
      </c>
      <c r="AD90" s="63" t="str">
        <f t="shared" si="41"/>
        <v>0172-06</v>
      </c>
      <c r="AE90" s="95" t="str">
        <f t="shared" si="42"/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AF90" s="92" t="str">
        <f t="shared" si="43"/>
        <v>"C:\Program Files (x86)\AstroGrep\AstroGrep.exe" /spath="%USERPROFILE%\AppData\Local\Temp\OnboardLogs" /stypes="app*4032*20161006*" /stext=" 20:.+((SYSTEM_STATE.+slice.+state.+changed )|(ment ac)|(system.+state.+changed )|(\[timeout)|(PRM\|1\|D)|(kpr)|(kdp)|(\|lc)|(penalty))" /e /r /s</v>
      </c>
      <c r="AG90" s="1" t="str">
        <f t="shared" si="44"/>
        <v>EC</v>
      </c>
      <c r="AH90" s="96" t="str">
        <f t="shared" si="45"/>
        <v>"%USERPROFILE%\Documents\GitHub\eaglep3\Utilities\RefineRTDCRunTimes.py" --tripid 172-06 --locoid 4032 --swversion DE.1.0.7.0 --startMP 204:36572 --initTime 2016-10-06T14:00:26 --startdatetime 2016-10-06T14:01:45 --delay 1 --endMP 204:154 --enddatetime 2016-10-06T14:13:24 --enforcementcount 0 &gt;&gt;C:\Users\stu\Documents\GitHub\eaglep3-reporting\EC\2016-10-06-refined-times.txt</v>
      </c>
      <c r="AI90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{"issue":{"subject":"","project_id":79,"tracker_id":40,"status_id":1,"priority_id":2,"assigned_to_id":23,"start_date":"2016-10-06","description":"","custom_fields":[{"id":1,"name":"Subdivision","value":"EC"},{"id":4,"name":"Milepost","value":"0.0154"},{"id":17,"name":"Train ID","value":"172-06"},{"id":16,"name":"Locomotive ID","value":"4032"},{"id":130,"name":"Impact","value":""},{"id":150,"name":"Time of Event (Mountain Time)","value":"14:13:24"},{"id":151,"name":"Denver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504</v>
      </c>
      <c r="B91" s="7">
        <v>4027</v>
      </c>
      <c r="C91" s="24" t="s">
        <v>106</v>
      </c>
      <c r="D91" s="24" t="s">
        <v>637</v>
      </c>
      <c r="E91" s="15">
        <v>42649.526145833333</v>
      </c>
      <c r="F91" s="15">
        <v>42649.531481481485</v>
      </c>
      <c r="G91" s="7">
        <v>1</v>
      </c>
      <c r="H91" s="15" t="s">
        <v>214</v>
      </c>
      <c r="I91" s="15">
        <v>42649.557939814818</v>
      </c>
      <c r="J91" s="7">
        <v>0</v>
      </c>
      <c r="K91" s="117" t="str">
        <f t="shared" si="33"/>
        <v>4027/4028</v>
      </c>
      <c r="L91" s="24" t="str">
        <f>VLOOKUP(A91,'Trips&amp;Operators'!$C$1:$E$10000,3,FALSE)</f>
        <v>BONDS</v>
      </c>
      <c r="M91" s="6">
        <f t="shared" si="34"/>
        <v>2.6458333333721384E-2</v>
      </c>
      <c r="N91" s="7">
        <f t="shared" ref="N91:N98" si="48">24*60*SUM($M91:$M91)</f>
        <v>38.100000000558794</v>
      </c>
      <c r="O91" s="7"/>
      <c r="P91" s="7"/>
      <c r="Q91" s="25"/>
      <c r="R91" s="25"/>
      <c r="S91" s="37">
        <f t="shared" ref="S91:S98" si="49">SUM(U91:U91)/IF(AG91="EC",12,1)</f>
        <v>1</v>
      </c>
      <c r="T91" s="52" t="str">
        <f t="shared" si="35"/>
        <v>NorthBound</v>
      </c>
      <c r="U91" s="159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11:37:39-0600',mode:absolute,to:'2016-10-06 14:23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1" s="54" t="str">
        <f t="shared" si="37"/>
        <v>N</v>
      </c>
      <c r="X91" s="164">
        <f t="shared" si="38"/>
        <v>1</v>
      </c>
      <c r="Y91" s="69">
        <f t="shared" si="39"/>
        <v>4.4400000000000002E-2</v>
      </c>
      <c r="Z91" s="69">
        <f t="shared" si="47"/>
        <v>23.331199999999999</v>
      </c>
      <c r="AA91" s="69">
        <f t="shared" si="40"/>
        <v>23.286799999999999</v>
      </c>
      <c r="AB91" s="66" t="str">
        <f>VLOOKUP(A91,Enforcements!$C$7:$K$21,8,0)</f>
        <v>Bulletin (2)</v>
      </c>
      <c r="AC91" s="62" t="str">
        <f>VLOOKUP(A91,Enforcements!$C$7:$E$21,3,0)</f>
        <v>GRADE CROSSING</v>
      </c>
      <c r="AD91" s="63" t="str">
        <f t="shared" si="41"/>
        <v>0173-06</v>
      </c>
      <c r="AE91" s="95" t="str">
        <f t="shared" si="42"/>
        <v>aws s3 cp s3://rtdc.mdm.uploadarchive.raw/RTDC4027/ "%USERPROFILE%\AppData\Local\Temp\OnboardLogs"\RTDC4027\2016-10-06 --exclude "*" --recursive --include "*20161006*" &amp; "%USERPROFILE%\Documents\GitHub\mrs-test-scripts\Headless Mode &amp; Sideloading\WalkAndUnGZ.bat" "%USERPROFILE%\AppData\Local\Temp\OnboardLogs"\RTDC4027\2016-10-06 &amp; aws s3 cp s3://rtdc.mdm.uploadarchive.raw/RTDC4027/ "%USERPROFILE%\AppData\Local\Temp\OnboardLogs"\RTDC4027\2016-10-07 --exclude "*" --recursive --include "*20161007*" &amp; "%USERPROFILE%\Documents\GitHub\mrs-test-scripts\Headless Mode &amp; Sideloading\WalkAndUnGZ.bat" "%USERPROFILE%\AppData\Local\Temp\OnboardLogs"\RTDC4027\2016-10-07</v>
      </c>
      <c r="AF91" s="92" t="str">
        <f t="shared" si="43"/>
        <v>"C:\Program Files (x86)\AstroGrep\AstroGrep.exe" /spath="%USERPROFILE%\AppData\Local\Temp\OnboardLogs" /stypes="app*4027*20161006*" /stext=" 19:.+((SYSTEM_STATE.+slice.+state.+changed )|(ment ac)|(system.+state.+changed )|(\[timeout)|(PRM\|1\|D)|(kpr)|(kdp)|(\|lc)|(penalty))" /e /r /s</v>
      </c>
      <c r="AG91" s="1" t="str">
        <f t="shared" si="44"/>
        <v>EC</v>
      </c>
      <c r="AH91" s="96" t="str">
        <f t="shared" si="45"/>
        <v>"%USERPROFILE%\Documents\GitHub\eaglep3\Utilities\RefineRTDCRunTimes.py" --tripid 173-06 --locoid 4027 --swversion DE.1.0.7.0 --startMP 204:444 --initTime 2016-10-06T12:37:39 --startdatetime 2016-10-06T12:45:20 --delay 1 --endMP 204:233312 --enddatetime 2016-10-06T13:23:26 --enforcementcount 0 &gt;&gt;C:\Users\stu\Documents\GitHub\eaglep3-reporting\EC\2016-10-06-refined-times.txt</v>
      </c>
      <c r="AI91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{"issue":{"subject":"","project_id":79,"tracker_id":40,"status_id":1,"priority_id":2,"assigned_to_id":23,"start_date":"2016-10-06","description":"","custom_fields":[{"id":1,"name":"Subdivision","value":"EC"},{"id":4,"name":"Milepost","value":"23.3312"},{"id":17,"name":"Train ID","value":"173-06"},{"id":16,"name":"Locomotive ID","value":"4027"},{"id":130,"name":"Impact","value":""},{"id":150,"name":"Time of Event (Mountain Time)","value":"13:23:26"},{"id":151,"name":"Denver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513</v>
      </c>
      <c r="B92" s="7">
        <v>4028</v>
      </c>
      <c r="C92" s="24" t="s">
        <v>106</v>
      </c>
      <c r="D92" s="24" t="s">
        <v>349</v>
      </c>
      <c r="E92" s="15">
        <v>42649.562361111108</v>
      </c>
      <c r="F92" s="15">
        <v>42649.570300925923</v>
      </c>
      <c r="G92" s="7">
        <v>1</v>
      </c>
      <c r="H92" s="15" t="s">
        <v>126</v>
      </c>
      <c r="I92" s="15">
        <v>42649.596944444442</v>
      </c>
      <c r="J92" s="7">
        <v>0</v>
      </c>
      <c r="K92" s="117" t="str">
        <f t="shared" si="33"/>
        <v>4027/4028</v>
      </c>
      <c r="L92" s="24" t="str">
        <f>VLOOKUP(A92,'Trips&amp;Operators'!$C$1:$E$10000,3,FALSE)</f>
        <v>BONDS</v>
      </c>
      <c r="M92" s="6">
        <f t="shared" si="34"/>
        <v>2.6643518518540077E-2</v>
      </c>
      <c r="N92" s="7">
        <f t="shared" si="48"/>
        <v>38.366666666697711</v>
      </c>
      <c r="O92" s="7"/>
      <c r="P92" s="7"/>
      <c r="Q92" s="25"/>
      <c r="R92" s="25"/>
      <c r="S92" s="37">
        <f t="shared" si="49"/>
        <v>1</v>
      </c>
      <c r="T92" s="52" t="str">
        <f t="shared" si="35"/>
        <v>Southbound</v>
      </c>
      <c r="U92" s="159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12:29:48-0600',mode:absolute,to:'2016-10-06 15:19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2" s="54" t="str">
        <f t="shared" si="37"/>
        <v>N</v>
      </c>
      <c r="X92" s="164">
        <f t="shared" si="38"/>
        <v>1</v>
      </c>
      <c r="Y92" s="69">
        <f t="shared" si="39"/>
        <v>23.3</v>
      </c>
      <c r="Z92" s="69">
        <f t="shared" si="47"/>
        <v>1.54E-2</v>
      </c>
      <c r="AA92" s="69">
        <f t="shared" si="40"/>
        <v>23.284600000000001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41"/>
        <v>0174-06</v>
      </c>
      <c r="AE92" s="95" t="str">
        <f t="shared" si="42"/>
        <v>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 &amp; aws s3 cp s3://rtdc.mdm.uploadarchive.raw/RTDC4028/ "%USERPROFILE%\AppData\Local\Temp\OnboardLogs"\RTDC4028\2016-10-07 --exclude "*" --recursive --include "*20161007*" &amp; "%USERPROFILE%\Documents\GitHub\mrs-test-scripts\Headless Mode &amp; Sideloading\WalkAndUnGZ.bat" "%USERPROFILE%\AppData\Local\Temp\OnboardLogs"\RTDC4028\2016-10-07</v>
      </c>
      <c r="AF92" s="92" t="str">
        <f t="shared" si="43"/>
        <v>"C:\Program Files (x86)\AstroGrep\AstroGrep.exe" /spath="%USERPROFILE%\AppData\Local\Temp\OnboardLogs" /stypes="app*4028*20161006*" /stext=" 20:.+((SYSTEM_STATE.+slice.+state.+changed )|(ment ac)|(system.+state.+changed )|(\[timeout)|(PRM\|1\|D)|(kpr)|(kdp)|(\|lc)|(penalty))" /e /r /s</v>
      </c>
      <c r="AG92" s="1" t="str">
        <f t="shared" si="44"/>
        <v>EC</v>
      </c>
      <c r="AH92" s="96" t="str">
        <f t="shared" si="45"/>
        <v>"%USERPROFILE%\Documents\GitHub\eaglep3\Utilities\RefineRTDCRunTimes.py" --tripid 174-06 --locoid 4028 --swversion DE.1.0.7.0 --startMP 204:233000 --initTime 2016-10-06T13:29:48 --startdatetime 2016-10-06T13:41:14 --delay 1 --endMP 204:154 --enddatetime 2016-10-06T14:19:36 --enforcementcount 0 &gt;&gt;C:\Users\stu\Documents\GitHub\eaglep3-reporting\EC\2016-10-06-refined-times.txt</v>
      </c>
      <c r="AI92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{"issue":{"subject":"","project_id":79,"tracker_id":40,"status_id":1,"priority_id":2,"assigned_to_id":23,"start_date":"2016-10-06","description":"","custom_fields":[{"id":1,"name":"Subdivision","value":"EC"},{"id":4,"name":"Milepost","value":"0.0154"},{"id":17,"name":"Train ID","value":"174-06"},{"id":16,"name":"Locomotive ID","value":"4028"},{"id":130,"name":"Impact","value":""},{"id":150,"name":"Time of Event (Mountain Time)","value":"14:19:36"},{"id":151,"name":"Denver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506</v>
      </c>
      <c r="B93" s="7">
        <v>4044</v>
      </c>
      <c r="C93" s="24" t="s">
        <v>106</v>
      </c>
      <c r="D93" s="24" t="s">
        <v>201</v>
      </c>
      <c r="E93" s="15">
        <v>42649.540069444447</v>
      </c>
      <c r="F93" s="15">
        <v>42649.542048611111</v>
      </c>
      <c r="G93" s="7">
        <v>2</v>
      </c>
      <c r="H93" s="15" t="s">
        <v>678</v>
      </c>
      <c r="I93" s="15">
        <v>42649.568495370368</v>
      </c>
      <c r="J93" s="7">
        <v>0</v>
      </c>
      <c r="K93" s="117" t="str">
        <f t="shared" si="33"/>
        <v>4043/4044</v>
      </c>
      <c r="L93" s="24" t="str">
        <f>VLOOKUP(A93,'Trips&amp;Operators'!$C$1:$E$10000,3,FALSE)</f>
        <v>SHOOK</v>
      </c>
      <c r="M93" s="6">
        <f t="shared" si="34"/>
        <v>2.6446759256941732E-2</v>
      </c>
      <c r="N93" s="7">
        <f t="shared" si="48"/>
        <v>38.083333329996094</v>
      </c>
      <c r="O93" s="7"/>
      <c r="P93" s="7"/>
      <c r="Q93" s="25"/>
      <c r="R93" s="25"/>
      <c r="S93" s="37">
        <f t="shared" si="49"/>
        <v>1</v>
      </c>
      <c r="T93" s="52" t="str">
        <f t="shared" si="35"/>
        <v>NorthBound</v>
      </c>
      <c r="U93" s="159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11:57:42-0600',mode:absolute,to:'2016-10-06 14:38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3" s="54" t="str">
        <f t="shared" si="37"/>
        <v>N</v>
      </c>
      <c r="X93" s="164">
        <f t="shared" si="38"/>
        <v>1</v>
      </c>
      <c r="Y93" s="69">
        <f t="shared" si="39"/>
        <v>4.5100000000000001E-2</v>
      </c>
      <c r="Z93" s="69">
        <f t="shared" si="47"/>
        <v>23.335699999999999</v>
      </c>
      <c r="AA93" s="69">
        <f t="shared" si="40"/>
        <v>23.290599999999998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41"/>
        <v>0175-06</v>
      </c>
      <c r="AE93" s="95" t="str">
        <f t="shared" si="42"/>
        <v>aws s3 cp s3://rtdc.mdm.uploadarchive.raw/RTDC4044/ "%USERPROFILE%\AppData\Local\Temp\OnboardLogs"\RTDC4044\2016-10-06 --exclude "*" --recursive --include "*20161006*" &amp; "%USERPROFILE%\Documents\GitHub\mrs-test-scripts\Headless Mode &amp; Sideloading\WalkAndUnGZ.bat" "%USERPROFILE%\AppData\Local\Temp\OnboardLogs"\RTDC4044\2016-10-06 &amp; aws s3 cp s3://rtdc.mdm.uploadarchive.raw/RTDC4044/ "%USERPROFILE%\AppData\Local\Temp\OnboardLogs"\RTDC4044\2016-10-07 --exclude "*" --recursive --include "*20161007*" &amp; "%USERPROFILE%\Documents\GitHub\mrs-test-scripts\Headless Mode &amp; Sideloading\WalkAndUnGZ.bat" "%USERPROFILE%\AppData\Local\Temp\OnboardLogs"\RTDC4044\2016-10-07</v>
      </c>
      <c r="AF93" s="92" t="str">
        <f t="shared" si="43"/>
        <v>"C:\Program Files (x86)\AstroGrep\AstroGrep.exe" /spath="%USERPROFILE%\AppData\Local\Temp\OnboardLogs" /stypes="app*4044*20161006*" /stext=" 19:.+((SYSTEM_STATE.+slice.+state.+changed )|(ment ac)|(system.+state.+changed )|(\[timeout)|(PRM\|1\|D)|(kpr)|(kdp)|(\|lc)|(penalty))" /e /r /s</v>
      </c>
      <c r="AG93" s="1" t="str">
        <f t="shared" si="44"/>
        <v>EC</v>
      </c>
      <c r="AH93" s="96" t="str">
        <f t="shared" si="45"/>
        <v>"%USERPROFILE%\Documents\GitHub\eaglep3\Utilities\RefineRTDCRunTimes.py" --tripid 175-06 --locoid 4044 --swversion DE.1.0.7.0 --startMP 204:451 --initTime 2016-10-06T12:57:42 --startdatetime 2016-10-06T13:00:33 --delay 2 --endMP 204:233357 --enddatetime 2016-10-06T13:38:38 --enforcementcount 0 &gt;&gt;C:\Users\stu\Documents\GitHub\eaglep3-reporting\EC\2016-10-06-refined-times.txt</v>
      </c>
      <c r="AI93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{"issue":{"subject":"","project_id":79,"tracker_id":40,"status_id":1,"priority_id":2,"assigned_to_id":23,"start_date":"2016-10-06","description":"","custom_fields":[{"id":1,"name":"Subdivision","value":"EC"},{"id":4,"name":"Milepost","value":"23.3357"},{"id":17,"name":"Train ID","value":"175-06"},{"id":16,"name":"Locomotive ID","value":"4044"},{"id":130,"name":"Impact","value":""},{"id":150,"name":"Time of Event (Mountain Time)","value":"13:38:38"},{"id":151,"name":"Denver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516</v>
      </c>
      <c r="B94" s="7">
        <v>4043</v>
      </c>
      <c r="C94" s="24" t="s">
        <v>106</v>
      </c>
      <c r="D94" s="24" t="s">
        <v>679</v>
      </c>
      <c r="E94" s="15">
        <v>42649.57508101852</v>
      </c>
      <c r="F94" s="15">
        <v>42649.580810185187</v>
      </c>
      <c r="G94" s="7">
        <v>1</v>
      </c>
      <c r="H94" s="15" t="s">
        <v>352</v>
      </c>
      <c r="I94" s="15">
        <v>42649.608530092592</v>
      </c>
      <c r="J94" s="7">
        <v>0</v>
      </c>
      <c r="K94" s="117" t="str">
        <f t="shared" si="33"/>
        <v>4043/4044</v>
      </c>
      <c r="L94" s="24" t="str">
        <f>VLOOKUP(A94,'Trips&amp;Operators'!$C$1:$E$10000,3,FALSE)</f>
        <v>SHOOK</v>
      </c>
      <c r="M94" s="6">
        <f t="shared" si="34"/>
        <v>2.7719907404389232E-2</v>
      </c>
      <c r="N94" s="7">
        <f t="shared" si="48"/>
        <v>39.916666662320495</v>
      </c>
      <c r="O94" s="7"/>
      <c r="P94" s="7"/>
      <c r="Q94" s="25"/>
      <c r="R94" s="25"/>
      <c r="S94" s="37">
        <f t="shared" si="49"/>
        <v>1</v>
      </c>
      <c r="T94" s="52" t="str">
        <f t="shared" si="35"/>
        <v>Southbound</v>
      </c>
      <c r="U94" s="159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12:48:07-0600',mode:absolute,to:'2016-10-06 15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4" s="54" t="str">
        <f t="shared" si="37"/>
        <v>N</v>
      </c>
      <c r="X94" s="164">
        <f t="shared" si="38"/>
        <v>1</v>
      </c>
      <c r="Y94" s="69">
        <f t="shared" si="39"/>
        <v>23.304400000000001</v>
      </c>
      <c r="Z94" s="69">
        <f t="shared" si="47"/>
        <v>1.7000000000000001E-2</v>
      </c>
      <c r="AA94" s="69">
        <f t="shared" si="40"/>
        <v>23.287400000000002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41"/>
        <v>0176-06</v>
      </c>
      <c r="AE94" s="95" t="str">
        <f t="shared" si="42"/>
        <v>aws s3 cp s3://rtdc.mdm.uploadarchive.raw/RTDC4043/ "%USERPROFILE%\AppData\Local\Temp\OnboardLogs"\RTDC4043\2016-10-06 --exclude "*" --recursive --include "*20161006*" &amp; "%USERPROFILE%\Documents\GitHub\mrs-test-scripts\Headless Mode &amp; Sideloading\WalkAndUnGZ.bat" "%USERPROFILE%\AppData\Local\Temp\OnboardLogs"\RTDC4043\2016-10-06 &amp; aws s3 cp s3://rtdc.mdm.uploadarchive.raw/RTDC4043/ "%USERPROFILE%\AppData\Local\Temp\OnboardLogs"\RTDC4043\2016-10-07 --exclude "*" --recursive --include "*20161007*" &amp; "%USERPROFILE%\Documents\GitHub\mrs-test-scripts\Headless Mode &amp; Sideloading\WalkAndUnGZ.bat" "%USERPROFILE%\AppData\Local\Temp\OnboardLogs"\RTDC4043\2016-10-07</v>
      </c>
      <c r="AF94" s="92" t="str">
        <f t="shared" si="43"/>
        <v>"C:\Program Files (x86)\AstroGrep\AstroGrep.exe" /spath="%USERPROFILE%\AppData\Local\Temp\OnboardLogs" /stypes="app*4043*20161006*" /stext=" 20:.+((SYSTEM_STATE.+slice.+state.+changed )|(ment ac)|(system.+state.+changed )|(\[timeout)|(PRM\|1\|D)|(kpr)|(kdp)|(\|lc)|(penalty))" /e /r /s</v>
      </c>
      <c r="AG94" s="1" t="str">
        <f t="shared" si="44"/>
        <v>EC</v>
      </c>
      <c r="AH94" s="96" t="str">
        <f t="shared" si="45"/>
        <v>"%USERPROFILE%\Documents\GitHub\eaglep3\Utilities\RefineRTDCRunTimes.py" --tripid 176-06 --locoid 4043 --swversion DE.1.0.7.0 --startMP 204:233044 --initTime 2016-10-06T13:48:07 --startdatetime 2016-10-06T13:56:22 --delay 1 --endMP 204:170 --enddatetime 2016-10-06T14:36:17 --enforcementcount 0 &gt;&gt;C:\Users\stu\Documents\GitHub\eaglep3-reporting\EC\2016-10-06-refined-times.txt</v>
      </c>
      <c r="AI94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{"issue":{"subject":"","project_id":79,"tracker_id":40,"status_id":1,"priority_id":2,"assigned_to_id":23,"start_date":"2016-10-06","description":"","custom_fields":[{"id":1,"name":"Subdivision","value":"EC"},{"id":4,"name":"Milepost","value":"0.017"},{"id":17,"name":"Train ID","value":"176-06"},{"id":16,"name":"Locomotive ID","value":"4043"},{"id":130,"name":"Impact","value":""},{"id":150,"name":"Time of Event (Mountain Time)","value":"14:36:17"},{"id":151,"name":"Denver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508</v>
      </c>
      <c r="B95" s="7">
        <v>4009</v>
      </c>
      <c r="C95" s="24" t="s">
        <v>106</v>
      </c>
      <c r="D95" s="24" t="s">
        <v>252</v>
      </c>
      <c r="E95" s="15">
        <v>42649.553726851853</v>
      </c>
      <c r="F95" s="15">
        <v>42649.555567129632</v>
      </c>
      <c r="G95" s="7">
        <v>1</v>
      </c>
      <c r="H95" s="15" t="s">
        <v>663</v>
      </c>
      <c r="I95" s="15">
        <v>42649.583194444444</v>
      </c>
      <c r="J95" s="7">
        <v>0</v>
      </c>
      <c r="K95" s="117" t="str">
        <f t="shared" si="33"/>
        <v>4009/4010</v>
      </c>
      <c r="L95" s="24" t="str">
        <f>VLOOKUP(A95,'Trips&amp;Operators'!$C$1:$E$10000,3,FALSE)</f>
        <v>MOSES</v>
      </c>
      <c r="M95" s="6">
        <f t="shared" si="34"/>
        <v>2.7627314811979886E-2</v>
      </c>
      <c r="N95" s="7">
        <f t="shared" si="48"/>
        <v>39.783333329251036</v>
      </c>
      <c r="O95" s="7"/>
      <c r="P95" s="7"/>
      <c r="Q95" s="25"/>
      <c r="R95" s="25"/>
      <c r="S95" s="37">
        <f t="shared" si="49"/>
        <v>1</v>
      </c>
      <c r="T95" s="52" t="str">
        <f t="shared" si="35"/>
        <v>NorthBound</v>
      </c>
      <c r="U95" s="159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12:17:22-0600',mode:absolute,to:'2016-10-06 14:59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5" s="54" t="str">
        <f t="shared" si="37"/>
        <v>N</v>
      </c>
      <c r="X95" s="164">
        <f t="shared" si="38"/>
        <v>1</v>
      </c>
      <c r="Y95" s="69">
        <f t="shared" si="39"/>
        <v>4.6699999999999998E-2</v>
      </c>
      <c r="Z95" s="69">
        <f t="shared" si="47"/>
        <v>23.3306</v>
      </c>
      <c r="AA95" s="69">
        <f t="shared" si="40"/>
        <v>23.283899999999999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41"/>
        <v>0177-06</v>
      </c>
      <c r="AE95" s="95" t="str">
        <f t="shared" si="42"/>
        <v>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 &amp; aws s3 cp s3://rtdc.mdm.uploadarchive.raw/RTDC4009/ "%USERPROFILE%\AppData\Local\Temp\OnboardLogs"\RTDC4009\2016-10-07 --exclude "*" --recursive --include "*20161007*" &amp; "%USERPROFILE%\Documents\GitHub\mrs-test-scripts\Headless Mode &amp; Sideloading\WalkAndUnGZ.bat" "%USERPROFILE%\AppData\Local\Temp\OnboardLogs"\RTDC4009\2016-10-07</v>
      </c>
      <c r="AF95" s="92" t="str">
        <f t="shared" si="43"/>
        <v>"C:\Program Files (x86)\AstroGrep\AstroGrep.exe" /spath="%USERPROFILE%\AppData\Local\Temp\OnboardLogs" /stypes="app*4009*20161006*" /stext=" 19:.+((SYSTEM_STATE.+slice.+state.+changed )|(ment ac)|(system.+state.+changed )|(\[timeout)|(PRM\|1\|D)|(kpr)|(kdp)|(\|lc)|(penalty))" /e /r /s</v>
      </c>
      <c r="AG95" s="1" t="str">
        <f t="shared" si="44"/>
        <v>EC</v>
      </c>
      <c r="AH95" s="96" t="str">
        <f t="shared" si="45"/>
        <v>"%USERPROFILE%\Documents\GitHub\eaglep3\Utilities\RefineRTDCRunTimes.py" --tripid 177-06 --locoid 4009 --swversion DE.1.0.7.0 --startMP 204:467 --initTime 2016-10-06T13:17:22 --startdatetime 2016-10-06T13:20:01 --delay 1 --endMP 204:233306 --enddatetime 2016-10-06T13:59:48 --enforcementcount 0 &gt;&gt;C:\Users\stu\Documents\GitHub\eaglep3-reporting\EC\2016-10-06-refined-times.txt</v>
      </c>
      <c r="AI95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{"issue":{"subject":"","project_id":79,"tracker_id":40,"status_id":1,"priority_id":2,"assigned_to_id":23,"start_date":"2016-10-06","description":"","custom_fields":[{"id":1,"name":"Subdivision","value":"EC"},{"id":4,"name":"Milepost","value":"23.3306"},{"id":17,"name":"Train ID","value":"177-06"},{"id":16,"name":"Locomotive ID","value":"4009"},{"id":130,"name":"Impact","value":""},{"id":150,"name":"Time of Event (Mountain Time)","value":"13:59:48"},{"id":151,"name":"Denver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518</v>
      </c>
      <c r="B96" s="7">
        <v>4010</v>
      </c>
      <c r="C96" s="24" t="s">
        <v>106</v>
      </c>
      <c r="D96" s="24" t="s">
        <v>241</v>
      </c>
      <c r="E96" s="15">
        <v>42649.587060185186</v>
      </c>
      <c r="F96" s="15">
        <v>42649.591180555559</v>
      </c>
      <c r="G96" s="7">
        <v>1</v>
      </c>
      <c r="H96" s="15" t="s">
        <v>196</v>
      </c>
      <c r="I96" s="15">
        <v>42649.619155092594</v>
      </c>
      <c r="J96" s="7">
        <v>0</v>
      </c>
      <c r="K96" s="117" t="str">
        <f t="shared" si="33"/>
        <v>4009/4010</v>
      </c>
      <c r="L96" s="24" t="str">
        <f>VLOOKUP(A96,'Trips&amp;Operators'!$C$1:$E$10000,3,FALSE)</f>
        <v>MOSES</v>
      </c>
      <c r="M96" s="6">
        <f t="shared" si="34"/>
        <v>2.7974537035333924E-2</v>
      </c>
      <c r="N96" s="7">
        <f t="shared" si="48"/>
        <v>40.283333330880851</v>
      </c>
      <c r="O96" s="7"/>
      <c r="P96" s="7"/>
      <c r="Q96" s="25"/>
      <c r="R96" s="25"/>
      <c r="S96" s="37">
        <f t="shared" si="49"/>
        <v>1</v>
      </c>
      <c r="T96" s="52" t="str">
        <f t="shared" si="35"/>
        <v>Southbound</v>
      </c>
      <c r="U96" s="159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13:05:22-0600',mode:absolute,to:'2016-10-06 15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6" s="54" t="str">
        <f t="shared" si="37"/>
        <v>N</v>
      </c>
      <c r="X96" s="164">
        <f t="shared" si="38"/>
        <v>1</v>
      </c>
      <c r="Y96" s="69">
        <f t="shared" si="39"/>
        <v>23.299600000000002</v>
      </c>
      <c r="Z96" s="69">
        <f t="shared" si="47"/>
        <v>1.4999999999999999E-2</v>
      </c>
      <c r="AA96" s="69">
        <f t="shared" si="40"/>
        <v>23.284600000000001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41"/>
        <v>0178-06</v>
      </c>
      <c r="AE96" s="95" t="str">
        <f t="shared" si="42"/>
        <v>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 &amp; aws s3 cp s3://rtdc.mdm.uploadarchive.raw/RTDC4010/ "%USERPROFILE%\AppData\Local\Temp\OnboardLogs"\RTDC4010\2016-10-07 --exclude "*" --recursive --include "*20161007*" &amp; "%USERPROFILE%\Documents\GitHub\mrs-test-scripts\Headless Mode &amp; Sideloading\WalkAndUnGZ.bat" "%USERPROFILE%\AppData\Local\Temp\OnboardLogs"\RTDC4010\2016-10-07</v>
      </c>
      <c r="AF96" s="92" t="str">
        <f t="shared" si="43"/>
        <v>"C:\Program Files (x86)\AstroGrep\AstroGrep.exe" /spath="%USERPROFILE%\AppData\Local\Temp\OnboardLogs" /stypes="app*4010*20161006*" /stext=" 20:.+((SYSTEM_STATE.+slice.+state.+changed )|(ment ac)|(system.+state.+changed )|(\[timeout)|(PRM\|1\|D)|(kpr)|(kdp)|(\|lc)|(penalty))" /e /r /s</v>
      </c>
      <c r="AG96" s="1" t="str">
        <f t="shared" si="44"/>
        <v>EC</v>
      </c>
      <c r="AH96" s="96" t="str">
        <f t="shared" si="45"/>
        <v>"%USERPROFILE%\Documents\GitHub\eaglep3\Utilities\RefineRTDCRunTimes.py" --tripid 178-06 --locoid 4010 --swversion DE.1.0.7.0 --startMP 204:232996 --initTime 2016-10-06T14:05:22 --startdatetime 2016-10-06T14:11:18 --delay 1 --endMP 204:150 --enddatetime 2016-10-06T14:51:35 --enforcementcount 0 &gt;&gt;C:\Users\stu\Documents\GitHub\eaglep3-reporting\EC\2016-10-06-refined-times.txt</v>
      </c>
      <c r="AI96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{"issue":{"subject":"","project_id":79,"tracker_id":40,"status_id":1,"priority_id":2,"assigned_to_id":23,"start_date":"2016-10-06","description":"","custom_fields":[{"id":1,"name":"Subdivision","value":"EC"},{"id":4,"name":"Milepost","value":"0.015"},{"id":17,"name":"Train ID","value":"178-06"},{"id":16,"name":"Locomotive ID","value":"4010"},{"id":130,"name":"Impact","value":""},{"id":150,"name":"Time of Event (Mountain Time)","value":"14:51:35"},{"id":151,"name":"Denver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1" customFormat="1" x14ac:dyDescent="0.25">
      <c r="A97" s="39" t="s">
        <v>512</v>
      </c>
      <c r="B97" s="7">
        <v>4018</v>
      </c>
      <c r="C97" s="24" t="s">
        <v>106</v>
      </c>
      <c r="D97" s="24" t="s">
        <v>202</v>
      </c>
      <c r="E97" s="15">
        <v>42649.560787037037</v>
      </c>
      <c r="F97" s="15">
        <v>42649.563171296293</v>
      </c>
      <c r="G97" s="7">
        <v>1</v>
      </c>
      <c r="H97" s="15" t="s">
        <v>680</v>
      </c>
      <c r="I97" s="15">
        <v>42649.589016203703</v>
      </c>
      <c r="J97" s="7">
        <v>0</v>
      </c>
      <c r="K97" s="117" t="str">
        <f t="shared" si="33"/>
        <v>4017/4018</v>
      </c>
      <c r="L97" s="24" t="str">
        <f>VLOOKUP(A97,'Trips&amp;Operators'!$C$1:$E$10000,3,FALSE)</f>
        <v>NEWELL</v>
      </c>
      <c r="M97" s="6">
        <f t="shared" si="34"/>
        <v>2.584490740991896E-2</v>
      </c>
      <c r="N97" s="7">
        <f t="shared" si="48"/>
        <v>37.216666670283303</v>
      </c>
      <c r="O97" s="7"/>
      <c r="P97" s="7"/>
      <c r="Q97" s="25"/>
      <c r="R97" s="25"/>
      <c r="S97" s="37">
        <f t="shared" si="49"/>
        <v>1</v>
      </c>
      <c r="T97" s="52" t="str">
        <f t="shared" si="35"/>
        <v>NorthBound</v>
      </c>
      <c r="U97" s="159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12:27:32-0600',mode:absolute,to:'2016-10-06 15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7" s="54" t="str">
        <f t="shared" si="37"/>
        <v>N</v>
      </c>
      <c r="X97" s="164">
        <f t="shared" si="38"/>
        <v>1</v>
      </c>
      <c r="Y97" s="69">
        <f t="shared" si="39"/>
        <v>4.5499999999999999E-2</v>
      </c>
      <c r="Z97" s="69">
        <f t="shared" si="47"/>
        <v>23.340299999999999</v>
      </c>
      <c r="AA97" s="69">
        <f t="shared" si="40"/>
        <v>23.294799999999999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41"/>
        <v>0179-06</v>
      </c>
      <c r="AE97" s="95" t="str">
        <f t="shared" si="42"/>
        <v>aws s3 cp s3://rtdc.mdm.uploadarchive.raw/RTDC4018/ "%USERPROFILE%\AppData\Local\Temp\OnboardLogs"\RTDC4018\2016-10-06 --exclude "*" --recursive --include "*20161006*" &amp; "%USERPROFILE%\Documents\GitHub\mrs-test-scripts\Headless Mode &amp; Sideloading\WalkAndUnGZ.bat" "%USERPROFILE%\AppData\Local\Temp\OnboardLogs"\RTDC4018\2016-10-06 &amp; 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</v>
      </c>
      <c r="AF97" s="92" t="str">
        <f t="shared" si="43"/>
        <v>"C:\Program Files (x86)\AstroGrep\AstroGrep.exe" /spath="%USERPROFILE%\AppData\Local\Temp\OnboardLogs" /stypes="app*4018*20161006*" /stext=" 20:.+((SYSTEM_STATE.+slice.+state.+changed )|(ment ac)|(system.+state.+changed )|(\[timeout)|(PRM\|1\|D)|(kpr)|(kdp)|(\|lc)|(penalty))" /e /r /s</v>
      </c>
      <c r="AG97" s="1" t="str">
        <f t="shared" si="44"/>
        <v>EC</v>
      </c>
      <c r="AH97" s="96" t="str">
        <f t="shared" si="45"/>
        <v>"%USERPROFILE%\Documents\GitHub\eaglep3\Utilities\RefineRTDCRunTimes.py" --tripid 179-06 --locoid 4018 --swversion DE.1.0.7.0 --startMP 204:455 --initTime 2016-10-06T13:27:32 --startdatetime 2016-10-06T13:30:58 --delay 1 --endMP 204:233403 --enddatetime 2016-10-06T14:08:11 --enforcementcount 0 &gt;&gt;C:\Users\stu\Documents\GitHub\eaglep3-reporting\EC\2016-10-06-refined-times.txt</v>
      </c>
      <c r="AI97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{"issue":{"subject":"","project_id":79,"tracker_id":40,"status_id":1,"priority_id":2,"assigned_to_id":23,"start_date":"2016-10-06","description":"","custom_fields":[{"id":1,"name":"Subdivision","value":"EC"},{"id":4,"name":"Milepost","value":"23.3403"},{"id":17,"name":"Train ID","value":"179-06"},{"id":16,"name":"Locomotive ID","value":"4018"},{"id":130,"name":"Impact","value":""},{"id":150,"name":"Time of Event (Mountain Time)","value":"14:08:11"},{"id":151,"name":"Denver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1" customFormat="1" x14ac:dyDescent="0.25">
      <c r="A98" s="39" t="s">
        <v>521</v>
      </c>
      <c r="B98" s="7">
        <v>4017</v>
      </c>
      <c r="C98" s="24" t="s">
        <v>106</v>
      </c>
      <c r="D98" s="24" t="s">
        <v>344</v>
      </c>
      <c r="E98" s="15">
        <v>42649.596828703703</v>
      </c>
      <c r="F98" s="15">
        <v>42649.601770833331</v>
      </c>
      <c r="G98" s="7">
        <v>1</v>
      </c>
      <c r="H98" s="15" t="s">
        <v>205</v>
      </c>
      <c r="I98" s="15">
        <v>42649.628472222219</v>
      </c>
      <c r="J98" s="7">
        <v>0</v>
      </c>
      <c r="K98" s="117" t="str">
        <f t="shared" si="33"/>
        <v>4017/4018</v>
      </c>
      <c r="L98" s="24" t="str">
        <f>VLOOKUP(A98,'Trips&amp;Operators'!$C$1:$E$10000,3,FALSE)</f>
        <v>NEWELL</v>
      </c>
      <c r="M98" s="6">
        <f t="shared" si="34"/>
        <v>2.6701388887886424E-2</v>
      </c>
      <c r="N98" s="7">
        <f t="shared" si="48"/>
        <v>38.44999999855645</v>
      </c>
      <c r="O98" s="7"/>
      <c r="P98" s="7"/>
      <c r="Q98" s="25"/>
      <c r="R98" s="25"/>
      <c r="S98" s="37">
        <f t="shared" si="49"/>
        <v>1</v>
      </c>
      <c r="T98" s="52" t="str">
        <f t="shared" si="35"/>
        <v>Southbound</v>
      </c>
      <c r="U98" s="159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13:19:26-0600',mode:absolute,to:'2016-10-06 16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8" s="54" t="str">
        <f t="shared" si="37"/>
        <v>N</v>
      </c>
      <c r="X98" s="164">
        <f t="shared" si="38"/>
        <v>1</v>
      </c>
      <c r="Y98" s="69">
        <f t="shared" si="39"/>
        <v>23.298999999999999</v>
      </c>
      <c r="Z98" s="69">
        <f t="shared" si="47"/>
        <v>1.38E-2</v>
      </c>
      <c r="AA98" s="69">
        <f t="shared" si="40"/>
        <v>23.2852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41"/>
        <v>0180-06</v>
      </c>
      <c r="AE98" s="95" t="str">
        <f t="shared" si="42"/>
        <v>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 &amp; 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</v>
      </c>
      <c r="AF98" s="92" t="str">
        <f t="shared" si="43"/>
        <v>"C:\Program Files (x86)\AstroGrep\AstroGrep.exe" /spath="%USERPROFILE%\AppData\Local\Temp\OnboardLogs" /stypes="app*4017*20161006*" /stext=" 21:.+((SYSTEM_STATE.+slice.+state.+changed )|(ment ac)|(system.+state.+changed )|(\[timeout)|(PRM\|1\|D)|(kpr)|(kdp)|(\|lc)|(penalty))" /e /r /s</v>
      </c>
      <c r="AG98" s="1" t="str">
        <f t="shared" si="44"/>
        <v>EC</v>
      </c>
      <c r="AH98" s="96" t="str">
        <f t="shared" si="45"/>
        <v>"%USERPROFILE%\Documents\GitHub\eaglep3\Utilities\RefineRTDCRunTimes.py" --tripid 180-06 --locoid 4017 --swversion DE.1.0.7.0 --startMP 204:232990 --initTime 2016-10-06T14:19:26 --startdatetime 2016-10-06T14:26:33 --delay 1 --endMP 204:138 --enddatetime 2016-10-06T15:05:00 --enforcementcount 0 &gt;&gt;C:\Users\stu\Documents\GitHub\eaglep3-reporting\EC\2016-10-06-refined-times.txt</v>
      </c>
      <c r="AI98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{"issue":{"subject":"","project_id":79,"tracker_id":40,"status_id":1,"priority_id":2,"assigned_to_id":23,"start_date":"2016-10-06","description":"","custom_fields":[{"id":1,"name":"Subdivision","value":"EC"},{"id":4,"name":"Milepost","value":"0.0138"},{"id":17,"name":"Train ID","value":"180-06"},{"id":16,"name":"Locomotive ID","value":"4017"},{"id":130,"name":"Impact","value":""},{"id":150,"name":"Time of Event (Mountain Time)","value":"15:05:00"},{"id":151,"name":"Denver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514</v>
      </c>
      <c r="B99" s="7">
        <v>4007</v>
      </c>
      <c r="C99" s="24" t="s">
        <v>106</v>
      </c>
      <c r="D99" s="24" t="s">
        <v>203</v>
      </c>
      <c r="E99" s="15">
        <v>42649.568969907406</v>
      </c>
      <c r="F99" s="15">
        <v>42649.573564814818</v>
      </c>
      <c r="G99" s="7">
        <v>2</v>
      </c>
      <c r="H99" s="15" t="s">
        <v>264</v>
      </c>
      <c r="I99" s="15">
        <v>42649.598877314813</v>
      </c>
      <c r="J99" s="7">
        <v>0</v>
      </c>
      <c r="K99" s="117" t="str">
        <f t="shared" si="33"/>
        <v>4007/4008</v>
      </c>
      <c r="L99" s="24" t="str">
        <f>VLOOKUP(A99,'Trips&amp;Operators'!$C$1:$E$10000,3,FALSE)</f>
        <v>HILLS</v>
      </c>
      <c r="M99" s="6">
        <f t="shared" si="34"/>
        <v>2.5312499994470272E-2</v>
      </c>
      <c r="N99" s="7"/>
      <c r="O99" s="7"/>
      <c r="P99" s="7">
        <f>24*60*SUM($M99:$M99)</f>
        <v>36.449999992037192</v>
      </c>
      <c r="Q99" s="25"/>
      <c r="R99" s="25" t="s">
        <v>267</v>
      </c>
      <c r="S99" s="37">
        <f>SUM(U99:U100)/IF(AG99="EC",12,1)</f>
        <v>1</v>
      </c>
      <c r="T99" s="52" t="str">
        <f t="shared" si="35"/>
        <v>NorthBound</v>
      </c>
      <c r="U99" s="159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0</v>
      </c>
      <c r="V99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12:39:19-0600',mode:absolute,to:'2016-10-06 15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9" s="54" t="str">
        <f t="shared" si="37"/>
        <v>Y</v>
      </c>
      <c r="X99" s="164">
        <f t="shared" si="38"/>
        <v>1</v>
      </c>
      <c r="Y99" s="69">
        <f t="shared" si="39"/>
        <v>4.58E-2</v>
      </c>
      <c r="Z99" s="69">
        <f t="shared" si="47"/>
        <v>4.6899999999999997E-2</v>
      </c>
      <c r="AA99" s="69">
        <f t="shared" si="40"/>
        <v>1.0999999999999968E-3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41"/>
        <v>0181-06</v>
      </c>
      <c r="AE99" s="95" t="str">
        <f t="shared" si="42"/>
        <v>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 &amp; 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</v>
      </c>
      <c r="AF99" s="92" t="str">
        <f t="shared" si="43"/>
        <v>"C:\Program Files (x86)\AstroGrep\AstroGrep.exe" /spath="%USERPROFILE%\AppData\Local\Temp\OnboardLogs" /stypes="app*4007*20161006*" /stext=" 20:.+((SYSTEM_STATE.+slice.+state.+changed )|(ment ac)|(system.+state.+changed )|(\[timeout)|(PRM\|1\|D)|(kpr)|(kdp)|(\|lc)|(penalty))" /e /r /s</v>
      </c>
      <c r="AG99" s="1" t="str">
        <f t="shared" si="44"/>
        <v>EC</v>
      </c>
      <c r="AH99" s="96" t="str">
        <f t="shared" si="45"/>
        <v>"%USERPROFILE%\Documents\GitHub\eaglep3\Utilities\RefineRTDCRunTimes.py" --tripid 181-06 --locoid 4007 --swversion DE.1.0.7.0 --startMP 204:458 --initTime 2016-10-06T13:39:19 --startdatetime 2016-10-06T13:45:56 --delay 2 --endMP 204:469 --enddatetime 2016-10-06T14:22:23 --enforcementcount 0 &gt;&gt;C:\Users\stu\Documents\GitHub\eaglep3-reporting\EC\2016-10-06-refined-times.txt</v>
      </c>
      <c r="AI99" s="130" t="str">
        <f t="shared" si="46"/>
        <v>echo {"issue":{"subject":"Onboard in-route failure","project_id":79,"tracker_id":40,"status_id":1,"priority_id":2,"assigned_to_id":23,"start_date":"2016-10-06","description":"Triplex issue - changed primary slice twice in a short timeframe, cause TMDS to send cut out due to conflicting state info","custom_fields":[{"id":1,"name":"Subdivision","value":"EC"},{"id":4,"name":"Milepost","value":"0.0469"},{"id":17,"name":"Train ID","value":"181-06"},{"id":16,"name":"Locomotive ID","value":"4007"},{"id":130,"name":"Impact","value":"Unexpected Cut-Out or Disengaged"},{"id":150,"name":"Time of Event (Mountain Time)","value":"14:22:23"},{"id":151,"name":"Denver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99" s="55" t="s">
        <v>829</v>
      </c>
      <c r="AK99" s="55" t="s">
        <v>140</v>
      </c>
      <c r="AL99" s="55" t="s">
        <v>207</v>
      </c>
    </row>
    <row r="100" spans="1:38" s="23" customFormat="1" x14ac:dyDescent="0.25">
      <c r="A100" s="39" t="s">
        <v>514</v>
      </c>
      <c r="B100" s="7">
        <v>4007</v>
      </c>
      <c r="C100" s="24" t="s">
        <v>106</v>
      </c>
      <c r="D100" s="24" t="s">
        <v>252</v>
      </c>
      <c r="E100" s="15">
        <v>42649.57236111111</v>
      </c>
      <c r="F100" s="15">
        <v>42649.573564814818</v>
      </c>
      <c r="G100" s="7">
        <v>1</v>
      </c>
      <c r="H100" s="15" t="s">
        <v>214</v>
      </c>
      <c r="I100" s="15">
        <v>42649.598877314813</v>
      </c>
      <c r="J100" s="7">
        <v>0</v>
      </c>
      <c r="K100" s="117" t="str">
        <f t="shared" si="33"/>
        <v>4007/4008</v>
      </c>
      <c r="L100" s="24" t="str">
        <f>VLOOKUP(A100,'Trips&amp;Operators'!$C$1:$E$10000,3,FALSE)</f>
        <v>HILLS</v>
      </c>
      <c r="M100" s="6">
        <f t="shared" si="34"/>
        <v>2.5312499994470272E-2</v>
      </c>
      <c r="N100" s="7"/>
      <c r="O100" s="7"/>
      <c r="P100" s="7"/>
      <c r="Q100" s="25"/>
      <c r="R100" s="25"/>
      <c r="S100" s="37"/>
      <c r="T100" s="52" t="str">
        <f t="shared" si="35"/>
        <v>NorthBound</v>
      </c>
      <c r="U100" s="159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12:44:12-0600',mode:absolute,to:'2016-10-06 15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0" s="54" t="str">
        <f t="shared" si="37"/>
        <v>N</v>
      </c>
      <c r="X100" s="164">
        <f t="shared" si="38"/>
        <v>0</v>
      </c>
      <c r="Y100" s="69">
        <f t="shared" si="39"/>
        <v>4.6699999999999998E-2</v>
      </c>
      <c r="Z100" s="69">
        <f t="shared" si="47"/>
        <v>23.331199999999999</v>
      </c>
      <c r="AA100" s="69">
        <f t="shared" si="40"/>
        <v>23.284499999999998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41"/>
        <v>0181-06</v>
      </c>
      <c r="AE100" s="95" t="str">
        <f t="shared" si="42"/>
        <v>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 &amp; 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</v>
      </c>
      <c r="AF100" s="92" t="str">
        <f t="shared" si="43"/>
        <v>"C:\Program Files (x86)\AstroGrep\AstroGrep.exe" /spath="%USERPROFILE%\AppData\Local\Temp\OnboardLogs" /stypes="app*4007*20161006*" /stext=" 20:.+((SYSTEM_STATE.+slice.+state.+changed )|(ment ac)|(system.+state.+changed )|(\[timeout)|(PRM\|1\|D)|(kpr)|(kdp)|(\|lc)|(penalty))" /e /r /s</v>
      </c>
      <c r="AG100" s="1" t="str">
        <f t="shared" si="44"/>
        <v>EC</v>
      </c>
      <c r="AH100" s="96" t="str">
        <f t="shared" si="45"/>
        <v>"%USERPROFILE%\Documents\GitHub\eaglep3\Utilities\RefineRTDCRunTimes.py" --tripid 181-06 --locoid 4007 --swversion DE.1.0.7.0 --startMP 204:467 --initTime 2016-10-06T13:44:12 --startdatetime 2016-10-06T13:45:56 --delay 1 --endMP 204:233312 --enddatetime 2016-10-06T14:22:23 --enforcementcount 0 &gt;&gt;C:\Users\stu\Documents\GitHub\eaglep3-reporting\EC\2016-10-06-refined-times.txt</v>
      </c>
      <c r="AI100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{"issue":{"subject":"","project_id":79,"tracker_id":40,"status_id":1,"priority_id":2,"assigned_to_id":23,"start_date":"2016-10-06","description":"","custom_fields":[{"id":1,"name":"Subdivision","value":"EC"},{"id":4,"name":"Milepost","value":"23.3312"},{"id":17,"name":"Train ID","value":"181-06"},{"id":16,"name":"Locomotive ID","value":"4007"},{"id":130,"name":"Impact","value":""},{"id":150,"name":"Time of Event (Mountain Time)","value":"14:22:23"},{"id":151,"name":"Denver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523</v>
      </c>
      <c r="B101" s="7">
        <v>4008</v>
      </c>
      <c r="C101" s="24" t="s">
        <v>106</v>
      </c>
      <c r="D101" s="24" t="s">
        <v>639</v>
      </c>
      <c r="E101" s="15">
        <v>42649.601979166669</v>
      </c>
      <c r="F101" s="15">
        <v>42649.61204861111</v>
      </c>
      <c r="G101" s="7">
        <v>1</v>
      </c>
      <c r="H101" s="15" t="s">
        <v>353</v>
      </c>
      <c r="I101" s="15">
        <v>42649.638715277775</v>
      </c>
      <c r="J101" s="7">
        <v>0</v>
      </c>
      <c r="K101" s="117" t="str">
        <f t="shared" si="33"/>
        <v>4007/4008</v>
      </c>
      <c r="L101" s="24" t="str">
        <f>VLOOKUP(A101,'Trips&amp;Operators'!$C$1:$E$10000,3,FALSE)</f>
        <v>HILLS</v>
      </c>
      <c r="M101" s="6">
        <f t="shared" si="34"/>
        <v>2.6666666664823424E-2</v>
      </c>
      <c r="N101" s="7">
        <f>24*60*SUM($M101:$M101)</f>
        <v>38.399999997345731</v>
      </c>
      <c r="O101" s="7"/>
      <c r="P101" s="7"/>
      <c r="Q101" s="25"/>
      <c r="R101" s="25"/>
      <c r="S101" s="37">
        <f>SUM(U101:U101)/IF(AG101="EC",12,1)</f>
        <v>1</v>
      </c>
      <c r="T101" s="52" t="str">
        <f t="shared" si="35"/>
        <v>Southbound</v>
      </c>
      <c r="U101" s="159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13:26:51-0600',mode:absolute,to:'2016-10-06 16:19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1" s="54" t="str">
        <f t="shared" si="37"/>
        <v>N</v>
      </c>
      <c r="X101" s="164">
        <f t="shared" si="38"/>
        <v>1</v>
      </c>
      <c r="Y101" s="69">
        <f t="shared" si="39"/>
        <v>23.300799999999999</v>
      </c>
      <c r="Z101" s="69">
        <f t="shared" si="47"/>
        <v>1.6899999999999998E-2</v>
      </c>
      <c r="AA101" s="69">
        <f t="shared" si="40"/>
        <v>23.283899999999999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41"/>
        <v>0182-06</v>
      </c>
      <c r="AE101" s="95" t="str">
        <f t="shared" si="42"/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AF101" s="92" t="str">
        <f t="shared" si="43"/>
        <v>"C:\Program Files (x86)\AstroGrep\AstroGrep.exe" /spath="%USERPROFILE%\AppData\Local\Temp\OnboardLogs" /stypes="app*4008*20161006*" /stext=" 21:.+((SYSTEM_STATE.+slice.+state.+changed )|(ment ac)|(system.+state.+changed )|(\[timeout)|(PRM\|1\|D)|(kpr)|(kdp)|(\|lc)|(penalty))" /e /r /s</v>
      </c>
      <c r="AG101" s="1" t="str">
        <f t="shared" si="44"/>
        <v>EC</v>
      </c>
      <c r="AH101" s="96" t="str">
        <f t="shared" si="45"/>
        <v>"%USERPROFILE%\Documents\GitHub\eaglep3\Utilities\RefineRTDCRunTimes.py" --tripid 182-06 --locoid 4008 --swversion DE.1.0.7.0 --startMP 204:233008 --initTime 2016-10-06T14:26:51 --startdatetime 2016-10-06T14:41:21 --delay 1 --endMP 204:169 --enddatetime 2016-10-06T15:19:45 --enforcementcount 0 &gt;&gt;C:\Users\stu\Documents\GitHub\eaglep3-reporting\EC\2016-10-06-refined-times.txt</v>
      </c>
      <c r="AI101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{"issue":{"subject":"","project_id":79,"tracker_id":40,"status_id":1,"priority_id":2,"assigned_to_id":23,"start_date":"2016-10-06","description":"","custom_fields":[{"id":1,"name":"Subdivision","value":"EC"},{"id":4,"name":"Milepost","value":"0.0169"},{"id":17,"name":"Train ID","value":"182-06"},{"id":16,"name":"Locomotive ID","value":"4008"},{"id":130,"name":"Impact","value":""},{"id":150,"name":"Time of Event (Mountain Time)","value":"15:19:45"},{"id":151,"name":"Denver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517</v>
      </c>
      <c r="B102" s="7">
        <v>4046</v>
      </c>
      <c r="C102" s="24" t="s">
        <v>106</v>
      </c>
      <c r="D102" s="24" t="s">
        <v>255</v>
      </c>
      <c r="E102" s="15">
        <v>42649.580451388887</v>
      </c>
      <c r="F102" s="15">
        <v>42649.58384259259</v>
      </c>
      <c r="G102" s="7">
        <v>1</v>
      </c>
      <c r="H102" s="15" t="s">
        <v>350</v>
      </c>
      <c r="I102" s="15">
        <v>42649.609305555554</v>
      </c>
      <c r="J102" s="7">
        <v>0</v>
      </c>
      <c r="K102" s="117" t="str">
        <f t="shared" si="33"/>
        <v>4045/4046</v>
      </c>
      <c r="L102" s="24" t="str">
        <f>VLOOKUP(A102,'Trips&amp;Operators'!$C$1:$E$10000,3,FALSE)</f>
        <v>CRAYTON</v>
      </c>
      <c r="M102" s="6">
        <f t="shared" si="34"/>
        <v>2.5462962963501923E-2</v>
      </c>
      <c r="N102" s="7">
        <f>24*60*SUM($M102:$M102)</f>
        <v>36.666666667442769</v>
      </c>
      <c r="O102" s="7"/>
      <c r="P102" s="7"/>
      <c r="Q102" s="25"/>
      <c r="R102" s="25"/>
      <c r="S102" s="37">
        <f>SUM(U102:U102)/IF(AG102="EC",12,1)</f>
        <v>1</v>
      </c>
      <c r="T102" s="52" t="str">
        <f t="shared" si="35"/>
        <v>NorthBound</v>
      </c>
      <c r="U102" s="159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12:55:51-0600',mode:absolute,to:'2016-10-06 15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2" s="54" t="str">
        <f t="shared" si="37"/>
        <v>N</v>
      </c>
      <c r="X102" s="164">
        <f t="shared" si="38"/>
        <v>1</v>
      </c>
      <c r="Y102" s="69">
        <f t="shared" si="39"/>
        <v>4.4699999999999997E-2</v>
      </c>
      <c r="Z102" s="69">
        <f t="shared" si="47"/>
        <v>23.330500000000001</v>
      </c>
      <c r="AA102" s="69">
        <f t="shared" si="40"/>
        <v>23.285800000000002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41"/>
        <v>0183-06</v>
      </c>
      <c r="AE102" s="95" t="str">
        <f t="shared" si="42"/>
        <v>aws s3 cp s3://rtdc.mdm.uploadarchive.raw/RTDC4046/ "%USERPROFILE%\AppData\Local\Temp\OnboardLogs"\RTDC4046\2016-10-06 --exclude "*" --recursive --include "*20161006*" &amp; "%USERPROFILE%\Documents\GitHub\mrs-test-scripts\Headless Mode &amp; Sideloading\WalkAndUnGZ.bat" "%USERPROFILE%\AppData\Local\Temp\OnboardLogs"\RTDC4046\2016-10-06 &amp; 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</v>
      </c>
      <c r="AF102" s="92" t="str">
        <f t="shared" si="43"/>
        <v>"C:\Program Files (x86)\AstroGrep\AstroGrep.exe" /spath="%USERPROFILE%\AppData\Local\Temp\OnboardLogs" /stypes="app*4046*20161006*" /stext=" 20:.+((SYSTEM_STATE.+slice.+state.+changed )|(ment ac)|(system.+state.+changed )|(\[timeout)|(PRM\|1\|D)|(kpr)|(kdp)|(\|lc)|(penalty))" /e /r /s</v>
      </c>
      <c r="AG102" s="1" t="str">
        <f t="shared" si="44"/>
        <v>EC</v>
      </c>
      <c r="AH102" s="96" t="str">
        <f t="shared" si="45"/>
        <v>"%USERPROFILE%\Documents\GitHub\eaglep3\Utilities\RefineRTDCRunTimes.py" --tripid 183-06 --locoid 4046 --swversion DE.1.0.7.0 --startMP 204:447 --initTime 2016-10-06T13:55:51 --startdatetime 2016-10-06T14:00:44 --delay 1 --endMP 204:233305 --enddatetime 2016-10-06T14:37:24 --enforcementcount 0 &gt;&gt;C:\Users\stu\Documents\GitHub\eaglep3-reporting\EC\2016-10-06-refined-times.txt</v>
      </c>
      <c r="AI102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{"issue":{"subject":"","project_id":79,"tracker_id":40,"status_id":1,"priority_id":2,"assigned_to_id":23,"start_date":"2016-10-06","description":"","custom_fields":[{"id":1,"name":"Subdivision","value":"EC"},{"id":4,"name":"Milepost","value":"23.3305"},{"id":17,"name":"Train ID","value":"183-06"},{"id":16,"name":"Locomotive ID","value":"4046"},{"id":130,"name":"Impact","value":""},{"id":150,"name":"Time of Event (Mountain Time)","value":"14:37:24"},{"id":151,"name":"Denver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526</v>
      </c>
      <c r="B103" s="7">
        <v>4045</v>
      </c>
      <c r="C103" s="24" t="s">
        <v>106</v>
      </c>
      <c r="D103" s="24" t="s">
        <v>681</v>
      </c>
      <c r="E103" s="15">
        <v>42649.635358796295</v>
      </c>
      <c r="F103" s="15">
        <v>42649.636087962965</v>
      </c>
      <c r="G103" s="7">
        <v>1</v>
      </c>
      <c r="H103" s="15" t="s">
        <v>682</v>
      </c>
      <c r="I103" s="15">
        <v>42649.656840277778</v>
      </c>
      <c r="J103" s="7">
        <v>0</v>
      </c>
      <c r="K103" s="117" t="str">
        <f t="shared" si="33"/>
        <v>4045/4046</v>
      </c>
      <c r="L103" s="24" t="str">
        <f>VLOOKUP(A103,'Trips&amp;Operators'!$C$1:$E$10000,3,FALSE)</f>
        <v>CRAYTON</v>
      </c>
      <c r="M103" s="6">
        <f t="shared" si="34"/>
        <v>2.0752314812853001E-2</v>
      </c>
      <c r="N103" s="7"/>
      <c r="O103" s="7"/>
      <c r="P103" s="7">
        <f>24*60*SUM($M103:$M104)</f>
        <v>58.766666657757014</v>
      </c>
      <c r="Q103" s="25"/>
      <c r="R103" s="25" t="s">
        <v>832</v>
      </c>
      <c r="S103" s="37">
        <f>SUM(U103:U103)/IF(AG103="EC",12,1)</f>
        <v>1</v>
      </c>
      <c r="T103" s="52" t="str">
        <f t="shared" si="35"/>
        <v>Southbound</v>
      </c>
      <c r="U103" s="159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14:14:55-0600',mode:absolute,to:'2016-10-06 16:45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3" s="54" t="str">
        <f t="shared" si="37"/>
        <v>Y</v>
      </c>
      <c r="X103" s="164">
        <f t="shared" si="38"/>
        <v>1</v>
      </c>
      <c r="Y103" s="69">
        <f t="shared" si="39"/>
        <v>15.4016</v>
      </c>
      <c r="Z103" s="69">
        <f t="shared" si="47"/>
        <v>2.6499999999999999E-2</v>
      </c>
      <c r="AA103" s="69">
        <f t="shared" si="40"/>
        <v>15.3751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41"/>
        <v>0184-06</v>
      </c>
      <c r="AE103" s="95" t="str">
        <f t="shared" si="42"/>
        <v>aws s3 cp s3://rtdc.mdm.uploadarchive.raw/RTDC4045/ "%USERPROFILE%\AppData\Local\Temp\OnboardLogs"\RTDC4045\2016-10-06 --exclude "*" --recursive --include "*20161006*" &amp; "%USERPROFILE%\Documents\GitHub\mrs-test-scripts\Headless Mode &amp; Sideloading\WalkAndUnGZ.bat" "%USERPROFILE%\AppData\Local\Temp\OnboardLogs"\RTDC4045\2016-10-06 &amp; 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</v>
      </c>
      <c r="AF103" s="92" t="str">
        <f t="shared" si="43"/>
        <v>"C:\Program Files (x86)\AstroGrep\AstroGrep.exe" /spath="%USERPROFILE%\AppData\Local\Temp\OnboardLogs" /stypes="app*4045*20161006*" /stext=" 21:.+((SYSTEM_STATE.+slice.+state.+changed )|(ment ac)|(system.+state.+changed )|(\[timeout)|(PRM\|1\|D)|(kpr)|(kdp)|(\|lc)|(penalty))" /e /r /s</v>
      </c>
      <c r="AG103" s="1" t="str">
        <f t="shared" si="44"/>
        <v>EC</v>
      </c>
      <c r="AH103" s="96" t="str">
        <f t="shared" si="45"/>
        <v>"%USERPROFILE%\Documents\GitHub\eaglep3\Utilities\RefineRTDCRunTimes.py" --tripid 184-06 --locoid 4045 --swversion DE.1.0.7.0 --startMP 204:154016 --initTime 2016-10-06T15:14:55 --startdatetime 2016-10-06T15:15:58 --delay 1 --endMP 204:265 --enddatetime 2016-10-06T15:45:51 --enforcementcount 0 &gt;&gt;C:\Users\stu\Documents\GitHub\eaglep3-reporting\EC\2016-10-06-refined-times.txt</v>
      </c>
      <c r="AI103" s="130" t="str">
        <f t="shared" si="46"/>
        <v>echo {"issue":{"subject":"CP 61st ELXS failure","project_id":79,"tracker_id":40,"status_id":1,"priority_id":2,"assigned_to_id":23,"start_date":"2016-10-06","description":"","custom_fields":[{"id":1,"name":"Subdivision","value":"EC"},{"id":4,"name":"Milepost","value":"0.0265"},{"id":17,"name":"Train ID","value":"184-06"},{"id":16,"name":"Locomotive ID","value":"4045"},{"id":130,"name":"Impact","value":""},{"id":150,"name":"Time of Event (Mountain Time)","value":"15:45:51"},{"id":151,"name":"Denver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526</v>
      </c>
      <c r="B104" s="7">
        <v>4045</v>
      </c>
      <c r="C104" s="24" t="s">
        <v>106</v>
      </c>
      <c r="D104" s="24" t="s">
        <v>646</v>
      </c>
      <c r="E104" s="15">
        <v>42649.611840277779</v>
      </c>
      <c r="F104" s="15">
        <v>42649.612708333334</v>
      </c>
      <c r="G104" s="7">
        <v>1</v>
      </c>
      <c r="H104" s="15" t="s">
        <v>683</v>
      </c>
      <c r="I104" s="15">
        <v>42649.6327662037</v>
      </c>
      <c r="J104" s="7">
        <v>0</v>
      </c>
      <c r="K104" s="117" t="str">
        <f t="shared" si="33"/>
        <v>4045/4046</v>
      </c>
      <c r="L104" s="24" t="str">
        <f>VLOOKUP(A104,'Trips&amp;Operators'!$C$1:$E$10000,3,FALSE)</f>
        <v>CRAYTON</v>
      </c>
      <c r="M104" s="6">
        <f t="shared" si="34"/>
        <v>2.0057870366144925E-2</v>
      </c>
      <c r="N104" s="7"/>
      <c r="O104" s="7"/>
      <c r="P104" s="7"/>
      <c r="Q104" s="25"/>
      <c r="R104" s="25"/>
      <c r="S104" s="37"/>
      <c r="T104" s="52" t="str">
        <f t="shared" si="35"/>
        <v>Southbound</v>
      </c>
      <c r="U104" s="159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0</v>
      </c>
      <c r="V104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13:41:03-0600',mode:absolute,to:'2016-10-06 16:11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4" s="54" t="str">
        <f t="shared" si="37"/>
        <v>Y</v>
      </c>
      <c r="X104" s="164">
        <f t="shared" si="38"/>
        <v>0</v>
      </c>
      <c r="Y104" s="69">
        <f t="shared" si="39"/>
        <v>23.2971</v>
      </c>
      <c r="Z104" s="69">
        <f t="shared" si="47"/>
        <v>15.798299999999999</v>
      </c>
      <c r="AA104" s="69">
        <f t="shared" si="40"/>
        <v>7.498800000000001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41"/>
        <v>0184-06</v>
      </c>
      <c r="AE104" s="95" t="str">
        <f t="shared" si="42"/>
        <v>aws s3 cp s3://rtdc.mdm.uploadarchive.raw/RTDC4045/ "%USERPROFILE%\AppData\Local\Temp\OnboardLogs"\RTDC4045\2016-10-06 --exclude "*" --recursive --include "*20161006*" &amp; "%USERPROFILE%\Documents\GitHub\mrs-test-scripts\Headless Mode &amp; Sideloading\WalkAndUnGZ.bat" "%USERPROFILE%\AppData\Local\Temp\OnboardLogs"\RTDC4045\2016-10-06 &amp; 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</v>
      </c>
      <c r="AF104" s="92" t="str">
        <f t="shared" si="43"/>
        <v>"C:\Program Files (x86)\AstroGrep\AstroGrep.exe" /spath="%USERPROFILE%\AppData\Local\Temp\OnboardLogs" /stypes="app*4045*20161006*" /stext=" 21:.+((SYSTEM_STATE.+slice.+state.+changed )|(ment ac)|(system.+state.+changed )|(\[timeout)|(PRM\|1\|D)|(kpr)|(kdp)|(\|lc)|(penalty))" /e /r /s</v>
      </c>
      <c r="AG104" s="1" t="str">
        <f t="shared" si="44"/>
        <v>EC</v>
      </c>
      <c r="AH104" s="96" t="str">
        <f t="shared" si="45"/>
        <v>"%USERPROFILE%\Documents\GitHub\eaglep3\Utilities\RefineRTDCRunTimes.py" --tripid 184-06 --locoid 4045 --swversion DE.1.0.7.0 --startMP 204:232971 --initTime 2016-10-06T14:41:03 --startdatetime 2016-10-06T14:42:18 --delay 1 --endMP 204:157983 --enddatetime 2016-10-06T15:11:11 --enforcementcount 0 &gt;&gt;C:\Users\stu\Documents\GitHub\eaglep3-reporting\EC\2016-10-06-refined-times.txt</v>
      </c>
      <c r="AI104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{"issue":{"subject":"","project_id":79,"tracker_id":40,"status_id":1,"priority_id":2,"assigned_to_id":23,"start_date":"2016-10-06","description":"","custom_fields":[{"id":1,"name":"Subdivision","value":"EC"},{"id":4,"name":"Milepost","value":"15.7983"},{"id":17,"name":"Train ID","value":"184-06"},{"id":16,"name":"Locomotive ID","value":"4045"},{"id":130,"name":"Impact","value":""},{"id":150,"name":"Time of Event (Mountain Time)","value":"15:11:11"},{"id":151,"name":"Denver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519</v>
      </c>
      <c r="B105" s="7">
        <v>4031</v>
      </c>
      <c r="C105" s="24" t="s">
        <v>106</v>
      </c>
      <c r="D105" s="24" t="s">
        <v>206</v>
      </c>
      <c r="E105" s="15">
        <v>42649.593645833331</v>
      </c>
      <c r="F105" s="15">
        <v>42649.594675925924</v>
      </c>
      <c r="G105" s="7">
        <v>1</v>
      </c>
      <c r="H105" s="15" t="s">
        <v>262</v>
      </c>
      <c r="I105" s="15">
        <v>42649.619409722225</v>
      </c>
      <c r="J105" s="7">
        <v>0</v>
      </c>
      <c r="K105" s="117" t="str">
        <f t="shared" si="33"/>
        <v>4031/4032</v>
      </c>
      <c r="L105" s="24" t="str">
        <f>VLOOKUP(A105,'Trips&amp;Operators'!$C$1:$E$10000,3,FALSE)</f>
        <v>STORY</v>
      </c>
      <c r="M105" s="6">
        <f t="shared" si="34"/>
        <v>2.4733796301006805E-2</v>
      </c>
      <c r="N105" s="7">
        <f>24*60*SUM($M105:$M105)</f>
        <v>35.616666673449799</v>
      </c>
      <c r="O105" s="7"/>
      <c r="P105" s="7"/>
      <c r="Q105" s="25"/>
      <c r="R105" s="25"/>
      <c r="S105" s="37">
        <f>SUM(U105:U105)/IF(AG105="EC",12,1)</f>
        <v>1</v>
      </c>
      <c r="T105" s="52" t="str">
        <f t="shared" si="35"/>
        <v>NorthBound</v>
      </c>
      <c r="U105" s="159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13:14:51-0600',mode:absolute,to:'2016-10-06 15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5" s="54" t="str">
        <f t="shared" si="37"/>
        <v>N</v>
      </c>
      <c r="X105" s="164">
        <f t="shared" si="38"/>
        <v>1</v>
      </c>
      <c r="Y105" s="69">
        <f t="shared" si="39"/>
        <v>4.6199999999999998E-2</v>
      </c>
      <c r="Z105" s="69">
        <f t="shared" si="47"/>
        <v>23.329699999999999</v>
      </c>
      <c r="AA105" s="69">
        <f t="shared" si="40"/>
        <v>23.2835</v>
      </c>
      <c r="AB105" s="66" t="str">
        <f>VLOOKUP(A105,Enforcements!$C$7:$K$21,8,0)</f>
        <v>Bulletin (2)</v>
      </c>
      <c r="AC105" s="62" t="str">
        <f>VLOOKUP(A105,Enforcements!$C$7:$E$21,3,0)</f>
        <v>GRADE CROSSING</v>
      </c>
      <c r="AD105" s="63" t="str">
        <f t="shared" si="41"/>
        <v>0185-06</v>
      </c>
      <c r="AE105" s="95" t="str">
        <f t="shared" si="42"/>
        <v>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 &amp; aws s3 cp s3://rtdc.mdm.uploadarchive.raw/RTDC4031/ "%USERPROFILE%\AppData\Local\Temp\OnboardLogs"\RTDC4031\2016-10-07 --exclude "*" --recursive --include "*20161007*" &amp; "%USERPROFILE%\Documents\GitHub\mrs-test-scripts\Headless Mode &amp; Sideloading\WalkAndUnGZ.bat" "%USERPROFILE%\AppData\Local\Temp\OnboardLogs"\RTDC4031\2016-10-07</v>
      </c>
      <c r="AF105" s="92" t="str">
        <f t="shared" si="43"/>
        <v>"C:\Program Files (x86)\AstroGrep\AstroGrep.exe" /spath="%USERPROFILE%\AppData\Local\Temp\OnboardLogs" /stypes="app*4031*20161006*" /stext=" 20:.+((SYSTEM_STATE.+slice.+state.+changed )|(ment ac)|(system.+state.+changed )|(\[timeout)|(PRM\|1\|D)|(kpr)|(kdp)|(\|lc)|(penalty))" /e /r /s</v>
      </c>
      <c r="AG105" s="1" t="str">
        <f t="shared" si="44"/>
        <v>EC</v>
      </c>
      <c r="AH105" s="96" t="str">
        <f t="shared" si="45"/>
        <v>"%USERPROFILE%\Documents\GitHub\eaglep3\Utilities\RefineRTDCRunTimes.py" --tripid 185-06 --locoid 4031 --swversion DE.1.0.7.0 --startMP 204:462 --initTime 2016-10-06T14:14:51 --startdatetime 2016-10-06T14:16:20 --delay 1 --endMP 204:233297 --enddatetime 2016-10-06T14:51:57 --enforcementcount 0 &gt;&gt;C:\Users\stu\Documents\GitHub\eaglep3-reporting\EC\2016-10-06-refined-times.txt</v>
      </c>
      <c r="AI105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{"issue":{"subject":"","project_id":79,"tracker_id":40,"status_id":1,"priority_id":2,"assigned_to_id":23,"start_date":"2016-10-06","description":"","custom_fields":[{"id":1,"name":"Subdivision","value":"EC"},{"id":4,"name":"Milepost","value":"23.3297"},{"id":17,"name":"Train ID","value":"185-06"},{"id":16,"name":"Locomotive ID","value":"4031"},{"id":130,"name":"Impact","value":""},{"id":150,"name":"Time of Event (Mountain Time)","value":"14:51:57"},{"id":151,"name":"Denver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529</v>
      </c>
      <c r="B106" s="7">
        <v>4032</v>
      </c>
      <c r="C106" s="24" t="s">
        <v>106</v>
      </c>
      <c r="D106" s="24" t="s">
        <v>684</v>
      </c>
      <c r="E106" s="15">
        <v>42649.644652777781</v>
      </c>
      <c r="F106" s="15">
        <v>42649.64539351852</v>
      </c>
      <c r="G106" s="7">
        <v>1</v>
      </c>
      <c r="H106" s="15" t="s">
        <v>685</v>
      </c>
      <c r="I106" s="15">
        <v>42649.665138888886</v>
      </c>
      <c r="J106" s="7">
        <v>1</v>
      </c>
      <c r="K106" s="117" t="str">
        <f t="shared" si="33"/>
        <v>4031/4032</v>
      </c>
      <c r="L106" s="24" t="str">
        <f>VLOOKUP(A106,'Trips&amp;Operators'!$C$1:$E$10000,3,FALSE)</f>
        <v>STORY</v>
      </c>
      <c r="M106" s="6">
        <f t="shared" si="34"/>
        <v>1.9745370365853887E-2</v>
      </c>
      <c r="N106" s="7"/>
      <c r="O106" s="7"/>
      <c r="P106" s="7">
        <f>24*60*SUM($M106:$M107)</f>
        <v>42.899999991059303</v>
      </c>
      <c r="Q106" s="25"/>
      <c r="R106" s="25" t="s">
        <v>832</v>
      </c>
      <c r="S106" s="37">
        <f>SUM(U106:U106)/IF(AG106="EC",12,1)</f>
        <v>1</v>
      </c>
      <c r="T106" s="52" t="str">
        <f t="shared" si="35"/>
        <v>Southbound</v>
      </c>
      <c r="U106" s="159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14:28:18-0600',mode:absolute,to:'2016-10-06 16:57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6" s="54" t="str">
        <f t="shared" si="37"/>
        <v>Y</v>
      </c>
      <c r="X106" s="164">
        <f t="shared" si="38"/>
        <v>1</v>
      </c>
      <c r="Y106" s="69">
        <f t="shared" si="39"/>
        <v>12.7874</v>
      </c>
      <c r="Z106" s="69">
        <f t="shared" si="47"/>
        <v>2.3099999999999999E-2</v>
      </c>
      <c r="AA106" s="69">
        <f t="shared" si="40"/>
        <v>12.7643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41"/>
        <v>0186-06</v>
      </c>
      <c r="AE106" s="95" t="str">
        <f t="shared" si="42"/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AF106" s="92" t="str">
        <f t="shared" si="43"/>
        <v>"C:\Program Files (x86)\AstroGrep\AstroGrep.exe" /spath="%USERPROFILE%\AppData\Local\Temp\OnboardLogs" /stypes="app*4032*20161006*" /stext=" 21:.+((SYSTEM_STATE.+slice.+state.+changed )|(ment ac)|(system.+state.+changed )|(\[timeout)|(PRM\|1\|D)|(kpr)|(kdp)|(\|lc)|(penalty))" /e /r /s</v>
      </c>
      <c r="AG106" s="1" t="str">
        <f t="shared" si="44"/>
        <v>EC</v>
      </c>
      <c r="AH106" s="96" t="str">
        <f t="shared" si="45"/>
        <v>"%USERPROFILE%\Documents\GitHub\eaglep3\Utilities\RefineRTDCRunTimes.py" --tripid 186-06 --locoid 4032 --swversion DE.1.0.7.0 --startMP 204:127874 --initTime 2016-10-06T15:28:18 --startdatetime 2016-10-06T15:29:22 --delay 1 --endMP 204:231 --enddatetime 2016-10-06T15:57:48 --enforcementcount 1 &gt;&gt;C:\Users\stu\Documents\GitHub\eaglep3-reporting\EC\2016-10-06-refined-times.txt</v>
      </c>
      <c r="AI106" s="130" t="str">
        <f t="shared" si="46"/>
        <v>echo {"issue":{"subject":"CP 61st ELXS failure","project_id":79,"tracker_id":40,"status_id":1,"priority_id":2,"assigned_to_id":23,"start_date":"2016-10-06","description":"","custom_fields":[{"id":1,"name":"Subdivision","value":"EC"},{"id":4,"name":"Milepost","value":"0.0231"},{"id":17,"name":"Train ID","value":"186-06"},{"id":16,"name":"Locomotive ID","value":"4032"},{"id":130,"name":"Impact","value":""},{"id":150,"name":"Time of Event (Mountain Time)","value":"15:57:48"},{"id":151,"name":"Denver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529</v>
      </c>
      <c r="B107" s="7">
        <v>4032</v>
      </c>
      <c r="C107" s="24" t="s">
        <v>106</v>
      </c>
      <c r="D107" s="24" t="s">
        <v>221</v>
      </c>
      <c r="E107" s="15">
        <v>42649.628611111111</v>
      </c>
      <c r="F107" s="15">
        <v>42649.629861111112</v>
      </c>
      <c r="G107" s="7">
        <v>1</v>
      </c>
      <c r="H107" s="15" t="s">
        <v>686</v>
      </c>
      <c r="I107" s="15">
        <v>42649.639907407407</v>
      </c>
      <c r="J107" s="7">
        <v>0</v>
      </c>
      <c r="K107" s="117" t="str">
        <f t="shared" si="33"/>
        <v>4031/4032</v>
      </c>
      <c r="L107" s="24" t="str">
        <f>VLOOKUP(A107,'Trips&amp;Operators'!$C$1:$E$10000,3,FALSE)</f>
        <v>STORY</v>
      </c>
      <c r="M107" s="6">
        <f t="shared" si="34"/>
        <v>1.0046296294603962E-2</v>
      </c>
      <c r="N107" s="7"/>
      <c r="O107" s="7"/>
      <c r="P107" s="7"/>
      <c r="Q107" s="25"/>
      <c r="R107" s="25"/>
      <c r="S107" s="37"/>
      <c r="T107" s="52" t="str">
        <f t="shared" si="35"/>
        <v>Southbound</v>
      </c>
      <c r="U107" s="159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0</v>
      </c>
      <c r="V107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14:05:12-0600',mode:absolute,to:'2016-10-06 16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7" s="54" t="str">
        <f t="shared" si="37"/>
        <v>Y</v>
      </c>
      <c r="X107" s="164">
        <f t="shared" si="38"/>
        <v>0</v>
      </c>
      <c r="Y107" s="69">
        <f t="shared" si="39"/>
        <v>23.297699999999999</v>
      </c>
      <c r="Z107" s="69">
        <f t="shared" si="47"/>
        <v>15.818199999999999</v>
      </c>
      <c r="AA107" s="69">
        <f t="shared" si="40"/>
        <v>7.4794999999999998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41"/>
        <v>0186-06</v>
      </c>
      <c r="AE107" s="95" t="str">
        <f t="shared" si="42"/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AF107" s="92" t="str">
        <f t="shared" si="43"/>
        <v>"C:\Program Files (x86)\AstroGrep\AstroGrep.exe" /spath="%USERPROFILE%\AppData\Local\Temp\OnboardLogs" /stypes="app*4032*20161006*" /stext=" 21:.+((SYSTEM_STATE.+slice.+state.+changed )|(ment ac)|(system.+state.+changed )|(\[timeout)|(PRM\|1\|D)|(kpr)|(kdp)|(\|lc)|(penalty))" /e /r /s</v>
      </c>
      <c r="AG107" s="1" t="str">
        <f t="shared" si="44"/>
        <v>EC</v>
      </c>
      <c r="AH107" s="96" t="str">
        <f t="shared" si="45"/>
        <v>"%USERPROFILE%\Documents\GitHub\eaglep3\Utilities\RefineRTDCRunTimes.py" --tripid 186-06 --locoid 4032 --swversion DE.1.0.7.0 --startMP 204:232977 --initTime 2016-10-06T15:05:12 --startdatetime 2016-10-06T15:07:00 --delay 1 --endMP 204:158182 --enddatetime 2016-10-06T15:21:28 --enforcementcount 0 &gt;&gt;C:\Users\stu\Documents\GitHub\eaglep3-reporting\EC\2016-10-06-refined-times.txt</v>
      </c>
      <c r="AI107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{"issue":{"subject":"","project_id":79,"tracker_id":40,"status_id":1,"priority_id":2,"assigned_to_id":23,"start_date":"2016-10-06","description":"","custom_fields":[{"id":1,"name":"Subdivision","value":"EC"},{"id":4,"name":"Milepost","value":"15.8182"},{"id":17,"name":"Train ID","value":"186-06"},{"id":16,"name":"Locomotive ID","value":"4032"},{"id":130,"name":"Impact","value":""},{"id":150,"name":"Time of Event (Mountain Time)","value":"15:21:28"},{"id":151,"name":"Denver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522</v>
      </c>
      <c r="B108" s="7">
        <v>4027</v>
      </c>
      <c r="C108" s="24" t="s">
        <v>106</v>
      </c>
      <c r="D108" s="24" t="s">
        <v>220</v>
      </c>
      <c r="E108" s="15">
        <v>42649.59884259259</v>
      </c>
      <c r="F108" s="15">
        <v>42649.604363425926</v>
      </c>
      <c r="G108" s="7">
        <v>1</v>
      </c>
      <c r="H108" s="15" t="s">
        <v>227</v>
      </c>
      <c r="I108" s="15">
        <v>42649.630613425928</v>
      </c>
      <c r="J108" s="7">
        <v>0</v>
      </c>
      <c r="K108" s="117" t="str">
        <f t="shared" si="33"/>
        <v>4027/4028</v>
      </c>
      <c r="L108" s="24" t="str">
        <f>VLOOKUP(A108,'Trips&amp;Operators'!$C$1:$E$10000,3,FALSE)</f>
        <v>BONDS</v>
      </c>
      <c r="M108" s="6">
        <f t="shared" si="34"/>
        <v>2.6250000002619345E-2</v>
      </c>
      <c r="N108" s="7">
        <f>24*60*SUM($M108:$M108)</f>
        <v>37.800000003771856</v>
      </c>
      <c r="O108" s="7"/>
      <c r="P108" s="7"/>
      <c r="Q108" s="25"/>
      <c r="R108" s="25"/>
      <c r="S108" s="37">
        <f>SUM(U108:U108)/IF(AG108="EC",12,1)</f>
        <v>1</v>
      </c>
      <c r="T108" s="52" t="str">
        <f t="shared" si="35"/>
        <v>NorthBound</v>
      </c>
      <c r="U108" s="159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2" t="str">
        <f t="shared" si="36"/>
        <v>https://search-rtdc-monitor-bjffxe2xuh6vdkpspy63sjmuny.us-east-1.es.amazonaws.com/_plugin/kibana/#/discover/Steve-Slow-Train-Analysis-(2080s-and-2083s)?_g=(refreshInterval:(display:Off,section:0,value:0),time:(from:'2016-10-06 13:22:20-0600',mode:absolute,to:'2016-10-06 16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8" s="54" t="str">
        <f t="shared" si="37"/>
        <v>N</v>
      </c>
      <c r="X108" s="164">
        <f t="shared" si="38"/>
        <v>1</v>
      </c>
      <c r="Y108" s="69">
        <f t="shared" si="39"/>
        <v>4.6399999999999997E-2</v>
      </c>
      <c r="Z108" s="69">
        <f t="shared" si="47"/>
        <v>23.3293</v>
      </c>
      <c r="AA108" s="69">
        <f t="shared" si="40"/>
        <v>23.282900000000001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41"/>
        <v>0187-06</v>
      </c>
      <c r="AE108" s="95" t="str">
        <f t="shared" si="42"/>
        <v>aws s3 cp s3://rtdc.mdm.uploadarchive.raw/RTDC4027/ "%USERPROFILE%\AppData\Local\Temp\OnboardLogs"\RTDC4027\2016-10-06 --exclude "*" --recursive --include "*20161006*" &amp; "%USERPROFILE%\Documents\GitHub\mrs-test-scripts\Headless Mode &amp; Sideloading\WalkAndUnGZ.bat" "%USERPROFILE%\AppData\Local\Temp\OnboardLogs"\RTDC4027\2016-10-06 &amp; aws s3 cp s3://rtdc.mdm.uploadarchive.raw/RTDC4027/ "%USERPROFILE%\AppData\Local\Temp\OnboardLogs"\RTDC4027\2016-10-07 --exclude "*" --recursive --include "*20161007*" &amp; "%USERPROFILE%\Documents\GitHub\mrs-test-scripts\Headless Mode &amp; Sideloading\WalkAndUnGZ.bat" "%USERPROFILE%\AppData\Local\Temp\OnboardLogs"\RTDC4027\2016-10-07</v>
      </c>
      <c r="AF108" s="92" t="str">
        <f t="shared" si="43"/>
        <v>"C:\Program Files (x86)\AstroGrep\AstroGrep.exe" /spath="%USERPROFILE%\AppData\Local\Temp\OnboardLogs" /stypes="app*4027*20161006*" /stext=" 21:.+((SYSTEM_STATE.+slice.+state.+changed )|(ment ac)|(system.+state.+changed )|(\[timeout)|(PRM\|1\|D)|(kpr)|(kdp)|(\|lc)|(penalty))" /e /r /s</v>
      </c>
      <c r="AG108" s="1" t="str">
        <f t="shared" si="44"/>
        <v>EC</v>
      </c>
      <c r="AH108" s="96" t="str">
        <f t="shared" si="45"/>
        <v>"%USERPROFILE%\Documents\GitHub\eaglep3\Utilities\RefineRTDCRunTimes.py" --tripid 187-06 --locoid 4027 --swversion DE.1.0.7.0 --startMP 204:464 --initTime 2016-10-06T14:22:20 --startdatetime 2016-10-06T14:30:17 --delay 1 --endMP 204:233293 --enddatetime 2016-10-06T15:08:05 --enforcementcount 0 &gt;&gt;C:\Users\stu\Documents\GitHub\eaglep3-reporting\EC\2016-10-06-refined-times.txt</v>
      </c>
      <c r="AI108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{"issue":{"subject":"","project_id":79,"tracker_id":40,"status_id":1,"priority_id":2,"assigned_to_id":23,"start_date":"2016-10-06","description":"","custom_fields":[{"id":1,"name":"Subdivision","value":"EC"},{"id":4,"name":"Milepost","value":"23.3293"},{"id":17,"name":"Train ID","value":"187-06"},{"id":16,"name":"Locomotive ID","value":"4027"},{"id":130,"name":"Impact","value":""},{"id":150,"name":"Time of Event (Mountain Time)","value":"15:08:05"},{"id":151,"name":"Denver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531</v>
      </c>
      <c r="B109" s="7">
        <v>4028</v>
      </c>
      <c r="C109" s="24" t="s">
        <v>106</v>
      </c>
      <c r="D109" s="24" t="s">
        <v>687</v>
      </c>
      <c r="E109" s="15">
        <v>42649.65488425926</v>
      </c>
      <c r="F109" s="15">
        <v>42649.655532407407</v>
      </c>
      <c r="G109" s="7">
        <v>0</v>
      </c>
      <c r="H109" s="15" t="s">
        <v>209</v>
      </c>
      <c r="I109" s="15">
        <v>42649.672789351855</v>
      </c>
      <c r="J109" s="7">
        <v>0</v>
      </c>
      <c r="K109" s="117" t="str">
        <f t="shared" ref="K109:K140" si="50">IF(ISEVEN(B109),(B109-1)&amp;"/"&amp;B109,B109&amp;"/"&amp;(B109+1))</f>
        <v>4027/4028</v>
      </c>
      <c r="L109" s="24" t="str">
        <f>VLOOKUP(A109,'Trips&amp;Operators'!$C$1:$E$10000,3,FALSE)</f>
        <v>BONDS</v>
      </c>
      <c r="M109" s="6">
        <f t="shared" ref="M109:M140" si="51">I109-F109</f>
        <v>1.7256944447581191E-2</v>
      </c>
      <c r="N109" s="7"/>
      <c r="O109" s="7"/>
      <c r="P109" s="7">
        <f>24*60*SUM($M109:$M110)</f>
        <v>47.450000006938353</v>
      </c>
      <c r="Q109" s="25"/>
      <c r="R109" s="25" t="s">
        <v>832</v>
      </c>
      <c r="S109" s="37">
        <f>SUM(U109:U109)/IF(AG109="EC",12,1)</f>
        <v>1</v>
      </c>
      <c r="T109" s="52" t="str">
        <f t="shared" si="35"/>
        <v>Southbound</v>
      </c>
      <c r="U109" s="159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2" t="str">
        <f t="shared" ref="V109:V140" si="52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https://search-rtdc-monitor-bjffxe2xuh6vdkpspy63sjmuny.us-east-1.es.amazonaws.com/_plugin/kibana/#/discover/Steve-Slow-Train-Analysis-(2080s-and-2083s)?_g=(refreshInterval:(display:Off,section:0,value:0),time:(from:'2016-10-06 14:43:02-0600',mode:absolute,to:'2016-10-06 17:08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9" s="54" t="str">
        <f t="shared" ref="W109:W140" si="53">IF(AA109&lt;IF(AG109="EC",23,5.65),"Y","N")</f>
        <v>Y</v>
      </c>
      <c r="X109" s="164">
        <f t="shared" ref="X109:X140" si="54">VALUE(LEFT(AD109,4))-VALUE(LEFT(AD108,4))</f>
        <v>1</v>
      </c>
      <c r="Y109" s="69">
        <f t="shared" ref="Y109:Y140" si="55">RIGHT(D109,LEN(D109)-4)/10000</f>
        <v>12.7858</v>
      </c>
      <c r="Z109" s="69">
        <f t="shared" si="47"/>
        <v>1.5599999999999999E-2</v>
      </c>
      <c r="AA109" s="69">
        <f t="shared" ref="AA109:AA140" si="56">ABS(Z109-Y109)</f>
        <v>12.770200000000001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41"/>
        <v>0188-06</v>
      </c>
      <c r="AE109" s="95" t="str">
        <f t="shared" ref="AE109:AE140" si="57"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 &amp; aws s3 cp s3://rtdc.mdm.uploadarchive.raw/RTDC4028/ "%USERPROFILE%\AppData\Local\Temp\OnboardLogs"\RTDC4028\2016-10-07 --exclude "*" --recursive --include "*20161007*" &amp; "%USERPROFILE%\Documents\GitHub\mrs-test-scripts\Headless Mode &amp; Sideloading\WalkAndUnGZ.bat" "%USERPROFILE%\AppData\Local\Temp\OnboardLogs"\RTDC4028\2016-10-07</v>
      </c>
      <c r="AF109" s="92" t="str">
        <f t="shared" ref="AF109:AF140" si="58"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/stypes="app*4028*20161006*" /stext=" 22:.+((SYSTEM_STATE.+slice.+state.+changed )|(ment ac)|(system.+state.+changed )|(\[timeout)|(PRM\|1\|D)|(kpr)|(kdp)|(\|lc)|(penalty))" /e /r /s</v>
      </c>
      <c r="AG109" s="1" t="str">
        <f t="shared" si="44"/>
        <v>EC</v>
      </c>
      <c r="AH109" s="96" t="str">
        <f t="shared" si="45"/>
        <v>"%USERPROFILE%\Documents\GitHub\eaglep3\Utilities\RefineRTDCRunTimes.py" --tripid 188-06 --locoid 4028 --swversion DE.1.0.7.0 --startMP 204:127858 --initTime 2016-10-06T15:43:02 --startdatetime 2016-10-06T15:43:58 --delay 0 --endMP 204:156 --enddatetime 2016-10-06T16:08:49 --enforcementcount 0 &gt;&gt;C:\Users\stu\Documents\GitHub\eaglep3-reporting\EC\2016-10-06-refined-times.txt</v>
      </c>
      <c r="AI109" s="130" t="str">
        <f t="shared" si="46"/>
        <v>echo {"issue":{"subject":"CP 61st ELXS failure","project_id":79,"tracker_id":40,"status_id":1,"priority_id":2,"assigned_to_id":23,"start_date":"2016-10-06","description":"","custom_fields":[{"id":1,"name":"Subdivision","value":"EC"},{"id":4,"name":"Milepost","value":"0.0156"},{"id":17,"name":"Train ID","value":"188-06"},{"id":16,"name":"Locomotive ID","value":"4028"},{"id":130,"name":"Impact","value":""},{"id":150,"name":"Time of Event (Mountain Time)","value":"16:08:49"},{"id":151,"name":"Denver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531</v>
      </c>
      <c r="B110" s="7">
        <v>4028</v>
      </c>
      <c r="C110" s="24" t="s">
        <v>106</v>
      </c>
      <c r="D110" s="24" t="s">
        <v>221</v>
      </c>
      <c r="E110" s="15">
        <v>42649.633773148147</v>
      </c>
      <c r="F110" s="15">
        <v>42649.635555555556</v>
      </c>
      <c r="G110" s="7">
        <v>2</v>
      </c>
      <c r="H110" s="15" t="s">
        <v>688</v>
      </c>
      <c r="I110" s="15">
        <v>42649.651250000003</v>
      </c>
      <c r="J110" s="7">
        <v>0</v>
      </c>
      <c r="K110" s="117" t="str">
        <f t="shared" si="50"/>
        <v>4027/4028</v>
      </c>
      <c r="L110" s="24" t="str">
        <f>VLOOKUP(A110,'Trips&amp;Operators'!$C$1:$E$10000,3,FALSE)</f>
        <v>BONDS</v>
      </c>
      <c r="M110" s="6">
        <f t="shared" si="51"/>
        <v>1.5694444446125999E-2</v>
      </c>
      <c r="N110" s="7"/>
      <c r="O110" s="7"/>
      <c r="P110" s="7"/>
      <c r="Q110" s="25"/>
      <c r="R110" s="25"/>
      <c r="S110" s="37"/>
      <c r="T110" s="52" t="str">
        <f t="shared" si="35"/>
        <v>Southbound</v>
      </c>
      <c r="U110" s="159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0</v>
      </c>
      <c r="V110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14:12:38-0600',mode:absolute,to:'2016-10-06 16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0" s="54" t="str">
        <f t="shared" si="53"/>
        <v>Y</v>
      </c>
      <c r="X110" s="164">
        <f t="shared" si="54"/>
        <v>0</v>
      </c>
      <c r="Y110" s="69">
        <f t="shared" si="55"/>
        <v>23.297699999999999</v>
      </c>
      <c r="Z110" s="69">
        <f t="shared" si="47"/>
        <v>15.831</v>
      </c>
      <c r="AA110" s="69">
        <f t="shared" si="56"/>
        <v>7.4666999999999994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41"/>
        <v>0188-06</v>
      </c>
      <c r="AE110" s="95" t="str">
        <f t="shared" si="57"/>
        <v>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 &amp; aws s3 cp s3://rtdc.mdm.uploadarchive.raw/RTDC4028/ "%USERPROFILE%\AppData\Local\Temp\OnboardLogs"\RTDC4028\2016-10-07 --exclude "*" --recursive --include "*20161007*" &amp; "%USERPROFILE%\Documents\GitHub\mrs-test-scripts\Headless Mode &amp; Sideloading\WalkAndUnGZ.bat" "%USERPROFILE%\AppData\Local\Temp\OnboardLogs"\RTDC4028\2016-10-07</v>
      </c>
      <c r="AF110" s="92" t="str">
        <f t="shared" si="58"/>
        <v>"C:\Program Files (x86)\AstroGrep\AstroGrep.exe" /spath="%USERPROFILE%\AppData\Local\Temp\OnboardLogs" /stypes="app*4028*20161006*" /stext=" 21:.+((SYSTEM_STATE.+slice.+state.+changed )|(ment ac)|(system.+state.+changed )|(\[timeout)|(PRM\|1\|D)|(kpr)|(kdp)|(\|lc)|(penalty))" /e /r /s</v>
      </c>
      <c r="AG110" s="1" t="str">
        <f t="shared" si="44"/>
        <v>EC</v>
      </c>
      <c r="AH110" s="96" t="str">
        <f t="shared" si="45"/>
        <v>"%USERPROFILE%\Documents\GitHub\eaglep3\Utilities\RefineRTDCRunTimes.py" --tripid 188-06 --locoid 4028 --swversion DE.1.0.7.0 --startMP 204:232977 --initTime 2016-10-06T15:12:38 --startdatetime 2016-10-06T15:15:12 --delay 2 --endMP 204:158310 --enddatetime 2016-10-06T15:37:48 --enforcementcount 0 &gt;&gt;C:\Users\stu\Documents\GitHub\eaglep3-reporting\EC\2016-10-06-refined-times.txt</v>
      </c>
      <c r="AI110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{"issue":{"subject":"","project_id":79,"tracker_id":40,"status_id":1,"priority_id":2,"assigned_to_id":23,"start_date":"2016-10-06","description":"","custom_fields":[{"id":1,"name":"Subdivision","value":"EC"},{"id":4,"name":"Milepost","value":"15.831"},{"id":17,"name":"Train ID","value":"188-06"},{"id":16,"name":"Locomotive ID","value":"4028"},{"id":130,"name":"Impact","value":""},{"id":150,"name":"Time of Event (Mountain Time)","value":"15:37:48"},{"id":151,"name":"Denver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524</v>
      </c>
      <c r="B111" s="7">
        <v>4044</v>
      </c>
      <c r="C111" s="24" t="s">
        <v>106</v>
      </c>
      <c r="D111" s="24" t="s">
        <v>689</v>
      </c>
      <c r="E111" s="15">
        <v>42649.634837962964</v>
      </c>
      <c r="F111" s="15">
        <v>42649.635625000003</v>
      </c>
      <c r="G111" s="7">
        <v>1</v>
      </c>
      <c r="H111" s="15" t="s">
        <v>690</v>
      </c>
      <c r="I111" s="15">
        <v>42649.638449074075</v>
      </c>
      <c r="J111" s="7">
        <v>1</v>
      </c>
      <c r="K111" s="117" t="str">
        <f t="shared" si="50"/>
        <v>4043/4044</v>
      </c>
      <c r="L111" s="24" t="str">
        <f>VLOOKUP(A111,'Trips&amp;Operators'!$C$1:$E$10000,3,FALSE)</f>
        <v>SHOOK</v>
      </c>
      <c r="M111" s="6">
        <f t="shared" si="51"/>
        <v>2.8240740721230395E-3</v>
      </c>
      <c r="N111" s="7"/>
      <c r="O111" s="7"/>
      <c r="P111" s="7">
        <f>24*60*SUM($M111:$M112)</f>
        <v>36.033333332743496</v>
      </c>
      <c r="Q111" s="25"/>
      <c r="R111" s="25" t="s">
        <v>832</v>
      </c>
      <c r="S111" s="37">
        <f>SUM(U111:U112)/IF(AG111="EC",12,1)</f>
        <v>1</v>
      </c>
      <c r="T111" s="52" t="str">
        <f t="shared" si="35"/>
        <v>NorthBound</v>
      </c>
      <c r="U111" s="159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0</v>
      </c>
      <c r="V111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14:14:10-0600',mode:absolute,to:'2016-10-06 16:19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1" s="54" t="str">
        <f t="shared" si="53"/>
        <v>Y</v>
      </c>
      <c r="X111" s="164">
        <f t="shared" si="54"/>
        <v>1</v>
      </c>
      <c r="Y111" s="69">
        <f t="shared" si="55"/>
        <v>12.824400000000001</v>
      </c>
      <c r="Z111" s="69">
        <f t="shared" si="47"/>
        <v>13.488099999999999</v>
      </c>
      <c r="AA111" s="69">
        <f t="shared" si="56"/>
        <v>0.66369999999999862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41"/>
        <v>0189-06</v>
      </c>
      <c r="AE111" s="95" t="str">
        <f t="shared" si="57"/>
        <v>aws s3 cp s3://rtdc.mdm.uploadarchive.raw/RTDC4044/ "%USERPROFILE%\AppData\Local\Temp\OnboardLogs"\RTDC4044\2016-10-06 --exclude "*" --recursive --include "*20161006*" &amp; "%USERPROFILE%\Documents\GitHub\mrs-test-scripts\Headless Mode &amp; Sideloading\WalkAndUnGZ.bat" "%USERPROFILE%\AppData\Local\Temp\OnboardLogs"\RTDC4044\2016-10-06 &amp; aws s3 cp s3://rtdc.mdm.uploadarchive.raw/RTDC4044/ "%USERPROFILE%\AppData\Local\Temp\OnboardLogs"\RTDC4044\2016-10-07 --exclude "*" --recursive --include "*20161007*" &amp; "%USERPROFILE%\Documents\GitHub\mrs-test-scripts\Headless Mode &amp; Sideloading\WalkAndUnGZ.bat" "%USERPROFILE%\AppData\Local\Temp\OnboardLogs"\RTDC4044\2016-10-07</v>
      </c>
      <c r="AF111" s="92" t="str">
        <f t="shared" si="58"/>
        <v>"C:\Program Files (x86)\AstroGrep\AstroGrep.exe" /spath="%USERPROFILE%\AppData\Local\Temp\OnboardLogs" /stypes="app*4044*20161006*" /stext=" 21:.+((SYSTEM_STATE.+slice.+state.+changed )|(ment ac)|(system.+state.+changed )|(\[timeout)|(PRM\|1\|D)|(kpr)|(kdp)|(\|lc)|(penalty))" /e /r /s</v>
      </c>
      <c r="AG111" s="1" t="str">
        <f t="shared" si="44"/>
        <v>EC</v>
      </c>
      <c r="AH111" s="96" t="str">
        <f t="shared" si="45"/>
        <v>"%USERPROFILE%\Documents\GitHub\eaglep3\Utilities\RefineRTDCRunTimes.py" --tripid 189-06 --locoid 4044 --swversion DE.1.0.7.0 --startMP 204:128244 --initTime 2016-10-06T15:14:10 --startdatetime 2016-10-06T15:15:18 --delay 1 --endMP 204:134881 --enddatetime 2016-10-06T15:19:22 --enforcementcount 1 &gt;&gt;C:\Users\stu\Documents\GitHub\eaglep3-reporting\EC\2016-10-06-refined-times.txt</v>
      </c>
      <c r="AI111" s="130" t="str">
        <f t="shared" si="46"/>
        <v>echo {"issue":{"subject":"CP 61st ELXS failure","project_id":79,"tracker_id":40,"status_id":1,"priority_id":2,"assigned_to_id":23,"start_date":"2016-10-06","description":"","custom_fields":[{"id":1,"name":"Subdivision","value":"EC"},{"id":4,"name":"Milepost","value":"13.4881"},{"id":17,"name":"Train ID","value":"189-06"},{"id":16,"name":"Locomotive ID","value":"4044"},{"id":130,"name":"Impact","value":""},{"id":150,"name":"Time of Event (Mountain Time)","value":"15:19:22"},{"id":151,"name":"Denver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524</v>
      </c>
      <c r="B112" s="7">
        <v>4044</v>
      </c>
      <c r="C112" s="24" t="s">
        <v>106</v>
      </c>
      <c r="D112" s="24" t="s">
        <v>653</v>
      </c>
      <c r="E112" s="15">
        <v>42649.610092592593</v>
      </c>
      <c r="F112" s="15">
        <v>42649.611203703702</v>
      </c>
      <c r="G112" s="7">
        <v>1</v>
      </c>
      <c r="H112" s="15" t="s">
        <v>691</v>
      </c>
      <c r="I112" s="15">
        <v>42649.633402777778</v>
      </c>
      <c r="J112" s="7">
        <v>0</v>
      </c>
      <c r="K112" s="117" t="str">
        <f t="shared" si="50"/>
        <v>4043/4044</v>
      </c>
      <c r="L112" s="24" t="str">
        <f>VLOOKUP(A112,'Trips&amp;Operators'!$C$1:$E$10000,3,FALSE)</f>
        <v>SHOOK</v>
      </c>
      <c r="M112" s="6">
        <f t="shared" si="51"/>
        <v>2.2199074075615499E-2</v>
      </c>
      <c r="N112" s="7"/>
      <c r="O112" s="7"/>
      <c r="P112" s="7"/>
      <c r="Q112" s="25"/>
      <c r="R112" s="25"/>
      <c r="S112" s="37"/>
      <c r="T112" s="52" t="str">
        <f t="shared" si="35"/>
        <v>NorthBound</v>
      </c>
      <c r="U112" s="159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13:38:32-0600',mode:absolute,to:'2016-10-06 16:12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2" s="54" t="str">
        <f t="shared" si="53"/>
        <v>Y</v>
      </c>
      <c r="X112" s="164">
        <f t="shared" si="54"/>
        <v>0</v>
      </c>
      <c r="Y112" s="69">
        <f t="shared" si="55"/>
        <v>4.3700000000000003E-2</v>
      </c>
      <c r="Z112" s="69">
        <f t="shared" si="47"/>
        <v>12.6091</v>
      </c>
      <c r="AA112" s="69">
        <f t="shared" si="56"/>
        <v>12.5654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41"/>
        <v>0189-06</v>
      </c>
      <c r="AE112" s="95" t="str">
        <f t="shared" si="57"/>
        <v>aws s3 cp s3://rtdc.mdm.uploadarchive.raw/RTDC4044/ "%USERPROFILE%\AppData\Local\Temp\OnboardLogs"\RTDC4044\2016-10-06 --exclude "*" --recursive --include "*20161006*" &amp; "%USERPROFILE%\Documents\GitHub\mrs-test-scripts\Headless Mode &amp; Sideloading\WalkAndUnGZ.bat" "%USERPROFILE%\AppData\Local\Temp\OnboardLogs"\RTDC4044\2016-10-06 &amp; aws s3 cp s3://rtdc.mdm.uploadarchive.raw/RTDC4044/ "%USERPROFILE%\AppData\Local\Temp\OnboardLogs"\RTDC4044\2016-10-07 --exclude "*" --recursive --include "*20161007*" &amp; "%USERPROFILE%\Documents\GitHub\mrs-test-scripts\Headless Mode &amp; Sideloading\WalkAndUnGZ.bat" "%USERPROFILE%\AppData\Local\Temp\OnboardLogs"\RTDC4044\2016-10-07</v>
      </c>
      <c r="AF112" s="92" t="str">
        <f t="shared" si="58"/>
        <v>"C:\Program Files (x86)\AstroGrep\AstroGrep.exe" /spath="%USERPROFILE%\AppData\Local\Temp\OnboardLogs" /stypes="app*4044*20161006*" /stext=" 21:.+((SYSTEM_STATE.+slice.+state.+changed )|(ment ac)|(system.+state.+changed )|(\[timeout)|(PRM\|1\|D)|(kpr)|(kdp)|(\|lc)|(penalty))" /e /r /s</v>
      </c>
      <c r="AG112" s="1" t="str">
        <f t="shared" si="44"/>
        <v>EC</v>
      </c>
      <c r="AH112" s="96" t="str">
        <f t="shared" si="45"/>
        <v>"%USERPROFILE%\Documents\GitHub\eaglep3\Utilities\RefineRTDCRunTimes.py" --tripid 189-06 --locoid 4044 --swversion DE.1.0.7.0 --startMP 204:437 --initTime 2016-10-06T14:38:32 --startdatetime 2016-10-06T14:40:08 --delay 1 --endMP 204:126091 --enddatetime 2016-10-06T15:12:06 --enforcementcount 0 &gt;&gt;C:\Users\stu\Documents\GitHub\eaglep3-reporting\EC\2016-10-06-refined-times.txt</v>
      </c>
      <c r="AI112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{"issue":{"subject":"","project_id":79,"tracker_id":40,"status_id":1,"priority_id":2,"assigned_to_id":23,"start_date":"2016-10-06","description":"","custom_fields":[{"id":1,"name":"Subdivision","value":"EC"},{"id":4,"name":"Milepost","value":"12.6091"},{"id":17,"name":"Train ID","value":"189-06"},{"id":16,"name":"Locomotive ID","value":"4044"},{"id":130,"name":"Impact","value":""},{"id":150,"name":"Time of Event (Mountain Time)","value":"15:12:06"},{"id":151,"name":"Denver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540</v>
      </c>
      <c r="B113" s="7">
        <v>4043</v>
      </c>
      <c r="C113" s="24" t="s">
        <v>106</v>
      </c>
      <c r="D113" s="24" t="s">
        <v>692</v>
      </c>
      <c r="E113" s="15">
        <v>42649.668194444443</v>
      </c>
      <c r="F113" s="15">
        <v>42649.66920138889</v>
      </c>
      <c r="G113" s="7">
        <v>1</v>
      </c>
      <c r="H113" s="15" t="s">
        <v>191</v>
      </c>
      <c r="I113" s="15">
        <v>42649.685833333337</v>
      </c>
      <c r="J113" s="7">
        <v>0</v>
      </c>
      <c r="K113" s="117" t="str">
        <f t="shared" si="50"/>
        <v>4043/4044</v>
      </c>
      <c r="L113" s="24" t="str">
        <f>VLOOKUP(A113,'Trips&amp;Operators'!$C$1:$E$10000,3,FALSE)</f>
        <v>SHOOK</v>
      </c>
      <c r="M113" s="6">
        <f t="shared" si="51"/>
        <v>1.6631944446999114E-2</v>
      </c>
      <c r="N113" s="7"/>
      <c r="O113" s="7"/>
      <c r="P113" s="7">
        <f>24*60*SUM($M113:$M113)</f>
        <v>23.950000003678724</v>
      </c>
      <c r="Q113" s="25"/>
      <c r="R113" s="25" t="s">
        <v>832</v>
      </c>
      <c r="S113" s="37">
        <f t="shared" ref="S113:S121" si="59">SUM(U113:U113)/IF(AG113="EC",12,1)</f>
        <v>1</v>
      </c>
      <c r="T113" s="52" t="str">
        <f t="shared" si="35"/>
        <v>Southbound</v>
      </c>
      <c r="U113" s="159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15:02:12-0600',mode:absolute,to:'2016-10-06 17:27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3" s="54" t="str">
        <f t="shared" si="53"/>
        <v>Y</v>
      </c>
      <c r="X113" s="164">
        <f t="shared" si="54"/>
        <v>1</v>
      </c>
      <c r="Y113" s="69">
        <f t="shared" si="55"/>
        <v>12.786899999999999</v>
      </c>
      <c r="Z113" s="69">
        <f t="shared" ref="Z113:Z144" si="60">RIGHT(H113,LEN(H113)-4)/10000</f>
        <v>1.6E-2</v>
      </c>
      <c r="AA113" s="69">
        <f t="shared" si="56"/>
        <v>12.770899999999999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41"/>
        <v>0190-06</v>
      </c>
      <c r="AE113" s="95" t="str">
        <f t="shared" si="57"/>
        <v>aws s3 cp s3://rtdc.mdm.uploadarchive.raw/RTDC4043/ "%USERPROFILE%\AppData\Local\Temp\OnboardLogs"\RTDC4043\2016-10-06 --exclude "*" --recursive --include "*20161006*" &amp; "%USERPROFILE%\Documents\GitHub\mrs-test-scripts\Headless Mode &amp; Sideloading\WalkAndUnGZ.bat" "%USERPROFILE%\AppData\Local\Temp\OnboardLogs"\RTDC4043\2016-10-06 &amp; aws s3 cp s3://rtdc.mdm.uploadarchive.raw/RTDC4043/ "%USERPROFILE%\AppData\Local\Temp\OnboardLogs"\RTDC4043\2016-10-07 --exclude "*" --recursive --include "*20161007*" &amp; "%USERPROFILE%\Documents\GitHub\mrs-test-scripts\Headless Mode &amp; Sideloading\WalkAndUnGZ.bat" "%USERPROFILE%\AppData\Local\Temp\OnboardLogs"\RTDC4043\2016-10-07</v>
      </c>
      <c r="AF113" s="92" t="str">
        <f t="shared" si="58"/>
        <v>"C:\Program Files (x86)\AstroGrep\AstroGrep.exe" /spath="%USERPROFILE%\AppData\Local\Temp\OnboardLogs" /stypes="app*4043*20161006*" /stext=" 22:.+((SYSTEM_STATE.+slice.+state.+changed )|(ment ac)|(system.+state.+changed )|(\[timeout)|(PRM\|1\|D)|(kpr)|(kdp)|(\|lc)|(penalty))" /e /r /s</v>
      </c>
      <c r="AG113" s="1" t="str">
        <f t="shared" si="44"/>
        <v>EC</v>
      </c>
      <c r="AH113" s="96" t="str">
        <f t="shared" si="45"/>
        <v>"%USERPROFILE%\Documents\GitHub\eaglep3\Utilities\RefineRTDCRunTimes.py" --tripid 190-06 --locoid 4043 --swversion DE.1.0.7.0 --startMP 204:127869 --initTime 2016-10-06T16:02:12 --startdatetime 2016-10-06T16:03:39 --delay 1 --endMP 204:160 --enddatetime 2016-10-06T16:27:36 --enforcementcount 0 &gt;&gt;C:\Users\stu\Documents\GitHub\eaglep3-reporting\EC\2016-10-06-refined-times.txt</v>
      </c>
      <c r="AI113" s="130" t="str">
        <f t="shared" si="46"/>
        <v>echo {"issue":{"subject":"CP 61st ELXS failure","project_id":79,"tracker_id":40,"status_id":1,"priority_id":2,"assigned_to_id":23,"start_date":"2016-10-06","description":"","custom_fields":[{"id":1,"name":"Subdivision","value":"EC"},{"id":4,"name":"Milepost","value":"0.016"},{"id":17,"name":"Train ID","value":"190-06"},{"id":16,"name":"Locomotive ID","value":"4043"},{"id":130,"name":"Impact","value":""},{"id":150,"name":"Time of Event (Mountain Time)","value":"16:27:36"},{"id":151,"name":"Denver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527</v>
      </c>
      <c r="B114" s="7">
        <v>4009</v>
      </c>
      <c r="C114" s="24" t="s">
        <v>106</v>
      </c>
      <c r="D114" s="24" t="s">
        <v>239</v>
      </c>
      <c r="E114" s="15">
        <v>42649.622812499998</v>
      </c>
      <c r="F114" s="15">
        <v>42649.625208333331</v>
      </c>
      <c r="G114" s="7">
        <v>1</v>
      </c>
      <c r="H114" s="15" t="s">
        <v>693</v>
      </c>
      <c r="I114" s="15">
        <v>42649.648738425924</v>
      </c>
      <c r="J114" s="7">
        <v>0</v>
      </c>
      <c r="K114" s="117" t="str">
        <f t="shared" si="50"/>
        <v>4009/4010</v>
      </c>
      <c r="L114" s="24" t="str">
        <f>VLOOKUP(A114,'Trips&amp;Operators'!$C$1:$E$10000,3,FALSE)</f>
        <v>MOSES</v>
      </c>
      <c r="M114" s="6">
        <f t="shared" si="51"/>
        <v>2.3530092592409346E-2</v>
      </c>
      <c r="N114" s="7">
        <f>24*60*SUM($M114:$M114)</f>
        <v>33.883333333069459</v>
      </c>
      <c r="O114" s="7"/>
      <c r="P114" s="7"/>
      <c r="Q114" s="25"/>
      <c r="R114" s="25"/>
      <c r="S114" s="37">
        <f t="shared" si="59"/>
        <v>1</v>
      </c>
      <c r="T114" s="52" t="str">
        <f t="shared" si="35"/>
        <v>NorthBound</v>
      </c>
      <c r="U114" s="159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13:56:51-0600',mode:absolute,to:'2016-10-06 16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4" s="54" t="str">
        <f t="shared" si="53"/>
        <v>Y</v>
      </c>
      <c r="X114" s="164">
        <f t="shared" si="54"/>
        <v>1</v>
      </c>
      <c r="Y114" s="69">
        <f t="shared" si="55"/>
        <v>4.4900000000000002E-2</v>
      </c>
      <c r="Z114" s="69">
        <f t="shared" si="60"/>
        <v>15.441800000000001</v>
      </c>
      <c r="AA114" s="69">
        <f t="shared" si="56"/>
        <v>15.3969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41"/>
        <v>0191-06</v>
      </c>
      <c r="AE114" s="95" t="str">
        <f t="shared" si="57"/>
        <v>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 &amp; aws s3 cp s3://rtdc.mdm.uploadarchive.raw/RTDC4009/ "%USERPROFILE%\AppData\Local\Temp\OnboardLogs"\RTDC4009\2016-10-07 --exclude "*" --recursive --include "*20161007*" &amp; "%USERPROFILE%\Documents\GitHub\mrs-test-scripts\Headless Mode &amp; Sideloading\WalkAndUnGZ.bat" "%USERPROFILE%\AppData\Local\Temp\OnboardLogs"\RTDC4009\2016-10-07</v>
      </c>
      <c r="AF114" s="92" t="str">
        <f t="shared" si="58"/>
        <v>"C:\Program Files (x86)\AstroGrep\AstroGrep.exe" /spath="%USERPROFILE%\AppData\Local\Temp\OnboardLogs" /stypes="app*4009*20161006*" /stext=" 21:.+((SYSTEM_STATE.+slice.+state.+changed )|(ment ac)|(system.+state.+changed )|(\[timeout)|(PRM\|1\|D)|(kpr)|(kdp)|(\|lc)|(penalty))" /e /r /s</v>
      </c>
      <c r="AG114" s="1" t="str">
        <f t="shared" si="44"/>
        <v>EC</v>
      </c>
      <c r="AH114" s="96" t="str">
        <f t="shared" si="45"/>
        <v>"%USERPROFILE%\Documents\GitHub\eaglep3\Utilities\RefineRTDCRunTimes.py" --tripid 191-06 --locoid 4009 --swversion DE.1.0.7.0 --startMP 204:449 --initTime 2016-10-06T14:56:51 --startdatetime 2016-10-06T15:00:18 --delay 1 --endMP 204:154418 --enddatetime 2016-10-06T15:34:11 --enforcementcount 0 &gt;&gt;C:\Users\stu\Documents\GitHub\eaglep3-reporting\EC\2016-10-06-refined-times.txt</v>
      </c>
      <c r="AI114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{"issue":{"subject":"","project_id":79,"tracker_id":40,"status_id":1,"priority_id":2,"assigned_to_id":23,"start_date":"2016-10-06","description":"","custom_fields":[{"id":1,"name":"Subdivision","value":"EC"},{"id":4,"name":"Milepost","value":"15.4418"},{"id":17,"name":"Train ID","value":"191-06"},{"id":16,"name":"Locomotive ID","value":"4009"},{"id":130,"name":"Impact","value":""},{"id":150,"name":"Time of Event (Mountain Time)","value":"15:34:11"},{"id":151,"name":"Denver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538</v>
      </c>
      <c r="B115" s="7">
        <v>4010</v>
      </c>
      <c r="C115" s="24" t="s">
        <v>106</v>
      </c>
      <c r="D115" s="24" t="s">
        <v>234</v>
      </c>
      <c r="E115" s="15">
        <v>42649.662962962961</v>
      </c>
      <c r="F115" s="15">
        <v>42649.665763888886</v>
      </c>
      <c r="G115" s="7">
        <v>1</v>
      </c>
      <c r="H115" s="15" t="s">
        <v>191</v>
      </c>
      <c r="I115" s="15">
        <v>42649.695254629631</v>
      </c>
      <c r="J115" s="7">
        <v>0</v>
      </c>
      <c r="K115" s="117" t="str">
        <f t="shared" si="50"/>
        <v>4009/4010</v>
      </c>
      <c r="L115" s="24" t="str">
        <f>VLOOKUP(A115,'Trips&amp;Operators'!$C$1:$E$10000,3,FALSE)</f>
        <v>MOSES</v>
      </c>
      <c r="M115" s="6">
        <f t="shared" si="51"/>
        <v>2.9490740744222421E-2</v>
      </c>
      <c r="N115" s="7">
        <f>24*60*SUM($M115:$M115)</f>
        <v>42.466666671680287</v>
      </c>
      <c r="O115" s="7"/>
      <c r="P115" s="7"/>
      <c r="Q115" s="25"/>
      <c r="R115" s="25"/>
      <c r="S115" s="37">
        <f t="shared" si="59"/>
        <v>1</v>
      </c>
      <c r="T115" s="52" t="str">
        <f t="shared" si="35"/>
        <v>Southbound</v>
      </c>
      <c r="U115" s="159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14:54:40-0600',mode:absolute,to:'2016-10-06 17:41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5" s="54" t="str">
        <f t="shared" si="53"/>
        <v>N</v>
      </c>
      <c r="X115" s="164">
        <f t="shared" si="54"/>
        <v>1</v>
      </c>
      <c r="Y115" s="69">
        <f t="shared" si="55"/>
        <v>23.2986</v>
      </c>
      <c r="Z115" s="69">
        <f t="shared" si="60"/>
        <v>1.6E-2</v>
      </c>
      <c r="AA115" s="69">
        <f t="shared" si="56"/>
        <v>23.282600000000002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41"/>
        <v>0192-06</v>
      </c>
      <c r="AE115" s="95" t="str">
        <f t="shared" si="57"/>
        <v>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 &amp; aws s3 cp s3://rtdc.mdm.uploadarchive.raw/RTDC4010/ "%USERPROFILE%\AppData\Local\Temp\OnboardLogs"\RTDC4010\2016-10-07 --exclude "*" --recursive --include "*20161007*" &amp; "%USERPROFILE%\Documents\GitHub\mrs-test-scripts\Headless Mode &amp; Sideloading\WalkAndUnGZ.bat" "%USERPROFILE%\AppData\Local\Temp\OnboardLogs"\RTDC4010\2016-10-07</v>
      </c>
      <c r="AF115" s="92" t="str">
        <f t="shared" si="58"/>
        <v>"C:\Program Files (x86)\AstroGrep\AstroGrep.exe" /spath="%USERPROFILE%\AppData\Local\Temp\OnboardLogs" /stypes="app*4010*20161006*" /stext=" 22:.+((SYSTEM_STATE.+slice.+state.+changed )|(ment ac)|(system.+state.+changed )|(\[timeout)|(PRM\|1\|D)|(kpr)|(kdp)|(\|lc)|(penalty))" /e /r /s</v>
      </c>
      <c r="AG115" s="1" t="str">
        <f t="shared" si="44"/>
        <v>EC</v>
      </c>
      <c r="AH115" s="96" t="str">
        <f t="shared" si="45"/>
        <v>"%USERPROFILE%\Documents\GitHub\eaglep3\Utilities\RefineRTDCRunTimes.py" --tripid 192-06 --locoid 4010 --swversion DE.1.0.7.0 --startMP 204:232986 --initTime 2016-10-06T15:54:40 --startdatetime 2016-10-06T15:58:42 --delay 1 --endMP 204:160 --enddatetime 2016-10-06T16:41:10 --enforcementcount 0 &gt;&gt;C:\Users\stu\Documents\GitHub\eaglep3-reporting\EC\2016-10-06-refined-times.txt</v>
      </c>
      <c r="AI115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{"issue":{"subject":"","project_id":79,"tracker_id":40,"status_id":1,"priority_id":2,"assigned_to_id":23,"start_date":"2016-10-06","description":"","custom_fields":[{"id":1,"name":"Subdivision","value":"EC"},{"id":4,"name":"Milepost","value":"0.016"},{"id":17,"name":"Train ID","value":"192-06"},{"id":16,"name":"Locomotive ID","value":"4010"},{"id":130,"name":"Impact","value":""},{"id":150,"name":"Time of Event (Mountain Time)","value":"16:41:10"},{"id":151,"name":"Denver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530</v>
      </c>
      <c r="B116" s="7">
        <v>4018</v>
      </c>
      <c r="C116" s="24" t="s">
        <v>106</v>
      </c>
      <c r="D116" s="24" t="s">
        <v>203</v>
      </c>
      <c r="E116" s="15">
        <v>42649.632939814815</v>
      </c>
      <c r="F116" s="15">
        <v>42649.635578703703</v>
      </c>
      <c r="G116" s="7">
        <v>2</v>
      </c>
      <c r="H116" s="15" t="s">
        <v>694</v>
      </c>
      <c r="I116" s="15">
        <v>42649.651967592596</v>
      </c>
      <c r="J116" s="7">
        <v>0</v>
      </c>
      <c r="K116" s="117" t="str">
        <f t="shared" si="50"/>
        <v>4017/4018</v>
      </c>
      <c r="L116" s="24" t="str">
        <f>VLOOKUP(A116,'Trips&amp;Operators'!$C$1:$E$10000,3,FALSE)</f>
        <v>NEWELL</v>
      </c>
      <c r="M116" s="6">
        <f t="shared" si="51"/>
        <v>1.6388888892834075E-2</v>
      </c>
      <c r="N116" s="7"/>
      <c r="O116" s="7"/>
      <c r="P116" s="7">
        <f>24*60*SUM($M116:$M116)</f>
        <v>23.600000005681068</v>
      </c>
      <c r="Q116" s="25"/>
      <c r="R116" s="25" t="s">
        <v>832</v>
      </c>
      <c r="S116" s="37">
        <f t="shared" si="59"/>
        <v>1</v>
      </c>
      <c r="T116" s="52" t="str">
        <f t="shared" si="35"/>
        <v>NorthBound</v>
      </c>
      <c r="U116" s="159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14:11:26-0600',mode:absolute,to:'2016-10-06 16:38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6" s="54" t="str">
        <f t="shared" si="53"/>
        <v>Y</v>
      </c>
      <c r="X116" s="164">
        <f t="shared" si="54"/>
        <v>1</v>
      </c>
      <c r="Y116" s="69">
        <f t="shared" si="55"/>
        <v>4.58E-2</v>
      </c>
      <c r="Z116" s="69">
        <f t="shared" si="60"/>
        <v>12.827199999999999</v>
      </c>
      <c r="AA116" s="69">
        <f t="shared" si="56"/>
        <v>12.7814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41"/>
        <v>0193-06</v>
      </c>
      <c r="AE116" s="95" t="str">
        <f t="shared" si="57"/>
        <v>aws s3 cp s3://rtdc.mdm.uploadarchive.raw/RTDC4018/ "%USERPROFILE%\AppData\Local\Temp\OnboardLogs"\RTDC4018\2016-10-06 --exclude "*" --recursive --include "*20161006*" &amp; "%USERPROFILE%\Documents\GitHub\mrs-test-scripts\Headless Mode &amp; Sideloading\WalkAndUnGZ.bat" "%USERPROFILE%\AppData\Local\Temp\OnboardLogs"\RTDC4018\2016-10-06 &amp; 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</v>
      </c>
      <c r="AF116" s="92" t="str">
        <f t="shared" si="58"/>
        <v>"C:\Program Files (x86)\AstroGrep\AstroGrep.exe" /spath="%USERPROFILE%\AppData\Local\Temp\OnboardLogs" /stypes="app*4018*20161006*" /stext=" 21:.+((SYSTEM_STATE.+slice.+state.+changed )|(ment ac)|(system.+state.+changed )|(\[timeout)|(PRM\|1\|D)|(kpr)|(kdp)|(\|lc)|(penalty))" /e /r /s</v>
      </c>
      <c r="AG116" s="1" t="str">
        <f t="shared" si="44"/>
        <v>EC</v>
      </c>
      <c r="AH116" s="96" t="str">
        <f t="shared" si="45"/>
        <v>"%USERPROFILE%\Documents\GitHub\eaglep3\Utilities\RefineRTDCRunTimes.py" --tripid 193-06 --locoid 4018 --swversion DE.1.0.7.0 --startMP 204:458 --initTime 2016-10-06T15:11:26 --startdatetime 2016-10-06T15:15:14 --delay 2 --endMP 204:128272 --enddatetime 2016-10-06T15:38:50 --enforcementcount 0 &gt;&gt;C:\Users\stu\Documents\GitHub\eaglep3-reporting\EC\2016-10-06-refined-times.txt</v>
      </c>
      <c r="AI116" s="130" t="str">
        <f t="shared" si="46"/>
        <v>echo {"issue":{"subject":"CP 61st ELXS failure","project_id":79,"tracker_id":40,"status_id":1,"priority_id":2,"assigned_to_id":23,"start_date":"2016-10-06","description":"","custom_fields":[{"id":1,"name":"Subdivision","value":"EC"},{"id":4,"name":"Milepost","value":"12.8272"},{"id":17,"name":"Train ID","value":"193-06"},{"id":16,"name":"Locomotive ID","value":"4018"},{"id":130,"name":"Impact","value":""},{"id":150,"name":"Time of Event (Mountain Time)","value":"15:38:50"},{"id":151,"name":"Denver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542</v>
      </c>
      <c r="B117" s="7">
        <v>4017</v>
      </c>
      <c r="C117" s="24" t="s">
        <v>106</v>
      </c>
      <c r="D117" s="24" t="s">
        <v>349</v>
      </c>
      <c r="E117" s="15">
        <v>42649.672083333331</v>
      </c>
      <c r="F117" s="15">
        <v>42649.674722222226</v>
      </c>
      <c r="G117" s="7">
        <v>1</v>
      </c>
      <c r="H117" s="15" t="s">
        <v>209</v>
      </c>
      <c r="I117" s="15">
        <v>42649.704895833333</v>
      </c>
      <c r="J117" s="7">
        <v>0</v>
      </c>
      <c r="K117" s="117" t="str">
        <f t="shared" si="50"/>
        <v>4017/4018</v>
      </c>
      <c r="L117" s="24" t="str">
        <f>VLOOKUP(A117,'Trips&amp;Operators'!$C$1:$E$10000,3,FALSE)</f>
        <v>NEWELL</v>
      </c>
      <c r="M117" s="6">
        <f t="shared" si="51"/>
        <v>3.0173611106874887E-2</v>
      </c>
      <c r="N117" s="7">
        <f>24*60*SUM($M117:$M117)</f>
        <v>43.449999993899837</v>
      </c>
      <c r="O117" s="7"/>
      <c r="P117" s="7"/>
      <c r="Q117" s="25"/>
      <c r="R117" s="25"/>
      <c r="S117" s="37">
        <f t="shared" si="59"/>
        <v>1</v>
      </c>
      <c r="T117" s="52" t="str">
        <f t="shared" si="35"/>
        <v>Southbound</v>
      </c>
      <c r="U117" s="159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15:07:48-0600',mode:absolute,to:'2016-10-06 17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7" s="54" t="str">
        <f t="shared" si="53"/>
        <v>N</v>
      </c>
      <c r="X117" s="164">
        <f t="shared" si="54"/>
        <v>1</v>
      </c>
      <c r="Y117" s="69">
        <f t="shared" si="55"/>
        <v>23.3</v>
      </c>
      <c r="Z117" s="69">
        <f t="shared" si="60"/>
        <v>1.5599999999999999E-2</v>
      </c>
      <c r="AA117" s="69">
        <f t="shared" si="56"/>
        <v>23.284400000000002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41"/>
        <v>0194-06</v>
      </c>
      <c r="AE117" s="95" t="str">
        <f t="shared" si="57"/>
        <v>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 &amp; 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</v>
      </c>
      <c r="AF117" s="92" t="str">
        <f t="shared" si="58"/>
        <v>"C:\Program Files (x86)\AstroGrep\AstroGrep.exe" /spath="%USERPROFILE%\AppData\Local\Temp\OnboardLogs" /stypes="app*4017*20161006*" /stext=" 22:.+((SYSTEM_STATE.+slice.+state.+changed )|(ment ac)|(system.+state.+changed )|(\[timeout)|(PRM\|1\|D)|(kpr)|(kdp)|(\|lc)|(penalty))" /e /r /s</v>
      </c>
      <c r="AG117" s="1" t="str">
        <f t="shared" si="44"/>
        <v>EC</v>
      </c>
      <c r="AH117" s="96" t="str">
        <f t="shared" si="45"/>
        <v>"%USERPROFILE%\Documents\GitHub\eaglep3\Utilities\RefineRTDCRunTimes.py" --tripid 194-06 --locoid 4017 --swversion DE.1.0.7.0 --startMP 204:233000 --initTime 2016-10-06T16:07:48 --startdatetime 2016-10-06T16:11:36 --delay 1 --endMP 204:156 --enddatetime 2016-10-06T16:55:03 --enforcementcount 0 &gt;&gt;C:\Users\stu\Documents\GitHub\eaglep3-reporting\EC\2016-10-06-refined-times.txt</v>
      </c>
      <c r="AI117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{"issue":{"subject":"","project_id":79,"tracker_id":40,"status_id":1,"priority_id":2,"assigned_to_id":23,"start_date":"2016-10-06","description":"","custom_fields":[{"id":1,"name":"Subdivision","value":"EC"},{"id":4,"name":"Milepost","value":"0.0156"},{"id":17,"name":"Train ID","value":"194-06"},{"id":16,"name":"Locomotive ID","value":"4017"},{"id":130,"name":"Impact","value":""},{"id":150,"name":"Time of Event (Mountain Time)","value":"16:55:03"},{"id":151,"name":"Denver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533</v>
      </c>
      <c r="B118" s="7">
        <v>4007</v>
      </c>
      <c r="C118" s="24" t="s">
        <v>106</v>
      </c>
      <c r="D118" s="24" t="s">
        <v>302</v>
      </c>
      <c r="E118" s="15">
        <v>42649.6403587963</v>
      </c>
      <c r="F118" s="15">
        <v>42649.646087962959</v>
      </c>
      <c r="G118" s="7">
        <v>1</v>
      </c>
      <c r="H118" s="15" t="s">
        <v>197</v>
      </c>
      <c r="I118" s="15">
        <v>42649.67428240741</v>
      </c>
      <c r="J118" s="7">
        <v>0</v>
      </c>
      <c r="K118" s="117" t="str">
        <f t="shared" si="50"/>
        <v>4007/4008</v>
      </c>
      <c r="L118" s="24" t="str">
        <f>VLOOKUP(A118,'Trips&amp;Operators'!$C$1:$E$10000,3,FALSE)</f>
        <v>HILLS</v>
      </c>
      <c r="M118" s="6">
        <f t="shared" si="51"/>
        <v>2.8194444450491574E-2</v>
      </c>
      <c r="N118" s="7">
        <f>24*60*SUM($M118:$M118)</f>
        <v>40.600000008707866</v>
      </c>
      <c r="O118" s="7"/>
      <c r="P118" s="7"/>
      <c r="Q118" s="25"/>
      <c r="R118" s="25"/>
      <c r="S118" s="37">
        <f t="shared" si="59"/>
        <v>1</v>
      </c>
      <c r="T118" s="52" t="str">
        <f t="shared" si="35"/>
        <v>NorthBound</v>
      </c>
      <c r="U118" s="159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14:22:07-0600',mode:absolute,to:'2016-10-06 17:10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8" s="54" t="str">
        <f t="shared" si="53"/>
        <v>N</v>
      </c>
      <c r="X118" s="164">
        <f t="shared" si="54"/>
        <v>1</v>
      </c>
      <c r="Y118" s="69">
        <f t="shared" si="55"/>
        <v>4.8399999999999999E-2</v>
      </c>
      <c r="Z118" s="69">
        <f t="shared" si="60"/>
        <v>23.3291</v>
      </c>
      <c r="AA118" s="69">
        <f t="shared" si="56"/>
        <v>23.2807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41"/>
        <v>0195-06</v>
      </c>
      <c r="AE118" s="95" t="str">
        <f t="shared" si="57"/>
        <v>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 &amp; 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</v>
      </c>
      <c r="AF118" s="92" t="str">
        <f t="shared" si="58"/>
        <v>"C:\Program Files (x86)\AstroGrep\AstroGrep.exe" /spath="%USERPROFILE%\AppData\Local\Temp\OnboardLogs" /stypes="app*4007*20161006*" /stext=" 22:.+((SYSTEM_STATE.+slice.+state.+changed )|(ment ac)|(system.+state.+changed )|(\[timeout)|(PRM\|1\|D)|(kpr)|(kdp)|(\|lc)|(penalty))" /e /r /s</v>
      </c>
      <c r="AG118" s="1" t="str">
        <f t="shared" si="44"/>
        <v>EC</v>
      </c>
      <c r="AH118" s="96" t="str">
        <f t="shared" si="45"/>
        <v>"%USERPROFILE%\Documents\GitHub\eaglep3\Utilities\RefineRTDCRunTimes.py" --tripid 195-06 --locoid 4007 --swversion DE.1.0.7.0 --startMP 204:484 --initTime 2016-10-06T15:22:07 --startdatetime 2016-10-06T15:30:22 --delay 1 --endMP 204:233291 --enddatetime 2016-10-06T16:10:58 --enforcementcount 0 &gt;&gt;C:\Users\stu\Documents\GitHub\eaglep3-reporting\EC\2016-10-06-refined-times.txt</v>
      </c>
      <c r="AI118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{"issue":{"subject":"","project_id":79,"tracker_id":40,"status_id":1,"priority_id":2,"assigned_to_id":23,"start_date":"2016-10-06","description":"","custom_fields":[{"id":1,"name":"Subdivision","value":"EC"},{"id":4,"name":"Milepost","value":"23.3291"},{"id":17,"name":"Train ID","value":"195-06"},{"id":16,"name":"Locomotive ID","value":"4007"},{"id":130,"name":"Impact","value":""},{"id":150,"name":"Time of Event (Mountain Time)","value":"16:10:58"},{"id":151,"name":"Denver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545</v>
      </c>
      <c r="B119" s="7">
        <v>4008</v>
      </c>
      <c r="C119" s="24" t="s">
        <v>106</v>
      </c>
      <c r="D119" s="24" t="s">
        <v>657</v>
      </c>
      <c r="E119" s="15">
        <v>42649.680208333331</v>
      </c>
      <c r="F119" s="15">
        <v>42649.684999999998</v>
      </c>
      <c r="G119" s="7">
        <v>1</v>
      </c>
      <c r="H119" s="15" t="s">
        <v>191</v>
      </c>
      <c r="I119" s="15">
        <v>42649.715312499997</v>
      </c>
      <c r="J119" s="7">
        <v>0</v>
      </c>
      <c r="K119" s="117" t="str">
        <f t="shared" si="50"/>
        <v>4007/4008</v>
      </c>
      <c r="L119" s="24" t="str">
        <f>VLOOKUP(A119,'Trips&amp;Operators'!$C$1:$E$10000,3,FALSE)</f>
        <v>HILLS</v>
      </c>
      <c r="M119" s="6">
        <f t="shared" si="51"/>
        <v>3.0312499999126885E-2</v>
      </c>
      <c r="N119" s="7">
        <f>24*60*SUM($M119:$M119)</f>
        <v>43.649999998742715</v>
      </c>
      <c r="O119" s="7"/>
      <c r="P119" s="7"/>
      <c r="Q119" s="25"/>
      <c r="R119" s="25"/>
      <c r="S119" s="37">
        <f t="shared" si="59"/>
        <v>1</v>
      </c>
      <c r="T119" s="52" t="str">
        <f t="shared" si="35"/>
        <v>Southbound</v>
      </c>
      <c r="U119" s="159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15:19:30-0600',mode:absolute,to:'2016-10-06 18:10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9" s="54" t="str">
        <f t="shared" si="53"/>
        <v>N</v>
      </c>
      <c r="X119" s="164">
        <f t="shared" si="54"/>
        <v>1</v>
      </c>
      <c r="Y119" s="69">
        <f t="shared" si="55"/>
        <v>23.2973</v>
      </c>
      <c r="Z119" s="69">
        <f t="shared" si="60"/>
        <v>1.6E-2</v>
      </c>
      <c r="AA119" s="69">
        <f t="shared" si="56"/>
        <v>23.281300000000002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41"/>
        <v>0196-06</v>
      </c>
      <c r="AE119" s="95" t="str">
        <f t="shared" si="57"/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AF119" s="92" t="str">
        <f t="shared" si="58"/>
        <v>"C:\Program Files (x86)\AstroGrep\AstroGrep.exe" /spath="%USERPROFILE%\AppData\Local\Temp\OnboardLogs" /stypes="app*4008*20161006*" /stext=" 23:.+((SYSTEM_STATE.+slice.+state.+changed )|(ment ac)|(system.+state.+changed )|(\[timeout)|(PRM\|1\|D)|(kpr)|(kdp)|(\|lc)|(penalty))" /e /r /s</v>
      </c>
      <c r="AG119" s="1" t="str">
        <f t="shared" si="44"/>
        <v>EC</v>
      </c>
      <c r="AH119" s="96" t="str">
        <f t="shared" si="45"/>
        <v>"%USERPROFILE%\Documents\GitHub\eaglep3\Utilities\RefineRTDCRunTimes.py" --tripid 196-06 --locoid 4008 --swversion DE.1.0.7.0 --startMP 204:232973 --initTime 2016-10-06T16:19:30 --startdatetime 2016-10-06T16:26:24 --delay 1 --endMP 204:160 --enddatetime 2016-10-06T17:10:03 --enforcementcount 0 &gt;&gt;C:\Users\stu\Documents\GitHub\eaglep3-reporting\EC\2016-10-06-refined-times.txt</v>
      </c>
      <c r="AI119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{"issue":{"subject":"","project_id":79,"tracker_id":40,"status_id":1,"priority_id":2,"assigned_to_id":23,"start_date":"2016-10-06","description":"","custom_fields":[{"id":1,"name":"Subdivision","value":"EC"},{"id":4,"name":"Milepost","value":"0.016"},{"id":17,"name":"Train ID","value":"196-06"},{"id":16,"name":"Locomotive ID","value":"4008"},{"id":130,"name":"Impact","value":""},{"id":150,"name":"Time of Event (Mountain Time)","value":"17:10:03"},{"id":151,"name":"Denver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537</v>
      </c>
      <c r="B120" s="7">
        <v>4046</v>
      </c>
      <c r="C120" s="24" t="s">
        <v>106</v>
      </c>
      <c r="D120" s="24" t="s">
        <v>695</v>
      </c>
      <c r="E120" s="15">
        <v>42649.657962962963</v>
      </c>
      <c r="F120" s="15">
        <v>42649.660381944443</v>
      </c>
      <c r="G120" s="7">
        <v>1</v>
      </c>
      <c r="H120" s="15" t="s">
        <v>227</v>
      </c>
      <c r="I120" s="15">
        <v>42649.68787037037</v>
      </c>
      <c r="J120" s="7">
        <v>0</v>
      </c>
      <c r="K120" s="117" t="str">
        <f t="shared" si="50"/>
        <v>4045/4046</v>
      </c>
      <c r="L120" s="24" t="str">
        <f>VLOOKUP(A120,'Trips&amp;Operators'!$C$1:$E$10000,3,FALSE)</f>
        <v>CRAYTON</v>
      </c>
      <c r="M120" s="6">
        <f t="shared" si="51"/>
        <v>2.7488425927003846E-2</v>
      </c>
      <c r="N120" s="7">
        <f>24*60*SUM($M120:$M120)</f>
        <v>39.583333334885538</v>
      </c>
      <c r="O120" s="7"/>
      <c r="P120" s="7"/>
      <c r="Q120" s="25"/>
      <c r="R120" s="25"/>
      <c r="S120" s="37">
        <f t="shared" si="59"/>
        <v>1</v>
      </c>
      <c r="T120" s="52" t="str">
        <f t="shared" si="35"/>
        <v>NorthBound</v>
      </c>
      <c r="U120" s="159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14:47:28-0600',mode:absolute,to:'2016-10-06 17:30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0" s="54" t="str">
        <f t="shared" si="53"/>
        <v>N</v>
      </c>
      <c r="X120" s="164">
        <f t="shared" si="54"/>
        <v>1</v>
      </c>
      <c r="Y120" s="69">
        <f t="shared" si="55"/>
        <v>5.5899999999999998E-2</v>
      </c>
      <c r="Z120" s="69">
        <f t="shared" si="60"/>
        <v>23.3293</v>
      </c>
      <c r="AA120" s="69">
        <f t="shared" si="56"/>
        <v>23.273399999999999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41"/>
        <v>0197-06</v>
      </c>
      <c r="AE120" s="95" t="str">
        <f t="shared" si="57"/>
        <v>aws s3 cp s3://rtdc.mdm.uploadarchive.raw/RTDC4046/ "%USERPROFILE%\AppData\Local\Temp\OnboardLogs"\RTDC4046\2016-10-06 --exclude "*" --recursive --include "*20161006*" &amp; "%USERPROFILE%\Documents\GitHub\mrs-test-scripts\Headless Mode &amp; Sideloading\WalkAndUnGZ.bat" "%USERPROFILE%\AppData\Local\Temp\OnboardLogs"\RTDC4046\2016-10-06 &amp; 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</v>
      </c>
      <c r="AF120" s="92" t="str">
        <f t="shared" si="58"/>
        <v>"C:\Program Files (x86)\AstroGrep\AstroGrep.exe" /spath="%USERPROFILE%\AppData\Local\Temp\OnboardLogs" /stypes="app*4046*20161006*" /stext=" 22:.+((SYSTEM_STATE.+slice.+state.+changed )|(ment ac)|(system.+state.+changed )|(\[timeout)|(PRM\|1\|D)|(kpr)|(kdp)|(\|lc)|(penalty))" /e /r /s</v>
      </c>
      <c r="AG120" s="1" t="str">
        <f t="shared" si="44"/>
        <v>EC</v>
      </c>
      <c r="AH120" s="96" t="str">
        <f t="shared" si="45"/>
        <v>"%USERPROFILE%\Documents\GitHub\eaglep3\Utilities\RefineRTDCRunTimes.py" --tripid 197-06 --locoid 4046 --swversion DE.1.0.7.0 --startMP 204:559 --initTime 2016-10-06T15:47:28 --startdatetime 2016-10-06T15:50:57 --delay 1 --endMP 204:233293 --enddatetime 2016-10-06T16:30:32 --enforcementcount 0 &gt;&gt;C:\Users\stu\Documents\GitHub\eaglep3-reporting\EC\2016-10-06-refined-times.txt</v>
      </c>
      <c r="AI120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{"issue":{"subject":"","project_id":79,"tracker_id":40,"status_id":1,"priority_id":2,"assigned_to_id":23,"start_date":"2016-10-06","description":"","custom_fields":[{"id":1,"name":"Subdivision","value":"EC"},{"id":4,"name":"Milepost","value":"23.3293"},{"id":17,"name":"Train ID","value":"197-06"},{"id":16,"name":"Locomotive ID","value":"4046"},{"id":130,"name":"Impact","value":""},{"id":150,"name":"Time of Event (Mountain Time)","value":"16:30:32"},{"id":151,"name":"Denver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547</v>
      </c>
      <c r="B121" s="7">
        <v>4045</v>
      </c>
      <c r="C121" s="24" t="s">
        <v>106</v>
      </c>
      <c r="D121" s="24" t="s">
        <v>221</v>
      </c>
      <c r="E121" s="15">
        <v>42649.689143518517</v>
      </c>
      <c r="F121" s="15">
        <v>42649.695636574077</v>
      </c>
      <c r="G121" s="7">
        <v>2</v>
      </c>
      <c r="H121" s="15" t="s">
        <v>659</v>
      </c>
      <c r="I121" s="15">
        <v>42649.725995370369</v>
      </c>
      <c r="J121" s="7">
        <v>0</v>
      </c>
      <c r="K121" s="117" t="str">
        <f t="shared" si="50"/>
        <v>4045/4046</v>
      </c>
      <c r="L121" s="24" t="str">
        <f>VLOOKUP(A121,'Trips&amp;Operators'!$C$1:$E$10000,3,FALSE)</f>
        <v>CRAYTON</v>
      </c>
      <c r="M121" s="6">
        <f t="shared" si="51"/>
        <v>3.0358796291693579E-2</v>
      </c>
      <c r="N121" s="7">
        <f>24*60*SUM($M121:$M121)</f>
        <v>43.716666660038754</v>
      </c>
      <c r="O121" s="7"/>
      <c r="P121" s="7"/>
      <c r="Q121" s="25"/>
      <c r="R121" s="25"/>
      <c r="S121" s="37">
        <f t="shared" si="59"/>
        <v>1</v>
      </c>
      <c r="T121" s="52" t="str">
        <f t="shared" si="35"/>
        <v>Southbound</v>
      </c>
      <c r="U121" s="159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15:32:22-0600',mode:absolute,to:'2016-10-06 18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1" s="54" t="str">
        <f t="shared" si="53"/>
        <v>N</v>
      </c>
      <c r="X121" s="164">
        <f t="shared" si="54"/>
        <v>1</v>
      </c>
      <c r="Y121" s="69">
        <f t="shared" si="55"/>
        <v>23.297699999999999</v>
      </c>
      <c r="Z121" s="69">
        <f t="shared" si="60"/>
        <v>1.3599999999999999E-2</v>
      </c>
      <c r="AA121" s="69">
        <f t="shared" si="56"/>
        <v>23.284099999999999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41"/>
        <v>0198-06</v>
      </c>
      <c r="AE121" s="95" t="str">
        <f t="shared" si="57"/>
        <v>aws s3 cp s3://rtdc.mdm.uploadarchive.raw/RTDC4045/ "%USERPROFILE%\AppData\Local\Temp\OnboardLogs"\RTDC4045\2016-10-06 --exclude "*" --recursive --include "*20161006*" &amp; "%USERPROFILE%\Documents\GitHub\mrs-test-scripts\Headless Mode &amp; Sideloading\WalkAndUnGZ.bat" "%USERPROFILE%\AppData\Local\Temp\OnboardLogs"\RTDC4045\2016-10-06 &amp; 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</v>
      </c>
      <c r="AF121" s="92" t="str">
        <f t="shared" si="58"/>
        <v>"C:\Program Files (x86)\AstroGrep\AstroGrep.exe" /spath="%USERPROFILE%\AppData\Local\Temp\OnboardLogs" /stypes="app*4045*20161006*" /stext=" 23:.+((SYSTEM_STATE.+slice.+state.+changed )|(ment ac)|(system.+state.+changed )|(\[timeout)|(PRM\|1\|D)|(kpr)|(kdp)|(\|lc)|(penalty))" /e /r /s</v>
      </c>
      <c r="AG121" s="1" t="str">
        <f t="shared" si="44"/>
        <v>EC</v>
      </c>
      <c r="AH121" s="96" t="str">
        <f t="shared" si="45"/>
        <v>"%USERPROFILE%\Documents\GitHub\eaglep3\Utilities\RefineRTDCRunTimes.py" --tripid 198-06 --locoid 4045 --swversion DE.1.0.7.0 --startMP 204:232977 --initTime 2016-10-06T16:32:22 --startdatetime 2016-10-06T16:41:43 --delay 2 --endMP 204:136 --enddatetime 2016-10-06T17:25:26 --enforcementcount 0 &gt;&gt;C:\Users\stu\Documents\GitHub\eaglep3-reporting\EC\2016-10-06-refined-times.txt</v>
      </c>
      <c r="AI121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{"issue":{"subject":"","project_id":79,"tracker_id":40,"status_id":1,"priority_id":2,"assigned_to_id":23,"start_date":"2016-10-06","description":"","custom_fields":[{"id":1,"name":"Subdivision","value":"EC"},{"id":4,"name":"Milepost","value":"0.0136"},{"id":17,"name":"Train ID","value":"198-06"},{"id":16,"name":"Locomotive ID","value":"4045"},{"id":130,"name":"Impact","value":""},{"id":150,"name":"Time of Event (Mountain Time)","value":"17:25:26"},{"id":151,"name":"Denver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539</v>
      </c>
      <c r="B122" s="7">
        <v>4031</v>
      </c>
      <c r="C122" s="24" t="s">
        <v>106</v>
      </c>
      <c r="D122" s="24" t="s">
        <v>696</v>
      </c>
      <c r="E122" s="15">
        <v>42649.688356481478</v>
      </c>
      <c r="F122" s="15">
        <v>42649.688993055555</v>
      </c>
      <c r="G122" s="7">
        <v>0</v>
      </c>
      <c r="H122" s="15" t="s">
        <v>697</v>
      </c>
      <c r="I122" s="15">
        <v>42649.690821759257</v>
      </c>
      <c r="J122" s="7">
        <v>1</v>
      </c>
      <c r="K122" s="117" t="str">
        <f t="shared" si="50"/>
        <v>4031/4032</v>
      </c>
      <c r="L122" s="24" t="str">
        <f>VLOOKUP(A122,'Trips&amp;Operators'!$C$1:$E$10000,3,FALSE)</f>
        <v>STORY</v>
      </c>
      <c r="M122" s="6">
        <f t="shared" si="51"/>
        <v>1.8287037019035779E-3</v>
      </c>
      <c r="N122" s="7"/>
      <c r="O122" s="7"/>
      <c r="P122" s="7">
        <f>24*60*SUM($M122:$M123)</f>
        <v>28.783333335304633</v>
      </c>
      <c r="Q122" s="25"/>
      <c r="R122" s="25" t="s">
        <v>832</v>
      </c>
      <c r="S122" s="37">
        <f>SUM(U122:U123)/IF(AG122="EC",12,1)</f>
        <v>1</v>
      </c>
      <c r="T122" s="52" t="str">
        <f t="shared" si="35"/>
        <v>NorthBound</v>
      </c>
      <c r="U122" s="159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0</v>
      </c>
      <c r="V122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15:31:14-0600',mode:absolute,to:'2016-10-06 17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2" s="54" t="str">
        <f t="shared" si="53"/>
        <v>Y</v>
      </c>
      <c r="X122" s="164">
        <f t="shared" si="54"/>
        <v>1</v>
      </c>
      <c r="Y122" s="69">
        <f t="shared" si="55"/>
        <v>12.8261</v>
      </c>
      <c r="Z122" s="69">
        <f t="shared" si="60"/>
        <v>13.2727</v>
      </c>
      <c r="AA122" s="69">
        <f t="shared" si="56"/>
        <v>0.44660000000000011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41"/>
        <v>0199-06</v>
      </c>
      <c r="AE122" s="95" t="str">
        <f t="shared" si="57"/>
        <v>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 &amp; aws s3 cp s3://rtdc.mdm.uploadarchive.raw/RTDC4031/ "%USERPROFILE%\AppData\Local\Temp\OnboardLogs"\RTDC4031\2016-10-07 --exclude "*" --recursive --include "*20161007*" &amp; "%USERPROFILE%\Documents\GitHub\mrs-test-scripts\Headless Mode &amp; Sideloading\WalkAndUnGZ.bat" "%USERPROFILE%\AppData\Local\Temp\OnboardLogs"\RTDC4031\2016-10-07</v>
      </c>
      <c r="AF122" s="92" t="str">
        <f t="shared" si="58"/>
        <v>"C:\Program Files (x86)\AstroGrep\AstroGrep.exe" /spath="%USERPROFILE%\AppData\Local\Temp\OnboardLogs" /stypes="app*4031*20161006*" /stext=" 22:.+((SYSTEM_STATE.+slice.+state.+changed )|(ment ac)|(system.+state.+changed )|(\[timeout)|(PRM\|1\|D)|(kpr)|(kdp)|(\|lc)|(penalty))" /e /r /s</v>
      </c>
      <c r="AG122" s="1" t="str">
        <f t="shared" si="44"/>
        <v>EC</v>
      </c>
      <c r="AH122" s="96" t="str">
        <f t="shared" si="45"/>
        <v>"%USERPROFILE%\Documents\GitHub\eaglep3\Utilities\RefineRTDCRunTimes.py" --tripid 199-06 --locoid 4031 --swversion DE.1.0.7.0 --startMP 204:128261 --initTime 2016-10-06T16:31:14 --startdatetime 2016-10-06T16:32:09 --delay 0 --endMP 204:132727 --enddatetime 2016-10-06T16:34:47 --enforcementcount 1 &gt;&gt;C:\Users\stu\Documents\GitHub\eaglep3-reporting\EC\2016-10-06-refined-times.txt</v>
      </c>
      <c r="AI122" s="130" t="str">
        <f t="shared" si="46"/>
        <v>echo {"issue":{"subject":"CP 61st ELXS failure","project_id":79,"tracker_id":40,"status_id":1,"priority_id":2,"assigned_to_id":23,"start_date":"2016-10-06","description":"","custom_fields":[{"id":1,"name":"Subdivision","value":"EC"},{"id":4,"name":"Milepost","value":"13.2727"},{"id":17,"name":"Train ID","value":"199-06"},{"id":16,"name":"Locomotive ID","value":"4031"},{"id":130,"name":"Impact","value":""},{"id":150,"name":"Time of Event (Mountain Time)","value":"16:34:47"},{"id":151,"name":"Denver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539</v>
      </c>
      <c r="B123" s="7">
        <v>4031</v>
      </c>
      <c r="C123" s="24" t="s">
        <v>106</v>
      </c>
      <c r="D123" s="24" t="s">
        <v>698</v>
      </c>
      <c r="E123" s="15">
        <v>42649.666643518518</v>
      </c>
      <c r="F123" s="15">
        <v>42649.668437499997</v>
      </c>
      <c r="G123" s="7">
        <v>2</v>
      </c>
      <c r="H123" s="15" t="s">
        <v>699</v>
      </c>
      <c r="I123" s="15">
        <v>42649.686597222222</v>
      </c>
      <c r="J123" s="7">
        <v>0</v>
      </c>
      <c r="K123" s="117" t="str">
        <f t="shared" si="50"/>
        <v>4031/4032</v>
      </c>
      <c r="L123" s="24" t="str">
        <f>VLOOKUP(A123,'Trips&amp;Operators'!$C$1:$E$10000,3,FALSE)</f>
        <v>STORY</v>
      </c>
      <c r="M123" s="6">
        <f t="shared" si="51"/>
        <v>1.8159722225391306E-2</v>
      </c>
      <c r="N123" s="7"/>
      <c r="O123" s="7"/>
      <c r="P123" s="7"/>
      <c r="Q123" s="25"/>
      <c r="R123" s="25"/>
      <c r="S123" s="37"/>
      <c r="T123" s="52" t="str">
        <f t="shared" si="35"/>
        <v>NorthBound</v>
      </c>
      <c r="U123" s="159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14:59:58-0600',mode:absolute,to:'2016-10-06 17:28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3" s="54" t="str">
        <f t="shared" si="53"/>
        <v>Y</v>
      </c>
      <c r="X123" s="164">
        <f t="shared" si="54"/>
        <v>0</v>
      </c>
      <c r="Y123" s="69">
        <f t="shared" si="55"/>
        <v>5.5100000000000003E-2</v>
      </c>
      <c r="Z123" s="69">
        <f t="shared" si="60"/>
        <v>12.576700000000001</v>
      </c>
      <c r="AA123" s="69">
        <f t="shared" si="56"/>
        <v>12.521600000000001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41"/>
        <v>0199-06</v>
      </c>
      <c r="AE123" s="95" t="str">
        <f t="shared" si="57"/>
        <v>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 &amp; aws s3 cp s3://rtdc.mdm.uploadarchive.raw/RTDC4031/ "%USERPROFILE%\AppData\Local\Temp\OnboardLogs"\RTDC4031\2016-10-07 --exclude "*" --recursive --include "*20161007*" &amp; "%USERPROFILE%\Documents\GitHub\mrs-test-scripts\Headless Mode &amp; Sideloading\WalkAndUnGZ.bat" "%USERPROFILE%\AppData\Local\Temp\OnboardLogs"\RTDC4031\2016-10-07</v>
      </c>
      <c r="AF123" s="92" t="str">
        <f t="shared" si="58"/>
        <v>"C:\Program Files (x86)\AstroGrep\AstroGrep.exe" /spath="%USERPROFILE%\AppData\Local\Temp\OnboardLogs" /stypes="app*4031*20161006*" /stext=" 22:.+((SYSTEM_STATE.+slice.+state.+changed )|(ment ac)|(system.+state.+changed )|(\[timeout)|(PRM\|1\|D)|(kpr)|(kdp)|(\|lc)|(penalty))" /e /r /s</v>
      </c>
      <c r="AG123" s="1" t="str">
        <f t="shared" si="44"/>
        <v>EC</v>
      </c>
      <c r="AH123" s="96" t="str">
        <f t="shared" si="45"/>
        <v>"%USERPROFILE%\Documents\GitHub\eaglep3\Utilities\RefineRTDCRunTimes.py" --tripid 199-06 --locoid 4031 --swversion DE.1.0.7.0 --startMP 204:551 --initTime 2016-10-06T15:59:58 --startdatetime 2016-10-06T16:02:33 --delay 2 --endMP 204:125767 --enddatetime 2016-10-06T16:28:42 --enforcementcount 0 &gt;&gt;C:\Users\stu\Documents\GitHub\eaglep3-reporting\EC\2016-10-06-refined-times.txt</v>
      </c>
      <c r="AI123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{"issue":{"subject":"","project_id":79,"tracker_id":40,"status_id":1,"priority_id":2,"assigned_to_id":23,"start_date":"2016-10-06","description":"","custom_fields":[{"id":1,"name":"Subdivision","value":"EC"},{"id":4,"name":"Milepost","value":"12.5767"},{"id":17,"name":"Train ID","value":"199-06"},{"id":16,"name":"Locomotive ID","value":"4031"},{"id":130,"name":"Impact","value":""},{"id":150,"name":"Time of Event (Mountain Time)","value":"16:28:42"},{"id":151,"name":"Denver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553</v>
      </c>
      <c r="B124" s="7">
        <v>4032</v>
      </c>
      <c r="C124" s="24" t="s">
        <v>106</v>
      </c>
      <c r="D124" s="24" t="s">
        <v>265</v>
      </c>
      <c r="E124" s="15">
        <v>42649.707928240743</v>
      </c>
      <c r="F124" s="15">
        <v>42649.709467592591</v>
      </c>
      <c r="G124" s="7">
        <v>1</v>
      </c>
      <c r="H124" s="15" t="s">
        <v>276</v>
      </c>
      <c r="I124" s="15">
        <v>42649.736226851855</v>
      </c>
      <c r="J124" s="7">
        <v>0</v>
      </c>
      <c r="K124" s="117" t="str">
        <f t="shared" si="50"/>
        <v>4031/4032</v>
      </c>
      <c r="L124" s="24" t="str">
        <f>VLOOKUP(A124,'Trips&amp;Operators'!$C$1:$E$10000,3,FALSE)</f>
        <v>STORY</v>
      </c>
      <c r="M124" s="6">
        <f t="shared" si="51"/>
        <v>2.6759259264508728E-2</v>
      </c>
      <c r="N124" s="7">
        <f>24*60*SUM($M124:$M124)</f>
        <v>38.533333340892568</v>
      </c>
      <c r="O124" s="7"/>
      <c r="P124" s="7"/>
      <c r="Q124" s="25"/>
      <c r="R124" s="25"/>
      <c r="S124" s="37">
        <f t="shared" ref="S124:S164" si="61">SUM(U124:U124)/IF(AG124="EC",12,1)</f>
        <v>1</v>
      </c>
      <c r="T124" s="52" t="str">
        <f t="shared" si="35"/>
        <v>Southbound</v>
      </c>
      <c r="U124" s="159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15:59:25-0600',mode:absolute,to:'2016-10-06 18:40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4" s="54" t="str">
        <f t="shared" si="53"/>
        <v>N</v>
      </c>
      <c r="X124" s="164">
        <f t="shared" si="54"/>
        <v>1</v>
      </c>
      <c r="Y124" s="69">
        <f t="shared" si="55"/>
        <v>23.302099999999999</v>
      </c>
      <c r="Z124" s="69">
        <f t="shared" si="60"/>
        <v>1.32E-2</v>
      </c>
      <c r="AA124" s="69">
        <f t="shared" si="56"/>
        <v>23.288899999999998</v>
      </c>
      <c r="AB124" s="66" t="str">
        <f>VLOOKUP(A124,Enforcements!$C$7:$K$21,8,0)</f>
        <v>Bulletin (2)</v>
      </c>
      <c r="AC124" s="62" t="str">
        <f>VLOOKUP(A124,Enforcements!$C$7:$E$21,3,0)</f>
        <v>GRADE CROSSING</v>
      </c>
      <c r="AD124" s="63" t="str">
        <f t="shared" si="41"/>
        <v>0200-06</v>
      </c>
      <c r="AE124" s="95" t="str">
        <f t="shared" si="57"/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AF124" s="92" t="str">
        <f t="shared" si="58"/>
        <v>"C:\Program Files (x86)\AstroGrep\AstroGrep.exe" /spath="%USERPROFILE%\AppData\Local\Temp\OnboardLogs" /stypes="app*4032*20161006*" /stext=" 23:.+((SYSTEM_STATE.+slice.+state.+changed )|(ment ac)|(system.+state.+changed )|(\[timeout)|(PRM\|1\|D)|(kpr)|(kdp)|(\|lc)|(penalty))" /e /r /s</v>
      </c>
      <c r="AG124" s="1" t="str">
        <f t="shared" si="44"/>
        <v>EC</v>
      </c>
      <c r="AH124" s="96" t="str">
        <f t="shared" si="45"/>
        <v>"%USERPROFILE%\Documents\GitHub\eaglep3\Utilities\RefineRTDCRunTimes.py" --tripid 200-06 --locoid 4032 --swversion DE.1.0.7.0 --startMP 204:233021 --initTime 2016-10-06T16:59:25 --startdatetime 2016-10-06T17:01:38 --delay 1 --endMP 204:132 --enddatetime 2016-10-06T17:40:10 --enforcementcount 0 &gt;&gt;C:\Users\stu\Documents\GitHub\eaglep3-reporting\EC\2016-10-06-refined-times.txt</v>
      </c>
      <c r="AI124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{"issue":{"subject":"","project_id":79,"tracker_id":40,"status_id":1,"priority_id":2,"assigned_to_id":23,"start_date":"2016-10-06","description":"","custom_fields":[{"id":1,"name":"Subdivision","value":"EC"},{"id":4,"name":"Milepost","value":"0.0132"},{"id":17,"name":"Train ID","value":"200-06"},{"id":16,"name":"Locomotive ID","value":"4032"},{"id":130,"name":"Impact","value":""},{"id":150,"name":"Time of Event (Mountain Time)","value":"17:40:10"},{"id":151,"name":"Denver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543</v>
      </c>
      <c r="B125" s="7">
        <v>4027</v>
      </c>
      <c r="C125" s="24" t="s">
        <v>106</v>
      </c>
      <c r="D125" s="24" t="s">
        <v>358</v>
      </c>
      <c r="E125" s="15">
        <v>42649.673796296294</v>
      </c>
      <c r="F125" s="15">
        <v>42649.677268518521</v>
      </c>
      <c r="G125" s="7">
        <v>1</v>
      </c>
      <c r="H125" s="15" t="s">
        <v>700</v>
      </c>
      <c r="I125" s="15">
        <v>42649.693229166667</v>
      </c>
      <c r="J125" s="7">
        <v>0</v>
      </c>
      <c r="K125" s="117" t="str">
        <f t="shared" si="50"/>
        <v>4027/4028</v>
      </c>
      <c r="L125" s="24" t="str">
        <f>VLOOKUP(A125,'Trips&amp;Operators'!$C$1:$E$10000,3,FALSE)</f>
        <v>BONDS</v>
      </c>
      <c r="M125" s="6">
        <f t="shared" si="51"/>
        <v>1.5960648146574385E-2</v>
      </c>
      <c r="N125" s="7"/>
      <c r="O125" s="7"/>
      <c r="P125" s="7">
        <f>24*60*SUM($M125:$M125)</f>
        <v>22.983333331067115</v>
      </c>
      <c r="Q125" s="25"/>
      <c r="R125" s="25" t="s">
        <v>832</v>
      </c>
      <c r="S125" s="37">
        <f t="shared" si="61"/>
        <v>1</v>
      </c>
      <c r="T125" s="52" t="str">
        <f t="shared" si="35"/>
        <v>NorthBound</v>
      </c>
      <c r="U125" s="159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15:10:16-0600',mode:absolute,to:'2016-10-06 17:38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25" s="54" t="str">
        <f t="shared" si="53"/>
        <v>Y</v>
      </c>
      <c r="X125" s="164">
        <f t="shared" si="54"/>
        <v>1</v>
      </c>
      <c r="Y125" s="69">
        <f t="shared" si="55"/>
        <v>4.7300000000000002E-2</v>
      </c>
      <c r="Z125" s="69">
        <f t="shared" si="60"/>
        <v>12.579599999999999</v>
      </c>
      <c r="AA125" s="69">
        <f t="shared" si="56"/>
        <v>12.532299999999999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41"/>
        <v>0201-06</v>
      </c>
      <c r="AE125" s="95" t="str">
        <f t="shared" si="57"/>
        <v>aws s3 cp s3://rtdc.mdm.uploadarchive.raw/RTDC4027/ "%USERPROFILE%\AppData\Local\Temp\OnboardLogs"\RTDC4027\2016-10-06 --exclude "*" --recursive --include "*20161006*" &amp; "%USERPROFILE%\Documents\GitHub\mrs-test-scripts\Headless Mode &amp; Sideloading\WalkAndUnGZ.bat" "%USERPROFILE%\AppData\Local\Temp\OnboardLogs"\RTDC4027\2016-10-06 &amp; aws s3 cp s3://rtdc.mdm.uploadarchive.raw/RTDC4027/ "%USERPROFILE%\AppData\Local\Temp\OnboardLogs"\RTDC4027\2016-10-07 --exclude "*" --recursive --include "*20161007*" &amp; "%USERPROFILE%\Documents\GitHub\mrs-test-scripts\Headless Mode &amp; Sideloading\WalkAndUnGZ.bat" "%USERPROFILE%\AppData\Local\Temp\OnboardLogs"\RTDC4027\2016-10-07</v>
      </c>
      <c r="AF125" s="92" t="str">
        <f t="shared" si="58"/>
        <v>"C:\Program Files (x86)\AstroGrep\AstroGrep.exe" /spath="%USERPROFILE%\AppData\Local\Temp\OnboardLogs" /stypes="app*4027*20161006*" /stext=" 22:.+((SYSTEM_STATE.+slice.+state.+changed )|(ment ac)|(system.+state.+changed )|(\[timeout)|(PRM\|1\|D)|(kpr)|(kdp)|(\|lc)|(penalty))" /e /r /s</v>
      </c>
      <c r="AG125" s="1" t="str">
        <f t="shared" si="44"/>
        <v>EC</v>
      </c>
      <c r="AH125" s="96" t="str">
        <f t="shared" si="45"/>
        <v>"%USERPROFILE%\Documents\GitHub\eaglep3\Utilities\RefineRTDCRunTimes.py" --tripid 201-06 --locoid 4027 --swversion DE.1.0.7.0 --startMP 204:473 --initTime 2016-10-06T16:10:16 --startdatetime 2016-10-06T16:15:16 --delay 1 --endMP 204:125796 --enddatetime 2016-10-06T16:38:15 --enforcementcount 0 &gt;&gt;C:\Users\stu\Documents\GitHub\eaglep3-reporting\EC\2016-10-06-refined-times.txt</v>
      </c>
      <c r="AI125" s="130" t="str">
        <f t="shared" si="46"/>
        <v>echo {"issue":{"subject":"CP 61st ELXS failure","project_id":79,"tracker_id":40,"status_id":1,"priority_id":2,"assigned_to_id":23,"start_date":"2016-10-06","description":"","custom_fields":[{"id":1,"name":"Subdivision","value":"EC"},{"id":4,"name":"Milepost","value":"12.5796"},{"id":17,"name":"Train ID","value":"201-06"},{"id":16,"name":"Locomotive ID","value":"4027"},{"id":130,"name":"Impact","value":""},{"id":150,"name":"Time of Event (Mountain Time)","value":"16:38:15"},{"id":151,"name":"Denver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555</v>
      </c>
      <c r="B126" s="7">
        <v>4028</v>
      </c>
      <c r="C126" s="24" t="s">
        <v>106</v>
      </c>
      <c r="D126" s="24" t="s">
        <v>701</v>
      </c>
      <c r="E126" s="15">
        <v>42649.713819444441</v>
      </c>
      <c r="F126" s="15">
        <v>42649.718587962961</v>
      </c>
      <c r="G126" s="7">
        <v>1</v>
      </c>
      <c r="H126" s="15" t="s">
        <v>194</v>
      </c>
      <c r="I126" s="15">
        <v>42649.747407407405</v>
      </c>
      <c r="J126" s="7">
        <v>0</v>
      </c>
      <c r="K126" s="117" t="str">
        <f t="shared" si="50"/>
        <v>4027/4028</v>
      </c>
      <c r="L126" s="24" t="str">
        <f>VLOOKUP(A126,'Trips&amp;Operators'!$C$1:$E$10000,3,FALSE)</f>
        <v>BONDS</v>
      </c>
      <c r="M126" s="6">
        <f t="shared" si="51"/>
        <v>2.8819444443797693E-2</v>
      </c>
      <c r="N126" s="7">
        <f>24*60*SUM($M126:$M126)</f>
        <v>41.499999999068677</v>
      </c>
      <c r="O126" s="7"/>
      <c r="P126" s="7"/>
      <c r="Q126" s="25"/>
      <c r="R126" s="25"/>
      <c r="S126" s="37">
        <f t="shared" si="61"/>
        <v>1</v>
      </c>
      <c r="T126" s="52" t="str">
        <f t="shared" si="35"/>
        <v>Southbound</v>
      </c>
      <c r="U126" s="159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16:07:54-0600',mode:absolute,to:'2016-10-06 18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6" s="54" t="str">
        <f t="shared" si="53"/>
        <v>N</v>
      </c>
      <c r="X126" s="164">
        <f t="shared" si="54"/>
        <v>1</v>
      </c>
      <c r="Y126" s="69">
        <f t="shared" si="55"/>
        <v>23.296700000000001</v>
      </c>
      <c r="Z126" s="69">
        <f t="shared" si="60"/>
        <v>1.47E-2</v>
      </c>
      <c r="AA126" s="69">
        <f t="shared" si="56"/>
        <v>23.282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41"/>
        <v>0202-06</v>
      </c>
      <c r="AE126" s="95" t="str">
        <f t="shared" si="57"/>
        <v>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 &amp; aws s3 cp s3://rtdc.mdm.uploadarchive.raw/RTDC4028/ "%USERPROFILE%\AppData\Local\Temp\OnboardLogs"\RTDC4028\2016-10-07 --exclude "*" --recursive --include "*20161007*" &amp; "%USERPROFILE%\Documents\GitHub\mrs-test-scripts\Headless Mode &amp; Sideloading\WalkAndUnGZ.bat" "%USERPROFILE%\AppData\Local\Temp\OnboardLogs"\RTDC4028\2016-10-07</v>
      </c>
      <c r="AF126" s="92" t="str">
        <f t="shared" si="58"/>
        <v>"C:\Program Files (x86)\AstroGrep\AstroGrep.exe" /spath="%USERPROFILE%\AppData\Local\Temp\OnboardLogs" /stypes="app*4028*20161006*" /stext=" 23:.+((SYSTEM_STATE.+slice.+state.+changed )|(ment ac)|(system.+state.+changed )|(\[timeout)|(PRM\|1\|D)|(kpr)|(kdp)|(\|lc)|(penalty))" /e /r /s</v>
      </c>
      <c r="AG126" s="1" t="str">
        <f t="shared" si="44"/>
        <v>EC</v>
      </c>
      <c r="AH126" s="96" t="str">
        <f t="shared" si="45"/>
        <v>"%USERPROFILE%\Documents\GitHub\eaglep3\Utilities\RefineRTDCRunTimes.py" --tripid 202-06 --locoid 4028 --swversion DE.1.0.7.0 --startMP 204:232967 --initTime 2016-10-06T17:07:54 --startdatetime 2016-10-06T17:14:46 --delay 1 --endMP 204:147 --enddatetime 2016-10-06T17:56:16 --enforcementcount 0 &gt;&gt;C:\Users\stu\Documents\GitHub\eaglep3-reporting\EC\2016-10-06-refined-times.txt</v>
      </c>
      <c r="AI126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{"issue":{"subject":"","project_id":79,"tracker_id":40,"status_id":1,"priority_id":2,"assigned_to_id":23,"start_date":"2016-10-06","description":"","custom_fields":[{"id":1,"name":"Subdivision","value":"EC"},{"id":4,"name":"Milepost","value":"0.0147"},{"id":17,"name":"Train ID","value":"202-06"},{"id":16,"name":"Locomotive ID","value":"4028"},{"id":130,"name":"Impact","value":""},{"id":150,"name":"Time of Event (Mountain Time)","value":"17:56:16"},{"id":151,"name":"Denver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546</v>
      </c>
      <c r="B127" s="7">
        <v>4044</v>
      </c>
      <c r="C127" s="24" t="s">
        <v>106</v>
      </c>
      <c r="D127" s="24" t="s">
        <v>200</v>
      </c>
      <c r="E127" s="15">
        <v>42649.687245370369</v>
      </c>
      <c r="F127" s="15">
        <v>42649.688958333332</v>
      </c>
      <c r="G127" s="7">
        <v>1</v>
      </c>
      <c r="H127" s="15" t="s">
        <v>702</v>
      </c>
      <c r="I127" s="15">
        <v>42649.704791666663</v>
      </c>
      <c r="J127" s="7">
        <v>0</v>
      </c>
      <c r="K127" s="117" t="str">
        <f t="shared" si="50"/>
        <v>4043/4044</v>
      </c>
      <c r="L127" s="24" t="str">
        <f>VLOOKUP(A127,'Trips&amp;Operators'!$C$1:$E$10000,3,FALSE)</f>
        <v>SHOOK</v>
      </c>
      <c r="M127" s="6">
        <f t="shared" si="51"/>
        <v>1.583333333110204E-2</v>
      </c>
      <c r="N127" s="7"/>
      <c r="O127" s="7"/>
      <c r="P127" s="7">
        <f>24*60*SUM($M127:$M127)</f>
        <v>22.799999996786937</v>
      </c>
      <c r="Q127" s="25"/>
      <c r="R127" s="25" t="s">
        <v>832</v>
      </c>
      <c r="S127" s="37">
        <f t="shared" si="61"/>
        <v>1</v>
      </c>
      <c r="T127" s="52" t="str">
        <f t="shared" si="35"/>
        <v>NorthBound</v>
      </c>
      <c r="U127" s="159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15:29:38-0600',mode:absolute,to:'2016-10-06 17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7" s="54" t="str">
        <f t="shared" si="53"/>
        <v>Y</v>
      </c>
      <c r="X127" s="164">
        <f t="shared" si="54"/>
        <v>1</v>
      </c>
      <c r="Y127" s="69">
        <f t="shared" si="55"/>
        <v>4.6600000000000003E-2</v>
      </c>
      <c r="Z127" s="69">
        <f t="shared" si="60"/>
        <v>12.605700000000001</v>
      </c>
      <c r="AA127" s="69">
        <f t="shared" si="56"/>
        <v>12.559100000000001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41"/>
        <v>0203-06</v>
      </c>
      <c r="AE127" s="95" t="str">
        <f t="shared" si="57"/>
        <v>aws s3 cp s3://rtdc.mdm.uploadarchive.raw/RTDC4044/ "%USERPROFILE%\AppData\Local\Temp\OnboardLogs"\RTDC4044\2016-10-06 --exclude "*" --recursive --include "*20161006*" &amp; "%USERPROFILE%\Documents\GitHub\mrs-test-scripts\Headless Mode &amp; Sideloading\WalkAndUnGZ.bat" "%USERPROFILE%\AppData\Local\Temp\OnboardLogs"\RTDC4044\2016-10-06 &amp; aws s3 cp s3://rtdc.mdm.uploadarchive.raw/RTDC4044/ "%USERPROFILE%\AppData\Local\Temp\OnboardLogs"\RTDC4044\2016-10-07 --exclude "*" --recursive --include "*20161007*" &amp; "%USERPROFILE%\Documents\GitHub\mrs-test-scripts\Headless Mode &amp; Sideloading\WalkAndUnGZ.bat" "%USERPROFILE%\AppData\Local\Temp\OnboardLogs"\RTDC4044\2016-10-07</v>
      </c>
      <c r="AF127" s="92" t="str">
        <f t="shared" si="58"/>
        <v>"C:\Program Files (x86)\AstroGrep\AstroGrep.exe" /spath="%USERPROFILE%\AppData\Local\Temp\OnboardLogs" /stypes="app*4044*20161006*" /stext=" 22:.+((SYSTEM_STATE.+slice.+state.+changed )|(ment ac)|(system.+state.+changed )|(\[timeout)|(PRM\|1\|D)|(kpr)|(kdp)|(\|lc)|(penalty))" /e /r /s</v>
      </c>
      <c r="AG127" s="1" t="str">
        <f t="shared" si="44"/>
        <v>EC</v>
      </c>
      <c r="AH127" s="96" t="str">
        <f t="shared" si="45"/>
        <v>"%USERPROFILE%\Documents\GitHub\eaglep3\Utilities\RefineRTDCRunTimes.py" --tripid 203-06 --locoid 4044 --swversion DE.1.0.7.0 --startMP 204:466 --initTime 2016-10-06T16:29:38 --startdatetime 2016-10-06T16:32:06 --delay 1 --endMP 204:126057 --enddatetime 2016-10-06T16:54:54 --enforcementcount 0 &gt;&gt;C:\Users\stu\Documents\GitHub\eaglep3-reporting\EC\2016-10-06-refined-times.txt</v>
      </c>
      <c r="AI127" s="130" t="str">
        <f t="shared" si="46"/>
        <v>echo {"issue":{"subject":"CP 61st ELXS failure","project_id":79,"tracker_id":40,"status_id":1,"priority_id":2,"assigned_to_id":23,"start_date":"2016-10-06","description":"","custom_fields":[{"id":1,"name":"Subdivision","value":"EC"},{"id":4,"name":"Milepost","value":"12.6057"},{"id":17,"name":"Train ID","value":"203-06"},{"id":16,"name":"Locomotive ID","value":"4044"},{"id":130,"name":"Impact","value":""},{"id":150,"name":"Time of Event (Mountain Time)","value":"16:54:54"},{"id":151,"name":"Denver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560</v>
      </c>
      <c r="B128" s="7">
        <v>4043</v>
      </c>
      <c r="C128" s="24" t="s">
        <v>106</v>
      </c>
      <c r="D128" s="24" t="s">
        <v>703</v>
      </c>
      <c r="E128" s="15">
        <v>42649.722731481481</v>
      </c>
      <c r="F128" s="15">
        <v>42649.726585648146</v>
      </c>
      <c r="G128" s="7">
        <v>1</v>
      </c>
      <c r="H128" s="15" t="s">
        <v>198</v>
      </c>
      <c r="I128" s="15">
        <v>42649.754143518519</v>
      </c>
      <c r="J128" s="7">
        <v>0</v>
      </c>
      <c r="K128" s="117" t="str">
        <f t="shared" si="50"/>
        <v>4043/4044</v>
      </c>
      <c r="L128" s="24" t="str">
        <f>VLOOKUP(A128,'Trips&amp;Operators'!$C$1:$E$10000,3,FALSE)</f>
        <v>SHOOK</v>
      </c>
      <c r="M128" s="6">
        <f t="shared" si="51"/>
        <v>2.7557870373129845E-2</v>
      </c>
      <c r="N128" s="7">
        <f t="shared" ref="N128:N155" si="62">24*60*SUM($M128:$M128)</f>
        <v>39.683333337306976</v>
      </c>
      <c r="O128" s="7"/>
      <c r="P128" s="7"/>
      <c r="Q128" s="25"/>
      <c r="R128" s="25"/>
      <c r="S128" s="37">
        <f t="shared" si="61"/>
        <v>1</v>
      </c>
      <c r="T128" s="52" t="str">
        <f t="shared" si="35"/>
        <v>Southbound</v>
      </c>
      <c r="U128" s="159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16:20:44-0600',mode:absolute,to:'2016-10-06 19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8" s="54" t="str">
        <f t="shared" si="53"/>
        <v>N</v>
      </c>
      <c r="X128" s="164">
        <f t="shared" si="54"/>
        <v>1</v>
      </c>
      <c r="Y128" s="69">
        <f t="shared" si="55"/>
        <v>23.303599999999999</v>
      </c>
      <c r="Z128" s="69">
        <f t="shared" si="60"/>
        <v>1.52E-2</v>
      </c>
      <c r="AA128" s="69">
        <f t="shared" si="56"/>
        <v>23.288399999999999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41"/>
        <v>0204-06</v>
      </c>
      <c r="AE128" s="95" t="str">
        <f t="shared" si="57"/>
        <v>aws s3 cp s3://rtdc.mdm.uploadarchive.raw/RTDC4043/ "%USERPROFILE%\AppData\Local\Temp\OnboardLogs"\RTDC4043\2016-10-06 --exclude "*" --recursive --include "*20161006*" &amp; "%USERPROFILE%\Documents\GitHub\mrs-test-scripts\Headless Mode &amp; Sideloading\WalkAndUnGZ.bat" "%USERPROFILE%\AppData\Local\Temp\OnboardLogs"\RTDC4043\2016-10-06 &amp; aws s3 cp s3://rtdc.mdm.uploadarchive.raw/RTDC4043/ "%USERPROFILE%\AppData\Local\Temp\OnboardLogs"\RTDC4043\2016-10-07 --exclude "*" --recursive --include "*20161007*" &amp; "%USERPROFILE%\Documents\GitHub\mrs-test-scripts\Headless Mode &amp; Sideloading\WalkAndUnGZ.bat" "%USERPROFILE%\AppData\Local\Temp\OnboardLogs"\RTDC4043\2016-10-07</v>
      </c>
      <c r="AF128" s="92" t="str">
        <f t="shared" si="58"/>
        <v>"C:\Program Files (x86)\AstroGrep\AstroGrep.exe" /spath="%USERPROFILE%\AppData\Local\Temp\OnboardLogs" /stypes="app*4043*20161007*" /stext=" 00:.+((SYSTEM_STATE.+slice.+state.+changed )|(ment ac)|(system.+state.+changed )|(\[timeout)|(PRM\|1\|D)|(kpr)|(kdp)|(\|lc)|(penalty))" /e /r /s</v>
      </c>
      <c r="AG128" s="1" t="str">
        <f t="shared" si="44"/>
        <v>EC</v>
      </c>
      <c r="AH128" s="96" t="str">
        <f t="shared" si="45"/>
        <v>"%USERPROFILE%\Documents\GitHub\eaglep3\Utilities\RefineRTDCRunTimes.py" --tripid 204-06 --locoid 4043 --swversion DE.1.0.7.0 --startMP 204:233036 --initTime 2016-10-06T17:20:44 --startdatetime 2016-10-06T17:26:17 --delay 1 --endMP 204:152 --enddatetime 2016-10-06T18:05:58 --enforcementcount 0 &gt;&gt;C:\Users\stu\Documents\GitHub\eaglep3-reporting\EC\2016-10-06-refined-times.txt</v>
      </c>
      <c r="AI128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{"issue":{"subject":"","project_id":79,"tracker_id":40,"status_id":1,"priority_id":2,"assigned_to_id":23,"start_date":"2016-10-06","description":"","custom_fields":[{"id":1,"name":"Subdivision","value":"EC"},{"id":4,"name":"Milepost","value":"0.0152"},{"id":17,"name":"Train ID","value":"204-06"},{"id":16,"name":"Locomotive ID","value":"4043"},{"id":130,"name":"Impact","value":""},{"id":150,"name":"Time of Event (Mountain Time)","value":"18:05:58"},{"id":151,"name":"Denver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551</v>
      </c>
      <c r="B129" s="7">
        <v>4009</v>
      </c>
      <c r="C129" s="24" t="s">
        <v>106</v>
      </c>
      <c r="D129" s="24" t="s">
        <v>302</v>
      </c>
      <c r="E129" s="15">
        <v>42649.699340277781</v>
      </c>
      <c r="F129" s="15">
        <v>42649.700995370367</v>
      </c>
      <c r="G129" s="7">
        <v>1</v>
      </c>
      <c r="H129" s="15" t="s">
        <v>345</v>
      </c>
      <c r="I129" s="15">
        <v>42649.728206018517</v>
      </c>
      <c r="J129" s="7">
        <v>0</v>
      </c>
      <c r="K129" s="117" t="str">
        <f t="shared" si="50"/>
        <v>4009/4010</v>
      </c>
      <c r="L129" s="24" t="str">
        <f>VLOOKUP(A129,'Trips&amp;Operators'!$C$1:$E$10000,3,FALSE)</f>
        <v>MOSES</v>
      </c>
      <c r="M129" s="6">
        <f t="shared" si="51"/>
        <v>2.7210648149775807E-2</v>
      </c>
      <c r="N129" s="7">
        <f t="shared" si="62"/>
        <v>39.183333335677162</v>
      </c>
      <c r="O129" s="7"/>
      <c r="P129" s="7"/>
      <c r="Q129" s="25"/>
      <c r="R129" s="25"/>
      <c r="S129" s="37">
        <f t="shared" si="61"/>
        <v>1</v>
      </c>
      <c r="T129" s="52" t="str">
        <f t="shared" si="35"/>
        <v>NorthBound</v>
      </c>
      <c r="U129" s="159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15:47:03-0600',mode:absolute,to:'2016-10-06 18:28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9" s="54" t="str">
        <f t="shared" si="53"/>
        <v>N</v>
      </c>
      <c r="X129" s="164">
        <f t="shared" si="54"/>
        <v>1</v>
      </c>
      <c r="Y129" s="69">
        <f t="shared" si="55"/>
        <v>4.8399999999999999E-2</v>
      </c>
      <c r="Z129" s="69">
        <f t="shared" si="60"/>
        <v>23.328600000000002</v>
      </c>
      <c r="AA129" s="69">
        <f t="shared" si="56"/>
        <v>23.280200000000001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41"/>
        <v>0205-06</v>
      </c>
      <c r="AE129" s="95" t="str">
        <f t="shared" si="57"/>
        <v>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 &amp; aws s3 cp s3://rtdc.mdm.uploadarchive.raw/RTDC4009/ "%USERPROFILE%\AppData\Local\Temp\OnboardLogs"\RTDC4009\2016-10-07 --exclude "*" --recursive --include "*20161007*" &amp; "%USERPROFILE%\Documents\GitHub\mrs-test-scripts\Headless Mode &amp; Sideloading\WalkAndUnGZ.bat" "%USERPROFILE%\AppData\Local\Temp\OnboardLogs"\RTDC4009\2016-10-07</v>
      </c>
      <c r="AF129" s="92" t="str">
        <f t="shared" si="58"/>
        <v>"C:\Program Files (x86)\AstroGrep\AstroGrep.exe" /spath="%USERPROFILE%\AppData\Local\Temp\OnboardLogs" /stypes="app*4009*20161006*" /stext=" 23:.+((SYSTEM_STATE.+slice.+state.+changed )|(ment ac)|(system.+state.+changed )|(\[timeout)|(PRM\|1\|D)|(kpr)|(kdp)|(\|lc)|(penalty))" /e /r /s</v>
      </c>
      <c r="AG129" s="1" t="str">
        <f t="shared" si="44"/>
        <v>EC</v>
      </c>
      <c r="AH129" s="96" t="str">
        <f t="shared" si="45"/>
        <v>"%USERPROFILE%\Documents\GitHub\eaglep3\Utilities\RefineRTDCRunTimes.py" --tripid 205-06 --locoid 4009 --swversion DE.1.0.7.0 --startMP 204:484 --initTime 2016-10-06T16:47:03 --startdatetime 2016-10-06T16:49:26 --delay 1 --endMP 204:233286 --enddatetime 2016-10-06T17:28:37 --enforcementcount 0 &gt;&gt;C:\Users\stu\Documents\GitHub\eaglep3-reporting\EC\2016-10-06-refined-times.txt</v>
      </c>
      <c r="AI129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{"issue":{"subject":"","project_id":79,"tracker_id":40,"status_id":1,"priority_id":2,"assigned_to_id":23,"start_date":"2016-10-06","description":"","custom_fields":[{"id":1,"name":"Subdivision","value":"EC"},{"id":4,"name":"Milepost","value":"23.3286"},{"id":17,"name":"Train ID","value":"205-06"},{"id":16,"name":"Locomotive ID","value":"4009"},{"id":130,"name":"Impact","value":""},{"id":150,"name":"Time of Event (Mountain Time)","value":"17:28:37"},{"id":151,"name":"Denver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562</v>
      </c>
      <c r="B130" s="7">
        <v>4010</v>
      </c>
      <c r="C130" s="24" t="s">
        <v>106</v>
      </c>
      <c r="D130" s="24" t="s">
        <v>704</v>
      </c>
      <c r="E130" s="15">
        <v>42649.732268518521</v>
      </c>
      <c r="F130" s="15">
        <v>42649.737013888887</v>
      </c>
      <c r="G130" s="7">
        <v>2</v>
      </c>
      <c r="H130" s="15" t="s">
        <v>668</v>
      </c>
      <c r="I130" s="15">
        <v>42649.765081018515</v>
      </c>
      <c r="J130" s="7">
        <v>0</v>
      </c>
      <c r="K130" s="117" t="str">
        <f t="shared" si="50"/>
        <v>4009/4010</v>
      </c>
      <c r="L130" s="24" t="str">
        <f>VLOOKUP(A130,'Trips&amp;Operators'!$C$1:$E$10000,3,FALSE)</f>
        <v>MOSES</v>
      </c>
      <c r="M130" s="6">
        <f t="shared" si="51"/>
        <v>2.806712962774327E-2</v>
      </c>
      <c r="N130" s="7">
        <f t="shared" si="62"/>
        <v>40.416666663950309</v>
      </c>
      <c r="O130" s="7"/>
      <c r="P130" s="7"/>
      <c r="Q130" s="25"/>
      <c r="R130" s="25"/>
      <c r="S130" s="37">
        <f t="shared" si="61"/>
        <v>1</v>
      </c>
      <c r="T130" s="52" t="str">
        <f t="shared" si="35"/>
        <v>Southbound</v>
      </c>
      <c r="U130" s="159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16:34:28-0600',mode:absolute,to:'2016-10-06 19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0" s="54" t="str">
        <f t="shared" si="53"/>
        <v>N</v>
      </c>
      <c r="X130" s="164">
        <f t="shared" si="54"/>
        <v>1</v>
      </c>
      <c r="Y130" s="69">
        <f t="shared" si="55"/>
        <v>23.296500000000002</v>
      </c>
      <c r="Z130" s="69">
        <f t="shared" si="60"/>
        <v>1.43E-2</v>
      </c>
      <c r="AA130" s="69">
        <f t="shared" si="56"/>
        <v>23.282200000000003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41"/>
        <v>0206-06</v>
      </c>
      <c r="AE130" s="95" t="str">
        <f t="shared" si="57"/>
        <v>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 &amp; aws s3 cp s3://rtdc.mdm.uploadarchive.raw/RTDC4010/ "%USERPROFILE%\AppData\Local\Temp\OnboardLogs"\RTDC4010\2016-10-07 --exclude "*" --recursive --include "*20161007*" &amp; "%USERPROFILE%\Documents\GitHub\mrs-test-scripts\Headless Mode &amp; Sideloading\WalkAndUnGZ.bat" "%USERPROFILE%\AppData\Local\Temp\OnboardLogs"\RTDC4010\2016-10-07</v>
      </c>
      <c r="AF130" s="92" t="str">
        <f t="shared" si="58"/>
        <v>"C:\Program Files (x86)\AstroGrep\AstroGrep.exe" /spath="%USERPROFILE%\AppData\Local\Temp\OnboardLogs" /stypes="app*4010*20161007*" /stext=" 00:.+((SYSTEM_STATE.+slice.+state.+changed )|(ment ac)|(system.+state.+changed )|(\[timeout)|(PRM\|1\|D)|(kpr)|(kdp)|(\|lc)|(penalty))" /e /r /s</v>
      </c>
      <c r="AG130" s="1" t="str">
        <f t="shared" si="44"/>
        <v>EC</v>
      </c>
      <c r="AH130" s="96" t="str">
        <f t="shared" si="45"/>
        <v>"%USERPROFILE%\Documents\GitHub\eaglep3\Utilities\RefineRTDCRunTimes.py" --tripid 206-06 --locoid 4010 --swversion DE.1.0.7.0 --startMP 204:232965 --initTime 2016-10-06T17:34:28 --startdatetime 2016-10-06T17:41:18 --delay 2 --endMP 204:143 --enddatetime 2016-10-06T18:21:43 --enforcementcount 0 &gt;&gt;C:\Users\stu\Documents\GitHub\eaglep3-reporting\EC\2016-10-06-refined-times.txt</v>
      </c>
      <c r="AI130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{"issue":{"subject":"","project_id":79,"tracker_id":40,"status_id":1,"priority_id":2,"assigned_to_id":23,"start_date":"2016-10-06","description":"","custom_fields":[{"id":1,"name":"Subdivision","value":"EC"},{"id":4,"name":"Milepost","value":"0.0143"},{"id":17,"name":"Train ID","value":"206-06"},{"id":16,"name":"Locomotive ID","value":"4010"},{"id":130,"name":"Impact","value":""},{"id":150,"name":"Time of Event (Mountain Time)","value":"18:21:43"},{"id":151,"name":"Denver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552</v>
      </c>
      <c r="B131" s="7">
        <v>4018</v>
      </c>
      <c r="C131" s="24" t="s">
        <v>106</v>
      </c>
      <c r="D131" s="24" t="s">
        <v>239</v>
      </c>
      <c r="E131" s="15">
        <v>42649.706192129626</v>
      </c>
      <c r="F131" s="15">
        <v>42649.708495370367</v>
      </c>
      <c r="G131" s="7">
        <v>1</v>
      </c>
      <c r="H131" s="15" t="s">
        <v>214</v>
      </c>
      <c r="I131" s="15">
        <v>42649.734699074077</v>
      </c>
      <c r="J131" s="7">
        <v>0</v>
      </c>
      <c r="K131" s="117" t="str">
        <f t="shared" si="50"/>
        <v>4017/4018</v>
      </c>
      <c r="L131" s="24" t="str">
        <f>VLOOKUP(A131,'Trips&amp;Operators'!$C$1:$E$10000,3,FALSE)</f>
        <v>NEWELL</v>
      </c>
      <c r="M131" s="6">
        <f t="shared" si="51"/>
        <v>2.620370371005265E-2</v>
      </c>
      <c r="N131" s="7">
        <f t="shared" si="62"/>
        <v>37.733333342475817</v>
      </c>
      <c r="O131" s="7"/>
      <c r="P131" s="7"/>
      <c r="Q131" s="25"/>
      <c r="R131" s="25"/>
      <c r="S131" s="37">
        <f t="shared" si="61"/>
        <v>1</v>
      </c>
      <c r="T131" s="52" t="str">
        <f t="shared" si="35"/>
        <v>NorthBound</v>
      </c>
      <c r="U131" s="159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15:56:55-0600',mode:absolute,to:'2016-10-06 18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1" s="54" t="str">
        <f t="shared" si="53"/>
        <v>N</v>
      </c>
      <c r="X131" s="164">
        <f t="shared" si="54"/>
        <v>1</v>
      </c>
      <c r="Y131" s="69">
        <f t="shared" si="55"/>
        <v>4.4900000000000002E-2</v>
      </c>
      <c r="Z131" s="69">
        <f t="shared" si="60"/>
        <v>23.331199999999999</v>
      </c>
      <c r="AA131" s="69">
        <f t="shared" si="56"/>
        <v>23.286300000000001</v>
      </c>
      <c r="AB131" s="66" t="str">
        <f>VLOOKUP(A131,Enforcements!$C$7:$K$21,8,0)</f>
        <v>Speed (6)</v>
      </c>
      <c r="AC131" s="62" t="str">
        <f>VLOOKUP(A131,Enforcements!$C$7:$E$21,3,0)</f>
        <v>PERMANENT SPEED RESTRICTION</v>
      </c>
      <c r="AD131" s="63" t="str">
        <f t="shared" si="41"/>
        <v>0207-06</v>
      </c>
      <c r="AE131" s="95" t="str">
        <f t="shared" si="57"/>
        <v>aws s3 cp s3://rtdc.mdm.uploadarchive.raw/RTDC4018/ "%USERPROFILE%\AppData\Local\Temp\OnboardLogs"\RTDC4018\2016-10-06 --exclude "*" --recursive --include "*20161006*" &amp; "%USERPROFILE%\Documents\GitHub\mrs-test-scripts\Headless Mode &amp; Sideloading\WalkAndUnGZ.bat" "%USERPROFILE%\AppData\Local\Temp\OnboardLogs"\RTDC4018\2016-10-06 &amp; 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</v>
      </c>
      <c r="AF131" s="92" t="str">
        <f t="shared" si="58"/>
        <v>"C:\Program Files (x86)\AstroGrep\AstroGrep.exe" /spath="%USERPROFILE%\AppData\Local\Temp\OnboardLogs" /stypes="app*4018*20161006*" /stext=" 23:.+((SYSTEM_STATE.+slice.+state.+changed )|(ment ac)|(system.+state.+changed )|(\[timeout)|(PRM\|1\|D)|(kpr)|(kdp)|(\|lc)|(penalty))" /e /r /s</v>
      </c>
      <c r="AG131" s="1" t="str">
        <f t="shared" si="44"/>
        <v>EC</v>
      </c>
      <c r="AH131" s="96" t="str">
        <f t="shared" si="45"/>
        <v>"%USERPROFILE%\Documents\GitHub\eaglep3\Utilities\RefineRTDCRunTimes.py" --tripid 207-06 --locoid 4018 --swversion DE.1.0.7.0 --startMP 204:449 --initTime 2016-10-06T16:56:55 --startdatetime 2016-10-06T17:00:14 --delay 1 --endMP 204:233312 --enddatetime 2016-10-06T17:37:58 --enforcementcount 0 &gt;&gt;C:\Users\stu\Documents\GitHub\eaglep3-reporting\EC\2016-10-06-refined-times.txt</v>
      </c>
      <c r="AI131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{"issue":{"subject":"","project_id":79,"tracker_id":40,"status_id":1,"priority_id":2,"assigned_to_id":23,"start_date":"2016-10-06","description":"","custom_fields":[{"id":1,"name":"Subdivision","value":"EC"},{"id":4,"name":"Milepost","value":"23.3312"},{"id":17,"name":"Train ID","value":"207-06"},{"id":16,"name":"Locomotive ID","value":"4018"},{"id":130,"name":"Impact","value":""},{"id":150,"name":"Time of Event (Mountain Time)","value":"17:37:58"},{"id":151,"name":"Denver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565</v>
      </c>
      <c r="B132" s="7">
        <v>4017</v>
      </c>
      <c r="C132" s="24" t="s">
        <v>106</v>
      </c>
      <c r="D132" s="24" t="s">
        <v>272</v>
      </c>
      <c r="E132" s="15">
        <v>42649.736261574071</v>
      </c>
      <c r="F132" s="15">
        <v>42649.747418981482</v>
      </c>
      <c r="G132" s="7">
        <v>1</v>
      </c>
      <c r="H132" s="15" t="s">
        <v>705</v>
      </c>
      <c r="I132" s="15">
        <v>42649.777199074073</v>
      </c>
      <c r="J132" s="7">
        <v>0</v>
      </c>
      <c r="K132" s="117" t="str">
        <f t="shared" si="50"/>
        <v>4017/4018</v>
      </c>
      <c r="L132" s="24" t="str">
        <f>VLOOKUP(A132,'Trips&amp;Operators'!$C$1:$E$10000,3,FALSE)</f>
        <v>NEWELL</v>
      </c>
      <c r="M132" s="6">
        <f t="shared" si="51"/>
        <v>2.9780092590954155E-2</v>
      </c>
      <c r="N132" s="7">
        <f t="shared" si="62"/>
        <v>42.883333330973983</v>
      </c>
      <c r="O132" s="7"/>
      <c r="P132" s="7"/>
      <c r="Q132" s="25"/>
      <c r="R132" s="25"/>
      <c r="S132" s="37">
        <f t="shared" si="61"/>
        <v>1</v>
      </c>
      <c r="T132" s="52" t="str">
        <f t="shared" si="35"/>
        <v>Southbound</v>
      </c>
      <c r="U132" s="159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16:40:13-0600',mode:absolute,to:'2016-10-06 19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2" s="54" t="str">
        <f t="shared" si="53"/>
        <v>N</v>
      </c>
      <c r="X132" s="164">
        <f t="shared" si="54"/>
        <v>1</v>
      </c>
      <c r="Y132" s="69">
        <f t="shared" si="55"/>
        <v>23.298500000000001</v>
      </c>
      <c r="Z132" s="69">
        <f t="shared" si="60"/>
        <v>1.4800000000000001E-2</v>
      </c>
      <c r="AA132" s="69">
        <f t="shared" si="56"/>
        <v>23.2837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41"/>
        <v>0208-06</v>
      </c>
      <c r="AE132" s="95" t="str">
        <f t="shared" si="57"/>
        <v>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 &amp; 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</v>
      </c>
      <c r="AF132" s="92" t="str">
        <f t="shared" si="58"/>
        <v>"C:\Program Files (x86)\AstroGrep\AstroGrep.exe" /spath="%USERPROFILE%\AppData\Local\Temp\OnboardLogs" /stypes="app*4017*20161007*" /stext=" 00:.+((SYSTEM_STATE.+slice.+state.+changed )|(ment ac)|(system.+state.+changed )|(\[timeout)|(PRM\|1\|D)|(kpr)|(kdp)|(\|lc)|(penalty))" /e /r /s</v>
      </c>
      <c r="AG132" s="1" t="str">
        <f t="shared" si="44"/>
        <v>EC</v>
      </c>
      <c r="AH132" s="96" t="str">
        <f t="shared" si="45"/>
        <v>"%USERPROFILE%\Documents\GitHub\eaglep3\Utilities\RefineRTDCRunTimes.py" --tripid 208-06 --locoid 4017 --swversion DE.1.0.7.0 --startMP 204:232985 --initTime 2016-10-06T17:40:13 --startdatetime 2016-10-06T17:56:17 --delay 1 --endMP 204:148 --enddatetime 2016-10-06T18:39:10 --enforcementcount 0 &gt;&gt;C:\Users\stu\Documents\GitHub\eaglep3-reporting\EC\2016-10-06-refined-times.txt</v>
      </c>
      <c r="AI132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{"issue":{"subject":"","project_id":79,"tracker_id":40,"status_id":1,"priority_id":2,"assigned_to_id":23,"start_date":"2016-10-06","description":"","custom_fields":[{"id":1,"name":"Subdivision","value":"EC"},{"id":4,"name":"Milepost","value":"0.0148"},{"id":17,"name":"Train ID","value":"208-06"},{"id":16,"name":"Locomotive ID","value":"4017"},{"id":130,"name":"Impact","value":""},{"id":150,"name":"Time of Event (Mountain Time)","value":"18:39:10"},{"id":151,"name":"Denver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557</v>
      </c>
      <c r="B133" s="7">
        <v>4007</v>
      </c>
      <c r="C133" s="24" t="s">
        <v>106</v>
      </c>
      <c r="D133" s="24" t="s">
        <v>277</v>
      </c>
      <c r="E133" s="15">
        <v>42649.718206018515</v>
      </c>
      <c r="F133" s="15">
        <v>42649.719988425924</v>
      </c>
      <c r="G133" s="7">
        <v>1</v>
      </c>
      <c r="H133" s="15" t="s">
        <v>253</v>
      </c>
      <c r="I133" s="15">
        <v>42649.745868055557</v>
      </c>
      <c r="J133" s="7">
        <v>0</v>
      </c>
      <c r="K133" s="117" t="str">
        <f t="shared" si="50"/>
        <v>4007/4008</v>
      </c>
      <c r="L133" s="24" t="str">
        <f>VLOOKUP(A133,'Trips&amp;Operators'!$C$1:$E$10000,3,FALSE)</f>
        <v>LEVERE</v>
      </c>
      <c r="M133" s="6">
        <f t="shared" si="51"/>
        <v>2.587962963298196E-2</v>
      </c>
      <c r="N133" s="7">
        <f t="shared" si="62"/>
        <v>37.266666671494022</v>
      </c>
      <c r="O133" s="7"/>
      <c r="P133" s="7"/>
      <c r="Q133" s="25"/>
      <c r="R133" s="25"/>
      <c r="S133" s="37">
        <f t="shared" si="61"/>
        <v>1</v>
      </c>
      <c r="T133" s="52" t="str">
        <f t="shared" si="35"/>
        <v>NorthBound</v>
      </c>
      <c r="U133" s="159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16:14:13-0600',mode:absolute,to:'2016-10-06 18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3" s="54" t="str">
        <f t="shared" si="53"/>
        <v>N</v>
      </c>
      <c r="X133" s="164">
        <f t="shared" si="54"/>
        <v>1</v>
      </c>
      <c r="Y133" s="69">
        <f t="shared" si="55"/>
        <v>4.8000000000000001E-2</v>
      </c>
      <c r="Z133" s="69">
        <f t="shared" si="60"/>
        <v>23.328900000000001</v>
      </c>
      <c r="AA133" s="69">
        <f t="shared" si="56"/>
        <v>23.280900000000003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41"/>
        <v>0209-06</v>
      </c>
      <c r="AE133" s="95" t="str">
        <f t="shared" si="57"/>
        <v>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 &amp; 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</v>
      </c>
      <c r="AF133" s="92" t="str">
        <f t="shared" si="58"/>
        <v>"C:\Program Files (x86)\AstroGrep\AstroGrep.exe" /spath="%USERPROFILE%\AppData\Local\Temp\OnboardLogs" /stypes="app*4007*20161006*" /stext=" 23:.+((SYSTEM_STATE.+slice.+state.+changed )|(ment ac)|(system.+state.+changed )|(\[timeout)|(PRM\|1\|D)|(kpr)|(kdp)|(\|lc)|(penalty))" /e /r /s</v>
      </c>
      <c r="AG133" s="1" t="str">
        <f t="shared" si="44"/>
        <v>EC</v>
      </c>
      <c r="AH133" s="96" t="str">
        <f t="shared" si="45"/>
        <v>"%USERPROFILE%\Documents\GitHub\eaglep3\Utilities\RefineRTDCRunTimes.py" --tripid 209-06 --locoid 4007 --swversion DE.1.0.7.0 --startMP 204:480 --initTime 2016-10-06T17:14:13 --startdatetime 2016-10-06T17:16:47 --delay 1 --endMP 204:233289 --enddatetime 2016-10-06T17:54:03 --enforcementcount 0 &gt;&gt;C:\Users\stu\Documents\GitHub\eaglep3-reporting\EC\2016-10-06-refined-times.txt</v>
      </c>
      <c r="AI133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{"issue":{"subject":"","project_id":79,"tracker_id":40,"status_id":1,"priority_id":2,"assigned_to_id":23,"start_date":"2016-10-06","description":"","custom_fields":[{"id":1,"name":"Subdivision","value":"EC"},{"id":4,"name":"Milepost","value":"23.3289"},{"id":17,"name":"Train ID","value":"209-06"},{"id":16,"name":"Locomotive ID","value":"4007"},{"id":130,"name":"Impact","value":""},{"id":150,"name":"Time of Event (Mountain Time)","value":"17:54:03"},{"id":151,"name":"Denver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570</v>
      </c>
      <c r="B134" s="7">
        <v>4008</v>
      </c>
      <c r="C134" s="24" t="s">
        <v>106</v>
      </c>
      <c r="D134" s="24" t="s">
        <v>635</v>
      </c>
      <c r="E134" s="15">
        <v>42649.752083333333</v>
      </c>
      <c r="F134" s="15">
        <v>42649.757847222223</v>
      </c>
      <c r="G134" s="7">
        <v>1</v>
      </c>
      <c r="H134" s="15" t="s">
        <v>126</v>
      </c>
      <c r="I134" s="15">
        <v>42649.785729166666</v>
      </c>
      <c r="J134" s="7">
        <v>0</v>
      </c>
      <c r="K134" s="117" t="str">
        <f t="shared" si="50"/>
        <v>4007/4008</v>
      </c>
      <c r="L134" s="24" t="str">
        <f>VLOOKUP(A134,'Trips&amp;Operators'!$C$1:$E$10000,3,FALSE)</f>
        <v>LEVERE</v>
      </c>
      <c r="M134" s="6">
        <f t="shared" si="51"/>
        <v>2.7881944442924578E-2</v>
      </c>
      <c r="N134" s="7">
        <f t="shared" si="62"/>
        <v>40.149999997811392</v>
      </c>
      <c r="O134" s="7"/>
      <c r="P134" s="7"/>
      <c r="Q134" s="25"/>
      <c r="R134" s="25"/>
      <c r="S134" s="37">
        <f t="shared" si="61"/>
        <v>1</v>
      </c>
      <c r="T134" s="52" t="str">
        <f t="shared" si="35"/>
        <v>Southbound</v>
      </c>
      <c r="U134" s="159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17:03:00-0600',mode:absolute,to:'2016-10-06 19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4" s="54" t="str">
        <f t="shared" si="53"/>
        <v>N</v>
      </c>
      <c r="X134" s="164">
        <f t="shared" si="54"/>
        <v>1</v>
      </c>
      <c r="Y134" s="69">
        <f t="shared" si="55"/>
        <v>23.296299999999999</v>
      </c>
      <c r="Z134" s="69">
        <f t="shared" si="60"/>
        <v>1.54E-2</v>
      </c>
      <c r="AA134" s="69">
        <f t="shared" si="56"/>
        <v>23.280899999999999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41"/>
        <v>0210-06</v>
      </c>
      <c r="AE134" s="95" t="str">
        <f t="shared" si="57"/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AF134" s="92" t="str">
        <f t="shared" si="58"/>
        <v>"C:\Program Files (x86)\AstroGrep\AstroGrep.exe" /spath="%USERPROFILE%\AppData\Local\Temp\OnboardLogs" /stypes="app*4008*20161007*" /stext=" 00:.+((SYSTEM_STATE.+slice.+state.+changed )|(ment ac)|(system.+state.+changed )|(\[timeout)|(PRM\|1\|D)|(kpr)|(kdp)|(\|lc)|(penalty))" /e /r /s</v>
      </c>
      <c r="AG134" s="1" t="str">
        <f t="shared" si="44"/>
        <v>EC</v>
      </c>
      <c r="AH134" s="96" t="str">
        <f t="shared" si="45"/>
        <v>"%USERPROFILE%\Documents\GitHub\eaglep3\Utilities\RefineRTDCRunTimes.py" --tripid 210-06 --locoid 4008 --swversion DE.1.0.7.0 --startMP 204:232963 --initTime 2016-10-06T18:03:00 --startdatetime 2016-10-06T18:11:18 --delay 1 --endMP 204:154 --enddatetime 2016-10-06T18:51:27 --enforcementcount 0 &gt;&gt;C:\Users\stu\Documents\GitHub\eaglep3-reporting\EC\2016-10-06-refined-times.txt</v>
      </c>
      <c r="AI134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{"issue":{"subject":"","project_id":79,"tracker_id":40,"status_id":1,"priority_id":2,"assigned_to_id":23,"start_date":"2016-10-06","description":"","custom_fields":[{"id":1,"name":"Subdivision","value":"EC"},{"id":4,"name":"Milepost","value":"0.0154"},{"id":17,"name":"Train ID","value":"210-06"},{"id":16,"name":"Locomotive ID","value":"4008"},{"id":130,"name":"Impact","value":""},{"id":150,"name":"Time of Event (Mountain Time)","value":"18:51:27"},{"id":151,"name":"Denver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561</v>
      </c>
      <c r="B135" s="7">
        <v>4046</v>
      </c>
      <c r="C135" s="24" t="s">
        <v>106</v>
      </c>
      <c r="D135" s="24" t="s">
        <v>269</v>
      </c>
      <c r="E135" s="15">
        <v>42649.728043981479</v>
      </c>
      <c r="F135" s="15">
        <v>42649.730254629627</v>
      </c>
      <c r="G135" s="7">
        <v>2</v>
      </c>
      <c r="H135" s="15" t="s">
        <v>263</v>
      </c>
      <c r="I135" s="15">
        <v>42649.75613425926</v>
      </c>
      <c r="J135" s="7">
        <v>0</v>
      </c>
      <c r="K135" s="117" t="str">
        <f t="shared" si="50"/>
        <v>4045/4046</v>
      </c>
      <c r="L135" s="24" t="str">
        <f>VLOOKUP(A135,'Trips&amp;Operators'!$C$1:$E$10000,3,FALSE)</f>
        <v>HILLS</v>
      </c>
      <c r="M135" s="6">
        <f t="shared" si="51"/>
        <v>2.587962963298196E-2</v>
      </c>
      <c r="N135" s="7">
        <f t="shared" si="62"/>
        <v>37.266666671494022</v>
      </c>
      <c r="O135" s="7"/>
      <c r="P135" s="7"/>
      <c r="Q135" s="25"/>
      <c r="R135" s="25"/>
      <c r="S135" s="37">
        <f t="shared" si="61"/>
        <v>1</v>
      </c>
      <c r="T135" s="52" t="str">
        <f t="shared" si="35"/>
        <v>NorthBound</v>
      </c>
      <c r="U135" s="159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16:28:23-0600',mode:absolute,to:'2016-10-06 19:08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5" s="54" t="str">
        <f t="shared" si="53"/>
        <v>N</v>
      </c>
      <c r="X135" s="164">
        <f t="shared" si="54"/>
        <v>1</v>
      </c>
      <c r="Y135" s="69">
        <f t="shared" si="55"/>
        <v>4.3799999999999999E-2</v>
      </c>
      <c r="Z135" s="69">
        <f t="shared" si="60"/>
        <v>23.330400000000001</v>
      </c>
      <c r="AA135" s="69">
        <f t="shared" si="56"/>
        <v>23.2866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41"/>
        <v>0211-06</v>
      </c>
      <c r="AE135" s="95" t="str">
        <f t="shared" si="57"/>
        <v>aws s3 cp s3://rtdc.mdm.uploadarchive.raw/RTDC4046/ "%USERPROFILE%\AppData\Local\Temp\OnboardLogs"\RTDC4046\2016-10-06 --exclude "*" --recursive --include "*20161006*" &amp; "%USERPROFILE%\Documents\GitHub\mrs-test-scripts\Headless Mode &amp; Sideloading\WalkAndUnGZ.bat" "%USERPROFILE%\AppData\Local\Temp\OnboardLogs"\RTDC4046\2016-10-06 &amp; 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</v>
      </c>
      <c r="AF135" s="92" t="str">
        <f t="shared" si="58"/>
        <v>"C:\Program Files (x86)\AstroGrep\AstroGrep.exe" /spath="%USERPROFILE%\AppData\Local\Temp\OnboardLogs" /stypes="app*4046*20161007*" /stext=" 00:.+((SYSTEM_STATE.+slice.+state.+changed )|(ment ac)|(system.+state.+changed )|(\[timeout)|(PRM\|1\|D)|(kpr)|(kdp)|(\|lc)|(penalty))" /e /r /s</v>
      </c>
      <c r="AG135" s="1" t="str">
        <f t="shared" si="44"/>
        <v>EC</v>
      </c>
      <c r="AH135" s="96" t="str">
        <f t="shared" si="45"/>
        <v>"%USERPROFILE%\Documents\GitHub\eaglep3\Utilities\RefineRTDCRunTimes.py" --tripid 211-06 --locoid 4046 --swversion DE.1.0.7.0 --startMP 204:438 --initTime 2016-10-06T17:28:23 --startdatetime 2016-10-06T17:31:34 --delay 2 --endMP 204:233304 --enddatetime 2016-10-06T18:08:50 --enforcementcount 0 &gt;&gt;C:\Users\stu\Documents\GitHub\eaglep3-reporting\EC\2016-10-06-refined-times.txt</v>
      </c>
      <c r="AI135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{"issue":{"subject":"","project_id":79,"tracker_id":40,"status_id":1,"priority_id":2,"assigned_to_id":23,"start_date":"2016-10-06","description":"","custom_fields":[{"id":1,"name":"Subdivision","value":"EC"},{"id":4,"name":"Milepost","value":"23.3304"},{"id":17,"name":"Train ID","value":"211-06"},{"id":16,"name":"Locomotive ID","value":"4046"},{"id":130,"name":"Impact","value":""},{"id":150,"name":"Time of Event (Mountain Time)","value":"18:08:50"},{"id":151,"name":"Denver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575</v>
      </c>
      <c r="B136" s="7">
        <v>4045</v>
      </c>
      <c r="C136" s="24" t="s">
        <v>106</v>
      </c>
      <c r="D136" s="24" t="s">
        <v>296</v>
      </c>
      <c r="E136" s="15">
        <v>42649.762152777781</v>
      </c>
      <c r="F136" s="15">
        <v>42649.768379629626</v>
      </c>
      <c r="G136" s="7">
        <v>1</v>
      </c>
      <c r="H136" s="15" t="s">
        <v>706</v>
      </c>
      <c r="I136" s="15">
        <v>42649.797673611109</v>
      </c>
      <c r="J136" s="7">
        <v>0</v>
      </c>
      <c r="K136" s="117" t="str">
        <f t="shared" si="50"/>
        <v>4045/4046</v>
      </c>
      <c r="L136" s="24" t="str">
        <f>VLOOKUP(A136,'Trips&amp;Operators'!$C$1:$E$10000,3,FALSE)</f>
        <v>HILLS</v>
      </c>
      <c r="M136" s="6">
        <f t="shared" si="51"/>
        <v>2.9293981482624076E-2</v>
      </c>
      <c r="N136" s="7">
        <f t="shared" si="62"/>
        <v>42.18333333497867</v>
      </c>
      <c r="O136" s="7"/>
      <c r="P136" s="7"/>
      <c r="Q136" s="25"/>
      <c r="R136" s="25"/>
      <c r="S136" s="37">
        <f t="shared" si="61"/>
        <v>1</v>
      </c>
      <c r="T136" s="52" t="str">
        <f t="shared" si="35"/>
        <v>Southbound</v>
      </c>
      <c r="U136" s="159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17:17:30-0600',mode:absolute,to:'2016-10-06 20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6" s="54" t="str">
        <f t="shared" si="53"/>
        <v>N</v>
      </c>
      <c r="X136" s="164">
        <f t="shared" si="54"/>
        <v>1</v>
      </c>
      <c r="Y136" s="69">
        <f t="shared" si="55"/>
        <v>23.299299999999999</v>
      </c>
      <c r="Z136" s="69">
        <f t="shared" si="60"/>
        <v>1.6199999999999999E-2</v>
      </c>
      <c r="AA136" s="69">
        <f t="shared" si="56"/>
        <v>23.283099999999997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41"/>
        <v>0212-06</v>
      </c>
      <c r="AE136" s="95" t="str">
        <f t="shared" si="57"/>
        <v>aws s3 cp s3://rtdc.mdm.uploadarchive.raw/RTDC4045/ "%USERPROFILE%\AppData\Local\Temp\OnboardLogs"\RTDC4045\2016-10-06 --exclude "*" --recursive --include "*20161006*" &amp; "%USERPROFILE%\Documents\GitHub\mrs-test-scripts\Headless Mode &amp; Sideloading\WalkAndUnGZ.bat" "%USERPROFILE%\AppData\Local\Temp\OnboardLogs"\RTDC4045\2016-10-06 &amp; 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</v>
      </c>
      <c r="AF136" s="92" t="str">
        <f t="shared" si="58"/>
        <v>"C:\Program Files (x86)\AstroGrep\AstroGrep.exe" /spath="%USERPROFILE%\AppData\Local\Temp\OnboardLogs" /stypes="app*4045*20161007*" /stext=" 01:.+((SYSTEM_STATE.+slice.+state.+changed )|(ment ac)|(system.+state.+changed )|(\[timeout)|(PRM\|1\|D)|(kpr)|(kdp)|(\|lc)|(penalty))" /e /r /s</v>
      </c>
      <c r="AG136" s="1" t="str">
        <f t="shared" si="44"/>
        <v>EC</v>
      </c>
      <c r="AH136" s="96" t="str">
        <f t="shared" si="45"/>
        <v>"%USERPROFILE%\Documents\GitHub\eaglep3\Utilities\RefineRTDCRunTimes.py" --tripid 212-06 --locoid 4045 --swversion DE.1.0.7.0 --startMP 204:232993 --initTime 2016-10-06T18:17:30 --startdatetime 2016-10-06T18:26:28 --delay 1 --endMP 204:162 --enddatetime 2016-10-06T19:08:39 --enforcementcount 0 &gt;&gt;C:\Users\stu\Documents\GitHub\eaglep3-reporting\EC\2016-10-06-refined-times.txt</v>
      </c>
      <c r="AI136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{"issue":{"subject":"","project_id":79,"tracker_id":40,"status_id":1,"priority_id":2,"assigned_to_id":23,"start_date":"2016-10-06","description":"","custom_fields":[{"id":1,"name":"Subdivision","value":"EC"},{"id":4,"name":"Milepost","value":"0.0162"},{"id":17,"name":"Train ID","value":"212-06"},{"id":16,"name":"Locomotive ID","value":"4045"},{"id":130,"name":"Impact","value":""},{"id":150,"name":"Time of Event (Mountain Time)","value":"19:08:39"},{"id":151,"name":"Denver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567</v>
      </c>
      <c r="B137" s="7">
        <v>4031</v>
      </c>
      <c r="C137" s="24" t="s">
        <v>106</v>
      </c>
      <c r="D137" s="24" t="s">
        <v>202</v>
      </c>
      <c r="E137" s="15">
        <v>42649.739803240744</v>
      </c>
      <c r="F137" s="15">
        <v>42649.742881944447</v>
      </c>
      <c r="G137" s="7">
        <v>3</v>
      </c>
      <c r="H137" s="15" t="s">
        <v>210</v>
      </c>
      <c r="I137" s="15">
        <v>42649.77202546296</v>
      </c>
      <c r="J137" s="7">
        <v>0</v>
      </c>
      <c r="K137" s="117" t="str">
        <f t="shared" si="50"/>
        <v>4031/4032</v>
      </c>
      <c r="L137" s="24" t="str">
        <f>VLOOKUP(A137,'Trips&amp;Operators'!$C$1:$E$10000,3,FALSE)</f>
        <v>OSULLIVAN</v>
      </c>
      <c r="M137" s="6">
        <f t="shared" si="51"/>
        <v>2.9143518513592426E-2</v>
      </c>
      <c r="N137" s="7">
        <f t="shared" si="62"/>
        <v>41.966666659573093</v>
      </c>
      <c r="O137" s="7"/>
      <c r="P137" s="7"/>
      <c r="Q137" s="25"/>
      <c r="R137" s="25"/>
      <c r="S137" s="37">
        <f t="shared" si="61"/>
        <v>1</v>
      </c>
      <c r="T137" s="52" t="str">
        <f t="shared" si="35"/>
        <v>NorthBound</v>
      </c>
      <c r="U137" s="159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16:45:19-0600',mode:absolute,to:'2016-10-06 19:31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7" s="54" t="str">
        <f t="shared" si="53"/>
        <v>N</v>
      </c>
      <c r="X137" s="164">
        <f t="shared" si="54"/>
        <v>1</v>
      </c>
      <c r="Y137" s="69">
        <f t="shared" si="55"/>
        <v>4.5499999999999999E-2</v>
      </c>
      <c r="Z137" s="69">
        <f t="shared" si="60"/>
        <v>23.331399999999999</v>
      </c>
      <c r="AA137" s="69">
        <f t="shared" si="56"/>
        <v>23.285899999999998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41"/>
        <v>0213-06</v>
      </c>
      <c r="AE137" s="95" t="str">
        <f t="shared" si="57"/>
        <v>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 &amp; aws s3 cp s3://rtdc.mdm.uploadarchive.raw/RTDC4031/ "%USERPROFILE%\AppData\Local\Temp\OnboardLogs"\RTDC4031\2016-10-07 --exclude "*" --recursive --include "*20161007*" &amp; "%USERPROFILE%\Documents\GitHub\mrs-test-scripts\Headless Mode &amp; Sideloading\WalkAndUnGZ.bat" "%USERPROFILE%\AppData\Local\Temp\OnboardLogs"\RTDC4031\2016-10-07</v>
      </c>
      <c r="AF137" s="92" t="str">
        <f t="shared" si="58"/>
        <v>"C:\Program Files (x86)\AstroGrep\AstroGrep.exe" /spath="%USERPROFILE%\AppData\Local\Temp\OnboardLogs" /stypes="app*4031*20161007*" /stext=" 00:.+((SYSTEM_STATE.+slice.+state.+changed )|(ment ac)|(system.+state.+changed )|(\[timeout)|(PRM\|1\|D)|(kpr)|(kdp)|(\|lc)|(penalty))" /e /r /s</v>
      </c>
      <c r="AG137" s="1" t="str">
        <f t="shared" si="44"/>
        <v>EC</v>
      </c>
      <c r="AH137" s="96" t="str">
        <f t="shared" si="45"/>
        <v>"%USERPROFILE%\Documents\GitHub\eaglep3\Utilities\RefineRTDCRunTimes.py" --tripid 213-06 --locoid 4031 --swversion DE.1.0.7.0 --startMP 204:455 --initTime 2016-10-06T17:45:19 --startdatetime 2016-10-06T17:49:45 --delay 3 --endMP 204:233314 --enddatetime 2016-10-06T18:31:43 --enforcementcount 0 &gt;&gt;C:\Users\stu\Documents\GitHub\eaglep3-reporting\EC\2016-10-06-refined-times.txt</v>
      </c>
      <c r="AI137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{"issue":{"subject":"","project_id":79,"tracker_id":40,"status_id":1,"priority_id":2,"assigned_to_id":23,"start_date":"2016-10-06","description":"","custom_fields":[{"id":1,"name":"Subdivision","value":"EC"},{"id":4,"name":"Milepost","value":"23.3314"},{"id":17,"name":"Train ID","value":"213-06"},{"id":16,"name":"Locomotive ID","value":"4031"},{"id":130,"name":"Impact","value":""},{"id":150,"name":"Time of Event (Mountain Time)","value":"18:31:43"},{"id":151,"name":"Denver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577</v>
      </c>
      <c r="B138" s="7">
        <v>4032</v>
      </c>
      <c r="C138" s="24" t="s">
        <v>106</v>
      </c>
      <c r="D138" s="24" t="s">
        <v>254</v>
      </c>
      <c r="E138" s="15">
        <v>42649.774363425924</v>
      </c>
      <c r="F138" s="15">
        <v>42649.778703703705</v>
      </c>
      <c r="G138" s="7">
        <v>1</v>
      </c>
      <c r="H138" s="15" t="s">
        <v>213</v>
      </c>
      <c r="I138" s="15">
        <v>42649.80678240741</v>
      </c>
      <c r="J138" s="7">
        <v>0</v>
      </c>
      <c r="K138" s="117" t="str">
        <f t="shared" si="50"/>
        <v>4031/4032</v>
      </c>
      <c r="L138" s="24" t="str">
        <f>VLOOKUP(A138,'Trips&amp;Operators'!$C$1:$E$10000,3,FALSE)</f>
        <v>OSULLIVAN</v>
      </c>
      <c r="M138" s="6">
        <f t="shared" si="51"/>
        <v>2.8078703704522923E-2</v>
      </c>
      <c r="N138" s="7">
        <f t="shared" si="62"/>
        <v>40.433333334513009</v>
      </c>
      <c r="O138" s="7"/>
      <c r="P138" s="7"/>
      <c r="Q138" s="25"/>
      <c r="R138" s="25"/>
      <c r="S138" s="37">
        <f t="shared" si="61"/>
        <v>1</v>
      </c>
      <c r="T138" s="52" t="str">
        <f t="shared" si="35"/>
        <v>Southbound</v>
      </c>
      <c r="U138" s="159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17:35:05-0600',mode:absolute,to:'2016-10-06 20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8" s="54" t="str">
        <f t="shared" si="53"/>
        <v>N</v>
      </c>
      <c r="X138" s="164">
        <f t="shared" si="54"/>
        <v>1</v>
      </c>
      <c r="Y138" s="69">
        <f t="shared" si="55"/>
        <v>23.300599999999999</v>
      </c>
      <c r="Z138" s="69">
        <f t="shared" si="60"/>
        <v>1.41E-2</v>
      </c>
      <c r="AA138" s="69">
        <f t="shared" si="56"/>
        <v>23.2865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41"/>
        <v>0214-06</v>
      </c>
      <c r="AE138" s="95" t="str">
        <f t="shared" si="57"/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AF138" s="92" t="str">
        <f t="shared" si="58"/>
        <v>"C:\Program Files (x86)\AstroGrep\AstroGrep.exe" /spath="%USERPROFILE%\AppData\Local\Temp\OnboardLogs" /stypes="app*4032*20161007*" /stext=" 01:.+((SYSTEM_STATE.+slice.+state.+changed )|(ment ac)|(system.+state.+changed )|(\[timeout)|(PRM\|1\|D)|(kpr)|(kdp)|(\|lc)|(penalty))" /e /r /s</v>
      </c>
      <c r="AG138" s="1" t="str">
        <f t="shared" si="44"/>
        <v>EC</v>
      </c>
      <c r="AH138" s="96" t="str">
        <f t="shared" si="45"/>
        <v>"%USERPROFILE%\Documents\GitHub\eaglep3\Utilities\RefineRTDCRunTimes.py" --tripid 214-06 --locoid 4032 --swversion DE.1.0.7.0 --startMP 204:233006 --initTime 2016-10-06T18:35:05 --startdatetime 2016-10-06T18:41:20 --delay 1 --endMP 204:141 --enddatetime 2016-10-06T19:21:46 --enforcementcount 0 &gt;&gt;C:\Users\stu\Documents\GitHub\eaglep3-reporting\EC\2016-10-06-refined-times.txt</v>
      </c>
      <c r="AI138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{"issue":{"subject":"","project_id":79,"tracker_id":40,"status_id":1,"priority_id":2,"assigned_to_id":23,"start_date":"2016-10-06","description":"","custom_fields":[{"id":1,"name":"Subdivision","value":"EC"},{"id":4,"name":"Milepost","value":"0.0141"},{"id":17,"name":"Train ID","value":"214-06"},{"id":16,"name":"Locomotive ID","value":"4032"},{"id":130,"name":"Impact","value":""},{"id":150,"name":"Time of Event (Mountain Time)","value":"19:21:46"},{"id":151,"name":"Denver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569</v>
      </c>
      <c r="B139" s="7">
        <v>4027</v>
      </c>
      <c r="C139" s="24" t="s">
        <v>106</v>
      </c>
      <c r="D139" s="24" t="s">
        <v>206</v>
      </c>
      <c r="E139" s="15">
        <v>42649.749398148146</v>
      </c>
      <c r="F139" s="15">
        <v>42649.751458333332</v>
      </c>
      <c r="G139" s="7">
        <v>2</v>
      </c>
      <c r="H139" s="15" t="s">
        <v>666</v>
      </c>
      <c r="I139" s="15">
        <v>42649.77747685185</v>
      </c>
      <c r="J139" s="7">
        <v>0</v>
      </c>
      <c r="K139" s="117" t="str">
        <f t="shared" si="50"/>
        <v>4027/4028</v>
      </c>
      <c r="L139" s="24" t="str">
        <f>VLOOKUP(A139,'Trips&amp;Operators'!$C$1:$E$10000,3,FALSE)</f>
        <v>STORY</v>
      </c>
      <c r="M139" s="6">
        <f t="shared" si="51"/>
        <v>2.6018518517958E-2</v>
      </c>
      <c r="N139" s="7">
        <f t="shared" si="62"/>
        <v>37.46666666585952</v>
      </c>
      <c r="O139" s="7"/>
      <c r="P139" s="7"/>
      <c r="Q139" s="25"/>
      <c r="R139" s="25"/>
      <c r="S139" s="37">
        <f t="shared" si="61"/>
        <v>1</v>
      </c>
      <c r="T139" s="52" t="str">
        <f t="shared" si="35"/>
        <v>NorthBound</v>
      </c>
      <c r="U139" s="159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16:59:08-0600',mode:absolute,to:'2016-10-06 19:39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9" s="54" t="str">
        <f t="shared" si="53"/>
        <v>N</v>
      </c>
      <c r="X139" s="164">
        <f t="shared" si="54"/>
        <v>1</v>
      </c>
      <c r="Y139" s="69">
        <f t="shared" si="55"/>
        <v>4.6199999999999998E-2</v>
      </c>
      <c r="Z139" s="69">
        <f t="shared" si="60"/>
        <v>23.327999999999999</v>
      </c>
      <c r="AA139" s="69">
        <f t="shared" si="56"/>
        <v>23.2818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41"/>
        <v>0215-06</v>
      </c>
      <c r="AE139" s="95" t="str">
        <f t="shared" si="57"/>
        <v>aws s3 cp s3://rtdc.mdm.uploadarchive.raw/RTDC4027/ "%USERPROFILE%\AppData\Local\Temp\OnboardLogs"\RTDC4027\2016-10-06 --exclude "*" --recursive --include "*20161006*" &amp; "%USERPROFILE%\Documents\GitHub\mrs-test-scripts\Headless Mode &amp; Sideloading\WalkAndUnGZ.bat" "%USERPROFILE%\AppData\Local\Temp\OnboardLogs"\RTDC4027\2016-10-06 &amp; aws s3 cp s3://rtdc.mdm.uploadarchive.raw/RTDC4027/ "%USERPROFILE%\AppData\Local\Temp\OnboardLogs"\RTDC4027\2016-10-07 --exclude "*" --recursive --include "*20161007*" &amp; "%USERPROFILE%\Documents\GitHub\mrs-test-scripts\Headless Mode &amp; Sideloading\WalkAndUnGZ.bat" "%USERPROFILE%\AppData\Local\Temp\OnboardLogs"\RTDC4027\2016-10-07</v>
      </c>
      <c r="AF139" s="92" t="str">
        <f t="shared" si="58"/>
        <v>"C:\Program Files (x86)\AstroGrep\AstroGrep.exe" /spath="%USERPROFILE%\AppData\Local\Temp\OnboardLogs" /stypes="app*4027*20161007*" /stext=" 00:.+((SYSTEM_STATE.+slice.+state.+changed )|(ment ac)|(system.+state.+changed )|(\[timeout)|(PRM\|1\|D)|(kpr)|(kdp)|(\|lc)|(penalty))" /e /r /s</v>
      </c>
      <c r="AG139" s="1" t="str">
        <f t="shared" si="44"/>
        <v>EC</v>
      </c>
      <c r="AH139" s="96" t="str">
        <f t="shared" si="45"/>
        <v>"%USERPROFILE%\Documents\GitHub\eaglep3\Utilities\RefineRTDCRunTimes.py" --tripid 215-06 --locoid 4027 --swversion DE.1.0.7.0 --startMP 204:462 --initTime 2016-10-06T17:59:08 --startdatetime 2016-10-06T18:02:06 --delay 2 --endMP 204:233280 --enddatetime 2016-10-06T18:39:34 --enforcementcount 0 &gt;&gt;C:\Users\stu\Documents\GitHub\eaglep3-reporting\EC\2016-10-06-refined-times.txt</v>
      </c>
      <c r="AI139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{"issue":{"subject":"","project_id":79,"tracker_id":40,"status_id":1,"priority_id":2,"assigned_to_id":23,"start_date":"2016-10-06","description":"","custom_fields":[{"id":1,"name":"Subdivision","value":"EC"},{"id":4,"name":"Milepost","value":"23.328"},{"id":17,"name":"Train ID","value":"215-06"},{"id":16,"name":"Locomotive ID","value":"4027"},{"id":130,"name":"Impact","value":""},{"id":150,"name":"Time of Event (Mountain Time)","value":"18:39:34"},{"id":151,"name":"Denver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581</v>
      </c>
      <c r="B140" s="7">
        <v>4028</v>
      </c>
      <c r="C140" s="24" t="s">
        <v>106</v>
      </c>
      <c r="D140" s="24" t="s">
        <v>221</v>
      </c>
      <c r="E140" s="15">
        <v>42649.782199074078</v>
      </c>
      <c r="F140" s="15">
        <v>42649.789513888885</v>
      </c>
      <c r="G140" s="7">
        <v>2</v>
      </c>
      <c r="H140" s="15" t="s">
        <v>707</v>
      </c>
      <c r="I140" s="15">
        <v>42649.817696759259</v>
      </c>
      <c r="J140" s="7">
        <v>0</v>
      </c>
      <c r="K140" s="117" t="str">
        <f t="shared" si="50"/>
        <v>4027/4028</v>
      </c>
      <c r="L140" s="24" t="str">
        <f>VLOOKUP(A140,'Trips&amp;Operators'!$C$1:$E$10000,3,FALSE)</f>
        <v>STORY</v>
      </c>
      <c r="M140" s="6">
        <f t="shared" si="51"/>
        <v>2.8182870373711921E-2</v>
      </c>
      <c r="N140" s="7">
        <f t="shared" si="62"/>
        <v>40.583333338145167</v>
      </c>
      <c r="O140" s="7"/>
      <c r="P140" s="7"/>
      <c r="Q140" s="25"/>
      <c r="R140" s="25"/>
      <c r="S140" s="37">
        <f t="shared" si="61"/>
        <v>1</v>
      </c>
      <c r="T140" s="52" t="str">
        <f t="shared" si="35"/>
        <v>Southbound</v>
      </c>
      <c r="U140" s="159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2" t="str">
        <f t="shared" si="52"/>
        <v>https://search-rtdc-monitor-bjffxe2xuh6vdkpspy63sjmuny.us-east-1.es.amazonaws.com/_plugin/kibana/#/discover/Steve-Slow-Train-Analysis-(2080s-and-2083s)?_g=(refreshInterval:(display:Off,section:0,value:0),time:(from:'2016-10-06 17:46:22-0600',mode:absolute,to:'2016-10-06 20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0" s="54" t="str">
        <f t="shared" si="53"/>
        <v>N</v>
      </c>
      <c r="X140" s="164">
        <f t="shared" si="54"/>
        <v>1</v>
      </c>
      <c r="Y140" s="69">
        <f t="shared" si="55"/>
        <v>23.297699999999999</v>
      </c>
      <c r="Z140" s="69">
        <f t="shared" si="60"/>
        <v>8.3999999999999995E-3</v>
      </c>
      <c r="AA140" s="69">
        <f t="shared" si="56"/>
        <v>23.289299999999997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41"/>
        <v>0216-06</v>
      </c>
      <c r="AE140" s="95" t="str">
        <f t="shared" si="57"/>
        <v>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 &amp; aws s3 cp s3://rtdc.mdm.uploadarchive.raw/RTDC4028/ "%USERPROFILE%\AppData\Local\Temp\OnboardLogs"\RTDC4028\2016-10-07 --exclude "*" --recursive --include "*20161007*" &amp; "%USERPROFILE%\Documents\GitHub\mrs-test-scripts\Headless Mode &amp; Sideloading\WalkAndUnGZ.bat" "%USERPROFILE%\AppData\Local\Temp\OnboardLogs"\RTDC4028\2016-10-07</v>
      </c>
      <c r="AF140" s="92" t="str">
        <f t="shared" si="58"/>
        <v>"C:\Program Files (x86)\AstroGrep\AstroGrep.exe" /spath="%USERPROFILE%\AppData\Local\Temp\OnboardLogs" /stypes="app*4028*20161007*" /stext=" 01:.+((SYSTEM_STATE.+slice.+state.+changed )|(ment ac)|(system.+state.+changed )|(\[timeout)|(PRM\|1\|D)|(kpr)|(kdp)|(\|lc)|(penalty))" /e /r /s</v>
      </c>
      <c r="AG140" s="1" t="str">
        <f t="shared" si="44"/>
        <v>EC</v>
      </c>
      <c r="AH140" s="96" t="str">
        <f t="shared" si="45"/>
        <v>"%USERPROFILE%\Documents\GitHub\eaglep3\Utilities\RefineRTDCRunTimes.py" --tripid 216-06 --locoid 4028 --swversion DE.1.0.7.0 --startMP 204:232977 --initTime 2016-10-06T18:46:22 --startdatetime 2016-10-06T18:56:54 --delay 2 --endMP 204:84 --enddatetime 2016-10-06T19:37:29 --enforcementcount 0 &gt;&gt;C:\Users\stu\Documents\GitHub\eaglep3-reporting\EC\2016-10-06-refined-times.txt</v>
      </c>
      <c r="AI140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{"issue":{"subject":"","project_id":79,"tracker_id":40,"status_id":1,"priority_id":2,"assigned_to_id":23,"start_date":"2016-10-06","description":"","custom_fields":[{"id":1,"name":"Subdivision","value":"EC"},{"id":4,"name":"Milepost","value":"0.0084"},{"id":17,"name":"Train ID","value":"216-06"},{"id":16,"name":"Locomotive ID","value":"4028"},{"id":130,"name":"Impact","value":""},{"id":150,"name":"Time of Event (Mountain Time)","value":"19:37:29"},{"id":151,"name":"Denver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572</v>
      </c>
      <c r="B141" s="7">
        <v>4044</v>
      </c>
      <c r="C141" s="24" t="s">
        <v>106</v>
      </c>
      <c r="D141" s="24" t="s">
        <v>195</v>
      </c>
      <c r="E141" s="15">
        <v>42649.756574074076</v>
      </c>
      <c r="F141" s="15">
        <v>42649.760706018518</v>
      </c>
      <c r="G141" s="7">
        <v>1</v>
      </c>
      <c r="H141" s="15" t="s">
        <v>303</v>
      </c>
      <c r="I141" s="15">
        <v>42649.785729166666</v>
      </c>
      <c r="J141" s="7">
        <v>0</v>
      </c>
      <c r="K141" s="117" t="str">
        <f t="shared" ref="K141:K164" si="63">IF(ISEVEN(B141),(B141-1)&amp;"/"&amp;B141,B141&amp;"/"&amp;(B141+1))</f>
        <v>4043/4044</v>
      </c>
      <c r="L141" s="24" t="str">
        <f>VLOOKUP(A141,'Trips&amp;Operators'!$C$1:$E$10000,3,FALSE)</f>
        <v>LEVIN</v>
      </c>
      <c r="M141" s="6">
        <f t="shared" ref="M141:M164" si="64">I141-F141</f>
        <v>2.5023148147738539E-2</v>
      </c>
      <c r="N141" s="7">
        <f t="shared" si="62"/>
        <v>36.033333332743496</v>
      </c>
      <c r="O141" s="7"/>
      <c r="P141" s="7"/>
      <c r="Q141" s="25"/>
      <c r="R141" s="25"/>
      <c r="S141" s="37">
        <f t="shared" si="61"/>
        <v>1</v>
      </c>
      <c r="T141" s="52" t="str">
        <f t="shared" ref="T141:T204" si="65">IF(ISEVEN(LEFT(AD141,4)),"Southbound","NorthBound")</f>
        <v>NorthBound</v>
      </c>
      <c r="U141" s="159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2" t="str">
        <f t="shared" ref="V141:V164" si="66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https://search-rtdc-monitor-bjffxe2xuh6vdkpspy63sjmuny.us-east-1.es.amazonaws.com/_plugin/kibana/#/discover/Steve-Slow-Train-Analysis-(2080s-and-2083s)?_g=(refreshInterval:(display:Off,section:0,value:0),time:(from:'2016-10-06 17:09:28-0600',mode:absolute,to:'2016-10-06 19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1" s="54" t="str">
        <f t="shared" ref="W141:W164" si="67">IF(AA141&lt;IF(AG141="EC",23,5.65),"Y","N")</f>
        <v>N</v>
      </c>
      <c r="X141" s="164">
        <f t="shared" ref="X141:X163" si="68">VALUE(LEFT(AD141,4))-VALUE(LEFT(AD140,4))</f>
        <v>1</v>
      </c>
      <c r="Y141" s="69">
        <f t="shared" ref="Y141:Y164" si="69">RIGHT(D141,LEN(D141)-4)/10000</f>
        <v>4.53E-2</v>
      </c>
      <c r="Z141" s="69">
        <f t="shared" si="60"/>
        <v>23.331499999999998</v>
      </c>
      <c r="AA141" s="69">
        <f t="shared" ref="AA141:AA164" si="70">ABS(Z141-Y141)</f>
        <v>23.286199999999997</v>
      </c>
      <c r="AB141" s="66" t="str">
        <f>VLOOKUP(A141,Enforcements!$C$7:$K$21,8,0)</f>
        <v>Speed (6)</v>
      </c>
      <c r="AC141" s="62" t="str">
        <f>VLOOKUP(A141,Enforcements!$C$7:$E$21,3,0)</f>
        <v>PERMANENT SPEED RESTRICTION</v>
      </c>
      <c r="AD141" s="63" t="str">
        <f t="shared" ref="AD141:AD204" si="71">IF(LEN(A141)=6,"0"&amp;A141,A141)</f>
        <v>0217-06</v>
      </c>
      <c r="AE141" s="95" t="str">
        <f t="shared" ref="AE141:AE164" si="7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s3://rtdc.mdm.uploadarchive.raw/RTDC4044/ "%USERPROFILE%\AppData\Local\Temp\OnboardLogs"\RTDC4044\2016-10-06 --exclude "*" --recursive --include "*20161006*" &amp; "%USERPROFILE%\Documents\GitHub\mrs-test-scripts\Headless Mode &amp; Sideloading\WalkAndUnGZ.bat" "%USERPROFILE%\AppData\Local\Temp\OnboardLogs"\RTDC4044\2016-10-06 &amp; aws s3 cp s3://rtdc.mdm.uploadarchive.raw/RTDC4044/ "%USERPROFILE%\AppData\Local\Temp\OnboardLogs"\RTDC4044\2016-10-07 --exclude "*" --recursive --include "*20161007*" &amp; "%USERPROFILE%\Documents\GitHub\mrs-test-scripts\Headless Mode &amp; Sideloading\WalkAndUnGZ.bat" "%USERPROFILE%\AppData\Local\Temp\OnboardLogs"\RTDC4044\2016-10-07</v>
      </c>
      <c r="AF141" s="92" t="str">
        <f t="shared" ref="AF141:AF164" si="73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/stypes="app*4044*20161007*" /stext=" 00:.+((SYSTEM_STATE.+slice.+state.+changed )|(ment ac)|(system.+state.+changed )|(\[timeout)|(PRM\|1\|D)|(kpr)|(kdp)|(\|lc)|(penalty))" /e /r /s</v>
      </c>
      <c r="AG141" s="1" t="str">
        <f t="shared" ref="AG141:AG204" si="74">IFERROR(IF(VALUE(LEFT(AD141,2))&lt;=2,"EC",IF(OR(VALUE(LEFT(AD141,2))=8,VALUE(LEFT(AD141,2))=18),"NW","Other")),"Other")</f>
        <v>EC</v>
      </c>
      <c r="AH141" s="96" t="str">
        <f t="shared" si="45"/>
        <v>"%USERPROFILE%\Documents\GitHub\eaglep3\Utilities\RefineRTDCRunTimes.py" --tripid 217-06 --locoid 4044 --swversion DE.1.0.7.0 --startMP 204:453 --initTime 2016-10-06T18:09:28 --startdatetime 2016-10-06T18:15:25 --delay 1 --endMP 204:233315 --enddatetime 2016-10-06T18:51:27 --enforcementcount 0 &gt;&gt;C:\Users\stu\Documents\GitHub\eaglep3-reporting\EC\2016-10-06-refined-times.txt</v>
      </c>
      <c r="AI141" s="130" t="str">
        <f t="shared" si="46"/>
        <v>echo {"issue":{"subject":"","project_id":79,"tracker_id":40,"status_id":1,"priority_id":2,"assigned_to_id":23,"start_date":"2016-10-06","description":"","custom_fields":[{"id":1,"name":"Subdivision","value":"EC"},{"id":4,"name":"Milepost","value":"23.3315"},{"id":17,"name":"Train ID","value":"217-06"},{"id":16,"name":"Locomotive ID","value":"4044"},{"id":130,"name":"Impact","value":""},{"id":150,"name":"Time of Event (Mountain Time)","value":"18:51:27"},{"id":151,"name":"Denver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583</v>
      </c>
      <c r="B142" s="7">
        <v>4043</v>
      </c>
      <c r="C142" s="24" t="s">
        <v>106</v>
      </c>
      <c r="D142" s="24" t="s">
        <v>296</v>
      </c>
      <c r="E142" s="15">
        <v>42649.794895833336</v>
      </c>
      <c r="F142" s="15">
        <v>42649.79965277778</v>
      </c>
      <c r="G142" s="7">
        <v>1</v>
      </c>
      <c r="H142" s="15" t="s">
        <v>242</v>
      </c>
      <c r="I142" s="15">
        <v>42649.825416666667</v>
      </c>
      <c r="J142" s="7">
        <v>0</v>
      </c>
      <c r="K142" s="117" t="str">
        <f t="shared" si="63"/>
        <v>4043/4044</v>
      </c>
      <c r="L142" s="24" t="str">
        <f>VLOOKUP(A142,'Trips&amp;Operators'!$C$1:$E$10000,3,FALSE)</f>
        <v>LEVIN</v>
      </c>
      <c r="M142" s="6">
        <f t="shared" si="64"/>
        <v>2.5763888887013309E-2</v>
      </c>
      <c r="N142" s="7">
        <f t="shared" si="62"/>
        <v>37.099999997299165</v>
      </c>
      <c r="O142" s="7"/>
      <c r="P142" s="7"/>
      <c r="Q142" s="25"/>
      <c r="R142" s="25"/>
      <c r="S142" s="37">
        <f t="shared" si="61"/>
        <v>1</v>
      </c>
      <c r="T142" s="52" t="str">
        <f t="shared" si="65"/>
        <v>Southbound</v>
      </c>
      <c r="U142" s="159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18:04:39-0600',mode:absolute,to:'2016-10-06 20:48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2" s="54" t="str">
        <f t="shared" si="67"/>
        <v>N</v>
      </c>
      <c r="X142" s="164">
        <f t="shared" si="68"/>
        <v>1</v>
      </c>
      <c r="Y142" s="69">
        <f t="shared" si="69"/>
        <v>23.299299999999999</v>
      </c>
      <c r="Z142" s="69">
        <f t="shared" si="60"/>
        <v>1.6500000000000001E-2</v>
      </c>
      <c r="AA142" s="69">
        <f t="shared" si="70"/>
        <v>23.282799999999998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71"/>
        <v>0218-06</v>
      </c>
      <c r="AE142" s="95" t="str">
        <f t="shared" si="72"/>
        <v>aws s3 cp s3://rtdc.mdm.uploadarchive.raw/RTDC4043/ "%USERPROFILE%\AppData\Local\Temp\OnboardLogs"\RTDC4043\2016-10-06 --exclude "*" --recursive --include "*20161006*" &amp; "%USERPROFILE%\Documents\GitHub\mrs-test-scripts\Headless Mode &amp; Sideloading\WalkAndUnGZ.bat" "%USERPROFILE%\AppData\Local\Temp\OnboardLogs"\RTDC4043\2016-10-06 &amp; aws s3 cp s3://rtdc.mdm.uploadarchive.raw/RTDC4043/ "%USERPROFILE%\AppData\Local\Temp\OnboardLogs"\RTDC4043\2016-10-07 --exclude "*" --recursive --include "*20161007*" &amp; "%USERPROFILE%\Documents\GitHub\mrs-test-scripts\Headless Mode &amp; Sideloading\WalkAndUnGZ.bat" "%USERPROFILE%\AppData\Local\Temp\OnboardLogs"\RTDC4043\2016-10-07</v>
      </c>
      <c r="AF142" s="92" t="str">
        <f t="shared" si="73"/>
        <v>"C:\Program Files (x86)\AstroGrep\AstroGrep.exe" /spath="%USERPROFILE%\AppData\Local\Temp\OnboardLogs" /stypes="app*4043*20161007*" /stext=" 01:.+((SYSTEM_STATE.+slice.+state.+changed )|(ment ac)|(system.+state.+changed )|(\[timeout)|(PRM\|1\|D)|(kpr)|(kdp)|(\|lc)|(penalty))" /e /r /s</v>
      </c>
      <c r="AG142" s="1" t="str">
        <f t="shared" si="74"/>
        <v>EC</v>
      </c>
      <c r="AH142" s="96" t="str">
        <f t="shared" ref="AH142:AH206" si="75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218-06 --locoid 4043 --swversion DE.1.0.7.0 --startMP 204:232993 --initTime 2016-10-06T19:04:39 --startdatetime 2016-10-06T19:11:30 --delay 1 --endMP 204:165 --enddatetime 2016-10-06T19:48:36 --enforcementcount 0 &gt;&gt;C:\Users\stu\Documents\GitHub\eaglep3-reporting\EC\2016-10-06-refined-times.txt</v>
      </c>
      <c r="AI142" s="130" t="str">
        <f t="shared" ref="AI142:AI206" si="76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{"issue":{"subject":"","project_id":79,"tracker_id":40,"status_id":1,"priority_id":2,"assigned_to_id":23,"start_date":"2016-10-06","description":"","custom_fields":[{"id":1,"name":"Subdivision","value":"EC"},{"id":4,"name":"Milepost","value":"0.0165"},{"id":17,"name":"Train ID","value":"218-06"},{"id":16,"name":"Locomotive ID","value":"4043"},{"id":130,"name":"Impact","value":""},{"id":150,"name":"Time of Event (Mountain Time)","value":"19:48:36"},{"id":151,"name":"Denver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576</v>
      </c>
      <c r="B143" s="7">
        <v>4009</v>
      </c>
      <c r="C143" s="24" t="s">
        <v>106</v>
      </c>
      <c r="D143" s="24" t="s">
        <v>304</v>
      </c>
      <c r="E143" s="15">
        <v>42649.767442129632</v>
      </c>
      <c r="F143" s="15">
        <v>42649.771099537036</v>
      </c>
      <c r="G143" s="7">
        <v>2</v>
      </c>
      <c r="H143" s="15" t="s">
        <v>662</v>
      </c>
      <c r="I143" s="15">
        <v>42649.797094907408</v>
      </c>
      <c r="J143" s="7">
        <v>0</v>
      </c>
      <c r="K143" s="117" t="str">
        <f t="shared" si="63"/>
        <v>4009/4010</v>
      </c>
      <c r="L143" s="24" t="str">
        <f>VLOOKUP(A143,'Trips&amp;Operators'!$C$1:$E$10000,3,FALSE)</f>
        <v>STURGEON</v>
      </c>
      <c r="M143" s="6">
        <f t="shared" si="64"/>
        <v>2.5995370371674653E-2</v>
      </c>
      <c r="N143" s="7">
        <f t="shared" si="62"/>
        <v>37.433333335211501</v>
      </c>
      <c r="O143" s="7"/>
      <c r="P143" s="7"/>
      <c r="Q143" s="25"/>
      <c r="R143" s="25"/>
      <c r="S143" s="37">
        <f t="shared" si="61"/>
        <v>1</v>
      </c>
      <c r="T143" s="52" t="str">
        <f t="shared" si="65"/>
        <v>NorthBound</v>
      </c>
      <c r="U143" s="159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17:25:07-0600',mode:absolute,to:'2016-10-06 20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3" s="54" t="str">
        <f t="shared" si="67"/>
        <v>N</v>
      </c>
      <c r="X143" s="164">
        <f t="shared" si="68"/>
        <v>1</v>
      </c>
      <c r="Y143" s="69">
        <f t="shared" si="69"/>
        <v>4.5999999999999999E-2</v>
      </c>
      <c r="Z143" s="69">
        <f t="shared" si="60"/>
        <v>23.328199999999999</v>
      </c>
      <c r="AA143" s="69">
        <f t="shared" si="70"/>
        <v>23.2822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71"/>
        <v>0219-06</v>
      </c>
      <c r="AE143" s="95" t="str">
        <f t="shared" si="72"/>
        <v>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 &amp; aws s3 cp s3://rtdc.mdm.uploadarchive.raw/RTDC4009/ "%USERPROFILE%\AppData\Local\Temp\OnboardLogs"\RTDC4009\2016-10-07 --exclude "*" --recursive --include "*20161007*" &amp; "%USERPROFILE%\Documents\GitHub\mrs-test-scripts\Headless Mode &amp; Sideloading\WalkAndUnGZ.bat" "%USERPROFILE%\AppData\Local\Temp\OnboardLogs"\RTDC4009\2016-10-07</v>
      </c>
      <c r="AF143" s="92" t="str">
        <f t="shared" si="73"/>
        <v>"C:\Program Files (x86)\AstroGrep\AstroGrep.exe" /spath="%USERPROFILE%\AppData\Local\Temp\OnboardLogs" /stypes="app*4009*20161007*" /stext=" 01:.+((SYSTEM_STATE.+slice.+state.+changed )|(ment ac)|(system.+state.+changed )|(\[timeout)|(PRM\|1\|D)|(kpr)|(kdp)|(\|lc)|(penalty))" /e /r /s</v>
      </c>
      <c r="AG143" s="1" t="str">
        <f t="shared" si="74"/>
        <v>EC</v>
      </c>
      <c r="AH143" s="96" t="str">
        <f t="shared" si="75"/>
        <v>"%USERPROFILE%\Documents\GitHub\eaglep3\Utilities\RefineRTDCRunTimes.py" --tripid 219-06 --locoid 4009 --swversion DE.1.0.7.0 --startMP 204:460 --initTime 2016-10-06T18:25:07 --startdatetime 2016-10-06T18:30:23 --delay 2 --endMP 204:233282 --enddatetime 2016-10-06T19:07:49 --enforcementcount 0 &gt;&gt;C:\Users\stu\Documents\GitHub\eaglep3-reporting\EC\2016-10-06-refined-times.txt</v>
      </c>
      <c r="AI143" s="130" t="str">
        <f t="shared" si="76"/>
        <v>echo {"issue":{"subject":"","project_id":79,"tracker_id":40,"status_id":1,"priority_id":2,"assigned_to_id":23,"start_date":"2016-10-06","description":"","custom_fields":[{"id":1,"name":"Subdivision","value":"EC"},{"id":4,"name":"Milepost","value":"23.3282"},{"id":17,"name":"Train ID","value":"219-06"},{"id":16,"name":"Locomotive ID","value":"4009"},{"id":130,"name":"Impact","value":""},{"id":150,"name":"Time of Event (Mountain Time)","value":"19:07:49"},{"id":151,"name":"Denver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586</v>
      </c>
      <c r="B144" s="7">
        <v>4010</v>
      </c>
      <c r="C144" s="24" t="s">
        <v>106</v>
      </c>
      <c r="D144" s="24" t="s">
        <v>346</v>
      </c>
      <c r="E144" s="15">
        <v>42649.802731481483</v>
      </c>
      <c r="F144" s="15">
        <v>42649.810046296298</v>
      </c>
      <c r="G144" s="7">
        <v>3</v>
      </c>
      <c r="H144" s="15" t="s">
        <v>193</v>
      </c>
      <c r="I144" s="15">
        <v>42649.837418981479</v>
      </c>
      <c r="J144" s="7">
        <v>0</v>
      </c>
      <c r="K144" s="117" t="str">
        <f t="shared" si="63"/>
        <v>4009/4010</v>
      </c>
      <c r="L144" s="24" t="str">
        <f>VLOOKUP(A144,'Trips&amp;Operators'!$C$1:$E$10000,3,FALSE)</f>
        <v>STURGEON</v>
      </c>
      <c r="M144" s="6">
        <f t="shared" si="64"/>
        <v>2.7372685181035195E-2</v>
      </c>
      <c r="N144" s="7">
        <f t="shared" si="62"/>
        <v>39.41666666069068</v>
      </c>
      <c r="O144" s="7"/>
      <c r="P144" s="7"/>
      <c r="Q144" s="25"/>
      <c r="R144" s="25"/>
      <c r="S144" s="37">
        <f t="shared" si="61"/>
        <v>1</v>
      </c>
      <c r="T144" s="52" t="str">
        <f t="shared" si="65"/>
        <v>Southbound</v>
      </c>
      <c r="U144" s="159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18:15:56-0600',mode:absolute,to:'2016-10-06 21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4" s="54" t="str">
        <f t="shared" si="67"/>
        <v>N</v>
      </c>
      <c r="X144" s="164">
        <f t="shared" si="68"/>
        <v>1</v>
      </c>
      <c r="Y144" s="69">
        <f t="shared" si="69"/>
        <v>23.296099999999999</v>
      </c>
      <c r="Z144" s="69">
        <f t="shared" si="60"/>
        <v>1.5800000000000002E-2</v>
      </c>
      <c r="AA144" s="69">
        <f t="shared" si="70"/>
        <v>23.2803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71"/>
        <v>0220-06</v>
      </c>
      <c r="AE144" s="95" t="str">
        <f t="shared" si="72"/>
        <v>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 &amp; aws s3 cp s3://rtdc.mdm.uploadarchive.raw/RTDC4010/ "%USERPROFILE%\AppData\Local\Temp\OnboardLogs"\RTDC4010\2016-10-07 --exclude "*" --recursive --include "*20161007*" &amp; "%USERPROFILE%\Documents\GitHub\mrs-test-scripts\Headless Mode &amp; Sideloading\WalkAndUnGZ.bat" "%USERPROFILE%\AppData\Local\Temp\OnboardLogs"\RTDC4010\2016-10-07</v>
      </c>
      <c r="AF144" s="92" t="str">
        <f t="shared" si="73"/>
        <v>"C:\Program Files (x86)\AstroGrep\AstroGrep.exe" /spath="%USERPROFILE%\AppData\Local\Temp\OnboardLogs" /stypes="app*4010*20161007*" /stext=" 02:.+((SYSTEM_STATE.+slice.+state.+changed )|(ment ac)|(system.+state.+changed )|(\[timeout)|(PRM\|1\|D)|(kpr)|(kdp)|(\|lc)|(penalty))" /e /r /s</v>
      </c>
      <c r="AG144" s="1" t="str">
        <f t="shared" si="74"/>
        <v>EC</v>
      </c>
      <c r="AH144" s="96" t="str">
        <f t="shared" si="75"/>
        <v>"%USERPROFILE%\Documents\GitHub\eaglep3\Utilities\RefineRTDCRunTimes.py" --tripid 220-06 --locoid 4010 --swversion DE.1.0.7.0 --startMP 204:232961 --initTime 2016-10-06T19:15:56 --startdatetime 2016-10-06T19:26:28 --delay 3 --endMP 204:158 --enddatetime 2016-10-06T20:05:53 --enforcementcount 0 &gt;&gt;C:\Users\stu\Documents\GitHub\eaglep3-reporting\EC\2016-10-06-refined-times.txt</v>
      </c>
      <c r="AI144" s="130" t="str">
        <f t="shared" si="76"/>
        <v>echo {"issue":{"subject":"","project_id":79,"tracker_id":40,"status_id":1,"priority_id":2,"assigned_to_id":23,"start_date":"2016-10-06","description":"","custom_fields":[{"id":1,"name":"Subdivision","value":"EC"},{"id":4,"name":"Milepost","value":"0.0158"},{"id":17,"name":"Train ID","value":"220-06"},{"id":16,"name":"Locomotive ID","value":"4010"},{"id":130,"name":"Impact","value":""},{"id":150,"name":"Time of Event (Mountain Time)","value":"20:05:53"},{"id":151,"name":"Denver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582</v>
      </c>
      <c r="B145" s="7">
        <v>4007</v>
      </c>
      <c r="C145" s="24" t="s">
        <v>106</v>
      </c>
      <c r="D145" s="24" t="s">
        <v>255</v>
      </c>
      <c r="E145" s="15">
        <v>42649.787268518521</v>
      </c>
      <c r="F145" s="15">
        <v>42649.791863425926</v>
      </c>
      <c r="G145" s="7">
        <v>1</v>
      </c>
      <c r="H145" s="15" t="s">
        <v>295</v>
      </c>
      <c r="I145" s="15">
        <v>42649.817777777775</v>
      </c>
      <c r="J145" s="7">
        <v>0</v>
      </c>
      <c r="K145" s="117" t="str">
        <f t="shared" si="63"/>
        <v>4007/4008</v>
      </c>
      <c r="L145" s="24" t="str">
        <f>VLOOKUP(A145,'Trips&amp;Operators'!$C$1:$E$10000,3,FALSE)</f>
        <v>LEVERE</v>
      </c>
      <c r="M145" s="6">
        <f t="shared" si="64"/>
        <v>2.5914351848769002E-2</v>
      </c>
      <c r="N145" s="7">
        <f t="shared" si="62"/>
        <v>37.316666662227362</v>
      </c>
      <c r="O145" s="7"/>
      <c r="P145" s="7"/>
      <c r="Q145" s="25"/>
      <c r="R145" s="25"/>
      <c r="S145" s="37">
        <f t="shared" si="61"/>
        <v>1</v>
      </c>
      <c r="T145" s="52" t="str">
        <f t="shared" si="65"/>
        <v>NorthBound</v>
      </c>
      <c r="U145" s="159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17:53:40-0600',mode:absolute,to:'2016-10-06 20:37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5" s="54" t="str">
        <f t="shared" si="67"/>
        <v>N</v>
      </c>
      <c r="X145" s="164">
        <f t="shared" si="68"/>
        <v>1</v>
      </c>
      <c r="Y145" s="69">
        <f t="shared" si="69"/>
        <v>4.4699999999999997E-2</v>
      </c>
      <c r="Z145" s="69">
        <f t="shared" ref="Z145:Z164" si="77">RIGHT(H145,LEN(H145)-4)/10000</f>
        <v>23.329799999999999</v>
      </c>
      <c r="AA145" s="69">
        <f t="shared" si="70"/>
        <v>23.2851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71"/>
        <v>0221-06</v>
      </c>
      <c r="AE145" s="95" t="str">
        <f t="shared" si="72"/>
        <v>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 &amp; 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</v>
      </c>
      <c r="AF145" s="92" t="str">
        <f t="shared" si="73"/>
        <v>"C:\Program Files (x86)\AstroGrep\AstroGrep.exe" /spath="%USERPROFILE%\AppData\Local\Temp\OnboardLogs" /stypes="app*4007*20161007*" /stext=" 01:.+((SYSTEM_STATE.+slice.+state.+changed )|(ment ac)|(system.+state.+changed )|(\[timeout)|(PRM\|1\|D)|(kpr)|(kdp)|(\|lc)|(penalty))" /e /r /s</v>
      </c>
      <c r="AG145" s="1" t="str">
        <f t="shared" si="74"/>
        <v>EC</v>
      </c>
      <c r="AH145" s="96" t="str">
        <f t="shared" si="75"/>
        <v>"%USERPROFILE%\Documents\GitHub\eaglep3\Utilities\RefineRTDCRunTimes.py" --tripid 221-06 --locoid 4007 --swversion DE.1.0.7.0 --startMP 204:447 --initTime 2016-10-06T18:53:40 --startdatetime 2016-10-06T19:00:17 --delay 1 --endMP 204:233298 --enddatetime 2016-10-06T19:37:36 --enforcementcount 0 &gt;&gt;C:\Users\stu\Documents\GitHub\eaglep3-reporting\EC\2016-10-06-refined-times.txt</v>
      </c>
      <c r="AI145" s="130" t="str">
        <f t="shared" si="76"/>
        <v>echo {"issue":{"subject":"","project_id":79,"tracker_id":40,"status_id":1,"priority_id":2,"assigned_to_id":23,"start_date":"2016-10-06","description":"","custom_fields":[{"id":1,"name":"Subdivision","value":"EC"},{"id":4,"name":"Milepost","value":"23.3298"},{"id":17,"name":"Train ID","value":"221-06"},{"id":16,"name":"Locomotive ID","value":"4007"},{"id":130,"name":"Impact","value":""},{"id":150,"name":"Time of Event (Mountain Time)","value":"19:37:36"},{"id":151,"name":"Denver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591</v>
      </c>
      <c r="B146" s="7">
        <v>4008</v>
      </c>
      <c r="C146" s="24" t="s">
        <v>106</v>
      </c>
      <c r="D146" s="24" t="s">
        <v>343</v>
      </c>
      <c r="E146" s="15">
        <v>42649.82439814815</v>
      </c>
      <c r="F146" s="15">
        <v>42649.83090277778</v>
      </c>
      <c r="G146" s="7">
        <v>1</v>
      </c>
      <c r="H146" s="15" t="s">
        <v>196</v>
      </c>
      <c r="I146" s="15">
        <v>42649.858749999999</v>
      </c>
      <c r="J146" s="7">
        <v>0</v>
      </c>
      <c r="K146" s="117" t="str">
        <f t="shared" si="63"/>
        <v>4007/4008</v>
      </c>
      <c r="L146" s="24" t="str">
        <f>VLOOKUP(A146,'Trips&amp;Operators'!$C$1:$E$10000,3,FALSE)</f>
        <v>LEVERE</v>
      </c>
      <c r="M146" s="6">
        <f t="shared" si="64"/>
        <v>2.7847222219861578E-2</v>
      </c>
      <c r="N146" s="7">
        <f t="shared" si="62"/>
        <v>40.099999996600673</v>
      </c>
      <c r="O146" s="7"/>
      <c r="P146" s="7"/>
      <c r="Q146" s="25"/>
      <c r="R146" s="25"/>
      <c r="S146" s="37">
        <f t="shared" si="61"/>
        <v>1</v>
      </c>
      <c r="T146" s="52" t="str">
        <f t="shared" si="65"/>
        <v>Southbound</v>
      </c>
      <c r="U146" s="159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18:47:08-0600',mode:absolute,to:'2016-10-06 21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6" s="54" t="str">
        <f t="shared" si="67"/>
        <v>N</v>
      </c>
      <c r="X146" s="164">
        <f t="shared" si="68"/>
        <v>1</v>
      </c>
      <c r="Y146" s="69">
        <f t="shared" si="69"/>
        <v>23.297599999999999</v>
      </c>
      <c r="Z146" s="69">
        <f t="shared" si="77"/>
        <v>1.4999999999999999E-2</v>
      </c>
      <c r="AA146" s="69">
        <f t="shared" si="70"/>
        <v>23.282599999999999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71"/>
        <v>0222-06</v>
      </c>
      <c r="AE146" s="95" t="str">
        <f t="shared" si="72"/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AF146" s="92" t="str">
        <f t="shared" si="73"/>
        <v>"C:\Program Files (x86)\AstroGrep\AstroGrep.exe" /spath="%USERPROFILE%\AppData\Local\Temp\OnboardLogs" /stypes="app*4008*20161007*" /stext=" 02:.+((SYSTEM_STATE.+slice.+state.+changed )|(ment ac)|(system.+state.+changed )|(\[timeout)|(PRM\|1\|D)|(kpr)|(kdp)|(\|lc)|(penalty))" /e /r /s</v>
      </c>
      <c r="AG146" s="1" t="str">
        <f t="shared" si="74"/>
        <v>EC</v>
      </c>
      <c r="AH146" s="96" t="str">
        <f t="shared" si="75"/>
        <v>"%USERPROFILE%\Documents\GitHub\eaglep3\Utilities\RefineRTDCRunTimes.py" --tripid 222-06 --locoid 4008 --swversion DE.1.0.7.0 --startMP 204:232976 --initTime 2016-10-06T19:47:08 --startdatetime 2016-10-06T19:56:30 --delay 1 --endMP 204:150 --enddatetime 2016-10-06T20:36:36 --enforcementcount 0 &gt;&gt;C:\Users\stu\Documents\GitHub\eaglep3-reporting\EC\2016-10-06-refined-times.txt</v>
      </c>
      <c r="AI146" s="130" t="str">
        <f t="shared" si="76"/>
        <v>echo {"issue":{"subject":"","project_id":79,"tracker_id":40,"status_id":1,"priority_id":2,"assigned_to_id":23,"start_date":"2016-10-06","description":"","custom_fields":[{"id":1,"name":"Subdivision","value":"EC"},{"id":4,"name":"Milepost","value":"0.015"},{"id":17,"name":"Train ID","value":"222-06"},{"id":16,"name":"Locomotive ID","value":"4008"},{"id":130,"name":"Impact","value":""},{"id":150,"name":"Time of Event (Mountain Time)","value":"20:36:36"},{"id":151,"name":"Denver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588</v>
      </c>
      <c r="B147" s="7">
        <v>4031</v>
      </c>
      <c r="C147" s="24" t="s">
        <v>106</v>
      </c>
      <c r="D147" s="24" t="s">
        <v>304</v>
      </c>
      <c r="E147" s="15">
        <v>42649.809351851851</v>
      </c>
      <c r="F147" s="15">
        <v>42649.812696759262</v>
      </c>
      <c r="G147" s="7">
        <v>1</v>
      </c>
      <c r="H147" s="15" t="s">
        <v>351</v>
      </c>
      <c r="I147" s="15">
        <v>42649.839583333334</v>
      </c>
      <c r="J147" s="7">
        <v>0</v>
      </c>
      <c r="K147" s="117" t="str">
        <f t="shared" si="63"/>
        <v>4031/4032</v>
      </c>
      <c r="L147" s="24" t="str">
        <f>VLOOKUP(A147,'Trips&amp;Operators'!$C$1:$E$10000,3,FALSE)</f>
        <v>OSULLIVAN</v>
      </c>
      <c r="M147" s="6">
        <f t="shared" si="64"/>
        <v>2.6886574072705116E-2</v>
      </c>
      <c r="N147" s="7">
        <f t="shared" si="62"/>
        <v>38.716666664695367</v>
      </c>
      <c r="O147" s="7"/>
      <c r="P147" s="7"/>
      <c r="Q147" s="25"/>
      <c r="R147" s="25"/>
      <c r="S147" s="37">
        <f t="shared" si="61"/>
        <v>1</v>
      </c>
      <c r="T147" s="52" t="str">
        <f t="shared" si="65"/>
        <v>NorthBound</v>
      </c>
      <c r="U147" s="159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18:25:28-0600',mode:absolute,to:'2016-10-06 21:09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7" s="54" t="str">
        <f t="shared" si="67"/>
        <v>N</v>
      </c>
      <c r="X147" s="164">
        <f t="shared" si="68"/>
        <v>1</v>
      </c>
      <c r="Y147" s="69">
        <f t="shared" si="69"/>
        <v>4.5999999999999999E-2</v>
      </c>
      <c r="Z147" s="69">
        <f t="shared" si="77"/>
        <v>23.334</v>
      </c>
      <c r="AA147" s="69">
        <f t="shared" si="70"/>
        <v>23.288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71"/>
        <v>0223-06</v>
      </c>
      <c r="AE147" s="95" t="str">
        <f t="shared" si="72"/>
        <v>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 &amp; aws s3 cp s3://rtdc.mdm.uploadarchive.raw/RTDC4031/ "%USERPROFILE%\AppData\Local\Temp\OnboardLogs"\RTDC4031\2016-10-07 --exclude "*" --recursive --include "*20161007*" &amp; "%USERPROFILE%\Documents\GitHub\mrs-test-scripts\Headless Mode &amp; Sideloading\WalkAndUnGZ.bat" "%USERPROFILE%\AppData\Local\Temp\OnboardLogs"\RTDC4031\2016-10-07</v>
      </c>
      <c r="AF147" s="92" t="str">
        <f t="shared" si="73"/>
        <v>"C:\Program Files (x86)\AstroGrep\AstroGrep.exe" /spath="%USERPROFILE%\AppData\Local\Temp\OnboardLogs" /stypes="app*4031*20161007*" /stext=" 02:.+((SYSTEM_STATE.+slice.+state.+changed )|(ment ac)|(system.+state.+changed )|(\[timeout)|(PRM\|1\|D)|(kpr)|(kdp)|(\|lc)|(penalty))" /e /r /s</v>
      </c>
      <c r="AG147" s="1" t="str">
        <f t="shared" si="74"/>
        <v>EC</v>
      </c>
      <c r="AH147" s="96" t="str">
        <f t="shared" si="75"/>
        <v>"%USERPROFILE%\Documents\GitHub\eaglep3\Utilities\RefineRTDCRunTimes.py" --tripid 223-06 --locoid 4031 --swversion DE.1.0.7.0 --startMP 204:460 --initTime 2016-10-06T19:25:28 --startdatetime 2016-10-06T19:30:17 --delay 1 --endMP 204:233340 --enddatetime 2016-10-06T20:09:00 --enforcementcount 0 &gt;&gt;C:\Users\stu\Documents\GitHub\eaglep3-reporting\EC\2016-10-06-refined-times.txt</v>
      </c>
      <c r="AI147" s="130" t="str">
        <f t="shared" si="76"/>
        <v>echo {"issue":{"subject":"","project_id":79,"tracker_id":40,"status_id":1,"priority_id":2,"assigned_to_id":23,"start_date":"2016-10-06","description":"","custom_fields":[{"id":1,"name":"Subdivision","value":"EC"},{"id":4,"name":"Milepost","value":"23.334"},{"id":17,"name":"Train ID","value":"223-06"},{"id":16,"name":"Locomotive ID","value":"4031"},{"id":130,"name":"Impact","value":""},{"id":150,"name":"Time of Event (Mountain Time)","value":"20:09:00"},{"id":151,"name":"Denver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594</v>
      </c>
      <c r="B148" s="7">
        <v>4032</v>
      </c>
      <c r="C148" s="24" t="s">
        <v>106</v>
      </c>
      <c r="D148" s="24" t="s">
        <v>272</v>
      </c>
      <c r="E148" s="15">
        <v>42649.845381944448</v>
      </c>
      <c r="F148" s="15">
        <v>42649.851585648146</v>
      </c>
      <c r="G148" s="7">
        <v>1</v>
      </c>
      <c r="H148" s="15" t="s">
        <v>198</v>
      </c>
      <c r="I148" s="15">
        <v>42649.878807870373</v>
      </c>
      <c r="J148" s="7">
        <v>0</v>
      </c>
      <c r="K148" s="117" t="str">
        <f t="shared" si="63"/>
        <v>4031/4032</v>
      </c>
      <c r="L148" s="24" t="str">
        <f>VLOOKUP(A148,'Trips&amp;Operators'!$C$1:$E$10000,3,FALSE)</f>
        <v>OSULLIVAN</v>
      </c>
      <c r="M148" s="6">
        <f t="shared" si="64"/>
        <v>2.7222222226555459E-2</v>
      </c>
      <c r="N148" s="7">
        <f t="shared" si="62"/>
        <v>39.200000006239861</v>
      </c>
      <c r="O148" s="7"/>
      <c r="P148" s="7"/>
      <c r="Q148" s="25"/>
      <c r="R148" s="25"/>
      <c r="S148" s="37">
        <f t="shared" si="61"/>
        <v>1</v>
      </c>
      <c r="T148" s="52" t="str">
        <f t="shared" si="65"/>
        <v>Southbound</v>
      </c>
      <c r="U148" s="159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19:17:21-0600',mode:absolute,to:'2016-10-06 22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8" s="54" t="str">
        <f t="shared" si="67"/>
        <v>N</v>
      </c>
      <c r="X148" s="164">
        <f t="shared" si="68"/>
        <v>1</v>
      </c>
      <c r="Y148" s="69">
        <f t="shared" si="69"/>
        <v>23.298500000000001</v>
      </c>
      <c r="Z148" s="69">
        <f t="shared" si="77"/>
        <v>1.52E-2</v>
      </c>
      <c r="AA148" s="69">
        <f t="shared" si="70"/>
        <v>23.283300000000001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71"/>
        <v>0224-06</v>
      </c>
      <c r="AE148" s="95" t="str">
        <f t="shared" si="72"/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AF148" s="92" t="str">
        <f t="shared" si="73"/>
        <v>"C:\Program Files (x86)\AstroGrep\AstroGrep.exe" /spath="%USERPROFILE%\AppData\Local\Temp\OnboardLogs" /stypes="app*4032*20161007*" /stext=" 03:.+((SYSTEM_STATE.+slice.+state.+changed )|(ment ac)|(system.+state.+changed )|(\[timeout)|(PRM\|1\|D)|(kpr)|(kdp)|(\|lc)|(penalty))" /e /r /s</v>
      </c>
      <c r="AG148" s="1" t="str">
        <f t="shared" si="74"/>
        <v>EC</v>
      </c>
      <c r="AH148" s="96" t="str">
        <f t="shared" si="75"/>
        <v>"%USERPROFILE%\Documents\GitHub\eaglep3\Utilities\RefineRTDCRunTimes.py" --tripid 224-06 --locoid 4032 --swversion DE.1.0.7.0 --startMP 204:232985 --initTime 2016-10-06T20:17:21 --startdatetime 2016-10-06T20:26:17 --delay 1 --endMP 204:152 --enddatetime 2016-10-06T21:05:29 --enforcementcount 0 &gt;&gt;C:\Users\stu\Documents\GitHub\eaglep3-reporting\EC\2016-10-06-refined-times.txt</v>
      </c>
      <c r="AI148" s="130" t="str">
        <f t="shared" si="76"/>
        <v>echo {"issue":{"subject":"","project_id":79,"tracker_id":40,"status_id":1,"priority_id":2,"assigned_to_id":23,"start_date":"2016-10-06","description":"","custom_fields":[{"id":1,"name":"Subdivision","value":"EC"},{"id":4,"name":"Milepost","value":"0.0152"},{"id":17,"name":"Train ID","value":"224-06"},{"id":16,"name":"Locomotive ID","value":"4032"},{"id":130,"name":"Impact","value":""},{"id":150,"name":"Time of Event (Mountain Time)","value":"21:05:29"},{"id":151,"name":"Denver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592</v>
      </c>
      <c r="B149" s="7">
        <v>4044</v>
      </c>
      <c r="C149" s="24" t="s">
        <v>106</v>
      </c>
      <c r="D149" s="24" t="s">
        <v>202</v>
      </c>
      <c r="E149" s="15">
        <v>42649.827465277776</v>
      </c>
      <c r="F149" s="15">
        <v>42649.833506944444</v>
      </c>
      <c r="G149" s="7">
        <v>1</v>
      </c>
      <c r="H149" s="15" t="s">
        <v>297</v>
      </c>
      <c r="I149" s="15">
        <v>42649.858495370368</v>
      </c>
      <c r="J149" s="7">
        <v>0</v>
      </c>
      <c r="K149" s="117" t="str">
        <f t="shared" si="63"/>
        <v>4043/4044</v>
      </c>
      <c r="L149" s="24" t="str">
        <f>VLOOKUP(A149,'Trips&amp;Operators'!$C$1:$E$10000,3,FALSE)</f>
        <v>LEVIN</v>
      </c>
      <c r="M149" s="6">
        <f t="shared" si="64"/>
        <v>2.4988425924675539E-2</v>
      </c>
      <c r="N149" s="7">
        <f t="shared" si="62"/>
        <v>35.983333331532776</v>
      </c>
      <c r="O149" s="7"/>
      <c r="P149" s="7"/>
      <c r="Q149" s="25"/>
      <c r="R149" s="25"/>
      <c r="S149" s="37">
        <f t="shared" si="61"/>
        <v>1</v>
      </c>
      <c r="T149" s="52" t="str">
        <f t="shared" si="65"/>
        <v>NorthBound</v>
      </c>
      <c r="U149" s="159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18:51:33-0600',mode:absolute,to:'2016-10-06 21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9" s="54" t="str">
        <f t="shared" si="67"/>
        <v>N</v>
      </c>
      <c r="X149" s="164">
        <f t="shared" si="68"/>
        <v>1</v>
      </c>
      <c r="Y149" s="69">
        <f t="shared" si="69"/>
        <v>4.5499999999999999E-2</v>
      </c>
      <c r="Z149" s="69">
        <f t="shared" si="77"/>
        <v>23.3325</v>
      </c>
      <c r="AA149" s="69">
        <f t="shared" si="70"/>
        <v>23.286999999999999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71"/>
        <v>0225-06</v>
      </c>
      <c r="AE149" s="95" t="str">
        <f t="shared" si="72"/>
        <v>aws s3 cp s3://rtdc.mdm.uploadarchive.raw/RTDC4044/ "%USERPROFILE%\AppData\Local\Temp\OnboardLogs"\RTDC4044\2016-10-06 --exclude "*" --recursive --include "*20161006*" &amp; "%USERPROFILE%\Documents\GitHub\mrs-test-scripts\Headless Mode &amp; Sideloading\WalkAndUnGZ.bat" "%USERPROFILE%\AppData\Local\Temp\OnboardLogs"\RTDC4044\2016-10-06 &amp; aws s3 cp s3://rtdc.mdm.uploadarchive.raw/RTDC4044/ "%USERPROFILE%\AppData\Local\Temp\OnboardLogs"\RTDC4044\2016-10-07 --exclude "*" --recursive --include "*20161007*" &amp; "%USERPROFILE%\Documents\GitHub\mrs-test-scripts\Headless Mode &amp; Sideloading\WalkAndUnGZ.bat" "%USERPROFILE%\AppData\Local\Temp\OnboardLogs"\RTDC4044\2016-10-07</v>
      </c>
      <c r="AF149" s="92" t="str">
        <f t="shared" si="73"/>
        <v>"C:\Program Files (x86)\AstroGrep\AstroGrep.exe" /spath="%USERPROFILE%\AppData\Local\Temp\OnboardLogs" /stypes="app*4044*20161007*" /stext=" 02:.+((SYSTEM_STATE.+slice.+state.+changed )|(ment ac)|(system.+state.+changed )|(\[timeout)|(PRM\|1\|D)|(kpr)|(kdp)|(\|lc)|(penalty))" /e /r /s</v>
      </c>
      <c r="AG149" s="1" t="str">
        <f t="shared" si="74"/>
        <v>EC</v>
      </c>
      <c r="AH149" s="96" t="str">
        <f t="shared" si="75"/>
        <v>"%USERPROFILE%\Documents\GitHub\eaglep3\Utilities\RefineRTDCRunTimes.py" --tripid 225-06 --locoid 4044 --swversion DE.1.0.7.0 --startMP 204:455 --initTime 2016-10-06T19:51:33 --startdatetime 2016-10-06T20:00:15 --delay 1 --endMP 204:233325 --enddatetime 2016-10-06T20:36:14 --enforcementcount 0 &gt;&gt;C:\Users\stu\Documents\GitHub\eaglep3-reporting\EC\2016-10-06-refined-times.txt</v>
      </c>
      <c r="AI149" s="130" t="str">
        <f t="shared" si="76"/>
        <v>echo {"issue":{"subject":"","project_id":79,"tracker_id":40,"status_id":1,"priority_id":2,"assigned_to_id":23,"start_date":"2016-10-06","description":"","custom_fields":[{"id":1,"name":"Subdivision","value":"EC"},{"id":4,"name":"Milepost","value":"23.3325"},{"id":17,"name":"Train ID","value":"225-06"},{"id":16,"name":"Locomotive ID","value":"4044"},{"id":130,"name":"Impact","value":""},{"id":150,"name":"Time of Event (Mountain Time)","value":"20:36:14"},{"id":151,"name":"Denver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598</v>
      </c>
      <c r="B150" s="7">
        <v>4043</v>
      </c>
      <c r="C150" s="24" t="s">
        <v>106</v>
      </c>
      <c r="D150" s="24" t="s">
        <v>301</v>
      </c>
      <c r="E150" s="15">
        <v>42649.873356481483</v>
      </c>
      <c r="F150" s="15">
        <v>42649.875081018516</v>
      </c>
      <c r="G150" s="7">
        <v>1</v>
      </c>
      <c r="H150" s="15" t="s">
        <v>668</v>
      </c>
      <c r="I150" s="15">
        <v>42649.912152777775</v>
      </c>
      <c r="J150" s="7">
        <v>0</v>
      </c>
      <c r="K150" s="117" t="str">
        <f t="shared" si="63"/>
        <v>4043/4044</v>
      </c>
      <c r="L150" s="24" t="str">
        <f>VLOOKUP(A150,'Trips&amp;Operators'!$C$1:$E$10000,3,FALSE)</f>
        <v>LEVIN</v>
      </c>
      <c r="M150" s="6">
        <f t="shared" si="64"/>
        <v>3.7071759259561077E-2</v>
      </c>
      <c r="N150" s="7">
        <f t="shared" si="62"/>
        <v>53.383333333767951</v>
      </c>
      <c r="O150" s="7"/>
      <c r="P150" s="7"/>
      <c r="Q150" s="25"/>
      <c r="R150" s="25"/>
      <c r="S150" s="37">
        <f t="shared" si="61"/>
        <v>1</v>
      </c>
      <c r="T150" s="52" t="str">
        <f t="shared" si="65"/>
        <v>Southbound</v>
      </c>
      <c r="U150" s="159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19:57:38-0600',mode:absolute,to:'2016-10-06 22:53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0" s="54" t="str">
        <f t="shared" si="67"/>
        <v>N</v>
      </c>
      <c r="X150" s="164">
        <f t="shared" si="68"/>
        <v>1</v>
      </c>
      <c r="Y150" s="69">
        <f t="shared" si="69"/>
        <v>23.301300000000001</v>
      </c>
      <c r="Z150" s="69">
        <f t="shared" si="77"/>
        <v>1.43E-2</v>
      </c>
      <c r="AA150" s="69">
        <f t="shared" si="70"/>
        <v>23.287000000000003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71"/>
        <v>0226-06</v>
      </c>
      <c r="AE150" s="95" t="str">
        <f t="shared" si="72"/>
        <v>aws s3 cp s3://rtdc.mdm.uploadarchive.raw/RTDC4043/ "%USERPROFILE%\AppData\Local\Temp\OnboardLogs"\RTDC4043\2016-10-06 --exclude "*" --recursive --include "*20161006*" &amp; "%USERPROFILE%\Documents\GitHub\mrs-test-scripts\Headless Mode &amp; Sideloading\WalkAndUnGZ.bat" "%USERPROFILE%\AppData\Local\Temp\OnboardLogs"\RTDC4043\2016-10-06 &amp; aws s3 cp s3://rtdc.mdm.uploadarchive.raw/RTDC4043/ "%USERPROFILE%\AppData\Local\Temp\OnboardLogs"\RTDC4043\2016-10-07 --exclude "*" --recursive --include "*20161007*" &amp; "%USERPROFILE%\Documents\GitHub\mrs-test-scripts\Headless Mode &amp; Sideloading\WalkAndUnGZ.bat" "%USERPROFILE%\AppData\Local\Temp\OnboardLogs"\RTDC4043\2016-10-07</v>
      </c>
      <c r="AF150" s="92" t="str">
        <f t="shared" si="73"/>
        <v>"C:\Program Files (x86)\AstroGrep\AstroGrep.exe" /spath="%USERPROFILE%\AppData\Local\Temp\OnboardLogs" /stypes="app*4043*20161007*" /stext=" 03:.+((SYSTEM_STATE.+slice.+state.+changed )|(ment ac)|(system.+state.+changed )|(\[timeout)|(PRM\|1\|D)|(kpr)|(kdp)|(\|lc)|(penalty))" /e /r /s</v>
      </c>
      <c r="AG150" s="1" t="str">
        <f t="shared" si="74"/>
        <v>EC</v>
      </c>
      <c r="AH150" s="96" t="str">
        <f t="shared" si="75"/>
        <v>"%USERPROFILE%\Documents\GitHub\eaglep3\Utilities\RefineRTDCRunTimes.py" --tripid 226-06 --locoid 4043 --swversion DE.1.0.7.0 --startMP 204:233013 --initTime 2016-10-06T20:57:38 --startdatetime 2016-10-06T21:00:07 --delay 1 --endMP 204:143 --enddatetime 2016-10-06T21:53:30 --enforcementcount 0 &gt;&gt;C:\Users\stu\Documents\GitHub\eaglep3-reporting\EC\2016-10-06-refined-times.txt</v>
      </c>
      <c r="AI150" s="130" t="str">
        <f t="shared" si="76"/>
        <v>echo {"issue":{"subject":"","project_id":79,"tracker_id":40,"status_id":1,"priority_id":2,"assigned_to_id":23,"start_date":"2016-10-06","description":"","custom_fields":[{"id":1,"name":"Subdivision","value":"EC"},{"id":4,"name":"Milepost","value":"0.0143"},{"id":17,"name":"Train ID","value":"226-06"},{"id":16,"name":"Locomotive ID","value":"4043"},{"id":130,"name":"Impact","value":""},{"id":150,"name":"Time of Event (Mountain Time)","value":"21:53:30"},{"id":151,"name":"Denver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595</v>
      </c>
      <c r="B151" s="7">
        <v>4009</v>
      </c>
      <c r="C151" s="24" t="s">
        <v>106</v>
      </c>
      <c r="D151" s="24" t="s">
        <v>206</v>
      </c>
      <c r="E151" s="15">
        <v>42649.846921296295</v>
      </c>
      <c r="F151" s="15">
        <v>42649.854699074072</v>
      </c>
      <c r="G151" s="7">
        <v>6</v>
      </c>
      <c r="H151" s="15" t="s">
        <v>268</v>
      </c>
      <c r="I151" s="15">
        <v>42649.881261574075</v>
      </c>
      <c r="J151" s="7">
        <v>0</v>
      </c>
      <c r="K151" s="117" t="str">
        <f t="shared" si="63"/>
        <v>4009/4010</v>
      </c>
      <c r="L151" s="24" t="str">
        <f>VLOOKUP(A151,'Trips&amp;Operators'!$C$1:$E$10000,3,FALSE)</f>
        <v>STURGEON</v>
      </c>
      <c r="M151" s="6">
        <f t="shared" si="64"/>
        <v>2.6562500002910383E-2</v>
      </c>
      <c r="N151" s="7">
        <f t="shared" si="62"/>
        <v>38.250000004190952</v>
      </c>
      <c r="O151" s="7"/>
      <c r="P151" s="7"/>
      <c r="Q151" s="25"/>
      <c r="R151" s="25"/>
      <c r="S151" s="37">
        <f t="shared" si="61"/>
        <v>1</v>
      </c>
      <c r="T151" s="52" t="str">
        <f t="shared" si="65"/>
        <v>NorthBound</v>
      </c>
      <c r="U151" s="159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19:19:34-0600',mode:absolute,to:'2016-10-06 22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1" s="54" t="str">
        <f t="shared" si="67"/>
        <v>N</v>
      </c>
      <c r="X151" s="164">
        <f t="shared" si="68"/>
        <v>1</v>
      </c>
      <c r="Y151" s="69">
        <f t="shared" si="69"/>
        <v>4.6199999999999998E-2</v>
      </c>
      <c r="Z151" s="69">
        <f t="shared" si="77"/>
        <v>23.3276</v>
      </c>
      <c r="AA151" s="69">
        <f t="shared" si="70"/>
        <v>23.281400000000001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71"/>
        <v>0227-06</v>
      </c>
      <c r="AE151" s="95" t="str">
        <f t="shared" si="72"/>
        <v>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 &amp; aws s3 cp s3://rtdc.mdm.uploadarchive.raw/RTDC4009/ "%USERPROFILE%\AppData\Local\Temp\OnboardLogs"\RTDC4009\2016-10-07 --exclude "*" --recursive --include "*20161007*" &amp; "%USERPROFILE%\Documents\GitHub\mrs-test-scripts\Headless Mode &amp; Sideloading\WalkAndUnGZ.bat" "%USERPROFILE%\AppData\Local\Temp\OnboardLogs"\RTDC4009\2016-10-07</v>
      </c>
      <c r="AF151" s="92" t="str">
        <f t="shared" si="73"/>
        <v>"C:\Program Files (x86)\AstroGrep\AstroGrep.exe" /spath="%USERPROFILE%\AppData\Local\Temp\OnboardLogs" /stypes="app*4009*20161007*" /stext=" 03:.+((SYSTEM_STATE.+slice.+state.+changed )|(ment ac)|(system.+state.+changed )|(\[timeout)|(PRM\|1\|D)|(kpr)|(kdp)|(\|lc)|(penalty))" /e /r /s</v>
      </c>
      <c r="AG151" s="1" t="str">
        <f t="shared" si="74"/>
        <v>EC</v>
      </c>
      <c r="AH151" s="96" t="str">
        <f t="shared" si="75"/>
        <v>"%USERPROFILE%\Documents\GitHub\eaglep3\Utilities\RefineRTDCRunTimes.py" --tripid 227-06 --locoid 4009 --swversion DE.1.0.7.0 --startMP 204:462 --initTime 2016-10-06T20:19:34 --startdatetime 2016-10-06T20:30:46 --delay 6 --endMP 204:233276 --enddatetime 2016-10-06T21:09:01 --enforcementcount 0 &gt;&gt;C:\Users\stu\Documents\GitHub\eaglep3-reporting\EC\2016-10-06-refined-times.txt</v>
      </c>
      <c r="AI151" s="130" t="str">
        <f t="shared" si="76"/>
        <v>echo {"issue":{"subject":"","project_id":79,"tracker_id":40,"status_id":1,"priority_id":2,"assigned_to_id":23,"start_date":"2016-10-06","description":"","custom_fields":[{"id":1,"name":"Subdivision","value":"EC"},{"id":4,"name":"Milepost","value":"23.3276"},{"id":17,"name":"Train ID","value":"227-06"},{"id":16,"name":"Locomotive ID","value":"4009"},{"id":130,"name":"Impact","value":""},{"id":150,"name":"Time of Event (Mountain Time)","value":"21:09:01"},{"id":151,"name":"Denver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s="23" customFormat="1" x14ac:dyDescent="0.25">
      <c r="A152" s="39" t="s">
        <v>601</v>
      </c>
      <c r="B152" s="7">
        <v>4010</v>
      </c>
      <c r="C152" s="24" t="s">
        <v>106</v>
      </c>
      <c r="D152" s="24" t="s">
        <v>667</v>
      </c>
      <c r="E152" s="15">
        <v>42649.887928240743</v>
      </c>
      <c r="F152" s="15">
        <v>42649.893240740741</v>
      </c>
      <c r="G152" s="7">
        <v>2</v>
      </c>
      <c r="H152" s="15" t="s">
        <v>256</v>
      </c>
      <c r="I152" s="15">
        <v>42649.933761574073</v>
      </c>
      <c r="J152" s="7">
        <v>0</v>
      </c>
      <c r="K152" s="117" t="str">
        <f t="shared" si="63"/>
        <v>4009/4010</v>
      </c>
      <c r="L152" s="24" t="str">
        <f>VLOOKUP(A152,'Trips&amp;Operators'!$C$1:$E$10000,3,FALSE)</f>
        <v>STURGEON</v>
      </c>
      <c r="M152" s="6">
        <f t="shared" si="64"/>
        <v>4.0520833332266193E-2</v>
      </c>
      <c r="N152" s="7">
        <f t="shared" si="62"/>
        <v>58.349999998463318</v>
      </c>
      <c r="O152" s="7"/>
      <c r="P152" s="7"/>
      <c r="Q152" s="25"/>
      <c r="R152" s="25"/>
      <c r="S152" s="37">
        <f t="shared" si="61"/>
        <v>1</v>
      </c>
      <c r="T152" s="52" t="str">
        <f t="shared" si="65"/>
        <v>Southbound</v>
      </c>
      <c r="U152" s="159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20:18:37-0600',mode:absolute,to:'2016-10-06 23:24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2" s="54" t="str">
        <f t="shared" si="67"/>
        <v>N</v>
      </c>
      <c r="X152" s="164">
        <f t="shared" si="68"/>
        <v>1</v>
      </c>
      <c r="Y152" s="69">
        <f t="shared" si="69"/>
        <v>23.2972</v>
      </c>
      <c r="Z152" s="69">
        <f t="shared" si="77"/>
        <v>1.6299999999999999E-2</v>
      </c>
      <c r="AA152" s="69">
        <f t="shared" si="70"/>
        <v>23.280899999999999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71"/>
        <v>0228-06</v>
      </c>
      <c r="AE152" s="95" t="str">
        <f t="shared" si="72"/>
        <v>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 &amp; aws s3 cp s3://rtdc.mdm.uploadarchive.raw/RTDC4010/ "%USERPROFILE%\AppData\Local\Temp\OnboardLogs"\RTDC4010\2016-10-07 --exclude "*" --recursive --include "*20161007*" &amp; "%USERPROFILE%\Documents\GitHub\mrs-test-scripts\Headless Mode &amp; Sideloading\WalkAndUnGZ.bat" "%USERPROFILE%\AppData\Local\Temp\OnboardLogs"\RTDC4010\2016-10-07</v>
      </c>
      <c r="AF152" s="92" t="str">
        <f t="shared" si="73"/>
        <v>"C:\Program Files (x86)\AstroGrep\AstroGrep.exe" /spath="%USERPROFILE%\AppData\Local\Temp\OnboardLogs" /stypes="app*4010*20161007*" /stext=" 04:.+((SYSTEM_STATE.+slice.+state.+changed )|(ment ac)|(system.+state.+changed )|(\[timeout)|(PRM\|1\|D)|(kpr)|(kdp)|(\|lc)|(penalty))" /e /r /s</v>
      </c>
      <c r="AG152" s="1" t="str">
        <f t="shared" si="74"/>
        <v>EC</v>
      </c>
      <c r="AH152" s="96" t="str">
        <f t="shared" si="75"/>
        <v>"%USERPROFILE%\Documents\GitHub\eaglep3\Utilities\RefineRTDCRunTimes.py" --tripid 228-06 --locoid 4010 --swversion DE.1.0.7.0 --startMP 204:232972 --initTime 2016-10-06T21:18:37 --startdatetime 2016-10-06T21:26:16 --delay 2 --endMP 204:163 --enddatetime 2016-10-06T22:24:37 --enforcementcount 0 &gt;&gt;C:\Users\stu\Documents\GitHub\eaglep3-reporting\EC\2016-10-06-refined-times.txt</v>
      </c>
      <c r="AI152" s="130" t="str">
        <f t="shared" si="76"/>
        <v>echo {"issue":{"subject":"","project_id":79,"tracker_id":40,"status_id":1,"priority_id":2,"assigned_to_id":23,"start_date":"2016-10-06","description":"","custom_fields":[{"id":1,"name":"Subdivision","value":"EC"},{"id":4,"name":"Milepost","value":"0.0163"},{"id":17,"name":"Train ID","value":"228-06"},{"id":16,"name":"Locomotive ID","value":"4010"},{"id":130,"name":"Impact","value":""},{"id":150,"name":"Time of Event (Mountain Time)","value":"22:24:37"},{"id":151,"name":"Denver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597</v>
      </c>
      <c r="B153" s="7">
        <v>4007</v>
      </c>
      <c r="C153" s="24" t="s">
        <v>106</v>
      </c>
      <c r="D153" s="24" t="s">
        <v>202</v>
      </c>
      <c r="E153" s="15">
        <v>42649.867696759262</v>
      </c>
      <c r="F153" s="15">
        <v>42649.875185185185</v>
      </c>
      <c r="G153" s="7">
        <v>1</v>
      </c>
      <c r="H153" s="15" t="s">
        <v>227</v>
      </c>
      <c r="I153" s="15">
        <v>42649.904988425929</v>
      </c>
      <c r="J153" s="7">
        <v>0</v>
      </c>
      <c r="K153" s="117" t="str">
        <f t="shared" si="63"/>
        <v>4007/4008</v>
      </c>
      <c r="L153" s="24" t="str">
        <f>VLOOKUP(A153,'Trips&amp;Operators'!$C$1:$E$10000,3,FALSE)</f>
        <v>LEVERE</v>
      </c>
      <c r="M153" s="6">
        <f t="shared" si="64"/>
        <v>2.980324074451346E-2</v>
      </c>
      <c r="N153" s="7">
        <f t="shared" si="62"/>
        <v>42.916666672099382</v>
      </c>
      <c r="O153" s="7"/>
      <c r="P153" s="7"/>
      <c r="Q153" s="25"/>
      <c r="R153" s="25"/>
      <c r="S153" s="37">
        <f t="shared" si="61"/>
        <v>1</v>
      </c>
      <c r="T153" s="52" t="str">
        <f t="shared" si="65"/>
        <v>NorthBound</v>
      </c>
      <c r="U153" s="159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19:49:29-0600',mode:absolute,to:'2016-10-06 22:43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3" s="54" t="str">
        <f t="shared" si="67"/>
        <v>N</v>
      </c>
      <c r="X153" s="164">
        <f t="shared" si="68"/>
        <v>1</v>
      </c>
      <c r="Y153" s="69">
        <f t="shared" si="69"/>
        <v>4.5499999999999999E-2</v>
      </c>
      <c r="Z153" s="69">
        <f t="shared" si="77"/>
        <v>23.3293</v>
      </c>
      <c r="AA153" s="69">
        <f t="shared" si="70"/>
        <v>23.283799999999999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71"/>
        <v>0229-06</v>
      </c>
      <c r="AE153" s="95" t="str">
        <f t="shared" si="72"/>
        <v>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 &amp; 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</v>
      </c>
      <c r="AF153" s="92" t="str">
        <f t="shared" si="73"/>
        <v>"C:\Program Files (x86)\AstroGrep\AstroGrep.exe" /spath="%USERPROFILE%\AppData\Local\Temp\OnboardLogs" /stypes="app*4007*20161007*" /stext=" 03:.+((SYSTEM_STATE.+slice.+state.+changed )|(ment ac)|(system.+state.+changed )|(\[timeout)|(PRM\|1\|D)|(kpr)|(kdp)|(\|lc)|(penalty))" /e /r /s</v>
      </c>
      <c r="AG153" s="1" t="str">
        <f t="shared" si="74"/>
        <v>EC</v>
      </c>
      <c r="AH153" s="96" t="str">
        <f t="shared" si="75"/>
        <v>"%USERPROFILE%\Documents\GitHub\eaglep3\Utilities\RefineRTDCRunTimes.py" --tripid 229-06 --locoid 4007 --swversion DE.1.0.7.0 --startMP 204:455 --initTime 2016-10-06T20:49:29 --startdatetime 2016-10-06T21:00:16 --delay 1 --endMP 204:233293 --enddatetime 2016-10-06T21:43:11 --enforcementcount 0 &gt;&gt;C:\Users\stu\Documents\GitHub\eaglep3-reporting\EC\2016-10-06-refined-times.txt</v>
      </c>
      <c r="AI153" s="130" t="str">
        <f t="shared" si="76"/>
        <v>echo {"issue":{"subject":"","project_id":79,"tracker_id":40,"status_id":1,"priority_id":2,"assigned_to_id":23,"start_date":"2016-10-06","description":"","custom_fields":[{"id":1,"name":"Subdivision","value":"EC"},{"id":4,"name":"Milepost","value":"23.3293"},{"id":17,"name":"Train ID","value":"229-06"},{"id":16,"name":"Locomotive ID","value":"4007"},{"id":130,"name":"Impact","value":""},{"id":150,"name":"Time of Event (Mountain Time)","value":"21:43:11"},{"id":151,"name":"Denver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603</v>
      </c>
      <c r="B154" s="7">
        <v>4008</v>
      </c>
      <c r="C154" s="24" t="s">
        <v>106</v>
      </c>
      <c r="D154" s="24" t="s">
        <v>708</v>
      </c>
      <c r="E154" s="15">
        <v>42649.908171296294</v>
      </c>
      <c r="F154" s="15">
        <v>42649.914143518516</v>
      </c>
      <c r="G154" s="7">
        <v>1</v>
      </c>
      <c r="H154" s="15" t="s">
        <v>193</v>
      </c>
      <c r="I154" s="15">
        <v>42649.9533912037</v>
      </c>
      <c r="J154" s="7">
        <v>0</v>
      </c>
      <c r="K154" s="117" t="str">
        <f t="shared" si="63"/>
        <v>4007/4008</v>
      </c>
      <c r="L154" s="24" t="str">
        <f>VLOOKUP(A154,'Trips&amp;Operators'!$C$1:$E$10000,3,FALSE)</f>
        <v>LEVERE</v>
      </c>
      <c r="M154" s="6">
        <f t="shared" si="64"/>
        <v>3.9247685184818693E-2</v>
      </c>
      <c r="N154" s="7">
        <f t="shared" si="62"/>
        <v>56.516666666138917</v>
      </c>
      <c r="O154" s="7"/>
      <c r="P154" s="7"/>
      <c r="Q154" s="25"/>
      <c r="R154" s="25"/>
      <c r="S154" s="37">
        <f t="shared" si="61"/>
        <v>1</v>
      </c>
      <c r="T154" s="52" t="str">
        <f t="shared" si="65"/>
        <v>Southbound</v>
      </c>
      <c r="U154" s="159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20:47:46-0600',mode:absolute,to:'2016-10-06 23:52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4" s="54" t="str">
        <f t="shared" si="67"/>
        <v>N</v>
      </c>
      <c r="X154" s="164">
        <f t="shared" si="68"/>
        <v>1</v>
      </c>
      <c r="Y154" s="69">
        <f t="shared" si="69"/>
        <v>23.295999999999999</v>
      </c>
      <c r="Z154" s="69">
        <f t="shared" si="77"/>
        <v>1.5800000000000002E-2</v>
      </c>
      <c r="AA154" s="69">
        <f t="shared" si="70"/>
        <v>23.280200000000001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71"/>
        <v>0230-06</v>
      </c>
      <c r="AE154" s="95" t="str">
        <f t="shared" si="72"/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AF154" s="92" t="str">
        <f t="shared" si="73"/>
        <v>"C:\Program Files (x86)\AstroGrep\AstroGrep.exe" /spath="%USERPROFILE%\AppData\Local\Temp\OnboardLogs" /stypes="app*4008*20161007*" /stext=" 04:.+((SYSTEM_STATE.+slice.+state.+changed )|(ment ac)|(system.+state.+changed )|(\[timeout)|(PRM\|1\|D)|(kpr)|(kdp)|(\|lc)|(penalty))" /e /r /s</v>
      </c>
      <c r="AG154" s="1" t="str">
        <f t="shared" si="74"/>
        <v>EC</v>
      </c>
      <c r="AH154" s="96" t="str">
        <f t="shared" si="75"/>
        <v>"%USERPROFILE%\Documents\GitHub\eaglep3\Utilities\RefineRTDCRunTimes.py" --tripid 230-06 --locoid 4008 --swversion DE.1.0.7.0 --startMP 204:232960 --initTime 2016-10-06T21:47:46 --startdatetime 2016-10-06T21:56:22 --delay 1 --endMP 204:158 --enddatetime 2016-10-06T22:52:53 --enforcementcount 0 &gt;&gt;C:\Users\stu\Documents\GitHub\eaglep3-reporting\EC\2016-10-06-refined-times.txt</v>
      </c>
      <c r="AI154" s="130" t="str">
        <f t="shared" si="76"/>
        <v>echo {"issue":{"subject":"","project_id":79,"tracker_id":40,"status_id":1,"priority_id":2,"assigned_to_id":23,"start_date":"2016-10-06","description":"","custom_fields":[{"id":1,"name":"Subdivision","value":"EC"},{"id":4,"name":"Milepost","value":"0.0158"},{"id":17,"name":"Train ID","value":"230-06"},{"id":16,"name":"Locomotive ID","value":"4008"},{"id":130,"name":"Impact","value":""},{"id":150,"name":"Time of Event (Mountain Time)","value":"22:52:53"},{"id":151,"name":"Denver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599</v>
      </c>
      <c r="B155" s="7">
        <v>4031</v>
      </c>
      <c r="C155" s="24" t="s">
        <v>106</v>
      </c>
      <c r="D155" s="24" t="s">
        <v>358</v>
      </c>
      <c r="E155" s="15">
        <v>42649.880937499998</v>
      </c>
      <c r="F155" s="15">
        <v>42649.896041666667</v>
      </c>
      <c r="G155" s="7">
        <v>1</v>
      </c>
      <c r="H155" s="15" t="s">
        <v>257</v>
      </c>
      <c r="I155" s="15">
        <v>42649.924768518518</v>
      </c>
      <c r="J155" s="7">
        <v>0</v>
      </c>
      <c r="K155" s="117" t="str">
        <f t="shared" si="63"/>
        <v>4031/4032</v>
      </c>
      <c r="L155" s="24" t="str">
        <f>VLOOKUP(A155,'Trips&amp;Operators'!$C$1:$E$10000,3,FALSE)</f>
        <v>OSULLIVAN</v>
      </c>
      <c r="M155" s="6">
        <f t="shared" si="64"/>
        <v>2.8726851851388346E-2</v>
      </c>
      <c r="N155" s="7">
        <f t="shared" si="62"/>
        <v>41.366666665999219</v>
      </c>
      <c r="O155" s="7"/>
      <c r="P155" s="7"/>
      <c r="Q155" s="25"/>
      <c r="R155" s="25"/>
      <c r="S155" s="37">
        <f t="shared" si="61"/>
        <v>1</v>
      </c>
      <c r="T155" s="52" t="str">
        <f t="shared" si="65"/>
        <v>NorthBound</v>
      </c>
      <c r="U155" s="159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20:08:33-0600',mode:absolute,to:'2016-10-06 23:11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5" s="54" t="str">
        <f t="shared" si="67"/>
        <v>N</v>
      </c>
      <c r="X155" s="164">
        <f t="shared" si="68"/>
        <v>1</v>
      </c>
      <c r="Y155" s="69">
        <f t="shared" si="69"/>
        <v>4.7300000000000002E-2</v>
      </c>
      <c r="Z155" s="69">
        <f t="shared" si="77"/>
        <v>23.332100000000001</v>
      </c>
      <c r="AA155" s="69">
        <f t="shared" si="70"/>
        <v>23.284800000000001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71"/>
        <v>0231-06</v>
      </c>
      <c r="AE155" s="95" t="str">
        <f t="shared" si="72"/>
        <v>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 &amp; aws s3 cp s3://rtdc.mdm.uploadarchive.raw/RTDC4031/ "%USERPROFILE%\AppData\Local\Temp\OnboardLogs"\RTDC4031\2016-10-07 --exclude "*" --recursive --include "*20161007*" &amp; "%USERPROFILE%\Documents\GitHub\mrs-test-scripts\Headless Mode &amp; Sideloading\WalkAndUnGZ.bat" "%USERPROFILE%\AppData\Local\Temp\OnboardLogs"\RTDC4031\2016-10-07</v>
      </c>
      <c r="AF155" s="92" t="str">
        <f t="shared" si="73"/>
        <v>"C:\Program Files (x86)\AstroGrep\AstroGrep.exe" /spath="%USERPROFILE%\AppData\Local\Temp\OnboardLogs" /stypes="app*4031*20161007*" /stext=" 04:.+((SYSTEM_STATE.+slice.+state.+changed )|(ment ac)|(system.+state.+changed )|(\[timeout)|(PRM\|1\|D)|(kpr)|(kdp)|(\|lc)|(penalty))" /e /r /s</v>
      </c>
      <c r="AG155" s="1" t="str">
        <f t="shared" si="74"/>
        <v>EC</v>
      </c>
      <c r="AH155" s="96" t="str">
        <f t="shared" si="75"/>
        <v>"%USERPROFILE%\Documents\GitHub\eaglep3\Utilities\RefineRTDCRunTimes.py" --tripid 231-06 --locoid 4031 --swversion DE.1.0.7.0 --startMP 204:473 --initTime 2016-10-06T21:08:33 --startdatetime 2016-10-06T21:30:18 --delay 1 --endMP 204:233321 --enddatetime 2016-10-06T22:11:40 --enforcementcount 0 &gt;&gt;C:\Users\stu\Documents\GitHub\eaglep3-reporting\EC\2016-10-06-refined-times.txt</v>
      </c>
      <c r="AI155" s="130" t="str">
        <f t="shared" si="76"/>
        <v>echo {"issue":{"subject":"","project_id":79,"tracker_id":40,"status_id":1,"priority_id":2,"assigned_to_id":23,"start_date":"2016-10-06","description":"","custom_fields":[{"id":1,"name":"Subdivision","value":"EC"},{"id":4,"name":"Milepost","value":"23.3321"},{"id":17,"name":"Train ID","value":"231-06"},{"id":16,"name":"Locomotive ID","value":"4031"},{"id":130,"name":"Impact","value":""},{"id":150,"name":"Time of Event (Mountain Time)","value":"22:11:40"},{"id":151,"name":"Denver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606</v>
      </c>
      <c r="B156" s="7">
        <v>4032</v>
      </c>
      <c r="C156" s="24" t="s">
        <v>106</v>
      </c>
      <c r="D156" s="24" t="s">
        <v>296</v>
      </c>
      <c r="E156" s="15">
        <v>42649.929120370369</v>
      </c>
      <c r="F156" s="15">
        <v>42649.930150462962</v>
      </c>
      <c r="G156" s="7">
        <v>1</v>
      </c>
      <c r="H156" s="15" t="s">
        <v>241</v>
      </c>
      <c r="I156" s="15">
        <v>42649.953240740739</v>
      </c>
      <c r="J156" s="7">
        <v>0</v>
      </c>
      <c r="K156" s="117" t="str">
        <f t="shared" si="63"/>
        <v>4031/4032</v>
      </c>
      <c r="L156" s="24" t="str">
        <f>VLOOKUP(A156,'Trips&amp;Operators'!$C$1:$E$10000,3,FALSE)</f>
        <v>OSULLIVAN</v>
      </c>
      <c r="M156" s="6">
        <f t="shared" si="64"/>
        <v>2.3090277776645962E-2</v>
      </c>
      <c r="N156" s="7"/>
      <c r="O156" s="7"/>
      <c r="P156" s="7">
        <f>24*60*SUM($M156:$M156)</f>
        <v>33.249999998370185</v>
      </c>
      <c r="Q156" s="25"/>
      <c r="R156" s="25" t="s">
        <v>835</v>
      </c>
      <c r="S156" s="37">
        <f t="shared" si="61"/>
        <v>0</v>
      </c>
      <c r="T156" s="52" t="str">
        <f t="shared" si="65"/>
        <v>Southbound</v>
      </c>
      <c r="U156" s="159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21:17:56-0600',mode:absolute,to:'2016-10-06 23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6" s="54" t="str">
        <f t="shared" si="67"/>
        <v>Y</v>
      </c>
      <c r="X156" s="164">
        <f t="shared" si="68"/>
        <v>1</v>
      </c>
      <c r="Y156" s="69">
        <f t="shared" si="69"/>
        <v>23.299299999999999</v>
      </c>
      <c r="Z156" s="69">
        <f t="shared" si="77"/>
        <v>23.299600000000002</v>
      </c>
      <c r="AA156" s="69">
        <f t="shared" si="70"/>
        <v>3.0000000000285354E-4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71"/>
        <v>0232-06</v>
      </c>
      <c r="AE156" s="95" t="str">
        <f t="shared" si="72"/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AF156" s="92" t="str">
        <f t="shared" si="73"/>
        <v>"C:\Program Files (x86)\AstroGrep\AstroGrep.exe" /spath="%USERPROFILE%\AppData\Local\Temp\OnboardLogs" /stypes="app*4032*20161007*" /stext=" 04:.+((SYSTEM_STATE.+slice.+state.+changed )|(ment ac)|(system.+state.+changed )|(\[timeout)|(PRM\|1\|D)|(kpr)|(kdp)|(\|lc)|(penalty))" /e /r /s</v>
      </c>
      <c r="AG156" s="1" t="str">
        <f t="shared" si="74"/>
        <v>EC</v>
      </c>
      <c r="AH156" s="96" t="str">
        <f t="shared" si="75"/>
        <v>"%USERPROFILE%\Documents\GitHub\eaglep3\Utilities\RefineRTDCRunTimes.py" --tripid 232-06 --locoid 4032 --swversion DE.1.0.7.0 --startMP 204:232993 --initTime 2016-10-06T22:17:56 --startdatetime 2016-10-06T22:19:25 --delay 1 --endMP 204:232996 --enddatetime 2016-10-06T22:52:40 --enforcementcount 0 &gt;&gt;C:\Users\stu\Documents\GitHub\eaglep3-reporting\EC\2016-10-06-refined-times.txt</v>
      </c>
      <c r="AI156" s="130" t="str">
        <f t="shared" si="76"/>
        <v>echo {"issue":{"subject":"No issues found… any notes from ops?","project_id":79,"tracker_id":40,"status_id":1,"priority_id":2,"assigned_to_id":23,"start_date":"2016-10-06","description":"","custom_fields":[{"id":1,"name":"Subdivision","value":"EC"},{"id":4,"name":"Milepost","value":"23.2996"},{"id":17,"name":"Train ID","value":"232-06"},{"id":16,"name":"Locomotive ID","value":"4032"},{"id":130,"name":"Impact","value":""},{"id":150,"name":"Time of Event (Mountain Time)","value":"22:52:40"},{"id":151,"name":"Denver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604</v>
      </c>
      <c r="B157" s="7">
        <v>4044</v>
      </c>
      <c r="C157" s="24" t="s">
        <v>106</v>
      </c>
      <c r="D157" s="24" t="s">
        <v>220</v>
      </c>
      <c r="E157" s="15">
        <v>42649.914953703701</v>
      </c>
      <c r="F157" s="15">
        <v>42649.917071759257</v>
      </c>
      <c r="G157" s="7">
        <v>1</v>
      </c>
      <c r="H157" s="15" t="s">
        <v>350</v>
      </c>
      <c r="I157" s="15">
        <v>42649.943553240744</v>
      </c>
      <c r="J157" s="7">
        <v>0</v>
      </c>
      <c r="K157" s="117" t="str">
        <f t="shared" si="63"/>
        <v>4043/4044</v>
      </c>
      <c r="L157" s="24" t="str">
        <f>VLOOKUP(A157,'Trips&amp;Operators'!$C$1:$E$10000,3,FALSE)</f>
        <v>LEVIN</v>
      </c>
      <c r="M157" s="6">
        <f t="shared" si="64"/>
        <v>2.6481481487280689E-2</v>
      </c>
      <c r="N157" s="7">
        <f t="shared" ref="N157:N164" si="78">24*60*SUM($M157:$M157)</f>
        <v>38.133333341684192</v>
      </c>
      <c r="O157" s="7"/>
      <c r="P157" s="7"/>
      <c r="Q157" s="25"/>
      <c r="R157" s="25"/>
      <c r="S157" s="37">
        <f t="shared" si="61"/>
        <v>1</v>
      </c>
      <c r="T157" s="52" t="str">
        <f t="shared" si="65"/>
        <v>NorthBound</v>
      </c>
      <c r="U157" s="159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20:57:32-0600',mode:absolute,to:'2016-10-06 23:38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7" s="54" t="str">
        <f t="shared" si="67"/>
        <v>N</v>
      </c>
      <c r="X157" s="164">
        <f t="shared" si="68"/>
        <v>1</v>
      </c>
      <c r="Y157" s="69">
        <f t="shared" si="69"/>
        <v>4.6399999999999997E-2</v>
      </c>
      <c r="Z157" s="69">
        <f t="shared" si="77"/>
        <v>23.330500000000001</v>
      </c>
      <c r="AA157" s="69">
        <f t="shared" si="70"/>
        <v>23.284100000000002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71"/>
        <v>0233-06</v>
      </c>
      <c r="AE157" s="95" t="str">
        <f t="shared" si="72"/>
        <v>aws s3 cp s3://rtdc.mdm.uploadarchive.raw/RTDC4044/ "%USERPROFILE%\AppData\Local\Temp\OnboardLogs"\RTDC4044\2016-10-06 --exclude "*" --recursive --include "*20161006*" &amp; "%USERPROFILE%\Documents\GitHub\mrs-test-scripts\Headless Mode &amp; Sideloading\WalkAndUnGZ.bat" "%USERPROFILE%\AppData\Local\Temp\OnboardLogs"\RTDC4044\2016-10-06 &amp; aws s3 cp s3://rtdc.mdm.uploadarchive.raw/RTDC4044/ "%USERPROFILE%\AppData\Local\Temp\OnboardLogs"\RTDC4044\2016-10-07 --exclude "*" --recursive --include "*20161007*" &amp; "%USERPROFILE%\Documents\GitHub\mrs-test-scripts\Headless Mode &amp; Sideloading\WalkAndUnGZ.bat" "%USERPROFILE%\AppData\Local\Temp\OnboardLogs"\RTDC4044\2016-10-07</v>
      </c>
      <c r="AF157" s="92" t="str">
        <f t="shared" si="73"/>
        <v>"C:\Program Files (x86)\AstroGrep\AstroGrep.exe" /spath="%USERPROFILE%\AppData\Local\Temp\OnboardLogs" /stypes="app*4044*20161007*" /stext=" 04:.+((SYSTEM_STATE.+slice.+state.+changed )|(ment ac)|(system.+state.+changed )|(\[timeout)|(PRM\|1\|D)|(kpr)|(kdp)|(\|lc)|(penalty))" /e /r /s</v>
      </c>
      <c r="AG157" s="1" t="str">
        <f t="shared" si="74"/>
        <v>EC</v>
      </c>
      <c r="AH157" s="96" t="str">
        <f t="shared" si="75"/>
        <v>"%USERPROFILE%\Documents\GitHub\eaglep3\Utilities\RefineRTDCRunTimes.py" --tripid 233-06 --locoid 4044 --swversion DE.1.0.7.0 --startMP 204:464 --initTime 2016-10-06T21:57:32 --startdatetime 2016-10-06T22:00:35 --delay 1 --endMP 204:233305 --enddatetime 2016-10-06T22:38:43 --enforcementcount 0 &gt;&gt;C:\Users\stu\Documents\GitHub\eaglep3-reporting\EC\2016-10-06-refined-times.txt</v>
      </c>
      <c r="AI157" s="130" t="str">
        <f t="shared" si="76"/>
        <v>echo {"issue":{"subject":"","project_id":79,"tracker_id":40,"status_id":1,"priority_id":2,"assigned_to_id":23,"start_date":"2016-10-06","description":"","custom_fields":[{"id":1,"name":"Subdivision","value":"EC"},{"id":4,"name":"Milepost","value":"23.3305"},{"id":17,"name":"Train ID","value":"233-06"},{"id":16,"name":"Locomotive ID","value":"4044"},{"id":130,"name":"Impact","value":""},{"id":150,"name":"Time of Event (Mountain Time)","value":"22:38:43"},{"id":151,"name":"Denver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609</v>
      </c>
      <c r="B158" s="7">
        <v>4043</v>
      </c>
      <c r="C158" s="24" t="s">
        <v>106</v>
      </c>
      <c r="D158" s="24" t="s">
        <v>349</v>
      </c>
      <c r="E158" s="15">
        <v>42649.951215277775</v>
      </c>
      <c r="F158" s="15">
        <v>42649.952615740738</v>
      </c>
      <c r="G158" s="7">
        <v>1</v>
      </c>
      <c r="H158" s="15" t="s">
        <v>709</v>
      </c>
      <c r="I158" s="15">
        <v>42649.980069444442</v>
      </c>
      <c r="J158" s="7">
        <v>0</v>
      </c>
      <c r="K158" s="117" t="str">
        <f t="shared" si="63"/>
        <v>4043/4044</v>
      </c>
      <c r="L158" s="24" t="str">
        <f>VLOOKUP(A158,'Trips&amp;Operators'!$C$1:$E$10000,3,FALSE)</f>
        <v>LEVIN</v>
      </c>
      <c r="M158" s="6">
        <f t="shared" si="64"/>
        <v>2.7453703703940846E-2</v>
      </c>
      <c r="N158" s="7">
        <f t="shared" si="78"/>
        <v>39.533333333674818</v>
      </c>
      <c r="O158" s="7"/>
      <c r="P158" s="7"/>
      <c r="Q158" s="25"/>
      <c r="R158" s="25"/>
      <c r="S158" s="37">
        <f t="shared" si="61"/>
        <v>1</v>
      </c>
      <c r="T158" s="52" t="str">
        <f t="shared" si="65"/>
        <v>Southbound</v>
      </c>
      <c r="U158" s="159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21:49:45-0600',mode:absolute,to:'2016-10-07 00:31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8" s="54" t="str">
        <f t="shared" si="67"/>
        <v>N</v>
      </c>
      <c r="X158" s="164">
        <f t="shared" si="68"/>
        <v>1</v>
      </c>
      <c r="Y158" s="69">
        <f t="shared" si="69"/>
        <v>23.3</v>
      </c>
      <c r="Z158" s="69">
        <f t="shared" si="77"/>
        <v>2.8500000000000001E-2</v>
      </c>
      <c r="AA158" s="69">
        <f t="shared" si="70"/>
        <v>23.2715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71"/>
        <v>0234-06</v>
      </c>
      <c r="AE158" s="95" t="str">
        <f t="shared" si="72"/>
        <v>aws s3 cp s3://rtdc.mdm.uploadarchive.raw/RTDC4043/ "%USERPROFILE%\AppData\Local\Temp\OnboardLogs"\RTDC4043\2016-10-06 --exclude "*" --recursive --include "*20161006*" &amp; "%USERPROFILE%\Documents\GitHub\mrs-test-scripts\Headless Mode &amp; Sideloading\WalkAndUnGZ.bat" "%USERPROFILE%\AppData\Local\Temp\OnboardLogs"\RTDC4043\2016-10-06 &amp; aws s3 cp s3://rtdc.mdm.uploadarchive.raw/RTDC4043/ "%USERPROFILE%\AppData\Local\Temp\OnboardLogs"\RTDC4043\2016-10-07 --exclude "*" --recursive --include "*20161007*" &amp; "%USERPROFILE%\Documents\GitHub\mrs-test-scripts\Headless Mode &amp; Sideloading\WalkAndUnGZ.bat" "%USERPROFILE%\AppData\Local\Temp\OnboardLogs"\RTDC4043\2016-10-07</v>
      </c>
      <c r="AF158" s="92" t="str">
        <f t="shared" si="73"/>
        <v>"C:\Program Files (x86)\AstroGrep\AstroGrep.exe" /spath="%USERPROFILE%\AppData\Local\Temp\OnboardLogs" /stypes="app*4043*20161007*" /stext=" 05:.+((SYSTEM_STATE.+slice.+state.+changed )|(ment ac)|(system.+state.+changed )|(\[timeout)|(PRM\|1\|D)|(kpr)|(kdp)|(\|lc)|(penalty))" /e /r /s</v>
      </c>
      <c r="AG158" s="1" t="str">
        <f t="shared" si="74"/>
        <v>EC</v>
      </c>
      <c r="AH158" s="96" t="str">
        <f t="shared" si="75"/>
        <v>"%USERPROFILE%\Documents\GitHub\eaglep3\Utilities\RefineRTDCRunTimes.py" --tripid 234-06 --locoid 4043 --swversion DE.1.0.7.0 --startMP 204:233000 --initTime 2016-10-06T22:49:45 --startdatetime 2016-10-06T22:51:46 --delay 1 --endMP 204:285 --enddatetime 2016-10-06T23:31:18 --enforcementcount 0 &gt;&gt;C:\Users\stu\Documents\GitHub\eaglep3-reporting\EC\2016-10-06-refined-times.txt</v>
      </c>
      <c r="AI158" s="130" t="str">
        <f t="shared" si="76"/>
        <v>echo {"issue":{"subject":"","project_id":79,"tracker_id":40,"status_id":1,"priority_id":2,"assigned_to_id":23,"start_date":"2016-10-06","description":"","custom_fields":[{"id":1,"name":"Subdivision","value":"EC"},{"id":4,"name":"Milepost","value":"0.0285"},{"id":17,"name":"Train ID","value":"234-06"},{"id":16,"name":"Locomotive ID","value":"4043"},{"id":130,"name":"Impact","value":""},{"id":150,"name":"Time of Event (Mountain Time)","value":"23:31:18"},{"id":151,"name":"Denver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607</v>
      </c>
      <c r="B159" s="7">
        <v>4009</v>
      </c>
      <c r="C159" s="24" t="s">
        <v>106</v>
      </c>
      <c r="D159" s="24" t="s">
        <v>206</v>
      </c>
      <c r="E159" s="15">
        <v>42649.937037037038</v>
      </c>
      <c r="F159" s="15">
        <v>42649.939363425925</v>
      </c>
      <c r="G159" s="7">
        <v>1</v>
      </c>
      <c r="H159" s="15" t="s">
        <v>295</v>
      </c>
      <c r="I159" s="15">
        <v>42649.968032407407</v>
      </c>
      <c r="J159" s="7">
        <v>0</v>
      </c>
      <c r="K159" s="117" t="str">
        <f t="shared" si="63"/>
        <v>4009/4010</v>
      </c>
      <c r="L159" s="24" t="str">
        <f>VLOOKUP(A159,'Trips&amp;Operators'!$C$1:$E$10000,3,FALSE)</f>
        <v>STURGEON</v>
      </c>
      <c r="M159" s="6">
        <f t="shared" si="64"/>
        <v>2.8668981482042E-2</v>
      </c>
      <c r="N159" s="7">
        <f t="shared" si="78"/>
        <v>41.28333333414048</v>
      </c>
      <c r="O159" s="7"/>
      <c r="P159" s="7"/>
      <c r="Q159" s="25"/>
      <c r="R159" s="25"/>
      <c r="S159" s="37">
        <f t="shared" si="61"/>
        <v>1</v>
      </c>
      <c r="T159" s="52" t="str">
        <f t="shared" si="65"/>
        <v>NorthBound</v>
      </c>
      <c r="U159" s="159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21:29:20-0600',mode:absolute,to:'2016-10-07 00:13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9" s="54" t="str">
        <f t="shared" si="67"/>
        <v>N</v>
      </c>
      <c r="X159" s="164">
        <f t="shared" si="68"/>
        <v>1</v>
      </c>
      <c r="Y159" s="69">
        <f t="shared" si="69"/>
        <v>4.6199999999999998E-2</v>
      </c>
      <c r="Z159" s="69">
        <f t="shared" si="77"/>
        <v>23.329799999999999</v>
      </c>
      <c r="AA159" s="69">
        <f t="shared" si="70"/>
        <v>23.2836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71"/>
        <v>0235-06</v>
      </c>
      <c r="AE159" s="95" t="str">
        <f t="shared" si="72"/>
        <v>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 &amp; aws s3 cp s3://rtdc.mdm.uploadarchive.raw/RTDC4009/ "%USERPROFILE%\AppData\Local\Temp\OnboardLogs"\RTDC4009\2016-10-07 --exclude "*" --recursive --include "*20161007*" &amp; "%USERPROFILE%\Documents\GitHub\mrs-test-scripts\Headless Mode &amp; Sideloading\WalkAndUnGZ.bat" "%USERPROFILE%\AppData\Local\Temp\OnboardLogs"\RTDC4009\2016-10-07</v>
      </c>
      <c r="AF159" s="92" t="str">
        <f t="shared" si="73"/>
        <v>"C:\Program Files (x86)\AstroGrep\AstroGrep.exe" /spath="%USERPROFILE%\AppData\Local\Temp\OnboardLogs" /stypes="app*4009*20161007*" /stext=" 05:.+((SYSTEM_STATE.+slice.+state.+changed )|(ment ac)|(system.+state.+changed )|(\[timeout)|(PRM\|1\|D)|(kpr)|(kdp)|(\|lc)|(penalty))" /e /r /s</v>
      </c>
      <c r="AG159" s="1" t="str">
        <f t="shared" si="74"/>
        <v>EC</v>
      </c>
      <c r="AH159" s="96" t="str">
        <f t="shared" si="75"/>
        <v>"%USERPROFILE%\Documents\GitHub\eaglep3\Utilities\RefineRTDCRunTimes.py" --tripid 235-06 --locoid 4009 --swversion DE.1.0.7.0 --startMP 204:462 --initTime 2016-10-06T22:29:20 --startdatetime 2016-10-06T22:32:41 --delay 1 --endMP 204:233298 --enddatetime 2016-10-06T23:13:58 --enforcementcount 0 &gt;&gt;C:\Users\stu\Documents\GitHub\eaglep3-reporting\EC\2016-10-06-refined-times.txt</v>
      </c>
      <c r="AI159" s="130" t="str">
        <f t="shared" si="76"/>
        <v>echo {"issue":{"subject":"","project_id":79,"tracker_id":40,"status_id":1,"priority_id":2,"assigned_to_id":23,"start_date":"2016-10-06","description":"","custom_fields":[{"id":1,"name":"Subdivision","value":"EC"},{"id":4,"name":"Milepost","value":"23.3298"},{"id":17,"name":"Train ID","value":"235-06"},{"id":16,"name":"Locomotive ID","value":"4009"},{"id":130,"name":"Impact","value":""},{"id":150,"name":"Time of Event (Mountain Time)","value":"23:13:58"},{"id":151,"name":"Denver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611</v>
      </c>
      <c r="B160" s="7">
        <v>4010</v>
      </c>
      <c r="C160" s="24" t="s">
        <v>106</v>
      </c>
      <c r="D160" s="24" t="s">
        <v>347</v>
      </c>
      <c r="E160" s="15">
        <v>42649.969826388886</v>
      </c>
      <c r="F160" s="15">
        <v>42649.976655092592</v>
      </c>
      <c r="G160" s="7">
        <v>1</v>
      </c>
      <c r="H160" s="15" t="s">
        <v>242</v>
      </c>
      <c r="I160" s="15">
        <v>42650.014270833337</v>
      </c>
      <c r="J160" s="7">
        <v>0</v>
      </c>
      <c r="K160" s="117" t="str">
        <f t="shared" si="63"/>
        <v>4009/4010</v>
      </c>
      <c r="L160" s="24" t="str">
        <f>VLOOKUP(A160,'Trips&amp;Operators'!$C$1:$E$10000,3,FALSE)</f>
        <v>STURGEON</v>
      </c>
      <c r="M160" s="6">
        <f t="shared" si="64"/>
        <v>3.761574074451346E-2</v>
      </c>
      <c r="N160" s="7">
        <f t="shared" si="78"/>
        <v>54.166666672099382</v>
      </c>
      <c r="O160" s="7"/>
      <c r="P160" s="7"/>
      <c r="Q160" s="25"/>
      <c r="R160" s="25"/>
      <c r="S160" s="37">
        <f t="shared" si="61"/>
        <v>1</v>
      </c>
      <c r="T160" s="52" t="str">
        <f t="shared" si="65"/>
        <v>Southbound</v>
      </c>
      <c r="U160" s="159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22:16:33-0600',mode:absolute,to:'2016-10-07 01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0" s="54" t="str">
        <f t="shared" si="67"/>
        <v>N</v>
      </c>
      <c r="X160" s="164">
        <f t="shared" si="68"/>
        <v>1</v>
      </c>
      <c r="Y160" s="69">
        <f t="shared" si="69"/>
        <v>23.2989</v>
      </c>
      <c r="Z160" s="69">
        <f t="shared" si="77"/>
        <v>1.6500000000000001E-2</v>
      </c>
      <c r="AA160" s="69">
        <f t="shared" si="70"/>
        <v>23.282399999999999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71"/>
        <v>0236-06</v>
      </c>
      <c r="AE160" s="95" t="str">
        <f t="shared" si="72"/>
        <v>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 &amp; aws s3 cp s3://rtdc.mdm.uploadarchive.raw/RTDC4010/ "%USERPROFILE%\AppData\Local\Temp\OnboardLogs"\RTDC4010\2016-10-07 --exclude "*" --recursive --include "*20161007*" &amp; "%USERPROFILE%\Documents\GitHub\mrs-test-scripts\Headless Mode &amp; Sideloading\WalkAndUnGZ.bat" "%USERPROFILE%\AppData\Local\Temp\OnboardLogs"\RTDC4010\2016-10-07</v>
      </c>
      <c r="AF160" s="92" t="str">
        <f t="shared" si="73"/>
        <v>"C:\Program Files (x86)\AstroGrep\AstroGrep.exe" /spath="%USERPROFILE%\AppData\Local\Temp\OnboardLogs" /stypes="app*4010*20161007*" /stext=" 06:.+((SYSTEM_STATE.+slice.+state.+changed )|(ment ac)|(system.+state.+changed )|(\[timeout)|(PRM\|1\|D)|(kpr)|(kdp)|(\|lc)|(penalty))" /e /r /s</v>
      </c>
      <c r="AG160" s="1" t="str">
        <f t="shared" si="74"/>
        <v>EC</v>
      </c>
      <c r="AH160" s="96" t="str">
        <f t="shared" si="75"/>
        <v>"%USERPROFILE%\Documents\GitHub\eaglep3\Utilities\RefineRTDCRunTimes.py" --tripid 236-06 --locoid 4010 --swversion DE.1.0.7.0 --startMP 204:232989 --initTime 2016-10-06T23:16:33 --startdatetime 2016-10-06T23:26:23 --delay 1 --endMP 204:165 --enddatetime 2016-10-07T00:20:33 --enforcementcount 0 &gt;&gt;C:\Users\stu\Documents\GitHub\eaglep3-reporting\EC\2016-10-06-refined-times.txt</v>
      </c>
      <c r="AI160" s="130" t="str">
        <f t="shared" si="76"/>
        <v>echo {"issue":{"subject":"","project_id":79,"tracker_id":40,"status_id":1,"priority_id":2,"assigned_to_id":23,"start_date":"2016-10-07","description":"","custom_fields":[{"id":1,"name":"Subdivision","value":"EC"},{"id":4,"name":"Milepost","value":"0.0165"},{"id":17,"name":"Train ID","value":"236-06"},{"id":16,"name":"Locomotive ID","value":"4010"},{"id":130,"name":"Impact","value":""},{"id":150,"name":"Time of Event (Mountain Time)","value":"00:20:33"},{"id":151,"name":"Denver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610</v>
      </c>
      <c r="B161" s="7">
        <v>4007</v>
      </c>
      <c r="C161" s="24" t="s">
        <v>106</v>
      </c>
      <c r="D161" s="24" t="s">
        <v>200</v>
      </c>
      <c r="E161" s="15">
        <v>42649.955069444448</v>
      </c>
      <c r="F161" s="15">
        <v>42649.958518518521</v>
      </c>
      <c r="G161" s="7">
        <v>1</v>
      </c>
      <c r="H161" s="15" t="s">
        <v>303</v>
      </c>
      <c r="I161" s="15">
        <v>42649.992511574077</v>
      </c>
      <c r="J161" s="7">
        <v>0</v>
      </c>
      <c r="K161" s="117" t="str">
        <f t="shared" si="63"/>
        <v>4007/4008</v>
      </c>
      <c r="L161" s="24" t="str">
        <f>VLOOKUP(A161,'Trips&amp;Operators'!$C$1:$E$10000,3,FALSE)</f>
        <v>LEVERE</v>
      </c>
      <c r="M161" s="6">
        <f t="shared" si="64"/>
        <v>3.3993055556493346E-2</v>
      </c>
      <c r="N161" s="7">
        <f t="shared" si="78"/>
        <v>48.950000001350418</v>
      </c>
      <c r="O161" s="7"/>
      <c r="P161" s="7"/>
      <c r="Q161" s="25"/>
      <c r="R161" s="25"/>
      <c r="S161" s="37">
        <f t="shared" si="61"/>
        <v>1</v>
      </c>
      <c r="T161" s="52" t="str">
        <f t="shared" si="65"/>
        <v>NorthBound</v>
      </c>
      <c r="U161" s="159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21:55:18-0600',mode:absolute,to:'2016-10-07 00:49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61" s="54" t="str">
        <f t="shared" si="67"/>
        <v>N</v>
      </c>
      <c r="X161" s="164">
        <f t="shared" si="68"/>
        <v>1</v>
      </c>
      <c r="Y161" s="69">
        <f t="shared" si="69"/>
        <v>4.6600000000000003E-2</v>
      </c>
      <c r="Z161" s="69">
        <f t="shared" si="77"/>
        <v>23.331499999999998</v>
      </c>
      <c r="AA161" s="69">
        <f t="shared" si="70"/>
        <v>23.284899999999997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71"/>
        <v>0237-06</v>
      </c>
      <c r="AE161" s="95" t="str">
        <f t="shared" si="72"/>
        <v>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 &amp; 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</v>
      </c>
      <c r="AF161" s="92" t="str">
        <f t="shared" si="73"/>
        <v>"C:\Program Files (x86)\AstroGrep\AstroGrep.exe" /spath="%USERPROFILE%\AppData\Local\Temp\OnboardLogs" /stypes="app*4007*20161007*" /stext=" 05:.+((SYSTEM_STATE.+slice.+state.+changed )|(ment ac)|(system.+state.+changed )|(\[timeout)|(PRM\|1\|D)|(kpr)|(kdp)|(\|lc)|(penalty))" /e /r /s</v>
      </c>
      <c r="AG161" s="1" t="str">
        <f t="shared" si="74"/>
        <v>EC</v>
      </c>
      <c r="AH161" s="96" t="str">
        <f t="shared" si="75"/>
        <v>"%USERPROFILE%\Documents\GitHub\eaglep3\Utilities\RefineRTDCRunTimes.py" --tripid 237-06 --locoid 4007 --swversion DE.1.0.7.0 --startMP 204:466 --initTime 2016-10-06T22:55:18 --startdatetime 2016-10-06T23:00:16 --delay 1 --endMP 204:233315 --enddatetime 2016-10-06T23:49:13 --enforcementcount 0 &gt;&gt;C:\Users\stu\Documents\GitHub\eaglep3-reporting\EC\2016-10-06-refined-times.txt</v>
      </c>
      <c r="AI161" s="130" t="str">
        <f t="shared" si="76"/>
        <v>echo {"issue":{"subject":"","project_id":79,"tracker_id":40,"status_id":1,"priority_id":2,"assigned_to_id":23,"start_date":"2016-10-06","description":"","custom_fields":[{"id":1,"name":"Subdivision","value":"EC"},{"id":4,"name":"Milepost","value":"23.3315"},{"id":17,"name":"Train ID","value":"237-06"},{"id":16,"name":"Locomotive ID","value":"4007"},{"id":130,"name":"Impact","value":""},{"id":150,"name":"Time of Event (Mountain Time)","value":"23:49:13"},{"id":151,"name":"Denver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613</v>
      </c>
      <c r="B162" s="7">
        <v>4008</v>
      </c>
      <c r="C162" s="24" t="s">
        <v>106</v>
      </c>
      <c r="D162" s="24" t="s">
        <v>633</v>
      </c>
      <c r="E162" s="15">
        <v>42649.993750000001</v>
      </c>
      <c r="F162" s="15">
        <v>42649.997395833336</v>
      </c>
      <c r="G162" s="7">
        <v>2</v>
      </c>
      <c r="H162" s="15" t="s">
        <v>194</v>
      </c>
      <c r="I162" s="15">
        <v>42650.02648148148</v>
      </c>
      <c r="J162" s="7">
        <v>0</v>
      </c>
      <c r="K162" s="117" t="str">
        <f t="shared" si="63"/>
        <v>4007/4008</v>
      </c>
      <c r="L162" s="24" t="str">
        <f>VLOOKUP(A162,'Trips&amp;Operators'!$C$1:$E$10000,3,FALSE)</f>
        <v>LEVERE</v>
      </c>
      <c r="M162" s="6">
        <f t="shared" si="64"/>
        <v>2.9085648144246079E-2</v>
      </c>
      <c r="N162" s="7">
        <f t="shared" si="78"/>
        <v>41.883333327714354</v>
      </c>
      <c r="O162" s="7"/>
      <c r="P162" s="7"/>
      <c r="Q162" s="25"/>
      <c r="R162" s="25"/>
      <c r="S162" s="37">
        <f t="shared" si="61"/>
        <v>1</v>
      </c>
      <c r="T162" s="52" t="str">
        <f t="shared" si="65"/>
        <v>Southbound</v>
      </c>
      <c r="U162" s="159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22:51:00-0600',mode:absolute,to:'2016-10-07 01:38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2" s="54" t="str">
        <f t="shared" si="67"/>
        <v>N</v>
      </c>
      <c r="X162" s="164">
        <f t="shared" si="68"/>
        <v>1</v>
      </c>
      <c r="Y162" s="69">
        <f t="shared" si="69"/>
        <v>23.298300000000001</v>
      </c>
      <c r="Z162" s="69">
        <f t="shared" si="77"/>
        <v>1.47E-2</v>
      </c>
      <c r="AA162" s="69">
        <f t="shared" si="70"/>
        <v>23.2836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71"/>
        <v>0238-06</v>
      </c>
      <c r="AE162" s="95" t="str">
        <f t="shared" si="72"/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AF162" s="92" t="str">
        <f t="shared" si="73"/>
        <v>"C:\Program Files (x86)\AstroGrep\AstroGrep.exe" /spath="%USERPROFILE%\AppData\Local\Temp\OnboardLogs" /stypes="app*4008*20161007*" /stext=" 06:.+((SYSTEM_STATE.+slice.+state.+changed )|(ment ac)|(system.+state.+changed )|(\[timeout)|(PRM\|1\|D)|(kpr)|(kdp)|(\|lc)|(penalty))" /e /r /s</v>
      </c>
      <c r="AG162" s="1" t="str">
        <f t="shared" si="74"/>
        <v>EC</v>
      </c>
      <c r="AH162" s="96" t="str">
        <f t="shared" si="75"/>
        <v>"%USERPROFILE%\Documents\GitHub\eaglep3\Utilities\RefineRTDCRunTimes.py" --tripid 238-06 --locoid 4008 --swversion DE.1.0.7.0 --startMP 204:232983 --initTime 2016-10-06T23:51:00 --startdatetime 2016-10-06T23:56:15 --delay 2 --endMP 204:147 --enddatetime 2016-10-07T00:38:08 --enforcementcount 0 &gt;&gt;C:\Users\stu\Documents\GitHub\eaglep3-reporting\EC\2016-10-06-refined-times.txt</v>
      </c>
      <c r="AI162" s="130" t="str">
        <f t="shared" si="76"/>
        <v>echo {"issue":{"subject":"","project_id":79,"tracker_id":40,"status_id":1,"priority_id":2,"assigned_to_id":23,"start_date":"2016-10-07","description":"","custom_fields":[{"id":1,"name":"Subdivision","value":"EC"},{"id":4,"name":"Milepost","value":"0.0147"},{"id":17,"name":"Train ID","value":"238-06"},{"id":16,"name":"Locomotive ID","value":"4008"},{"id":130,"name":"Impact","value":""},{"id":150,"name":"Time of Event (Mountain Time)","value":"00:38:08"},{"id":151,"name":"Denver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612</v>
      </c>
      <c r="B163" s="7">
        <v>4044</v>
      </c>
      <c r="C163" s="24" t="s">
        <v>106</v>
      </c>
      <c r="D163" s="24" t="s">
        <v>710</v>
      </c>
      <c r="E163" s="15">
        <v>42649.982233796298</v>
      </c>
      <c r="F163" s="15">
        <v>42649.983460648145</v>
      </c>
      <c r="G163" s="7">
        <v>1</v>
      </c>
      <c r="H163" s="15" t="s">
        <v>711</v>
      </c>
      <c r="I163" s="15">
        <v>42650.010601851849</v>
      </c>
      <c r="J163" s="7">
        <v>0</v>
      </c>
      <c r="K163" s="117" t="str">
        <f t="shared" si="63"/>
        <v>4043/4044</v>
      </c>
      <c r="L163" s="24" t="str">
        <f>VLOOKUP(A163,'Trips&amp;Operators'!$C$1:$E$10000,3,FALSE)</f>
        <v>LEVIN</v>
      </c>
      <c r="M163" s="6">
        <f t="shared" si="64"/>
        <v>2.7141203703649808E-2</v>
      </c>
      <c r="N163" s="7">
        <f t="shared" si="78"/>
        <v>39.083333333255723</v>
      </c>
      <c r="O163" s="7"/>
      <c r="P163" s="7"/>
      <c r="Q163" s="25"/>
      <c r="R163" s="25"/>
      <c r="S163" s="37">
        <f t="shared" si="61"/>
        <v>1</v>
      </c>
      <c r="T163" s="52" t="str">
        <f t="shared" si="65"/>
        <v>NorthBound</v>
      </c>
      <c r="U163" s="159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22:34:25-0600',mode:absolute,to:'2016-10-07 01:15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3" s="54" t="str">
        <f t="shared" si="67"/>
        <v>N</v>
      </c>
      <c r="X163" s="164">
        <f t="shared" si="68"/>
        <v>1</v>
      </c>
      <c r="Y163" s="69">
        <f t="shared" si="69"/>
        <v>5.8000000000000003E-2</v>
      </c>
      <c r="Z163" s="69">
        <f t="shared" si="77"/>
        <v>23.332699999999999</v>
      </c>
      <c r="AA163" s="69">
        <f t="shared" si="70"/>
        <v>23.274699999999999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71"/>
        <v>0239-06</v>
      </c>
      <c r="AE163" s="95" t="str">
        <f t="shared" si="72"/>
        <v>aws s3 cp s3://rtdc.mdm.uploadarchive.raw/RTDC4044/ "%USERPROFILE%\AppData\Local\Temp\OnboardLogs"\RTDC4044\2016-10-06 --exclude "*" --recursive --include "*20161006*" &amp; "%USERPROFILE%\Documents\GitHub\mrs-test-scripts\Headless Mode &amp; Sideloading\WalkAndUnGZ.bat" "%USERPROFILE%\AppData\Local\Temp\OnboardLogs"\RTDC4044\2016-10-06 &amp; aws s3 cp s3://rtdc.mdm.uploadarchive.raw/RTDC4044/ "%USERPROFILE%\AppData\Local\Temp\OnboardLogs"\RTDC4044\2016-10-07 --exclude "*" --recursive --include "*20161007*" &amp; "%USERPROFILE%\Documents\GitHub\mrs-test-scripts\Headless Mode &amp; Sideloading\WalkAndUnGZ.bat" "%USERPROFILE%\AppData\Local\Temp\OnboardLogs"\RTDC4044\2016-10-07</v>
      </c>
      <c r="AF163" s="92" t="str">
        <f t="shared" si="73"/>
        <v>"C:\Program Files (x86)\AstroGrep\AstroGrep.exe" /spath="%USERPROFILE%\AppData\Local\Temp\OnboardLogs" /stypes="app*4044*20161007*" /stext=" 06:.+((SYSTEM_STATE.+slice.+state.+changed )|(ment ac)|(system.+state.+changed )|(\[timeout)|(PRM\|1\|D)|(kpr)|(kdp)|(\|lc)|(penalty))" /e /r /s</v>
      </c>
      <c r="AG163" s="1" t="str">
        <f t="shared" si="74"/>
        <v>EC</v>
      </c>
      <c r="AH163" s="96" t="str">
        <f t="shared" si="75"/>
        <v>"%USERPROFILE%\Documents\GitHub\eaglep3\Utilities\RefineRTDCRunTimes.py" --tripid 239-06 --locoid 4044 --swversion DE.1.0.7.0 --startMP 204:580 --initTime 2016-10-06T23:34:25 --startdatetime 2016-10-06T23:36:11 --delay 1 --endMP 204:233327 --enddatetime 2016-10-07T00:15:16 --enforcementcount 0 &gt;&gt;C:\Users\stu\Documents\GitHub\eaglep3-reporting\EC\2016-10-06-refined-times.txt</v>
      </c>
      <c r="AI163" s="130" t="str">
        <f t="shared" si="76"/>
        <v>echo {"issue":{"subject":"","project_id":79,"tracker_id":40,"status_id":1,"priority_id":2,"assigned_to_id":23,"start_date":"2016-10-07","description":"","custom_fields":[{"id":1,"name":"Subdivision","value":"EC"},{"id":4,"name":"Milepost","value":"23.3327"},{"id":17,"name":"Train ID","value":"239-06"},{"id":16,"name":"Locomotive ID","value":"4044"},{"id":130,"name":"Impact","value":""},{"id":150,"name":"Time of Event (Mountain Time)","value":"00:15:16"},{"id":151,"name":"Denver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614</v>
      </c>
      <c r="B164" s="7">
        <v>4043</v>
      </c>
      <c r="C164" s="24" t="s">
        <v>106</v>
      </c>
      <c r="D164" s="24" t="s">
        <v>712</v>
      </c>
      <c r="E164" s="15">
        <v>42650.015219907407</v>
      </c>
      <c r="F164" s="15">
        <v>42650.018229166664</v>
      </c>
      <c r="G164" s="7">
        <v>1</v>
      </c>
      <c r="H164" s="15" t="s">
        <v>198</v>
      </c>
      <c r="I164" s="15">
        <v>42650.050115740742</v>
      </c>
      <c r="J164" s="7">
        <v>0</v>
      </c>
      <c r="K164" s="117" t="str">
        <f t="shared" si="63"/>
        <v>4043/4044</v>
      </c>
      <c r="L164" s="24" t="str">
        <f>VLOOKUP(A164,'Trips&amp;Operators'!$C$1:$E$10000,3,FALSE)</f>
        <v>LEVIN</v>
      </c>
      <c r="M164" s="6">
        <f t="shared" si="64"/>
        <v>3.1886574077361729E-2</v>
      </c>
      <c r="N164" s="7">
        <f t="shared" si="78"/>
        <v>45.91666667140089</v>
      </c>
      <c r="O164" s="7"/>
      <c r="P164" s="7"/>
      <c r="Q164" s="25"/>
      <c r="R164" s="25"/>
      <c r="S164" s="37">
        <f t="shared" si="61"/>
        <v>1</v>
      </c>
      <c r="T164" s="52" t="str">
        <f t="shared" si="65"/>
        <v>Southbound</v>
      </c>
      <c r="U164" s="159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12</v>
      </c>
      <c r="V164" s="102" t="str">
        <f t="shared" si="66"/>
        <v>https://search-rtdc-monitor-bjffxe2xuh6vdkpspy63sjmuny.us-east-1.es.amazonaws.com/_plugin/kibana/#/discover/Steve-Slow-Train-Analysis-(2080s-and-2083s)?_g=(refreshInterval:(display:Off,section:0,value:0),time:(from:'2016-10-06 23:21:55-0600',mode:absolute,to:'2016-10-07 02:12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4" s="54" t="str">
        <f t="shared" si="67"/>
        <v>N</v>
      </c>
      <c r="X164" s="164">
        <f t="shared" ref="X164:X168" si="79">VALUE(LEFT(AD164,4))-VALUE(LEFT(AD163,4))</f>
        <v>1</v>
      </c>
      <c r="Y164" s="69">
        <f t="shared" si="69"/>
        <v>23.301500000000001</v>
      </c>
      <c r="Z164" s="69">
        <f t="shared" si="77"/>
        <v>1.52E-2</v>
      </c>
      <c r="AA164" s="69">
        <f t="shared" si="70"/>
        <v>23.286300000000001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71"/>
        <v>0240-06</v>
      </c>
      <c r="AE164" s="95" t="str">
        <f t="shared" si="72"/>
        <v>aws s3 cp s3://rtdc.mdm.uploadarchive.raw/RTDC4043/ "%USERPROFILE%\AppData\Local\Temp\OnboardLogs"\RTDC4043\2016-10-07 --exclude "*" --recursive --include "*20161007*" &amp; "%USERPROFILE%\Documents\GitHub\mrs-test-scripts\Headless Mode &amp; Sideloading\WalkAndUnGZ.bat" "%USERPROFILE%\AppData\Local\Temp\OnboardLogs"\RTDC4043\2016-10-07 &amp; aws s3 cp s3://rtdc.mdm.uploadarchive.raw/RTDC4043/ "%USERPROFILE%\AppData\Local\Temp\OnboardLogs"\RTDC4043\2016-10-08 --exclude "*" --recursive --include "*20161008*" &amp; "%USERPROFILE%\Documents\GitHub\mrs-test-scripts\Headless Mode &amp; Sideloading\WalkAndUnGZ.bat" "%USERPROFILE%\AppData\Local\Temp\OnboardLogs"\RTDC4043\2016-10-08</v>
      </c>
      <c r="AF164" s="92" t="str">
        <f t="shared" si="73"/>
        <v>"C:\Program Files (x86)\AstroGrep\AstroGrep.exe" /spath="%USERPROFILE%\AppData\Local\Temp\OnboardLogs" /stypes="app*4043*20161007*" /stext=" 07:.+((SYSTEM_STATE.+slice.+state.+changed )|(ment ac)|(system.+state.+changed )|(\[timeout)|(PRM\|1\|D)|(kpr)|(kdp)|(\|lc)|(penalty))" /e /r /s</v>
      </c>
      <c r="AG164" s="1" t="str">
        <f t="shared" si="74"/>
        <v>EC</v>
      </c>
      <c r="AH164" s="96" t="str">
        <f t="shared" si="75"/>
        <v>"%USERPROFILE%\Documents\GitHub\eaglep3\Utilities\RefineRTDCRunTimes.py" --tripid 240-06 --locoid 4043 --swversion DE.1.0.7.0 --startMP 204:233015 --initTime 2016-10-07T00:21:55 --startdatetime 2016-10-07T00:26:15 --delay 1 --endMP 204:152 --enddatetime 2016-10-07T01:12:10 --enforcementcount 0 &gt;&gt;C:\Users\stu\Documents\GitHub\eaglep3-reporting\EC\2016-10-06-refined-times.txt</v>
      </c>
      <c r="AI164" s="130" t="str">
        <f t="shared" si="76"/>
        <v>echo {"issue":{"subject":"","project_id":79,"tracker_id":40,"status_id":1,"priority_id":2,"assigned_to_id":23,"start_date":"2016-10-07","description":"","custom_fields":[{"id":1,"name":"Subdivision","value":"EC"},{"id":4,"name":"Milepost","value":"0.0152"},{"id":17,"name":"Train ID","value":"240-06"},{"id":16,"name":"Locomotive ID","value":"4043"},{"id":130,"name":"Impact","value":""},{"id":150,"name":"Time of Event (Mountain Time)","value":"01:12:10"},{"id":151,"name":"Denver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833</v>
      </c>
      <c r="B165" s="7"/>
      <c r="C165" s="24"/>
      <c r="D165" s="24"/>
      <c r="E165" s="15"/>
      <c r="F165" s="15"/>
      <c r="G165" s="7"/>
      <c r="H165" s="15"/>
      <c r="I165" s="15"/>
      <c r="J165" s="7"/>
      <c r="K165" s="117"/>
      <c r="L165" s="24"/>
      <c r="M165" s="6"/>
      <c r="N165" s="7"/>
      <c r="O165" s="7"/>
      <c r="P165" s="7">
        <v>1</v>
      </c>
      <c r="Q165" s="25"/>
      <c r="R165" s="25" t="s">
        <v>387</v>
      </c>
      <c r="S165" s="37"/>
      <c r="T165" s="52" t="str">
        <f t="shared" si="65"/>
        <v>NorthBound</v>
      </c>
      <c r="U165" s="159"/>
      <c r="V165" s="102"/>
      <c r="W165" s="54"/>
      <c r="X165" s="164">
        <f t="shared" si="79"/>
        <v>1</v>
      </c>
      <c r="Y165" s="69"/>
      <c r="Z165" s="69"/>
      <c r="AA165" s="69"/>
      <c r="AB165" s="66"/>
      <c r="AC165" s="62"/>
      <c r="AD165" s="63" t="str">
        <f t="shared" si="71"/>
        <v>0241-06</v>
      </c>
      <c r="AE165" s="95"/>
      <c r="AF165" s="92"/>
      <c r="AG165" s="1" t="str">
        <f t="shared" si="74"/>
        <v>EC</v>
      </c>
      <c r="AH165" s="96"/>
      <c r="AI165" s="130"/>
      <c r="AJ165" s="55"/>
      <c r="AK165" s="55"/>
      <c r="AL165" s="55"/>
    </row>
    <row r="166" spans="1:38" s="23" customFormat="1" x14ac:dyDescent="0.25">
      <c r="A166" s="39" t="s">
        <v>834</v>
      </c>
      <c r="B166" s="7"/>
      <c r="C166" s="24"/>
      <c r="D166" s="24"/>
      <c r="E166" s="15"/>
      <c r="F166" s="15"/>
      <c r="G166" s="7"/>
      <c r="H166" s="15"/>
      <c r="I166" s="15"/>
      <c r="J166" s="7"/>
      <c r="K166" s="117"/>
      <c r="L166" s="24"/>
      <c r="M166" s="6"/>
      <c r="N166" s="7"/>
      <c r="O166" s="7"/>
      <c r="P166" s="7">
        <v>1</v>
      </c>
      <c r="Q166" s="25"/>
      <c r="R166" s="25" t="s">
        <v>387</v>
      </c>
      <c r="S166" s="37"/>
      <c r="T166" s="52" t="str">
        <f t="shared" si="65"/>
        <v>Southbound</v>
      </c>
      <c r="U166" s="159"/>
      <c r="V166" s="102"/>
      <c r="W166" s="54"/>
      <c r="X166" s="164">
        <f t="shared" si="79"/>
        <v>1</v>
      </c>
      <c r="Y166" s="69"/>
      <c r="Z166" s="69"/>
      <c r="AA166" s="69"/>
      <c r="AB166" s="66"/>
      <c r="AC166" s="62"/>
      <c r="AD166" s="63" t="str">
        <f t="shared" si="71"/>
        <v>0242-06</v>
      </c>
      <c r="AE166" s="95"/>
      <c r="AF166" s="92"/>
      <c r="AG166" s="1" t="str">
        <f t="shared" si="74"/>
        <v>EC</v>
      </c>
      <c r="AH166" s="96"/>
      <c r="AI166" s="130"/>
      <c r="AJ166" s="55"/>
      <c r="AK166" s="55"/>
      <c r="AL166" s="55"/>
    </row>
    <row r="167" spans="1:38" s="23" customFormat="1" x14ac:dyDescent="0.25">
      <c r="A167" s="39" t="s">
        <v>615</v>
      </c>
      <c r="B167" s="7">
        <v>4009</v>
      </c>
      <c r="C167" s="24" t="s">
        <v>106</v>
      </c>
      <c r="D167" s="24" t="s">
        <v>203</v>
      </c>
      <c r="E167" s="15">
        <v>42650.016631944447</v>
      </c>
      <c r="F167" s="15">
        <v>42650.021504629629</v>
      </c>
      <c r="G167" s="7">
        <v>6</v>
      </c>
      <c r="H167" s="15" t="s">
        <v>253</v>
      </c>
      <c r="I167" s="15">
        <v>42650.041886574072</v>
      </c>
      <c r="J167" s="7">
        <v>0</v>
      </c>
      <c r="K167" s="117" t="str">
        <f t="shared" ref="K167:K198" si="80">IF(ISEVEN(B167),(B167-1)&amp;"/"&amp;B167,B167&amp;"/"&amp;(B167+1))</f>
        <v>4009/4010</v>
      </c>
      <c r="L167" s="24" t="str">
        <f>VLOOKUP(A167,'Trips&amp;Operators'!$C$1:$E$10000,3,FALSE)</f>
        <v>STURGEON</v>
      </c>
      <c r="M167" s="6">
        <f t="shared" ref="M167:M198" si="81">I167-F167</f>
        <v>2.0381944443215616E-2</v>
      </c>
      <c r="N167" s="7">
        <f t="shared" ref="N167:N188" si="82">24*60*SUM($M167:$M167)</f>
        <v>29.349999998230487</v>
      </c>
      <c r="O167" s="7"/>
      <c r="P167" s="7"/>
      <c r="Q167" s="25"/>
      <c r="R167" s="25"/>
      <c r="S167" s="37">
        <f t="shared" ref="S167:S198" si="83">SUM(U167:U167)/IF(AG167="EC",12,1)</f>
        <v>1</v>
      </c>
      <c r="T167" s="52" t="str">
        <f t="shared" si="65"/>
        <v>NorthBound</v>
      </c>
      <c r="U167" s="159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12</v>
      </c>
      <c r="V167" s="102" t="str">
        <f t="shared" ref="V167:V198" si="84">"https://search-rtdc-monitor-bjffxe2xuh6vdkpspy63sjmuny.us-east-1.es.amazonaws.com/_plugin/kibana/#/discover/Steve-Slow-Train-Analysis-(2080s-and-2083s)?_g=(refreshInterval:(display:Off,section:0,value:0),time:(from:'"&amp;TEXT(E167-1/24,"yyyy-MM-DD hh:mm:ss")&amp;"-0600',mode:absolute,to:'"&amp;TEXT(I167+1/24,"yyyy-MM-DD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https://search-rtdc-monitor-bjffxe2xuh6vdkpspy63sjmuny.us-east-1.es.amazonaws.com/_plugin/kibana/#/discover/Steve-Slow-Train-Analysis-(2080s-and-2083s)?_g=(refreshInterval:(display:Off,section:0,value:0),time:(from:'2016-10-06 23:23:57-0600',mode:absolute,to:'2016-10-07 02:00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7" s="54" t="str">
        <f t="shared" ref="W167:W198" si="85">IF(AA167&lt;IF(AG167="EC",23,5.65),"Y","N")</f>
        <v>N</v>
      </c>
      <c r="X167" s="164">
        <f t="shared" si="79"/>
        <v>1</v>
      </c>
      <c r="Y167" s="69">
        <f t="shared" ref="Y167:Y198" si="86">RIGHT(D167,LEN(D167)-4)/10000</f>
        <v>4.58E-2</v>
      </c>
      <c r="Z167" s="69">
        <f t="shared" ref="Z167:Z198" si="87">RIGHT(H167,LEN(H167)-4)/10000</f>
        <v>23.328900000000001</v>
      </c>
      <c r="AA167" s="69">
        <f t="shared" ref="AA167:AA198" si="88">ABS(Z167-Y167)</f>
        <v>23.283100000000001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71"/>
        <v>0243-06</v>
      </c>
      <c r="AE167" s="95" t="str">
        <f t="shared" ref="AE167:AE198" si="89"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s3://rtdc.mdm.uploadarchive.raw/RTDC4009/ "%USERPROFILE%\AppData\Local\Temp\OnboardLogs"\RTDC4009\2016-10-07 --exclude "*" --recursive --include "*20161007*" &amp; "%USERPROFILE%\Documents\GitHub\mrs-test-scripts\Headless Mode &amp; Sideloading\WalkAndUnGZ.bat" "%USERPROFILE%\AppData\Local\Temp\OnboardLogs"\RTDC4009\2016-10-07 &amp; aws s3 cp s3://rtdc.mdm.uploadarchive.raw/RTDC4009/ "%USERPROFILE%\AppData\Local\Temp\OnboardLogs"\RTDC4009\2016-10-08 --exclude "*" --recursive --include "*20161008*" &amp; "%USERPROFILE%\Documents\GitHub\mrs-test-scripts\Headless Mode &amp; Sideloading\WalkAndUnGZ.bat" "%USERPROFILE%\AppData\Local\Temp\OnboardLogs"\RTDC4009\2016-10-08</v>
      </c>
      <c r="AF167" s="92" t="str">
        <f t="shared" ref="AF167:AF198" si="90"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/stypes="app*4009*20161007*" /stext=" 07:.+((SYSTEM_STATE.+slice.+state.+changed )|(ment ac)|(system.+state.+changed )|(\[timeout)|(PRM\|1\|D)|(kpr)|(kdp)|(\|lc)|(penalty))" /e /r /s</v>
      </c>
      <c r="AG167" s="1" t="str">
        <f t="shared" si="74"/>
        <v>EC</v>
      </c>
      <c r="AH167" s="96" t="str">
        <f t="shared" si="75"/>
        <v>"%USERPROFILE%\Documents\GitHub\eaglep3\Utilities\RefineRTDCRunTimes.py" --tripid 243-06 --locoid 4009 --swversion DE.1.0.7.0 --startMP 204:458 --initTime 2016-10-07T00:23:57 --startdatetime 2016-10-07T00:30:58 --delay 6 --endMP 204:233289 --enddatetime 2016-10-07T01:00:19 --enforcementcount 0 &gt;&gt;C:\Users\stu\Documents\GitHub\eaglep3-reporting\EC\2016-10-06-refined-times.txt</v>
      </c>
      <c r="AI167" s="130" t="str">
        <f t="shared" si="76"/>
        <v>echo {"issue":{"subject":"","project_id":79,"tracker_id":40,"status_id":1,"priority_id":2,"assigned_to_id":23,"start_date":"2016-10-07","description":"","custom_fields":[{"id":1,"name":"Subdivision","value":"EC"},{"id":4,"name":"Milepost","value":"23.3289"},{"id":17,"name":"Train ID","value":"243-06"},{"id":16,"name":"Locomotive ID","value":"4009"},{"id":130,"name":"Impact","value":""},{"id":150,"name":"Time of Event (Mountain Time)","value":"01:00:19"},{"id":151,"name":"Denver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617</v>
      </c>
      <c r="B168" s="7">
        <v>4010</v>
      </c>
      <c r="C168" s="24" t="s">
        <v>106</v>
      </c>
      <c r="D168" s="24" t="s">
        <v>713</v>
      </c>
      <c r="E168" s="15">
        <v>42650.052384259259</v>
      </c>
      <c r="F168" s="15">
        <v>42650.060011574074</v>
      </c>
      <c r="G168" s="7">
        <v>2</v>
      </c>
      <c r="H168" s="15" t="s">
        <v>714</v>
      </c>
      <c r="I168" s="15">
        <v>42650.087384259263</v>
      </c>
      <c r="J168" s="7">
        <v>0</v>
      </c>
      <c r="K168" s="117" t="str">
        <f t="shared" si="80"/>
        <v>4009/4010</v>
      </c>
      <c r="L168" s="24" t="str">
        <f>VLOOKUP(A168,'Trips&amp;Operators'!$C$1:$E$10000,3,FALSE)</f>
        <v>STURGEON</v>
      </c>
      <c r="M168" s="6">
        <f t="shared" si="81"/>
        <v>2.7372685188311152E-2</v>
      </c>
      <c r="N168" s="7">
        <f t="shared" si="82"/>
        <v>39.416666671168059</v>
      </c>
      <c r="O168" s="7"/>
      <c r="P168" s="7"/>
      <c r="Q168" s="25"/>
      <c r="R168" s="25"/>
      <c r="S168" s="37">
        <f t="shared" si="83"/>
        <v>1</v>
      </c>
      <c r="T168" s="52" t="str">
        <f t="shared" si="65"/>
        <v>Southbound</v>
      </c>
      <c r="U168" s="159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12</v>
      </c>
      <c r="V168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https://search-rtdc-monitor-bjffxe2xuh6vdkpspy63sjmuny.us-east-1.es.amazonaws.com/_plugin/kibana/#/discover/Steve-Slow-Train-Analysis-(2080s-and-2083s)?_g=(refreshInterval:(display:Off,section:0,value:0),time:(from:'2016-10-07 00:15:26-0600',mode:absolute,to:'2016-10-07 03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8" s="54" t="str">
        <f t="shared" si="85"/>
        <v>N</v>
      </c>
      <c r="X168" s="164">
        <f t="shared" si="79"/>
        <v>1</v>
      </c>
      <c r="Y168" s="69">
        <f t="shared" si="86"/>
        <v>23.295200000000001</v>
      </c>
      <c r="Z168" s="69">
        <f t="shared" si="87"/>
        <v>1.7399999999999999E-2</v>
      </c>
      <c r="AA168" s="69">
        <f t="shared" si="88"/>
        <v>23.277800000000003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71"/>
        <v>0244-06</v>
      </c>
      <c r="AE168" s="95" t="str">
        <f t="shared" si="89"/>
        <v>aws s3 cp s3://rtdc.mdm.uploadarchive.raw/RTDC4010/ "%USERPROFILE%\AppData\Local\Temp\OnboardLogs"\RTDC4010\2016-10-07 --exclude "*" --recursive --include "*20161007*" &amp; "%USERPROFILE%\Documents\GitHub\mrs-test-scripts\Headless Mode &amp; Sideloading\WalkAndUnGZ.bat" "%USERPROFILE%\AppData\Local\Temp\OnboardLogs"\RTDC4010\2016-10-07 &amp; aws s3 cp s3://rtdc.mdm.uploadarchive.raw/RTDC4010/ "%USERPROFILE%\AppData\Local\Temp\OnboardLogs"\RTDC4010\2016-10-08 --exclude "*" --recursive --include "*20161008*" &amp; "%USERPROFILE%\Documents\GitHub\mrs-test-scripts\Headless Mode &amp; Sideloading\WalkAndUnGZ.bat" "%USERPROFILE%\AppData\Local\Temp\OnboardLogs"\RTDC4010\2016-10-08</v>
      </c>
      <c r="AF168" s="92" t="str">
        <f t="shared" si="90"/>
        <v>"C:\Program Files (x86)\AstroGrep\AstroGrep.exe" /spath="%USERPROFILE%\AppData\Local\Temp\OnboardLogs" /stypes="app*4010*20161007*" /stext=" 08:.+((SYSTEM_STATE.+slice.+state.+changed )|(ment ac)|(system.+state.+changed )|(\[timeout)|(PRM\|1\|D)|(kpr)|(kdp)|(\|lc)|(penalty))" /e /r /s</v>
      </c>
      <c r="AG168" s="1" t="str">
        <f t="shared" si="74"/>
        <v>EC</v>
      </c>
      <c r="AH168" s="96" t="str">
        <f t="shared" si="75"/>
        <v>"%USERPROFILE%\Documents\GitHub\eaglep3\Utilities\RefineRTDCRunTimes.py" --tripid 244-06 --locoid 4010 --swversion DE.1.0.7.0 --startMP 204:232952 --initTime 2016-10-07T01:15:26 --startdatetime 2016-10-07T01:26:25 --delay 2 --endMP 204:174 --enddatetime 2016-10-07T02:05:50 --enforcementcount 0 &gt;&gt;C:\Users\stu\Documents\GitHub\eaglep3-reporting\EC\2016-10-06-refined-times.txt</v>
      </c>
      <c r="AI168" s="130" t="str">
        <f t="shared" si="76"/>
        <v>echo {"issue":{"subject":"","project_id":79,"tracker_id":40,"status_id":1,"priority_id":2,"assigned_to_id":23,"start_date":"2016-10-07","description":"","custom_fields":[{"id":1,"name":"Subdivision","value":"EC"},{"id":4,"name":"Milepost","value":"0.0174"},{"id":17,"name":"Train ID","value":"244-06"},{"id":16,"name":"Locomotive ID","value":"4010"},{"id":130,"name":"Impact","value":""},{"id":150,"name":"Time of Event (Mountain Time)","value":"02:05:50"},{"id":151,"name":"Denver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410</v>
      </c>
      <c r="B169" s="7">
        <v>4054</v>
      </c>
      <c r="C169" s="24" t="s">
        <v>106</v>
      </c>
      <c r="D169" s="24" t="s">
        <v>760</v>
      </c>
      <c r="E169" s="15">
        <v>42649.213680555556</v>
      </c>
      <c r="F169" s="15">
        <v>42649.215462962966</v>
      </c>
      <c r="G169" s="7">
        <v>1</v>
      </c>
      <c r="H169" s="15" t="s">
        <v>761</v>
      </c>
      <c r="I169" s="15">
        <v>42649.225729166668</v>
      </c>
      <c r="J169" s="7">
        <v>0</v>
      </c>
      <c r="K169" s="117" t="str">
        <f t="shared" si="80"/>
        <v>4053/4054</v>
      </c>
      <c r="L169" s="24" t="str">
        <f>VLOOKUP(A169,'Trips&amp;Operators'!$C$1:$E$10000,3,FALSE)</f>
        <v>YORK</v>
      </c>
      <c r="M169" s="6">
        <f t="shared" si="81"/>
        <v>1.0266203702485655E-2</v>
      </c>
      <c r="N169" s="7">
        <f t="shared" si="82"/>
        <v>14.783333331579342</v>
      </c>
      <c r="O169" s="7"/>
      <c r="P169" s="7"/>
      <c r="Q169" s="25"/>
      <c r="R169" s="25"/>
      <c r="S169" s="37">
        <f t="shared" si="83"/>
        <v>1</v>
      </c>
      <c r="T169" s="52" t="str">
        <f t="shared" si="65"/>
        <v>Southbound</v>
      </c>
      <c r="U169" s="159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04:07:42-0600',mode:absolute,to:'2016-10-06 06:25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9" s="54" t="str">
        <f t="shared" si="85"/>
        <v>N</v>
      </c>
      <c r="X169" s="164">
        <f t="shared" ref="X169:X188" si="91">VALUE(LEFT(AD169,4))-VALUE(LEFT(AD168,4))</f>
        <v>556</v>
      </c>
      <c r="Y169" s="69">
        <f t="shared" si="86"/>
        <v>5.8613</v>
      </c>
      <c r="Z169" s="69">
        <f t="shared" si="87"/>
        <v>7.4300000000000005E-2</v>
      </c>
      <c r="AA169" s="69">
        <f t="shared" si="88"/>
        <v>5.7869999999999999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71"/>
        <v>0800-06</v>
      </c>
      <c r="AE169" s="95" t="str">
        <f t="shared" si="89"/>
        <v>aws s3 cp s3://rtdc.mdm.uploadarchive.raw/RTDC4054/ "%USERPROFILE%\AppData\Local\Temp\OnboardLogs"\RTDC4054\2016-10-06 --exclude "*" --recursive --include "*20161006*" &amp; "%USERPROFILE%\Documents\GitHub\mrs-test-scripts\Headless Mode &amp; Sideloading\WalkAndUnGZ.bat" "%USERPROFILE%\AppData\Local\Temp\OnboardLogs"\RTDC4054\2016-10-06 &amp; 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</v>
      </c>
      <c r="AF169" s="92" t="str">
        <f t="shared" si="90"/>
        <v>"C:\Program Files (x86)\AstroGrep\AstroGrep.exe" /spath="%USERPROFILE%\AppData\Local\Temp\OnboardLogs" /stypes="app*4054*20161006*" /stext=" 11:.+((SYSTEM_STATE.+slice.+state.+changed )|(ment ac)|(system.+state.+changed )|(\[timeout)|(PRM\|1\|D)|(kpr)|(kdp)|(\|lc)|(penalty))" /e /r /s</v>
      </c>
      <c r="AG169" s="1" t="str">
        <f t="shared" si="74"/>
        <v>NW</v>
      </c>
      <c r="AH169" s="96" t="str">
        <f t="shared" si="75"/>
        <v>"%USERPROFILE%\Documents\GitHub\eaglep3\Utilities\RefineRTDCRunTimes.py" --tripid 800-06 --locoid 4054 --swversion DE.1.0.7.0 --startMP 300:58613 --initTime 2016-10-06T05:07:42 --startdatetime 2016-10-06T05:10:16 --delay 1 --endMP 204:743 --enddatetime 2016-10-06T05:25:03 --enforcementcount 0 &gt;&gt;C:\Users\stu\Documents\GitHub\eaglep3-reporting\EC\2016-10-06-refined-times.txt</v>
      </c>
      <c r="AI169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{"issue":{"subject":"","project_id":79,"tracker_id":40,"status_id":1,"priority_id":2,"assigned_to_id":23,"start_date":"2016-10-06","description":"","custom_fields":[{"id":1,"name":"Subdivision","value":"NW"},{"id":4,"name":"Milepost","value":"0.0743"},{"id":17,"name":"Train ID","value":"800-06"},{"id":16,"name":"Locomotive ID","value":"4054"},{"id":130,"name":"Impact","value":""},{"id":150,"name":"Time of Event (Mountain Time)","value":"05:25:03"},{"id":151,"name":"Denver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416</v>
      </c>
      <c r="B170" s="7">
        <v>4053</v>
      </c>
      <c r="C170" s="24" t="s">
        <v>106</v>
      </c>
      <c r="D170" s="24" t="s">
        <v>762</v>
      </c>
      <c r="E170" s="15">
        <v>42649.241782407407</v>
      </c>
      <c r="F170" s="15">
        <v>42649.243935185186</v>
      </c>
      <c r="G170" s="7">
        <v>1</v>
      </c>
      <c r="H170" s="15" t="s">
        <v>311</v>
      </c>
      <c r="I170" s="15">
        <v>42649.252824074072</v>
      </c>
      <c r="J170" s="7">
        <v>0</v>
      </c>
      <c r="K170" s="117" t="str">
        <f t="shared" si="80"/>
        <v>4053/4054</v>
      </c>
      <c r="L170" s="24" t="str">
        <f>VLOOKUP(A170,'Trips&amp;Operators'!$C$1:$E$10000,3,FALSE)</f>
        <v>YORK</v>
      </c>
      <c r="M170" s="6">
        <f t="shared" si="81"/>
        <v>8.8888888858491555E-3</v>
      </c>
      <c r="N170" s="7">
        <f t="shared" si="82"/>
        <v>12.799999995622784</v>
      </c>
      <c r="O170" s="7"/>
      <c r="P170" s="7"/>
      <c r="Q170" s="25"/>
      <c r="R170" s="25"/>
      <c r="S170" s="37">
        <f t="shared" si="83"/>
        <v>1</v>
      </c>
      <c r="T170" s="52" t="str">
        <f t="shared" si="65"/>
        <v>NorthBound</v>
      </c>
      <c r="U170" s="159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04:48:10-0600',mode:absolute,to:'2016-10-06 07:04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0" s="54" t="str">
        <f t="shared" si="85"/>
        <v>N</v>
      </c>
      <c r="X170" s="164">
        <f t="shared" si="91"/>
        <v>1</v>
      </c>
      <c r="Y170" s="69">
        <f t="shared" si="86"/>
        <v>0.1023</v>
      </c>
      <c r="Z170" s="69">
        <f t="shared" si="87"/>
        <v>5.8929</v>
      </c>
      <c r="AA170" s="69">
        <f t="shared" si="88"/>
        <v>5.7906000000000004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71"/>
        <v>0801-06</v>
      </c>
      <c r="AE170" s="95" t="str">
        <f t="shared" si="89"/>
        <v>aws s3 cp s3://rtdc.mdm.uploadarchive.raw/RTDC4053/ "%USERPROFILE%\AppData\Local\Temp\OnboardLogs"\RTDC4053\2016-10-06 --exclude "*" --recursive --include "*20161006*" &amp; "%USERPROFILE%\Documents\GitHub\mrs-test-scripts\Headless Mode &amp; Sideloading\WalkAndUnGZ.bat" "%USERPROFILE%\AppData\Local\Temp\OnboardLogs"\RTDC4053\2016-10-06 &amp; 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</v>
      </c>
      <c r="AF170" s="92" t="str">
        <f t="shared" si="90"/>
        <v>"C:\Program Files (x86)\AstroGrep\AstroGrep.exe" /spath="%USERPROFILE%\AppData\Local\Temp\OnboardLogs" /stypes="app*4053*20161006*" /stext=" 12:.+((SYSTEM_STATE.+slice.+state.+changed )|(ment ac)|(system.+state.+changed )|(\[timeout)|(PRM\|1\|D)|(kpr)|(kdp)|(\|lc)|(penalty))" /e /r /s</v>
      </c>
      <c r="AG170" s="1" t="str">
        <f t="shared" si="74"/>
        <v>NW</v>
      </c>
      <c r="AH170" s="96" t="str">
        <f t="shared" si="75"/>
        <v>"%USERPROFILE%\Documents\GitHub\eaglep3\Utilities\RefineRTDCRunTimes.py" --tripid 801-06 --locoid 4053 --swversion DE.1.0.7.0 --startMP 204:1023 --initTime 2016-10-06T05:48:10 --startdatetime 2016-10-06T05:51:16 --delay 1 --endMP 300:58929 --enddatetime 2016-10-06T06:04:04 --enforcementcount 0 &gt;&gt;C:\Users\stu\Documents\GitHub\eaglep3-reporting\EC\2016-10-06-refined-times.txt</v>
      </c>
      <c r="AI170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{"issue":{"subject":"","project_id":79,"tracker_id":40,"status_id":1,"priority_id":2,"assigned_to_id":23,"start_date":"2016-10-06","description":"","custom_fields":[{"id":1,"name":"Subdivision","value":"NW"},{"id":4,"name":"Milepost","value":"5.8929"},{"id":17,"name":"Train ID","value":"801-06"},{"id":16,"name":"Locomotive ID","value":"4053"},{"id":130,"name":"Impact","value":""},{"id":150,"name":"Time of Event (Mountain Time)","value":"06:04:04"},{"id":151,"name":"Denver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421</v>
      </c>
      <c r="B171" s="7">
        <v>4054</v>
      </c>
      <c r="C171" s="24" t="s">
        <v>106</v>
      </c>
      <c r="D171" s="24" t="s">
        <v>763</v>
      </c>
      <c r="E171" s="15">
        <v>42649.254236111112</v>
      </c>
      <c r="F171" s="15">
        <v>42649.255879629629</v>
      </c>
      <c r="G171" s="7">
        <v>1</v>
      </c>
      <c r="H171" s="15" t="s">
        <v>342</v>
      </c>
      <c r="I171" s="15">
        <v>42649.26766203704</v>
      </c>
      <c r="J171" s="7">
        <v>0</v>
      </c>
      <c r="K171" s="117" t="str">
        <f t="shared" si="80"/>
        <v>4053/4054</v>
      </c>
      <c r="L171" s="24" t="str">
        <f>VLOOKUP(A171,'Trips&amp;Operators'!$C$1:$E$10000,3,FALSE)</f>
        <v>YORK</v>
      </c>
      <c r="M171" s="6">
        <f t="shared" si="81"/>
        <v>1.1782407411374152E-2</v>
      </c>
      <c r="N171" s="7">
        <f t="shared" si="82"/>
        <v>16.966666672378778</v>
      </c>
      <c r="O171" s="7"/>
      <c r="P171" s="7"/>
      <c r="Q171" s="25"/>
      <c r="R171" s="25"/>
      <c r="S171" s="37">
        <f t="shared" si="83"/>
        <v>1</v>
      </c>
      <c r="T171" s="52" t="str">
        <f t="shared" si="65"/>
        <v>Southbound</v>
      </c>
      <c r="U171" s="159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05:06:06-0600',mode:absolute,to:'2016-10-06 07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1" s="54" t="str">
        <f t="shared" si="85"/>
        <v>N</v>
      </c>
      <c r="X171" s="164">
        <f t="shared" si="91"/>
        <v>1</v>
      </c>
      <c r="Y171" s="69">
        <f t="shared" si="86"/>
        <v>5.8624000000000001</v>
      </c>
      <c r="Z171" s="69">
        <f t="shared" si="87"/>
        <v>7.5200000000000003E-2</v>
      </c>
      <c r="AA171" s="69">
        <f t="shared" si="88"/>
        <v>5.7872000000000003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71"/>
        <v>0802-06</v>
      </c>
      <c r="AE171" s="95" t="str">
        <f t="shared" si="89"/>
        <v>aws s3 cp s3://rtdc.mdm.uploadarchive.raw/RTDC4054/ "%USERPROFILE%\AppData\Local\Temp\OnboardLogs"\RTDC4054\2016-10-06 --exclude "*" --recursive --include "*20161006*" &amp; "%USERPROFILE%\Documents\GitHub\mrs-test-scripts\Headless Mode &amp; Sideloading\WalkAndUnGZ.bat" "%USERPROFILE%\AppData\Local\Temp\OnboardLogs"\RTDC4054\2016-10-06 &amp; 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</v>
      </c>
      <c r="AF171" s="92" t="str">
        <f t="shared" si="90"/>
        <v>"C:\Program Files (x86)\AstroGrep\AstroGrep.exe" /spath="%USERPROFILE%\AppData\Local\Temp\OnboardLogs" /stypes="app*4054*20161006*" /stext=" 12:.+((SYSTEM_STATE.+slice.+state.+changed )|(ment ac)|(system.+state.+changed )|(\[timeout)|(PRM\|1\|D)|(kpr)|(kdp)|(\|lc)|(penalty))" /e /r /s</v>
      </c>
      <c r="AG171" s="1" t="str">
        <f t="shared" si="74"/>
        <v>NW</v>
      </c>
      <c r="AH171" s="96" t="str">
        <f t="shared" si="75"/>
        <v>"%USERPROFILE%\Documents\GitHub\eaglep3\Utilities\RefineRTDCRunTimes.py" --tripid 802-06 --locoid 4054 --swversion DE.1.0.7.0 --startMP 300:58624 --initTime 2016-10-06T06:06:06 --startdatetime 2016-10-06T06:08:28 --delay 1 --endMP 204:752 --enddatetime 2016-10-06T06:25:26 --enforcementcount 0 &gt;&gt;C:\Users\stu\Documents\GitHub\eaglep3-reporting\EC\2016-10-06-refined-times.txt</v>
      </c>
      <c r="AI171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{"issue":{"subject":"","project_id":79,"tracker_id":40,"status_id":1,"priority_id":2,"assigned_to_id":23,"start_date":"2016-10-06","description":"","custom_fields":[{"id":1,"name":"Subdivision","value":"NW"},{"id":4,"name":"Milepost","value":"0.0752"},{"id":17,"name":"Train ID","value":"802-06"},{"id":16,"name":"Locomotive ID","value":"4054"},{"id":130,"name":"Impact","value":""},{"id":150,"name":"Time of Event (Mountain Time)","value":"06:25:26"},{"id":151,"name":"Denver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425</v>
      </c>
      <c r="B172" s="7">
        <v>4029</v>
      </c>
      <c r="C172" s="24" t="s">
        <v>106</v>
      </c>
      <c r="D172" s="24" t="s">
        <v>764</v>
      </c>
      <c r="E172" s="15">
        <v>42649.256886574076</v>
      </c>
      <c r="F172" s="15">
        <v>42649.264768518522</v>
      </c>
      <c r="G172" s="7">
        <v>2</v>
      </c>
      <c r="H172" s="15" t="s">
        <v>374</v>
      </c>
      <c r="I172" s="15">
        <v>42649.274363425924</v>
      </c>
      <c r="J172" s="7">
        <v>0</v>
      </c>
      <c r="K172" s="117" t="str">
        <f t="shared" si="80"/>
        <v>4029/4030</v>
      </c>
      <c r="L172" s="24" t="str">
        <f>VLOOKUP(A172,'Trips&amp;Operators'!$C$1:$E$10000,3,FALSE)</f>
        <v>GEBRETEKLE</v>
      </c>
      <c r="M172" s="6">
        <f t="shared" si="81"/>
        <v>9.594907402060926E-3</v>
      </c>
      <c r="N172" s="7">
        <f t="shared" si="82"/>
        <v>13.816666658967733</v>
      </c>
      <c r="O172" s="7"/>
      <c r="P172" s="7"/>
      <c r="Q172" s="25"/>
      <c r="R172" s="25"/>
      <c r="S172" s="37">
        <f t="shared" si="83"/>
        <v>1</v>
      </c>
      <c r="T172" s="52" t="str">
        <f t="shared" si="65"/>
        <v>NorthBound</v>
      </c>
      <c r="U172" s="159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05:09:55-0600',mode:absolute,to:'2016-10-06 07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2" s="54" t="str">
        <f t="shared" si="85"/>
        <v>N</v>
      </c>
      <c r="X172" s="164">
        <f t="shared" si="91"/>
        <v>1</v>
      </c>
      <c r="Y172" s="69">
        <f t="shared" si="86"/>
        <v>4.2099999999999999E-2</v>
      </c>
      <c r="Z172" s="69">
        <f t="shared" si="87"/>
        <v>5.899</v>
      </c>
      <c r="AA172" s="69">
        <f t="shared" si="88"/>
        <v>5.8569000000000004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71"/>
        <v>0803-06</v>
      </c>
      <c r="AE172" s="95" t="str">
        <f t="shared" si="89"/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AF172" s="92" t="str">
        <f t="shared" si="90"/>
        <v>"C:\Program Files (x86)\AstroGrep\AstroGrep.exe" /spath="%USERPROFILE%\AppData\Local\Temp\OnboardLogs" /stypes="app*4029*20161006*" /stext=" 12:.+((SYSTEM_STATE.+slice.+state.+changed )|(ment ac)|(system.+state.+changed )|(\[timeout)|(PRM\|1\|D)|(kpr)|(kdp)|(\|lc)|(penalty))" /e /r /s</v>
      </c>
      <c r="AG172" s="1" t="str">
        <f t="shared" si="74"/>
        <v>NW</v>
      </c>
      <c r="AH172" s="96" t="str">
        <f t="shared" si="75"/>
        <v>"%USERPROFILE%\Documents\GitHub\eaglep3\Utilities\RefineRTDCRunTimes.py" --tripid 803-06 --locoid 4029 --swversion DE.1.0.7.0 --startMP 204:421 --initTime 2016-10-06T06:09:55 --startdatetime 2016-10-06T06:21:16 --delay 2 --endMP 300:58990 --enddatetime 2016-10-06T06:35:05 --enforcementcount 0 &gt;&gt;C:\Users\stu\Documents\GitHub\eaglep3-reporting\EC\2016-10-06-refined-times.txt</v>
      </c>
      <c r="AI172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{"issue":{"subject":"","project_id":79,"tracker_id":40,"status_id":1,"priority_id":2,"assigned_to_id":23,"start_date":"2016-10-06","description":"","custom_fields":[{"id":1,"name":"Subdivision","value":"NW"},{"id":4,"name":"Milepost","value":"5.899"},{"id":17,"name":"Train ID","value":"803-06"},{"id":16,"name":"Locomotive ID","value":"4029"},{"id":130,"name":"Impact","value":""},{"id":150,"name":"Time of Event (Mountain Time)","value":"06:35:05"},{"id":151,"name":"Denver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428</v>
      </c>
      <c r="B173" s="7">
        <v>4030</v>
      </c>
      <c r="C173" s="24" t="s">
        <v>106</v>
      </c>
      <c r="D173" s="24" t="s">
        <v>372</v>
      </c>
      <c r="E173" s="15">
        <v>42649.275694444441</v>
      </c>
      <c r="F173" s="15">
        <v>42649.277789351851</v>
      </c>
      <c r="G173" s="7">
        <v>1</v>
      </c>
      <c r="H173" s="15" t="s">
        <v>373</v>
      </c>
      <c r="I173" s="15">
        <v>42649.288993055554</v>
      </c>
      <c r="J173" s="7">
        <v>0</v>
      </c>
      <c r="K173" s="117" t="str">
        <f t="shared" si="80"/>
        <v>4029/4030</v>
      </c>
      <c r="L173" s="24" t="str">
        <f>VLOOKUP(A173,'Trips&amp;Operators'!$C$1:$E$10000,3,FALSE)</f>
        <v>GEBRETEKLE</v>
      </c>
      <c r="M173" s="6">
        <f t="shared" si="81"/>
        <v>1.1203703703358769E-2</v>
      </c>
      <c r="N173" s="7">
        <f t="shared" si="82"/>
        <v>16.133333332836628</v>
      </c>
      <c r="O173" s="7"/>
      <c r="P173" s="7"/>
      <c r="Q173" s="25"/>
      <c r="R173" s="25"/>
      <c r="S173" s="37">
        <f t="shared" si="83"/>
        <v>1</v>
      </c>
      <c r="T173" s="52" t="str">
        <f t="shared" si="65"/>
        <v>Southbound</v>
      </c>
      <c r="U173" s="159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05:37:00-0600',mode:absolute,to:'2016-10-06 07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3" s="54" t="str">
        <f t="shared" si="85"/>
        <v>N</v>
      </c>
      <c r="X173" s="164">
        <f t="shared" si="91"/>
        <v>1</v>
      </c>
      <c r="Y173" s="69">
        <f t="shared" si="86"/>
        <v>5.8673000000000002</v>
      </c>
      <c r="Z173" s="69">
        <f t="shared" si="87"/>
        <v>6.8000000000000005E-2</v>
      </c>
      <c r="AA173" s="69">
        <f t="shared" si="88"/>
        <v>5.7993000000000006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71"/>
        <v>0804-06</v>
      </c>
      <c r="AE173" s="95" t="str">
        <f t="shared" si="89"/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AF173" s="92" t="str">
        <f t="shared" si="90"/>
        <v>"C:\Program Files (x86)\AstroGrep\AstroGrep.exe" /spath="%USERPROFILE%\AppData\Local\Temp\OnboardLogs" /stypes="app*4030*20161006*" /stext=" 12:.+((SYSTEM_STATE.+slice.+state.+changed )|(ment ac)|(system.+state.+changed )|(\[timeout)|(PRM\|1\|D)|(kpr)|(kdp)|(\|lc)|(penalty))" /e /r /s</v>
      </c>
      <c r="AG173" s="1" t="str">
        <f t="shared" si="74"/>
        <v>NW</v>
      </c>
      <c r="AH173" s="96" t="str">
        <f t="shared" si="75"/>
        <v>"%USERPROFILE%\Documents\GitHub\eaglep3\Utilities\RefineRTDCRunTimes.py" --tripid 804-06 --locoid 4030 --swversion DE.1.0.7.0 --startMP 300:58673 --initTime 2016-10-06T06:37:00 --startdatetime 2016-10-06T06:40:01 --delay 1 --endMP 204:680 --enddatetime 2016-10-06T06:56:09 --enforcementcount 0 &gt;&gt;C:\Users\stu\Documents\GitHub\eaglep3-reporting\EC\2016-10-06-refined-times.txt</v>
      </c>
      <c r="AI173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{"issue":{"subject":"","project_id":79,"tracker_id":40,"status_id":1,"priority_id":2,"assigned_to_id":23,"start_date":"2016-10-06","description":"","custom_fields":[{"id":1,"name":"Subdivision","value":"NW"},{"id":4,"name":"Milepost","value":"0.068"},{"id":17,"name":"Train ID","value":"804-06"},{"id":16,"name":"Locomotive ID","value":"4030"},{"id":130,"name":"Impact","value":""},{"id":150,"name":"Time of Event (Mountain Time)","value":"06:56:09"},{"id":151,"name":"Denver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430</v>
      </c>
      <c r="B174" s="7">
        <v>4053</v>
      </c>
      <c r="C174" s="24" t="s">
        <v>106</v>
      </c>
      <c r="D174" s="24" t="s">
        <v>765</v>
      </c>
      <c r="E174" s="15">
        <v>42649.280011574076</v>
      </c>
      <c r="F174" s="15">
        <v>42649.285601851851</v>
      </c>
      <c r="G174" s="7">
        <v>1</v>
      </c>
      <c r="H174" s="15" t="s">
        <v>310</v>
      </c>
      <c r="I174" s="15">
        <v>42649.295057870368</v>
      </c>
      <c r="J174" s="7">
        <v>0</v>
      </c>
      <c r="K174" s="117" t="str">
        <f t="shared" si="80"/>
        <v>4053/4054</v>
      </c>
      <c r="L174" s="24" t="str">
        <f>VLOOKUP(A174,'Trips&amp;Operators'!$C$1:$E$10000,3,FALSE)</f>
        <v>YORK</v>
      </c>
      <c r="M174" s="6">
        <f t="shared" si="81"/>
        <v>9.4560185170848854E-3</v>
      </c>
      <c r="N174" s="7">
        <f t="shared" si="82"/>
        <v>13.616666664602235</v>
      </c>
      <c r="O174" s="7"/>
      <c r="P174" s="7"/>
      <c r="Q174" s="25"/>
      <c r="R174" s="25"/>
      <c r="S174" s="37">
        <f t="shared" si="83"/>
        <v>1</v>
      </c>
      <c r="T174" s="52" t="str">
        <f t="shared" si="65"/>
        <v>NorthBound</v>
      </c>
      <c r="U174" s="159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05:43:13-0600',mode:absolute,to:'2016-10-06 08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4" s="54" t="str">
        <f t="shared" si="85"/>
        <v>N</v>
      </c>
      <c r="X174" s="164">
        <f t="shared" si="91"/>
        <v>1</v>
      </c>
      <c r="Y174" s="69">
        <f t="shared" si="86"/>
        <v>0.10349999999999999</v>
      </c>
      <c r="Z174" s="69">
        <f t="shared" si="87"/>
        <v>5.8930999999999996</v>
      </c>
      <c r="AA174" s="69">
        <f t="shared" si="88"/>
        <v>5.7895999999999992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71"/>
        <v>0805-06</v>
      </c>
      <c r="AE174" s="95" t="str">
        <f t="shared" si="89"/>
        <v>aws s3 cp s3://rtdc.mdm.uploadarchive.raw/RTDC4053/ "%USERPROFILE%\AppData\Local\Temp\OnboardLogs"\RTDC4053\2016-10-06 --exclude "*" --recursive --include "*20161006*" &amp; "%USERPROFILE%\Documents\GitHub\mrs-test-scripts\Headless Mode &amp; Sideloading\WalkAndUnGZ.bat" "%USERPROFILE%\AppData\Local\Temp\OnboardLogs"\RTDC4053\2016-10-06 &amp; 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</v>
      </c>
      <c r="AF174" s="92" t="str">
        <f t="shared" si="90"/>
        <v>"C:\Program Files (x86)\AstroGrep\AstroGrep.exe" /spath="%USERPROFILE%\AppData\Local\Temp\OnboardLogs" /stypes="app*4053*20161006*" /stext=" 13:.+((SYSTEM_STATE.+slice.+state.+changed )|(ment ac)|(system.+state.+changed )|(\[timeout)|(PRM\|1\|D)|(kpr)|(kdp)|(\|lc)|(penalty))" /e /r /s</v>
      </c>
      <c r="AG174" s="1" t="str">
        <f t="shared" si="74"/>
        <v>NW</v>
      </c>
      <c r="AH174" s="96" t="str">
        <f t="shared" si="75"/>
        <v>"%USERPROFILE%\Documents\GitHub\eaglep3\Utilities\RefineRTDCRunTimes.py" --tripid 805-06 --locoid 4053 --swversion DE.1.0.7.0 --startMP 204:1035 --initTime 2016-10-06T06:43:13 --startdatetime 2016-10-06T06:51:16 --delay 1 --endMP 300:58931 --enddatetime 2016-10-06T07:04:53 --enforcementcount 0 &gt;&gt;C:\Users\stu\Documents\GitHub\eaglep3-reporting\EC\2016-10-06-refined-times.txt</v>
      </c>
      <c r="AI174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{"issue":{"subject":"","project_id":79,"tracker_id":40,"status_id":1,"priority_id":2,"assigned_to_id":23,"start_date":"2016-10-06","description":"","custom_fields":[{"id":1,"name":"Subdivision","value":"NW"},{"id":4,"name":"Milepost","value":"5.8931"},{"id":17,"name":"Train ID","value":"805-06"},{"id":16,"name":"Locomotive ID","value":"4053"},{"id":130,"name":"Impact","value":""},{"id":150,"name":"Time of Event (Mountain Time)","value":"07:04:53"},{"id":151,"name":"Denver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434</v>
      </c>
      <c r="B175" s="7">
        <v>4054</v>
      </c>
      <c r="C175" s="24" t="s">
        <v>106</v>
      </c>
      <c r="D175" s="24" t="s">
        <v>760</v>
      </c>
      <c r="E175" s="15">
        <v>42649.296377314815</v>
      </c>
      <c r="F175" s="15">
        <v>42649.299502314818</v>
      </c>
      <c r="G175" s="7">
        <v>1</v>
      </c>
      <c r="H175" s="15" t="s">
        <v>766</v>
      </c>
      <c r="I175" s="15">
        <v>42649.309745370374</v>
      </c>
      <c r="J175" s="7">
        <v>0</v>
      </c>
      <c r="K175" s="117" t="str">
        <f t="shared" si="80"/>
        <v>4053/4054</v>
      </c>
      <c r="L175" s="24" t="str">
        <f>VLOOKUP(A175,'Trips&amp;Operators'!$C$1:$E$10000,3,FALSE)</f>
        <v>YORK</v>
      </c>
      <c r="M175" s="6">
        <f t="shared" si="81"/>
        <v>1.0243055556202307E-2</v>
      </c>
      <c r="N175" s="7">
        <f t="shared" si="82"/>
        <v>14.750000000931323</v>
      </c>
      <c r="O175" s="7"/>
      <c r="P175" s="7"/>
      <c r="Q175" s="25"/>
      <c r="R175" s="25"/>
      <c r="S175" s="37">
        <f t="shared" si="83"/>
        <v>1</v>
      </c>
      <c r="T175" s="52" t="str">
        <f t="shared" si="65"/>
        <v>Southbound</v>
      </c>
      <c r="U175" s="159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06:06:47-0600',mode:absolute,to:'2016-10-06 08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5" s="54" t="str">
        <f t="shared" si="85"/>
        <v>N</v>
      </c>
      <c r="X175" s="164">
        <f t="shared" si="91"/>
        <v>1</v>
      </c>
      <c r="Y175" s="69">
        <f t="shared" si="86"/>
        <v>5.8613</v>
      </c>
      <c r="Z175" s="69">
        <f t="shared" si="87"/>
        <v>7.2700000000000001E-2</v>
      </c>
      <c r="AA175" s="69">
        <f t="shared" si="88"/>
        <v>5.7885999999999997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71"/>
        <v>0806-06</v>
      </c>
      <c r="AE175" s="95" t="str">
        <f t="shared" si="89"/>
        <v>aws s3 cp s3://rtdc.mdm.uploadarchive.raw/RTDC4054/ "%USERPROFILE%\AppData\Local\Temp\OnboardLogs"\RTDC4054\2016-10-06 --exclude "*" --recursive --include "*20161006*" &amp; "%USERPROFILE%\Documents\GitHub\mrs-test-scripts\Headless Mode &amp; Sideloading\WalkAndUnGZ.bat" "%USERPROFILE%\AppData\Local\Temp\OnboardLogs"\RTDC4054\2016-10-06 &amp; 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</v>
      </c>
      <c r="AF175" s="92" t="str">
        <f t="shared" si="90"/>
        <v>"C:\Program Files (x86)\AstroGrep\AstroGrep.exe" /spath="%USERPROFILE%\AppData\Local\Temp\OnboardLogs" /stypes="app*4054*20161006*" /stext=" 13:.+((SYSTEM_STATE.+slice.+state.+changed )|(ment ac)|(system.+state.+changed )|(\[timeout)|(PRM\|1\|D)|(kpr)|(kdp)|(\|lc)|(penalty))" /e /r /s</v>
      </c>
      <c r="AG175" s="1" t="str">
        <f t="shared" si="74"/>
        <v>NW</v>
      </c>
      <c r="AH175" s="96" t="str">
        <f t="shared" si="75"/>
        <v>"%USERPROFILE%\Documents\GitHub\eaglep3\Utilities\RefineRTDCRunTimes.py" --tripid 806-06 --locoid 4054 --swversion DE.1.0.7.0 --startMP 300:58613 --initTime 2016-10-06T07:06:47 --startdatetime 2016-10-06T07:11:17 --delay 1 --endMP 204:727 --enddatetime 2016-10-06T07:26:02 --enforcementcount 0 &gt;&gt;C:\Users\stu\Documents\GitHub\eaglep3-reporting\EC\2016-10-06-refined-times.txt</v>
      </c>
      <c r="AI175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{"issue":{"subject":"","project_id":79,"tracker_id":40,"status_id":1,"priority_id":2,"assigned_to_id":23,"start_date":"2016-10-06","description":"","custom_fields":[{"id":1,"name":"Subdivision","value":"NW"},{"id":4,"name":"Milepost","value":"0.0727"},{"id":17,"name":"Train ID","value":"806-06"},{"id":16,"name":"Locomotive ID","value":"4054"},{"id":130,"name":"Impact","value":""},{"id":150,"name":"Time of Event (Mountain Time)","value":"07:26:02"},{"id":151,"name":"Denver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436</v>
      </c>
      <c r="B176" s="7">
        <v>4029</v>
      </c>
      <c r="C176" s="24" t="s">
        <v>106</v>
      </c>
      <c r="D176" s="24" t="s">
        <v>767</v>
      </c>
      <c r="E176" s="15">
        <v>42649.304039351853</v>
      </c>
      <c r="F176" s="15">
        <v>42649.306481481479</v>
      </c>
      <c r="G176" s="7">
        <v>1</v>
      </c>
      <c r="H176" s="15" t="s">
        <v>368</v>
      </c>
      <c r="I176" s="15">
        <v>42649.315763888888</v>
      </c>
      <c r="J176" s="7">
        <v>0</v>
      </c>
      <c r="K176" s="117" t="str">
        <f t="shared" si="80"/>
        <v>4029/4030</v>
      </c>
      <c r="L176" s="24" t="str">
        <f>VLOOKUP(A176,'Trips&amp;Operators'!$C$1:$E$10000,3,FALSE)</f>
        <v>GEBRETEKLE</v>
      </c>
      <c r="M176" s="6">
        <f t="shared" si="81"/>
        <v>9.2824074090458453E-3</v>
      </c>
      <c r="N176" s="7">
        <f t="shared" si="82"/>
        <v>13.366666669026017</v>
      </c>
      <c r="O176" s="7"/>
      <c r="P176" s="7"/>
      <c r="Q176" s="25"/>
      <c r="R176" s="25"/>
      <c r="S176" s="37">
        <f t="shared" si="83"/>
        <v>1</v>
      </c>
      <c r="T176" s="52" t="str">
        <f t="shared" si="65"/>
        <v>NorthBound</v>
      </c>
      <c r="U176" s="159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06:17:49-0600',mode:absolute,to:'2016-10-06 08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6" s="54" t="str">
        <f t="shared" si="85"/>
        <v>N</v>
      </c>
      <c r="X176" s="164">
        <f t="shared" si="91"/>
        <v>1</v>
      </c>
      <c r="Y176" s="69">
        <f t="shared" si="86"/>
        <v>9.6199999999999994E-2</v>
      </c>
      <c r="Z176" s="69">
        <f t="shared" si="87"/>
        <v>5.8994999999999997</v>
      </c>
      <c r="AA176" s="69">
        <f t="shared" si="88"/>
        <v>5.8033000000000001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71"/>
        <v>0807-06</v>
      </c>
      <c r="AE176" s="95" t="str">
        <f t="shared" si="89"/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AF176" s="92" t="str">
        <f t="shared" si="90"/>
        <v>"C:\Program Files (x86)\AstroGrep\AstroGrep.exe" /spath="%USERPROFILE%\AppData\Local\Temp\OnboardLogs" /stypes="app*4029*20161006*" /stext=" 13:.+((SYSTEM_STATE.+slice.+state.+changed )|(ment ac)|(system.+state.+changed )|(\[timeout)|(PRM\|1\|D)|(kpr)|(kdp)|(\|lc)|(penalty))" /e /r /s</v>
      </c>
      <c r="AG176" s="1" t="str">
        <f t="shared" si="74"/>
        <v>NW</v>
      </c>
      <c r="AH176" s="96" t="str">
        <f t="shared" si="75"/>
        <v>"%USERPROFILE%\Documents\GitHub\eaglep3\Utilities\RefineRTDCRunTimes.py" --tripid 807-06 --locoid 4029 --swversion DE.1.0.7.0 --startMP 204:962 --initTime 2016-10-06T07:17:49 --startdatetime 2016-10-06T07:21:20 --delay 1 --endMP 300:58995 --enddatetime 2016-10-06T07:34:42 --enforcementcount 0 &gt;&gt;C:\Users\stu\Documents\GitHub\eaglep3-reporting\EC\2016-10-06-refined-times.txt</v>
      </c>
      <c r="AI176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{"issue":{"subject":"","project_id":79,"tracker_id":40,"status_id":1,"priority_id":2,"assigned_to_id":23,"start_date":"2016-10-06","description":"","custom_fields":[{"id":1,"name":"Subdivision","value":"NW"},{"id":4,"name":"Milepost","value":"5.8995"},{"id":17,"name":"Train ID","value":"807-06"},{"id":16,"name":"Locomotive ID","value":"4029"},{"id":130,"name":"Impact","value":""},{"id":150,"name":"Time of Event (Mountain Time)","value":"07:34:42"},{"id":151,"name":"Denver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441</v>
      </c>
      <c r="B177" s="7">
        <v>4030</v>
      </c>
      <c r="C177" s="24" t="s">
        <v>106</v>
      </c>
      <c r="D177" s="24" t="s">
        <v>371</v>
      </c>
      <c r="E177" s="15">
        <v>42649.317858796298</v>
      </c>
      <c r="F177" s="15">
        <v>42649.319432870368</v>
      </c>
      <c r="G177" s="7">
        <v>1</v>
      </c>
      <c r="H177" s="15" t="s">
        <v>378</v>
      </c>
      <c r="I177" s="15">
        <v>42649.330393518518</v>
      </c>
      <c r="J177" s="7">
        <v>0</v>
      </c>
      <c r="K177" s="117" t="str">
        <f t="shared" si="80"/>
        <v>4029/4030</v>
      </c>
      <c r="L177" s="24" t="str">
        <f>VLOOKUP(A177,'Trips&amp;Operators'!$C$1:$E$10000,3,FALSE)</f>
        <v>GEBRETEKLE</v>
      </c>
      <c r="M177" s="6">
        <f t="shared" si="81"/>
        <v>1.096064814919373E-2</v>
      </c>
      <c r="N177" s="7">
        <f t="shared" si="82"/>
        <v>15.783333334838971</v>
      </c>
      <c r="O177" s="7"/>
      <c r="P177" s="7"/>
      <c r="Q177" s="25"/>
      <c r="R177" s="25"/>
      <c r="S177" s="37">
        <f t="shared" si="83"/>
        <v>1</v>
      </c>
      <c r="T177" s="52" t="str">
        <f t="shared" si="65"/>
        <v>Southbound</v>
      </c>
      <c r="U177" s="159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06:37:43-0600',mode:absolute,to:'2016-10-06 08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7" s="54" t="str">
        <f t="shared" si="85"/>
        <v>N</v>
      </c>
      <c r="X177" s="164">
        <f t="shared" si="91"/>
        <v>1</v>
      </c>
      <c r="Y177" s="69">
        <f t="shared" si="86"/>
        <v>5.8677000000000001</v>
      </c>
      <c r="Z177" s="69">
        <f t="shared" si="87"/>
        <v>6.8199999999999997E-2</v>
      </c>
      <c r="AA177" s="69">
        <f t="shared" si="88"/>
        <v>5.7995000000000001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71"/>
        <v>0808-06</v>
      </c>
      <c r="AE177" s="95" t="str">
        <f t="shared" si="89"/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AF177" s="92" t="str">
        <f t="shared" si="90"/>
        <v>"C:\Program Files (x86)\AstroGrep\AstroGrep.exe" /spath="%USERPROFILE%\AppData\Local\Temp\OnboardLogs" /stypes="app*4030*20161006*" /stext=" 13:.+((SYSTEM_STATE.+slice.+state.+changed )|(ment ac)|(system.+state.+changed )|(\[timeout)|(PRM\|1\|D)|(kpr)|(kdp)|(\|lc)|(penalty))" /e /r /s</v>
      </c>
      <c r="AG177" s="1" t="str">
        <f t="shared" si="74"/>
        <v>NW</v>
      </c>
      <c r="AH177" s="96" t="str">
        <f t="shared" si="75"/>
        <v>"%USERPROFILE%\Documents\GitHub\eaglep3\Utilities\RefineRTDCRunTimes.py" --tripid 808-06 --locoid 4030 --swversion DE.1.0.7.0 --startMP 300:58677 --initTime 2016-10-06T07:37:43 --startdatetime 2016-10-06T07:39:59 --delay 1 --endMP 204:682 --enddatetime 2016-10-06T07:55:46 --enforcementcount 0 &gt;&gt;C:\Users\stu\Documents\GitHub\eaglep3-reporting\EC\2016-10-06-refined-times.txt</v>
      </c>
      <c r="AI177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{"issue":{"subject":"","project_id":79,"tracker_id":40,"status_id":1,"priority_id":2,"assigned_to_id":23,"start_date":"2016-10-06","description":"","custom_fields":[{"id":1,"name":"Subdivision","value":"NW"},{"id":4,"name":"Milepost","value":"0.0682"},{"id":17,"name":"Train ID","value":"808-06"},{"id":16,"name":"Locomotive ID","value":"4030"},{"id":130,"name":"Impact","value":""},{"id":150,"name":"Time of Event (Mountain Time)","value":"07:55:46"},{"id":151,"name":"Denver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444</v>
      </c>
      <c r="B178" s="7">
        <v>4053</v>
      </c>
      <c r="C178" s="24" t="s">
        <v>106</v>
      </c>
      <c r="D178" s="24" t="s">
        <v>768</v>
      </c>
      <c r="E178" s="15">
        <v>42649.322569444441</v>
      </c>
      <c r="F178" s="15">
        <v>42649.327280092592</v>
      </c>
      <c r="G178" s="7">
        <v>1</v>
      </c>
      <c r="H178" s="15" t="s">
        <v>311</v>
      </c>
      <c r="I178" s="15">
        <v>42649.336909722224</v>
      </c>
      <c r="J178" s="7">
        <v>0</v>
      </c>
      <c r="K178" s="117" t="str">
        <f t="shared" si="80"/>
        <v>4053/4054</v>
      </c>
      <c r="L178" s="24" t="str">
        <f>VLOOKUP(A178,'Trips&amp;Operators'!$C$1:$E$10000,3,FALSE)</f>
        <v>YORK</v>
      </c>
      <c r="M178" s="6">
        <f t="shared" si="81"/>
        <v>9.6296296323998831E-3</v>
      </c>
      <c r="N178" s="7">
        <f t="shared" si="82"/>
        <v>13.866666670655832</v>
      </c>
      <c r="O178" s="7"/>
      <c r="P178" s="7"/>
      <c r="Q178" s="25"/>
      <c r="R178" s="25"/>
      <c r="S178" s="37">
        <f t="shared" si="83"/>
        <v>1</v>
      </c>
      <c r="T178" s="52" t="str">
        <f t="shared" si="65"/>
        <v>NorthBound</v>
      </c>
      <c r="U178" s="159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06:44:30-0600',mode:absolute,to:'2016-10-06 09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8" s="54" t="str">
        <f t="shared" si="85"/>
        <v>N</v>
      </c>
      <c r="X178" s="164">
        <f t="shared" si="91"/>
        <v>1</v>
      </c>
      <c r="Y178" s="69">
        <f t="shared" si="86"/>
        <v>0.10199999999999999</v>
      </c>
      <c r="Z178" s="69">
        <f t="shared" si="87"/>
        <v>5.8929</v>
      </c>
      <c r="AA178" s="69">
        <f t="shared" si="88"/>
        <v>5.7908999999999997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71"/>
        <v>0809-06</v>
      </c>
      <c r="AE178" s="95" t="str">
        <f t="shared" si="89"/>
        <v>aws s3 cp s3://rtdc.mdm.uploadarchive.raw/RTDC4053/ "%USERPROFILE%\AppData\Local\Temp\OnboardLogs"\RTDC4053\2016-10-06 --exclude "*" --recursive --include "*20161006*" &amp; "%USERPROFILE%\Documents\GitHub\mrs-test-scripts\Headless Mode &amp; Sideloading\WalkAndUnGZ.bat" "%USERPROFILE%\AppData\Local\Temp\OnboardLogs"\RTDC4053\2016-10-06 &amp; 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</v>
      </c>
      <c r="AF178" s="92" t="str">
        <f t="shared" si="90"/>
        <v>"C:\Program Files (x86)\AstroGrep\AstroGrep.exe" /spath="%USERPROFILE%\AppData\Local\Temp\OnboardLogs" /stypes="app*4053*20161006*" /stext=" 14:.+((SYSTEM_STATE.+slice.+state.+changed )|(ment ac)|(system.+state.+changed )|(\[timeout)|(PRM\|1\|D)|(kpr)|(kdp)|(\|lc)|(penalty))" /e /r /s</v>
      </c>
      <c r="AG178" s="1" t="str">
        <f t="shared" si="74"/>
        <v>NW</v>
      </c>
      <c r="AH178" s="96" t="str">
        <f t="shared" si="75"/>
        <v>"%USERPROFILE%\Documents\GitHub\eaglep3\Utilities\RefineRTDCRunTimes.py" --tripid 809-06 --locoid 4053 --swversion DE.1.0.7.0 --startMP 204:1020 --initTime 2016-10-06T07:44:30 --startdatetime 2016-10-06T07:51:17 --delay 1 --endMP 300:58929 --enddatetime 2016-10-06T08:05:09 --enforcementcount 0 &gt;&gt;C:\Users\stu\Documents\GitHub\eaglep3-reporting\EC\2016-10-06-refined-times.txt</v>
      </c>
      <c r="AI178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{"issue":{"subject":"","project_id":79,"tracker_id":40,"status_id":1,"priority_id":2,"assigned_to_id":23,"start_date":"2016-10-06","description":"","custom_fields":[{"id":1,"name":"Subdivision","value":"NW"},{"id":4,"name":"Milepost","value":"5.8929"},{"id":17,"name":"Train ID","value":"809-06"},{"id":16,"name":"Locomotive ID","value":"4053"},{"id":130,"name":"Impact","value":""},{"id":150,"name":"Time of Event (Mountain Time)","value":"08:05:09"},{"id":151,"name":"Denver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447</v>
      </c>
      <c r="B179" s="7">
        <v>4054</v>
      </c>
      <c r="C179" s="24" t="s">
        <v>106</v>
      </c>
      <c r="D179" s="24" t="s">
        <v>760</v>
      </c>
      <c r="E179" s="15">
        <v>42649.338460648149</v>
      </c>
      <c r="F179" s="15">
        <v>42649.341122685182</v>
      </c>
      <c r="G179" s="7">
        <v>1</v>
      </c>
      <c r="H179" s="15" t="s">
        <v>769</v>
      </c>
      <c r="I179" s="15">
        <v>42649.352662037039</v>
      </c>
      <c r="J179" s="7">
        <v>0</v>
      </c>
      <c r="K179" s="117" t="str">
        <f t="shared" si="80"/>
        <v>4053/4054</v>
      </c>
      <c r="L179" s="24" t="str">
        <f>VLOOKUP(A179,'Trips&amp;Operators'!$C$1:$E$10000,3,FALSE)</f>
        <v>YORK</v>
      </c>
      <c r="M179" s="6">
        <f t="shared" si="81"/>
        <v>1.1539351857209112E-2</v>
      </c>
      <c r="N179" s="7">
        <f t="shared" si="82"/>
        <v>16.616666674381122</v>
      </c>
      <c r="O179" s="7"/>
      <c r="P179" s="7"/>
      <c r="Q179" s="25"/>
      <c r="R179" s="25"/>
      <c r="S179" s="37">
        <f t="shared" si="83"/>
        <v>1</v>
      </c>
      <c r="T179" s="52" t="str">
        <f t="shared" si="65"/>
        <v>Southbound</v>
      </c>
      <c r="U179" s="159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07:07:23-0600',mode:absolute,to:'2016-10-06 09:27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9" s="54" t="str">
        <f t="shared" si="85"/>
        <v>N</v>
      </c>
      <c r="X179" s="164">
        <f t="shared" si="91"/>
        <v>1</v>
      </c>
      <c r="Y179" s="69">
        <f t="shared" si="86"/>
        <v>5.8613</v>
      </c>
      <c r="Z179" s="69">
        <f t="shared" si="87"/>
        <v>7.5499999999999998E-2</v>
      </c>
      <c r="AA179" s="69">
        <f t="shared" si="88"/>
        <v>5.7858000000000001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71"/>
        <v>0810-06</v>
      </c>
      <c r="AE179" s="95" t="str">
        <f t="shared" si="89"/>
        <v>aws s3 cp s3://rtdc.mdm.uploadarchive.raw/RTDC4054/ "%USERPROFILE%\AppData\Local\Temp\OnboardLogs"\RTDC4054\2016-10-06 --exclude "*" --recursive --include "*20161006*" &amp; "%USERPROFILE%\Documents\GitHub\mrs-test-scripts\Headless Mode &amp; Sideloading\WalkAndUnGZ.bat" "%USERPROFILE%\AppData\Local\Temp\OnboardLogs"\RTDC4054\2016-10-06 &amp; 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</v>
      </c>
      <c r="AF179" s="92" t="str">
        <f t="shared" si="90"/>
        <v>"C:\Program Files (x86)\AstroGrep\AstroGrep.exe" /spath="%USERPROFILE%\AppData\Local\Temp\OnboardLogs" /stypes="app*4054*20161006*" /stext=" 14:.+((SYSTEM_STATE.+slice.+state.+changed )|(ment ac)|(system.+state.+changed )|(\[timeout)|(PRM\|1\|D)|(kpr)|(kdp)|(\|lc)|(penalty))" /e /r /s</v>
      </c>
      <c r="AG179" s="1" t="str">
        <f t="shared" si="74"/>
        <v>NW</v>
      </c>
      <c r="AH179" s="96" t="str">
        <f t="shared" si="75"/>
        <v>"%USERPROFILE%\Documents\GitHub\eaglep3\Utilities\RefineRTDCRunTimes.py" --tripid 810-06 --locoid 4054 --swversion DE.1.0.7.0 --startMP 300:58613 --initTime 2016-10-06T08:07:23 --startdatetime 2016-10-06T08:11:13 --delay 1 --endMP 204:755 --enddatetime 2016-10-06T08:27:50 --enforcementcount 0 &gt;&gt;C:\Users\stu\Documents\GitHub\eaglep3-reporting\EC\2016-10-06-refined-times.txt</v>
      </c>
      <c r="AI179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{"issue":{"subject":"","project_id":79,"tracker_id":40,"status_id":1,"priority_id":2,"assigned_to_id":23,"start_date":"2016-10-06","description":"","custom_fields":[{"id":1,"name":"Subdivision","value":"NW"},{"id":4,"name":"Milepost","value":"0.0755"},{"id":17,"name":"Train ID","value":"810-06"},{"id":16,"name":"Locomotive ID","value":"4054"},{"id":130,"name":"Impact","value":""},{"id":150,"name":"Time of Event (Mountain Time)","value":"08:27:50"},{"id":151,"name":"Denver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451</v>
      </c>
      <c r="B180" s="7">
        <v>4029</v>
      </c>
      <c r="C180" s="24" t="s">
        <v>106</v>
      </c>
      <c r="D180" s="24" t="s">
        <v>380</v>
      </c>
      <c r="E180" s="15">
        <v>42649.345914351848</v>
      </c>
      <c r="F180" s="15">
        <v>42649.348090277781</v>
      </c>
      <c r="G180" s="7">
        <v>1</v>
      </c>
      <c r="H180" s="15" t="s">
        <v>770</v>
      </c>
      <c r="I180" s="15">
        <v>42649.357604166667</v>
      </c>
      <c r="J180" s="7">
        <v>0</v>
      </c>
      <c r="K180" s="117" t="str">
        <f t="shared" si="80"/>
        <v>4029/4030</v>
      </c>
      <c r="L180" s="24" t="str">
        <f>VLOOKUP(A180,'Trips&amp;Operators'!$C$1:$E$10000,3,FALSE)</f>
        <v>GEBRETEKLE</v>
      </c>
      <c r="M180" s="6">
        <f t="shared" si="81"/>
        <v>9.5138888864312321E-3</v>
      </c>
      <c r="N180" s="7">
        <f t="shared" si="82"/>
        <v>13.699999996460974</v>
      </c>
      <c r="O180" s="7"/>
      <c r="P180" s="7"/>
      <c r="Q180" s="25"/>
      <c r="R180" s="25"/>
      <c r="S180" s="37">
        <f t="shared" si="83"/>
        <v>1</v>
      </c>
      <c r="T180" s="52" t="str">
        <f t="shared" si="65"/>
        <v>NorthBound</v>
      </c>
      <c r="U180" s="159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07:18:07-0600',mode:absolute,to:'2016-10-06 09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0" s="54" t="str">
        <f t="shared" si="85"/>
        <v>N</v>
      </c>
      <c r="X180" s="164">
        <f t="shared" si="91"/>
        <v>1</v>
      </c>
      <c r="Y180" s="69">
        <f t="shared" si="86"/>
        <v>9.8799999999999999E-2</v>
      </c>
      <c r="Z180" s="69">
        <f t="shared" si="87"/>
        <v>5.9009999999999998</v>
      </c>
      <c r="AA180" s="69">
        <f t="shared" si="88"/>
        <v>5.8022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71"/>
        <v>0811-06</v>
      </c>
      <c r="AE180" s="95" t="str">
        <f t="shared" si="89"/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AF180" s="92" t="str">
        <f t="shared" si="90"/>
        <v>"C:\Program Files (x86)\AstroGrep\AstroGrep.exe" /spath="%USERPROFILE%\AppData\Local\Temp\OnboardLogs" /stypes="app*4029*20161006*" /stext=" 14:.+((SYSTEM_STATE.+slice.+state.+changed )|(ment ac)|(system.+state.+changed )|(\[timeout)|(PRM\|1\|D)|(kpr)|(kdp)|(\|lc)|(penalty))" /e /r /s</v>
      </c>
      <c r="AG180" s="1" t="str">
        <f t="shared" si="74"/>
        <v>NW</v>
      </c>
      <c r="AH180" s="96" t="str">
        <f t="shared" si="75"/>
        <v>"%USERPROFILE%\Documents\GitHub\eaglep3\Utilities\RefineRTDCRunTimes.py" --tripid 811-06 --locoid 4029 --swversion DE.1.0.7.0 --startMP 204:988 --initTime 2016-10-06T08:18:07 --startdatetime 2016-10-06T08:21:15 --delay 1 --endMP 300:59010 --enddatetime 2016-10-06T08:34:57 --enforcementcount 0 &gt;&gt;C:\Users\stu\Documents\GitHub\eaglep3-reporting\EC\2016-10-06-refined-times.txt</v>
      </c>
      <c r="AI180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{"issue":{"subject":"","project_id":79,"tracker_id":40,"status_id":1,"priority_id":2,"assigned_to_id":23,"start_date":"2016-10-06","description":"","custom_fields":[{"id":1,"name":"Subdivision","value":"NW"},{"id":4,"name":"Milepost","value":"5.901"},{"id":17,"name":"Train ID","value":"811-06"},{"id":16,"name":"Locomotive ID","value":"4029"},{"id":130,"name":"Impact","value":""},{"id":150,"name":"Time of Event (Mountain Time)","value":"08:34:57"},{"id":151,"name":"Denver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455</v>
      </c>
      <c r="B181" s="7">
        <v>4030</v>
      </c>
      <c r="C181" s="24" t="s">
        <v>106</v>
      </c>
      <c r="D181" s="24" t="s">
        <v>771</v>
      </c>
      <c r="E181" s="15">
        <v>42649.359120370369</v>
      </c>
      <c r="F181" s="15">
        <v>42649.361608796295</v>
      </c>
      <c r="G181" s="7">
        <v>1</v>
      </c>
      <c r="H181" s="15" t="s">
        <v>772</v>
      </c>
      <c r="I181" s="15">
        <v>42649.376168981478</v>
      </c>
      <c r="J181" s="7">
        <v>0</v>
      </c>
      <c r="K181" s="117" t="str">
        <f t="shared" si="80"/>
        <v>4029/4030</v>
      </c>
      <c r="L181" s="24" t="str">
        <f>VLOOKUP(A181,'Trips&amp;Operators'!$C$1:$E$10000,3,FALSE)</f>
        <v>GEBRETEKLE</v>
      </c>
      <c r="M181" s="6">
        <f t="shared" si="81"/>
        <v>1.4560185183654539E-2</v>
      </c>
      <c r="N181" s="7">
        <f t="shared" si="82"/>
        <v>20.966666664462537</v>
      </c>
      <c r="O181" s="7"/>
      <c r="P181" s="7"/>
      <c r="Q181" s="25"/>
      <c r="R181" s="25"/>
      <c r="S181" s="37">
        <f t="shared" si="83"/>
        <v>1</v>
      </c>
      <c r="T181" s="52" t="str">
        <f t="shared" si="65"/>
        <v>Southbound</v>
      </c>
      <c r="U181" s="159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07:37:08-0600',mode:absolute,to:'2016-10-06 10:01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1" s="54" t="str">
        <f t="shared" si="85"/>
        <v>N</v>
      </c>
      <c r="X181" s="164">
        <f t="shared" si="91"/>
        <v>1</v>
      </c>
      <c r="Y181" s="69">
        <f t="shared" si="86"/>
        <v>5.8693999999999997</v>
      </c>
      <c r="Z181" s="69">
        <f t="shared" si="87"/>
        <v>6.9800000000000001E-2</v>
      </c>
      <c r="AA181" s="69">
        <f t="shared" si="88"/>
        <v>5.7995999999999999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71"/>
        <v>0812-06</v>
      </c>
      <c r="AE181" s="95" t="str">
        <f t="shared" si="89"/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AF181" s="92" t="str">
        <f t="shared" si="90"/>
        <v>"C:\Program Files (x86)\AstroGrep\AstroGrep.exe" /spath="%USERPROFILE%\AppData\Local\Temp\OnboardLogs" /stypes="app*4030*20161006*" /stext=" 15:.+((SYSTEM_STATE.+slice.+state.+changed )|(ment ac)|(system.+state.+changed )|(\[timeout)|(PRM\|1\|D)|(kpr)|(kdp)|(\|lc)|(penalty))" /e /r /s</v>
      </c>
      <c r="AG181" s="1" t="str">
        <f t="shared" si="74"/>
        <v>NW</v>
      </c>
      <c r="AH181" s="96" t="str">
        <f t="shared" si="75"/>
        <v>"%USERPROFILE%\Documents\GitHub\eaglep3\Utilities\RefineRTDCRunTimes.py" --tripid 812-06 --locoid 4030 --swversion DE.1.0.7.0 --startMP 300:58694 --initTime 2016-10-06T08:37:08 --startdatetime 2016-10-06T08:40:43 --delay 1 --endMP 204:698 --enddatetime 2016-10-06T09:01:41 --enforcementcount 0 &gt;&gt;C:\Users\stu\Documents\GitHub\eaglep3-reporting\EC\2016-10-06-refined-times.txt</v>
      </c>
      <c r="AI181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{"issue":{"subject":"","project_id":79,"tracker_id":40,"status_id":1,"priority_id":2,"assigned_to_id":23,"start_date":"2016-10-06","description":"","custom_fields":[{"id":1,"name":"Subdivision","value":"NW"},{"id":4,"name":"Milepost","value":"0.0698"},{"id":17,"name":"Train ID","value":"812-06"},{"id":16,"name":"Locomotive ID","value":"4030"},{"id":130,"name":"Impact","value":""},{"id":150,"name":"Time of Event (Mountain Time)","value":"09:01:41"},{"id":151,"name":"Denver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461</v>
      </c>
      <c r="B182" s="7">
        <v>4029</v>
      </c>
      <c r="C182" s="24" t="s">
        <v>106</v>
      </c>
      <c r="D182" s="24" t="s">
        <v>773</v>
      </c>
      <c r="E182" s="15">
        <v>42649.387314814812</v>
      </c>
      <c r="F182" s="15">
        <v>42649.389745370368</v>
      </c>
      <c r="G182" s="7">
        <v>1</v>
      </c>
      <c r="H182" s="15" t="s">
        <v>774</v>
      </c>
      <c r="I182" s="15">
        <v>42649.399560185186</v>
      </c>
      <c r="J182" s="7">
        <v>0</v>
      </c>
      <c r="K182" s="117" t="str">
        <f t="shared" si="80"/>
        <v>4029/4030</v>
      </c>
      <c r="L182" s="24" t="str">
        <f>VLOOKUP(A182,'Trips&amp;Operators'!$C$1:$E$10000,3,FALSE)</f>
        <v>GEBRETEKLE</v>
      </c>
      <c r="M182" s="6">
        <f t="shared" si="81"/>
        <v>9.8148148172185756E-3</v>
      </c>
      <c r="N182" s="7">
        <f t="shared" si="82"/>
        <v>14.133333336794749</v>
      </c>
      <c r="O182" s="7"/>
      <c r="P182" s="7"/>
      <c r="Q182" s="25"/>
      <c r="R182" s="25"/>
      <c r="S182" s="37">
        <f t="shared" si="83"/>
        <v>1</v>
      </c>
      <c r="T182" s="52" t="str">
        <f t="shared" si="65"/>
        <v>NorthBound</v>
      </c>
      <c r="U182" s="159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08:17:44-0600',mode:absolute,to:'2016-10-06 10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2" s="54" t="str">
        <f t="shared" si="85"/>
        <v>N</v>
      </c>
      <c r="X182" s="164">
        <f t="shared" si="91"/>
        <v>1</v>
      </c>
      <c r="Y182" s="69">
        <f t="shared" si="86"/>
        <v>9.8299999999999998E-2</v>
      </c>
      <c r="Z182" s="69">
        <f t="shared" si="87"/>
        <v>5.8963000000000001</v>
      </c>
      <c r="AA182" s="69">
        <f t="shared" si="88"/>
        <v>5.798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71"/>
        <v>0813-06</v>
      </c>
      <c r="AE182" s="95" t="str">
        <f t="shared" si="89"/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AF182" s="92" t="str">
        <f t="shared" si="90"/>
        <v>"C:\Program Files (x86)\AstroGrep\AstroGrep.exe" /spath="%USERPROFILE%\AppData\Local\Temp\OnboardLogs" /stypes="app*4029*20161006*" /stext=" 15:.+((SYSTEM_STATE.+slice.+state.+changed )|(ment ac)|(system.+state.+changed )|(\[timeout)|(PRM\|1\|D)|(kpr)|(kdp)|(\|lc)|(penalty))" /e /r /s</v>
      </c>
      <c r="AG182" s="1" t="str">
        <f t="shared" si="74"/>
        <v>NW</v>
      </c>
      <c r="AH182" s="96" t="str">
        <f t="shared" si="75"/>
        <v>"%USERPROFILE%\Documents\GitHub\eaglep3\Utilities\RefineRTDCRunTimes.py" --tripid 813-06 --locoid 4029 --swversion DE.1.0.7.0 --startMP 204:983 --initTime 2016-10-06T09:17:44 --startdatetime 2016-10-06T09:21:14 --delay 1 --endMP 300:58963 --enddatetime 2016-10-06T09:35:22 --enforcementcount 0 &gt;&gt;C:\Users\stu\Documents\GitHub\eaglep3-reporting\EC\2016-10-06-refined-times.txt</v>
      </c>
      <c r="AI182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{"issue":{"subject":"","project_id":79,"tracker_id":40,"status_id":1,"priority_id":2,"assigned_to_id":23,"start_date":"2016-10-06","description":"","custom_fields":[{"id":1,"name":"Subdivision","value":"NW"},{"id":4,"name":"Milepost","value":"5.8963"},{"id":17,"name":"Train ID","value":"813-06"},{"id":16,"name":"Locomotive ID","value":"4029"},{"id":130,"name":"Impact","value":""},{"id":150,"name":"Time of Event (Mountain Time)","value":"09:35:22"},{"id":151,"name":"Denver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466</v>
      </c>
      <c r="B183" s="7">
        <v>4030</v>
      </c>
      <c r="C183" s="24" t="s">
        <v>106</v>
      </c>
      <c r="D183" s="24" t="s">
        <v>775</v>
      </c>
      <c r="E183" s="15">
        <v>42649.400856481479</v>
      </c>
      <c r="F183" s="15">
        <v>42649.402789351851</v>
      </c>
      <c r="G183" s="7">
        <v>2</v>
      </c>
      <c r="H183" s="15" t="s">
        <v>313</v>
      </c>
      <c r="I183" s="15">
        <v>42649.415162037039</v>
      </c>
      <c r="J183" s="7">
        <v>0</v>
      </c>
      <c r="K183" s="117" t="str">
        <f t="shared" si="80"/>
        <v>4029/4030</v>
      </c>
      <c r="L183" s="24" t="str">
        <f>VLOOKUP(A183,'Trips&amp;Operators'!$C$1:$E$10000,3,FALSE)</f>
        <v>GEBRETEKLE</v>
      </c>
      <c r="M183" s="6">
        <f t="shared" si="81"/>
        <v>1.2372685188893229E-2</v>
      </c>
      <c r="N183" s="7">
        <f t="shared" si="82"/>
        <v>17.816666672006249</v>
      </c>
      <c r="O183" s="7"/>
      <c r="P183" s="7"/>
      <c r="Q183" s="25"/>
      <c r="R183" s="25"/>
      <c r="S183" s="37">
        <f t="shared" si="83"/>
        <v>1</v>
      </c>
      <c r="T183" s="52" t="str">
        <f t="shared" si="65"/>
        <v>Southbound</v>
      </c>
      <c r="U183" s="159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08:37:14-0600',mode:absolute,to:'2016-10-06 10:57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3" s="54" t="str">
        <f t="shared" si="85"/>
        <v>N</v>
      </c>
      <c r="X183" s="164">
        <f t="shared" si="91"/>
        <v>1</v>
      </c>
      <c r="Y183" s="69">
        <f t="shared" si="86"/>
        <v>5.8563999999999998</v>
      </c>
      <c r="Z183" s="69">
        <f t="shared" si="87"/>
        <v>6.8699999999999997E-2</v>
      </c>
      <c r="AA183" s="69">
        <f t="shared" si="88"/>
        <v>5.7877000000000001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71"/>
        <v>0814-06</v>
      </c>
      <c r="AE183" s="95" t="str">
        <f t="shared" si="89"/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AF183" s="92" t="str">
        <f t="shared" si="90"/>
        <v>"C:\Program Files (x86)\AstroGrep\AstroGrep.exe" /spath="%USERPROFILE%\AppData\Local\Temp\OnboardLogs" /stypes="app*4030*20161006*" /stext=" 15:.+((SYSTEM_STATE.+slice.+state.+changed )|(ment ac)|(system.+state.+changed )|(\[timeout)|(PRM\|1\|D)|(kpr)|(kdp)|(\|lc)|(penalty))" /e /r /s</v>
      </c>
      <c r="AG183" s="1" t="str">
        <f t="shared" si="74"/>
        <v>NW</v>
      </c>
      <c r="AH183" s="96" t="str">
        <f t="shared" si="75"/>
        <v>"%USERPROFILE%\Documents\GitHub\eaglep3\Utilities\RefineRTDCRunTimes.py" --tripid 814-06 --locoid 4030 --swversion DE.1.0.7.0 --startMP 300:58564 --initTime 2016-10-06T09:37:14 --startdatetime 2016-10-06T09:40:01 --delay 2 --endMP 204:687 --enddatetime 2016-10-06T09:57:50 --enforcementcount 0 &gt;&gt;C:\Users\stu\Documents\GitHub\eaglep3-reporting\EC\2016-10-06-refined-times.txt</v>
      </c>
      <c r="AI183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{"issue":{"subject":"","project_id":79,"tracker_id":40,"status_id":1,"priority_id":2,"assigned_to_id":23,"start_date":"2016-10-06","description":"","custom_fields":[{"id":1,"name":"Subdivision","value":"NW"},{"id":4,"name":"Milepost","value":"0.0687"},{"id":17,"name":"Train ID","value":"814-06"},{"id":16,"name":"Locomotive ID","value":"4030"},{"id":130,"name":"Impact","value":""},{"id":150,"name":"Time of Event (Mountain Time)","value":"09:57:50"},{"id":151,"name":"Denver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472</v>
      </c>
      <c r="B184" s="7">
        <v>4029</v>
      </c>
      <c r="C184" s="24" t="s">
        <v>106</v>
      </c>
      <c r="D184" s="24" t="s">
        <v>370</v>
      </c>
      <c r="E184" s="15">
        <v>42649.429270833331</v>
      </c>
      <c r="F184" s="15">
        <v>42649.431423611109</v>
      </c>
      <c r="G184" s="7">
        <v>1</v>
      </c>
      <c r="H184" s="15" t="s">
        <v>376</v>
      </c>
      <c r="I184" s="15">
        <v>42649.440995370373</v>
      </c>
      <c r="J184" s="7">
        <v>0</v>
      </c>
      <c r="K184" s="117" t="str">
        <f t="shared" si="80"/>
        <v>4029/4030</v>
      </c>
      <c r="L184" s="24" t="str">
        <f>VLOOKUP(A184,'Trips&amp;Operators'!$C$1:$E$10000,3,FALSE)</f>
        <v>GEBRETEKLE</v>
      </c>
      <c r="M184" s="6">
        <f t="shared" si="81"/>
        <v>9.5717592630535364E-3</v>
      </c>
      <c r="N184" s="7">
        <f t="shared" si="82"/>
        <v>13.783333338797092</v>
      </c>
      <c r="O184" s="7"/>
      <c r="P184" s="7"/>
      <c r="Q184" s="25"/>
      <c r="R184" s="25"/>
      <c r="S184" s="37">
        <f t="shared" si="83"/>
        <v>1</v>
      </c>
      <c r="T184" s="52" t="str">
        <f t="shared" si="65"/>
        <v>NorthBound</v>
      </c>
      <c r="U184" s="159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09:18:09-0600',mode:absolute,to:'2016-10-06 11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4" s="54" t="str">
        <f t="shared" si="85"/>
        <v>N</v>
      </c>
      <c r="X184" s="164">
        <f t="shared" si="91"/>
        <v>1</v>
      </c>
      <c r="Y184" s="69">
        <f t="shared" si="86"/>
        <v>9.6500000000000002E-2</v>
      </c>
      <c r="Z184" s="69">
        <f t="shared" si="87"/>
        <v>5.8983999999999996</v>
      </c>
      <c r="AA184" s="69">
        <f t="shared" si="88"/>
        <v>5.8018999999999998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71"/>
        <v>0815-06</v>
      </c>
      <c r="AE184" s="95" t="str">
        <f t="shared" si="89"/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AF184" s="92" t="str">
        <f t="shared" si="90"/>
        <v>"C:\Program Files (x86)\AstroGrep\AstroGrep.exe" /spath="%USERPROFILE%\AppData\Local\Temp\OnboardLogs" /stypes="app*4029*20161006*" /stext=" 16:.+((SYSTEM_STATE.+slice.+state.+changed )|(ment ac)|(system.+state.+changed )|(\[timeout)|(PRM\|1\|D)|(kpr)|(kdp)|(\|lc)|(penalty))" /e /r /s</v>
      </c>
      <c r="AG184" s="1" t="str">
        <f t="shared" si="74"/>
        <v>NW</v>
      </c>
      <c r="AH184" s="96" t="str">
        <f t="shared" si="75"/>
        <v>"%USERPROFILE%\Documents\GitHub\eaglep3\Utilities\RefineRTDCRunTimes.py" --tripid 815-06 --locoid 4029 --swversion DE.1.0.7.0 --startMP 204:965 --initTime 2016-10-06T10:18:09 --startdatetime 2016-10-06T10:21:15 --delay 1 --endMP 300:58984 --enddatetime 2016-10-06T10:35:02 --enforcementcount 0 &gt;&gt;C:\Users\stu\Documents\GitHub\eaglep3-reporting\EC\2016-10-06-refined-times.txt</v>
      </c>
      <c r="AI184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{"issue":{"subject":"","project_id":79,"tracker_id":40,"status_id":1,"priority_id":2,"assigned_to_id":23,"start_date":"2016-10-06","description":"","custom_fields":[{"id":1,"name":"Subdivision","value":"NW"},{"id":4,"name":"Milepost","value":"5.8984"},{"id":17,"name":"Train ID","value":"815-06"},{"id":16,"name":"Locomotive ID","value":"4029"},{"id":130,"name":"Impact","value":""},{"id":150,"name":"Time of Event (Mountain Time)","value":"10:35:02"},{"id":151,"name":"Denver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479</v>
      </c>
      <c r="B185" s="7">
        <v>4030</v>
      </c>
      <c r="C185" s="24" t="s">
        <v>106</v>
      </c>
      <c r="D185" s="24" t="s">
        <v>384</v>
      </c>
      <c r="E185" s="15">
        <v>42649.442349537036</v>
      </c>
      <c r="F185" s="15">
        <v>42649.443993055553</v>
      </c>
      <c r="G185" s="7">
        <v>1</v>
      </c>
      <c r="H185" s="15" t="s">
        <v>293</v>
      </c>
      <c r="I185" s="15">
        <v>42649.455717592595</v>
      </c>
      <c r="J185" s="7">
        <v>0</v>
      </c>
      <c r="K185" s="117" t="str">
        <f t="shared" si="80"/>
        <v>4029/4030</v>
      </c>
      <c r="L185" s="24" t="str">
        <f>VLOOKUP(A185,'Trips&amp;Operators'!$C$1:$E$10000,3,FALSE)</f>
        <v>GEBRETEKLE</v>
      </c>
      <c r="M185" s="6">
        <f t="shared" si="81"/>
        <v>1.1724537042027805E-2</v>
      </c>
      <c r="N185" s="7">
        <f t="shared" si="82"/>
        <v>16.883333340520039</v>
      </c>
      <c r="O185" s="7"/>
      <c r="P185" s="7"/>
      <c r="Q185" s="25"/>
      <c r="R185" s="25"/>
      <c r="S185" s="37">
        <f t="shared" si="83"/>
        <v>1</v>
      </c>
      <c r="T185" s="52" t="str">
        <f t="shared" si="65"/>
        <v>Southbound</v>
      </c>
      <c r="U185" s="159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09:36:59-0600',mode:absolute,to:'2016-10-06 11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5" s="54" t="str">
        <f t="shared" si="85"/>
        <v>N</v>
      </c>
      <c r="X185" s="164">
        <f t="shared" si="91"/>
        <v>1</v>
      </c>
      <c r="Y185" s="69">
        <f t="shared" si="86"/>
        <v>5.8667999999999996</v>
      </c>
      <c r="Z185" s="69">
        <f t="shared" si="87"/>
        <v>7.1199999999999999E-2</v>
      </c>
      <c r="AA185" s="69">
        <f t="shared" si="88"/>
        <v>5.7955999999999994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71"/>
        <v>0816-06</v>
      </c>
      <c r="AE185" s="95" t="str">
        <f t="shared" si="89"/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AF185" s="92" t="str">
        <f t="shared" si="90"/>
        <v>"C:\Program Files (x86)\AstroGrep\AstroGrep.exe" /spath="%USERPROFILE%\AppData\Local\Temp\OnboardLogs" /stypes="app*4030*20161006*" /stext=" 16:.+((SYSTEM_STATE.+slice.+state.+changed )|(ment ac)|(system.+state.+changed )|(\[timeout)|(PRM\|1\|D)|(kpr)|(kdp)|(\|lc)|(penalty))" /e /r /s</v>
      </c>
      <c r="AG185" s="1" t="str">
        <f t="shared" si="74"/>
        <v>NW</v>
      </c>
      <c r="AH185" s="96" t="str">
        <f t="shared" si="75"/>
        <v>"%USERPROFILE%\Documents\GitHub\eaglep3\Utilities\RefineRTDCRunTimes.py" --tripid 816-06 --locoid 4030 --swversion DE.1.0.7.0 --startMP 300:58668 --initTime 2016-10-06T10:36:59 --startdatetime 2016-10-06T10:39:21 --delay 1 --endMP 204:712 --enddatetime 2016-10-06T10:56:14 --enforcementcount 0 &gt;&gt;C:\Users\stu\Documents\GitHub\eaglep3-reporting\EC\2016-10-06-refined-times.txt</v>
      </c>
      <c r="AI185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{"issue":{"subject":"","project_id":79,"tracker_id":40,"status_id":1,"priority_id":2,"assigned_to_id":23,"start_date":"2016-10-06","description":"","custom_fields":[{"id":1,"name":"Subdivision","value":"NW"},{"id":4,"name":"Milepost","value":"0.0712"},{"id":17,"name":"Train ID","value":"816-06"},{"id":16,"name":"Locomotive ID","value":"4030"},{"id":130,"name":"Impact","value":""},{"id":150,"name":"Time of Event (Mountain Time)","value":"10:56:14"},{"id":151,"name":"Denver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s="23" customFormat="1" x14ac:dyDescent="0.25">
      <c r="A186" s="39" t="s">
        <v>487</v>
      </c>
      <c r="B186" s="7">
        <v>4029</v>
      </c>
      <c r="C186" s="24" t="s">
        <v>106</v>
      </c>
      <c r="D186" s="24" t="s">
        <v>379</v>
      </c>
      <c r="E186" s="15">
        <v>42649.469942129632</v>
      </c>
      <c r="F186" s="15">
        <v>42649.473113425927</v>
      </c>
      <c r="G186" s="7">
        <v>1</v>
      </c>
      <c r="H186" s="15" t="s">
        <v>776</v>
      </c>
      <c r="I186" s="15">
        <v>42649.48364583333</v>
      </c>
      <c r="J186" s="7">
        <v>0</v>
      </c>
      <c r="K186" s="117" t="str">
        <f t="shared" si="80"/>
        <v>4029/4030</v>
      </c>
      <c r="L186" s="24" t="str">
        <f>VLOOKUP(A186,'Trips&amp;Operators'!$C$1:$E$10000,3,FALSE)</f>
        <v>GEBRETEKLE</v>
      </c>
      <c r="M186" s="6">
        <f t="shared" si="81"/>
        <v>1.0532407402934041E-2</v>
      </c>
      <c r="N186" s="7">
        <f t="shared" si="82"/>
        <v>15.166666660225019</v>
      </c>
      <c r="O186" s="7"/>
      <c r="P186" s="7"/>
      <c r="Q186" s="25"/>
      <c r="R186" s="25"/>
      <c r="S186" s="37">
        <f t="shared" si="83"/>
        <v>1</v>
      </c>
      <c r="T186" s="52" t="str">
        <f t="shared" si="65"/>
        <v>NorthBound</v>
      </c>
      <c r="U186" s="159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10:16:43-0600',mode:absolute,to:'2016-10-06 12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6" s="54" t="str">
        <f t="shared" si="85"/>
        <v>N</v>
      </c>
      <c r="X186" s="164">
        <f t="shared" si="91"/>
        <v>1</v>
      </c>
      <c r="Y186" s="69">
        <f t="shared" si="86"/>
        <v>9.8599999999999993E-2</v>
      </c>
      <c r="Z186" s="69">
        <f t="shared" si="87"/>
        <v>5.8992000000000004</v>
      </c>
      <c r="AA186" s="69">
        <f t="shared" si="88"/>
        <v>5.8006000000000002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71"/>
        <v>0817-06</v>
      </c>
      <c r="AE186" s="95" t="str">
        <f t="shared" si="89"/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AF186" s="92" t="str">
        <f t="shared" si="90"/>
        <v>"C:\Program Files (x86)\AstroGrep\AstroGrep.exe" /spath="%USERPROFILE%\AppData\Local\Temp\OnboardLogs" /stypes="app*4029*20161006*" /stext=" 17:.+((SYSTEM_STATE.+slice.+state.+changed )|(ment ac)|(system.+state.+changed )|(\[timeout)|(PRM\|1\|D)|(kpr)|(kdp)|(\|lc)|(penalty))" /e /r /s</v>
      </c>
      <c r="AG186" s="1" t="str">
        <f t="shared" si="74"/>
        <v>NW</v>
      </c>
      <c r="AH186" s="96" t="str">
        <f t="shared" si="75"/>
        <v>"%USERPROFILE%\Documents\GitHub\eaglep3\Utilities\RefineRTDCRunTimes.py" --tripid 817-06 --locoid 4029 --swversion DE.1.0.7.0 --startMP 204:986 --initTime 2016-10-06T11:16:43 --startdatetime 2016-10-06T11:21:17 --delay 1 --endMP 300:58992 --enddatetime 2016-10-06T11:36:27 --enforcementcount 0 &gt;&gt;C:\Users\stu\Documents\GitHub\eaglep3-reporting\EC\2016-10-06-refined-times.txt</v>
      </c>
      <c r="AI186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{"issue":{"subject":"","project_id":79,"tracker_id":40,"status_id":1,"priority_id":2,"assigned_to_id":23,"start_date":"2016-10-06","description":"","custom_fields":[{"id":1,"name":"Subdivision","value":"NW"},{"id":4,"name":"Milepost","value":"5.8992"},{"id":17,"name":"Train ID","value":"817-06"},{"id":16,"name":"Locomotive ID","value":"4029"},{"id":130,"name":"Impact","value":""},{"id":150,"name":"Time of Event (Mountain Time)","value":"11:36:27"},{"id":151,"name":"Denver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492</v>
      </c>
      <c r="B187" s="7">
        <v>4030</v>
      </c>
      <c r="C187" s="24" t="s">
        <v>106</v>
      </c>
      <c r="D187" s="24" t="s">
        <v>777</v>
      </c>
      <c r="E187" s="15">
        <v>42649.484814814816</v>
      </c>
      <c r="F187" s="15">
        <v>42649.486817129633</v>
      </c>
      <c r="G187" s="7">
        <v>2</v>
      </c>
      <c r="H187" s="15" t="s">
        <v>369</v>
      </c>
      <c r="I187" s="15">
        <v>42649.497708333336</v>
      </c>
      <c r="J187" s="7">
        <v>0</v>
      </c>
      <c r="K187" s="117" t="str">
        <f t="shared" si="80"/>
        <v>4029/4030</v>
      </c>
      <c r="L187" s="24" t="str">
        <f>VLOOKUP(A187,'Trips&amp;Operators'!$C$1:$E$10000,3,FALSE)</f>
        <v>GEBRETEKLE</v>
      </c>
      <c r="M187" s="6">
        <f t="shared" si="81"/>
        <v>1.0891203703067731E-2</v>
      </c>
      <c r="N187" s="7">
        <f t="shared" si="82"/>
        <v>15.683333332417533</v>
      </c>
      <c r="O187" s="7"/>
      <c r="P187" s="7"/>
      <c r="Q187" s="25"/>
      <c r="R187" s="25"/>
      <c r="S187" s="37">
        <f t="shared" si="83"/>
        <v>1</v>
      </c>
      <c r="T187" s="52" t="str">
        <f t="shared" si="65"/>
        <v>Southbound</v>
      </c>
      <c r="U187" s="159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10:38:08-0600',mode:absolute,to:'2016-10-06 12:56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7" s="54" t="str">
        <f t="shared" si="85"/>
        <v>N</v>
      </c>
      <c r="X187" s="164">
        <f t="shared" si="91"/>
        <v>1</v>
      </c>
      <c r="Y187" s="69">
        <f t="shared" si="86"/>
        <v>5.8604000000000003</v>
      </c>
      <c r="Z187" s="69">
        <f t="shared" si="87"/>
        <v>6.9099999999999995E-2</v>
      </c>
      <c r="AA187" s="69">
        <f t="shared" si="88"/>
        <v>5.7913000000000006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71"/>
        <v>0818-06</v>
      </c>
      <c r="AE187" s="95" t="str">
        <f t="shared" si="89"/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AF187" s="92" t="str">
        <f t="shared" si="90"/>
        <v>"C:\Program Files (x86)\AstroGrep\AstroGrep.exe" /spath="%USERPROFILE%\AppData\Local\Temp\OnboardLogs" /stypes="app*4030*20161006*" /stext=" 17:.+((SYSTEM_STATE.+slice.+state.+changed )|(ment ac)|(system.+state.+changed )|(\[timeout)|(PRM\|1\|D)|(kpr)|(kdp)|(\|lc)|(penalty))" /e /r /s</v>
      </c>
      <c r="AG187" s="1" t="str">
        <f t="shared" si="74"/>
        <v>NW</v>
      </c>
      <c r="AH187" s="96" t="str">
        <f t="shared" si="75"/>
        <v>"%USERPROFILE%\Documents\GitHub\eaglep3\Utilities\RefineRTDCRunTimes.py" --tripid 818-06 --locoid 4030 --swversion DE.1.0.7.0 --startMP 300:58604 --initTime 2016-10-06T11:38:08 --startdatetime 2016-10-06T11:41:01 --delay 2 --endMP 204:691 --enddatetime 2016-10-06T11:56:42 --enforcementcount 0 &gt;&gt;C:\Users\stu\Documents\GitHub\eaglep3-reporting\EC\2016-10-06-refined-times.txt</v>
      </c>
      <c r="AI187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{"issue":{"subject":"","project_id":79,"tracker_id":40,"status_id":1,"priority_id":2,"assigned_to_id":23,"start_date":"2016-10-06","description":"","custom_fields":[{"id":1,"name":"Subdivision","value":"NW"},{"id":4,"name":"Milepost","value":"0.0691"},{"id":17,"name":"Train ID","value":"818-06"},{"id":16,"name":"Locomotive ID","value":"4030"},{"id":130,"name":"Impact","value":""},{"id":150,"name":"Time of Event (Mountain Time)","value":"11:56:42"},{"id":151,"name":"Denver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499</v>
      </c>
      <c r="B188" s="7">
        <v>4029</v>
      </c>
      <c r="C188" s="24" t="s">
        <v>106</v>
      </c>
      <c r="D188" s="24" t="s">
        <v>778</v>
      </c>
      <c r="E188" s="15">
        <v>42649.511550925927</v>
      </c>
      <c r="F188" s="15">
        <v>42649.514745370368</v>
      </c>
      <c r="G188" s="7">
        <v>1</v>
      </c>
      <c r="H188" s="15" t="s">
        <v>368</v>
      </c>
      <c r="I188" s="15">
        <v>42649.524675925924</v>
      </c>
      <c r="J188" s="7">
        <v>0</v>
      </c>
      <c r="K188" s="117" t="str">
        <f t="shared" si="80"/>
        <v>4029/4030</v>
      </c>
      <c r="L188" s="24" t="str">
        <f>VLOOKUP(A188,'Trips&amp;Operators'!$C$1:$E$10000,3,FALSE)</f>
        <v>GEBRETEKLE</v>
      </c>
      <c r="M188" s="6">
        <f t="shared" si="81"/>
        <v>9.930555555911269E-3</v>
      </c>
      <c r="N188" s="7">
        <f t="shared" si="82"/>
        <v>14.300000000512227</v>
      </c>
      <c r="O188" s="7"/>
      <c r="P188" s="7"/>
      <c r="Q188" s="25"/>
      <c r="R188" s="25"/>
      <c r="S188" s="37">
        <f t="shared" si="83"/>
        <v>1</v>
      </c>
      <c r="T188" s="52" t="str">
        <f t="shared" si="65"/>
        <v>NorthBound</v>
      </c>
      <c r="U188" s="159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11:16:38-0600',mode:absolute,to:'2016-10-06 13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8" s="54" t="str">
        <f t="shared" si="85"/>
        <v>N</v>
      </c>
      <c r="X188" s="164">
        <f t="shared" si="91"/>
        <v>1</v>
      </c>
      <c r="Y188" s="69">
        <f t="shared" si="86"/>
        <v>9.7900000000000001E-2</v>
      </c>
      <c r="Z188" s="69">
        <f t="shared" si="87"/>
        <v>5.8994999999999997</v>
      </c>
      <c r="AA188" s="69">
        <f t="shared" si="88"/>
        <v>5.8015999999999996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71"/>
        <v>0819-06</v>
      </c>
      <c r="AE188" s="95" t="str">
        <f t="shared" si="89"/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AF188" s="92" t="str">
        <f t="shared" si="90"/>
        <v>"C:\Program Files (x86)\AstroGrep\AstroGrep.exe" /spath="%USERPROFILE%\AppData\Local\Temp\OnboardLogs" /stypes="app*4029*20161006*" /stext=" 18:.+((SYSTEM_STATE.+slice.+state.+changed )|(ment ac)|(system.+state.+changed )|(\[timeout)|(PRM\|1\|D)|(kpr)|(kdp)|(\|lc)|(penalty))" /e /r /s</v>
      </c>
      <c r="AG188" s="1" t="str">
        <f t="shared" si="74"/>
        <v>NW</v>
      </c>
      <c r="AH188" s="96" t="str">
        <f t="shared" si="75"/>
        <v>"%USERPROFILE%\Documents\GitHub\eaglep3\Utilities\RefineRTDCRunTimes.py" --tripid 819-06 --locoid 4029 --swversion DE.1.0.7.0 --startMP 204:979 --initTime 2016-10-06T12:16:38 --startdatetime 2016-10-06T12:21:14 --delay 1 --endMP 300:58995 --enddatetime 2016-10-06T12:35:32 --enforcementcount 0 &gt;&gt;C:\Users\stu\Documents\GitHub\eaglep3-reporting\EC\2016-10-06-refined-times.txt</v>
      </c>
      <c r="AI188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{"issue":{"subject":"","project_id":79,"tracker_id":40,"status_id":1,"priority_id":2,"assigned_to_id":23,"start_date":"2016-10-06","description":"","custom_fields":[{"id":1,"name":"Subdivision","value":"NW"},{"id":4,"name":"Milepost","value":"5.8995"},{"id":17,"name":"Train ID","value":"819-06"},{"id":16,"name":"Locomotive ID","value":"4029"},{"id":130,"name":"Impact","value":""},{"id":150,"name":"Time of Event (Mountain Time)","value":"12:35:32"},{"id":151,"name":"Denver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503</v>
      </c>
      <c r="B189" s="7">
        <v>4030</v>
      </c>
      <c r="C189" s="24" t="s">
        <v>106</v>
      </c>
      <c r="D189" s="24" t="s">
        <v>381</v>
      </c>
      <c r="E189" s="15">
        <v>42649.526018518518</v>
      </c>
      <c r="F189" s="15">
        <v>42649.527013888888</v>
      </c>
      <c r="G189" s="7">
        <v>1</v>
      </c>
      <c r="H189" s="15" t="s">
        <v>779</v>
      </c>
      <c r="I189" s="15">
        <v>42649.528333333335</v>
      </c>
      <c r="J189" s="7">
        <v>0</v>
      </c>
      <c r="K189" s="117" t="str">
        <f t="shared" si="80"/>
        <v>4029/4030</v>
      </c>
      <c r="L189" s="24" t="str">
        <f>VLOOKUP(A189,'Trips&amp;Operators'!$C$1:$E$10000,3,FALSE)</f>
        <v>GEBRETEKLE</v>
      </c>
      <c r="M189" s="6">
        <f t="shared" si="81"/>
        <v>1.3194444472901523E-3</v>
      </c>
      <c r="N189" s="7"/>
      <c r="O189" s="7"/>
      <c r="P189" s="7">
        <f>24*60*SUM($M189:$M189)</f>
        <v>1.9000000040978193</v>
      </c>
      <c r="Q189" s="25"/>
      <c r="R189" s="25" t="s">
        <v>267</v>
      </c>
      <c r="S189" s="37">
        <f t="shared" si="83"/>
        <v>1</v>
      </c>
      <c r="T189" s="52" t="str">
        <f t="shared" si="65"/>
        <v>Southbound</v>
      </c>
      <c r="U189" s="159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11:37:28-0600',mode:absolute,to:'2016-10-06 13:40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9" s="54" t="str">
        <f t="shared" si="85"/>
        <v>N</v>
      </c>
      <c r="X189" s="164">
        <f t="shared" ref="X189:X194" si="92">VALUE(LEFT(AD189,4))-VALUE(LEFT(AD188,4))</f>
        <v>1</v>
      </c>
      <c r="Y189" s="69">
        <f t="shared" si="86"/>
        <v>5.8674999999999997</v>
      </c>
      <c r="Z189" s="69">
        <f t="shared" si="87"/>
        <v>7.3099999999999998E-2</v>
      </c>
      <c r="AA189" s="69">
        <f t="shared" si="88"/>
        <v>5.7943999999999996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71"/>
        <v>0820-06</v>
      </c>
      <c r="AE189" s="95" t="str">
        <f t="shared" si="89"/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AF189" s="92" t="str">
        <f t="shared" si="90"/>
        <v>"C:\Program Files (x86)\AstroGrep\AstroGrep.exe" /spath="%USERPROFILE%\AppData\Local\Temp\OnboardLogs" /stypes="app*4030*20161006*" /stext=" 18:.+((SYSTEM_STATE.+slice.+state.+changed )|(ment ac)|(system.+state.+changed )|(\[timeout)|(PRM\|1\|D)|(kpr)|(kdp)|(\|lc)|(penalty))" /e /r /s</v>
      </c>
      <c r="AG189" s="1" t="str">
        <f t="shared" si="74"/>
        <v>NW</v>
      </c>
      <c r="AH189" s="96" t="str">
        <f t="shared" si="75"/>
        <v>"%USERPROFILE%\Documents\GitHub\eaglep3\Utilities\RefineRTDCRunTimes.py" --tripid 820-06 --locoid 4030 --swversion DE.1.0.7.0 --startMP 300:58675 --initTime 2016-10-06T12:37:28 --startdatetime 2016-10-06T12:38:54 --delay 1 --endMP 204:731 --enddatetime 2016-10-06T12:40:48 --enforcementcount 0 &gt;&gt;C:\Users\stu\Documents\GitHub\eaglep3-reporting\EC\2016-10-06-refined-times.txt</v>
      </c>
      <c r="AI189" s="130" t="str">
        <f t="shared" si="76"/>
        <v>echo {"issue":{"subject":"Onboard in-route failure","project_id":79,"tracker_id":40,"status_id":1,"priority_id":2,"assigned_to_id":23,"start_date":"2016-10-06","description":"2016-10-06 12:40:55 - Multiple CPU Faults","custom_fields":[{"id":1,"name":"Subdivision","value":"NW"},{"id":4,"name":"Milepost","value":"0.0731"},{"id":17,"name":"Train ID","value":"820-06"},{"id":16,"name":"Locomotive ID","value":"4030"},{"id":130,"name":"Impact","value":"Failed State"},{"id":150,"name":"Time of Event (Mountain Time)","value":"12:40:48"},{"id":151,"name":"Denver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89" s="55" t="s">
        <v>836</v>
      </c>
      <c r="AK189" s="55" t="s">
        <v>137</v>
      </c>
      <c r="AL189" s="55" t="s">
        <v>207</v>
      </c>
    </row>
    <row r="190" spans="1:38" x14ac:dyDescent="0.25">
      <c r="A190" s="39" t="s">
        <v>509</v>
      </c>
      <c r="B190" s="7">
        <v>4029</v>
      </c>
      <c r="C190" s="24" t="s">
        <v>106</v>
      </c>
      <c r="D190" s="24" t="s">
        <v>312</v>
      </c>
      <c r="E190" s="15">
        <v>42649.554907407408</v>
      </c>
      <c r="F190" s="15">
        <v>42649.559699074074</v>
      </c>
      <c r="G190" s="7">
        <v>2</v>
      </c>
      <c r="H190" s="15" t="s">
        <v>386</v>
      </c>
      <c r="I190" s="15">
        <v>42649.570034722223</v>
      </c>
      <c r="J190" s="7">
        <v>0</v>
      </c>
      <c r="K190" s="117" t="str">
        <f t="shared" si="80"/>
        <v>4029/4030</v>
      </c>
      <c r="L190" s="24" t="str">
        <f>VLOOKUP(A190,'Trips&amp;Operators'!$C$1:$E$10000,3,FALSE)</f>
        <v>PUGH</v>
      </c>
      <c r="M190" s="6">
        <f t="shared" si="81"/>
        <v>1.0335648148611654E-2</v>
      </c>
      <c r="N190" s="7">
        <f t="shared" ref="N190:N221" si="93">24*60*SUM($M190:$M190)</f>
        <v>14.883333334000781</v>
      </c>
      <c r="O190" s="7"/>
      <c r="P190" s="7"/>
      <c r="Q190" s="25"/>
      <c r="R190" s="25"/>
      <c r="S190" s="37">
        <f t="shared" si="83"/>
        <v>1</v>
      </c>
      <c r="T190" s="52" t="str">
        <f t="shared" si="65"/>
        <v>NorthBound</v>
      </c>
      <c r="U190" s="159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12:19:04-0600',mode:absolute,to:'2016-10-06 14:40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0" s="54" t="str">
        <f t="shared" si="85"/>
        <v>N</v>
      </c>
      <c r="X190" s="164">
        <f t="shared" si="92"/>
        <v>1</v>
      </c>
      <c r="Y190" s="69">
        <f t="shared" si="86"/>
        <v>9.7199999999999995E-2</v>
      </c>
      <c r="Z190" s="69">
        <f t="shared" si="87"/>
        <v>5.8948</v>
      </c>
      <c r="AA190" s="69">
        <f t="shared" si="88"/>
        <v>5.7976000000000001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71"/>
        <v>0821-06</v>
      </c>
      <c r="AE190" s="95" t="str">
        <f t="shared" si="89"/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AF190" s="92" t="str">
        <f t="shared" si="90"/>
        <v>"C:\Program Files (x86)\AstroGrep\AstroGrep.exe" /spath="%USERPROFILE%\AppData\Local\Temp\OnboardLogs" /stypes="app*4029*20161006*" /stext=" 19:.+((SYSTEM_STATE.+slice.+state.+changed )|(ment ac)|(system.+state.+changed )|(\[timeout)|(PRM\|1\|D)|(kpr)|(kdp)|(\|lc)|(penalty))" /e /r /s</v>
      </c>
      <c r="AG190" s="1" t="str">
        <f t="shared" si="74"/>
        <v>NW</v>
      </c>
      <c r="AH190" s="96" t="str">
        <f t="shared" si="75"/>
        <v>"%USERPROFILE%\Documents\GitHub\eaglep3\Utilities\RefineRTDCRunTimes.py" --tripid 821-06 --locoid 4029 --swversion DE.1.0.7.0 --startMP 204:972 --initTime 2016-10-06T13:19:04 --startdatetime 2016-10-06T13:25:58 --delay 2 --endMP 300:58948 --enddatetime 2016-10-06T13:40:51 --enforcementcount 0 &gt;&gt;C:\Users\stu\Documents\GitHub\eaglep3-reporting\EC\2016-10-06-refined-times.txt</v>
      </c>
      <c r="AI190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{"issue":{"subject":"","project_id":79,"tracker_id":40,"status_id":1,"priority_id":2,"assigned_to_id":23,"start_date":"2016-10-06","description":"","custom_fields":[{"id":1,"name":"Subdivision","value":"NW"},{"id":4,"name":"Milepost","value":"5.8948"},{"id":17,"name":"Train ID","value":"821-06"},{"id":16,"name":"Locomotive ID","value":"4029"},{"id":130,"name":"Impact","value":""},{"id":150,"name":"Time of Event (Mountain Time)","value":"13:40:51"},{"id":151,"name":"Denver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515</v>
      </c>
      <c r="B191" s="7">
        <v>4030</v>
      </c>
      <c r="C191" s="24" t="s">
        <v>106</v>
      </c>
      <c r="D191" s="24" t="s">
        <v>780</v>
      </c>
      <c r="E191" s="15">
        <v>42649.571377314816</v>
      </c>
      <c r="F191" s="15">
        <v>42649.573692129627</v>
      </c>
      <c r="G191" s="7">
        <v>1</v>
      </c>
      <c r="H191" s="15" t="s">
        <v>779</v>
      </c>
      <c r="I191" s="15">
        <v>42649.583831018521</v>
      </c>
      <c r="J191" s="7">
        <v>0</v>
      </c>
      <c r="K191" s="117" t="str">
        <f t="shared" si="80"/>
        <v>4029/4030</v>
      </c>
      <c r="L191" s="24" t="str">
        <f>VLOOKUP(A191,'Trips&amp;Operators'!$C$1:$E$10000,3,FALSE)</f>
        <v>PUGH</v>
      </c>
      <c r="M191" s="6">
        <f t="shared" si="81"/>
        <v>1.0138888894289266E-2</v>
      </c>
      <c r="N191" s="7">
        <f t="shared" si="93"/>
        <v>14.600000007776543</v>
      </c>
      <c r="O191" s="7"/>
      <c r="P191" s="7"/>
      <c r="Q191" s="25"/>
      <c r="R191" s="25"/>
      <c r="S191" s="37">
        <f t="shared" si="83"/>
        <v>1</v>
      </c>
      <c r="T191" s="52" t="str">
        <f t="shared" si="65"/>
        <v>Southbound</v>
      </c>
      <c r="U191" s="159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12:42:47-0600',mode:absolute,to:'2016-10-06 15:00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1" s="54" t="str">
        <f t="shared" si="85"/>
        <v>N</v>
      </c>
      <c r="X191" s="164">
        <f t="shared" si="92"/>
        <v>1</v>
      </c>
      <c r="Y191" s="69">
        <f t="shared" si="86"/>
        <v>5.8635999999999999</v>
      </c>
      <c r="Z191" s="69">
        <f t="shared" si="87"/>
        <v>7.3099999999999998E-2</v>
      </c>
      <c r="AA191" s="69">
        <f t="shared" si="88"/>
        <v>5.7904999999999998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71"/>
        <v>0822-06</v>
      </c>
      <c r="AE191" s="95" t="str">
        <f t="shared" si="89"/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AF191" s="92" t="str">
        <f t="shared" si="90"/>
        <v>"C:\Program Files (x86)\AstroGrep\AstroGrep.exe" /spath="%USERPROFILE%\AppData\Local\Temp\OnboardLogs" /stypes="app*4030*20161006*" /stext=" 20:.+((SYSTEM_STATE.+slice.+state.+changed )|(ment ac)|(system.+state.+changed )|(\[timeout)|(PRM\|1\|D)|(kpr)|(kdp)|(\|lc)|(penalty))" /e /r /s</v>
      </c>
      <c r="AG191" s="1" t="str">
        <f t="shared" si="74"/>
        <v>NW</v>
      </c>
      <c r="AH191" s="96" t="str">
        <f t="shared" si="75"/>
        <v>"%USERPROFILE%\Documents\GitHub\eaglep3\Utilities\RefineRTDCRunTimes.py" --tripid 822-06 --locoid 4030 --swversion DE.1.0.7.0 --startMP 300:58636 --initTime 2016-10-06T13:42:47 --startdatetime 2016-10-06T13:46:07 --delay 1 --endMP 204:731 --enddatetime 2016-10-06T14:00:43 --enforcementcount 0 &gt;&gt;C:\Users\stu\Documents\GitHub\eaglep3-reporting\EC\2016-10-06-refined-times.txt</v>
      </c>
      <c r="AI191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{"issue":{"subject":"","project_id":79,"tracker_id":40,"status_id":1,"priority_id":2,"assigned_to_id":23,"start_date":"2016-10-06","description":"","custom_fields":[{"id":1,"name":"Subdivision","value":"NW"},{"id":4,"name":"Milepost","value":"0.0731"},{"id":17,"name":"Train ID","value":"822-06"},{"id":16,"name":"Locomotive ID","value":"4030"},{"id":130,"name":"Impact","value":""},{"id":150,"name":"Time of Event (Mountain Time)","value":"14:00:43"},{"id":151,"name":"Denver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s="23" customFormat="1" x14ac:dyDescent="0.25">
      <c r="A192" s="39" t="s">
        <v>520</v>
      </c>
      <c r="B192" s="7">
        <v>4029</v>
      </c>
      <c r="C192" s="24" t="s">
        <v>106</v>
      </c>
      <c r="D192" s="24" t="s">
        <v>781</v>
      </c>
      <c r="E192" s="15">
        <v>42649.596759259257</v>
      </c>
      <c r="F192" s="15">
        <v>42649.59883101852</v>
      </c>
      <c r="G192" s="7">
        <v>1</v>
      </c>
      <c r="H192" s="15" t="s">
        <v>782</v>
      </c>
      <c r="I192" s="15">
        <v>42649.609710648147</v>
      </c>
      <c r="J192" s="7">
        <v>0</v>
      </c>
      <c r="K192" s="117" t="str">
        <f t="shared" si="80"/>
        <v>4029/4030</v>
      </c>
      <c r="L192" s="24" t="str">
        <f>VLOOKUP(A192,'Trips&amp;Operators'!$C$1:$E$10000,3,FALSE)</f>
        <v>PUGH</v>
      </c>
      <c r="M192" s="6">
        <f t="shared" si="81"/>
        <v>1.0879629626288079E-2</v>
      </c>
      <c r="N192" s="7">
        <f t="shared" si="93"/>
        <v>15.666666661854833</v>
      </c>
      <c r="O192" s="7"/>
      <c r="P192" s="7"/>
      <c r="Q192" s="25"/>
      <c r="R192" s="25"/>
      <c r="S192" s="37">
        <f t="shared" si="83"/>
        <v>1</v>
      </c>
      <c r="T192" s="52" t="str">
        <f t="shared" si="65"/>
        <v>NorthBound</v>
      </c>
      <c r="U192" s="159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13:19:20-0600',mode:absolute,to:'2016-10-06 15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2" s="54" t="str">
        <f t="shared" si="85"/>
        <v>N</v>
      </c>
      <c r="X192" s="164">
        <f t="shared" si="92"/>
        <v>1</v>
      </c>
      <c r="Y192" s="69">
        <f t="shared" si="86"/>
        <v>0.1007</v>
      </c>
      <c r="Z192" s="69">
        <f t="shared" si="87"/>
        <v>5.8954000000000004</v>
      </c>
      <c r="AA192" s="69">
        <f t="shared" si="88"/>
        <v>5.7947000000000006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71"/>
        <v>0823-06</v>
      </c>
      <c r="AE192" s="95" t="str">
        <f t="shared" si="89"/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AF192" s="92" t="str">
        <f t="shared" si="90"/>
        <v>"C:\Program Files (x86)\AstroGrep\AstroGrep.exe" /spath="%USERPROFILE%\AppData\Local\Temp\OnboardLogs" /stypes="app*4029*20161006*" /stext=" 20:.+((SYSTEM_STATE.+slice.+state.+changed )|(ment ac)|(system.+state.+changed )|(\[timeout)|(PRM\|1\|D)|(kpr)|(kdp)|(\|lc)|(penalty))" /e /r /s</v>
      </c>
      <c r="AG192" s="1" t="str">
        <f t="shared" si="74"/>
        <v>NW</v>
      </c>
      <c r="AH192" s="96" t="str">
        <f t="shared" si="75"/>
        <v>"%USERPROFILE%\Documents\GitHub\eaglep3\Utilities\RefineRTDCRunTimes.py" --tripid 823-06 --locoid 4029 --swversion DE.1.0.7.0 --startMP 204:1007 --initTime 2016-10-06T14:19:20 --startdatetime 2016-10-06T14:22:19 --delay 1 --endMP 300:58954 --enddatetime 2016-10-06T14:37:59 --enforcementcount 0 &gt;&gt;C:\Users\stu\Documents\GitHub\eaglep3-reporting\EC\2016-10-06-refined-times.txt</v>
      </c>
      <c r="AI192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{"issue":{"subject":"","project_id":79,"tracker_id":40,"status_id":1,"priority_id":2,"assigned_to_id":23,"start_date":"2016-10-06","description":"","custom_fields":[{"id":1,"name":"Subdivision","value":"NW"},{"id":4,"name":"Milepost","value":"5.8954"},{"id":17,"name":"Train ID","value":"823-06"},{"id":16,"name":"Locomotive ID","value":"4029"},{"id":130,"name":"Impact","value":""},{"id":150,"name":"Time of Event (Mountain Time)","value":"14:37:59"},{"id":151,"name":"Denver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525</v>
      </c>
      <c r="B193" s="7">
        <v>4030</v>
      </c>
      <c r="C193" s="24" t="s">
        <v>106</v>
      </c>
      <c r="D193" s="24" t="s">
        <v>783</v>
      </c>
      <c r="E193" s="15">
        <v>42649.611238425925</v>
      </c>
      <c r="F193" s="15">
        <v>42649.61341435185</v>
      </c>
      <c r="G193" s="7">
        <v>1</v>
      </c>
      <c r="H193" s="15" t="s">
        <v>784</v>
      </c>
      <c r="I193" s="15">
        <v>42649.622291666667</v>
      </c>
      <c r="J193" s="7">
        <v>0</v>
      </c>
      <c r="K193" s="117" t="str">
        <f t="shared" si="80"/>
        <v>4029/4030</v>
      </c>
      <c r="L193" s="24" t="str">
        <f>VLOOKUP(A193,'Trips&amp;Operators'!$C$1:$E$10000,3,FALSE)</f>
        <v>PUGH</v>
      </c>
      <c r="M193" s="6">
        <f t="shared" si="81"/>
        <v>8.8773148163454607E-3</v>
      </c>
      <c r="N193" s="7">
        <f t="shared" si="93"/>
        <v>12.783333335537463</v>
      </c>
      <c r="O193" s="7"/>
      <c r="P193" s="7"/>
      <c r="Q193" s="25"/>
      <c r="R193" s="25"/>
      <c r="S193" s="37">
        <f t="shared" si="83"/>
        <v>1</v>
      </c>
      <c r="T193" s="52" t="str">
        <f t="shared" si="65"/>
        <v>Southbound</v>
      </c>
      <c r="U193" s="159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13:40:11-0600',mode:absolute,to:'2016-10-06 15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3" s="54" t="str">
        <f t="shared" si="85"/>
        <v>N</v>
      </c>
      <c r="X193" s="164">
        <f t="shared" si="92"/>
        <v>1</v>
      </c>
      <c r="Y193" s="69">
        <f t="shared" si="86"/>
        <v>5.8647</v>
      </c>
      <c r="Z193" s="69">
        <f t="shared" si="87"/>
        <v>7.2400000000000006E-2</v>
      </c>
      <c r="AA193" s="69">
        <f t="shared" si="88"/>
        <v>5.7923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71"/>
        <v>0824-06</v>
      </c>
      <c r="AE193" s="95" t="str">
        <f t="shared" si="89"/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AF193" s="92" t="str">
        <f t="shared" si="90"/>
        <v>"C:\Program Files (x86)\AstroGrep\AstroGrep.exe" /spath="%USERPROFILE%\AppData\Local\Temp\OnboardLogs" /stypes="app*4030*20161006*" /stext=" 20:.+((SYSTEM_STATE.+slice.+state.+changed )|(ment ac)|(system.+state.+changed )|(\[timeout)|(PRM\|1\|D)|(kpr)|(kdp)|(\|lc)|(penalty))" /e /r /s</v>
      </c>
      <c r="AG193" s="1" t="str">
        <f t="shared" si="74"/>
        <v>NW</v>
      </c>
      <c r="AH193" s="96" t="str">
        <f t="shared" si="75"/>
        <v>"%USERPROFILE%\Documents\GitHub\eaglep3\Utilities\RefineRTDCRunTimes.py" --tripid 824-06 --locoid 4030 --swversion DE.1.0.7.0 --startMP 300:58647 --initTime 2016-10-06T14:40:11 --startdatetime 2016-10-06T14:43:19 --delay 1 --endMP 204:724 --enddatetime 2016-10-06T14:56:06 --enforcementcount 0 &gt;&gt;C:\Users\stu\Documents\GitHub\eaglep3-reporting\EC\2016-10-06-refined-times.txt</v>
      </c>
      <c r="AI193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{"issue":{"subject":"","project_id":79,"tracker_id":40,"status_id":1,"priority_id":2,"assigned_to_id":23,"start_date":"2016-10-06","description":"","custom_fields":[{"id":1,"name":"Subdivision","value":"NW"},{"id":4,"name":"Milepost","value":"0.0724"},{"id":17,"name":"Train ID","value":"824-06"},{"id":16,"name":"Locomotive ID","value":"4030"},{"id":130,"name":"Impact","value":""},{"id":150,"name":"Time of Event (Mountain Time)","value":"14:56:06"},{"id":151,"name":"Denver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528</v>
      </c>
      <c r="B194" s="7">
        <v>4029</v>
      </c>
      <c r="C194" s="24" t="s">
        <v>106</v>
      </c>
      <c r="D194" s="24" t="s">
        <v>315</v>
      </c>
      <c r="E194" s="15">
        <v>42649.628576388888</v>
      </c>
      <c r="F194" s="15">
        <v>42649.640057870369</v>
      </c>
      <c r="G194" s="7">
        <v>1</v>
      </c>
      <c r="H194" s="15" t="s">
        <v>785</v>
      </c>
      <c r="I194" s="15">
        <v>42649.649259259262</v>
      </c>
      <c r="J194" s="7">
        <v>0</v>
      </c>
      <c r="K194" s="117" t="str">
        <f t="shared" si="80"/>
        <v>4029/4030</v>
      </c>
      <c r="L194" s="24" t="str">
        <f>VLOOKUP(A194,'Trips&amp;Operators'!$C$1:$E$10000,3,FALSE)</f>
        <v>PUGH</v>
      </c>
      <c r="M194" s="6">
        <f t="shared" si="81"/>
        <v>9.2013888934161514E-3</v>
      </c>
      <c r="N194" s="7">
        <f t="shared" si="93"/>
        <v>13.250000006519258</v>
      </c>
      <c r="O194" s="7"/>
      <c r="P194" s="7"/>
      <c r="Q194" s="25"/>
      <c r="R194" s="25"/>
      <c r="S194" s="37">
        <f t="shared" si="83"/>
        <v>1</v>
      </c>
      <c r="T194" s="52" t="str">
        <f t="shared" si="65"/>
        <v>NorthBound</v>
      </c>
      <c r="U194" s="159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14:05:09-0600',mode:absolute,to:'2016-10-06 16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4" s="54" t="str">
        <f t="shared" si="85"/>
        <v>N</v>
      </c>
      <c r="X194" s="164">
        <f t="shared" si="92"/>
        <v>1</v>
      </c>
      <c r="Y194" s="69">
        <f t="shared" si="86"/>
        <v>0.1016</v>
      </c>
      <c r="Z194" s="69">
        <f t="shared" si="87"/>
        <v>5.8943000000000003</v>
      </c>
      <c r="AA194" s="69">
        <f t="shared" si="88"/>
        <v>5.7927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71"/>
        <v>0825-06</v>
      </c>
      <c r="AE194" s="95" t="str">
        <f t="shared" si="89"/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AF194" s="92" t="str">
        <f t="shared" si="90"/>
        <v>"C:\Program Files (x86)\AstroGrep\AstroGrep.exe" /spath="%USERPROFILE%\AppData\Local\Temp\OnboardLogs" /stypes="app*4029*20161006*" /stext=" 21:.+((SYSTEM_STATE.+slice.+state.+changed )|(ment ac)|(system.+state.+changed )|(\[timeout)|(PRM\|1\|D)|(kpr)|(kdp)|(\|lc)|(penalty))" /e /r /s</v>
      </c>
      <c r="AG194" s="1" t="str">
        <f t="shared" si="74"/>
        <v>NW</v>
      </c>
      <c r="AH194" s="96" t="str">
        <f t="shared" si="75"/>
        <v>"%USERPROFILE%\Documents\GitHub\eaglep3\Utilities\RefineRTDCRunTimes.py" --tripid 825-06 --locoid 4029 --swversion DE.1.0.7.0 --startMP 204:1016 --initTime 2016-10-06T15:05:09 --startdatetime 2016-10-06T15:21:41 --delay 1 --endMP 300:58943 --enddatetime 2016-10-06T15:34:56 --enforcementcount 0 &gt;&gt;C:\Users\stu\Documents\GitHub\eaglep3-reporting\EC\2016-10-06-refined-times.txt</v>
      </c>
      <c r="AI194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{"issue":{"subject":"","project_id":79,"tracker_id":40,"status_id":1,"priority_id":2,"assigned_to_id":23,"start_date":"2016-10-06","description":"","custom_fields":[{"id":1,"name":"Subdivision","value":"NW"},{"id":4,"name":"Milepost","value":"5.8943"},{"id":17,"name":"Train ID","value":"825-06"},{"id":16,"name":"Locomotive ID","value":"4029"},{"id":130,"name":"Impact","value":""},{"id":150,"name":"Time of Event (Mountain Time)","value":"15:34:56"},{"id":151,"name":"Denver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534</v>
      </c>
      <c r="B195" s="7">
        <v>4030</v>
      </c>
      <c r="C195" s="24" t="s">
        <v>106</v>
      </c>
      <c r="D195" s="24" t="s">
        <v>385</v>
      </c>
      <c r="E195" s="15">
        <v>42649.650578703702</v>
      </c>
      <c r="F195" s="15">
        <v>42649.652361111112</v>
      </c>
      <c r="G195" s="7">
        <v>1</v>
      </c>
      <c r="H195" s="15" t="s">
        <v>786</v>
      </c>
      <c r="I195" s="15">
        <v>42649.66574074074</v>
      </c>
      <c r="J195" s="7">
        <v>0</v>
      </c>
      <c r="K195" s="117" t="str">
        <f t="shared" si="80"/>
        <v>4029/4030</v>
      </c>
      <c r="L195" s="24" t="str">
        <f>VLOOKUP(A195,'Trips&amp;Operators'!$C$1:$E$10000,3,FALSE)</f>
        <v>PUGH</v>
      </c>
      <c r="M195" s="6">
        <f t="shared" si="81"/>
        <v>1.3379629628616385E-2</v>
      </c>
      <c r="N195" s="7">
        <f t="shared" si="93"/>
        <v>19.266666665207595</v>
      </c>
      <c r="O195" s="7"/>
      <c r="P195" s="7"/>
      <c r="Q195" s="25"/>
      <c r="R195" s="25"/>
      <c r="S195" s="37">
        <f t="shared" si="83"/>
        <v>1</v>
      </c>
      <c r="T195" s="52" t="str">
        <f t="shared" si="65"/>
        <v>Southbound</v>
      </c>
      <c r="U195" s="159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14:36:50-0600',mode:absolute,to:'2016-10-06 16:58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5" s="54" t="str">
        <f t="shared" si="85"/>
        <v>N</v>
      </c>
      <c r="X195" s="164">
        <f t="shared" ref="X195:X207" si="94">VALUE(LEFT(AD195,4))-VALUE(LEFT(AD194,4))</f>
        <v>1</v>
      </c>
      <c r="Y195" s="69">
        <f t="shared" si="86"/>
        <v>5.8640999999999996</v>
      </c>
      <c r="Z195" s="69">
        <f t="shared" si="87"/>
        <v>7.3599999999999999E-2</v>
      </c>
      <c r="AA195" s="69">
        <f t="shared" si="88"/>
        <v>5.7904999999999998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71"/>
        <v>0826-06</v>
      </c>
      <c r="AE195" s="95" t="str">
        <f t="shared" si="89"/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AF195" s="92" t="str">
        <f t="shared" si="90"/>
        <v>"C:\Program Files (x86)\AstroGrep\AstroGrep.exe" /spath="%USERPROFILE%\AppData\Local\Temp\OnboardLogs" /stypes="app*4030*20161006*" /stext=" 21:.+((SYSTEM_STATE.+slice.+state.+changed )|(ment ac)|(system.+state.+changed )|(\[timeout)|(PRM\|1\|D)|(kpr)|(kdp)|(\|lc)|(penalty))" /e /r /s</v>
      </c>
      <c r="AG195" s="1" t="str">
        <f t="shared" si="74"/>
        <v>NW</v>
      </c>
      <c r="AH195" s="96" t="str">
        <f t="shared" si="75"/>
        <v>"%USERPROFILE%\Documents\GitHub\eaglep3\Utilities\RefineRTDCRunTimes.py" --tripid 826-06 --locoid 4030 --swversion DE.1.0.7.0 --startMP 300:58641 --initTime 2016-10-06T15:36:50 --startdatetime 2016-10-06T15:39:24 --delay 1 --endMP 204:736 --enddatetime 2016-10-06T15:58:40 --enforcementcount 0 &gt;&gt;C:\Users\stu\Documents\GitHub\eaglep3-reporting\EC\2016-10-06-refined-times.txt</v>
      </c>
      <c r="AI195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{"issue":{"subject":"","project_id":79,"tracker_id":40,"status_id":1,"priority_id":2,"assigned_to_id":23,"start_date":"2016-10-06","description":"","custom_fields":[{"id":1,"name":"Subdivision","value":"NW"},{"id":4,"name":"Milepost","value":"0.0736"},{"id":17,"name":"Train ID","value":"826-06"},{"id":16,"name":"Locomotive ID","value":"4030"},{"id":130,"name":"Impact","value":""},{"id":150,"name":"Time of Event (Mountain Time)","value":"15:58:40"},{"id":151,"name":"Denver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536</v>
      </c>
      <c r="B196" s="7">
        <v>4053</v>
      </c>
      <c r="C196" s="24" t="s">
        <v>106</v>
      </c>
      <c r="D196" s="24" t="s">
        <v>787</v>
      </c>
      <c r="E196" s="15">
        <v>42649.657094907408</v>
      </c>
      <c r="F196" s="15">
        <v>42649.66064814815</v>
      </c>
      <c r="G196" s="7">
        <v>1</v>
      </c>
      <c r="H196" s="15" t="s">
        <v>788</v>
      </c>
      <c r="I196" s="15">
        <v>42649.669641203705</v>
      </c>
      <c r="J196" s="7">
        <v>0</v>
      </c>
      <c r="K196" s="117" t="str">
        <f t="shared" si="80"/>
        <v>4053/4054</v>
      </c>
      <c r="L196" s="24" t="str">
        <f>VLOOKUP(A196,'Trips&amp;Operators'!$C$1:$E$10000,3,FALSE)</f>
        <v>YANAI</v>
      </c>
      <c r="M196" s="6">
        <f t="shared" si="81"/>
        <v>8.9930555550381541E-3</v>
      </c>
      <c r="N196" s="7">
        <f t="shared" si="93"/>
        <v>12.949999999254942</v>
      </c>
      <c r="O196" s="7"/>
      <c r="P196" s="7"/>
      <c r="Q196" s="25"/>
      <c r="R196" s="25"/>
      <c r="S196" s="37">
        <f t="shared" si="83"/>
        <v>1</v>
      </c>
      <c r="T196" s="52" t="str">
        <f t="shared" si="65"/>
        <v>NorthBound</v>
      </c>
      <c r="U196" s="159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14:46:13-0600',mode:absolute,to:'2016-10-06 17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6" s="54" t="str">
        <f t="shared" si="85"/>
        <v>N</v>
      </c>
      <c r="X196" s="164">
        <f t="shared" si="94"/>
        <v>1</v>
      </c>
      <c r="Y196" s="69">
        <f t="shared" si="86"/>
        <v>9.3899999999999997E-2</v>
      </c>
      <c r="Z196" s="69">
        <f t="shared" si="87"/>
        <v>5.8945999999999996</v>
      </c>
      <c r="AA196" s="69">
        <f t="shared" si="88"/>
        <v>5.8007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71"/>
        <v>0827-06</v>
      </c>
      <c r="AE196" s="95" t="str">
        <f t="shared" si="89"/>
        <v>aws s3 cp s3://rtdc.mdm.uploadarchive.raw/RTDC4053/ "%USERPROFILE%\AppData\Local\Temp\OnboardLogs"\RTDC4053\2016-10-06 --exclude "*" --recursive --include "*20161006*" &amp; "%USERPROFILE%\Documents\GitHub\mrs-test-scripts\Headless Mode &amp; Sideloading\WalkAndUnGZ.bat" "%USERPROFILE%\AppData\Local\Temp\OnboardLogs"\RTDC4053\2016-10-06 &amp; 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</v>
      </c>
      <c r="AF196" s="92" t="str">
        <f t="shared" si="90"/>
        <v>"C:\Program Files (x86)\AstroGrep\AstroGrep.exe" /spath="%USERPROFILE%\AppData\Local\Temp\OnboardLogs" /stypes="app*4053*20161006*" /stext=" 22:.+((SYSTEM_STATE.+slice.+state.+changed )|(ment ac)|(system.+state.+changed )|(\[timeout)|(PRM\|1\|D)|(kpr)|(kdp)|(\|lc)|(penalty))" /e /r /s</v>
      </c>
      <c r="AG196" s="1" t="str">
        <f t="shared" si="74"/>
        <v>NW</v>
      </c>
      <c r="AH196" s="96" t="str">
        <f t="shared" si="75"/>
        <v>"%USERPROFILE%\Documents\GitHub\eaglep3\Utilities\RefineRTDCRunTimes.py" --tripid 827-06 --locoid 4053 --swversion DE.1.0.7.0 --startMP 204:939 --initTime 2016-10-06T15:46:13 --startdatetime 2016-10-06T15:51:20 --delay 1 --endMP 300:58946 --enddatetime 2016-10-06T16:04:17 --enforcementcount 0 &gt;&gt;C:\Users\stu\Documents\GitHub\eaglep3-reporting\EC\2016-10-06-refined-times.txt</v>
      </c>
      <c r="AI196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{"issue":{"subject":"","project_id":79,"tracker_id":40,"status_id":1,"priority_id":2,"assigned_to_id":23,"start_date":"2016-10-06","description":"","custom_fields":[{"id":1,"name":"Subdivision","value":"NW"},{"id":4,"name":"Milepost","value":"5.8946"},{"id":17,"name":"Train ID","value":"827-06"},{"id":16,"name":"Locomotive ID","value":"4053"},{"id":130,"name":"Impact","value":""},{"id":150,"name":"Time of Event (Mountain Time)","value":"16:04:17"},{"id":151,"name":"Denver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541</v>
      </c>
      <c r="B197" s="7">
        <v>4054</v>
      </c>
      <c r="C197" s="24" t="s">
        <v>106</v>
      </c>
      <c r="D197" s="24" t="s">
        <v>367</v>
      </c>
      <c r="E197" s="15">
        <v>42649.670624999999</v>
      </c>
      <c r="F197" s="15">
        <v>42649.672164351854</v>
      </c>
      <c r="G197" s="7">
        <v>1</v>
      </c>
      <c r="H197" s="15" t="s">
        <v>789</v>
      </c>
      <c r="I197" s="15">
        <v>42649.684305555558</v>
      </c>
      <c r="J197" s="7">
        <v>0</v>
      </c>
      <c r="K197" s="117" t="str">
        <f t="shared" si="80"/>
        <v>4053/4054</v>
      </c>
      <c r="L197" s="24" t="str">
        <f>VLOOKUP(A197,'Trips&amp;Operators'!$C$1:$E$10000,3,FALSE)</f>
        <v>YANAI</v>
      </c>
      <c r="M197" s="6">
        <f t="shared" si="81"/>
        <v>1.2141203704231884E-2</v>
      </c>
      <c r="N197" s="7">
        <f t="shared" si="93"/>
        <v>17.483333334093913</v>
      </c>
      <c r="O197" s="7"/>
      <c r="P197" s="7"/>
      <c r="Q197" s="25"/>
      <c r="R197" s="25"/>
      <c r="S197" s="37">
        <f t="shared" si="83"/>
        <v>1</v>
      </c>
      <c r="T197" s="52" t="str">
        <f t="shared" si="65"/>
        <v>Southbound</v>
      </c>
      <c r="U197" s="159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15:05:42-0600',mode:absolute,to:'2016-10-06 17:25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7" s="54" t="str">
        <f t="shared" si="85"/>
        <v>N</v>
      </c>
      <c r="X197" s="164">
        <f t="shared" si="94"/>
        <v>1</v>
      </c>
      <c r="Y197" s="69">
        <f t="shared" si="86"/>
        <v>5.8628</v>
      </c>
      <c r="Z197" s="69">
        <f t="shared" si="87"/>
        <v>6.4500000000000002E-2</v>
      </c>
      <c r="AA197" s="69">
        <f t="shared" si="88"/>
        <v>5.7983000000000002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71"/>
        <v>0828-06</v>
      </c>
      <c r="AE197" s="95" t="str">
        <f t="shared" si="89"/>
        <v>aws s3 cp s3://rtdc.mdm.uploadarchive.raw/RTDC4054/ "%USERPROFILE%\AppData\Local\Temp\OnboardLogs"\RTDC4054\2016-10-06 --exclude "*" --recursive --include "*20161006*" &amp; "%USERPROFILE%\Documents\GitHub\mrs-test-scripts\Headless Mode &amp; Sideloading\WalkAndUnGZ.bat" "%USERPROFILE%\AppData\Local\Temp\OnboardLogs"\RTDC4054\2016-10-06 &amp; 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</v>
      </c>
      <c r="AF197" s="92" t="str">
        <f t="shared" si="90"/>
        <v>"C:\Program Files (x86)\AstroGrep\AstroGrep.exe" /spath="%USERPROFILE%\AppData\Local\Temp\OnboardLogs" /stypes="app*4054*20161006*" /stext=" 22:.+((SYSTEM_STATE.+slice.+state.+changed )|(ment ac)|(system.+state.+changed )|(\[timeout)|(PRM\|1\|D)|(kpr)|(kdp)|(\|lc)|(penalty))" /e /r /s</v>
      </c>
      <c r="AG197" s="1" t="str">
        <f t="shared" si="74"/>
        <v>NW</v>
      </c>
      <c r="AH197" s="96" t="str">
        <f t="shared" si="75"/>
        <v>"%USERPROFILE%\Documents\GitHub\eaglep3\Utilities\RefineRTDCRunTimes.py" --tripid 828-06 --locoid 4054 --swversion DE.1.0.7.0 --startMP 300:58628 --initTime 2016-10-06T16:05:42 --startdatetime 2016-10-06T16:07:55 --delay 1 --endMP 204:645 --enddatetime 2016-10-06T16:25:24 --enforcementcount 0 &gt;&gt;C:\Users\stu\Documents\GitHub\eaglep3-reporting\EC\2016-10-06-refined-times.txt</v>
      </c>
      <c r="AI197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{"issue":{"subject":"","project_id":79,"tracker_id":40,"status_id":1,"priority_id":2,"assigned_to_id":23,"start_date":"2016-10-06","description":"","custom_fields":[{"id":1,"name":"Subdivision","value":"NW"},{"id":4,"name":"Milepost","value":"0.0645"},{"id":17,"name":"Train ID","value":"828-06"},{"id":16,"name":"Locomotive ID","value":"4054"},{"id":130,"name":"Impact","value":""},{"id":150,"name":"Time of Event (Mountain Time)","value":"16:25:24"},{"id":151,"name":"Denver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544</v>
      </c>
      <c r="B198" s="7">
        <v>4029</v>
      </c>
      <c r="C198" s="24" t="s">
        <v>106</v>
      </c>
      <c r="D198" s="24" t="s">
        <v>790</v>
      </c>
      <c r="E198" s="15">
        <v>42649.676238425927</v>
      </c>
      <c r="F198" s="15">
        <v>42649.681597222225</v>
      </c>
      <c r="G198" s="7">
        <v>1</v>
      </c>
      <c r="H198" s="15" t="s">
        <v>383</v>
      </c>
      <c r="I198" s="15">
        <v>42649.691041666665</v>
      </c>
      <c r="J198" s="7">
        <v>0</v>
      </c>
      <c r="K198" s="117" t="str">
        <f t="shared" si="80"/>
        <v>4029/4030</v>
      </c>
      <c r="L198" s="24" t="str">
        <f>VLOOKUP(A198,'Trips&amp;Operators'!$C$1:$E$10000,3,FALSE)</f>
        <v>PUGH</v>
      </c>
      <c r="M198" s="6">
        <f t="shared" si="81"/>
        <v>9.444444440305233E-3</v>
      </c>
      <c r="N198" s="7">
        <f t="shared" si="93"/>
        <v>13.599999994039536</v>
      </c>
      <c r="O198" s="7"/>
      <c r="P198" s="7"/>
      <c r="Q198" s="25"/>
      <c r="R198" s="25"/>
      <c r="S198" s="37">
        <f t="shared" si="83"/>
        <v>1</v>
      </c>
      <c r="T198" s="52" t="str">
        <f t="shared" si="65"/>
        <v>NorthBound</v>
      </c>
      <c r="U198" s="159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2" t="str">
        <f t="shared" si="84"/>
        <v>https://search-rtdc-monitor-bjffxe2xuh6vdkpspy63sjmuny.us-east-1.es.amazonaws.com/_plugin/kibana/#/discover/Steve-Slow-Train-Analysis-(2080s-and-2083s)?_g=(refreshInterval:(display:Off,section:0,value:0),time:(from:'2016-10-06 15:13:47-0600',mode:absolute,to:'2016-10-06 17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8" s="54" t="str">
        <f t="shared" si="85"/>
        <v>N</v>
      </c>
      <c r="X198" s="164">
        <f t="shared" si="94"/>
        <v>1</v>
      </c>
      <c r="Y198" s="69">
        <f t="shared" si="86"/>
        <v>0.1009</v>
      </c>
      <c r="Z198" s="69">
        <f t="shared" si="87"/>
        <v>5.8940999999999999</v>
      </c>
      <c r="AA198" s="69">
        <f t="shared" si="88"/>
        <v>5.7931999999999997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71"/>
        <v>0829-06</v>
      </c>
      <c r="AE198" s="95" t="str">
        <f t="shared" si="89"/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AF198" s="92" t="str">
        <f t="shared" si="90"/>
        <v>"C:\Program Files (x86)\AstroGrep\AstroGrep.exe" /spath="%USERPROFILE%\AppData\Local\Temp\OnboardLogs" /stypes="app*4029*20161006*" /stext=" 22:.+((SYSTEM_STATE.+slice.+state.+changed )|(ment ac)|(system.+state.+changed )|(\[timeout)|(PRM\|1\|D)|(kpr)|(kdp)|(\|lc)|(penalty))" /e /r /s</v>
      </c>
      <c r="AG198" s="1" t="str">
        <f t="shared" si="74"/>
        <v>NW</v>
      </c>
      <c r="AH198" s="96" t="str">
        <f t="shared" si="75"/>
        <v>"%USERPROFILE%\Documents\GitHub\eaglep3\Utilities\RefineRTDCRunTimes.py" --tripid 829-06 --locoid 4029 --swversion DE.1.0.7.0 --startMP 204:1009 --initTime 2016-10-06T16:13:47 --startdatetime 2016-10-06T16:21:30 --delay 1 --endMP 300:58941 --enddatetime 2016-10-06T16:35:06 --enforcementcount 0 &gt;&gt;C:\Users\stu\Documents\GitHub\eaglep3-reporting\EC\2016-10-06-refined-times.txt</v>
      </c>
      <c r="AI198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{"issue":{"subject":"","project_id":79,"tracker_id":40,"status_id":1,"priority_id":2,"assigned_to_id":23,"start_date":"2016-10-06","description":"","custom_fields":[{"id":1,"name":"Subdivision","value":"NW"},{"id":4,"name":"Milepost","value":"5.8941"},{"id":17,"name":"Train ID","value":"829-06"},{"id":16,"name":"Locomotive ID","value":"4029"},{"id":130,"name":"Impact","value":""},{"id":150,"name":"Time of Event (Mountain Time)","value":"16:35:06"},{"id":151,"name":"Denver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548</v>
      </c>
      <c r="B199" s="7">
        <v>4030</v>
      </c>
      <c r="C199" s="24" t="s">
        <v>106</v>
      </c>
      <c r="D199" s="24" t="s">
        <v>367</v>
      </c>
      <c r="E199" s="15">
        <v>42649.692835648151</v>
      </c>
      <c r="F199" s="15">
        <v>42649.694699074076</v>
      </c>
      <c r="G199" s="7">
        <v>1</v>
      </c>
      <c r="H199" s="15" t="s">
        <v>293</v>
      </c>
      <c r="I199" s="15">
        <v>42649.706597222219</v>
      </c>
      <c r="J199" s="7">
        <v>0</v>
      </c>
      <c r="K199" s="117" t="str">
        <f t="shared" ref="K199:K230" si="95">IF(ISEVEN(B199),(B199-1)&amp;"/"&amp;B199,B199&amp;"/"&amp;(B199+1))</f>
        <v>4029/4030</v>
      </c>
      <c r="L199" s="24" t="str">
        <f>VLOOKUP(A199,'Trips&amp;Operators'!$C$1:$E$10000,3,FALSE)</f>
        <v>PUGH</v>
      </c>
      <c r="M199" s="6">
        <f t="shared" ref="M199:M230" si="96">I199-F199</f>
        <v>1.1898148142790888E-2</v>
      </c>
      <c r="N199" s="7">
        <f t="shared" si="93"/>
        <v>17.133333325618878</v>
      </c>
      <c r="O199" s="7"/>
      <c r="P199" s="7"/>
      <c r="Q199" s="25"/>
      <c r="R199" s="25"/>
      <c r="S199" s="37">
        <f t="shared" ref="S199:S230" si="97">SUM(U199:U199)/IF(AG199="EC",12,1)</f>
        <v>1</v>
      </c>
      <c r="T199" s="52" t="str">
        <f t="shared" si="65"/>
        <v>Southbound</v>
      </c>
      <c r="U199" s="159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2" t="str">
        <f t="shared" ref="V199:V230" si="98">"https://search-rtdc-monitor-bjffxe2xuh6vdkpspy63sjmuny.us-east-1.es.amazonaws.com/_plugin/kibana/#/discover/Steve-Slow-Train-Analysis-(2080s-and-2083s)?_g=(refreshInterval:(display:Off,section:0,value:0),time:(from:'"&amp;TEXT(E199-1/24,"yyyy-MM-DD hh:mm:ss")&amp;"-0600',mode:absolute,to:'"&amp;TEXT(I199+1/24,"yyyy-MM-DD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https://search-rtdc-monitor-bjffxe2xuh6vdkpspy63sjmuny.us-east-1.es.amazonaws.com/_plugin/kibana/#/discover/Steve-Slow-Train-Analysis-(2080s-and-2083s)?_g=(refreshInterval:(display:Off,section:0,value:0),time:(from:'2016-10-06 15:37:41-0600',mode:absolute,to:'2016-10-06 17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9" s="54" t="str">
        <f t="shared" ref="W199:W230" si="99">IF(AA199&lt;IF(AG199="EC",23,5.65),"Y","N")</f>
        <v>N</v>
      </c>
      <c r="X199" s="164">
        <f t="shared" si="94"/>
        <v>1</v>
      </c>
      <c r="Y199" s="69">
        <f t="shared" ref="Y199:Y230" si="100">RIGHT(D199,LEN(D199)-4)/10000</f>
        <v>5.8628</v>
      </c>
      <c r="Z199" s="69">
        <f t="shared" ref="Z199:Z230" si="101">RIGHT(H199,LEN(H199)-4)/10000</f>
        <v>7.1199999999999999E-2</v>
      </c>
      <c r="AA199" s="69">
        <f t="shared" ref="AA199:AA230" si="102">ABS(Z199-Y199)</f>
        <v>5.7915999999999999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71"/>
        <v>0830-06</v>
      </c>
      <c r="AE199" s="95" t="str">
        <f t="shared" ref="AE199:AE230" si="103"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AF199" s="92" t="str">
        <f t="shared" ref="AF199:AF230" si="104"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/stypes="app*4030*20161006*" /stext=" 22:.+((SYSTEM_STATE.+slice.+state.+changed )|(ment ac)|(system.+state.+changed )|(\[timeout)|(PRM\|1\|D)|(kpr)|(kdp)|(\|lc)|(penalty))" /e /r /s</v>
      </c>
      <c r="AG199" s="1" t="str">
        <f t="shared" si="74"/>
        <v>NW</v>
      </c>
      <c r="AH199" s="96" t="str">
        <f t="shared" si="75"/>
        <v>"%USERPROFILE%\Documents\GitHub\eaglep3\Utilities\RefineRTDCRunTimes.py" --tripid 830-06 --locoid 4030 --swversion DE.1.0.7.0 --startMP 300:58628 --initTime 2016-10-06T16:37:41 --startdatetime 2016-10-06T16:40:22 --delay 1 --endMP 204:712 --enddatetime 2016-10-06T16:57:30 --enforcementcount 0 &gt;&gt;C:\Users\stu\Documents\GitHub\eaglep3-reporting\EC\2016-10-06-refined-times.txt</v>
      </c>
      <c r="AI199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{"issue":{"subject":"","project_id":79,"tracker_id":40,"status_id":1,"priority_id":2,"assigned_to_id":23,"start_date":"2016-10-06","description":"","custom_fields":[{"id":1,"name":"Subdivision","value":"NW"},{"id":4,"name":"Milepost","value":"0.0712"},{"id":17,"name":"Train ID","value":"830-06"},{"id":16,"name":"Locomotive ID","value":"4030"},{"id":130,"name":"Impact","value":""},{"id":150,"name":"Time of Event (Mountain Time)","value":"16:57:30"},{"id":151,"name":"Denver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550</v>
      </c>
      <c r="B200" s="7">
        <v>4053</v>
      </c>
      <c r="C200" s="24" t="s">
        <v>106</v>
      </c>
      <c r="D200" s="24" t="s">
        <v>791</v>
      </c>
      <c r="E200" s="15">
        <v>42649.698912037034</v>
      </c>
      <c r="F200" s="15">
        <v>42649.702361111114</v>
      </c>
      <c r="G200" s="7">
        <v>1</v>
      </c>
      <c r="H200" s="15" t="s">
        <v>382</v>
      </c>
      <c r="I200" s="15">
        <v>42649.711354166669</v>
      </c>
      <c r="J200" s="7">
        <v>0</v>
      </c>
      <c r="K200" s="117" t="str">
        <f t="shared" si="95"/>
        <v>4053/4054</v>
      </c>
      <c r="L200" s="24" t="str">
        <f>VLOOKUP(A200,'Trips&amp;Operators'!$C$1:$E$10000,3,FALSE)</f>
        <v>YANAI</v>
      </c>
      <c r="M200" s="6">
        <f t="shared" si="96"/>
        <v>8.9930555550381541E-3</v>
      </c>
      <c r="N200" s="7">
        <f t="shared" si="93"/>
        <v>12.949999999254942</v>
      </c>
      <c r="O200" s="7"/>
      <c r="P200" s="7"/>
      <c r="Q200" s="25"/>
      <c r="R200" s="25"/>
      <c r="S200" s="37">
        <f t="shared" si="97"/>
        <v>1</v>
      </c>
      <c r="T200" s="52" t="str">
        <f t="shared" si="65"/>
        <v>NorthBound</v>
      </c>
      <c r="U200" s="159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15:46:26-0600',mode:absolute,to:'2016-10-06 18:04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0" s="54" t="str">
        <f t="shared" si="99"/>
        <v>N</v>
      </c>
      <c r="X200" s="164">
        <f t="shared" si="94"/>
        <v>1</v>
      </c>
      <c r="Y200" s="69">
        <f t="shared" si="100"/>
        <v>9.3399999999999997E-2</v>
      </c>
      <c r="Z200" s="69">
        <f t="shared" si="101"/>
        <v>5.8952</v>
      </c>
      <c r="AA200" s="69">
        <f t="shared" si="102"/>
        <v>5.8018000000000001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71"/>
        <v>0831-06</v>
      </c>
      <c r="AE200" s="95" t="str">
        <f t="shared" si="103"/>
        <v>aws s3 cp s3://rtdc.mdm.uploadarchive.raw/RTDC4053/ "%USERPROFILE%\AppData\Local\Temp\OnboardLogs"\RTDC4053\2016-10-06 --exclude "*" --recursive --include "*20161006*" &amp; "%USERPROFILE%\Documents\GitHub\mrs-test-scripts\Headless Mode &amp; Sideloading\WalkAndUnGZ.bat" "%USERPROFILE%\AppData\Local\Temp\OnboardLogs"\RTDC4053\2016-10-06 &amp; 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</v>
      </c>
      <c r="AF200" s="92" t="str">
        <f t="shared" si="104"/>
        <v>"C:\Program Files (x86)\AstroGrep\AstroGrep.exe" /spath="%USERPROFILE%\AppData\Local\Temp\OnboardLogs" /stypes="app*4053*20161006*" /stext=" 23:.+((SYSTEM_STATE.+slice.+state.+changed )|(ment ac)|(system.+state.+changed )|(\[timeout)|(PRM\|1\|D)|(kpr)|(kdp)|(\|lc)|(penalty))" /e /r /s</v>
      </c>
      <c r="AG200" s="1" t="str">
        <f t="shared" si="74"/>
        <v>NW</v>
      </c>
      <c r="AH200" s="96" t="str">
        <f t="shared" si="75"/>
        <v>"%USERPROFILE%\Documents\GitHub\eaglep3\Utilities\RefineRTDCRunTimes.py" --tripid 831-06 --locoid 4053 --swversion DE.1.0.7.0 --startMP 204:934 --initTime 2016-10-06T16:46:26 --startdatetime 2016-10-06T16:51:24 --delay 1 --endMP 300:58952 --enddatetime 2016-10-06T17:04:21 --enforcementcount 0 &gt;&gt;C:\Users\stu\Documents\GitHub\eaglep3-reporting\EC\2016-10-06-refined-times.txt</v>
      </c>
      <c r="AI200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{"issue":{"subject":"","project_id":79,"tracker_id":40,"status_id":1,"priority_id":2,"assigned_to_id":23,"start_date":"2016-10-06","description":"","custom_fields":[{"id":1,"name":"Subdivision","value":"NW"},{"id":4,"name":"Milepost","value":"5.8952"},{"id":17,"name":"Train ID","value":"831-06"},{"id":16,"name":"Locomotive ID","value":"4053"},{"id":130,"name":"Impact","value":""},{"id":150,"name":"Time of Event (Mountain Time)","value":"17:04:21"},{"id":151,"name":"Denver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554</v>
      </c>
      <c r="B201" s="7">
        <v>4054</v>
      </c>
      <c r="C201" s="24" t="s">
        <v>106</v>
      </c>
      <c r="D201" s="24" t="s">
        <v>792</v>
      </c>
      <c r="E201" s="15">
        <v>42649.712534722225</v>
      </c>
      <c r="F201" s="15">
        <v>42649.713819444441</v>
      </c>
      <c r="G201" s="7">
        <v>1</v>
      </c>
      <c r="H201" s="15" t="s">
        <v>793</v>
      </c>
      <c r="I201" s="15">
        <v>42649.725289351853</v>
      </c>
      <c r="J201" s="7">
        <v>0</v>
      </c>
      <c r="K201" s="117" t="str">
        <f t="shared" si="95"/>
        <v>4053/4054</v>
      </c>
      <c r="L201" s="24" t="str">
        <f>VLOOKUP(A201,'Trips&amp;Operators'!$C$1:$E$10000,3,FALSE)</f>
        <v>YANAI</v>
      </c>
      <c r="M201" s="6">
        <f t="shared" si="96"/>
        <v>1.1469907411083113E-2</v>
      </c>
      <c r="N201" s="7">
        <f t="shared" si="93"/>
        <v>16.516666671959683</v>
      </c>
      <c r="O201" s="7"/>
      <c r="P201" s="7"/>
      <c r="Q201" s="25"/>
      <c r="R201" s="25"/>
      <c r="S201" s="37">
        <f t="shared" si="97"/>
        <v>1</v>
      </c>
      <c r="T201" s="52" t="str">
        <f t="shared" si="65"/>
        <v>Southbound</v>
      </c>
      <c r="U201" s="159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16:06:03-0600',mode:absolute,to:'2016-10-06 18:24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1" s="54" t="str">
        <f t="shared" si="99"/>
        <v>N</v>
      </c>
      <c r="X201" s="164">
        <f t="shared" si="94"/>
        <v>1</v>
      </c>
      <c r="Y201" s="69">
        <f t="shared" si="100"/>
        <v>5.8639999999999999</v>
      </c>
      <c r="Z201" s="69">
        <f t="shared" si="101"/>
        <v>6.6799999999999998E-2</v>
      </c>
      <c r="AA201" s="69">
        <f t="shared" si="102"/>
        <v>5.7972000000000001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71"/>
        <v>0832-06</v>
      </c>
      <c r="AE201" s="95" t="str">
        <f t="shared" si="103"/>
        <v>aws s3 cp s3://rtdc.mdm.uploadarchive.raw/RTDC4054/ "%USERPROFILE%\AppData\Local\Temp\OnboardLogs"\RTDC4054\2016-10-06 --exclude "*" --recursive --include "*20161006*" &amp; "%USERPROFILE%\Documents\GitHub\mrs-test-scripts\Headless Mode &amp; Sideloading\WalkAndUnGZ.bat" "%USERPROFILE%\AppData\Local\Temp\OnboardLogs"\RTDC4054\2016-10-06 &amp; 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</v>
      </c>
      <c r="AF201" s="92" t="str">
        <f t="shared" si="104"/>
        <v>"C:\Program Files (x86)\AstroGrep\AstroGrep.exe" /spath="%USERPROFILE%\AppData\Local\Temp\OnboardLogs" /stypes="app*4054*20161006*" /stext=" 23:.+((SYSTEM_STATE.+slice.+state.+changed )|(ment ac)|(system.+state.+changed )|(\[timeout)|(PRM\|1\|D)|(kpr)|(kdp)|(\|lc)|(penalty))" /e /r /s</v>
      </c>
      <c r="AG201" s="1" t="str">
        <f t="shared" si="74"/>
        <v>NW</v>
      </c>
      <c r="AH201" s="96" t="str">
        <f t="shared" si="75"/>
        <v>"%USERPROFILE%\Documents\GitHub\eaglep3\Utilities\RefineRTDCRunTimes.py" --tripid 832-06 --locoid 4054 --swversion DE.1.0.7.0 --startMP 300:58640 --initTime 2016-10-06T17:06:03 --startdatetime 2016-10-06T17:07:54 --delay 1 --endMP 204:668 --enddatetime 2016-10-06T17:24:25 --enforcementcount 0 &gt;&gt;C:\Users\stu\Documents\GitHub\eaglep3-reporting\EC\2016-10-06-refined-times.txt</v>
      </c>
      <c r="AI201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{"issue":{"subject":"","project_id":79,"tracker_id":40,"status_id":1,"priority_id":2,"assigned_to_id":23,"start_date":"2016-10-06","description":"","custom_fields":[{"id":1,"name":"Subdivision","value":"NW"},{"id":4,"name":"Milepost","value":"0.0668"},{"id":17,"name":"Train ID","value":"832-06"},{"id":16,"name":"Locomotive ID","value":"4054"},{"id":130,"name":"Impact","value":""},{"id":150,"name":"Time of Event (Mountain Time)","value":"17:24:25"},{"id":151,"name":"Denver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558</v>
      </c>
      <c r="B202" s="7">
        <v>4029</v>
      </c>
      <c r="C202" s="24" t="s">
        <v>106</v>
      </c>
      <c r="D202" s="24" t="s">
        <v>794</v>
      </c>
      <c r="E202" s="15">
        <v>42649.718738425923</v>
      </c>
      <c r="F202" s="15">
        <v>42649.723321759258</v>
      </c>
      <c r="G202" s="7">
        <v>1</v>
      </c>
      <c r="H202" s="15" t="s">
        <v>795</v>
      </c>
      <c r="I202" s="15">
        <v>42649.732523148145</v>
      </c>
      <c r="J202" s="7">
        <v>0</v>
      </c>
      <c r="K202" s="117" t="str">
        <f t="shared" si="95"/>
        <v>4029/4030</v>
      </c>
      <c r="L202" s="24" t="str">
        <f>VLOOKUP(A202,'Trips&amp;Operators'!$C$1:$E$10000,3,FALSE)</f>
        <v>PUGH</v>
      </c>
      <c r="M202" s="6">
        <f t="shared" si="96"/>
        <v>9.2013888861401938E-3</v>
      </c>
      <c r="N202" s="7">
        <f t="shared" si="93"/>
        <v>13.249999996041879</v>
      </c>
      <c r="O202" s="7"/>
      <c r="P202" s="7"/>
      <c r="Q202" s="25"/>
      <c r="R202" s="25"/>
      <c r="S202" s="37">
        <f t="shared" si="97"/>
        <v>1</v>
      </c>
      <c r="T202" s="52" t="str">
        <f t="shared" si="65"/>
        <v>NorthBound</v>
      </c>
      <c r="U202" s="159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16:14:59-0600',mode:absolute,to:'2016-10-06 18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2" s="54" t="str">
        <f t="shared" si="99"/>
        <v>N</v>
      </c>
      <c r="X202" s="164">
        <f t="shared" si="94"/>
        <v>1</v>
      </c>
      <c r="Y202" s="69">
        <f t="shared" si="100"/>
        <v>9.9900000000000003E-2</v>
      </c>
      <c r="Z202" s="69">
        <f t="shared" si="101"/>
        <v>5.8975</v>
      </c>
      <c r="AA202" s="69">
        <f t="shared" si="102"/>
        <v>5.7976000000000001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71"/>
        <v>0833-06</v>
      </c>
      <c r="AE202" s="95" t="str">
        <f t="shared" si="103"/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AF202" s="92" t="str">
        <f t="shared" si="104"/>
        <v>"C:\Program Files (x86)\AstroGrep\AstroGrep.exe" /spath="%USERPROFILE%\AppData\Local\Temp\OnboardLogs" /stypes="app*4029*20161006*" /stext=" 23:.+((SYSTEM_STATE.+slice.+state.+changed )|(ment ac)|(system.+state.+changed )|(\[timeout)|(PRM\|1\|D)|(kpr)|(kdp)|(\|lc)|(penalty))" /e /r /s</v>
      </c>
      <c r="AG202" s="1" t="str">
        <f t="shared" si="74"/>
        <v>NW</v>
      </c>
      <c r="AH202" s="96" t="str">
        <f t="shared" si="75"/>
        <v>"%USERPROFILE%\Documents\GitHub\eaglep3\Utilities\RefineRTDCRunTimes.py" --tripid 833-06 --locoid 4029 --swversion DE.1.0.7.0 --startMP 204:999 --initTime 2016-10-06T17:14:59 --startdatetime 2016-10-06T17:21:35 --delay 1 --endMP 300:58975 --enddatetime 2016-10-06T17:34:50 --enforcementcount 0 &gt;&gt;C:\Users\stu\Documents\GitHub\eaglep3-reporting\EC\2016-10-06-refined-times.txt</v>
      </c>
      <c r="AI202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{"issue":{"subject":"","project_id":79,"tracker_id":40,"status_id":1,"priority_id":2,"assigned_to_id":23,"start_date":"2016-10-06","description":"","custom_fields":[{"id":1,"name":"Subdivision","value":"NW"},{"id":4,"name":"Milepost","value":"5.8975"},{"id":17,"name":"Train ID","value":"833-06"},{"id":16,"name":"Locomotive ID","value":"4029"},{"id":130,"name":"Impact","value":""},{"id":150,"name":"Time of Event (Mountain Time)","value":"17:34:50"},{"id":151,"name":"Denver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 t="s">
        <v>563</v>
      </c>
      <c r="B203" s="7">
        <v>4030</v>
      </c>
      <c r="C203" s="24" t="s">
        <v>106</v>
      </c>
      <c r="D203" s="24" t="s">
        <v>796</v>
      </c>
      <c r="E203" s="15">
        <v>42649.733958333331</v>
      </c>
      <c r="F203" s="15">
        <v>42649.73578703704</v>
      </c>
      <c r="G203" s="7">
        <v>1</v>
      </c>
      <c r="H203" s="15" t="s">
        <v>797</v>
      </c>
      <c r="I203" s="15">
        <v>42649.749722222223</v>
      </c>
      <c r="J203" s="7">
        <v>0</v>
      </c>
      <c r="K203" s="117" t="str">
        <f t="shared" si="95"/>
        <v>4029/4030</v>
      </c>
      <c r="L203" s="24" t="str">
        <f>VLOOKUP(A203,'Trips&amp;Operators'!$C$1:$E$10000,3,FALSE)</f>
        <v>PUGH</v>
      </c>
      <c r="M203" s="6">
        <f t="shared" si="96"/>
        <v>1.3935185183072463E-2</v>
      </c>
      <c r="N203" s="7">
        <f t="shared" si="93"/>
        <v>20.066666663624346</v>
      </c>
      <c r="O203" s="7"/>
      <c r="P203" s="7"/>
      <c r="Q203" s="25"/>
      <c r="R203" s="25"/>
      <c r="S203" s="37">
        <f t="shared" si="97"/>
        <v>1</v>
      </c>
      <c r="T203" s="52" t="str">
        <f t="shared" si="65"/>
        <v>Southbound</v>
      </c>
      <c r="U203" s="159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16:36:54-0600',mode:absolute,to:'2016-10-06 18:59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3" s="54" t="str">
        <f t="shared" si="99"/>
        <v>N</v>
      </c>
      <c r="X203" s="164">
        <f t="shared" si="94"/>
        <v>1</v>
      </c>
      <c r="Y203" s="69">
        <f t="shared" si="100"/>
        <v>5.8672000000000004</v>
      </c>
      <c r="Z203" s="69">
        <f t="shared" si="101"/>
        <v>8.9399999999999993E-2</v>
      </c>
      <c r="AA203" s="69">
        <f t="shared" si="102"/>
        <v>5.7778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71"/>
        <v>0834-06</v>
      </c>
      <c r="AE203" s="95" t="str">
        <f t="shared" si="103"/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AF203" s="92" t="str">
        <f t="shared" si="104"/>
        <v>"C:\Program Files (x86)\AstroGrep\AstroGrep.exe" /spath="%USERPROFILE%\AppData\Local\Temp\OnboardLogs" /stypes="app*4030*20161006*" /stext=" 23:.+((SYSTEM_STATE.+slice.+state.+changed )|(ment ac)|(system.+state.+changed )|(\[timeout)|(PRM\|1\|D)|(kpr)|(kdp)|(\|lc)|(penalty))" /e /r /s</v>
      </c>
      <c r="AG203" s="1" t="str">
        <f t="shared" si="74"/>
        <v>NW</v>
      </c>
      <c r="AH203" s="96" t="str">
        <f t="shared" si="75"/>
        <v>"%USERPROFILE%\Documents\GitHub\eaglep3\Utilities\RefineRTDCRunTimes.py" --tripid 834-06 --locoid 4030 --swversion DE.1.0.7.0 --startMP 300:58672 --initTime 2016-10-06T17:36:54 --startdatetime 2016-10-06T17:39:32 --delay 1 --endMP 204:894 --enddatetime 2016-10-06T17:59:36 --enforcementcount 0 &gt;&gt;C:\Users\stu\Documents\GitHub\eaglep3-reporting\EC\2016-10-06-refined-times.txt</v>
      </c>
      <c r="AI203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{"issue":{"subject":"","project_id":79,"tracker_id":40,"status_id":1,"priority_id":2,"assigned_to_id":23,"start_date":"2016-10-06","description":"","custom_fields":[{"id":1,"name":"Subdivision","value":"NW"},{"id":4,"name":"Milepost","value":"0.0894"},{"id":17,"name":"Train ID","value":"834-06"},{"id":16,"name":"Locomotive ID","value":"4030"},{"id":130,"name":"Impact","value":""},{"id":150,"name":"Time of Event (Mountain Time)","value":"17:59:36"},{"id":151,"name":"Denver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568</v>
      </c>
      <c r="B204" s="7">
        <v>4053</v>
      </c>
      <c r="C204" s="24" t="s">
        <v>106</v>
      </c>
      <c r="D204" s="24" t="s">
        <v>798</v>
      </c>
      <c r="E204" s="15">
        <v>42649.742060185185</v>
      </c>
      <c r="F204" s="15">
        <v>42649.743946759256</v>
      </c>
      <c r="G204" s="7">
        <v>1</v>
      </c>
      <c r="H204" s="15" t="s">
        <v>799</v>
      </c>
      <c r="I204" s="15">
        <v>42649.752800925926</v>
      </c>
      <c r="J204" s="7">
        <v>0</v>
      </c>
      <c r="K204" s="117" t="str">
        <f t="shared" si="95"/>
        <v>4053/4054</v>
      </c>
      <c r="L204" s="24" t="str">
        <f>VLOOKUP(A204,'Trips&amp;Operators'!$C$1:$E$10000,3,FALSE)</f>
        <v>YANAI</v>
      </c>
      <c r="M204" s="6">
        <f t="shared" si="96"/>
        <v>8.8541666700621136E-3</v>
      </c>
      <c r="N204" s="7">
        <f t="shared" si="93"/>
        <v>12.750000004889444</v>
      </c>
      <c r="O204" s="7"/>
      <c r="P204" s="7"/>
      <c r="Q204" s="25"/>
      <c r="R204" s="25"/>
      <c r="S204" s="37">
        <f t="shared" si="97"/>
        <v>1</v>
      </c>
      <c r="T204" s="52" t="str">
        <f t="shared" si="65"/>
        <v>NorthBound</v>
      </c>
      <c r="U204" s="159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16:48:34-0600',mode:absolute,to:'2016-10-06 19:04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4" s="54" t="str">
        <f t="shared" si="99"/>
        <v>N</v>
      </c>
      <c r="X204" s="164">
        <f t="shared" si="94"/>
        <v>1</v>
      </c>
      <c r="Y204" s="69">
        <f t="shared" si="100"/>
        <v>9.5100000000000004E-2</v>
      </c>
      <c r="Z204" s="69">
        <f t="shared" si="101"/>
        <v>5.8959999999999999</v>
      </c>
      <c r="AA204" s="69">
        <f t="shared" si="102"/>
        <v>5.8008999999999995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71"/>
        <v>0835-06</v>
      </c>
      <c r="AE204" s="95" t="str">
        <f t="shared" si="103"/>
        <v>aws s3 cp s3://rtdc.mdm.uploadarchive.raw/RTDC4053/ "%USERPROFILE%\AppData\Local\Temp\OnboardLogs"\RTDC4053\2016-10-06 --exclude "*" --recursive --include "*20161006*" &amp; "%USERPROFILE%\Documents\GitHub\mrs-test-scripts\Headless Mode &amp; Sideloading\WalkAndUnGZ.bat" "%USERPROFILE%\AppData\Local\Temp\OnboardLogs"\RTDC4053\2016-10-06 &amp; 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</v>
      </c>
      <c r="AF204" s="92" t="str">
        <f t="shared" si="104"/>
        <v>"C:\Program Files (x86)\AstroGrep\AstroGrep.exe" /spath="%USERPROFILE%\AppData\Local\Temp\OnboardLogs" /stypes="app*4053*20161007*" /stext=" 00:.+((SYSTEM_STATE.+slice.+state.+changed )|(ment ac)|(system.+state.+changed )|(\[timeout)|(PRM\|1\|D)|(kpr)|(kdp)|(\|lc)|(penalty))" /e /r /s</v>
      </c>
      <c r="AG204" s="1" t="str">
        <f t="shared" si="74"/>
        <v>NW</v>
      </c>
      <c r="AH204" s="96" t="str">
        <f t="shared" si="75"/>
        <v>"%USERPROFILE%\Documents\GitHub\eaglep3\Utilities\RefineRTDCRunTimes.py" --tripid 835-06 --locoid 4053 --swversion DE.1.0.7.0 --startMP 204:951 --initTime 2016-10-06T17:48:34 --startdatetime 2016-10-06T17:51:17 --delay 1 --endMP 300:58960 --enddatetime 2016-10-06T18:04:02 --enforcementcount 0 &gt;&gt;C:\Users\stu\Documents\GitHub\eaglep3-reporting\EC\2016-10-06-refined-times.txt</v>
      </c>
      <c r="AI204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{"issue":{"subject":"","project_id":79,"tracker_id":40,"status_id":1,"priority_id":2,"assigned_to_id":23,"start_date":"2016-10-06","description":"","custom_fields":[{"id":1,"name":"Subdivision","value":"NW"},{"id":4,"name":"Milepost","value":"5.896"},{"id":17,"name":"Train ID","value":"835-06"},{"id":16,"name":"Locomotive ID","value":"4053"},{"id":130,"name":"Impact","value":""},{"id":150,"name":"Time of Event (Mountain Time)","value":"18:04:02"},{"id":151,"name":"Denver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571</v>
      </c>
      <c r="B205" s="7">
        <v>4054</v>
      </c>
      <c r="C205" s="24" t="s">
        <v>106</v>
      </c>
      <c r="D205" s="24" t="s">
        <v>783</v>
      </c>
      <c r="E205" s="15">
        <v>42649.753865740742</v>
      </c>
      <c r="F205" s="15">
        <v>42649.755150462966</v>
      </c>
      <c r="G205" s="7">
        <v>1</v>
      </c>
      <c r="H205" s="15" t="s">
        <v>800</v>
      </c>
      <c r="I205" s="15">
        <v>42649.767372685186</v>
      </c>
      <c r="J205" s="7">
        <v>0</v>
      </c>
      <c r="K205" s="117" t="str">
        <f t="shared" si="95"/>
        <v>4053/4054</v>
      </c>
      <c r="L205" s="24" t="str">
        <f>VLOOKUP(A205,'Trips&amp;Operators'!$C$1:$E$10000,3,FALSE)</f>
        <v>YANAI</v>
      </c>
      <c r="M205" s="6">
        <f t="shared" si="96"/>
        <v>1.2222222219861578E-2</v>
      </c>
      <c r="N205" s="7">
        <f t="shared" si="93"/>
        <v>17.599999996600673</v>
      </c>
      <c r="O205" s="7"/>
      <c r="P205" s="7"/>
      <c r="Q205" s="25"/>
      <c r="R205" s="25"/>
      <c r="S205" s="37">
        <f t="shared" si="97"/>
        <v>1</v>
      </c>
      <c r="T205" s="52" t="str">
        <f t="shared" ref="T205:T255" si="105">IF(ISEVEN(LEFT(AD205,4)),"Southbound","NorthBound")</f>
        <v>Southbound</v>
      </c>
      <c r="U205" s="159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17:05:34-0600',mode:absolute,to:'2016-10-06 19:25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5" s="54" t="str">
        <f t="shared" si="99"/>
        <v>N</v>
      </c>
      <c r="X205" s="164">
        <f t="shared" si="94"/>
        <v>1</v>
      </c>
      <c r="Y205" s="69">
        <f t="shared" si="100"/>
        <v>5.8647</v>
      </c>
      <c r="Z205" s="69">
        <f t="shared" si="101"/>
        <v>7.3800000000000004E-2</v>
      </c>
      <c r="AA205" s="69">
        <f t="shared" si="102"/>
        <v>5.7908999999999997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ref="AD205:AD255" si="106">IF(LEN(A205)=6,"0"&amp;A205,A205)</f>
        <v>0836-06</v>
      </c>
      <c r="AE205" s="95" t="str">
        <f t="shared" si="103"/>
        <v>aws s3 cp s3://rtdc.mdm.uploadarchive.raw/RTDC4054/ "%USERPROFILE%\AppData\Local\Temp\OnboardLogs"\RTDC4054\2016-10-06 --exclude "*" --recursive --include "*20161006*" &amp; "%USERPROFILE%\Documents\GitHub\mrs-test-scripts\Headless Mode &amp; Sideloading\WalkAndUnGZ.bat" "%USERPROFILE%\AppData\Local\Temp\OnboardLogs"\RTDC4054\2016-10-06 &amp; 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</v>
      </c>
      <c r="AF205" s="92" t="str">
        <f t="shared" si="104"/>
        <v>"C:\Program Files (x86)\AstroGrep\AstroGrep.exe" /spath="%USERPROFILE%\AppData\Local\Temp\OnboardLogs" /stypes="app*4054*20161007*" /stext=" 00:.+((SYSTEM_STATE.+slice.+state.+changed )|(ment ac)|(system.+state.+changed )|(\[timeout)|(PRM\|1\|D)|(kpr)|(kdp)|(\|lc)|(penalty))" /e /r /s</v>
      </c>
      <c r="AG205" s="1" t="str">
        <f t="shared" ref="AG205:AG255" si="107">IFERROR(IF(VALUE(LEFT(AD205,2))&lt;=2,"EC",IF(OR(VALUE(LEFT(AD205,2))=8,VALUE(LEFT(AD205,2))=18),"NW","Other")),"Other")</f>
        <v>NW</v>
      </c>
      <c r="AH205" s="96" t="str">
        <f t="shared" si="75"/>
        <v>"%USERPROFILE%\Documents\GitHub\eaglep3\Utilities\RefineRTDCRunTimes.py" --tripid 836-06 --locoid 4054 --swversion DE.1.0.7.0 --startMP 300:58647 --initTime 2016-10-06T18:05:34 --startdatetime 2016-10-06T18:07:25 --delay 1 --endMP 204:738 --enddatetime 2016-10-06T18:25:01 --enforcementcount 0 &gt;&gt;C:\Users\stu\Documents\GitHub\eaglep3-reporting\EC\2016-10-06-refined-times.txt</v>
      </c>
      <c r="AI205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{"issue":{"subject":"","project_id":79,"tracker_id":40,"status_id":1,"priority_id":2,"assigned_to_id":23,"start_date":"2016-10-06","description":"","custom_fields":[{"id":1,"name":"Subdivision","value":"NW"},{"id":4,"name":"Milepost","value":"0.0738"},{"id":17,"name":"Train ID","value":"836-06"},{"id":16,"name":"Locomotive ID","value":"4054"},{"id":130,"name":"Impact","value":""},{"id":150,"name":"Time of Event (Mountain Time)","value":"18:25:01"},{"id":151,"name":"Denver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574</v>
      </c>
      <c r="B206" s="7">
        <v>4029</v>
      </c>
      <c r="C206" s="24" t="s">
        <v>106</v>
      </c>
      <c r="D206" s="24" t="s">
        <v>801</v>
      </c>
      <c r="E206" s="15">
        <v>42649.762037037035</v>
      </c>
      <c r="F206" s="15">
        <v>42649.764999999999</v>
      </c>
      <c r="G206" s="7">
        <v>1</v>
      </c>
      <c r="H206" s="15" t="s">
        <v>366</v>
      </c>
      <c r="I206" s="15">
        <v>42649.774467592593</v>
      </c>
      <c r="J206" s="7">
        <v>0</v>
      </c>
      <c r="K206" s="117" t="str">
        <f t="shared" si="95"/>
        <v>4029/4030</v>
      </c>
      <c r="L206" s="24" t="str">
        <f>VLOOKUP(A206,'Trips&amp;Operators'!$C$1:$E$10000,3,FALSE)</f>
        <v>PUGH</v>
      </c>
      <c r="M206" s="6">
        <f t="shared" si="96"/>
        <v>9.4675925938645378E-3</v>
      </c>
      <c r="N206" s="7">
        <f t="shared" si="93"/>
        <v>13.633333335164934</v>
      </c>
      <c r="O206" s="7"/>
      <c r="P206" s="7"/>
      <c r="Q206" s="25"/>
      <c r="R206" s="25"/>
      <c r="S206" s="37">
        <f t="shared" si="97"/>
        <v>1</v>
      </c>
      <c r="T206" s="52" t="str">
        <f t="shared" si="105"/>
        <v>NorthBound</v>
      </c>
      <c r="U206" s="159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17:17:20-0600',mode:absolute,to:'2016-10-06 19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6" s="54" t="str">
        <f t="shared" si="99"/>
        <v>N</v>
      </c>
      <c r="X206" s="164">
        <f t="shared" si="94"/>
        <v>1</v>
      </c>
      <c r="Y206" s="69">
        <f t="shared" si="100"/>
        <v>0.1188</v>
      </c>
      <c r="Z206" s="69">
        <f t="shared" si="101"/>
        <v>5.8949999999999996</v>
      </c>
      <c r="AA206" s="69">
        <f t="shared" si="102"/>
        <v>5.7761999999999993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106"/>
        <v>0837-06</v>
      </c>
      <c r="AE206" s="95" t="str">
        <f t="shared" si="103"/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AF206" s="92" t="str">
        <f t="shared" si="104"/>
        <v>"C:\Program Files (x86)\AstroGrep\AstroGrep.exe" /spath="%USERPROFILE%\AppData\Local\Temp\OnboardLogs" /stypes="app*4029*20161007*" /stext=" 00:.+((SYSTEM_STATE.+slice.+state.+changed )|(ment ac)|(system.+state.+changed )|(\[timeout)|(PRM\|1\|D)|(kpr)|(kdp)|(\|lc)|(penalty))" /e /r /s</v>
      </c>
      <c r="AG206" s="1" t="str">
        <f t="shared" si="107"/>
        <v>NW</v>
      </c>
      <c r="AH206" s="96" t="str">
        <f t="shared" si="75"/>
        <v>"%USERPROFILE%\Documents\GitHub\eaglep3\Utilities\RefineRTDCRunTimes.py" --tripid 837-06 --locoid 4029 --swversion DE.1.0.7.0 --startMP 204:1188 --initTime 2016-10-06T18:17:20 --startdatetime 2016-10-06T18:21:36 --delay 1 --endMP 300:58950 --enddatetime 2016-10-06T18:35:14 --enforcementcount 0 &gt;&gt;C:\Users\stu\Documents\GitHub\eaglep3-reporting\EC\2016-10-06-refined-times.txt</v>
      </c>
      <c r="AI206" s="130" t="str">
        <f t="shared" si="76"/>
        <v>echo {"issue":{"subject":"","project_id":79,"tracker_id":40,"status_id":1,"priority_id":2,"assigned_to_id":23,"start_date":"2016-10-06","description":"","custom_fields":[{"id":1,"name":"Subdivision","value":"NW"},{"id":4,"name":"Milepost","value":"5.895"},{"id":17,"name":"Train ID","value":"837-06"},{"id":16,"name":"Locomotive ID","value":"4029"},{"id":130,"name":"Impact","value":""},{"id":150,"name":"Time of Event (Mountain Time)","value":"18:35:14"},{"id":151,"name":"Denver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578</v>
      </c>
      <c r="B207" s="7">
        <v>4030</v>
      </c>
      <c r="C207" s="24" t="s">
        <v>106</v>
      </c>
      <c r="D207" s="24" t="s">
        <v>802</v>
      </c>
      <c r="E207" s="15">
        <v>42649.775902777779</v>
      </c>
      <c r="F207" s="15">
        <v>42649.777546296296</v>
      </c>
      <c r="G207" s="7">
        <v>0</v>
      </c>
      <c r="H207" s="15" t="s">
        <v>803</v>
      </c>
      <c r="I207" s="15">
        <v>42649.788506944446</v>
      </c>
      <c r="J207" s="7">
        <v>0</v>
      </c>
      <c r="K207" s="117" t="str">
        <f t="shared" si="95"/>
        <v>4029/4030</v>
      </c>
      <c r="L207" s="24" t="str">
        <f>VLOOKUP(A207,'Trips&amp;Operators'!$C$1:$E$10000,3,FALSE)</f>
        <v>PUGH</v>
      </c>
      <c r="M207" s="6">
        <f t="shared" si="96"/>
        <v>1.096064814919373E-2</v>
      </c>
      <c r="N207" s="7">
        <f t="shared" si="93"/>
        <v>15.783333334838971</v>
      </c>
      <c r="O207" s="7"/>
      <c r="P207" s="7"/>
      <c r="Q207" s="25"/>
      <c r="R207" s="25"/>
      <c r="S207" s="37">
        <f t="shared" si="97"/>
        <v>1</v>
      </c>
      <c r="T207" s="52" t="str">
        <f t="shared" si="105"/>
        <v>Southbound</v>
      </c>
      <c r="U207" s="159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17:37:18-0600',mode:absolute,to:'2016-10-06 19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7" s="54" t="str">
        <f t="shared" si="99"/>
        <v>N</v>
      </c>
      <c r="X207" s="164">
        <f t="shared" si="94"/>
        <v>1</v>
      </c>
      <c r="Y207" s="69">
        <f t="shared" si="100"/>
        <v>5.8648999999999996</v>
      </c>
      <c r="Z207" s="69">
        <f t="shared" si="101"/>
        <v>7.0800000000000002E-2</v>
      </c>
      <c r="AA207" s="69">
        <f t="shared" si="102"/>
        <v>5.7940999999999994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106"/>
        <v>0838-06</v>
      </c>
      <c r="AE207" s="95" t="str">
        <f t="shared" si="103"/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AF207" s="92" t="str">
        <f t="shared" si="104"/>
        <v>"C:\Program Files (x86)\AstroGrep\AstroGrep.exe" /spath="%USERPROFILE%\AppData\Local\Temp\OnboardLogs" /stypes="app*4030*20161007*" /stext=" 00:.+((SYSTEM_STATE.+slice.+state.+changed )|(ment ac)|(system.+state.+changed )|(\[timeout)|(PRM\|1\|D)|(kpr)|(kdp)|(\|lc)|(penalty))" /e /r /s</v>
      </c>
      <c r="AG207" s="1" t="str">
        <f t="shared" si="107"/>
        <v>NW</v>
      </c>
      <c r="AH207" s="96" t="str">
        <f t="shared" ref="AH207:AH255" si="108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838-06 --locoid 4030 --swversion DE.1.0.7.0 --startMP 300:58649 --initTime 2016-10-06T18:37:18 --startdatetime 2016-10-06T18:39:40 --delay 0 --endMP 204:708 --enddatetime 2016-10-06T18:55:27 --enforcementcount 0 &gt;&gt;C:\Users\stu\Documents\GitHub\eaglep3-reporting\EC\2016-10-06-refined-times.txt</v>
      </c>
      <c r="AI207" s="130" t="str">
        <f t="shared" ref="AI207:AI255" si="109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{"issue":{"subject":"","project_id":79,"tracker_id":40,"status_id":1,"priority_id":2,"assigned_to_id":23,"start_date":"2016-10-06","description":"","custom_fields":[{"id":1,"name":"Subdivision","value":"NW"},{"id":4,"name":"Milepost","value":"0.0708"},{"id":17,"name":"Train ID","value":"838-06"},{"id":16,"name":"Locomotive ID","value":"4030"},{"id":130,"name":"Impact","value":""},{"id":150,"name":"Time of Event (Mountain Time)","value":"18:55:27"},{"id":151,"name":"Denver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580</v>
      </c>
      <c r="B208" s="7">
        <v>4053</v>
      </c>
      <c r="C208" s="24" t="s">
        <v>106</v>
      </c>
      <c r="D208" s="24" t="s">
        <v>375</v>
      </c>
      <c r="E208" s="15">
        <v>42649.783125000002</v>
      </c>
      <c r="F208" s="15">
        <v>42649.785590277781</v>
      </c>
      <c r="G208" s="7">
        <v>3</v>
      </c>
      <c r="H208" s="15" t="s">
        <v>804</v>
      </c>
      <c r="I208" s="15">
        <v>42649.794444444444</v>
      </c>
      <c r="J208" s="7">
        <v>0</v>
      </c>
      <c r="K208" s="117" t="str">
        <f t="shared" si="95"/>
        <v>4053/4054</v>
      </c>
      <c r="L208" s="24" t="str">
        <f>VLOOKUP(A208,'Trips&amp;Operators'!$C$1:$E$10000,3,FALSE)</f>
        <v>YANAI</v>
      </c>
      <c r="M208" s="6">
        <f t="shared" si="96"/>
        <v>8.8541666627861559E-3</v>
      </c>
      <c r="N208" s="7">
        <f t="shared" si="93"/>
        <v>12.749999994412065</v>
      </c>
      <c r="O208" s="7"/>
      <c r="P208" s="7"/>
      <c r="Q208" s="25"/>
      <c r="R208" s="25" t="s">
        <v>837</v>
      </c>
      <c r="S208" s="37">
        <f t="shared" si="97"/>
        <v>1</v>
      </c>
      <c r="T208" s="52" t="str">
        <f t="shared" si="105"/>
        <v>NorthBound</v>
      </c>
      <c r="U208" s="159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17:47:42-0600',mode:absolute,to:'2016-10-06 20:04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8" s="54" t="str">
        <f t="shared" si="99"/>
        <v>N</v>
      </c>
      <c r="X208" s="164">
        <f t="shared" ref="X208:X211" si="110">VALUE(LEFT(AD208,4))-VALUE(LEFT(AD207,4))</f>
        <v>1</v>
      </c>
      <c r="Y208" s="69">
        <f t="shared" si="100"/>
        <v>0.1014</v>
      </c>
      <c r="Z208" s="69">
        <f t="shared" si="101"/>
        <v>5.8935000000000004</v>
      </c>
      <c r="AA208" s="69">
        <f t="shared" si="102"/>
        <v>5.7921000000000005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106"/>
        <v>0839-06</v>
      </c>
      <c r="AE208" s="95" t="str">
        <f t="shared" si="103"/>
        <v>aws s3 cp s3://rtdc.mdm.uploadarchive.raw/RTDC4053/ "%USERPROFILE%\AppData\Local\Temp\OnboardLogs"\RTDC4053\2016-10-06 --exclude "*" --recursive --include "*20161006*" &amp; "%USERPROFILE%\Documents\GitHub\mrs-test-scripts\Headless Mode &amp; Sideloading\WalkAndUnGZ.bat" "%USERPROFILE%\AppData\Local\Temp\OnboardLogs"\RTDC4053\2016-10-06 &amp; 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</v>
      </c>
      <c r="AF208" s="92" t="str">
        <f t="shared" si="104"/>
        <v>"C:\Program Files (x86)\AstroGrep\AstroGrep.exe" /spath="%USERPROFILE%\AppData\Local\Temp\OnboardLogs" /stypes="app*4053*20161007*" /stext=" 01:.+((SYSTEM_STATE.+slice.+state.+changed )|(ment ac)|(system.+state.+changed )|(\[timeout)|(PRM\|1\|D)|(kpr)|(kdp)|(\|lc)|(penalty))" /e /r /s</v>
      </c>
      <c r="AG208" s="1" t="str">
        <f t="shared" si="107"/>
        <v>NW</v>
      </c>
      <c r="AH208" s="96" t="str">
        <f t="shared" si="108"/>
        <v>"%USERPROFILE%\Documents\GitHub\eaglep3\Utilities\RefineRTDCRunTimes.py" --tripid 839-06 --locoid 4053 --swversion DE.1.0.7.0 --startMP 204:1014 --initTime 2016-10-06T18:47:42 --startdatetime 2016-10-06T18:51:15 --delay 3 --endMP 300:58935 --enddatetime 2016-10-06T19:04:00 --enforcementcount 0 &gt;&gt;C:\Users\stu\Documents\GitHub\eaglep3-reporting\EC\2016-10-06-refined-times.txt</v>
      </c>
      <c r="AI208" s="130" t="str">
        <f t="shared" si="109"/>
        <v>echo {"issue":{"subject":"Onboard in-route failure delayed departure","project_id":79,"tracker_id":40,"status_id":1,"priority_id":2,"assigned_to_id":23,"start_date":"2016-10-06","description":"","custom_fields":[{"id":1,"name":"Subdivision","value":"NW"},{"id":4,"name":"Milepost","value":"5.8935"},{"id":17,"name":"Train ID","value":"839-06"},{"id":16,"name":"Locomotive ID","value":"4053"},{"id":130,"name":"Impact","value":""},{"id":150,"name":"Time of Event (Mountain Time)","value":"19:04:00"},{"id":151,"name":"Denver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589</v>
      </c>
      <c r="B209" s="7">
        <v>4030</v>
      </c>
      <c r="C209" s="24" t="s">
        <v>106</v>
      </c>
      <c r="D209" s="24" t="s">
        <v>805</v>
      </c>
      <c r="E209" s="15">
        <v>42649.81758101852</v>
      </c>
      <c r="F209" s="15">
        <v>42649.819166666668</v>
      </c>
      <c r="G209" s="7">
        <v>1</v>
      </c>
      <c r="H209" s="15" t="s">
        <v>766</v>
      </c>
      <c r="I209" s="15">
        <v>42649.832152777781</v>
      </c>
      <c r="J209" s="7">
        <v>0</v>
      </c>
      <c r="K209" s="117" t="str">
        <f t="shared" si="95"/>
        <v>4029/4030</v>
      </c>
      <c r="L209" s="24" t="str">
        <f>VLOOKUP(A209,'Trips&amp;Operators'!$C$1:$E$10000,3,FALSE)</f>
        <v>PUGH</v>
      </c>
      <c r="M209" s="6">
        <f t="shared" si="96"/>
        <v>1.2986111112695653E-2</v>
      </c>
      <c r="N209" s="7">
        <f t="shared" si="93"/>
        <v>18.70000000228174</v>
      </c>
      <c r="O209" s="7"/>
      <c r="P209" s="7"/>
      <c r="Q209" s="25"/>
      <c r="R209" s="25"/>
      <c r="S209" s="37">
        <f t="shared" si="97"/>
        <v>1</v>
      </c>
      <c r="T209" s="52" t="str">
        <f t="shared" si="105"/>
        <v>Southbound</v>
      </c>
      <c r="U209" s="159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18:37:19-0600',mode:absolute,to:'2016-10-06 20:58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9" s="54" t="str">
        <f t="shared" si="99"/>
        <v>N</v>
      </c>
      <c r="X209" s="164">
        <f t="shared" si="110"/>
        <v>1</v>
      </c>
      <c r="Y209" s="69">
        <f t="shared" si="100"/>
        <v>5.86</v>
      </c>
      <c r="Z209" s="69">
        <f t="shared" si="101"/>
        <v>7.2700000000000001E-2</v>
      </c>
      <c r="AA209" s="69">
        <f t="shared" si="102"/>
        <v>5.7873000000000001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106"/>
        <v>0840-06</v>
      </c>
      <c r="AE209" s="95" t="str">
        <f t="shared" si="103"/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AF209" s="92" t="str">
        <f t="shared" si="104"/>
        <v>"C:\Program Files (x86)\AstroGrep\AstroGrep.exe" /spath="%USERPROFILE%\AppData\Local\Temp\OnboardLogs" /stypes="app*4030*20161007*" /stext=" 01:.+((SYSTEM_STATE.+slice.+state.+changed )|(ment ac)|(system.+state.+changed )|(\[timeout)|(PRM\|1\|D)|(kpr)|(kdp)|(\|lc)|(penalty))" /e /r /s</v>
      </c>
      <c r="AG209" s="1" t="str">
        <f t="shared" si="107"/>
        <v>NW</v>
      </c>
      <c r="AH209" s="96" t="str">
        <f t="shared" si="108"/>
        <v>"%USERPROFILE%\Documents\GitHub\eaglep3\Utilities\RefineRTDCRunTimes.py" --tripid 840-06 --locoid 4030 --swversion DE.1.0.7.0 --startMP 300:58600 --initTime 2016-10-06T19:37:19 --startdatetime 2016-10-06T19:39:36 --delay 1 --endMP 204:727 --enddatetime 2016-10-06T19:58:18 --enforcementcount 0 &gt;&gt;C:\Users\stu\Documents\GitHub\eaglep3-reporting\EC\2016-10-06-refined-times.txt</v>
      </c>
      <c r="AI209" s="130" t="str">
        <f t="shared" si="109"/>
        <v>echo {"issue":{"subject":"","project_id":79,"tracker_id":40,"status_id":1,"priority_id":2,"assigned_to_id":23,"start_date":"2016-10-06","description":"","custom_fields":[{"id":1,"name":"Subdivision","value":"NW"},{"id":4,"name":"Milepost","value":"0.0727"},{"id":17,"name":"Train ID","value":"840-06"},{"id":16,"name":"Locomotive ID","value":"4030"},{"id":130,"name":"Impact","value":""},{"id":150,"name":"Time of Event (Mountain Time)","value":"19:58:18"},{"id":151,"name":"Denver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587</v>
      </c>
      <c r="B210" s="7">
        <v>4029</v>
      </c>
      <c r="C210" s="24" t="s">
        <v>106</v>
      </c>
      <c r="D210" s="24" t="s">
        <v>778</v>
      </c>
      <c r="E210" s="15">
        <v>42649.803761574076</v>
      </c>
      <c r="F210" s="15">
        <v>42649.806481481479</v>
      </c>
      <c r="G210" s="7">
        <v>1</v>
      </c>
      <c r="H210" s="15" t="s">
        <v>806</v>
      </c>
      <c r="I210" s="15">
        <v>42649.815960648149</v>
      </c>
      <c r="J210" s="7">
        <v>0</v>
      </c>
      <c r="K210" s="117" t="str">
        <f t="shared" si="95"/>
        <v>4029/4030</v>
      </c>
      <c r="L210" s="24" t="str">
        <f>VLOOKUP(A210,'Trips&amp;Operators'!$C$1:$E$10000,3,FALSE)</f>
        <v>PUGH</v>
      </c>
      <c r="M210" s="6">
        <f t="shared" si="96"/>
        <v>9.4791666706441902E-3</v>
      </c>
      <c r="N210" s="7">
        <f t="shared" si="93"/>
        <v>13.650000005727634</v>
      </c>
      <c r="O210" s="7"/>
      <c r="P210" s="7"/>
      <c r="Q210" s="25"/>
      <c r="R210" s="25"/>
      <c r="S210" s="37">
        <f t="shared" si="97"/>
        <v>1</v>
      </c>
      <c r="T210" s="52" t="str">
        <f t="shared" si="105"/>
        <v>NorthBound</v>
      </c>
      <c r="U210" s="159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18:17:25-0600',mode:absolute,to:'2016-10-06 20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0" s="54" t="str">
        <f t="shared" si="99"/>
        <v>N</v>
      </c>
      <c r="X210" s="164">
        <f t="shared" si="110"/>
        <v>1</v>
      </c>
      <c r="Y210" s="69">
        <f t="shared" si="100"/>
        <v>9.7900000000000001E-2</v>
      </c>
      <c r="Z210" s="69">
        <f t="shared" si="101"/>
        <v>5.8914</v>
      </c>
      <c r="AA210" s="69">
        <f t="shared" si="102"/>
        <v>5.7934999999999999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106"/>
        <v>0841-06</v>
      </c>
      <c r="AE210" s="95" t="str">
        <f t="shared" si="103"/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AF210" s="92" t="str">
        <f t="shared" si="104"/>
        <v>"C:\Program Files (x86)\AstroGrep\AstroGrep.exe" /spath="%USERPROFILE%\AppData\Local\Temp\OnboardLogs" /stypes="app*4029*20161007*" /stext=" 01:.+((SYSTEM_STATE.+slice.+state.+changed )|(ment ac)|(system.+state.+changed )|(\[timeout)|(PRM\|1\|D)|(kpr)|(kdp)|(\|lc)|(penalty))" /e /r /s</v>
      </c>
      <c r="AG210" s="1" t="str">
        <f t="shared" si="107"/>
        <v>NW</v>
      </c>
      <c r="AH210" s="96" t="str">
        <f t="shared" si="108"/>
        <v>"%USERPROFILE%\Documents\GitHub\eaglep3\Utilities\RefineRTDCRunTimes.py" --tripid 841-06 --locoid 4029 --swversion DE.1.0.7.0 --startMP 204:979 --initTime 2016-10-06T19:17:25 --startdatetime 2016-10-06T19:21:20 --delay 1 --endMP 300:58914 --enddatetime 2016-10-06T19:34:59 --enforcementcount 0 &gt;&gt;C:\Users\stu\Documents\GitHub\eaglep3-reporting\EC\2016-10-06-refined-times.txt</v>
      </c>
      <c r="AI210" s="130" t="str">
        <f t="shared" si="109"/>
        <v>echo {"issue":{"subject":"","project_id":79,"tracker_id":40,"status_id":1,"priority_id":2,"assigned_to_id":23,"start_date":"2016-10-06","description":"","custom_fields":[{"id":1,"name":"Subdivision","value":"NW"},{"id":4,"name":"Milepost","value":"5.8914"},{"id":17,"name":"Train ID","value":"841-06"},{"id":16,"name":"Locomotive ID","value":"4029"},{"id":130,"name":"Impact","value":""},{"id":150,"name":"Time of Event (Mountain Time)","value":"19:34:59"},{"id":151,"name":"Denver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596</v>
      </c>
      <c r="B211" s="7">
        <v>4030</v>
      </c>
      <c r="C211" s="24" t="s">
        <v>106</v>
      </c>
      <c r="D211" s="24" t="s">
        <v>377</v>
      </c>
      <c r="E211" s="15">
        <v>42649.861678240741</v>
      </c>
      <c r="F211" s="15">
        <v>42649.86347222222</v>
      </c>
      <c r="G211" s="7">
        <v>1</v>
      </c>
      <c r="H211" s="15" t="s">
        <v>293</v>
      </c>
      <c r="I211" s="15">
        <v>42649.872731481482</v>
      </c>
      <c r="J211" s="7">
        <v>0</v>
      </c>
      <c r="K211" s="117" t="str">
        <f t="shared" si="95"/>
        <v>4029/4030</v>
      </c>
      <c r="L211" s="24" t="str">
        <f>VLOOKUP(A211,'Trips&amp;Operators'!$C$1:$E$10000,3,FALSE)</f>
        <v>PUGH</v>
      </c>
      <c r="M211" s="6">
        <f t="shared" si="96"/>
        <v>9.2592592627624981E-3</v>
      </c>
      <c r="N211" s="7">
        <f t="shared" si="93"/>
        <v>13.333333338377997</v>
      </c>
      <c r="O211" s="7"/>
      <c r="P211" s="7"/>
      <c r="Q211" s="25"/>
      <c r="R211" s="25"/>
      <c r="S211" s="37">
        <f t="shared" si="97"/>
        <v>1</v>
      </c>
      <c r="T211" s="52" t="str">
        <f t="shared" si="105"/>
        <v>Southbound</v>
      </c>
      <c r="U211" s="159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19:40:49-0600',mode:absolute,to:'2016-10-06 21:56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1" s="54" t="str">
        <f t="shared" si="99"/>
        <v>N</v>
      </c>
      <c r="X211" s="164">
        <f t="shared" si="110"/>
        <v>1</v>
      </c>
      <c r="Y211" s="69">
        <f t="shared" si="100"/>
        <v>5.8666</v>
      </c>
      <c r="Z211" s="69">
        <f t="shared" si="101"/>
        <v>7.1199999999999999E-2</v>
      </c>
      <c r="AA211" s="69">
        <f t="shared" si="102"/>
        <v>5.7953999999999999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106"/>
        <v>0842-06</v>
      </c>
      <c r="AE211" s="95" t="str">
        <f t="shared" si="103"/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AF211" s="92" t="str">
        <f t="shared" si="104"/>
        <v>"C:\Program Files (x86)\AstroGrep\AstroGrep.exe" /spath="%USERPROFILE%\AppData\Local\Temp\OnboardLogs" /stypes="app*4030*20161007*" /stext=" 02:.+((SYSTEM_STATE.+slice.+state.+changed )|(ment ac)|(system.+state.+changed )|(\[timeout)|(PRM\|1\|D)|(kpr)|(kdp)|(\|lc)|(penalty))" /e /r /s</v>
      </c>
      <c r="AG211" s="1" t="str">
        <f t="shared" si="107"/>
        <v>NW</v>
      </c>
      <c r="AH211" s="96" t="str">
        <f t="shared" si="108"/>
        <v>"%USERPROFILE%\Documents\GitHub\eaglep3\Utilities\RefineRTDCRunTimes.py" --tripid 842-06 --locoid 4030 --swversion DE.1.0.7.0 --startMP 300:58666 --initTime 2016-10-06T20:40:49 --startdatetime 2016-10-06T20:43:24 --delay 1 --endMP 204:712 --enddatetime 2016-10-06T20:56:44 --enforcementcount 0 &gt;&gt;C:\Users\stu\Documents\GitHub\eaglep3-reporting\EC\2016-10-06-refined-times.txt</v>
      </c>
      <c r="AI211" s="130" t="str">
        <f t="shared" si="109"/>
        <v>echo {"issue":{"subject":"","project_id":79,"tracker_id":40,"status_id":1,"priority_id":2,"assigned_to_id":23,"start_date":"2016-10-06","description":"","custom_fields":[{"id":1,"name":"Subdivision","value":"NW"},{"id":4,"name":"Milepost","value":"0.0712"},{"id":17,"name":"Train ID","value":"842-06"},{"id":16,"name":"Locomotive ID","value":"4030"},{"id":130,"name":"Impact","value":""},{"id":150,"name":"Time of Event (Mountain Time)","value":"20:56:44"},{"id":151,"name":"Denver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593</v>
      </c>
      <c r="B212" s="7">
        <v>4029</v>
      </c>
      <c r="C212" s="24" t="s">
        <v>106</v>
      </c>
      <c r="D212" s="24" t="s">
        <v>762</v>
      </c>
      <c r="E212" s="15">
        <v>42649.844502314816</v>
      </c>
      <c r="F212" s="15">
        <v>42649.848379629628</v>
      </c>
      <c r="G212" s="7">
        <v>1</v>
      </c>
      <c r="H212" s="15" t="s">
        <v>807</v>
      </c>
      <c r="I212" s="15">
        <v>42649.859351851854</v>
      </c>
      <c r="J212" s="7">
        <v>0</v>
      </c>
      <c r="K212" s="117" t="str">
        <f t="shared" si="95"/>
        <v>4029/4030</v>
      </c>
      <c r="L212" s="24" t="str">
        <f>VLOOKUP(A212,'Trips&amp;Operators'!$C$1:$E$10000,3,FALSE)</f>
        <v>PUGH</v>
      </c>
      <c r="M212" s="6">
        <f t="shared" si="96"/>
        <v>1.0972222225973383E-2</v>
      </c>
      <c r="N212" s="7">
        <f t="shared" si="93"/>
        <v>15.800000005401671</v>
      </c>
      <c r="O212" s="7"/>
      <c r="P212" s="7"/>
      <c r="Q212" s="25"/>
      <c r="R212" s="25"/>
      <c r="S212" s="37">
        <f t="shared" si="97"/>
        <v>1</v>
      </c>
      <c r="T212" s="52" t="str">
        <f t="shared" si="105"/>
        <v>NorthBound</v>
      </c>
      <c r="U212" s="159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19:16:05-0600',mode:absolute,to:'2016-10-06 21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2" s="54" t="str">
        <f t="shared" si="99"/>
        <v>N</v>
      </c>
      <c r="X212" s="164">
        <f t="shared" ref="X212:X255" si="111">VALUE(LEFT(AD212,4))-VALUE(LEFT(AD211,4))</f>
        <v>1</v>
      </c>
      <c r="Y212" s="69">
        <f t="shared" si="100"/>
        <v>0.1023</v>
      </c>
      <c r="Z212" s="69">
        <f t="shared" si="101"/>
        <v>5.8986000000000001</v>
      </c>
      <c r="AA212" s="69">
        <f t="shared" si="102"/>
        <v>5.7963000000000005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106"/>
        <v>0843-06</v>
      </c>
      <c r="AE212" s="95" t="str">
        <f t="shared" si="103"/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AF212" s="92" t="str">
        <f t="shared" si="104"/>
        <v>"C:\Program Files (x86)\AstroGrep\AstroGrep.exe" /spath="%USERPROFILE%\AppData\Local\Temp\OnboardLogs" /stypes="app*4029*20161007*" /stext=" 02:.+((SYSTEM_STATE.+slice.+state.+changed )|(ment ac)|(system.+state.+changed )|(\[timeout)|(PRM\|1\|D)|(kpr)|(kdp)|(\|lc)|(penalty))" /e /r /s</v>
      </c>
      <c r="AG212" s="1" t="str">
        <f t="shared" si="107"/>
        <v>NW</v>
      </c>
      <c r="AH212" s="96" t="str">
        <f t="shared" si="108"/>
        <v>"%USERPROFILE%\Documents\GitHub\eaglep3\Utilities\RefineRTDCRunTimes.py" --tripid 843-06 --locoid 4029 --swversion DE.1.0.7.0 --startMP 204:1023 --initTime 2016-10-06T20:16:05 --startdatetime 2016-10-06T20:21:40 --delay 1 --endMP 300:58986 --enddatetime 2016-10-06T20:37:28 --enforcementcount 0 &gt;&gt;C:\Users\stu\Documents\GitHub\eaglep3-reporting\EC\2016-10-06-refined-times.txt</v>
      </c>
      <c r="AI212" s="130" t="str">
        <f t="shared" si="109"/>
        <v>echo {"issue":{"subject":"","project_id":79,"tracker_id":40,"status_id":1,"priority_id":2,"assigned_to_id":23,"start_date":"2016-10-06","description":"","custom_fields":[{"id":1,"name":"Subdivision","value":"NW"},{"id":4,"name":"Milepost","value":"5.8986"},{"id":17,"name":"Train ID","value":"843-06"},{"id":16,"name":"Locomotive ID","value":"4029"},{"id":130,"name":"Impact","value":""},{"id":150,"name":"Time of Event (Mountain Time)","value":"20:37:28"},{"id":151,"name":"Denver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602</v>
      </c>
      <c r="B213" s="7">
        <v>4030</v>
      </c>
      <c r="C213" s="24" t="s">
        <v>106</v>
      </c>
      <c r="D213" s="24" t="s">
        <v>792</v>
      </c>
      <c r="E213" s="15">
        <v>42649.899710648147</v>
      </c>
      <c r="F213" s="15">
        <v>42649.901250000003</v>
      </c>
      <c r="G213" s="7">
        <v>1</v>
      </c>
      <c r="H213" s="15" t="s">
        <v>808</v>
      </c>
      <c r="I213" s="15">
        <v>42649.91302083333</v>
      </c>
      <c r="J213" s="7">
        <v>0</v>
      </c>
      <c r="K213" s="117" t="str">
        <f t="shared" si="95"/>
        <v>4029/4030</v>
      </c>
      <c r="L213" s="24" t="str">
        <f>VLOOKUP(A213,'Trips&amp;Operators'!$C$1:$E$10000,3,FALSE)</f>
        <v>YANAI</v>
      </c>
      <c r="M213" s="6">
        <f t="shared" si="96"/>
        <v>1.1770833327318542E-2</v>
      </c>
      <c r="N213" s="7">
        <f t="shared" si="93"/>
        <v>16.9499999913387</v>
      </c>
      <c r="O213" s="7"/>
      <c r="P213" s="7"/>
      <c r="Q213" s="25"/>
      <c r="R213" s="25"/>
      <c r="S213" s="37">
        <f t="shared" si="97"/>
        <v>1</v>
      </c>
      <c r="T213" s="52" t="str">
        <f t="shared" si="105"/>
        <v>Southbound</v>
      </c>
      <c r="U213" s="159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20:35:35-0600',mode:absolute,to:'2016-10-06 22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3" s="54" t="str">
        <f t="shared" si="99"/>
        <v>N</v>
      </c>
      <c r="X213" s="164">
        <f t="shared" si="111"/>
        <v>1</v>
      </c>
      <c r="Y213" s="69">
        <f t="shared" si="100"/>
        <v>5.8639999999999999</v>
      </c>
      <c r="Z213" s="69">
        <f t="shared" si="101"/>
        <v>6.54E-2</v>
      </c>
      <c r="AA213" s="69">
        <f t="shared" si="102"/>
        <v>5.7985999999999995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106"/>
        <v>0844-06</v>
      </c>
      <c r="AE213" s="95" t="str">
        <f t="shared" si="103"/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AF213" s="92" t="str">
        <f t="shared" si="104"/>
        <v>"C:\Program Files (x86)\AstroGrep\AstroGrep.exe" /spath="%USERPROFILE%\AppData\Local\Temp\OnboardLogs" /stypes="app*4030*20161007*" /stext=" 03:.+((SYSTEM_STATE.+slice.+state.+changed )|(ment ac)|(system.+state.+changed )|(\[timeout)|(PRM\|1\|D)|(kpr)|(kdp)|(\|lc)|(penalty))" /e /r /s</v>
      </c>
      <c r="AG213" s="1" t="str">
        <f t="shared" si="107"/>
        <v>NW</v>
      </c>
      <c r="AH213" s="96" t="str">
        <f t="shared" si="108"/>
        <v>"%USERPROFILE%\Documents\GitHub\eaglep3\Utilities\RefineRTDCRunTimes.py" --tripid 844-06 --locoid 4030 --swversion DE.1.0.7.0 --startMP 300:58640 --initTime 2016-10-06T21:35:35 --startdatetime 2016-10-06T21:37:48 --delay 1 --endMP 204:654 --enddatetime 2016-10-06T21:54:45 --enforcementcount 0 &gt;&gt;C:\Users\stu\Documents\GitHub\eaglep3-reporting\EC\2016-10-06-refined-times.txt</v>
      </c>
      <c r="AI213" s="130" t="str">
        <f t="shared" si="109"/>
        <v>echo {"issue":{"subject":"","project_id":79,"tracker_id":40,"status_id":1,"priority_id":2,"assigned_to_id":23,"start_date":"2016-10-06","description":"","custom_fields":[{"id":1,"name":"Subdivision","value":"NW"},{"id":4,"name":"Milepost","value":"0.0654"},{"id":17,"name":"Train ID","value":"844-06"},{"id":16,"name":"Locomotive ID","value":"4030"},{"id":130,"name":"Impact","value":""},{"id":150,"name":"Time of Event (Mountain Time)","value":"21:54:45"},{"id":151,"name":"Denver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600</v>
      </c>
      <c r="B214" s="7">
        <v>4029</v>
      </c>
      <c r="C214" s="24" t="s">
        <v>106</v>
      </c>
      <c r="D214" s="24" t="s">
        <v>314</v>
      </c>
      <c r="E214" s="15">
        <v>42649.887048611112</v>
      </c>
      <c r="F214" s="15">
        <v>42649.889745370368</v>
      </c>
      <c r="G214" s="7">
        <v>1</v>
      </c>
      <c r="H214" s="15" t="s">
        <v>809</v>
      </c>
      <c r="I214" s="15">
        <v>42649.898634259262</v>
      </c>
      <c r="J214" s="7">
        <v>0</v>
      </c>
      <c r="K214" s="117" t="str">
        <f t="shared" si="95"/>
        <v>4029/4030</v>
      </c>
      <c r="L214" s="24" t="str">
        <f>VLOOKUP(A214,'Trips&amp;Operators'!$C$1:$E$10000,3,FALSE)</f>
        <v>YANAI</v>
      </c>
      <c r="M214" s="6">
        <f t="shared" si="96"/>
        <v>8.8888888931251131E-3</v>
      </c>
      <c r="N214" s="7">
        <f t="shared" si="93"/>
        <v>12.800000006100163</v>
      </c>
      <c r="O214" s="7"/>
      <c r="P214" s="7"/>
      <c r="Q214" s="25"/>
      <c r="R214" s="25"/>
      <c r="S214" s="37">
        <f t="shared" si="97"/>
        <v>1</v>
      </c>
      <c r="T214" s="52" t="str">
        <f t="shared" si="105"/>
        <v>NorthBound</v>
      </c>
      <c r="U214" s="159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20:17:21-0600',mode:absolute,to:'2016-10-06 22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4" s="54" t="str">
        <f t="shared" si="99"/>
        <v>N</v>
      </c>
      <c r="X214" s="164">
        <f t="shared" si="111"/>
        <v>1</v>
      </c>
      <c r="Y214" s="69">
        <f t="shared" si="100"/>
        <v>0.1002</v>
      </c>
      <c r="Z214" s="69">
        <f t="shared" si="101"/>
        <v>5.8956</v>
      </c>
      <c r="AA214" s="69">
        <f t="shared" si="102"/>
        <v>5.7953999999999999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106"/>
        <v>0845-06</v>
      </c>
      <c r="AE214" s="95" t="str">
        <f t="shared" si="103"/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AF214" s="92" t="str">
        <f t="shared" si="104"/>
        <v>"C:\Program Files (x86)\AstroGrep\AstroGrep.exe" /spath="%USERPROFILE%\AppData\Local\Temp\OnboardLogs" /stypes="app*4029*20161007*" /stext=" 03:.+((SYSTEM_STATE.+slice.+state.+changed )|(ment ac)|(system.+state.+changed )|(\[timeout)|(PRM\|1\|D)|(kpr)|(kdp)|(\|lc)|(penalty))" /e /r /s</v>
      </c>
      <c r="AG214" s="1" t="str">
        <f t="shared" si="107"/>
        <v>NW</v>
      </c>
      <c r="AH214" s="96" t="str">
        <f t="shared" si="108"/>
        <v>"%USERPROFILE%\Documents\GitHub\eaglep3\Utilities\RefineRTDCRunTimes.py" --tripid 845-06 --locoid 4029 --swversion DE.1.0.7.0 --startMP 204:1002 --initTime 2016-10-06T21:17:21 --startdatetime 2016-10-06T21:21:14 --delay 1 --endMP 300:58956 --enddatetime 2016-10-06T21:34:02 --enforcementcount 0 &gt;&gt;C:\Users\stu\Documents\GitHub\eaglep3-reporting\EC\2016-10-06-refined-times.txt</v>
      </c>
      <c r="AI214" s="130" t="str">
        <f t="shared" si="109"/>
        <v>echo {"issue":{"subject":"","project_id":79,"tracker_id":40,"status_id":1,"priority_id":2,"assigned_to_id":23,"start_date":"2016-10-06","description":"","custom_fields":[{"id":1,"name":"Subdivision","value":"NW"},{"id":4,"name":"Milepost","value":"5.8956"},{"id":17,"name":"Train ID","value":"845-06"},{"id":16,"name":"Locomotive ID","value":"4029"},{"id":130,"name":"Impact","value":""},{"id":150,"name":"Time of Event (Mountain Time)","value":"21:34:02"},{"id":151,"name":"Denver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605</v>
      </c>
      <c r="B215" s="7">
        <v>4029</v>
      </c>
      <c r="C215" s="24" t="s">
        <v>106</v>
      </c>
      <c r="D215" s="24" t="s">
        <v>810</v>
      </c>
      <c r="E215" s="15">
        <v>42649.926701388889</v>
      </c>
      <c r="F215" s="15">
        <v>42649.931435185186</v>
      </c>
      <c r="G215" s="7">
        <v>1</v>
      </c>
      <c r="H215" s="15" t="s">
        <v>366</v>
      </c>
      <c r="I215" s="15">
        <v>42649.940520833334</v>
      </c>
      <c r="J215" s="7">
        <v>0</v>
      </c>
      <c r="K215" s="117" t="str">
        <f t="shared" si="95"/>
        <v>4029/4030</v>
      </c>
      <c r="L215" s="24" t="str">
        <f>VLOOKUP(A215,'Trips&amp;Operators'!$C$1:$E$10000,3,FALSE)</f>
        <v>YANAI</v>
      </c>
      <c r="M215" s="6">
        <f t="shared" si="96"/>
        <v>9.0856481474475004E-3</v>
      </c>
      <c r="N215" s="7">
        <f t="shared" si="93"/>
        <v>13.083333332324401</v>
      </c>
      <c r="O215" s="7"/>
      <c r="P215" s="7"/>
      <c r="Q215" s="25"/>
      <c r="R215" s="25"/>
      <c r="S215" s="37">
        <f t="shared" si="97"/>
        <v>1</v>
      </c>
      <c r="T215" s="52" t="str">
        <f t="shared" si="105"/>
        <v>NorthBound</v>
      </c>
      <c r="U215" s="159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21:14:27-0600',mode:absolute,to:'2016-10-06 23:34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5" s="54" t="str">
        <f t="shared" si="99"/>
        <v>N</v>
      </c>
      <c r="X215" s="164">
        <f t="shared" si="111"/>
        <v>2</v>
      </c>
      <c r="Y215" s="69">
        <f t="shared" si="100"/>
        <v>9.4799999999999995E-2</v>
      </c>
      <c r="Z215" s="69">
        <f t="shared" si="101"/>
        <v>5.8949999999999996</v>
      </c>
      <c r="AA215" s="69">
        <f t="shared" si="102"/>
        <v>5.8001999999999994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106"/>
        <v>0847-06</v>
      </c>
      <c r="AE215" s="95" t="str">
        <f t="shared" si="103"/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AF215" s="92" t="str">
        <f t="shared" si="104"/>
        <v>"C:\Program Files (x86)\AstroGrep\AstroGrep.exe" /spath="%USERPROFILE%\AppData\Local\Temp\OnboardLogs" /stypes="app*4029*20161007*" /stext=" 04:.+((SYSTEM_STATE.+slice.+state.+changed )|(ment ac)|(system.+state.+changed )|(\[timeout)|(PRM\|1\|D)|(kpr)|(kdp)|(\|lc)|(penalty))" /e /r /s</v>
      </c>
      <c r="AG215" s="1" t="str">
        <f t="shared" si="107"/>
        <v>NW</v>
      </c>
      <c r="AH215" s="96" t="str">
        <f t="shared" si="108"/>
        <v>"%USERPROFILE%\Documents\GitHub\eaglep3\Utilities\RefineRTDCRunTimes.py" --tripid 847-06 --locoid 4029 --swversion DE.1.0.7.0 --startMP 204:948 --initTime 2016-10-06T22:14:27 --startdatetime 2016-10-06T22:21:16 --delay 1 --endMP 300:58950 --enddatetime 2016-10-06T22:34:21 --enforcementcount 0 &gt;&gt;C:\Users\stu\Documents\GitHub\eaglep3-reporting\EC\2016-10-06-refined-times.txt</v>
      </c>
      <c r="AI215" s="130" t="str">
        <f t="shared" si="109"/>
        <v>echo {"issue":{"subject":"","project_id":79,"tracker_id":40,"status_id":1,"priority_id":2,"assigned_to_id":23,"start_date":"2016-10-06","description":"","custom_fields":[{"id":1,"name":"Subdivision","value":"NW"},{"id":4,"name":"Milepost","value":"5.895"},{"id":17,"name":"Train ID","value":"847-06"},{"id":16,"name":"Locomotive ID","value":"4029"},{"id":130,"name":"Impact","value":""},{"id":150,"name":"Time of Event (Mountain Time)","value":"22:34:21"},{"id":151,"name":"Denver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388</v>
      </c>
      <c r="B216" s="7">
        <v>4032</v>
      </c>
      <c r="C216" s="24" t="s">
        <v>106</v>
      </c>
      <c r="D216" s="24" t="s">
        <v>715</v>
      </c>
      <c r="E216" s="15">
        <v>42649.119444444441</v>
      </c>
      <c r="F216" s="15">
        <v>42649.122407407405</v>
      </c>
      <c r="G216" s="7">
        <v>3</v>
      </c>
      <c r="H216" s="15" t="s">
        <v>213</v>
      </c>
      <c r="I216" s="15">
        <v>42649.128634259258</v>
      </c>
      <c r="J216" s="7">
        <v>0</v>
      </c>
      <c r="K216" s="117" t="str">
        <f t="shared" si="95"/>
        <v>4031/4032</v>
      </c>
      <c r="L216" s="24" t="str">
        <f>VLOOKUP(A216,'Trips&amp;Operators'!$C$1:$E$10000,3,FALSE)</f>
        <v>MAELZER</v>
      </c>
      <c r="M216" s="6">
        <f t="shared" si="96"/>
        <v>6.2268518522614613E-3</v>
      </c>
      <c r="N216" s="7">
        <f t="shared" si="93"/>
        <v>8.9666666672565043</v>
      </c>
      <c r="O216" s="7"/>
      <c r="P216" s="7"/>
      <c r="Q216" s="25"/>
      <c r="R216" s="25"/>
      <c r="S216" s="37">
        <f t="shared" si="97"/>
        <v>1</v>
      </c>
      <c r="T216" s="52" t="str">
        <f t="shared" si="105"/>
        <v>Southbound</v>
      </c>
      <c r="U216" s="159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01:52:00-0600',mode:absolute,to:'2016-10-06 04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6" s="54" t="str">
        <f t="shared" si="99"/>
        <v>Y</v>
      </c>
      <c r="X216" s="164">
        <f t="shared" si="111"/>
        <v>-545</v>
      </c>
      <c r="Y216" s="69">
        <f t="shared" si="100"/>
        <v>2.3109999999999999</v>
      </c>
      <c r="Z216" s="69">
        <f t="shared" si="101"/>
        <v>1.41E-2</v>
      </c>
      <c r="AA216" s="69">
        <f t="shared" si="102"/>
        <v>2.2968999999999999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106"/>
        <v>0302-06</v>
      </c>
      <c r="AE216" s="95" t="str">
        <f t="shared" si="103"/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AF216" s="92" t="str">
        <f t="shared" si="104"/>
        <v>"C:\Program Files (x86)\AstroGrep\AstroGrep.exe" /spath="%USERPROFILE%\AppData\Local\Temp\OnboardLogs" /stypes="app*4032*20161006*" /stext=" 09:.+((SYSTEM_STATE.+slice.+state.+changed )|(ment ac)|(system.+state.+changed )|(\[timeout)|(PRM\|1\|D)|(kpr)|(kdp)|(\|lc)|(penalty))" /e /r /s</v>
      </c>
      <c r="AG216" s="1" t="str">
        <f t="shared" si="107"/>
        <v>Other</v>
      </c>
      <c r="AH216" s="96" t="str">
        <f t="shared" si="108"/>
        <v>"%USERPROFILE%\Documents\GitHub\eaglep3\Utilities\RefineRTDCRunTimes.py" --tripid 302-06 --locoid 4032 --swversion DE.1.0.7.0 --startMP 300:23110 --initTime 2016-10-06T02:52:00 --startdatetime 2016-10-06T02:56:16 --delay 3 --endMP 204:141 --enddatetime 2016-10-06T03:05:14 --enforcementcount 0 &gt;&gt;C:\Users\stu\Documents\GitHub\eaglep3-reporting\EC\2016-10-06-refined-times.txt</v>
      </c>
      <c r="AI216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{"issue":{"subject":"","project_id":79,"tracker_id":40,"status_id":1,"priority_id":2,"assigned_to_id":23,"start_date":"2016-10-06","description":"","custom_fields":[{"id":1,"name":"Subdivision","value":"Other"},{"id":4,"name":"Milepost","value":"0.0141"},{"id":17,"name":"Train ID","value":"302-06"},{"id":16,"name":"Locomotive ID","value":"4032"},{"id":130,"name":"Impact","value":""},{"id":150,"name":"Time of Event (Mountain Time)","value":"03:05:14"},{"id":151,"name":"Denver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579</v>
      </c>
      <c r="B217" s="7">
        <v>4018</v>
      </c>
      <c r="C217" s="24" t="s">
        <v>106</v>
      </c>
      <c r="D217" s="24" t="s">
        <v>716</v>
      </c>
      <c r="E217" s="15">
        <v>42649.779074074075</v>
      </c>
      <c r="F217" s="15">
        <v>25568.708333333332</v>
      </c>
      <c r="G217" s="7">
        <v>5</v>
      </c>
      <c r="H217" s="15" t="s">
        <v>717</v>
      </c>
      <c r="I217" s="15">
        <v>25568.708333333332</v>
      </c>
      <c r="J217" s="7">
        <v>0</v>
      </c>
      <c r="K217" s="117" t="str">
        <f t="shared" si="95"/>
        <v>4017/4018</v>
      </c>
      <c r="L217" s="24" t="str">
        <f>VLOOKUP(A217,'Trips&amp;Operators'!$C$1:$E$10000,3,FALSE)</f>
        <v>NEWELL</v>
      </c>
      <c r="M217" s="6">
        <f t="shared" si="96"/>
        <v>0</v>
      </c>
      <c r="N217" s="7">
        <f t="shared" si="93"/>
        <v>0</v>
      </c>
      <c r="O217" s="7"/>
      <c r="P217" s="7"/>
      <c r="Q217" s="25"/>
      <c r="R217" s="25"/>
      <c r="S217" s="37">
        <f t="shared" si="97"/>
        <v>1</v>
      </c>
      <c r="T217" s="52" t="str">
        <f t="shared" si="105"/>
        <v>NorthBound</v>
      </c>
      <c r="U217" s="159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17:41:52-0600',mode:absolute,to:'1969-12-31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7" s="54" t="str">
        <f t="shared" si="99"/>
        <v>Y</v>
      </c>
      <c r="X217" s="164">
        <f t="shared" si="111"/>
        <v>1</v>
      </c>
      <c r="Y217" s="69">
        <f t="shared" si="100"/>
        <v>4.3499999999999997E-2</v>
      </c>
      <c r="Z217" s="69">
        <f t="shared" si="101"/>
        <v>2.3313999999999999</v>
      </c>
      <c r="AA217" s="69">
        <f t="shared" si="102"/>
        <v>2.2879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106"/>
        <v>0303-06</v>
      </c>
      <c r="AE217" s="95" t="str">
        <f t="shared" si="103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7" s="92" t="str">
        <f t="shared" si="104"/>
        <v>"C:\Program Files (x86)\AstroGrep\AstroGrep.exe" /spath="%USERPROFILE%\AppData\Local\Temp\OnboardLogs" /stypes="app*4018*19691231*" /stext=" 23:.+((SYSTEM_STATE.+slice.+state.+changed )|(ment ac)|(system.+state.+changed )|(\[timeout)|(PRM\|1\|D)|(kpr)|(kdp)|(\|lc)|(penalty))" /e /r /s</v>
      </c>
      <c r="AG217" s="1" t="str">
        <f t="shared" si="107"/>
        <v>Other</v>
      </c>
      <c r="AH217" s="96" t="str">
        <f t="shared" si="108"/>
        <v>"%USERPROFILE%\Documents\GitHub\eaglep3\Utilities\RefineRTDCRunTimes.py" --tripid 303-06 --locoid 4018 --swversion DE.1.0.7.0 --startMP 204:435 --initTime 2016-10-06T18:41:52 --startdatetime 1969-12-31T17:00:00 --delay 5 --endMP 300:23314 --enddatetime 1969-12-31T17:00:00 --enforcementcount 0 &gt;&gt;C:\Users\stu\Documents\GitHub\eaglep3-reporting\EC\2016-10-06-refined-times.txt</v>
      </c>
      <c r="AI217" s="130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ID","value":"303-06"},{"id":16,"name":"Locomotive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392</v>
      </c>
      <c r="B218" s="7">
        <v>4043</v>
      </c>
      <c r="C218" s="24" t="s">
        <v>106</v>
      </c>
      <c r="D218" s="24" t="s">
        <v>718</v>
      </c>
      <c r="E218" s="15">
        <v>42649.135659722226</v>
      </c>
      <c r="F218" s="15">
        <v>42649.136770833335</v>
      </c>
      <c r="G218" s="7">
        <v>1</v>
      </c>
      <c r="H218" s="15" t="s">
        <v>306</v>
      </c>
      <c r="I218" s="15">
        <v>42649.14503472222</v>
      </c>
      <c r="J218" s="7">
        <v>0</v>
      </c>
      <c r="K218" s="117" t="str">
        <f t="shared" si="95"/>
        <v>4043/4044</v>
      </c>
      <c r="L218" s="24" t="str">
        <f>VLOOKUP(A218,'Trips&amp;Operators'!$C$1:$E$10000,3,FALSE)</f>
        <v>OUN</v>
      </c>
      <c r="M218" s="6">
        <f t="shared" si="96"/>
        <v>8.2638888852670789E-3</v>
      </c>
      <c r="N218" s="7">
        <f t="shared" si="93"/>
        <v>11.899999994784594</v>
      </c>
      <c r="O218" s="7"/>
      <c r="P218" s="7"/>
      <c r="Q218" s="25"/>
      <c r="R218" s="25"/>
      <c r="S218" s="37">
        <f t="shared" si="97"/>
        <v>1</v>
      </c>
      <c r="T218" s="52" t="str">
        <f t="shared" si="105"/>
        <v>Southbound</v>
      </c>
      <c r="U218" s="159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02:15:21-0600',mode:absolute,to:'2016-10-06 04:28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18" s="54" t="str">
        <f t="shared" si="99"/>
        <v>Y</v>
      </c>
      <c r="X218" s="164">
        <f t="shared" si="111"/>
        <v>1</v>
      </c>
      <c r="Y218" s="69">
        <f t="shared" si="100"/>
        <v>2.3391000000000002</v>
      </c>
      <c r="Z218" s="69">
        <f t="shared" si="101"/>
        <v>1.34E-2</v>
      </c>
      <c r="AA218" s="69">
        <f t="shared" si="102"/>
        <v>2.3257000000000003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106"/>
        <v>0304-06</v>
      </c>
      <c r="AE218" s="95" t="str">
        <f t="shared" si="103"/>
        <v>aws s3 cp s3://rtdc.mdm.uploadarchive.raw/RTDC4043/ "%USERPROFILE%\AppData\Local\Temp\OnboardLogs"\RTDC4043\2016-10-06 --exclude "*" --recursive --include "*20161006*" &amp; "%USERPROFILE%\Documents\GitHub\mrs-test-scripts\Headless Mode &amp; Sideloading\WalkAndUnGZ.bat" "%USERPROFILE%\AppData\Local\Temp\OnboardLogs"\RTDC4043\2016-10-06 &amp; aws s3 cp s3://rtdc.mdm.uploadarchive.raw/RTDC4043/ "%USERPROFILE%\AppData\Local\Temp\OnboardLogs"\RTDC4043\2016-10-07 --exclude "*" --recursive --include "*20161007*" &amp; "%USERPROFILE%\Documents\GitHub\mrs-test-scripts\Headless Mode &amp; Sideloading\WalkAndUnGZ.bat" "%USERPROFILE%\AppData\Local\Temp\OnboardLogs"\RTDC4043\2016-10-07</v>
      </c>
      <c r="AF218" s="92" t="str">
        <f t="shared" si="104"/>
        <v>"C:\Program Files (x86)\AstroGrep\AstroGrep.exe" /spath="%USERPROFILE%\AppData\Local\Temp\OnboardLogs" /stypes="app*4043*20161006*" /stext=" 09:.+((SYSTEM_STATE.+slice.+state.+changed )|(ment ac)|(system.+state.+changed )|(\[timeout)|(PRM\|1\|D)|(kpr)|(kdp)|(\|lc)|(penalty))" /e /r /s</v>
      </c>
      <c r="AG218" s="1" t="str">
        <f t="shared" si="107"/>
        <v>Other</v>
      </c>
      <c r="AH218" s="96" t="str">
        <f t="shared" si="108"/>
        <v>"%USERPROFILE%\Documents\GitHub\eaglep3\Utilities\RefineRTDCRunTimes.py" --tripid 304-06 --locoid 4043 --swversion DE.1.0.7.0 --startMP 300:23391 --initTime 2016-10-06T03:15:21 --startdatetime 2016-10-06T03:16:57 --delay 1 --endMP 204:134 --enddatetime 2016-10-06T03:28:51 --enforcementcount 0 &gt;&gt;C:\Users\stu\Documents\GitHub\eaglep3-reporting\EC\2016-10-06-refined-times.txt</v>
      </c>
      <c r="AI218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{"issue":{"subject":"","project_id":79,"tracker_id":40,"status_id":1,"priority_id":2,"assigned_to_id":23,"start_date":"2016-10-06","description":"","custom_fields":[{"id":1,"name":"Subdivision","value":"Other"},{"id":4,"name":"Milepost","value":"0.0134"},{"id":17,"name":"Train ID","value":"304-06"},{"id":16,"name":"Locomotive ID","value":"4043"},{"id":130,"name":"Impact","value":""},{"id":150,"name":"Time of Event (Mountain Time)","value":"03:28:51"},{"id":151,"name":"Denver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585</v>
      </c>
      <c r="B219" s="7">
        <v>4046</v>
      </c>
      <c r="C219" s="24" t="s">
        <v>106</v>
      </c>
      <c r="D219" s="24" t="s">
        <v>192</v>
      </c>
      <c r="E219" s="15">
        <v>42649.802152777775</v>
      </c>
      <c r="F219" s="15">
        <v>42649.806192129632</v>
      </c>
      <c r="G219" s="7">
        <v>2</v>
      </c>
      <c r="H219" s="15" t="s">
        <v>719</v>
      </c>
      <c r="I219" s="15">
        <v>42649.811273148145</v>
      </c>
      <c r="J219" s="7">
        <v>0</v>
      </c>
      <c r="K219" s="117" t="str">
        <f t="shared" si="95"/>
        <v>4045/4046</v>
      </c>
      <c r="L219" s="24" t="str">
        <f>VLOOKUP(A219,'Trips&amp;Operators'!$C$1:$E$10000,3,FALSE)</f>
        <v>HILLS</v>
      </c>
      <c r="M219" s="6">
        <f t="shared" si="96"/>
        <v>5.0810185130103491E-3</v>
      </c>
      <c r="N219" s="7">
        <f t="shared" si="93"/>
        <v>7.3166666587349027</v>
      </c>
      <c r="O219" s="7"/>
      <c r="P219" s="7"/>
      <c r="Q219" s="25"/>
      <c r="R219" s="25"/>
      <c r="S219" s="37">
        <f t="shared" si="97"/>
        <v>1</v>
      </c>
      <c r="T219" s="52" t="str">
        <f t="shared" si="105"/>
        <v>NorthBound</v>
      </c>
      <c r="U219" s="159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18:15:06-0600',mode:absolute,to:'2016-10-06 20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9" s="54" t="str">
        <f t="shared" si="99"/>
        <v>Y</v>
      </c>
      <c r="X219" s="164">
        <f t="shared" si="111"/>
        <v>1</v>
      </c>
      <c r="Y219" s="69">
        <f t="shared" si="100"/>
        <v>4.7100000000000003E-2</v>
      </c>
      <c r="Z219" s="69">
        <f t="shared" si="101"/>
        <v>2.3296999999999999</v>
      </c>
      <c r="AA219" s="69">
        <f t="shared" si="102"/>
        <v>2.2826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si="106"/>
        <v>0305-06</v>
      </c>
      <c r="AE219" s="95" t="str">
        <f t="shared" si="103"/>
        <v>aws s3 cp s3://rtdc.mdm.uploadarchive.raw/RTDC4046/ "%USERPROFILE%\AppData\Local\Temp\OnboardLogs"\RTDC4046\2016-10-06 --exclude "*" --recursive --include "*20161006*" &amp; "%USERPROFILE%\Documents\GitHub\mrs-test-scripts\Headless Mode &amp; Sideloading\WalkAndUnGZ.bat" "%USERPROFILE%\AppData\Local\Temp\OnboardLogs"\RTDC4046\2016-10-06 &amp; 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</v>
      </c>
      <c r="AF219" s="92" t="str">
        <f t="shared" si="104"/>
        <v>"C:\Program Files (x86)\AstroGrep\AstroGrep.exe" /spath="%USERPROFILE%\AppData\Local\Temp\OnboardLogs" /stypes="app*4046*20161007*" /stext=" 01:.+((SYSTEM_STATE.+slice.+state.+changed )|(ment ac)|(system.+state.+changed )|(\[timeout)|(PRM\|1\|D)|(kpr)|(kdp)|(\|lc)|(penalty))" /e /r /s</v>
      </c>
      <c r="AG219" s="1" t="str">
        <f t="shared" si="107"/>
        <v>Other</v>
      </c>
      <c r="AH219" s="96" t="str">
        <f t="shared" si="108"/>
        <v>"%USERPROFILE%\Documents\GitHub\eaglep3\Utilities\RefineRTDCRunTimes.py" --tripid 305-06 --locoid 4046 --swversion DE.1.0.7.0 --startMP 204:471 --initTime 2016-10-06T19:15:06 --startdatetime 2016-10-06T19:20:55 --delay 2 --endMP 300:23297 --enddatetime 2016-10-06T19:28:14 --enforcementcount 0 &gt;&gt;C:\Users\stu\Documents\GitHub\eaglep3-reporting\EC\2016-10-06-refined-times.txt</v>
      </c>
      <c r="AI219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{"issue":{"subject":"","project_id":79,"tracker_id":40,"status_id":1,"priority_id":2,"assigned_to_id":23,"start_date":"2016-10-06","description":"","custom_fields":[{"id":1,"name":"Subdivision","value":"Other"},{"id":4,"name":"Milepost","value":"2.3297"},{"id":17,"name":"Train ID","value":"305-06"},{"id":16,"name":"Locomotive ID","value":"4046"},{"id":130,"name":"Impact","value":""},{"id":150,"name":"Time of Event (Mountain Time)","value":"19:28:14"},{"id":151,"name":"Denver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395</v>
      </c>
      <c r="B220" s="7">
        <v>4026</v>
      </c>
      <c r="C220" s="24" t="s">
        <v>106</v>
      </c>
      <c r="D220" s="24" t="s">
        <v>720</v>
      </c>
      <c r="E220" s="15">
        <v>42649.160439814812</v>
      </c>
      <c r="F220" s="15">
        <v>42649.161793981482</v>
      </c>
      <c r="G220" s="7">
        <v>1</v>
      </c>
      <c r="H220" s="15" t="s">
        <v>721</v>
      </c>
      <c r="I220" s="15">
        <v>42649.164907407408</v>
      </c>
      <c r="J220" s="7">
        <v>0</v>
      </c>
      <c r="K220" s="117" t="str">
        <f t="shared" si="95"/>
        <v>4025/4026</v>
      </c>
      <c r="L220" s="24" t="str">
        <f>VLOOKUP(A220,'Trips&amp;Operators'!$C$1:$E$10000,3,FALSE)</f>
        <v>SMITH</v>
      </c>
      <c r="M220" s="6">
        <f t="shared" si="96"/>
        <v>3.1134259261307307E-3</v>
      </c>
      <c r="N220" s="7">
        <f t="shared" si="93"/>
        <v>4.4833333336282521</v>
      </c>
      <c r="O220" s="7"/>
      <c r="P220" s="7"/>
      <c r="Q220" s="25"/>
      <c r="R220" s="25"/>
      <c r="S220" s="37">
        <f t="shared" si="97"/>
        <v>0</v>
      </c>
      <c r="T220" s="52" t="str">
        <f t="shared" si="105"/>
        <v>Southbound</v>
      </c>
      <c r="U220" s="159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02:51:02-0600',mode:absolute,to:'2016-10-06 04:57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0" s="54" t="str">
        <f t="shared" si="99"/>
        <v>Y</v>
      </c>
      <c r="X220" s="164">
        <f t="shared" si="111"/>
        <v>1</v>
      </c>
      <c r="Y220" s="69">
        <f t="shared" si="100"/>
        <v>2.3231000000000002</v>
      </c>
      <c r="Z220" s="69">
        <f t="shared" si="101"/>
        <v>1.8445</v>
      </c>
      <c r="AA220" s="69">
        <f t="shared" si="102"/>
        <v>0.47860000000000014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106"/>
        <v>0306-06</v>
      </c>
      <c r="AE220" s="95" t="str">
        <f t="shared" si="103"/>
        <v>aws s3 cp s3://rtdc.mdm.uploadarchive.raw/RTDC4026/ "%USERPROFILE%\AppData\Local\Temp\OnboardLogs"\RTDC4026\2016-10-06 --exclude "*" --recursive --include "*20161006*" &amp; "%USERPROFILE%\Documents\GitHub\mrs-test-scripts\Headless Mode &amp; Sideloading\WalkAndUnGZ.bat" "%USERPROFILE%\AppData\Local\Temp\OnboardLogs"\RTDC4026\2016-10-06 &amp; 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</v>
      </c>
      <c r="AF220" s="92" t="str">
        <f t="shared" si="104"/>
        <v>"C:\Program Files (x86)\AstroGrep\AstroGrep.exe" /spath="%USERPROFILE%\AppData\Local\Temp\OnboardLogs" /stypes="app*4026*20161006*" /stext=" 09:.+((SYSTEM_STATE.+slice.+state.+changed )|(ment ac)|(system.+state.+changed )|(\[timeout)|(PRM\|1\|D)|(kpr)|(kdp)|(\|lc)|(penalty))" /e /r /s</v>
      </c>
      <c r="AG220" s="1" t="str">
        <f t="shared" si="107"/>
        <v>Other</v>
      </c>
      <c r="AH220" s="96" t="str">
        <f t="shared" si="108"/>
        <v>"%USERPROFILE%\Documents\GitHub\eaglep3\Utilities\RefineRTDCRunTimes.py" --tripid 306-06 --locoid 4026 --swversion DE.1.0.7.0 --startMP 300:23231 --initTime 2016-10-06T03:51:02 --startdatetime 2016-10-06T03:52:59 --delay 1 --endMP 300:18445 --enddatetime 2016-10-06T03:57:28 --enforcementcount 0 &gt;&gt;C:\Users\stu\Documents\GitHub\eaglep3-reporting\EC\2016-10-06-refined-times.txt</v>
      </c>
      <c r="AI220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{"issue":{"subject":"","project_id":79,"tracker_id":40,"status_id":1,"priority_id":2,"assigned_to_id":23,"start_date":"2016-10-06","description":"","custom_fields":[{"id":1,"name":"Subdivision","value":"Other"},{"id":4,"name":"Milepost","value":"1.8445"},{"id":17,"name":"Train ID","value":"306-06"},{"id":16,"name":"Locomotive ID","value":"4026"},{"id":130,"name":"Impact","value":""},{"id":150,"name":"Time of Event (Mountain Time)","value":"03:57:28"},{"id":151,"name":"Denver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590</v>
      </c>
      <c r="B221" s="7">
        <v>4027</v>
      </c>
      <c r="C221" s="24" t="s">
        <v>106</v>
      </c>
      <c r="D221" s="24" t="s">
        <v>722</v>
      </c>
      <c r="E221" s="15">
        <v>42649.819872685184</v>
      </c>
      <c r="F221" s="15">
        <v>25568.708333333332</v>
      </c>
      <c r="G221" s="7">
        <v>1</v>
      </c>
      <c r="H221" s="15" t="s">
        <v>723</v>
      </c>
      <c r="I221" s="15">
        <v>25568.708333333332</v>
      </c>
      <c r="J221" s="7">
        <v>0</v>
      </c>
      <c r="K221" s="117" t="str">
        <f t="shared" si="95"/>
        <v>4027/4028</v>
      </c>
      <c r="L221" s="24" t="str">
        <f>VLOOKUP(A221,'Trips&amp;Operators'!$C$1:$E$10000,3,FALSE)</f>
        <v>STORY</v>
      </c>
      <c r="M221" s="6">
        <f t="shared" si="96"/>
        <v>0</v>
      </c>
      <c r="N221" s="7">
        <f t="shared" si="93"/>
        <v>0</v>
      </c>
      <c r="O221" s="7"/>
      <c r="P221" s="7"/>
      <c r="Q221" s="25"/>
      <c r="R221" s="25"/>
      <c r="S221" s="37">
        <f t="shared" si="97"/>
        <v>1</v>
      </c>
      <c r="T221" s="52" t="str">
        <f t="shared" si="105"/>
        <v>NorthBound</v>
      </c>
      <c r="U221" s="159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18:40:37-0600',mode:absolute,to:'1969-12-31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1" s="54" t="str">
        <f t="shared" si="99"/>
        <v>Y</v>
      </c>
      <c r="X221" s="164">
        <f t="shared" si="111"/>
        <v>1</v>
      </c>
      <c r="Y221" s="69">
        <f t="shared" si="100"/>
        <v>3.9E-2</v>
      </c>
      <c r="Z221" s="69">
        <f t="shared" si="101"/>
        <v>2.3302</v>
      </c>
      <c r="AA221" s="69">
        <f t="shared" si="102"/>
        <v>2.2911999999999999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 t="shared" si="106"/>
        <v>0307-06</v>
      </c>
      <c r="AE221" s="95" t="str">
        <f t="shared" si="103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1" s="92" t="str">
        <f t="shared" si="104"/>
        <v>"C:\Program Files (x86)\AstroGrep\AstroGrep.exe" /spath="%USERPROFILE%\AppData\Local\Temp\OnboardLogs" /stypes="app*4027*19691231*" /stext=" 23:.+((SYSTEM_STATE.+slice.+state.+changed )|(ment ac)|(system.+state.+changed )|(\[timeout)|(PRM\|1\|D)|(kpr)|(kdp)|(\|lc)|(penalty))" /e /r /s</v>
      </c>
      <c r="AG221" s="1" t="str">
        <f t="shared" si="107"/>
        <v>Other</v>
      </c>
      <c r="AH221" s="96" t="str">
        <f t="shared" si="108"/>
        <v>"%USERPROFILE%\Documents\GitHub\eaglep3\Utilities\RefineRTDCRunTimes.py" --tripid 307-06 --locoid 4027 --swversion DE.1.0.7.0 --startMP 204:390 --initTime 2016-10-06T19:40:37 --startdatetime 1969-12-31T17:00:00 --delay 1 --endMP 300:23302 --enddatetime 1969-12-31T17:00:00 --enforcementcount 0 &gt;&gt;C:\Users\stu\Documents\GitHub\eaglep3-reporting\EC\2016-10-06-refined-times.txt</v>
      </c>
      <c r="AI221" s="130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ID","value":"307-06"},{"id":16,"name":"Locomotive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398</v>
      </c>
      <c r="B222" s="7">
        <v>4017</v>
      </c>
      <c r="C222" s="24" t="s">
        <v>106</v>
      </c>
      <c r="D222" s="24" t="s">
        <v>724</v>
      </c>
      <c r="E222" s="15">
        <v>42649.173773148148</v>
      </c>
      <c r="F222" s="15">
        <v>42649.175138888888</v>
      </c>
      <c r="G222" s="7">
        <v>1</v>
      </c>
      <c r="H222" s="15" t="s">
        <v>190</v>
      </c>
      <c r="I222" s="15">
        <v>42649.181041666663</v>
      </c>
      <c r="J222" s="7">
        <v>0</v>
      </c>
      <c r="K222" s="117" t="str">
        <f t="shared" si="95"/>
        <v>4017/4018</v>
      </c>
      <c r="L222" s="24" t="str">
        <f>VLOOKUP(A222,'Trips&amp;Operators'!$C$1:$E$10000,3,FALSE)</f>
        <v>STRICKLAND</v>
      </c>
      <c r="M222" s="6">
        <f t="shared" si="96"/>
        <v>5.9027777751907706E-3</v>
      </c>
      <c r="N222" s="7">
        <f t="shared" ref="N222:N255" si="112">24*60*SUM($M222:$M222)</f>
        <v>8.4999999962747097</v>
      </c>
      <c r="O222" s="7"/>
      <c r="P222" s="7"/>
      <c r="Q222" s="25"/>
      <c r="R222" s="25"/>
      <c r="S222" s="37">
        <f t="shared" si="97"/>
        <v>1</v>
      </c>
      <c r="T222" s="52" t="str">
        <f t="shared" si="105"/>
        <v>Southbound</v>
      </c>
      <c r="U222" s="159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03:10:14-0600',mode:absolute,to:'2016-10-06 05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22" s="54" t="str">
        <f t="shared" si="99"/>
        <v>Y</v>
      </c>
      <c r="X222" s="164">
        <f t="shared" si="111"/>
        <v>1</v>
      </c>
      <c r="Y222" s="69">
        <f t="shared" si="100"/>
        <v>2.2155</v>
      </c>
      <c r="Z222" s="69">
        <f t="shared" si="101"/>
        <v>1.49E-2</v>
      </c>
      <c r="AA222" s="69">
        <f t="shared" si="102"/>
        <v>2.2006000000000001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 t="shared" si="106"/>
        <v>0308-06</v>
      </c>
      <c r="AE222" s="95" t="str">
        <f t="shared" si="103"/>
        <v>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 &amp; 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</v>
      </c>
      <c r="AF222" s="92" t="str">
        <f t="shared" si="104"/>
        <v>"C:\Program Files (x86)\AstroGrep\AstroGrep.exe" /spath="%USERPROFILE%\AppData\Local\Temp\OnboardLogs" /stypes="app*4017*20161006*" /stext=" 10:.+((SYSTEM_STATE.+slice.+state.+changed )|(ment ac)|(system.+state.+changed )|(\[timeout)|(PRM\|1\|D)|(kpr)|(kdp)|(\|lc)|(penalty))" /e /r /s</v>
      </c>
      <c r="AG222" s="1" t="str">
        <f t="shared" si="107"/>
        <v>Other</v>
      </c>
      <c r="AH222" s="96" t="str">
        <f t="shared" si="108"/>
        <v>"%USERPROFILE%\Documents\GitHub\eaglep3\Utilities\RefineRTDCRunTimes.py" --tripid 308-06 --locoid 4017 --swversion DE.1.0.7.0 --startMP 300:22155 --initTime 2016-10-06T04:10:14 --startdatetime 2016-10-06T04:12:12 --delay 1 --endMP 204:149 --enddatetime 2016-10-06T04:20:42 --enforcementcount 0 &gt;&gt;C:\Users\stu\Documents\GitHub\eaglep3-reporting\EC\2016-10-06-refined-times.txt</v>
      </c>
      <c r="AI222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{"issue":{"subject":"","project_id":79,"tracker_id":40,"status_id":1,"priority_id":2,"assigned_to_id":23,"start_date":"2016-10-06","description":"","custom_fields":[{"id":1,"name":"Subdivision","value":"Other"},{"id":4,"name":"Milepost","value":"0.0149"},{"id":17,"name":"Train ID","value":"308-06"},{"id":16,"name":"Locomotive ID","value":"4017"},{"id":130,"name":"Impact","value":""},{"id":150,"name":"Time of Event (Mountain Time)","value":"04:20:42"},{"id":151,"name":"Denver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616</v>
      </c>
      <c r="B223" s="7">
        <v>4007</v>
      </c>
      <c r="C223" s="24" t="s">
        <v>106</v>
      </c>
      <c r="D223" s="24" t="s">
        <v>192</v>
      </c>
      <c r="E223" s="15">
        <v>42650.029305555552</v>
      </c>
      <c r="F223" s="15">
        <v>42650.033159722225</v>
      </c>
      <c r="G223" s="7">
        <v>1</v>
      </c>
      <c r="H223" s="15" t="s">
        <v>725</v>
      </c>
      <c r="I223" s="15">
        <v>42650.039953703701</v>
      </c>
      <c r="J223" s="7">
        <v>0</v>
      </c>
      <c r="K223" s="117" t="str">
        <f t="shared" si="95"/>
        <v>4007/4008</v>
      </c>
      <c r="L223" s="24" t="str">
        <f>VLOOKUP(A223,'Trips&amp;Operators'!$C$1:$E$10000,3,FALSE)</f>
        <v>LEVERE</v>
      </c>
      <c r="M223" s="6">
        <f t="shared" si="96"/>
        <v>6.7939814762212336E-3</v>
      </c>
      <c r="N223" s="7">
        <f t="shared" si="112"/>
        <v>9.7833333257585764</v>
      </c>
      <c r="O223" s="7"/>
      <c r="P223" s="7"/>
      <c r="Q223" s="25"/>
      <c r="R223" s="25"/>
      <c r="S223" s="37">
        <f t="shared" si="97"/>
        <v>1</v>
      </c>
      <c r="T223" s="52" t="str">
        <f t="shared" si="105"/>
        <v>NorthBound</v>
      </c>
      <c r="U223" s="159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23:42:12-0600',mode:absolute,to:'2016-10-07 01:57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3" s="54" t="str">
        <f t="shared" si="99"/>
        <v>Y</v>
      </c>
      <c r="X223" s="164">
        <f t="shared" si="111"/>
        <v>1</v>
      </c>
      <c r="Y223" s="69">
        <f t="shared" si="100"/>
        <v>4.7100000000000003E-2</v>
      </c>
      <c r="Z223" s="69">
        <f t="shared" si="101"/>
        <v>2.2845</v>
      </c>
      <c r="AA223" s="69">
        <f t="shared" si="102"/>
        <v>2.2374000000000001</v>
      </c>
      <c r="AB223" s="66" t="e">
        <f>VLOOKUP(A223,Enforcements!$C$7:$K$21,8,0)</f>
        <v>#N/A</v>
      </c>
      <c r="AC223" s="62" t="e">
        <f>VLOOKUP(A223,Enforcements!$C$7:$E$21,3,0)</f>
        <v>#N/A</v>
      </c>
      <c r="AD223" s="63" t="str">
        <f t="shared" si="106"/>
        <v>0309-06</v>
      </c>
      <c r="AE223" s="95" t="str">
        <f t="shared" si="103"/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223" s="92" t="str">
        <f t="shared" si="104"/>
        <v>"C:\Program Files (x86)\AstroGrep\AstroGrep.exe" /spath="%USERPROFILE%\AppData\Local\Temp\OnboardLogs" /stypes="app*4007*20161007*" /stext=" 06:.+((SYSTEM_STATE.+slice.+state.+changed )|(ment ac)|(system.+state.+changed )|(\[timeout)|(PRM\|1\|D)|(kpr)|(kdp)|(\|lc)|(penalty))" /e /r /s</v>
      </c>
      <c r="AG223" s="1" t="str">
        <f t="shared" si="107"/>
        <v>Other</v>
      </c>
      <c r="AH223" s="96" t="str">
        <f t="shared" si="108"/>
        <v>"%USERPROFILE%\Documents\GitHub\eaglep3\Utilities\RefineRTDCRunTimes.py" --tripid 309-06 --locoid 4007 --swversion DE.1.0.7.0 --startMP 204:471 --initTime 2016-10-07T00:42:12 --startdatetime 2016-10-07T00:47:45 --delay 1 --endMP 300:22845 --enddatetime 2016-10-07T00:57:32 --enforcementcount 0 &gt;&gt;C:\Users\stu\Documents\GitHub\eaglep3-reporting\EC\2016-10-06-refined-times.txt</v>
      </c>
      <c r="AI223" s="130" t="str">
        <f t="shared" si="109"/>
        <v>echo {"issue":{"subject":"","project_id":79,"tracker_id":40,"status_id":1,"priority_id":2,"assigned_to_id":23,"start_date":"2016-10-07","description":"","custom_fields":[{"id":1,"name":"Subdivision","value":"Other"},{"id":4,"name":"Milepost","value":"2.2845"},{"id":17,"name":"Train ID","value":"309-06"},{"id":16,"name":"Locomotive ID","value":"4007"},{"id":130,"name":"Impact","value":""},{"id":150,"name":"Time of Event (Mountain Time)","value":"00:57:32"},{"id":151,"name":"Denver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401</v>
      </c>
      <c r="B224" s="7">
        <v>4008</v>
      </c>
      <c r="C224" s="24" t="s">
        <v>106</v>
      </c>
      <c r="D224" s="24" t="s">
        <v>726</v>
      </c>
      <c r="E224" s="15">
        <v>42649.185590277775</v>
      </c>
      <c r="F224" s="15">
        <v>42649.187094907407</v>
      </c>
      <c r="G224" s="7">
        <v>1</v>
      </c>
      <c r="H224" s="15" t="s">
        <v>727</v>
      </c>
      <c r="I224" s="15">
        <v>42649.193009259259</v>
      </c>
      <c r="J224" s="7">
        <v>0</v>
      </c>
      <c r="K224" s="117" t="str">
        <f t="shared" si="95"/>
        <v>4007/4008</v>
      </c>
      <c r="L224" s="24" t="str">
        <f>VLOOKUP(A224,'Trips&amp;Operators'!$C$1:$E$10000,3,FALSE)</f>
        <v>ROCHA</v>
      </c>
      <c r="M224" s="6">
        <f t="shared" si="96"/>
        <v>5.914351851970423E-3</v>
      </c>
      <c r="N224" s="7">
        <f t="shared" si="112"/>
        <v>8.5166666668374091</v>
      </c>
      <c r="O224" s="7"/>
      <c r="P224" s="7"/>
      <c r="Q224" s="25"/>
      <c r="R224" s="25"/>
      <c r="S224" s="37">
        <f t="shared" si="97"/>
        <v>1</v>
      </c>
      <c r="T224" s="52" t="str">
        <f t="shared" si="105"/>
        <v>Southbound</v>
      </c>
      <c r="U224" s="159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03:27:15-0600',mode:absolute,to:'2016-10-06 05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4" s="54" t="str">
        <f t="shared" si="99"/>
        <v>Y</v>
      </c>
      <c r="X224" s="164">
        <f t="shared" si="111"/>
        <v>1</v>
      </c>
      <c r="Y224" s="69">
        <f t="shared" si="100"/>
        <v>2.3210999999999999</v>
      </c>
      <c r="Z224" s="69">
        <f t="shared" si="101"/>
        <v>0.44080000000000003</v>
      </c>
      <c r="AA224" s="69">
        <f t="shared" si="102"/>
        <v>1.8802999999999999</v>
      </c>
      <c r="AB224" s="66" t="e">
        <f>VLOOKUP(A224,Enforcements!$C$7:$K$21,8,0)</f>
        <v>#N/A</v>
      </c>
      <c r="AC224" s="62" t="e">
        <f>VLOOKUP(A224,Enforcements!$C$7:$E$21,3,0)</f>
        <v>#N/A</v>
      </c>
      <c r="AD224" s="63" t="str">
        <f t="shared" si="106"/>
        <v>0310-06</v>
      </c>
      <c r="AE224" s="95" t="str">
        <f t="shared" si="103"/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AF224" s="92" t="str">
        <f t="shared" si="104"/>
        <v>"C:\Program Files (x86)\AstroGrep\AstroGrep.exe" /spath="%USERPROFILE%\AppData\Local\Temp\OnboardLogs" /stypes="app*4008*20161006*" /stext=" 10:.+((SYSTEM_STATE.+slice.+state.+changed )|(ment ac)|(system.+state.+changed )|(\[timeout)|(PRM\|1\|D)|(kpr)|(kdp)|(\|lc)|(penalty))" /e /r /s</v>
      </c>
      <c r="AG224" s="1" t="str">
        <f t="shared" si="107"/>
        <v>Other</v>
      </c>
      <c r="AH224" s="96" t="str">
        <f t="shared" si="108"/>
        <v>"%USERPROFILE%\Documents\GitHub\eaglep3\Utilities\RefineRTDCRunTimes.py" --tripid 310-06 --locoid 4008 --swversion DE.1.0.7.0 --startMP 300:23211 --initTime 2016-10-06T04:27:15 --startdatetime 2016-10-06T04:29:25 --delay 1 --endMP 204:4408 --enddatetime 2016-10-06T04:37:56 --enforcementcount 0 &gt;&gt;C:\Users\stu\Documents\GitHub\eaglep3-reporting\EC\2016-10-06-refined-times.txt</v>
      </c>
      <c r="AI224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{"issue":{"subject":"","project_id":79,"tracker_id":40,"status_id":1,"priority_id":2,"assigned_to_id":23,"start_date":"2016-10-06","description":"","custom_fields":[{"id":1,"name":"Subdivision","value":"Other"},{"id":4,"name":"Milepost","value":"0.4408"},{"id":17,"name":"Train ID","value":"310-06"},{"id":16,"name":"Locomotive ID","value":"4008"},{"id":130,"name":"Impact","value":""},{"id":150,"name":"Time of Event (Mountain Time)","value":"04:37:56"},{"id":151,"name":"Denver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 t="s">
        <v>618</v>
      </c>
      <c r="B225" s="7">
        <v>4044</v>
      </c>
      <c r="C225" s="24" t="s">
        <v>106</v>
      </c>
      <c r="D225" s="24" t="s">
        <v>264</v>
      </c>
      <c r="E225" s="15">
        <v>42650.05259259259</v>
      </c>
      <c r="F225" s="15">
        <v>42650.059247685182</v>
      </c>
      <c r="G225" s="7">
        <v>6</v>
      </c>
      <c r="H225" s="15" t="s">
        <v>728</v>
      </c>
      <c r="I225" s="15">
        <v>42650.066331018519</v>
      </c>
      <c r="J225" s="7">
        <v>0</v>
      </c>
      <c r="K225" s="117" t="str">
        <f t="shared" si="95"/>
        <v>4043/4044</v>
      </c>
      <c r="L225" s="24" t="str">
        <f>VLOOKUP(A225,'Trips&amp;Operators'!$C$1:$E$10000,3,FALSE)</f>
        <v>LEVIN</v>
      </c>
      <c r="M225" s="6">
        <f t="shared" si="96"/>
        <v>7.0833333375048824E-3</v>
      </c>
      <c r="N225" s="7">
        <f t="shared" si="112"/>
        <v>10.200000006007031</v>
      </c>
      <c r="O225" s="7"/>
      <c r="P225" s="7"/>
      <c r="Q225" s="25"/>
      <c r="R225" s="25"/>
      <c r="S225" s="37">
        <f t="shared" si="97"/>
        <v>1</v>
      </c>
      <c r="T225" s="52" t="str">
        <f t="shared" si="105"/>
        <v>NorthBound</v>
      </c>
      <c r="U225" s="159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https://search-rtdc-monitor-bjffxe2xuh6vdkpspy63sjmuny.us-east-1.es.amazonaws.com/_plugin/kibana/#/discover/Steve-Slow-Train-Analysis-(2080s-and-2083s)?_g=(refreshInterval:(display:Off,section:0,value:0),time:(from:'2016-10-07 00:15:44-0600',mode:absolute,to:'2016-10-07 02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5" s="54" t="str">
        <f t="shared" si="99"/>
        <v>Y</v>
      </c>
      <c r="X225" s="164">
        <f t="shared" si="111"/>
        <v>1</v>
      </c>
      <c r="Y225" s="69">
        <f t="shared" si="100"/>
        <v>4.6899999999999997E-2</v>
      </c>
      <c r="Z225" s="69">
        <f t="shared" si="101"/>
        <v>2.3294999999999999</v>
      </c>
      <c r="AA225" s="69">
        <f t="shared" si="102"/>
        <v>2.2826</v>
      </c>
      <c r="AB225" s="66" t="e">
        <f>VLOOKUP(A225,Enforcements!$C$7:$K$21,8,0)</f>
        <v>#N/A</v>
      </c>
      <c r="AC225" s="62" t="e">
        <f>VLOOKUP(A225,Enforcements!$C$7:$E$21,3,0)</f>
        <v>#N/A</v>
      </c>
      <c r="AD225" s="63" t="str">
        <f t="shared" si="106"/>
        <v>0311-06</v>
      </c>
      <c r="AE225" s="95" t="str">
        <f t="shared" si="103"/>
        <v>aws s3 cp s3://rtdc.mdm.uploadarchive.raw/RTDC4044/ "%USERPROFILE%\AppData\Local\Temp\OnboardLogs"\RTDC4044\2016-10-07 --exclude "*" --recursive --include "*20161007*" &amp; "%USERPROFILE%\Documents\GitHub\mrs-test-scripts\Headless Mode &amp; Sideloading\WalkAndUnGZ.bat" "%USERPROFILE%\AppData\Local\Temp\OnboardLogs"\RTDC4044\2016-10-07 &amp; aws s3 cp s3://rtdc.mdm.uploadarchive.raw/RTDC4044/ "%USERPROFILE%\AppData\Local\Temp\OnboardLogs"\RTDC4044\2016-10-08 --exclude "*" --recursive --include "*20161008*" &amp; "%USERPROFILE%\Documents\GitHub\mrs-test-scripts\Headless Mode &amp; Sideloading\WalkAndUnGZ.bat" "%USERPROFILE%\AppData\Local\Temp\OnboardLogs"\RTDC4044\2016-10-08</v>
      </c>
      <c r="AF225" s="92" t="str">
        <f t="shared" si="104"/>
        <v>"C:\Program Files (x86)\AstroGrep\AstroGrep.exe" /spath="%USERPROFILE%\AppData\Local\Temp\OnboardLogs" /stypes="app*4044*20161007*" /stext=" 07:.+((SYSTEM_STATE.+slice.+state.+changed )|(ment ac)|(system.+state.+changed )|(\[timeout)|(PRM\|1\|D)|(kpr)|(kdp)|(\|lc)|(penalty))" /e /r /s</v>
      </c>
      <c r="AG225" s="1" t="str">
        <f t="shared" si="107"/>
        <v>Other</v>
      </c>
      <c r="AH225" s="96" t="str">
        <f t="shared" si="108"/>
        <v>"%USERPROFILE%\Documents\GitHub\eaglep3\Utilities\RefineRTDCRunTimes.py" --tripid 311-06 --locoid 4044 --swversion DE.1.0.7.0 --startMP 204:469 --initTime 2016-10-07T01:15:44 --startdatetime 2016-10-07T01:25:19 --delay 6 --endMP 300:23295 --enddatetime 2016-10-07T01:35:31 --enforcementcount 0 &gt;&gt;C:\Users\stu\Documents\GitHub\eaglep3-reporting\EC\2016-10-06-refined-times.txt</v>
      </c>
      <c r="AI225" s="130" t="str">
        <f t="shared" si="109"/>
        <v>echo {"issue":{"subject":"","project_id":79,"tracker_id":40,"status_id":1,"priority_id":2,"assigned_to_id":23,"start_date":"2016-10-07","description":"","custom_fields":[{"id":1,"name":"Subdivision","value":"Other"},{"id":4,"name":"Milepost","value":"2.3295"},{"id":17,"name":"Train ID","value":"311-06"},{"id":16,"name":"Locomotive ID","value":"4044"},{"id":130,"name":"Impact","value":""},{"id":150,"name":"Time of Event (Mountain Time)","value":"01:35:31"},{"id":151,"name":"Denver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5"/>
      <c r="AK225" s="55"/>
      <c r="AL225" s="55"/>
    </row>
    <row r="226" spans="1:38" x14ac:dyDescent="0.25">
      <c r="A226" s="39" t="s">
        <v>336</v>
      </c>
      <c r="B226" s="7">
        <v>4002</v>
      </c>
      <c r="C226" s="24" t="s">
        <v>106</v>
      </c>
      <c r="D226" s="24" t="s">
        <v>355</v>
      </c>
      <c r="E226" s="15">
        <v>42649.100613425922</v>
      </c>
      <c r="F226" s="15">
        <v>25568.708333333332</v>
      </c>
      <c r="G226" s="7">
        <v>1</v>
      </c>
      <c r="H226" s="15" t="s">
        <v>308</v>
      </c>
      <c r="I226" s="15">
        <v>25568.708333333332</v>
      </c>
      <c r="J226" s="7">
        <v>0</v>
      </c>
      <c r="K226" s="117" t="str">
        <f t="shared" si="95"/>
        <v>4001/4002</v>
      </c>
      <c r="L226" s="24" t="str">
        <f>VLOOKUP(A226,'Trips&amp;Operators'!$C$1:$E$10000,3,FALSE)</f>
        <v>COOLAHAN</v>
      </c>
      <c r="M226" s="6">
        <f t="shared" si="96"/>
        <v>0</v>
      </c>
      <c r="N226" s="7">
        <f t="shared" si="112"/>
        <v>0</v>
      </c>
      <c r="O226" s="7"/>
      <c r="P226" s="7"/>
      <c r="Q226" s="25"/>
      <c r="R226" s="25"/>
      <c r="S226" s="37">
        <f t="shared" si="97"/>
        <v>1</v>
      </c>
      <c r="T226" s="52" t="str">
        <f t="shared" si="105"/>
        <v>NorthBound</v>
      </c>
      <c r="U226" s="159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01:24:53-0600',mode:absolute,to:'1969-12-31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6" s="54" t="str">
        <f t="shared" si="99"/>
        <v>Y</v>
      </c>
      <c r="X226" s="164">
        <f t="shared" si="111"/>
        <v>4</v>
      </c>
      <c r="Y226" s="69">
        <f t="shared" si="100"/>
        <v>0.1177</v>
      </c>
      <c r="Z226" s="69">
        <f t="shared" si="101"/>
        <v>2.3298999999999999</v>
      </c>
      <c r="AA226" s="69">
        <f t="shared" si="102"/>
        <v>2.2121999999999997</v>
      </c>
      <c r="AB226" s="66" t="e">
        <f>VLOOKUP(A226,Enforcements!$C$7:$K$21,8,0)</f>
        <v>#N/A</v>
      </c>
      <c r="AC226" s="62" t="e">
        <f>VLOOKUP(A226,Enforcements!$C$7:$E$21,3,0)</f>
        <v>#N/A</v>
      </c>
      <c r="AD226" s="63" t="str">
        <f t="shared" si="106"/>
        <v>0315-05</v>
      </c>
      <c r="AE226" s="95" t="str">
        <f t="shared" si="103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26" s="92" t="str">
        <f t="shared" si="104"/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26" s="1" t="str">
        <f t="shared" si="107"/>
        <v>Other</v>
      </c>
      <c r="AH226" s="96" t="str">
        <f t="shared" si="108"/>
        <v>"%USERPROFILE%\Documents\GitHub\eaglep3\Utilities\RefineRTDCRunTimes.py" --tripid 315-05 --locoid 4002 --swversion DE.1.0.7.0 --startMP 204:1177 --initTime 2016-10-06T02:24:53 --startdatetime 1969-12-31T17:00:00 --delay 1 --endMP 300:23299 --enddatetime 1969-12-31T17:00:00 --enforcementcount 0 &gt;&gt;C:\Users\stu\Documents\GitHub\eaglep3-reporting\EC\2016-10-06-refined-times.txt</v>
      </c>
      <c r="AI226" s="130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ID","value":"315-05"},{"id":16,"name":"Locomotive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5"/>
      <c r="AK226" s="55"/>
      <c r="AL226" s="55"/>
    </row>
    <row r="227" spans="1:38" x14ac:dyDescent="0.25">
      <c r="A227" s="39" t="s">
        <v>336</v>
      </c>
      <c r="B227" s="7">
        <v>4041</v>
      </c>
      <c r="C227" s="24" t="s">
        <v>106</v>
      </c>
      <c r="D227" s="24" t="s">
        <v>356</v>
      </c>
      <c r="E227" s="15">
        <v>42649.095057870371</v>
      </c>
      <c r="F227" s="15">
        <v>25568.708333333332</v>
      </c>
      <c r="G227" s="7">
        <v>1</v>
      </c>
      <c r="H227" s="15" t="s">
        <v>357</v>
      </c>
      <c r="I227" s="15">
        <v>25568.708333333332</v>
      </c>
      <c r="J227" s="7">
        <v>0</v>
      </c>
      <c r="K227" s="117" t="str">
        <f t="shared" si="95"/>
        <v>4041/4042</v>
      </c>
      <c r="L227" s="24" t="str">
        <f>VLOOKUP(A227,'Trips&amp;Operators'!$C$1:$E$10000,3,FALSE)</f>
        <v>COOLAHAN</v>
      </c>
      <c r="M227" s="6">
        <f t="shared" si="96"/>
        <v>0</v>
      </c>
      <c r="N227" s="7">
        <f t="shared" si="112"/>
        <v>0</v>
      </c>
      <c r="O227" s="7"/>
      <c r="P227" s="7"/>
      <c r="Q227" s="25"/>
      <c r="R227" s="25"/>
      <c r="S227" s="37">
        <f t="shared" si="97"/>
        <v>0</v>
      </c>
      <c r="T227" s="52" t="str">
        <f t="shared" si="105"/>
        <v>NorthBound</v>
      </c>
      <c r="U227" s="159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01:16:53-0600',mode:absolute,to:'1969-12-31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7" s="54" t="str">
        <f t="shared" si="99"/>
        <v>Y</v>
      </c>
      <c r="X227" s="164">
        <f t="shared" si="111"/>
        <v>0</v>
      </c>
      <c r="Y227" s="69">
        <f t="shared" si="100"/>
        <v>0.49130000000000001</v>
      </c>
      <c r="Z227" s="69">
        <f t="shared" si="101"/>
        <v>0.1105</v>
      </c>
      <c r="AA227" s="69">
        <f t="shared" si="102"/>
        <v>0.38080000000000003</v>
      </c>
      <c r="AB227" s="66" t="e">
        <f>VLOOKUP(A227,Enforcements!$C$7:$K$21,8,0)</f>
        <v>#N/A</v>
      </c>
      <c r="AC227" s="62" t="e">
        <f>VLOOKUP(A227,Enforcements!$C$7:$E$21,3,0)</f>
        <v>#N/A</v>
      </c>
      <c r="AD227" s="63" t="str">
        <f t="shared" si="106"/>
        <v>0315-05</v>
      </c>
      <c r="AE227" s="95" t="str">
        <f t="shared" si="103"/>
        <v>aws s3 cp s3://rtdc.mdm.uploadarchive.raw/RTDC4041/ "%USERPROFILE%\AppData\Local\Temp\OnboardLogs"\RTDC4041\1969-12-31 --exclude "*" --recursive --include "*19691231*" &amp; "%USERPROFILE%\Documents\GitHub\mrs-test-scripts\Headless Mode &amp; Sideloading\WalkAndUnGZ.bat" "%USERPROFILE%\AppData\Local\Temp\OnboardLogs"\RTDC4041\1969-12-31 &amp; aws s3 cp s3://rtdc.mdm.uploadarchive.raw/RTDC4041/ "%USERPROFILE%\AppData\Local\Temp\OnboardLogs"\RTDC4041\1970-01-01 --exclude "*" --recursive --include "*19700101*" &amp; "%USERPROFILE%\Documents\GitHub\mrs-test-scripts\Headless Mode &amp; Sideloading\WalkAndUnGZ.bat" "%USERPROFILE%\AppData\Local\Temp\OnboardLogs"\RTDC4041\1970-01-01</v>
      </c>
      <c r="AF227" s="92" t="str">
        <f t="shared" si="104"/>
        <v>"C:\Program Files (x86)\AstroGrep\AstroGrep.exe" /spath="%USERPROFILE%\AppData\Local\Temp\OnboardLogs" /stypes="app*4041*19691231*" /stext=" 23:.+((SYSTEM_STATE.+slice.+state.+changed )|(ment ac)|(system.+state.+changed )|(\[timeout)|(PRM\|1\|D)|(kpr)|(kdp)|(\|lc)|(penalty))" /e /r /s</v>
      </c>
      <c r="AG227" s="1" t="str">
        <f t="shared" si="107"/>
        <v>Other</v>
      </c>
      <c r="AH227" s="96" t="str">
        <f t="shared" si="108"/>
        <v>"%USERPROFILE%\Documents\GitHub\eaglep3\Utilities\RefineRTDCRunTimes.py" --tripid 315-05 --locoid 4041 --swversion DE.1.0.7.0 --startMP 300:4913 --initTime 2016-10-06T02:16:53 --startdatetime 1969-12-31T17:00:00 --delay 1 --endMP 204:1105 --enddatetime 1969-12-31T17:00:00 --enforcementcount 0 &gt;&gt;C:\Users\stu\Documents\GitHub\eaglep3-reporting\EC\2016-10-06-refined-times.txt</v>
      </c>
      <c r="AI227" s="130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{"issue":{"subject":"","project_id":79,"tracker_id":40,"status_id":1,"priority_id":2,"assigned_to_id":23,"start_date":"1969-12-31","description":"","custom_fields":[{"id":1,"name":"Subdivision","value":"Other"},{"id":4,"name":"Milepost","value":"0.1105"},{"id":17,"name":"Train ID","value":"315-05"},{"id":16,"name":"Locomotive ID","value":"4041"},{"id":130,"name":"Impact","value":""},{"id":150,"name":"Time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5"/>
      <c r="AK227" s="55"/>
      <c r="AL227" s="55"/>
    </row>
    <row r="228" spans="1:38" x14ac:dyDescent="0.25">
      <c r="A228" s="39" t="s">
        <v>336</v>
      </c>
      <c r="B228" s="7">
        <v>4042</v>
      </c>
      <c r="C228" s="24" t="s">
        <v>106</v>
      </c>
      <c r="D228" s="24" t="s">
        <v>358</v>
      </c>
      <c r="E228" s="15">
        <v>42649.087465277778</v>
      </c>
      <c r="F228" s="15">
        <v>25568.708333333332</v>
      </c>
      <c r="G228" s="7">
        <v>1</v>
      </c>
      <c r="H228" s="15" t="s">
        <v>359</v>
      </c>
      <c r="I228" s="15">
        <v>25568.708333333332</v>
      </c>
      <c r="J228" s="7">
        <v>0</v>
      </c>
      <c r="K228" s="117" t="str">
        <f t="shared" si="95"/>
        <v>4041/4042</v>
      </c>
      <c r="L228" s="24" t="str">
        <f>VLOOKUP(A228,'Trips&amp;Operators'!$C$1:$E$10000,3,FALSE)</f>
        <v>COOLAHAN</v>
      </c>
      <c r="M228" s="6">
        <f t="shared" si="96"/>
        <v>0</v>
      </c>
      <c r="N228" s="7">
        <f t="shared" si="112"/>
        <v>0</v>
      </c>
      <c r="O228" s="7"/>
      <c r="P228" s="7"/>
      <c r="Q228" s="25"/>
      <c r="R228" s="25"/>
      <c r="S228" s="37">
        <f t="shared" si="97"/>
        <v>0</v>
      </c>
      <c r="T228" s="52" t="str">
        <f t="shared" si="105"/>
        <v>NorthBound</v>
      </c>
      <c r="U228" s="159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01:05:57-0600',mode:absolute,to:'1969-12-31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8" s="54" t="str">
        <f t="shared" si="99"/>
        <v>Y</v>
      </c>
      <c r="X228" s="164">
        <f t="shared" si="111"/>
        <v>0</v>
      </c>
      <c r="Y228" s="69">
        <f t="shared" si="100"/>
        <v>4.7300000000000002E-2</v>
      </c>
      <c r="Z228" s="69">
        <f t="shared" si="101"/>
        <v>0.52170000000000005</v>
      </c>
      <c r="AA228" s="69">
        <f t="shared" si="102"/>
        <v>0.47440000000000004</v>
      </c>
      <c r="AB228" s="66" t="e">
        <f>VLOOKUP(A228,Enforcements!$C$7:$K$21,8,0)</f>
        <v>#N/A</v>
      </c>
      <c r="AC228" s="62" t="e">
        <f>VLOOKUP(A228,Enforcements!$C$7:$E$21,3,0)</f>
        <v>#N/A</v>
      </c>
      <c r="AD228" s="63" t="str">
        <f t="shared" si="106"/>
        <v>0315-05</v>
      </c>
      <c r="AE228" s="95" t="str">
        <f t="shared" si="103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28" s="92" t="str">
        <f t="shared" si="104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28" s="1" t="str">
        <f t="shared" si="107"/>
        <v>Other</v>
      </c>
      <c r="AH228" s="96" t="str">
        <f t="shared" si="108"/>
        <v>"%USERPROFILE%\Documents\GitHub\eaglep3\Utilities\RefineRTDCRunTimes.py" --tripid 315-05 --locoid 4042 --swversion DE.1.0.7.0 --startMP 204:473 --initTime 2016-10-06T02:05:57 --startdatetime 1969-12-31T17:00:00 --delay 1 --endMP 300:5217 --enddatetime 1969-12-31T17:00:00 --enforcementcount 0 &gt;&gt;C:\Users\stu\Documents\GitHub\eaglep3-reporting\EC\2016-10-06-refined-times.txt</v>
      </c>
      <c r="AI228" s="130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{"issue":{"subject":"","project_id":79,"tracker_id":40,"status_id":1,"priority_id":2,"assigned_to_id":23,"start_date":"1969-12-31","description":"","custom_fields":[{"id":1,"name":"Subdivision","value":"Other"},{"id":4,"name":"Milepost","value":"0.5217"},{"id":17,"name":"Train ID","value":"315-05"},{"id":16,"name":"Locomotive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5"/>
      <c r="AK228" s="55"/>
      <c r="AL228" s="55"/>
    </row>
    <row r="229" spans="1:38" x14ac:dyDescent="0.25">
      <c r="A229" s="39" t="s">
        <v>619</v>
      </c>
      <c r="B229" s="7">
        <v>4009</v>
      </c>
      <c r="C229" s="24" t="s">
        <v>106</v>
      </c>
      <c r="D229" s="24" t="s">
        <v>729</v>
      </c>
      <c r="E229" s="15">
        <v>42650.089965277781</v>
      </c>
      <c r="F229" s="15">
        <v>42650.091736111113</v>
      </c>
      <c r="G229" s="7">
        <v>1</v>
      </c>
      <c r="H229" s="15" t="s">
        <v>730</v>
      </c>
      <c r="I229" s="15">
        <v>42650.097662037035</v>
      </c>
      <c r="J229" s="7">
        <v>0</v>
      </c>
      <c r="K229" s="117" t="str">
        <f t="shared" si="95"/>
        <v>4009/4010</v>
      </c>
      <c r="L229" s="24" t="str">
        <f>VLOOKUP(A229,'Trips&amp;Operators'!$C$1:$E$10000,3,FALSE)</f>
        <v>STURGEON</v>
      </c>
      <c r="M229" s="6">
        <f t="shared" si="96"/>
        <v>5.9259259214741178E-3</v>
      </c>
      <c r="N229" s="7">
        <f t="shared" si="112"/>
        <v>8.5333333269227296</v>
      </c>
      <c r="O229" s="7"/>
      <c r="P229" s="7"/>
      <c r="Q229" s="25"/>
      <c r="R229" s="25"/>
      <c r="S229" s="37">
        <f t="shared" si="97"/>
        <v>1</v>
      </c>
      <c r="T229" s="52" t="str">
        <f t="shared" si="105"/>
        <v>NorthBound</v>
      </c>
      <c r="U229" s="159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https://search-rtdc-monitor-bjffxe2xuh6vdkpspy63sjmuny.us-east-1.es.amazonaws.com/_plugin/kibana/#/discover/Steve-Slow-Train-Analysis-(2080s-and-2083s)?_g=(refreshInterval:(display:Off,section:0,value:0),time:(from:'2016-10-07 01:09:33-0600',mode:absolute,to:'2016-10-07 03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29" s="54" t="str">
        <f t="shared" si="99"/>
        <v>Y</v>
      </c>
      <c r="X229" s="164">
        <f t="shared" si="111"/>
        <v>0</v>
      </c>
      <c r="Y229" s="69">
        <f t="shared" si="100"/>
        <v>4.9099999999999998E-2</v>
      </c>
      <c r="Z229" s="69">
        <f t="shared" si="101"/>
        <v>2.3308</v>
      </c>
      <c r="AA229" s="69">
        <f t="shared" si="102"/>
        <v>2.2816999999999998</v>
      </c>
      <c r="AB229" s="66" t="e">
        <f>VLOOKUP(A229,Enforcements!$C$7:$K$21,8,0)</f>
        <v>#N/A</v>
      </c>
      <c r="AC229" s="62" t="e">
        <f>VLOOKUP(A229,Enforcements!$C$7:$E$21,3,0)</f>
        <v>#N/A</v>
      </c>
      <c r="AD229" s="63" t="str">
        <f t="shared" si="106"/>
        <v>0315-06</v>
      </c>
      <c r="AE229" s="95" t="str">
        <f t="shared" si="103"/>
        <v>aws s3 cp s3://rtdc.mdm.uploadarchive.raw/RTDC4009/ "%USERPROFILE%\AppData\Local\Temp\OnboardLogs"\RTDC4009\2016-10-07 --exclude "*" --recursive --include "*20161007*" &amp; "%USERPROFILE%\Documents\GitHub\mrs-test-scripts\Headless Mode &amp; Sideloading\WalkAndUnGZ.bat" "%USERPROFILE%\AppData\Local\Temp\OnboardLogs"\RTDC4009\2016-10-07 &amp; aws s3 cp s3://rtdc.mdm.uploadarchive.raw/RTDC4009/ "%USERPROFILE%\AppData\Local\Temp\OnboardLogs"\RTDC4009\2016-10-08 --exclude "*" --recursive --include "*20161008*" &amp; "%USERPROFILE%\Documents\GitHub\mrs-test-scripts\Headless Mode &amp; Sideloading\WalkAndUnGZ.bat" "%USERPROFILE%\AppData\Local\Temp\OnboardLogs"\RTDC4009\2016-10-08</v>
      </c>
      <c r="AF229" s="92" t="str">
        <f t="shared" si="104"/>
        <v>"C:\Program Files (x86)\AstroGrep\AstroGrep.exe" /spath="%USERPROFILE%\AppData\Local\Temp\OnboardLogs" /stypes="app*4009*20161007*" /stext=" 08:.+((SYSTEM_STATE.+slice.+state.+changed )|(ment ac)|(system.+state.+changed )|(\[timeout)|(PRM\|1\|D)|(kpr)|(kdp)|(\|lc)|(penalty))" /e /r /s</v>
      </c>
      <c r="AG229" s="1" t="str">
        <f t="shared" si="107"/>
        <v>Other</v>
      </c>
      <c r="AH229" s="96" t="str">
        <f t="shared" si="108"/>
        <v>"%USERPROFILE%\Documents\GitHub\eaglep3\Utilities\RefineRTDCRunTimes.py" --tripid 315-06 --locoid 4009 --swversion DE.1.0.7.0 --startMP 204:491 --initTime 2016-10-07T02:09:33 --startdatetime 2016-10-07T02:12:06 --delay 1 --endMP 300:23308 --enddatetime 2016-10-07T02:20:38 --enforcementcount 0 &gt;&gt;C:\Users\stu\Documents\GitHub\eaglep3-reporting\EC\2016-10-06-refined-times.txt</v>
      </c>
      <c r="AI229" s="130" t="str">
        <f t="shared" si="109"/>
        <v>echo {"issue":{"subject":"","project_id":79,"tracker_id":40,"status_id":1,"priority_id":2,"assigned_to_id":23,"start_date":"2016-10-07","description":"","custom_fields":[{"id":1,"name":"Subdivision","value":"Other"},{"id":4,"name":"Milepost","value":"2.3308"},{"id":17,"name":"Train ID","value":"315-06"},{"id":16,"name":"Locomotive ID","value":"4009"},{"id":130,"name":"Impact","value":""},{"id":150,"name":"Time of Event (Mountain Time)","value":"02:20:38"},{"id":151,"name":"Denver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5"/>
      <c r="AK229" s="55"/>
      <c r="AL229" s="55"/>
    </row>
    <row r="230" spans="1:38" x14ac:dyDescent="0.25">
      <c r="A230" s="39" t="s">
        <v>404</v>
      </c>
      <c r="B230" s="7">
        <v>4053</v>
      </c>
      <c r="C230" s="24" t="s">
        <v>106</v>
      </c>
      <c r="D230" s="24" t="s">
        <v>811</v>
      </c>
      <c r="E230" s="15">
        <v>42649.204050925924</v>
      </c>
      <c r="F230" s="15">
        <v>42649.208854166667</v>
      </c>
      <c r="G230" s="7">
        <v>1</v>
      </c>
      <c r="H230" s="15" t="s">
        <v>812</v>
      </c>
      <c r="I230" s="15">
        <v>42649.212418981479</v>
      </c>
      <c r="J230" s="7">
        <v>0</v>
      </c>
      <c r="K230" s="117" t="str">
        <f t="shared" si="95"/>
        <v>4053/4054</v>
      </c>
      <c r="L230" s="24" t="str">
        <f>VLOOKUP(A230,'Trips&amp;Operators'!$C$1:$E$10000,3,FALSE)</f>
        <v>YORK</v>
      </c>
      <c r="M230" s="6">
        <f t="shared" si="96"/>
        <v>3.5648148113978095E-3</v>
      </c>
      <c r="N230" s="7">
        <f t="shared" si="112"/>
        <v>5.1333333284128457</v>
      </c>
      <c r="O230" s="7"/>
      <c r="P230" s="7"/>
      <c r="Q230" s="25"/>
      <c r="R230" s="25"/>
      <c r="S230" s="37">
        <f t="shared" si="97"/>
        <v>0</v>
      </c>
      <c r="T230" s="52" t="str">
        <f t="shared" si="105"/>
        <v>NorthBound</v>
      </c>
      <c r="U230" s="159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02" t="str">
        <f t="shared" si="98"/>
        <v>https://search-rtdc-monitor-bjffxe2xuh6vdkpspy63sjmuny.us-east-1.es.amazonaws.com/_plugin/kibana/#/discover/Steve-Slow-Train-Analysis-(2080s-and-2083s)?_g=(refreshInterval:(display:Off,section:0,value:0),time:(from:'2016-10-06 03:53:50-0600',mode:absolute,to:'2016-10-06 06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30" s="54" t="str">
        <f t="shared" si="99"/>
        <v>Y</v>
      </c>
      <c r="X230" s="164">
        <f t="shared" si="111"/>
        <v>586</v>
      </c>
      <c r="Y230" s="69">
        <f t="shared" si="100"/>
        <v>2.9032</v>
      </c>
      <c r="Z230" s="69">
        <f t="shared" si="101"/>
        <v>2.9417</v>
      </c>
      <c r="AA230" s="69">
        <f t="shared" si="102"/>
        <v>3.8499999999999979E-2</v>
      </c>
      <c r="AB230" s="66" t="e">
        <f>VLOOKUP(A230,Enforcements!$C$7:$K$21,8,0)</f>
        <v>#N/A</v>
      </c>
      <c r="AC230" s="62" t="e">
        <f>VLOOKUP(A230,Enforcements!$C$7:$E$21,3,0)</f>
        <v>#N/A</v>
      </c>
      <c r="AD230" s="63" t="str">
        <f t="shared" si="106"/>
        <v>0901-06</v>
      </c>
      <c r="AE230" s="95" t="str">
        <f t="shared" si="103"/>
        <v>aws s3 cp s3://rtdc.mdm.uploadarchive.raw/RTDC4053/ "%USERPROFILE%\AppData\Local\Temp\OnboardLogs"\RTDC4053\2016-10-06 --exclude "*" --recursive --include "*20161006*" &amp; "%USERPROFILE%\Documents\GitHub\mrs-test-scripts\Headless Mode &amp; Sideloading\WalkAndUnGZ.bat" "%USERPROFILE%\AppData\Local\Temp\OnboardLogs"\RTDC4053\2016-10-06 &amp; 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</v>
      </c>
      <c r="AF230" s="92" t="str">
        <f t="shared" si="104"/>
        <v>"C:\Program Files (x86)\AstroGrep\AstroGrep.exe" /spath="%USERPROFILE%\AppData\Local\Temp\OnboardLogs" /stypes="app*4053*20161006*" /stext=" 11:.+((SYSTEM_STATE.+slice.+state.+changed )|(ment ac)|(system.+state.+changed )|(\[timeout)|(PRM\|1\|D)|(kpr)|(kdp)|(\|lc)|(penalty))" /e /r /s</v>
      </c>
      <c r="AG230" s="1" t="str">
        <f t="shared" si="107"/>
        <v>Other</v>
      </c>
      <c r="AH230" s="96" t="str">
        <f t="shared" si="108"/>
        <v>"%USERPROFILE%\Documents\GitHub\eaglep3\Utilities\RefineRTDCRunTimes.py" --tripid 901-06 --locoid 4053 --swversion DE.1.0.7.0 --startMP 300:29032 --initTime 2016-10-06T04:53:50 --startdatetime 2016-10-06T05:00:45 --delay 1 --endMP 300:29417 --enddatetime 2016-10-06T05:05:53 --enforcementcount 0 &gt;&gt;C:\Users\stu\Documents\GitHub\eaglep3-reporting\EC\2016-10-06-refined-times.txt</v>
      </c>
      <c r="AI230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{"issue":{"subject":"","project_id":79,"tracker_id":40,"status_id":1,"priority_id":2,"assigned_to_id":23,"start_date":"2016-10-06","description":"","custom_fields":[{"id":1,"name":"Subdivision","value":"Other"},{"id":4,"name":"Milepost","value":"2.9417"},{"id":17,"name":"Train ID","value":"901-06"},{"id":16,"name":"Locomotive ID","value":"4053"},{"id":130,"name":"Impact","value":""},{"id":150,"name":"Time of Event (Mountain Time)","value":"05:05:53"},{"id":151,"name":"Denver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5"/>
      <c r="AK230" s="55"/>
      <c r="AL230" s="55"/>
    </row>
    <row r="231" spans="1:38" x14ac:dyDescent="0.25">
      <c r="A231" s="39" t="s">
        <v>404</v>
      </c>
      <c r="B231" s="7">
        <v>4053</v>
      </c>
      <c r="C231" s="24" t="s">
        <v>106</v>
      </c>
      <c r="D231" s="24" t="s">
        <v>813</v>
      </c>
      <c r="E231" s="15">
        <v>42649.207974537036</v>
      </c>
      <c r="F231" s="15">
        <v>42649.208854166667</v>
      </c>
      <c r="G231" s="7">
        <v>1</v>
      </c>
      <c r="H231" s="15" t="s">
        <v>311</v>
      </c>
      <c r="I231" s="15">
        <v>42649.212418981479</v>
      </c>
      <c r="J231" s="7">
        <v>0</v>
      </c>
      <c r="K231" s="117" t="str">
        <f t="shared" ref="K231:K255" si="113">IF(ISEVEN(B231),(B231-1)&amp;"/"&amp;B231,B231&amp;"/"&amp;(B231+1))</f>
        <v>4053/4054</v>
      </c>
      <c r="L231" s="24" t="str">
        <f>VLOOKUP(A231,'Trips&amp;Operators'!$C$1:$E$10000,3,FALSE)</f>
        <v>YORK</v>
      </c>
      <c r="M231" s="6">
        <f t="shared" ref="M231:M255" si="114">I231-F231</f>
        <v>3.5648148113978095E-3</v>
      </c>
      <c r="N231" s="7">
        <f t="shared" si="112"/>
        <v>5.1333333284128457</v>
      </c>
      <c r="O231" s="7"/>
      <c r="P231" s="7"/>
      <c r="Q231" s="25"/>
      <c r="R231" s="25"/>
      <c r="S231" s="37">
        <f t="shared" ref="S231:S255" si="115">SUM(U231:U231)/IF(AG231="EC",12,1)</f>
        <v>0</v>
      </c>
      <c r="T231" s="52" t="str">
        <f t="shared" si="105"/>
        <v>NorthBound</v>
      </c>
      <c r="U231" s="159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02" t="str">
        <f t="shared" ref="V231:V255" si="116">"https://search-rtdc-monitor-bjffxe2xuh6vdkpspy63sjmuny.us-east-1.es.amazonaws.com/_plugin/kibana/#/discover/Steve-Slow-Train-Analysis-(2080s-and-2083s)?_g=(refreshInterval:(display:Off,section:0,value:0),time:(from:'"&amp;TEXT(E231-1/24,"yyyy-MM-DD hh:mm:ss")&amp;"-0600',mode:absolute,to:'"&amp;TEXT(I231+1/24,"yyyy-MM-DD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231&amp;"%22')),sort:!(Time,asc))"</f>
        <v>https://search-rtdc-monitor-bjffxe2xuh6vdkpspy63sjmuny.us-east-1.es.amazonaws.com/_plugin/kibana/#/discover/Steve-Slow-Train-Analysis-(2080s-and-2083s)?_g=(refreshInterval:(display:Off,section:0,value:0),time:(from:'2016-10-06 03:59:29-0600',mode:absolute,to:'2016-10-06 06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31" s="54" t="str">
        <f t="shared" ref="W231:W255" si="117">IF(AA231&lt;IF(AG231="EC",23,5.65),"Y","N")</f>
        <v>Y</v>
      </c>
      <c r="X231" s="164">
        <f t="shared" si="111"/>
        <v>0</v>
      </c>
      <c r="Y231" s="69">
        <f t="shared" ref="Y231:Y255" si="118">RIGHT(D231,LEN(D231)-4)/10000</f>
        <v>3.7151999999999998</v>
      </c>
      <c r="Z231" s="69">
        <f t="shared" ref="Z231:Z255" si="119">RIGHT(H231,LEN(H231)-4)/10000</f>
        <v>5.8929</v>
      </c>
      <c r="AA231" s="69">
        <f t="shared" ref="AA231:AA255" si="120">ABS(Z231-Y231)</f>
        <v>2.1777000000000002</v>
      </c>
      <c r="AB231" s="66" t="e">
        <f>VLOOKUP(A231,Enforcements!$C$7:$K$21,8,0)</f>
        <v>#N/A</v>
      </c>
      <c r="AC231" s="62" t="e">
        <f>VLOOKUP(A231,Enforcements!$C$7:$E$21,3,0)</f>
        <v>#N/A</v>
      </c>
      <c r="AD231" s="63" t="str">
        <f t="shared" si="106"/>
        <v>0901-06</v>
      </c>
      <c r="AE231" s="95" t="str">
        <f t="shared" ref="AE231:AE255" si="121"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s3://rtdc.mdm.uploadarchive.raw/RTDC4053/ "%USERPROFILE%\AppData\Local\Temp\OnboardLogs"\RTDC4053\2016-10-06 --exclude "*" --recursive --include "*20161006*" &amp; "%USERPROFILE%\Documents\GitHub\mrs-test-scripts\Headless Mode &amp; Sideloading\WalkAndUnGZ.bat" "%USERPROFILE%\AppData\Local\Temp\OnboardLogs"\RTDC4053\2016-10-06 &amp; 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</v>
      </c>
      <c r="AF231" s="92" t="str">
        <f t="shared" ref="AF231:AF255" si="122">astrogrep_path&amp;" /spath="&amp;search_path&amp;" /stypes=""app*"&amp;B231&amp;"*"&amp;TEXT(I231-utc_offset/24,"YYYYMMDD")&amp;"*"" /stext="" "&amp;TEXT(I231-utc_offset/24,"HH")&amp;search_regexp&amp;""" /e /r /s"</f>
        <v>"C:\Program Files (x86)\AstroGrep\AstroGrep.exe" /spath="%USERPROFILE%\AppData\Local\Temp\OnboardLogs" /stypes="app*4053*20161006*" /stext=" 11:.+((SYSTEM_STATE.+slice.+state.+changed )|(ment ac)|(system.+state.+changed )|(\[timeout)|(PRM\|1\|D)|(kpr)|(kdp)|(\|lc)|(penalty))" /e /r /s</v>
      </c>
      <c r="AG231" s="1" t="str">
        <f t="shared" si="107"/>
        <v>Other</v>
      </c>
      <c r="AH231" s="96" t="str">
        <f t="shared" si="108"/>
        <v>"%USERPROFILE%\Documents\GitHub\eaglep3\Utilities\RefineRTDCRunTimes.py" --tripid 901-06 --locoid 4053 --swversion DE.1.0.7.0 --startMP 300:37152 --initTime 2016-10-06T04:59:29 --startdatetime 2016-10-06T05:00:45 --delay 1 --endMP 300:58929 --enddatetime 2016-10-06T05:05:53 --enforcementcount 0 &gt;&gt;C:\Users\stu\Documents\GitHub\eaglep3-reporting\EC\2016-10-06-refined-times.txt</v>
      </c>
      <c r="AI231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{"issue":{"subject":"","project_id":79,"tracker_id":40,"status_id":1,"priority_id":2,"assigned_to_id":23,"start_date":"2016-10-06","description":"","custom_fields":[{"id":1,"name":"Subdivision","value":"Other"},{"id":4,"name":"Milepost","value":"5.8929"},{"id":17,"name":"Train ID","value":"901-06"},{"id":16,"name":"Locomotive ID","value":"4053"},{"id":130,"name":"Impact","value":""},{"id":150,"name":"Time of Event (Mountain Time)","value":"05:05:53"},{"id":151,"name":"Denver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5"/>
      <c r="AK231" s="55"/>
      <c r="AL231" s="55"/>
    </row>
    <row r="232" spans="1:38" x14ac:dyDescent="0.25">
      <c r="A232" s="39" t="s">
        <v>419</v>
      </c>
      <c r="B232" s="7">
        <v>4030</v>
      </c>
      <c r="C232" s="24" t="s">
        <v>106</v>
      </c>
      <c r="D232" s="24" t="s">
        <v>724</v>
      </c>
      <c r="E232" s="15">
        <v>42649.247291666667</v>
      </c>
      <c r="F232" s="15">
        <v>42649.248680555553</v>
      </c>
      <c r="G232" s="7">
        <v>1</v>
      </c>
      <c r="H232" s="15" t="s">
        <v>814</v>
      </c>
      <c r="I232" s="15">
        <v>42649.253819444442</v>
      </c>
      <c r="J232" s="7">
        <v>0</v>
      </c>
      <c r="K232" s="117" t="str">
        <f t="shared" si="113"/>
        <v>4029/4030</v>
      </c>
      <c r="L232" s="24" t="str">
        <f>VLOOKUP(A232,'Trips&amp;Operators'!$C$1:$E$10000,3,FALSE)</f>
        <v>GEBRETEKLE</v>
      </c>
      <c r="M232" s="6">
        <f t="shared" si="114"/>
        <v>5.1388888896326534E-3</v>
      </c>
      <c r="N232" s="7">
        <f t="shared" si="112"/>
        <v>7.400000001071021</v>
      </c>
      <c r="O232" s="7"/>
      <c r="P232" s="7"/>
      <c r="Q232" s="25"/>
      <c r="R232" s="25"/>
      <c r="S232" s="37">
        <f t="shared" si="115"/>
        <v>1</v>
      </c>
      <c r="T232" s="52" t="str">
        <f t="shared" si="105"/>
        <v>Southbound</v>
      </c>
      <c r="U232" s="159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04:56:06-0600',mode:absolute,to:'2016-10-06 07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32" s="54" t="str">
        <f t="shared" si="117"/>
        <v>Y</v>
      </c>
      <c r="X232" s="164">
        <f t="shared" si="111"/>
        <v>1</v>
      </c>
      <c r="Y232" s="69">
        <f t="shared" si="118"/>
        <v>2.2155</v>
      </c>
      <c r="Z232" s="69">
        <f t="shared" si="119"/>
        <v>1.0999999999999999E-2</v>
      </c>
      <c r="AA232" s="69">
        <f t="shared" si="120"/>
        <v>2.2044999999999999</v>
      </c>
      <c r="AB232" s="66" t="e">
        <f>VLOOKUP(A232,Enforcements!$C$7:$K$21,8,0)</f>
        <v>#N/A</v>
      </c>
      <c r="AC232" s="62" t="e">
        <f>VLOOKUP(A232,Enforcements!$C$7:$E$21,3,0)</f>
        <v>#N/A</v>
      </c>
      <c r="AD232" s="63" t="str">
        <f t="shared" si="106"/>
        <v>0902-06</v>
      </c>
      <c r="AE232" s="95" t="str">
        <f t="shared" si="121"/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AF232" s="92" t="str">
        <f t="shared" si="122"/>
        <v>"C:\Program Files (x86)\AstroGrep\AstroGrep.exe" /spath="%USERPROFILE%\AppData\Local\Temp\OnboardLogs" /stypes="app*4030*20161006*" /stext=" 12:.+((SYSTEM_STATE.+slice.+state.+changed )|(ment ac)|(system.+state.+changed )|(\[timeout)|(PRM\|1\|D)|(kpr)|(kdp)|(\|lc)|(penalty))" /e /r /s</v>
      </c>
      <c r="AG232" s="1" t="str">
        <f t="shared" si="107"/>
        <v>Other</v>
      </c>
      <c r="AH232" s="96" t="str">
        <f t="shared" si="108"/>
        <v>"%USERPROFILE%\Documents\GitHub\eaglep3\Utilities\RefineRTDCRunTimes.py" --tripid 902-06 --locoid 4030 --swversion DE.1.0.7.0 --startMP 300:22155 --initTime 2016-10-06T05:56:06 --startdatetime 2016-10-06T05:58:06 --delay 1 --endMP 204:110 --enddatetime 2016-10-06T06:05:30 --enforcementcount 0 &gt;&gt;C:\Users\stu\Documents\GitHub\eaglep3-reporting\EC\2016-10-06-refined-times.txt</v>
      </c>
      <c r="AI232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{"issue":{"subject":"","project_id":79,"tracker_id":40,"status_id":1,"priority_id":2,"assigned_to_id":23,"start_date":"2016-10-06","description":"","custom_fields":[{"id":1,"name":"Subdivision","value":"Other"},{"id":4,"name":"Milepost","value":"0.011"},{"id":17,"name":"Train ID","value":"902-06"},{"id":16,"name":"Locomotive ID","value":"4030"},{"id":130,"name":"Impact","value":""},{"id":150,"name":"Time of Event (Mountain Time)","value":"06:05:30"},{"id":151,"name":"Denver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5"/>
      <c r="AK232" s="55"/>
      <c r="AL232" s="55"/>
    </row>
    <row r="233" spans="1:38" x14ac:dyDescent="0.25">
      <c r="A233" s="39" t="s">
        <v>452</v>
      </c>
      <c r="B233" s="7">
        <v>4053</v>
      </c>
      <c r="C233" s="24" t="s">
        <v>106</v>
      </c>
      <c r="D233" s="24" t="s">
        <v>365</v>
      </c>
      <c r="E233" s="15">
        <v>42649.354687500003</v>
      </c>
      <c r="F233" s="15">
        <v>42649.358344907407</v>
      </c>
      <c r="G233" s="7">
        <v>1</v>
      </c>
      <c r="H233" s="15" t="s">
        <v>815</v>
      </c>
      <c r="I233" s="15">
        <v>42649.36409722222</v>
      </c>
      <c r="J233" s="7">
        <v>0</v>
      </c>
      <c r="K233" s="117" t="str">
        <f t="shared" si="113"/>
        <v>4053/4054</v>
      </c>
      <c r="L233" s="24" t="str">
        <f>VLOOKUP(A233,'Trips&amp;Operators'!$C$1:$E$10000,3,FALSE)</f>
        <v>YORK</v>
      </c>
      <c r="M233" s="6">
        <f t="shared" si="114"/>
        <v>5.7523148134350777E-3</v>
      </c>
      <c r="N233" s="7">
        <f t="shared" si="112"/>
        <v>8.2833333313465118</v>
      </c>
      <c r="O233" s="7"/>
      <c r="P233" s="7"/>
      <c r="Q233" s="25"/>
      <c r="R233" s="25"/>
      <c r="S233" s="37">
        <f t="shared" si="115"/>
        <v>1</v>
      </c>
      <c r="T233" s="52" t="str">
        <f t="shared" si="105"/>
        <v>NorthBound</v>
      </c>
      <c r="U233" s="159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07:30:45-0600',mode:absolute,to:'2016-10-06 09:44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33" s="54" t="str">
        <f t="shared" si="117"/>
        <v>Y</v>
      </c>
      <c r="X233" s="164">
        <f t="shared" si="111"/>
        <v>1</v>
      </c>
      <c r="Y233" s="69">
        <f t="shared" si="118"/>
        <v>0.1053</v>
      </c>
      <c r="Z233" s="69">
        <f t="shared" si="119"/>
        <v>2.4262999999999999</v>
      </c>
      <c r="AA233" s="69">
        <f t="shared" si="120"/>
        <v>2.3209999999999997</v>
      </c>
      <c r="AB233" s="66" t="e">
        <f>VLOOKUP(A233,Enforcements!$C$7:$K$21,8,0)</f>
        <v>#N/A</v>
      </c>
      <c r="AC233" s="62" t="e">
        <f>VLOOKUP(A233,Enforcements!$C$7:$E$21,3,0)</f>
        <v>#N/A</v>
      </c>
      <c r="AD233" s="63" t="str">
        <f t="shared" si="106"/>
        <v>0903-06</v>
      </c>
      <c r="AE233" s="95" t="str">
        <f t="shared" si="121"/>
        <v>aws s3 cp s3://rtdc.mdm.uploadarchive.raw/RTDC4053/ "%USERPROFILE%\AppData\Local\Temp\OnboardLogs"\RTDC4053\2016-10-06 --exclude "*" --recursive --include "*20161006*" &amp; "%USERPROFILE%\Documents\GitHub\mrs-test-scripts\Headless Mode &amp; Sideloading\WalkAndUnGZ.bat" "%USERPROFILE%\AppData\Local\Temp\OnboardLogs"\RTDC4053\2016-10-06 &amp; 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</v>
      </c>
      <c r="AF233" s="92" t="str">
        <f t="shared" si="122"/>
        <v>"C:\Program Files (x86)\AstroGrep\AstroGrep.exe" /spath="%USERPROFILE%\AppData\Local\Temp\OnboardLogs" /stypes="app*4053*20161006*" /stext=" 14:.+((SYSTEM_STATE.+slice.+state.+changed )|(ment ac)|(system.+state.+changed )|(\[timeout)|(PRM\|1\|D)|(kpr)|(kdp)|(\|lc)|(penalty))" /e /r /s</v>
      </c>
      <c r="AG233" s="1" t="str">
        <f t="shared" si="107"/>
        <v>Other</v>
      </c>
      <c r="AH233" s="96" t="str">
        <f t="shared" si="108"/>
        <v>"%USERPROFILE%\Documents\GitHub\eaglep3\Utilities\RefineRTDCRunTimes.py" --tripid 903-06 --locoid 4053 --swversion DE.1.0.7.0 --startMP 204:1053 --initTime 2016-10-06T08:30:45 --startdatetime 2016-10-06T08:36:01 --delay 1 --endMP 300:24263 --enddatetime 2016-10-06T08:44:18 --enforcementcount 0 &gt;&gt;C:\Users\stu\Documents\GitHub\eaglep3-reporting\EC\2016-10-06-refined-times.txt</v>
      </c>
      <c r="AI233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{"issue":{"subject":"","project_id":79,"tracker_id":40,"status_id":1,"priority_id":2,"assigned_to_id":23,"start_date":"2016-10-06","description":"","custom_fields":[{"id":1,"name":"Subdivision","value":"Other"},{"id":4,"name":"Milepost","value":"2.4263"},{"id":17,"name":"Train ID","value":"903-06"},{"id":16,"name":"Locomotive ID","value":"4053"},{"id":130,"name":"Impact","value":""},{"id":150,"name":"Time of Event (Mountain Time)","value":"08:44:18"},{"id":151,"name":"Denver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5"/>
      <c r="AK233" s="55"/>
      <c r="AL233" s="55"/>
    </row>
    <row r="234" spans="1:38" x14ac:dyDescent="0.25">
      <c r="A234" s="39" t="s">
        <v>532</v>
      </c>
      <c r="B234" s="7">
        <v>4054</v>
      </c>
      <c r="C234" s="24" t="s">
        <v>106</v>
      </c>
      <c r="D234" s="24" t="s">
        <v>816</v>
      </c>
      <c r="E234" s="15">
        <v>42649.637083333335</v>
      </c>
      <c r="F234" s="15">
        <v>42649.638958333337</v>
      </c>
      <c r="G234" s="7">
        <v>2</v>
      </c>
      <c r="H234" s="15" t="s">
        <v>817</v>
      </c>
      <c r="I234" s="15">
        <v>42649.644016203703</v>
      </c>
      <c r="J234" s="7">
        <v>0</v>
      </c>
      <c r="K234" s="117" t="str">
        <f t="shared" si="113"/>
        <v>4053/4054</v>
      </c>
      <c r="L234" s="24" t="str">
        <f>VLOOKUP(A234,'Trips&amp;Operators'!$C$1:$E$10000,3,FALSE)</f>
        <v>YANAI</v>
      </c>
      <c r="M234" s="6">
        <f t="shared" si="114"/>
        <v>5.057870366727002E-3</v>
      </c>
      <c r="N234" s="7">
        <f t="shared" si="112"/>
        <v>7.2833333280868828</v>
      </c>
      <c r="O234" s="7"/>
      <c r="P234" s="7"/>
      <c r="Q234" s="25"/>
      <c r="R234" s="25"/>
      <c r="S234" s="37">
        <f t="shared" si="115"/>
        <v>1</v>
      </c>
      <c r="T234" s="52" t="str">
        <f t="shared" si="105"/>
        <v>Southbound</v>
      </c>
      <c r="U234" s="159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14:17:24-0600',mode:absolute,to:'2016-10-06 16:27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34" s="54" t="str">
        <f t="shared" si="117"/>
        <v>Y</v>
      </c>
      <c r="X234" s="164">
        <f t="shared" si="111"/>
        <v>1</v>
      </c>
      <c r="Y234" s="69">
        <f t="shared" si="118"/>
        <v>2.3323</v>
      </c>
      <c r="Z234" s="69">
        <f t="shared" si="119"/>
        <v>6.5000000000000002E-2</v>
      </c>
      <c r="AA234" s="69">
        <f t="shared" si="120"/>
        <v>2.2673000000000001</v>
      </c>
      <c r="AB234" s="66" t="e">
        <f>VLOOKUP(A234,Enforcements!$C$7:$K$21,8,0)</f>
        <v>#N/A</v>
      </c>
      <c r="AC234" s="62" t="e">
        <f>VLOOKUP(A234,Enforcements!$C$7:$E$21,3,0)</f>
        <v>#N/A</v>
      </c>
      <c r="AD234" s="63" t="str">
        <f t="shared" si="106"/>
        <v>0904-06</v>
      </c>
      <c r="AE234" s="95" t="str">
        <f t="shared" si="121"/>
        <v>aws s3 cp s3://rtdc.mdm.uploadarchive.raw/RTDC4054/ "%USERPROFILE%\AppData\Local\Temp\OnboardLogs"\RTDC4054\2016-10-06 --exclude "*" --recursive --include "*20161006*" &amp; "%USERPROFILE%\Documents\GitHub\mrs-test-scripts\Headless Mode &amp; Sideloading\WalkAndUnGZ.bat" "%USERPROFILE%\AppData\Local\Temp\OnboardLogs"\RTDC4054\2016-10-06 &amp; 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</v>
      </c>
      <c r="AF234" s="92" t="str">
        <f t="shared" si="122"/>
        <v>"C:\Program Files (x86)\AstroGrep\AstroGrep.exe" /spath="%USERPROFILE%\AppData\Local\Temp\OnboardLogs" /stypes="app*4054*20161006*" /stext=" 21:.+((SYSTEM_STATE.+slice.+state.+changed )|(ment ac)|(system.+state.+changed )|(\[timeout)|(PRM\|1\|D)|(kpr)|(kdp)|(\|lc)|(penalty))" /e /r /s</v>
      </c>
      <c r="AG234" s="1" t="str">
        <f t="shared" si="107"/>
        <v>Other</v>
      </c>
      <c r="AH234" s="96" t="str">
        <f t="shared" si="108"/>
        <v>"%USERPROFILE%\Documents\GitHub\eaglep3\Utilities\RefineRTDCRunTimes.py" --tripid 904-06 --locoid 4054 --swversion DE.1.0.7.0 --startMP 300:23323 --initTime 2016-10-06T15:17:24 --startdatetime 2016-10-06T15:20:06 --delay 2 --endMP 204:650 --enddatetime 2016-10-06T15:27:23 --enforcementcount 0 &gt;&gt;C:\Users\stu\Documents\GitHub\eaglep3-reporting\EC\2016-10-06-refined-times.txt</v>
      </c>
      <c r="AI234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{"issue":{"subject":"","project_id":79,"tracker_id":40,"status_id":1,"priority_id":2,"assigned_to_id":23,"start_date":"2016-10-06","description":"","custom_fields":[{"id":1,"name":"Subdivision","value":"Other"},{"id":4,"name":"Milepost","value":"0.065"},{"id":17,"name":"Train ID","value":"904-06"},{"id":16,"name":"Locomotive ID","value":"4054"},{"id":130,"name":"Impact","value":""},{"id":150,"name":"Time of Event (Mountain Time)","value":"15:27:23"},{"id":151,"name":"Denver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5"/>
      <c r="AK234" s="55"/>
      <c r="AL234" s="55"/>
    </row>
    <row r="235" spans="1:38" x14ac:dyDescent="0.25">
      <c r="A235" s="39" t="s">
        <v>584</v>
      </c>
      <c r="B235" s="7">
        <v>4054</v>
      </c>
      <c r="C235" s="24" t="s">
        <v>106</v>
      </c>
      <c r="D235" s="24" t="s">
        <v>367</v>
      </c>
      <c r="E235" s="15">
        <v>42649.795856481483</v>
      </c>
      <c r="F235" s="15">
        <v>25568.708333333332</v>
      </c>
      <c r="G235" s="7">
        <v>1</v>
      </c>
      <c r="H235" s="15" t="s">
        <v>818</v>
      </c>
      <c r="I235" s="15">
        <v>25568.708333333332</v>
      </c>
      <c r="J235" s="7">
        <v>0</v>
      </c>
      <c r="K235" s="117" t="str">
        <f t="shared" si="113"/>
        <v>4053/4054</v>
      </c>
      <c r="L235" s="24" t="str">
        <f>VLOOKUP(A235,'Trips&amp;Operators'!$C$1:$E$10000,3,FALSE)</f>
        <v>YANAI</v>
      </c>
      <c r="M235" s="6">
        <f t="shared" si="114"/>
        <v>0</v>
      </c>
      <c r="N235" s="7">
        <f t="shared" si="112"/>
        <v>0</v>
      </c>
      <c r="O235" s="7"/>
      <c r="P235" s="7"/>
      <c r="Q235" s="25"/>
      <c r="R235" s="25"/>
      <c r="S235" s="37">
        <f t="shared" si="115"/>
        <v>0</v>
      </c>
      <c r="T235" s="52" t="str">
        <f t="shared" si="105"/>
        <v>Southbound</v>
      </c>
      <c r="U235" s="159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18:06:02-0600',mode:absolute,to:'1969-12-31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35" s="54" t="str">
        <f t="shared" si="117"/>
        <v>Y</v>
      </c>
      <c r="X235" s="164">
        <f t="shared" si="111"/>
        <v>2</v>
      </c>
      <c r="Y235" s="69">
        <f t="shared" si="118"/>
        <v>5.8628</v>
      </c>
      <c r="Z235" s="69">
        <f t="shared" si="119"/>
        <v>2.8791000000000002</v>
      </c>
      <c r="AA235" s="69">
        <f t="shared" si="120"/>
        <v>2.9836999999999998</v>
      </c>
      <c r="AB235" s="66" t="e">
        <f>VLOOKUP(A235,Enforcements!$C$7:$K$21,8,0)</f>
        <v>#N/A</v>
      </c>
      <c r="AC235" s="62" t="e">
        <f>VLOOKUP(A235,Enforcements!$C$7:$E$21,3,0)</f>
        <v>#N/A</v>
      </c>
      <c r="AD235" s="63" t="str">
        <f t="shared" si="106"/>
        <v>0906-06</v>
      </c>
      <c r="AE235" s="95" t="str">
        <f t="shared" si="121"/>
        <v>aws s3 cp s3://rtdc.mdm.uploadarchive.raw/RTDC4054/ "%USERPROFILE%\AppData\Local\Temp\OnboardLogs"\RTDC4054\1969-12-31 --exclude "*" --recursive --include "*19691231*" &amp; "%USERPROFILE%\Documents\GitHub\mrs-test-scripts\Headless Mode &amp; Sideloading\WalkAndUnGZ.bat" "%USERPROFILE%\AppData\Local\Temp\OnboardLogs"\RTDC4054\1969-12-31 &amp; aws s3 cp s3://rtdc.mdm.uploadarchive.raw/RTDC4054/ "%USERPROFILE%\AppData\Local\Temp\OnboardLogs"\RTDC4054\1970-01-01 --exclude "*" --recursive --include "*19700101*" &amp; "%USERPROFILE%\Documents\GitHub\mrs-test-scripts\Headless Mode &amp; Sideloading\WalkAndUnGZ.bat" "%USERPROFILE%\AppData\Local\Temp\OnboardLogs"\RTDC4054\1970-01-01</v>
      </c>
      <c r="AF235" s="92" t="str">
        <f t="shared" si="122"/>
        <v>"C:\Program Files (x86)\AstroGrep\AstroGrep.exe" /spath="%USERPROFILE%\AppData\Local\Temp\OnboardLogs" /stypes="app*4054*19691231*" /stext=" 23:.+((SYSTEM_STATE.+slice.+state.+changed )|(ment ac)|(system.+state.+changed )|(\[timeout)|(PRM\|1\|D)|(kpr)|(kdp)|(\|lc)|(penalty))" /e /r /s</v>
      </c>
      <c r="AG235" s="1" t="str">
        <f t="shared" si="107"/>
        <v>Other</v>
      </c>
      <c r="AH235" s="96" t="str">
        <f t="shared" si="108"/>
        <v>"%USERPROFILE%\Documents\GitHub\eaglep3\Utilities\RefineRTDCRunTimes.py" --tripid 906-06 --locoid 4054 --swversion DE.1.0.7.0 --startMP 300:58628 --initTime 2016-10-06T19:06:02 --startdatetime 1969-12-31T17:00:00 --delay 1 --endMP 300:28791 --enddatetime 1969-12-31T17:00:00 --enforcementcount 0 &gt;&gt;C:\Users\stu\Documents\GitHub\eaglep3-reporting\EC\2016-10-06-refined-times.txt</v>
      </c>
      <c r="AI235" s="130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{"issue":{"subject":"","project_id":79,"tracker_id":40,"status_id":1,"priority_id":2,"assigned_to_id":23,"start_date":"1969-12-31","description":"","custom_fields":[{"id":1,"name":"Subdivision","value":"Other"},{"id":4,"name":"Milepost","value":"2.8791"},{"id":17,"name":"Train ID","value":"906-06"},{"id":16,"name":"Locomotive ID","value":"4054"},{"id":130,"name":"Impact","value":""},{"id":150,"name":"Time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5"/>
      <c r="AK235" s="55"/>
      <c r="AL235" s="55"/>
    </row>
    <row r="236" spans="1:38" x14ac:dyDescent="0.25">
      <c r="A236" s="39" t="s">
        <v>608</v>
      </c>
      <c r="B236" s="7">
        <v>4030</v>
      </c>
      <c r="C236" s="24" t="s">
        <v>106</v>
      </c>
      <c r="D236" s="24" t="s">
        <v>802</v>
      </c>
      <c r="E236" s="15">
        <v>42649.941678240742</v>
      </c>
      <c r="F236" s="15">
        <v>42649.94295138889</v>
      </c>
      <c r="G236" s="7">
        <v>1</v>
      </c>
      <c r="H236" s="15" t="s">
        <v>819</v>
      </c>
      <c r="I236" s="15">
        <v>42649.947743055556</v>
      </c>
      <c r="J236" s="7">
        <v>0</v>
      </c>
      <c r="K236" s="117" t="str">
        <f t="shared" si="113"/>
        <v>4029/4030</v>
      </c>
      <c r="L236" s="24" t="str">
        <f>VLOOKUP(A236,'Trips&amp;Operators'!$C$1:$E$10000,3,FALSE)</f>
        <v>YANAI</v>
      </c>
      <c r="M236" s="6">
        <f t="shared" si="114"/>
        <v>4.7916666662786156E-3</v>
      </c>
      <c r="N236" s="7">
        <f t="shared" si="112"/>
        <v>6.8999999994412065</v>
      </c>
      <c r="O236" s="7"/>
      <c r="P236" s="7"/>
      <c r="Q236" s="25"/>
      <c r="R236" s="25"/>
      <c r="S236" s="37">
        <f t="shared" si="115"/>
        <v>0</v>
      </c>
      <c r="T236" s="52" t="str">
        <f t="shared" si="105"/>
        <v>Southbound</v>
      </c>
      <c r="U236" s="159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21:36:01-0600',mode:absolute,to:'2016-10-06 23:44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36" s="54" t="str">
        <f t="shared" si="117"/>
        <v>Y</v>
      </c>
      <c r="X236" s="164">
        <f t="shared" si="111"/>
        <v>2</v>
      </c>
      <c r="Y236" s="69">
        <f t="shared" si="118"/>
        <v>5.8648999999999996</v>
      </c>
      <c r="Z236" s="69">
        <f t="shared" si="119"/>
        <v>2.1680000000000001</v>
      </c>
      <c r="AA236" s="69">
        <f t="shared" si="120"/>
        <v>3.6968999999999994</v>
      </c>
      <c r="AB236" s="66" t="e">
        <f>VLOOKUP(A236,Enforcements!$C$7:$K$21,8,0)</f>
        <v>#N/A</v>
      </c>
      <c r="AC236" s="62" t="e">
        <f>VLOOKUP(A236,Enforcements!$C$7:$E$21,3,0)</f>
        <v>#N/A</v>
      </c>
      <c r="AD236" s="63" t="str">
        <f t="shared" si="106"/>
        <v>0908-06</v>
      </c>
      <c r="AE236" s="95" t="str">
        <f t="shared" si="121"/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AF236" s="92" t="str">
        <f t="shared" si="122"/>
        <v>"C:\Program Files (x86)\AstroGrep\AstroGrep.exe" /spath="%USERPROFILE%\AppData\Local\Temp\OnboardLogs" /stypes="app*4030*20161007*" /stext=" 04:.+((SYSTEM_STATE.+slice.+state.+changed )|(ment ac)|(system.+state.+changed )|(\[timeout)|(PRM\|1\|D)|(kpr)|(kdp)|(\|lc)|(penalty))" /e /r /s</v>
      </c>
      <c r="AG236" s="1" t="str">
        <f t="shared" si="107"/>
        <v>Other</v>
      </c>
      <c r="AH236" s="96" t="str">
        <f t="shared" si="108"/>
        <v>"%USERPROFILE%\Documents\GitHub\eaglep3\Utilities\RefineRTDCRunTimes.py" --tripid 908-06 --locoid 4030 --swversion DE.1.0.7.0 --startMP 300:58649 --initTime 2016-10-06T22:36:01 --startdatetime 2016-10-06T22:37:51 --delay 1 --endMP 300:21680 --enddatetime 2016-10-06T22:44:45 --enforcementcount 0 &gt;&gt;C:\Users\stu\Documents\GitHub\eaglep3-reporting\EC\2016-10-06-refined-times.txt</v>
      </c>
      <c r="AI236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{"issue":{"subject":"","project_id":79,"tracker_id":40,"status_id":1,"priority_id":2,"assigned_to_id":23,"start_date":"2016-10-06","description":"","custom_fields":[{"id":1,"name":"Subdivision","value":"Other"},{"id":4,"name":"Milepost","value":"2.168"},{"id":17,"name":"Train ID","value":"908-06"},{"id":16,"name":"Locomotive ID","value":"4030"},{"id":130,"name":"Impact","value":""},{"id":150,"name":"Time of Event (Mountain Time)","value":"22:44:45"},{"id":151,"name":"Denver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5"/>
      <c r="AK236" s="55"/>
      <c r="AL236" s="55"/>
    </row>
    <row r="237" spans="1:38" x14ac:dyDescent="0.25">
      <c r="A237" s="39" t="s">
        <v>463</v>
      </c>
      <c r="B237" s="7">
        <v>4004</v>
      </c>
      <c r="C237" s="24" t="s">
        <v>106</v>
      </c>
      <c r="D237" s="24" t="s">
        <v>731</v>
      </c>
      <c r="E237" s="15">
        <v>42649.388993055552</v>
      </c>
      <c r="F237" s="15">
        <v>42649.396597222221</v>
      </c>
      <c r="G237" s="7">
        <v>10</v>
      </c>
      <c r="H237" s="15" t="s">
        <v>705</v>
      </c>
      <c r="I237" s="15">
        <v>42649.405358796299</v>
      </c>
      <c r="J237" s="7">
        <v>0</v>
      </c>
      <c r="K237" s="117" t="str">
        <f t="shared" si="113"/>
        <v>4003/4004</v>
      </c>
      <c r="L237" s="24" t="str">
        <f>VLOOKUP(A237,'Trips&amp;Operators'!$C$1:$E$10000,3,FALSE)</f>
        <v>BROWN</v>
      </c>
      <c r="M237" s="6">
        <f t="shared" si="114"/>
        <v>8.7615740776527673E-3</v>
      </c>
      <c r="N237" s="7">
        <f t="shared" si="112"/>
        <v>12.616666671819985</v>
      </c>
      <c r="O237" s="7"/>
      <c r="P237" s="7"/>
      <c r="Q237" s="25"/>
      <c r="R237" s="25"/>
      <c r="S237" s="37">
        <f t="shared" si="115"/>
        <v>0</v>
      </c>
      <c r="T237" s="52" t="e">
        <f t="shared" si="105"/>
        <v>#VALUE!</v>
      </c>
      <c r="U237" s="159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08:20:09-0600',mode:absolute,to:'2016-10-06 10:43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37" s="54" t="str">
        <f t="shared" si="117"/>
        <v>Y</v>
      </c>
      <c r="X237" s="164" t="e">
        <f t="shared" si="111"/>
        <v>#VALUE!</v>
      </c>
      <c r="Y237" s="69">
        <f t="shared" si="118"/>
        <v>2.3201999999999998</v>
      </c>
      <c r="Z237" s="69">
        <f t="shared" si="119"/>
        <v>1.4800000000000001E-2</v>
      </c>
      <c r="AA237" s="69">
        <f t="shared" si="120"/>
        <v>2.3053999999999997</v>
      </c>
      <c r="AB237" s="66" t="e">
        <f>VLOOKUP(A237,Enforcements!$C$7:$K$21,8,0)</f>
        <v>#N/A</v>
      </c>
      <c r="AC237" s="62" t="e">
        <f>VLOOKUP(A237,Enforcements!$C$7:$E$21,3,0)</f>
        <v>#N/A</v>
      </c>
      <c r="AD237" s="63" t="str">
        <f t="shared" si="106"/>
        <v>50-06</v>
      </c>
      <c r="AE237" s="95" t="str">
        <f t="shared" si="121"/>
        <v>aws s3 cp s3://rtdc.mdm.uploadarchive.raw/RTDC4004/ "%USERPROFILE%\AppData\Local\Temp\OnboardLogs"\RTDC4004\2016-10-06 --exclude "*" --recursive --include "*20161006*" &amp; "%USERPROFILE%\Documents\GitHub\mrs-test-scripts\Headless Mode &amp; Sideloading\WalkAndUnGZ.bat" "%USERPROFILE%\AppData\Local\Temp\OnboardLogs"\RTDC4004\2016-10-06 &amp; 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</v>
      </c>
      <c r="AF237" s="92" t="str">
        <f t="shared" si="122"/>
        <v>"C:\Program Files (x86)\AstroGrep\AstroGrep.exe" /spath="%USERPROFILE%\AppData\Local\Temp\OnboardLogs" /stypes="app*4004*20161006*" /stext=" 15:.+((SYSTEM_STATE.+slice.+state.+changed )|(ment ac)|(system.+state.+changed )|(\[timeout)|(PRM\|1\|D)|(kpr)|(kdp)|(\|lc)|(penalty))" /e /r /s</v>
      </c>
      <c r="AG237" s="1" t="str">
        <f t="shared" si="107"/>
        <v>Other</v>
      </c>
      <c r="AH237" s="96" t="str">
        <f t="shared" si="108"/>
        <v>"%USERPROFILE%\Documents\GitHub\eaglep3\Utilities\RefineRTDCRunTimes.py" --tripid 50-06 --locoid 4004 --swversion DE.1.0.7.0 --startMP 300:23202 --initTime 2016-10-06T09:20:09 --startdatetime 2016-10-06T09:31:06 --delay 10 --endMP 204:148 --enddatetime 2016-10-06T09:43:43 --enforcementcount 0 &gt;&gt;C:\Users\stu\Documents\GitHub\eaglep3-reporting\EC\2016-10-06-refined-times.txt</v>
      </c>
      <c r="AI237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{"issue":{"subject":"","project_id":79,"tracker_id":40,"status_id":1,"priority_id":2,"assigned_to_id":23,"start_date":"2016-10-06","description":"","custom_fields":[{"id":1,"name":"Subdivision","value":"Other"},{"id":4,"name":"Milepost","value":"0.0148"},{"id":17,"name":"Train ID","value":"50-06"},{"id":16,"name":"Locomotive ID","value":"4004"},{"id":130,"name":"Impact","value":""},{"id":150,"name":"Time of Event (Mountain Time)","value":"09:43:43"},{"id":151,"name":"Denver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5"/>
      <c r="AK237" s="55"/>
      <c r="AL237" s="55"/>
    </row>
    <row r="238" spans="1:38" x14ac:dyDescent="0.25">
      <c r="A238" s="39" t="s">
        <v>453</v>
      </c>
      <c r="B238" s="7">
        <v>4025</v>
      </c>
      <c r="C238" s="24" t="s">
        <v>106</v>
      </c>
      <c r="D238" s="24" t="s">
        <v>732</v>
      </c>
      <c r="E238" s="15">
        <v>42649.355069444442</v>
      </c>
      <c r="F238" s="15">
        <v>25568.708333333332</v>
      </c>
      <c r="G238" s="7">
        <v>1</v>
      </c>
      <c r="H238" s="15" t="s">
        <v>354</v>
      </c>
      <c r="I238" s="15">
        <v>25568.708333333332</v>
      </c>
      <c r="J238" s="7">
        <v>0</v>
      </c>
      <c r="K238" s="117" t="str">
        <f t="shared" si="113"/>
        <v>4025/4026</v>
      </c>
      <c r="L238" s="24" t="str">
        <f>VLOOKUP(A238,'Trips&amp;Operators'!$C$1:$E$10000,3,FALSE)</f>
        <v>BROWN</v>
      </c>
      <c r="M238" s="6">
        <f t="shared" si="114"/>
        <v>0</v>
      </c>
      <c r="N238" s="7">
        <f t="shared" si="112"/>
        <v>0</v>
      </c>
      <c r="O238" s="7"/>
      <c r="P238" s="7"/>
      <c r="Q238" s="25"/>
      <c r="R238" s="25"/>
      <c r="S238" s="37">
        <f t="shared" si="115"/>
        <v>0</v>
      </c>
      <c r="T238" s="52" t="e">
        <f t="shared" si="105"/>
        <v>#VALUE!</v>
      </c>
      <c r="U238" s="159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07:31:18-0600',mode:absolute,to:'1969-12-31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38" s="54" t="str">
        <f t="shared" si="117"/>
        <v>Y</v>
      </c>
      <c r="X238" s="164" t="e">
        <f t="shared" si="111"/>
        <v>#VALUE!</v>
      </c>
      <c r="Y238" s="69">
        <f t="shared" si="118"/>
        <v>0.14879999999999999</v>
      </c>
      <c r="Z238" s="69">
        <f t="shared" si="119"/>
        <v>2.3311999999999999</v>
      </c>
      <c r="AA238" s="69">
        <f t="shared" si="120"/>
        <v>2.1823999999999999</v>
      </c>
      <c r="AB238" s="66" t="e">
        <f>VLOOKUP(A238,Enforcements!$C$7:$K$21,8,0)</f>
        <v>#N/A</v>
      </c>
      <c r="AC238" s="62" t="e">
        <f>VLOOKUP(A238,Enforcements!$C$7:$E$21,3,0)</f>
        <v>#N/A</v>
      </c>
      <c r="AD238" s="63" t="str">
        <f t="shared" si="106"/>
        <v>51-06</v>
      </c>
      <c r="AE238" s="95" t="str">
        <f t="shared" si="121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38" s="92" t="str">
        <f t="shared" si="122"/>
        <v>"C:\Program Files (x86)\AstroGrep\AstroGrep.exe" /spath="%USERPROFILE%\AppData\Local\Temp\OnboardLogs" /stypes="app*4025*19691231*" /stext=" 23:.+((SYSTEM_STATE.+slice.+state.+changed )|(ment ac)|(system.+state.+changed )|(\[timeout)|(PRM\|1\|D)|(kpr)|(kdp)|(\|lc)|(penalty))" /e /r /s</v>
      </c>
      <c r="AG238" s="1" t="str">
        <f t="shared" si="107"/>
        <v>Other</v>
      </c>
      <c r="AH238" s="96" t="str">
        <f t="shared" si="108"/>
        <v>"%USERPROFILE%\Documents\GitHub\eaglep3\Utilities\RefineRTDCRunTimes.py" --tripid 51-06 --locoid 4025 --swversion DE.1.0.7.0 --startMP 204:1488 --initTime 2016-10-06T08:31:18 --startdatetime 1969-12-31T17:00:00 --delay 1 --endMP 300:23312 --enddatetime 1969-12-31T17:00:00 --enforcementcount 0 &gt;&gt;C:\Users\stu\Documents\GitHub\eaglep3-reporting\EC\2016-10-06-refined-times.txt</v>
      </c>
      <c r="AI238" s="130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ID","value":"51-06"},{"id":16,"name":"Locomotive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5"/>
      <c r="AK238" s="55"/>
      <c r="AL238" s="55"/>
    </row>
    <row r="239" spans="1:38" x14ac:dyDescent="0.25">
      <c r="A239" s="39" t="s">
        <v>477</v>
      </c>
      <c r="B239" s="7">
        <v>4021</v>
      </c>
      <c r="C239" s="24" t="s">
        <v>106</v>
      </c>
      <c r="D239" s="24" t="s">
        <v>733</v>
      </c>
      <c r="E239" s="15">
        <v>42649.440312500003</v>
      </c>
      <c r="F239" s="15">
        <v>42649.441550925927</v>
      </c>
      <c r="G239" s="7">
        <v>1</v>
      </c>
      <c r="H239" s="15" t="s">
        <v>734</v>
      </c>
      <c r="I239" s="15">
        <v>42649.449143518519</v>
      </c>
      <c r="J239" s="7">
        <v>0</v>
      </c>
      <c r="K239" s="117" t="str">
        <f t="shared" si="113"/>
        <v>4021/4022</v>
      </c>
      <c r="L239" s="24" t="str">
        <f>VLOOKUP(A239,'Trips&amp;Operators'!$C$1:$E$10000,3,FALSE)</f>
        <v>SHOOK</v>
      </c>
      <c r="M239" s="6">
        <f t="shared" si="114"/>
        <v>7.5925925921183079E-3</v>
      </c>
      <c r="N239" s="7">
        <f t="shared" si="112"/>
        <v>10.933333332650363</v>
      </c>
      <c r="O239" s="7"/>
      <c r="P239" s="7"/>
      <c r="Q239" s="25"/>
      <c r="R239" s="25"/>
      <c r="S239" s="37">
        <f t="shared" si="115"/>
        <v>0</v>
      </c>
      <c r="T239" s="52" t="e">
        <f t="shared" si="105"/>
        <v>#VALUE!</v>
      </c>
      <c r="U239" s="159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09:34:03-0600',mode:absolute,to:'2016-10-06 11:46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39" s="54" t="str">
        <f t="shared" si="117"/>
        <v>Y</v>
      </c>
      <c r="X239" s="164" t="e">
        <f t="shared" si="111"/>
        <v>#VALUE!</v>
      </c>
      <c r="Y239" s="69">
        <f t="shared" si="118"/>
        <v>2.2682000000000002</v>
      </c>
      <c r="Z239" s="69">
        <f t="shared" si="119"/>
        <v>9.11E-2</v>
      </c>
      <c r="AA239" s="69">
        <f t="shared" si="120"/>
        <v>2.1771000000000003</v>
      </c>
      <c r="AB239" s="66" t="e">
        <f>VLOOKUP(A239,Enforcements!$C$7:$K$21,8,0)</f>
        <v>#N/A</v>
      </c>
      <c r="AC239" s="62" t="e">
        <f>VLOOKUP(A239,Enforcements!$C$7:$E$21,3,0)</f>
        <v>#N/A</v>
      </c>
      <c r="AD239" s="63" t="str">
        <f t="shared" si="106"/>
        <v>52-06</v>
      </c>
      <c r="AE239" s="95" t="str">
        <f t="shared" si="121"/>
        <v>aws s3 cp s3://rtdc.mdm.uploadarchive.raw/RTDC4021/ "%USERPROFILE%\AppData\Local\Temp\OnboardLogs"\RTDC4021\2016-10-06 --exclude "*" --recursive --include "*20161006*" &amp; "%USERPROFILE%\Documents\GitHub\mrs-test-scripts\Headless Mode &amp; Sideloading\WalkAndUnGZ.bat" "%USERPROFILE%\AppData\Local\Temp\OnboardLogs"\RTDC4021\2016-10-06 &amp; aws s3 cp s3://rtdc.mdm.uploadarchive.raw/RTDC4021/ "%USERPROFILE%\AppData\Local\Temp\OnboardLogs"\RTDC4021\2016-10-07 --exclude "*" --recursive --include "*20161007*" &amp; "%USERPROFILE%\Documents\GitHub\mrs-test-scripts\Headless Mode &amp; Sideloading\WalkAndUnGZ.bat" "%USERPROFILE%\AppData\Local\Temp\OnboardLogs"\RTDC4021\2016-10-07</v>
      </c>
      <c r="AF239" s="92" t="str">
        <f t="shared" si="122"/>
        <v>"C:\Program Files (x86)\AstroGrep\AstroGrep.exe" /spath="%USERPROFILE%\AppData\Local\Temp\OnboardLogs" /stypes="app*4021*20161006*" /stext=" 16:.+((SYSTEM_STATE.+slice.+state.+changed )|(ment ac)|(system.+state.+changed )|(\[timeout)|(PRM\|1\|D)|(kpr)|(kdp)|(\|lc)|(penalty))" /e /r /s</v>
      </c>
      <c r="AG239" s="1" t="str">
        <f t="shared" si="107"/>
        <v>Other</v>
      </c>
      <c r="AH239" s="96" t="str">
        <f t="shared" si="108"/>
        <v>"%USERPROFILE%\Documents\GitHub\eaglep3\Utilities\RefineRTDCRunTimes.py" --tripid 52-06 --locoid 4021 --swversion DE.1.0.7.0 --startMP 300:22682 --initTime 2016-10-06T10:34:03 --startdatetime 2016-10-06T10:35:50 --delay 1 --endMP 204:911 --enddatetime 2016-10-06T10:46:46 --enforcementcount 0 &gt;&gt;C:\Users\stu\Documents\GitHub\eaglep3-reporting\EC\2016-10-06-refined-times.txt</v>
      </c>
      <c r="AI239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{"issue":{"subject":"","project_id":79,"tracker_id":40,"status_id":1,"priority_id":2,"assigned_to_id":23,"start_date":"2016-10-06","description":"","custom_fields":[{"id":1,"name":"Subdivision","value":"Other"},{"id":4,"name":"Milepost","value":"0.0911"},{"id":17,"name":"Train ID","value":"52-06"},{"id":16,"name":"Locomotive ID","value":"4021"},{"id":130,"name":"Impact","value":""},{"id":150,"name":"Time of Event (Mountain Time)","value":"10:46:46"},{"id":151,"name":"Denver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5"/>
      <c r="AK239" s="55"/>
      <c r="AL239" s="55"/>
    </row>
    <row r="240" spans="1:38" x14ac:dyDescent="0.25">
      <c r="A240" s="39" t="s">
        <v>489</v>
      </c>
      <c r="B240" s="7">
        <v>4022</v>
      </c>
      <c r="C240" s="24" t="s">
        <v>106</v>
      </c>
      <c r="D240" s="24" t="s">
        <v>735</v>
      </c>
      <c r="E240" s="15">
        <v>42649.474374999998</v>
      </c>
      <c r="F240" s="15">
        <v>42649.475752314815</v>
      </c>
      <c r="G240" s="7">
        <v>1</v>
      </c>
      <c r="H240" s="15" t="s">
        <v>736</v>
      </c>
      <c r="I240" s="15">
        <v>42649.483113425929</v>
      </c>
      <c r="J240" s="7">
        <v>0</v>
      </c>
      <c r="K240" s="117" t="str">
        <f t="shared" si="113"/>
        <v>4021/4022</v>
      </c>
      <c r="L240" s="24" t="str">
        <f>VLOOKUP(A240,'Trips&amp;Operators'!$C$1:$E$10000,3,FALSE)</f>
        <v>OUN</v>
      </c>
      <c r="M240" s="6">
        <f t="shared" si="114"/>
        <v>7.3611111147329211E-3</v>
      </c>
      <c r="N240" s="7">
        <f t="shared" si="112"/>
        <v>10.600000005215406</v>
      </c>
      <c r="O240" s="7"/>
      <c r="P240" s="7"/>
      <c r="Q240" s="25"/>
      <c r="R240" s="25"/>
      <c r="S240" s="37">
        <f t="shared" si="115"/>
        <v>0</v>
      </c>
      <c r="T240" s="52" t="e">
        <f t="shared" si="105"/>
        <v>#VALUE!</v>
      </c>
      <c r="U240" s="159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10:23:06-0600',mode:absolute,to:'2016-10-06 12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40" s="54" t="str">
        <f t="shared" si="117"/>
        <v>Y</v>
      </c>
      <c r="X240" s="164" t="e">
        <f t="shared" si="111"/>
        <v>#VALUE!</v>
      </c>
      <c r="Y240" s="69">
        <f t="shared" si="118"/>
        <v>0.1225</v>
      </c>
      <c r="Z240" s="69">
        <f t="shared" si="119"/>
        <v>2.5505</v>
      </c>
      <c r="AA240" s="69">
        <f t="shared" si="120"/>
        <v>2.4279999999999999</v>
      </c>
      <c r="AB240" s="66" t="e">
        <f>VLOOKUP(A240,Enforcements!$C$7:$K$21,8,0)</f>
        <v>#N/A</v>
      </c>
      <c r="AC240" s="62" t="e">
        <f>VLOOKUP(A240,Enforcements!$C$7:$E$21,3,0)</f>
        <v>#N/A</v>
      </c>
      <c r="AD240" s="63" t="str">
        <f t="shared" si="106"/>
        <v>53-06</v>
      </c>
      <c r="AE240" s="95" t="str">
        <f t="shared" si="121"/>
        <v>aws s3 cp s3://rtdc.mdm.uploadarchive.raw/RTDC4022/ "%USERPROFILE%\AppData\Local\Temp\OnboardLogs"\RTDC4022\2016-10-06 --exclude "*" --recursive --include "*20161006*" &amp; "%USERPROFILE%\Documents\GitHub\mrs-test-scripts\Headless Mode &amp; Sideloading\WalkAndUnGZ.bat" "%USERPROFILE%\AppData\Local\Temp\OnboardLogs"\RTDC4022\2016-10-06 &amp; aws s3 cp s3://rtdc.mdm.uploadarchive.raw/RTDC4022/ "%USERPROFILE%\AppData\Local\Temp\OnboardLogs"\RTDC4022\2016-10-07 --exclude "*" --recursive --include "*20161007*" &amp; "%USERPROFILE%\Documents\GitHub\mrs-test-scripts\Headless Mode &amp; Sideloading\WalkAndUnGZ.bat" "%USERPROFILE%\AppData\Local\Temp\OnboardLogs"\RTDC4022\2016-10-07</v>
      </c>
      <c r="AF240" s="92" t="str">
        <f t="shared" si="122"/>
        <v>"C:\Program Files (x86)\AstroGrep\AstroGrep.exe" /spath="%USERPROFILE%\AppData\Local\Temp\OnboardLogs" /stypes="app*4022*20161006*" /stext=" 17:.+((SYSTEM_STATE.+slice.+state.+changed )|(ment ac)|(system.+state.+changed )|(\[timeout)|(PRM\|1\|D)|(kpr)|(kdp)|(\|lc)|(penalty))" /e /r /s</v>
      </c>
      <c r="AG240" s="1" t="str">
        <f t="shared" si="107"/>
        <v>Other</v>
      </c>
      <c r="AH240" s="96" t="str">
        <f t="shared" si="108"/>
        <v>"%USERPROFILE%\Documents\GitHub\eaglep3\Utilities\RefineRTDCRunTimes.py" --tripid 53-06 --locoid 4022 --swversion DE.1.0.7.0 --startMP 204:1225 --initTime 2016-10-06T11:23:06 --startdatetime 2016-10-06T11:25:05 --delay 1 --endMP 300:25505 --enddatetime 2016-10-06T11:35:41 --enforcementcount 0 &gt;&gt;C:\Users\stu\Documents\GitHub\eaglep3-reporting\EC\2016-10-06-refined-times.txt</v>
      </c>
      <c r="AI240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{"issue":{"subject":"","project_id":79,"tracker_id":40,"status_id":1,"priority_id":2,"assigned_to_id":23,"start_date":"2016-10-06","description":"","custom_fields":[{"id":1,"name":"Subdivision","value":"Other"},{"id":4,"name":"Milepost","value":"2.5505"},{"id":17,"name":"Train ID","value":"53-06"},{"id":16,"name":"Locomotive ID","value":"4022"},{"id":130,"name":"Impact","value":""},{"id":150,"name":"Time of Event (Mountain Time)","value":"11:35:41"},{"id":151,"name":"Denver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5"/>
      <c r="AK240" s="55"/>
      <c r="AL240" s="55"/>
    </row>
    <row r="241" spans="1:38" x14ac:dyDescent="0.25">
      <c r="A241" s="39" t="s">
        <v>484</v>
      </c>
      <c r="B241" s="7">
        <v>4005</v>
      </c>
      <c r="C241" s="24" t="s">
        <v>106</v>
      </c>
      <c r="D241" s="24" t="s">
        <v>737</v>
      </c>
      <c r="E241" s="15">
        <v>42649.457106481481</v>
      </c>
      <c r="F241" s="15">
        <v>42649.458668981482</v>
      </c>
      <c r="G241" s="7">
        <v>1</v>
      </c>
      <c r="H241" s="15" t="s">
        <v>738</v>
      </c>
      <c r="I241" s="15">
        <v>42649.466631944444</v>
      </c>
      <c r="J241" s="7">
        <v>0</v>
      </c>
      <c r="K241" s="117" t="str">
        <f t="shared" si="113"/>
        <v>4005/4006</v>
      </c>
      <c r="L241" s="24" t="str">
        <f>VLOOKUP(A241,'Trips&amp;Operators'!$C$1:$E$10000,3,FALSE)</f>
        <v>MOSES</v>
      </c>
      <c r="M241" s="6">
        <f t="shared" si="114"/>
        <v>7.962962961755693E-3</v>
      </c>
      <c r="N241" s="7">
        <f t="shared" si="112"/>
        <v>11.466666664928198</v>
      </c>
      <c r="O241" s="7"/>
      <c r="P241" s="7"/>
      <c r="Q241" s="25"/>
      <c r="R241" s="25"/>
      <c r="S241" s="37">
        <f t="shared" si="115"/>
        <v>0</v>
      </c>
      <c r="T241" s="52" t="e">
        <f t="shared" si="105"/>
        <v>#VALUE!</v>
      </c>
      <c r="U241" s="159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09:58:14-0600',mode:absolute,to:'2016-10-06 12:11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241" s="54" t="str">
        <f t="shared" si="117"/>
        <v>Y</v>
      </c>
      <c r="X241" s="164" t="e">
        <f t="shared" si="111"/>
        <v>#VALUE!</v>
      </c>
      <c r="Y241" s="69">
        <f t="shared" si="118"/>
        <v>2.3529</v>
      </c>
      <c r="Z241" s="69">
        <f t="shared" si="119"/>
        <v>4.7899999999999998E-2</v>
      </c>
      <c r="AA241" s="69">
        <f t="shared" si="120"/>
        <v>2.3050000000000002</v>
      </c>
      <c r="AB241" s="66" t="e">
        <f>VLOOKUP(A241,Enforcements!$C$7:$K$21,8,0)</f>
        <v>#N/A</v>
      </c>
      <c r="AC241" s="62" t="e">
        <f>VLOOKUP(A241,Enforcements!$C$7:$E$21,3,0)</f>
        <v>#N/A</v>
      </c>
      <c r="AD241" s="63" t="str">
        <f t="shared" si="106"/>
        <v>54-06</v>
      </c>
      <c r="AE241" s="95" t="str">
        <f t="shared" si="121"/>
        <v>aws s3 cp s3://rtdc.mdm.uploadarchive.raw/RTDC4005/ "%USERPROFILE%\AppData\Local\Temp\OnboardLogs"\RTDC4005\2016-10-06 --exclude "*" --recursive --include "*20161006*" &amp; "%USERPROFILE%\Documents\GitHub\mrs-test-scripts\Headless Mode &amp; Sideloading\WalkAndUnGZ.bat" "%USERPROFILE%\AppData\Local\Temp\OnboardLogs"\RTDC4005\2016-10-06 &amp; aws s3 cp s3://rtdc.mdm.uploadarchive.raw/RTDC4005/ "%USERPROFILE%\AppData\Local\Temp\OnboardLogs"\RTDC4005\2016-10-07 --exclude "*" --recursive --include "*20161007*" &amp; "%USERPROFILE%\Documents\GitHub\mrs-test-scripts\Headless Mode &amp; Sideloading\WalkAndUnGZ.bat" "%USERPROFILE%\AppData\Local\Temp\OnboardLogs"\RTDC4005\2016-10-07</v>
      </c>
      <c r="AF241" s="92" t="str">
        <f t="shared" si="122"/>
        <v>"C:\Program Files (x86)\AstroGrep\AstroGrep.exe" /spath="%USERPROFILE%\AppData\Local\Temp\OnboardLogs" /stypes="app*4005*20161006*" /stext=" 17:.+((SYSTEM_STATE.+slice.+state.+changed )|(ment ac)|(system.+state.+changed )|(\[timeout)|(PRM\|1\|D)|(kpr)|(kdp)|(\|lc)|(penalty))" /e /r /s</v>
      </c>
      <c r="AG241" s="1" t="str">
        <f t="shared" si="107"/>
        <v>Other</v>
      </c>
      <c r="AH241" s="96" t="str">
        <f t="shared" si="108"/>
        <v>"%USERPROFILE%\Documents\GitHub\eaglep3\Utilities\RefineRTDCRunTimes.py" --tripid 54-06 --locoid 4005 --swversion DE.1.0.7.0 --startMP 300:23529 --initTime 2016-10-06T10:58:14 --startdatetime 2016-10-06T11:00:29 --delay 1 --endMP 204:479 --enddatetime 2016-10-06T11:11:57 --enforcementcount 0 &gt;&gt;C:\Users\stu\Documents\GitHub\eaglep3-reporting\EC\2016-10-06-refined-times.txt</v>
      </c>
      <c r="AI241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{"issue":{"subject":"","project_id":79,"tracker_id":40,"status_id":1,"priority_id":2,"assigned_to_id":23,"start_date":"2016-10-06","description":"","custom_fields":[{"id":1,"name":"Subdivision","value":"Other"},{"id":4,"name":"Milepost","value":"0.0479"},{"id":17,"name":"Train ID","value":"54-06"},{"id":16,"name":"Locomotive ID","value":"4005"},{"id":130,"name":"Impact","value":""},{"id":150,"name":"Time of Event (Mountain Time)","value":"11:11:57"},{"id":151,"name":"Denver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5"/>
      <c r="AK241" s="55"/>
      <c r="AL241" s="55"/>
    </row>
    <row r="242" spans="1:38" x14ac:dyDescent="0.25">
      <c r="A242" s="39" t="s">
        <v>330</v>
      </c>
      <c r="B242" s="7">
        <v>4052</v>
      </c>
      <c r="C242" s="24" t="s">
        <v>309</v>
      </c>
      <c r="D242" s="24" t="s">
        <v>739</v>
      </c>
      <c r="E242" s="15">
        <v>42649.123067129629</v>
      </c>
      <c r="F242" s="15">
        <v>42649.124398148146</v>
      </c>
      <c r="G242" s="7">
        <v>1</v>
      </c>
      <c r="H242" s="15" t="s">
        <v>740</v>
      </c>
      <c r="I242" s="15">
        <v>42649.140347222223</v>
      </c>
      <c r="J242" s="7">
        <v>0</v>
      </c>
      <c r="K242" s="117" t="str">
        <f t="shared" si="113"/>
        <v>4051/4052</v>
      </c>
      <c r="L242" s="24" t="b">
        <f>VLOOKUP(A242,'Trips&amp;Operators'!$C$1:$E$10000,3,FALSE)</f>
        <v>1</v>
      </c>
      <c r="M242" s="6">
        <f t="shared" si="114"/>
        <v>1.5949074077070691E-2</v>
      </c>
      <c r="N242" s="7">
        <f t="shared" si="112"/>
        <v>22.966666670981795</v>
      </c>
      <c r="O242" s="7"/>
      <c r="P242" s="7"/>
      <c r="Q242" s="25"/>
      <c r="R242" s="25"/>
      <c r="S242" s="37">
        <f t="shared" si="115"/>
        <v>0</v>
      </c>
      <c r="T242" s="52" t="e">
        <f t="shared" si="105"/>
        <v>#VALUE!</v>
      </c>
      <c r="U242" s="159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01:57:13-0600',mode:absolute,to:'2016-10-06 04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42" s="54" t="str">
        <f t="shared" si="117"/>
        <v>N</v>
      </c>
      <c r="X242" s="164" t="e">
        <f t="shared" si="111"/>
        <v>#VALUE!</v>
      </c>
      <c r="Y242" s="69">
        <f t="shared" si="118"/>
        <v>12.7698</v>
      </c>
      <c r="Z242" s="69">
        <f t="shared" si="119"/>
        <v>0.3695</v>
      </c>
      <c r="AA242" s="69">
        <f t="shared" si="120"/>
        <v>12.4003</v>
      </c>
      <c r="AB242" s="66" t="e">
        <f>VLOOKUP(A242,Enforcements!$C$7:$K$21,8,0)</f>
        <v>#N/A</v>
      </c>
      <c r="AC242" s="62" t="e">
        <f>VLOOKUP(A242,Enforcements!$C$7:$E$21,3,0)</f>
        <v>#N/A</v>
      </c>
      <c r="AD242" s="63" t="str">
        <f t="shared" si="106"/>
        <v>56-05</v>
      </c>
      <c r="AE242" s="95" t="str">
        <f t="shared" si="121"/>
        <v>aws s3 cp s3://rtdc.mdm.uploadarchive.raw/RTDC4052/ "%USERPROFILE%\AppData\Local\Temp\OnboardLogs"\RTDC4052\2016-10-06 --exclude "*" --recursive --include "*20161006*" &amp; "%USERPROFILE%\Documents\GitHub\mrs-test-scripts\Headless Mode &amp; Sideloading\WalkAndUnGZ.bat" "%USERPROFILE%\AppData\Local\Temp\OnboardLogs"\RTDC4052\2016-10-06 &amp; aws s3 cp s3://rtdc.mdm.uploadarchive.raw/RTDC4052/ "%USERPROFILE%\AppData\Local\Temp\OnboardLogs"\RTDC4052\2016-10-07 --exclude "*" --recursive --include "*20161007*" &amp; "%USERPROFILE%\Documents\GitHub\mrs-test-scripts\Headless Mode &amp; Sideloading\WalkAndUnGZ.bat" "%USERPROFILE%\AppData\Local\Temp\OnboardLogs"\RTDC4052\2016-10-07</v>
      </c>
      <c r="AF242" s="92" t="str">
        <f t="shared" si="122"/>
        <v>"C:\Program Files (x86)\AstroGrep\AstroGrep.exe" /spath="%USERPROFILE%\AppData\Local\Temp\OnboardLogs" /stypes="app*4052*20161006*" /stext=" 09:.+((SYSTEM_STATE.+slice.+state.+changed )|(ment ac)|(system.+state.+changed )|(\[timeout)|(PRM\|1\|D)|(kpr)|(kdp)|(\|lc)|(penalty))" /e /r /s</v>
      </c>
      <c r="AG242" s="1" t="str">
        <f t="shared" si="107"/>
        <v>Other</v>
      </c>
      <c r="AH242" s="96" t="str">
        <f t="shared" si="108"/>
        <v>"%USERPROFILE%\Documents\GitHub\eaglep3\Utilities\RefineRTDCRunTimes.py" --tripid 56-05 --locoid 4052 --swversion DE.1.0.8.0 --startMP 204:127698 --initTime 2016-10-06T02:57:13 --startdatetime 2016-10-06T02:59:08 --delay 1 --endMP 204:3695 --enddatetime 2016-10-06T03:22:06 --enforcementcount 0 &gt;&gt;C:\Users\stu\Documents\GitHub\eaglep3-reporting\EC\2016-10-06-refined-times.txt</v>
      </c>
      <c r="AI242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{"issue":{"subject":"","project_id":79,"tracker_id":40,"status_id":1,"priority_id":2,"assigned_to_id":23,"start_date":"2016-10-06","description":"","custom_fields":[{"id":1,"name":"Subdivision","value":"Other"},{"id":4,"name":"Milepost","value":"0.3695"},{"id":17,"name":"Train ID","value":"56-05"},{"id":16,"name":"Locomotive ID","value":"4052"},{"id":130,"name":"Impact","value":""},{"id":150,"name":"Time of Event (Mountain Time)","value":"03:22:06"},{"id":151,"name":"Denver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55"/>
      <c r="AK242" s="55"/>
      <c r="AL242" s="55"/>
    </row>
    <row r="243" spans="1:38" x14ac:dyDescent="0.25">
      <c r="A243" s="39" t="s">
        <v>330</v>
      </c>
      <c r="B243" s="7">
        <v>4052</v>
      </c>
      <c r="C243" s="24" t="s">
        <v>309</v>
      </c>
      <c r="D243" s="24" t="s">
        <v>361</v>
      </c>
      <c r="E243" s="15">
        <v>42649.088541666664</v>
      </c>
      <c r="F243" s="15">
        <v>42649.124398148146</v>
      </c>
      <c r="G243" s="7">
        <v>0</v>
      </c>
      <c r="H243" s="15" t="s">
        <v>362</v>
      </c>
      <c r="I243" s="15">
        <v>42649.140347222223</v>
      </c>
      <c r="J243" s="7">
        <v>0</v>
      </c>
      <c r="K243" s="117" t="str">
        <f t="shared" si="113"/>
        <v>4051/4052</v>
      </c>
      <c r="L243" s="24" t="b">
        <f>VLOOKUP(A243,'Trips&amp;Operators'!$C$1:$E$10000,3,FALSE)</f>
        <v>1</v>
      </c>
      <c r="M243" s="6">
        <f t="shared" si="114"/>
        <v>1.5949074077070691E-2</v>
      </c>
      <c r="N243" s="7">
        <f t="shared" si="112"/>
        <v>22.966666670981795</v>
      </c>
      <c r="O243" s="7"/>
      <c r="P243" s="7"/>
      <c r="Q243" s="25"/>
      <c r="R243" s="25"/>
      <c r="S243" s="37">
        <f t="shared" si="115"/>
        <v>0</v>
      </c>
      <c r="T243" s="52" t="e">
        <f t="shared" si="105"/>
        <v>#VALUE!</v>
      </c>
      <c r="U243" s="159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01:07:30-0600',mode:absolute,to:'2016-10-06 04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43" s="54" t="str">
        <f t="shared" si="117"/>
        <v>N</v>
      </c>
      <c r="X243" s="164" t="e">
        <f t="shared" si="111"/>
        <v>#VALUE!</v>
      </c>
      <c r="Y243" s="69">
        <f t="shared" si="118"/>
        <v>12.778499999999999</v>
      </c>
      <c r="Z243" s="69">
        <f t="shared" si="119"/>
        <v>1.0388999999999999</v>
      </c>
      <c r="AA243" s="69">
        <f t="shared" si="120"/>
        <v>11.739599999999999</v>
      </c>
      <c r="AB243" s="66" t="e">
        <f>VLOOKUP(A243,Enforcements!$C$7:$K$21,8,0)</f>
        <v>#N/A</v>
      </c>
      <c r="AC243" s="62" t="e">
        <f>VLOOKUP(A243,Enforcements!$C$7:$E$21,3,0)</f>
        <v>#N/A</v>
      </c>
      <c r="AD243" s="63" t="str">
        <f t="shared" si="106"/>
        <v>56-05</v>
      </c>
      <c r="AE243" s="95" t="str">
        <f t="shared" si="121"/>
        <v>aws s3 cp s3://rtdc.mdm.uploadarchive.raw/RTDC4052/ "%USERPROFILE%\AppData\Local\Temp\OnboardLogs"\RTDC4052\2016-10-06 --exclude "*" --recursive --include "*20161006*" &amp; "%USERPROFILE%\Documents\GitHub\mrs-test-scripts\Headless Mode &amp; Sideloading\WalkAndUnGZ.bat" "%USERPROFILE%\AppData\Local\Temp\OnboardLogs"\RTDC4052\2016-10-06 &amp; aws s3 cp s3://rtdc.mdm.uploadarchive.raw/RTDC4052/ "%USERPROFILE%\AppData\Local\Temp\OnboardLogs"\RTDC4052\2016-10-07 --exclude "*" --recursive --include "*20161007*" &amp; "%USERPROFILE%\Documents\GitHub\mrs-test-scripts\Headless Mode &amp; Sideloading\WalkAndUnGZ.bat" "%USERPROFILE%\AppData\Local\Temp\OnboardLogs"\RTDC4052\2016-10-07</v>
      </c>
      <c r="AF243" s="92" t="str">
        <f t="shared" si="122"/>
        <v>"C:\Program Files (x86)\AstroGrep\AstroGrep.exe" /spath="%USERPROFILE%\AppData\Local\Temp\OnboardLogs" /stypes="app*4052*20161006*" /stext=" 09:.+((SYSTEM_STATE.+slice.+state.+changed )|(ment ac)|(system.+state.+changed )|(\[timeout)|(PRM\|1\|D)|(kpr)|(kdp)|(\|lc)|(penalty))" /e /r /s</v>
      </c>
      <c r="AG243" s="1" t="str">
        <f t="shared" si="107"/>
        <v>Other</v>
      </c>
      <c r="AH243" s="96" t="str">
        <f t="shared" si="108"/>
        <v>"%USERPROFILE%\Documents\GitHub\eaglep3\Utilities\RefineRTDCRunTimes.py" --tripid 56-05 --locoid 4052 --swversion DE.1.0.8.0 --startMP 204:127785 --initTime 2016-10-06T02:07:30 --startdatetime 2016-10-06T02:59:08 --delay 0 --endMP 204:10389 --enddatetime 2016-10-06T03:22:06 --enforcementcount 0 &gt;&gt;C:\Users\stu\Documents\GitHub\eaglep3-reporting\EC\2016-10-06-refined-times.txt</v>
      </c>
      <c r="AI243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{"issue":{"subject":"","project_id":79,"tracker_id":40,"status_id":1,"priority_id":2,"assigned_to_id":23,"start_date":"2016-10-06","description":"","custom_fields":[{"id":1,"name":"Subdivision","value":"Other"},{"id":4,"name":"Milepost","value":"1.0389"},{"id":17,"name":"Train ID","value":"56-05"},{"id":16,"name":"Locomotive ID","value":"4052"},{"id":130,"name":"Impact","value":""},{"id":150,"name":"Time of Event (Mountain Time)","value":"03:22:06"},{"id":151,"name":"Denver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55"/>
      <c r="AK243" s="55"/>
      <c r="AL243" s="55"/>
    </row>
    <row r="244" spans="1:38" x14ac:dyDescent="0.25">
      <c r="A244" s="39" t="s">
        <v>535</v>
      </c>
      <c r="B244" s="7">
        <v>4003</v>
      </c>
      <c r="C244" s="24" t="s">
        <v>106</v>
      </c>
      <c r="D244" s="24" t="s">
        <v>741</v>
      </c>
      <c r="E244" s="15">
        <v>42649.654895833337</v>
      </c>
      <c r="F244" s="15">
        <v>25568.708333333332</v>
      </c>
      <c r="G244" s="7">
        <v>4</v>
      </c>
      <c r="H244" s="15" t="s">
        <v>275</v>
      </c>
      <c r="I244" s="15">
        <v>25568.708333333332</v>
      </c>
      <c r="J244" s="7">
        <v>0</v>
      </c>
      <c r="K244" s="117" t="str">
        <f t="shared" si="113"/>
        <v>4003/4004</v>
      </c>
      <c r="L244" s="24" t="str">
        <f>VLOOKUP(A244,'Trips&amp;Operators'!$C$1:$E$10000,3,FALSE)</f>
        <v>BROWN</v>
      </c>
      <c r="M244" s="6">
        <f t="shared" si="114"/>
        <v>0</v>
      </c>
      <c r="N244" s="7">
        <f t="shared" si="112"/>
        <v>0</v>
      </c>
      <c r="O244" s="7"/>
      <c r="P244" s="7"/>
      <c r="Q244" s="25"/>
      <c r="R244" s="25"/>
      <c r="S244" s="37">
        <f t="shared" si="115"/>
        <v>0</v>
      </c>
      <c r="T244" s="52" t="e">
        <f t="shared" si="105"/>
        <v>#VALUE!</v>
      </c>
      <c r="U244" s="159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14:43:03-0600',mode:absolute,to:'1969-12-31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44" s="54" t="str">
        <f t="shared" si="117"/>
        <v>Y</v>
      </c>
      <c r="X244" s="164" t="e">
        <f t="shared" si="111"/>
        <v>#VALUE!</v>
      </c>
      <c r="Y244" s="69">
        <f t="shared" si="118"/>
        <v>4.41E-2</v>
      </c>
      <c r="Z244" s="69">
        <f t="shared" si="119"/>
        <v>4.4200000000000003E-2</v>
      </c>
      <c r="AA244" s="69">
        <f t="shared" si="120"/>
        <v>1.0000000000000286E-4</v>
      </c>
      <c r="AB244" s="66" t="e">
        <f>VLOOKUP(A244,Enforcements!$C$7:$K$21,8,0)</f>
        <v>#N/A</v>
      </c>
      <c r="AC244" s="62" t="e">
        <f>VLOOKUP(A244,Enforcements!$C$7:$E$21,3,0)</f>
        <v>#N/A</v>
      </c>
      <c r="AD244" s="63" t="str">
        <f t="shared" si="106"/>
        <v>56-06</v>
      </c>
      <c r="AE244" s="95" t="str">
        <f t="shared" si="121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44" s="92" t="str">
        <f t="shared" si="122"/>
        <v>"C:\Program Files (x86)\AstroGrep\AstroGrep.exe" /spath="%USERPROFILE%\AppData\Local\Temp\OnboardLogs" /stypes="app*4003*19691231*" /stext=" 23:.+((SYSTEM_STATE.+slice.+state.+changed )|(ment ac)|(system.+state.+changed )|(\[timeout)|(PRM\|1\|D)|(kpr)|(kdp)|(\|lc)|(penalty))" /e /r /s</v>
      </c>
      <c r="AG244" s="1" t="str">
        <f t="shared" si="107"/>
        <v>Other</v>
      </c>
      <c r="AH244" s="96" t="str">
        <f t="shared" si="108"/>
        <v>"%USERPROFILE%\Documents\GitHub\eaglep3\Utilities\RefineRTDCRunTimes.py" --tripid 56-06 --locoid 4003 --swversion DE.1.0.7.0 --startMP 204:441 --initTime 2016-10-06T15:43:03 --startdatetime 1969-12-31T17:00:00 --delay 4 --endMP 204:442 --enddatetime 1969-12-31T17:00:00 --enforcementcount 0 &gt;&gt;C:\Users\stu\Documents\GitHub\eaglep3-reporting\EC\2016-10-06-refined-times.txt</v>
      </c>
      <c r="AI244" s="130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{"issue":{"subject":"","project_id":79,"tracker_id":40,"status_id":1,"priority_id":2,"assigned_to_id":23,"start_date":"1969-12-31","description":"","custom_fields":[{"id":1,"name":"Subdivision","value":"Other"},{"id":4,"name":"Milepost","value":"0.0442"},{"id":17,"name":"Train ID","value":"56-06"},{"id":16,"name":"Locomotive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55"/>
      <c r="AK244" s="55"/>
      <c r="AL244" s="55"/>
    </row>
    <row r="245" spans="1:38" x14ac:dyDescent="0.25">
      <c r="A245" s="39" t="s">
        <v>535</v>
      </c>
      <c r="B245" s="7">
        <v>4051</v>
      </c>
      <c r="C245" s="24" t="s">
        <v>309</v>
      </c>
      <c r="D245" s="24" t="s">
        <v>742</v>
      </c>
      <c r="E245" s="15">
        <v>42650.082465277781</v>
      </c>
      <c r="F245" s="15">
        <v>42650.104803240742</v>
      </c>
      <c r="G245" s="7">
        <v>1</v>
      </c>
      <c r="H245" s="15" t="s">
        <v>743</v>
      </c>
      <c r="I245" s="15">
        <v>42650.122824074075</v>
      </c>
      <c r="J245" s="7">
        <v>0</v>
      </c>
      <c r="K245" s="117" t="str">
        <f t="shared" si="113"/>
        <v>4051/4052</v>
      </c>
      <c r="L245" s="24" t="str">
        <f>VLOOKUP(A245,'Trips&amp;Operators'!$C$1:$E$10000,3,FALSE)</f>
        <v>BROWN</v>
      </c>
      <c r="M245" s="6">
        <f t="shared" si="114"/>
        <v>1.8020833333139308E-2</v>
      </c>
      <c r="N245" s="7">
        <f t="shared" si="112"/>
        <v>25.949999999720603</v>
      </c>
      <c r="O245" s="7"/>
      <c r="P245" s="7"/>
      <c r="Q245" s="25"/>
      <c r="R245" s="25"/>
      <c r="S245" s="37">
        <f t="shared" si="115"/>
        <v>0</v>
      </c>
      <c r="T245" s="52" t="e">
        <f t="shared" si="105"/>
        <v>#VALUE!</v>
      </c>
      <c r="U245" s="159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https://search-rtdc-monitor-bjffxe2xuh6vdkpspy63sjmuny.us-east-1.es.amazonaws.com/_plugin/kibana/#/discover/Steve-Slow-Train-Analysis-(2080s-and-2083s)?_g=(refreshInterval:(display:Off,section:0,value:0),time:(from:'2016-10-07 00:58:45-0600',mode:absolute,to:'2016-10-07 03:56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5" s="54" t="str">
        <f t="shared" si="117"/>
        <v>N</v>
      </c>
      <c r="X245" s="164" t="e">
        <f t="shared" si="111"/>
        <v>#VALUE!</v>
      </c>
      <c r="Y245" s="69">
        <f t="shared" si="118"/>
        <v>1.0603</v>
      </c>
      <c r="Z245" s="69">
        <f t="shared" si="119"/>
        <v>12.8134</v>
      </c>
      <c r="AA245" s="69">
        <f t="shared" si="120"/>
        <v>11.7531</v>
      </c>
      <c r="AB245" s="66" t="e">
        <f>VLOOKUP(A245,Enforcements!$C$7:$K$21,8,0)</f>
        <v>#N/A</v>
      </c>
      <c r="AC245" s="62" t="e">
        <f>VLOOKUP(A245,Enforcements!$C$7:$E$21,3,0)</f>
        <v>#N/A</v>
      </c>
      <c r="AD245" s="63" t="str">
        <f t="shared" si="106"/>
        <v>56-06</v>
      </c>
      <c r="AE245" s="95" t="str">
        <f t="shared" si="121"/>
        <v>aws s3 cp s3://rtdc.mdm.uploadarchive.raw/RTDC4051/ "%USERPROFILE%\AppData\Local\Temp\OnboardLogs"\RTDC4051\2016-10-07 --exclude "*" --recursive --include "*20161007*" &amp; "%USERPROFILE%\Documents\GitHub\mrs-test-scripts\Headless Mode &amp; Sideloading\WalkAndUnGZ.bat" "%USERPROFILE%\AppData\Local\Temp\OnboardLogs"\RTDC4051\2016-10-07 &amp; aws s3 cp s3://rtdc.mdm.uploadarchive.raw/RTDC4051/ "%USERPROFILE%\AppData\Local\Temp\OnboardLogs"\RTDC4051\2016-10-08 --exclude "*" --recursive --include "*20161008*" &amp; "%USERPROFILE%\Documents\GitHub\mrs-test-scripts\Headless Mode &amp; Sideloading\WalkAndUnGZ.bat" "%USERPROFILE%\AppData\Local\Temp\OnboardLogs"\RTDC4051\2016-10-08</v>
      </c>
      <c r="AF245" s="92" t="str">
        <f t="shared" si="122"/>
        <v>"C:\Program Files (x86)\AstroGrep\AstroGrep.exe" /spath="%USERPROFILE%\AppData\Local\Temp\OnboardLogs" /stypes="app*4051*20161007*" /stext=" 08:.+((SYSTEM_STATE.+slice.+state.+changed )|(ment ac)|(system.+state.+changed )|(\[timeout)|(PRM\|1\|D)|(kpr)|(kdp)|(\|lc)|(penalty))" /e /r /s</v>
      </c>
      <c r="AG245" s="1" t="str">
        <f t="shared" si="107"/>
        <v>Other</v>
      </c>
      <c r="AH245" s="96" t="str">
        <f t="shared" si="108"/>
        <v>"%USERPROFILE%\Documents\GitHub\eaglep3\Utilities\RefineRTDCRunTimes.py" --tripid 56-06 --locoid 4051 --swversion DE.1.0.8.0 --startMP 204:10603 --initTime 2016-10-07T01:58:45 --startdatetime 2016-10-07T02:30:55 --delay 1 --endMP 204:128134 --enddatetime 2016-10-07T02:56:52 --enforcementcount 0 &gt;&gt;C:\Users\stu\Documents\GitHub\eaglep3-reporting\EC\2016-10-06-refined-times.txt</v>
      </c>
      <c r="AI245" s="130" t="str">
        <f t="shared" si="109"/>
        <v>echo {"issue":{"subject":"","project_id":79,"tracker_id":40,"status_id":1,"priority_id":2,"assigned_to_id":23,"start_date":"2016-10-07","description":"","custom_fields":[{"id":1,"name":"Subdivision","value":"Other"},{"id":4,"name":"Milepost","value":"12.8134"},{"id":17,"name":"Train ID","value":"56-06"},{"id":16,"name":"Locomotive ID","value":"4051"},{"id":130,"name":"Impact","value":""},{"id":150,"name":"Time of Event (Mountain Time)","value":"02:56:52"},{"id":151,"name":"Denver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55"/>
      <c r="AK245" s="55"/>
      <c r="AL245" s="55"/>
    </row>
    <row r="246" spans="1:38" x14ac:dyDescent="0.25">
      <c r="A246" s="39" t="s">
        <v>535</v>
      </c>
      <c r="B246" s="7">
        <v>4051</v>
      </c>
      <c r="C246" s="24" t="s">
        <v>309</v>
      </c>
      <c r="D246" s="24" t="s">
        <v>744</v>
      </c>
      <c r="E246" s="15">
        <v>42650.040162037039</v>
      </c>
      <c r="F246" s="15">
        <v>42650.083912037036</v>
      </c>
      <c r="G246" s="7">
        <v>4</v>
      </c>
      <c r="H246" s="15" t="s">
        <v>745</v>
      </c>
      <c r="I246" s="15">
        <v>42650.100462962961</v>
      </c>
      <c r="J246" s="7">
        <v>0</v>
      </c>
      <c r="K246" s="117" t="str">
        <f t="shared" si="113"/>
        <v>4051/4052</v>
      </c>
      <c r="L246" s="24" t="str">
        <f>VLOOKUP(A246,'Trips&amp;Operators'!$C$1:$E$10000,3,FALSE)</f>
        <v>BROWN</v>
      </c>
      <c r="M246" s="6">
        <f t="shared" si="114"/>
        <v>1.6550925924093463E-2</v>
      </c>
      <c r="N246" s="7">
        <f t="shared" si="112"/>
        <v>23.833333330694586</v>
      </c>
      <c r="O246" s="7"/>
      <c r="P246" s="7"/>
      <c r="Q246" s="25"/>
      <c r="R246" s="25"/>
      <c r="S246" s="37">
        <f t="shared" si="115"/>
        <v>0</v>
      </c>
      <c r="T246" s="52" t="e">
        <f t="shared" si="105"/>
        <v>#VALUE!</v>
      </c>
      <c r="U246" s="159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23:57:50-0600',mode:absolute,to:'2016-10-07 03:24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6" s="54" t="str">
        <f t="shared" si="117"/>
        <v>N</v>
      </c>
      <c r="X246" s="164" t="e">
        <f t="shared" si="111"/>
        <v>#VALUE!</v>
      </c>
      <c r="Y246" s="69">
        <f t="shared" si="118"/>
        <v>0.1479</v>
      </c>
      <c r="Z246" s="69">
        <f t="shared" si="119"/>
        <v>12.827400000000001</v>
      </c>
      <c r="AA246" s="69">
        <f t="shared" si="120"/>
        <v>12.679500000000001</v>
      </c>
      <c r="AB246" s="66" t="e">
        <f>VLOOKUP(A246,Enforcements!$C$7:$K$21,8,0)</f>
        <v>#N/A</v>
      </c>
      <c r="AC246" s="62" t="e">
        <f>VLOOKUP(A246,Enforcements!$C$7:$E$21,3,0)</f>
        <v>#N/A</v>
      </c>
      <c r="AD246" s="63" t="str">
        <f t="shared" si="106"/>
        <v>56-06</v>
      </c>
      <c r="AE246" s="95" t="str">
        <f t="shared" si="121"/>
        <v>aws s3 cp s3://rtdc.mdm.uploadarchive.raw/RTDC4051/ "%USERPROFILE%\AppData\Local\Temp\OnboardLogs"\RTDC4051\2016-10-07 --exclude "*" --recursive --include "*20161007*" &amp; "%USERPROFILE%\Documents\GitHub\mrs-test-scripts\Headless Mode &amp; Sideloading\WalkAndUnGZ.bat" "%USERPROFILE%\AppData\Local\Temp\OnboardLogs"\RTDC4051\2016-10-07 &amp; aws s3 cp s3://rtdc.mdm.uploadarchive.raw/RTDC4051/ "%USERPROFILE%\AppData\Local\Temp\OnboardLogs"\RTDC4051\2016-10-08 --exclude "*" --recursive --include "*20161008*" &amp; "%USERPROFILE%\Documents\GitHub\mrs-test-scripts\Headless Mode &amp; Sideloading\WalkAndUnGZ.bat" "%USERPROFILE%\AppData\Local\Temp\OnboardLogs"\RTDC4051\2016-10-08</v>
      </c>
      <c r="AF246" s="92" t="str">
        <f t="shared" si="122"/>
        <v>"C:\Program Files (x86)\AstroGrep\AstroGrep.exe" /spath="%USERPROFILE%\AppData\Local\Temp\OnboardLogs" /stypes="app*4051*20161007*" /stext=" 08:.+((SYSTEM_STATE.+slice.+state.+changed )|(ment ac)|(system.+state.+changed )|(\[timeout)|(PRM\|1\|D)|(kpr)|(kdp)|(\|lc)|(penalty))" /e /r /s</v>
      </c>
      <c r="AG246" s="1" t="str">
        <f t="shared" si="107"/>
        <v>Other</v>
      </c>
      <c r="AH246" s="96" t="str">
        <f t="shared" si="108"/>
        <v>"%USERPROFILE%\Documents\GitHub\eaglep3\Utilities\RefineRTDCRunTimes.py" --tripid 56-06 --locoid 4051 --swversion DE.1.0.8.0 --startMP 204:1479 --initTime 2016-10-07T00:57:50 --startdatetime 2016-10-07T02:00:50 --delay 4 --endMP 204:128274 --enddatetime 2016-10-07T02:24:40 --enforcementcount 0 &gt;&gt;C:\Users\stu\Documents\GitHub\eaglep3-reporting\EC\2016-10-06-refined-times.txt</v>
      </c>
      <c r="AI246" s="130" t="str">
        <f t="shared" si="109"/>
        <v>echo {"issue":{"subject":"","project_id":79,"tracker_id":40,"status_id":1,"priority_id":2,"assigned_to_id":23,"start_date":"2016-10-07","description":"","custom_fields":[{"id":1,"name":"Subdivision","value":"Other"},{"id":4,"name":"Milepost","value":"12.8274"},{"id":17,"name":"Train ID","value":"56-06"},{"id":16,"name":"Locomotive ID","value":"4051"},{"id":130,"name":"Impact","value":""},{"id":150,"name":"Time of Event (Mountain Time)","value":"02:24:40"},{"id":151,"name":"Denver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55"/>
      <c r="AK246" s="55"/>
      <c r="AL246" s="55"/>
    </row>
    <row r="247" spans="1:38" x14ac:dyDescent="0.25">
      <c r="A247" s="39" t="s">
        <v>535</v>
      </c>
      <c r="B247" s="7">
        <v>4052</v>
      </c>
      <c r="C247" s="24" t="s">
        <v>309</v>
      </c>
      <c r="D247" s="24" t="s">
        <v>746</v>
      </c>
      <c r="E247" s="15">
        <v>42650.10324074074</v>
      </c>
      <c r="F247" s="15">
        <v>42650.125636574077</v>
      </c>
      <c r="G247" s="7">
        <v>1</v>
      </c>
      <c r="H247" s="15" t="s">
        <v>747</v>
      </c>
      <c r="I247" s="15">
        <v>42650.140428240738</v>
      </c>
      <c r="J247" s="7">
        <v>0</v>
      </c>
      <c r="K247" s="117" t="str">
        <f t="shared" si="113"/>
        <v>4051/4052</v>
      </c>
      <c r="L247" s="24" t="str">
        <f>VLOOKUP(A247,'Trips&amp;Operators'!$C$1:$E$10000,3,FALSE)</f>
        <v>BROWN</v>
      </c>
      <c r="M247" s="6">
        <f t="shared" si="114"/>
        <v>1.4791666661039926E-2</v>
      </c>
      <c r="N247" s="7">
        <f t="shared" si="112"/>
        <v>21.299999991897494</v>
      </c>
      <c r="O247" s="7"/>
      <c r="P247" s="7"/>
      <c r="Q247" s="25"/>
      <c r="R247" s="25"/>
      <c r="S247" s="37">
        <f t="shared" si="115"/>
        <v>0</v>
      </c>
      <c r="T247" s="52" t="e">
        <f t="shared" si="105"/>
        <v>#VALUE!</v>
      </c>
      <c r="U247" s="159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https://search-rtdc-monitor-bjffxe2xuh6vdkpspy63sjmuny.us-east-1.es.amazonaws.com/_plugin/kibana/#/discover/Steve-Slow-Train-Analysis-(2080s-and-2083s)?_g=(refreshInterval:(display:Off,section:0,value:0),time:(from:'2016-10-07 01:28:40-0600',mode:absolute,to:'2016-10-07 04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47" s="54" t="str">
        <f t="shared" si="117"/>
        <v>N</v>
      </c>
      <c r="X247" s="164" t="e">
        <f t="shared" si="111"/>
        <v>#VALUE!</v>
      </c>
      <c r="Y247" s="69">
        <f t="shared" si="118"/>
        <v>12.7875</v>
      </c>
      <c r="Z247" s="69">
        <f t="shared" si="119"/>
        <v>1.0343</v>
      </c>
      <c r="AA247" s="69">
        <f t="shared" si="120"/>
        <v>11.7532</v>
      </c>
      <c r="AB247" s="66" t="e">
        <f>VLOOKUP(A247,Enforcements!$C$7:$K$21,8,0)</f>
        <v>#N/A</v>
      </c>
      <c r="AC247" s="62" t="e">
        <f>VLOOKUP(A247,Enforcements!$C$7:$E$21,3,0)</f>
        <v>#N/A</v>
      </c>
      <c r="AD247" s="63" t="str">
        <f t="shared" si="106"/>
        <v>56-06</v>
      </c>
      <c r="AE247" s="95" t="str">
        <f t="shared" si="121"/>
        <v>aws s3 cp s3://rtdc.mdm.uploadarchive.raw/RTDC4052/ "%USERPROFILE%\AppData\Local\Temp\OnboardLogs"\RTDC4052\2016-10-07 --exclude "*" --recursive --include "*20161007*" &amp; "%USERPROFILE%\Documents\GitHub\mrs-test-scripts\Headless Mode &amp; Sideloading\WalkAndUnGZ.bat" "%USERPROFILE%\AppData\Local\Temp\OnboardLogs"\RTDC4052\2016-10-07 &amp; aws s3 cp s3://rtdc.mdm.uploadarchive.raw/RTDC4052/ "%USERPROFILE%\AppData\Local\Temp\OnboardLogs"\RTDC4052\2016-10-08 --exclude "*" --recursive --include "*20161008*" &amp; "%USERPROFILE%\Documents\GitHub\mrs-test-scripts\Headless Mode &amp; Sideloading\WalkAndUnGZ.bat" "%USERPROFILE%\AppData\Local\Temp\OnboardLogs"\RTDC4052\2016-10-08</v>
      </c>
      <c r="AF247" s="92" t="str">
        <f t="shared" si="122"/>
        <v>"C:\Program Files (x86)\AstroGrep\AstroGrep.exe" /spath="%USERPROFILE%\AppData\Local\Temp\OnboardLogs" /stypes="app*4052*20161007*" /stext=" 09:.+((SYSTEM_STATE.+slice.+state.+changed )|(ment ac)|(system.+state.+changed )|(\[timeout)|(PRM\|1\|D)|(kpr)|(kdp)|(\|lc)|(penalty))" /e /r /s</v>
      </c>
      <c r="AG247" s="1" t="str">
        <f t="shared" si="107"/>
        <v>Other</v>
      </c>
      <c r="AH247" s="96" t="str">
        <f t="shared" si="108"/>
        <v>"%USERPROFILE%\Documents\GitHub\eaglep3\Utilities\RefineRTDCRunTimes.py" --tripid 56-06 --locoid 4052 --swversion DE.1.0.8.0 --startMP 204:127875 --initTime 2016-10-07T02:28:40 --startdatetime 2016-10-07T03:00:55 --delay 1 --endMP 204:10343 --enddatetime 2016-10-07T03:22:13 --enforcementcount 0 &gt;&gt;C:\Users\stu\Documents\GitHub\eaglep3-reporting\EC\2016-10-06-refined-times.txt</v>
      </c>
      <c r="AI247" s="130" t="str">
        <f t="shared" si="109"/>
        <v>echo {"issue":{"subject":"","project_id":79,"tracker_id":40,"status_id":1,"priority_id":2,"assigned_to_id":23,"start_date":"2016-10-07","description":"","custom_fields":[{"id":1,"name":"Subdivision","value":"Other"},{"id":4,"name":"Milepost","value":"1.0343"},{"id":17,"name":"Train ID","value":"56-06"},{"id":16,"name":"Locomotive ID","value":"4052"},{"id":130,"name":"Impact","value":""},{"id":150,"name":"Time of Event (Mountain Time)","value":"03:22:13"},{"id":151,"name":"Denver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55"/>
      <c r="AK247" s="55"/>
      <c r="AL247" s="55"/>
    </row>
    <row r="248" spans="1:38" x14ac:dyDescent="0.25">
      <c r="A248" s="39" t="s">
        <v>535</v>
      </c>
      <c r="B248" s="7">
        <v>4052</v>
      </c>
      <c r="C248" s="24" t="s">
        <v>309</v>
      </c>
      <c r="D248" s="24" t="s">
        <v>748</v>
      </c>
      <c r="E248" s="15">
        <v>42650.059490740743</v>
      </c>
      <c r="F248" s="15">
        <v>42650.083912037036</v>
      </c>
      <c r="G248" s="7">
        <v>1</v>
      </c>
      <c r="H248" s="15" t="s">
        <v>749</v>
      </c>
      <c r="I248" s="15">
        <v>42650.100462962961</v>
      </c>
      <c r="J248" s="7">
        <v>0</v>
      </c>
      <c r="K248" s="117" t="str">
        <f t="shared" si="113"/>
        <v>4051/4052</v>
      </c>
      <c r="L248" s="24" t="str">
        <f>VLOOKUP(A248,'Trips&amp;Operators'!$C$1:$E$10000,3,FALSE)</f>
        <v>BROWN</v>
      </c>
      <c r="M248" s="6">
        <f t="shared" si="114"/>
        <v>1.6550925924093463E-2</v>
      </c>
      <c r="N248" s="7">
        <f t="shared" si="112"/>
        <v>23.833333330694586</v>
      </c>
      <c r="O248" s="7"/>
      <c r="P248" s="7"/>
      <c r="Q248" s="25"/>
      <c r="R248" s="25"/>
      <c r="S248" s="37">
        <f t="shared" si="115"/>
        <v>0</v>
      </c>
      <c r="T248" s="52" t="e">
        <f t="shared" si="105"/>
        <v>#VALUE!</v>
      </c>
      <c r="U248" s="159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https://search-rtdc-monitor-bjffxe2xuh6vdkpspy63sjmuny.us-east-1.es.amazonaws.com/_plugin/kibana/#/discover/Steve-Slow-Train-Analysis-(2080s-and-2083s)?_g=(refreshInterval:(display:Off,section:0,value:0),time:(from:'2016-10-07 00:25:40-0600',mode:absolute,to:'2016-10-07 03:24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48" s="54" t="str">
        <f t="shared" si="117"/>
        <v>N</v>
      </c>
      <c r="X248" s="164" t="e">
        <f t="shared" si="111"/>
        <v>#VALUE!</v>
      </c>
      <c r="Y248" s="69">
        <f t="shared" si="118"/>
        <v>12.8005</v>
      </c>
      <c r="Z248" s="69">
        <f t="shared" si="119"/>
        <v>1.0367999999999999</v>
      </c>
      <c r="AA248" s="69">
        <f t="shared" si="120"/>
        <v>11.7637</v>
      </c>
      <c r="AB248" s="66" t="e">
        <f>VLOOKUP(A248,Enforcements!$C$7:$K$21,8,0)</f>
        <v>#N/A</v>
      </c>
      <c r="AC248" s="62" t="e">
        <f>VLOOKUP(A248,Enforcements!$C$7:$E$21,3,0)</f>
        <v>#N/A</v>
      </c>
      <c r="AD248" s="63" t="str">
        <f t="shared" si="106"/>
        <v>56-06</v>
      </c>
      <c r="AE248" s="95" t="str">
        <f t="shared" si="121"/>
        <v>aws s3 cp s3://rtdc.mdm.uploadarchive.raw/RTDC4052/ "%USERPROFILE%\AppData\Local\Temp\OnboardLogs"\RTDC4052\2016-10-07 --exclude "*" --recursive --include "*20161007*" &amp; "%USERPROFILE%\Documents\GitHub\mrs-test-scripts\Headless Mode &amp; Sideloading\WalkAndUnGZ.bat" "%USERPROFILE%\AppData\Local\Temp\OnboardLogs"\RTDC4052\2016-10-07 &amp; aws s3 cp s3://rtdc.mdm.uploadarchive.raw/RTDC4052/ "%USERPROFILE%\AppData\Local\Temp\OnboardLogs"\RTDC4052\2016-10-08 --exclude "*" --recursive --include "*20161008*" &amp; "%USERPROFILE%\Documents\GitHub\mrs-test-scripts\Headless Mode &amp; Sideloading\WalkAndUnGZ.bat" "%USERPROFILE%\AppData\Local\Temp\OnboardLogs"\RTDC4052\2016-10-08</v>
      </c>
      <c r="AF248" s="92" t="str">
        <f t="shared" si="122"/>
        <v>"C:\Program Files (x86)\AstroGrep\AstroGrep.exe" /spath="%USERPROFILE%\AppData\Local\Temp\OnboardLogs" /stypes="app*4052*20161007*" /stext=" 08:.+((SYSTEM_STATE.+slice.+state.+changed )|(ment ac)|(system.+state.+changed )|(\[timeout)|(PRM\|1\|D)|(kpr)|(kdp)|(\|lc)|(penalty))" /e /r /s</v>
      </c>
      <c r="AG248" s="1" t="str">
        <f t="shared" si="107"/>
        <v>Other</v>
      </c>
      <c r="AH248" s="96" t="str">
        <f t="shared" si="108"/>
        <v>"%USERPROFILE%\Documents\GitHub\eaglep3\Utilities\RefineRTDCRunTimes.py" --tripid 56-06 --locoid 4052 --swversion DE.1.0.8.0 --startMP 204:128005 --initTime 2016-10-07T01:25:40 --startdatetime 2016-10-07T02:00:50 --delay 1 --endMP 204:10368 --enddatetime 2016-10-07T02:24:40 --enforcementcount 0 &gt;&gt;C:\Users\stu\Documents\GitHub\eaglep3-reporting\EC\2016-10-06-refined-times.txt</v>
      </c>
      <c r="AI248" s="130" t="str">
        <f t="shared" si="109"/>
        <v>echo {"issue":{"subject":"","project_id":79,"tracker_id":40,"status_id":1,"priority_id":2,"assigned_to_id":23,"start_date":"2016-10-07","description":"","custom_fields":[{"id":1,"name":"Subdivision","value":"Other"},{"id":4,"name":"Milepost","value":"1.0368"},{"id":17,"name":"Train ID","value":"56-06"},{"id":16,"name":"Locomotive ID","value":"4052"},{"id":130,"name":"Impact","value":""},{"id":150,"name":"Time of Event (Mountain Time)","value":"02:24:40"},{"id":151,"name":"Denver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55"/>
      <c r="AK248" s="55"/>
      <c r="AL248" s="55"/>
    </row>
    <row r="249" spans="1:38" x14ac:dyDescent="0.25">
      <c r="A249" s="39" t="s">
        <v>327</v>
      </c>
      <c r="B249" s="7">
        <v>4051</v>
      </c>
      <c r="C249" s="24" t="s">
        <v>309</v>
      </c>
      <c r="D249" s="24" t="s">
        <v>363</v>
      </c>
      <c r="E249" s="15">
        <v>42649.10633101852</v>
      </c>
      <c r="F249" s="15">
        <v>42649.107835648145</v>
      </c>
      <c r="G249" s="7">
        <v>1</v>
      </c>
      <c r="H249" s="15" t="s">
        <v>364</v>
      </c>
      <c r="I249" s="15">
        <v>42649.121631944443</v>
      </c>
      <c r="J249" s="7">
        <v>0</v>
      </c>
      <c r="K249" s="117" t="str">
        <f t="shared" si="113"/>
        <v>4051/4052</v>
      </c>
      <c r="L249" s="24" t="b">
        <f>VLOOKUP(A249,'Trips&amp;Operators'!$C$1:$E$10000,3,FALSE)</f>
        <v>1</v>
      </c>
      <c r="M249" s="6">
        <f t="shared" si="114"/>
        <v>1.3796296298096422E-2</v>
      </c>
      <c r="N249" s="7">
        <f t="shared" si="112"/>
        <v>19.866666669258848</v>
      </c>
      <c r="O249" s="7"/>
      <c r="P249" s="7"/>
      <c r="Q249" s="25"/>
      <c r="R249" s="25"/>
      <c r="S249" s="37">
        <f t="shared" si="115"/>
        <v>0</v>
      </c>
      <c r="T249" s="52" t="e">
        <f t="shared" si="105"/>
        <v>#VALUE!</v>
      </c>
      <c r="U249" s="159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01:33:07-0600',mode:absolute,to:'2016-10-06 03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9" s="54" t="str">
        <f t="shared" si="117"/>
        <v>N</v>
      </c>
      <c r="X249" s="164" t="e">
        <f t="shared" si="111"/>
        <v>#VALUE!</v>
      </c>
      <c r="Y249" s="69">
        <f t="shared" si="118"/>
        <v>1.0630999999999999</v>
      </c>
      <c r="Z249" s="69">
        <f t="shared" si="119"/>
        <v>12.7959</v>
      </c>
      <c r="AA249" s="69">
        <f t="shared" si="120"/>
        <v>11.732799999999999</v>
      </c>
      <c r="AB249" s="66" t="e">
        <f>VLOOKUP(A249,Enforcements!$C$7:$K$21,8,0)</f>
        <v>#N/A</v>
      </c>
      <c r="AC249" s="62" t="e">
        <f>VLOOKUP(A249,Enforcements!$C$7:$E$21,3,0)</f>
        <v>#N/A</v>
      </c>
      <c r="AD249" s="63" t="str">
        <f t="shared" si="106"/>
        <v>57-05</v>
      </c>
      <c r="AE249" s="95" t="str">
        <f t="shared" si="121"/>
        <v>aws s3 cp s3://rtdc.mdm.uploadarchive.raw/RTDC4051/ "%USERPROFILE%\AppData\Local\Temp\OnboardLogs"\RTDC4051\2016-10-06 --exclude "*" --recursive --include "*20161006*" &amp; "%USERPROFILE%\Documents\GitHub\mrs-test-scripts\Headless Mode &amp; Sideloading\WalkAndUnGZ.bat" "%USERPROFILE%\AppData\Local\Temp\OnboardLogs"\RTDC4051\2016-10-06 &amp; aws s3 cp s3://rtdc.mdm.uploadarchive.raw/RTDC4051/ "%USERPROFILE%\AppData\Local\Temp\OnboardLogs"\RTDC4051\2016-10-07 --exclude "*" --recursive --include "*20161007*" &amp; "%USERPROFILE%\Documents\GitHub\mrs-test-scripts\Headless Mode &amp; Sideloading\WalkAndUnGZ.bat" "%USERPROFILE%\AppData\Local\Temp\OnboardLogs"\RTDC4051\2016-10-07</v>
      </c>
      <c r="AF249" s="92" t="str">
        <f t="shared" si="122"/>
        <v>"C:\Program Files (x86)\AstroGrep\AstroGrep.exe" /spath="%USERPROFILE%\AppData\Local\Temp\OnboardLogs" /stypes="app*4051*20161006*" /stext=" 08:.+((SYSTEM_STATE.+slice.+state.+changed )|(ment ac)|(system.+state.+changed )|(\[timeout)|(PRM\|1\|D)|(kpr)|(kdp)|(\|lc)|(penalty))" /e /r /s</v>
      </c>
      <c r="AG249" s="1" t="str">
        <f t="shared" si="107"/>
        <v>Other</v>
      </c>
      <c r="AH249" s="96" t="str">
        <f t="shared" si="108"/>
        <v>"%USERPROFILE%\Documents\GitHub\eaglep3\Utilities\RefineRTDCRunTimes.py" --tripid 57-05 --locoid 4051 --swversion DE.1.0.8.0 --startMP 204:10631 --initTime 2016-10-06T02:33:07 --startdatetime 2016-10-06T02:35:17 --delay 1 --endMP 204:127959 --enddatetime 2016-10-06T02:55:09 --enforcementcount 0 &gt;&gt;C:\Users\stu\Documents\GitHub\eaglep3-reporting\EC\2016-10-06-refined-times.txt</v>
      </c>
      <c r="AI249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{"issue":{"subject":"","project_id":79,"tracker_id":40,"status_id":1,"priority_id":2,"assigned_to_id":23,"start_date":"2016-10-06","description":"","custom_fields":[{"id":1,"name":"Subdivision","value":"Other"},{"id":4,"name":"Milepost","value":"12.7959"},{"id":17,"name":"Train ID","value":"57-05"},{"id":16,"name":"Locomotive ID","value":"4051"},{"id":130,"name":"Impact","value":""},{"id":150,"name":"Time of Event (Mountain Time)","value":"02:55:09"},{"id":151,"name":"Denver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55"/>
      <c r="AK249" s="55"/>
      <c r="AL249" s="55"/>
    </row>
    <row r="250" spans="1:38" x14ac:dyDescent="0.25">
      <c r="A250" s="39" t="s">
        <v>556</v>
      </c>
      <c r="B250" s="7">
        <v>4001</v>
      </c>
      <c r="C250" s="24" t="s">
        <v>106</v>
      </c>
      <c r="D250" s="24" t="s">
        <v>750</v>
      </c>
      <c r="E250" s="15">
        <v>42649.715543981481</v>
      </c>
      <c r="F250" s="15">
        <v>42649.723622685182</v>
      </c>
      <c r="G250" s="7">
        <v>4</v>
      </c>
      <c r="H250" s="15" t="s">
        <v>751</v>
      </c>
      <c r="I250" s="15">
        <v>42649.731689814813</v>
      </c>
      <c r="J250" s="7">
        <v>0</v>
      </c>
      <c r="K250" s="117" t="str">
        <f t="shared" si="113"/>
        <v>4001/4002</v>
      </c>
      <c r="L250" s="24" t="str">
        <f>VLOOKUP(A250,'Trips&amp;Operators'!$C$1:$E$10000,3,FALSE)</f>
        <v>YOUNG</v>
      </c>
      <c r="M250" s="6">
        <f t="shared" si="114"/>
        <v>8.0671296309446916E-3</v>
      </c>
      <c r="N250" s="7">
        <f t="shared" si="112"/>
        <v>11.616666668560356</v>
      </c>
      <c r="O250" s="7"/>
      <c r="P250" s="7"/>
      <c r="Q250" s="25"/>
      <c r="R250" s="25"/>
      <c r="S250" s="37">
        <f t="shared" si="115"/>
        <v>0</v>
      </c>
      <c r="T250" s="52" t="e">
        <f t="shared" si="105"/>
        <v>#VALUE!</v>
      </c>
      <c r="U250" s="159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16:10:23-0600',mode:absolute,to:'2016-10-06 18:33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50" s="54" t="str">
        <f t="shared" si="117"/>
        <v>Y</v>
      </c>
      <c r="X250" s="164" t="e">
        <f t="shared" si="111"/>
        <v>#VALUE!</v>
      </c>
      <c r="Y250" s="69">
        <f t="shared" si="118"/>
        <v>2.3346</v>
      </c>
      <c r="Z250" s="69">
        <f t="shared" si="119"/>
        <v>9.2799999999999994E-2</v>
      </c>
      <c r="AA250" s="69">
        <f t="shared" si="120"/>
        <v>2.2418</v>
      </c>
      <c r="AB250" s="66" t="e">
        <f>VLOOKUP(A250,Enforcements!$C$7:$K$21,8,0)</f>
        <v>#N/A</v>
      </c>
      <c r="AC250" s="62" t="e">
        <f>VLOOKUP(A250,Enforcements!$C$7:$E$21,3,0)</f>
        <v>#N/A</v>
      </c>
      <c r="AD250" s="63" t="str">
        <f t="shared" si="106"/>
        <v>60-06</v>
      </c>
      <c r="AE250" s="95" t="str">
        <f t="shared" si="121"/>
        <v>aws s3 cp s3://rtdc.mdm.uploadarchive.raw/RTDC4001/ "%USERPROFILE%\AppData\Local\Temp\OnboardLogs"\RTDC4001\2016-10-06 --exclude "*" --recursive --include "*20161006*" &amp; "%USERPROFILE%\Documents\GitHub\mrs-test-scripts\Headless Mode &amp; Sideloading\WalkAndUnGZ.bat" "%USERPROFILE%\AppData\Local\Temp\OnboardLogs"\RTDC4001\2016-10-06 &amp; aws s3 cp s3://rtdc.mdm.uploadarchive.raw/RTDC4001/ "%USERPROFILE%\AppData\Local\Temp\OnboardLogs"\RTDC4001\2016-10-07 --exclude "*" --recursive --include "*20161007*" &amp; "%USERPROFILE%\Documents\GitHub\mrs-test-scripts\Headless Mode &amp; Sideloading\WalkAndUnGZ.bat" "%USERPROFILE%\AppData\Local\Temp\OnboardLogs"\RTDC4001\2016-10-07</v>
      </c>
      <c r="AF250" s="92" t="str">
        <f t="shared" si="122"/>
        <v>"C:\Program Files (x86)\AstroGrep\AstroGrep.exe" /spath="%USERPROFILE%\AppData\Local\Temp\OnboardLogs" /stypes="app*4001*20161006*" /stext=" 23:.+((SYSTEM_STATE.+slice.+state.+changed )|(ment ac)|(system.+state.+changed )|(\[timeout)|(PRM\|1\|D)|(kpr)|(kdp)|(\|lc)|(penalty))" /e /r /s</v>
      </c>
      <c r="AG250" s="1" t="str">
        <f t="shared" si="107"/>
        <v>Other</v>
      </c>
      <c r="AH250" s="96" t="str">
        <f t="shared" si="108"/>
        <v>"%USERPROFILE%\Documents\GitHub\eaglep3\Utilities\RefineRTDCRunTimes.py" --tripid 60-06 --locoid 4001 --swversion DE.1.0.7.0 --startMP 300:23346 --initTime 2016-10-06T17:10:23 --startdatetime 2016-10-06T17:22:01 --delay 4 --endMP 204:928 --enddatetime 2016-10-06T17:33:38 --enforcementcount 0 &gt;&gt;C:\Users\stu\Documents\GitHub\eaglep3-reporting\EC\2016-10-06-refined-times.txt</v>
      </c>
      <c r="AI250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{"issue":{"subject":"","project_id":79,"tracker_id":40,"status_id":1,"priority_id":2,"assigned_to_id":23,"start_date":"2016-10-06","description":"","custom_fields":[{"id":1,"name":"Subdivision","value":"Other"},{"id":4,"name":"Milepost","value":"0.0928"},{"id":17,"name":"Train ID","value":"60-06"},{"id":16,"name":"Locomotive ID","value":"4001"},{"id":130,"name":"Impact","value":""},{"id":150,"name":"Time of Event (Mountain Time)","value":"17:33:38"},{"id":151,"name":"Denver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55"/>
      <c r="AK250" s="55"/>
      <c r="AL250" s="55"/>
    </row>
    <row r="251" spans="1:38" x14ac:dyDescent="0.25">
      <c r="A251" s="39" t="s">
        <v>559</v>
      </c>
      <c r="B251" s="7">
        <v>4042</v>
      </c>
      <c r="C251" s="24" t="s">
        <v>106</v>
      </c>
      <c r="D251" s="24" t="s">
        <v>752</v>
      </c>
      <c r="E251" s="15">
        <v>42649.717199074075</v>
      </c>
      <c r="F251" s="15">
        <v>25568.708333333332</v>
      </c>
      <c r="G251" s="7">
        <v>5</v>
      </c>
      <c r="H251" s="15" t="s">
        <v>753</v>
      </c>
      <c r="I251" s="15">
        <v>25568.708333333332</v>
      </c>
      <c r="J251" s="7">
        <v>0</v>
      </c>
      <c r="K251" s="117" t="str">
        <f t="shared" si="113"/>
        <v>4041/4042</v>
      </c>
      <c r="L251" s="24" t="str">
        <f>VLOOKUP(A251,'Trips&amp;Operators'!$C$1:$E$10000,3,FALSE)</f>
        <v>STAMBAUGH</v>
      </c>
      <c r="M251" s="6">
        <f t="shared" si="114"/>
        <v>0</v>
      </c>
      <c r="N251" s="7">
        <f t="shared" si="112"/>
        <v>0</v>
      </c>
      <c r="O251" s="7"/>
      <c r="P251" s="7"/>
      <c r="Q251" s="25"/>
      <c r="R251" s="25"/>
      <c r="S251" s="37">
        <f t="shared" si="115"/>
        <v>0</v>
      </c>
      <c r="T251" s="52" t="e">
        <f t="shared" si="105"/>
        <v>#VALUE!</v>
      </c>
      <c r="U251" s="159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16:12:46-0600',mode:absolute,to:'1969-12-31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51" s="54" t="str">
        <f t="shared" si="117"/>
        <v>Y</v>
      </c>
      <c r="X251" s="164" t="e">
        <f t="shared" si="111"/>
        <v>#VALUE!</v>
      </c>
      <c r="Y251" s="69">
        <f t="shared" si="118"/>
        <v>7.3200000000000001E-2</v>
      </c>
      <c r="Z251" s="69">
        <f t="shared" si="119"/>
        <v>7.2099999999999997E-2</v>
      </c>
      <c r="AA251" s="69">
        <f t="shared" si="120"/>
        <v>1.1000000000000038E-3</v>
      </c>
      <c r="AB251" s="66" t="e">
        <f>VLOOKUP(A251,Enforcements!$C$7:$K$21,8,0)</f>
        <v>#N/A</v>
      </c>
      <c r="AC251" s="62" t="e">
        <f>VLOOKUP(A251,Enforcements!$C$7:$E$21,3,0)</f>
        <v>#N/A</v>
      </c>
      <c r="AD251" s="63" t="str">
        <f t="shared" si="106"/>
        <v>62-06</v>
      </c>
      <c r="AE251" s="95" t="str">
        <f t="shared" si="121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51" s="92" t="str">
        <f t="shared" si="122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51" s="1" t="str">
        <f t="shared" si="107"/>
        <v>Other</v>
      </c>
      <c r="AH251" s="96" t="str">
        <f t="shared" si="108"/>
        <v>"%USERPROFILE%\Documents\GitHub\eaglep3\Utilities\RefineRTDCRunTimes.py" --tripid 62-06 --locoid 4042 --swversion DE.1.0.7.0 --startMP 204:732 --initTime 2016-10-06T17:12:46 --startdatetime 1969-12-31T17:00:00 --delay 5 --endMP 204:721 --enddatetime 1969-12-31T17:00:00 --enforcementcount 0 &gt;&gt;C:\Users\stu\Documents\GitHub\eaglep3-reporting\EC\2016-10-06-refined-times.txt</v>
      </c>
      <c r="AI251" s="130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{"issue":{"subject":"","project_id":79,"tracker_id":40,"status_id":1,"priority_id":2,"assigned_to_id":23,"start_date":"1969-12-31","description":"","custom_fields":[{"id":1,"name":"Subdivision","value":"Other"},{"id":4,"name":"Milepost","value":"0.0721"},{"id":17,"name":"Train ID","value":"62-06"},{"id":16,"name":"Locomotive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55"/>
      <c r="AK251" s="55"/>
      <c r="AL251" s="55"/>
    </row>
    <row r="252" spans="1:38" x14ac:dyDescent="0.25">
      <c r="A252" s="39" t="s">
        <v>559</v>
      </c>
      <c r="B252" s="7">
        <v>4042</v>
      </c>
      <c r="C252" s="24" t="s">
        <v>106</v>
      </c>
      <c r="D252" s="24" t="s">
        <v>342</v>
      </c>
      <c r="E252" s="15">
        <v>42649.722118055557</v>
      </c>
      <c r="F252" s="15">
        <v>25568.708333333332</v>
      </c>
      <c r="G252" s="7">
        <v>1</v>
      </c>
      <c r="H252" s="15" t="s">
        <v>754</v>
      </c>
      <c r="I252" s="15">
        <v>25568.708333333332</v>
      </c>
      <c r="J252" s="7">
        <v>0</v>
      </c>
      <c r="K252" s="117" t="str">
        <f t="shared" si="113"/>
        <v>4041/4042</v>
      </c>
      <c r="L252" s="24" t="str">
        <f>VLOOKUP(A252,'Trips&amp;Operators'!$C$1:$E$10000,3,FALSE)</f>
        <v>STAMBAUGH</v>
      </c>
      <c r="M252" s="6">
        <f t="shared" si="114"/>
        <v>0</v>
      </c>
      <c r="N252" s="7">
        <f t="shared" si="112"/>
        <v>0</v>
      </c>
      <c r="O252" s="7"/>
      <c r="P252" s="7"/>
      <c r="Q252" s="25"/>
      <c r="R252" s="25"/>
      <c r="S252" s="37">
        <f t="shared" si="115"/>
        <v>0</v>
      </c>
      <c r="T252" s="52" t="e">
        <f t="shared" si="105"/>
        <v>#VALUE!</v>
      </c>
      <c r="U252" s="159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16:19:51-0600',mode:absolute,to:'1969-12-31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52" s="54" t="str">
        <f t="shared" si="117"/>
        <v>Y</v>
      </c>
      <c r="X252" s="164" t="e">
        <f t="shared" si="111"/>
        <v>#VALUE!</v>
      </c>
      <c r="Y252" s="69">
        <f t="shared" si="118"/>
        <v>7.5200000000000003E-2</v>
      </c>
      <c r="Z252" s="69">
        <f t="shared" si="119"/>
        <v>2.331</v>
      </c>
      <c r="AA252" s="69">
        <f t="shared" si="120"/>
        <v>2.2557999999999998</v>
      </c>
      <c r="AB252" s="66" t="e">
        <f>VLOOKUP(A252,Enforcements!$C$7:$K$21,8,0)</f>
        <v>#N/A</v>
      </c>
      <c r="AC252" s="62" t="e">
        <f>VLOOKUP(A252,Enforcements!$C$7:$E$21,3,0)</f>
        <v>#N/A</v>
      </c>
      <c r="AD252" s="63" t="str">
        <f t="shared" si="106"/>
        <v>62-06</v>
      </c>
      <c r="AE252" s="95" t="str">
        <f t="shared" si="121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52" s="92" t="str">
        <f t="shared" si="122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52" s="1" t="str">
        <f t="shared" si="107"/>
        <v>Other</v>
      </c>
      <c r="AH252" s="96" t="str">
        <f t="shared" si="108"/>
        <v>"%USERPROFILE%\Documents\GitHub\eaglep3\Utilities\RefineRTDCRunTimes.py" --tripid 62-06 --locoid 4042 --swversion DE.1.0.7.0 --startMP 204:752 --initTime 2016-10-06T17:19:51 --startdatetime 1969-12-31T17:00:00 --delay 1 --endMP 300:23310 --enddatetime 1969-12-31T17:00:00 --enforcementcount 0 &gt;&gt;C:\Users\stu\Documents\GitHub\eaglep3-reporting\EC\2016-10-06-refined-times.txt</v>
      </c>
      <c r="AI252" s="130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ID","value":"62-06"},{"id":16,"name":"Locomotive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55"/>
      <c r="AK252" s="55"/>
      <c r="AL252" s="55"/>
    </row>
    <row r="253" spans="1:38" x14ac:dyDescent="0.25">
      <c r="A253" s="39" t="s">
        <v>566</v>
      </c>
      <c r="B253" s="7">
        <v>4021</v>
      </c>
      <c r="C253" s="24" t="s">
        <v>106</v>
      </c>
      <c r="D253" s="24" t="s">
        <v>755</v>
      </c>
      <c r="E253" s="15">
        <v>42649.737858796296</v>
      </c>
      <c r="F253" s="15">
        <v>42649.744525462964</v>
      </c>
      <c r="G253" s="7">
        <v>2</v>
      </c>
      <c r="H253" s="15" t="s">
        <v>756</v>
      </c>
      <c r="I253" s="15">
        <v>42649.744687500002</v>
      </c>
      <c r="J253" s="7">
        <v>0</v>
      </c>
      <c r="K253" s="117" t="str">
        <f t="shared" si="113"/>
        <v>4021/4022</v>
      </c>
      <c r="L253" s="24" t="str">
        <f>VLOOKUP(A253,'Trips&amp;Operators'!$C$1:$E$10000,3,FALSE)</f>
        <v>LEVIN</v>
      </c>
      <c r="M253" s="6">
        <f t="shared" si="114"/>
        <v>1.6203703853534535E-4</v>
      </c>
      <c r="N253" s="7">
        <f t="shared" si="112"/>
        <v>0.2333333354908973</v>
      </c>
      <c r="O253" s="7"/>
      <c r="P253" s="7"/>
      <c r="Q253" s="25"/>
      <c r="R253" s="25"/>
      <c r="S253" s="37">
        <f t="shared" si="115"/>
        <v>0</v>
      </c>
      <c r="T253" s="52" t="e">
        <f t="shared" si="105"/>
        <v>#VALUE!</v>
      </c>
      <c r="U253" s="159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16:42:31-0600',mode:absolute,to:'2016-10-06 18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53" s="54" t="str">
        <f t="shared" si="117"/>
        <v>Y</v>
      </c>
      <c r="X253" s="164" t="e">
        <f t="shared" si="111"/>
        <v>#VALUE!</v>
      </c>
      <c r="Y253" s="69">
        <f t="shared" si="118"/>
        <v>2.4615999999999998</v>
      </c>
      <c r="Z253" s="69">
        <f t="shared" si="119"/>
        <v>2.4049</v>
      </c>
      <c r="AA253" s="69">
        <f t="shared" si="120"/>
        <v>5.6699999999999751E-2</v>
      </c>
      <c r="AB253" s="66" t="e">
        <f>VLOOKUP(A253,Enforcements!$C$7:$K$21,8,0)</f>
        <v>#N/A</v>
      </c>
      <c r="AC253" s="62" t="e">
        <f>VLOOKUP(A253,Enforcements!$C$7:$E$21,3,0)</f>
        <v>#N/A</v>
      </c>
      <c r="AD253" s="63" t="str">
        <f t="shared" si="106"/>
        <v>64-06</v>
      </c>
      <c r="AE253" s="95" t="str">
        <f t="shared" si="121"/>
        <v>aws s3 cp s3://rtdc.mdm.uploadarchive.raw/RTDC4021/ "%USERPROFILE%\AppData\Local\Temp\OnboardLogs"\RTDC4021\2016-10-06 --exclude "*" --recursive --include "*20161006*" &amp; "%USERPROFILE%\Documents\GitHub\mrs-test-scripts\Headless Mode &amp; Sideloading\WalkAndUnGZ.bat" "%USERPROFILE%\AppData\Local\Temp\OnboardLogs"\RTDC4021\2016-10-06 &amp; aws s3 cp s3://rtdc.mdm.uploadarchive.raw/RTDC4021/ "%USERPROFILE%\AppData\Local\Temp\OnboardLogs"\RTDC4021\2016-10-07 --exclude "*" --recursive --include "*20161007*" &amp; "%USERPROFILE%\Documents\GitHub\mrs-test-scripts\Headless Mode &amp; Sideloading\WalkAndUnGZ.bat" "%USERPROFILE%\AppData\Local\Temp\OnboardLogs"\RTDC4021\2016-10-07</v>
      </c>
      <c r="AF253" s="92" t="str">
        <f t="shared" si="122"/>
        <v>"C:\Program Files (x86)\AstroGrep\AstroGrep.exe" /spath="%USERPROFILE%\AppData\Local\Temp\OnboardLogs" /stypes="app*4021*20161006*" /stext=" 23:.+((SYSTEM_STATE.+slice.+state.+changed )|(ment ac)|(system.+state.+changed )|(\[timeout)|(PRM\|1\|D)|(kpr)|(kdp)|(\|lc)|(penalty))" /e /r /s</v>
      </c>
      <c r="AG253" s="1" t="str">
        <f t="shared" si="107"/>
        <v>Other</v>
      </c>
      <c r="AH253" s="96" t="str">
        <f t="shared" si="108"/>
        <v>"%USERPROFILE%\Documents\GitHub\eaglep3\Utilities\RefineRTDCRunTimes.py" --tripid 64-06 --locoid 4021 --swversion DE.1.0.7.0 --startMP 300:24616 --initTime 2016-10-06T17:42:31 --startdatetime 2016-10-06T17:52:07 --delay 2 --endMP 300:24049 --enddatetime 2016-10-06T17:52:21 --enforcementcount 0 &gt;&gt;C:\Users\stu\Documents\GitHub\eaglep3-reporting\EC\2016-10-06-refined-times.txt</v>
      </c>
      <c r="AI253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{"issue":{"subject":"","project_id":79,"tracker_id":40,"status_id":1,"priority_id":2,"assigned_to_id":23,"start_date":"2016-10-06","description":"","custom_fields":[{"id":1,"name":"Subdivision","value":"Other"},{"id":4,"name":"Milepost","value":"2.4049"},{"id":17,"name":"Train ID","value":"64-06"},{"id":16,"name":"Locomotive ID","value":"4021"},{"id":130,"name":"Impact","value":""},{"id":150,"name":"Time of Event (Mountain Time)","value":"17:52:21"},{"id":151,"name":"Denver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55"/>
      <c r="AK253" s="55"/>
      <c r="AL253" s="55"/>
    </row>
    <row r="254" spans="1:38" x14ac:dyDescent="0.25">
      <c r="A254" s="39" t="s">
        <v>564</v>
      </c>
      <c r="B254" s="7">
        <v>4006</v>
      </c>
      <c r="C254" s="24" t="s">
        <v>106</v>
      </c>
      <c r="D254" s="24" t="s">
        <v>757</v>
      </c>
      <c r="E254" s="15">
        <v>42649.734675925924</v>
      </c>
      <c r="F254" s="15">
        <v>25568.708333333332</v>
      </c>
      <c r="G254" s="7">
        <v>3</v>
      </c>
      <c r="H254" s="15" t="s">
        <v>758</v>
      </c>
      <c r="I254" s="15">
        <v>25568.708333333332</v>
      </c>
      <c r="J254" s="7">
        <v>0</v>
      </c>
      <c r="K254" s="117" t="str">
        <f t="shared" si="113"/>
        <v>4005/4006</v>
      </c>
      <c r="L254" s="24" t="str">
        <f>VLOOKUP(A254,'Trips&amp;Operators'!$C$1:$E$10000,3,FALSE)</f>
        <v>CRAYTON</v>
      </c>
      <c r="M254" s="6">
        <f t="shared" si="114"/>
        <v>0</v>
      </c>
      <c r="N254" s="7">
        <f t="shared" si="112"/>
        <v>0</v>
      </c>
      <c r="O254" s="7"/>
      <c r="P254" s="7"/>
      <c r="Q254" s="25"/>
      <c r="R254" s="25"/>
      <c r="S254" s="37">
        <f t="shared" si="115"/>
        <v>0</v>
      </c>
      <c r="T254" s="52" t="e">
        <f t="shared" si="105"/>
        <v>#VALUE!</v>
      </c>
      <c r="U254" s="159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16:37:56-0600',mode:absolute,to:'1969-12-31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54" s="54" t="str">
        <f t="shared" si="117"/>
        <v>Y</v>
      </c>
      <c r="X254" s="164" t="e">
        <f t="shared" si="111"/>
        <v>#VALUE!</v>
      </c>
      <c r="Y254" s="69">
        <f t="shared" si="118"/>
        <v>0.11899999999999999</v>
      </c>
      <c r="Z254" s="69">
        <f t="shared" si="119"/>
        <v>2.4230999999999998</v>
      </c>
      <c r="AA254" s="69">
        <f t="shared" si="120"/>
        <v>2.3041</v>
      </c>
      <c r="AB254" s="66" t="e">
        <f>VLOOKUP(A254,Enforcements!$C$7:$K$21,8,0)</f>
        <v>#N/A</v>
      </c>
      <c r="AC254" s="62" t="e">
        <f>VLOOKUP(A254,Enforcements!$C$7:$E$21,3,0)</f>
        <v>#N/A</v>
      </c>
      <c r="AD254" s="63" t="str">
        <f t="shared" si="106"/>
        <v>65-06</v>
      </c>
      <c r="AE254" s="95" t="str">
        <f t="shared" si="121"/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254" s="92" t="str">
        <f t="shared" si="122"/>
        <v>"C:\Program Files (x86)\AstroGrep\AstroGrep.exe" /spath="%USERPROFILE%\AppData\Local\Temp\OnboardLogs" /stypes="app*4006*19691231*" /stext=" 23:.+((SYSTEM_STATE.+slice.+state.+changed )|(ment ac)|(system.+state.+changed )|(\[timeout)|(PRM\|1\|D)|(kpr)|(kdp)|(\|lc)|(penalty))" /e /r /s</v>
      </c>
      <c r="AG254" s="1" t="str">
        <f t="shared" si="107"/>
        <v>Other</v>
      </c>
      <c r="AH254" s="96" t="str">
        <f t="shared" si="108"/>
        <v>"%USERPROFILE%\Documents\GitHub\eaglep3\Utilities\RefineRTDCRunTimes.py" --tripid 65-06 --locoid 4006 --swversion DE.1.0.7.0 --startMP 204:1190 --initTime 2016-10-06T17:37:56 --startdatetime 1969-12-31T17:00:00 --delay 3 --endMP 300:24231 --enddatetime 1969-12-31T17:00:00 --enforcementcount 0 &gt;&gt;C:\Users\stu\Documents\GitHub\eaglep3-reporting\EC\2016-10-06-refined-times.txt</v>
      </c>
      <c r="AI254" s="130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{"issue":{"subject":"","project_id":79,"tracker_id":40,"status_id":1,"priority_id":2,"assigned_to_id":23,"start_date":"1969-12-31","description":"","custom_fields":[{"id":1,"name":"Subdivision","value":"Other"},{"id":4,"name":"Milepost","value":"2.4231"},{"id":17,"name":"Train ID","value":"65-06"},{"id":16,"name":"Locomotive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55"/>
      <c r="AK254" s="55"/>
      <c r="AL254" s="55"/>
    </row>
    <row r="255" spans="1:38" x14ac:dyDescent="0.25">
      <c r="A255" s="39" t="s">
        <v>573</v>
      </c>
      <c r="B255" s="7">
        <v>4022</v>
      </c>
      <c r="C255" s="24" t="s">
        <v>106</v>
      </c>
      <c r="D255" s="24" t="s">
        <v>759</v>
      </c>
      <c r="E255" s="15">
        <v>42649.761736111112</v>
      </c>
      <c r="F255" s="15">
        <v>42649.767731481479</v>
      </c>
      <c r="G255" s="7">
        <v>1</v>
      </c>
      <c r="H255" s="15" t="s">
        <v>360</v>
      </c>
      <c r="I255" s="15">
        <v>42649.774872685186</v>
      </c>
      <c r="J255" s="7">
        <v>0</v>
      </c>
      <c r="K255" s="117" t="str">
        <f t="shared" si="113"/>
        <v>4021/4022</v>
      </c>
      <c r="L255" s="24" t="str">
        <f>VLOOKUP(A255,'Trips&amp;Operators'!$C$1:$E$10000,3,FALSE)</f>
        <v>SHOOK</v>
      </c>
      <c r="M255" s="6">
        <f t="shared" si="114"/>
        <v>7.1412037068512291E-3</v>
      </c>
      <c r="N255" s="7">
        <f t="shared" si="112"/>
        <v>10.28333333786577</v>
      </c>
      <c r="O255" s="7"/>
      <c r="P255" s="7"/>
      <c r="Q255" s="25"/>
      <c r="R255" s="25"/>
      <c r="S255" s="37">
        <f t="shared" si="115"/>
        <v>0</v>
      </c>
      <c r="T255" s="52" t="e">
        <f t="shared" si="105"/>
        <v>#VALUE!</v>
      </c>
      <c r="U255" s="159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02" t="str">
        <f t="shared" si="116"/>
        <v>https://search-rtdc-monitor-bjffxe2xuh6vdkpspy63sjmuny.us-east-1.es.amazonaws.com/_plugin/kibana/#/discover/Steve-Slow-Train-Analysis-(2080s-and-2083s)?_g=(refreshInterval:(display:Off,section:0,value:0),time:(from:'2016-10-06 17:16:54-0600',mode:absolute,to:'2016-10-06 19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55" s="54" t="str">
        <f t="shared" si="117"/>
        <v>Y</v>
      </c>
      <c r="X255" s="164" t="e">
        <f t="shared" si="111"/>
        <v>#VALUE!</v>
      </c>
      <c r="Y255" s="69">
        <f t="shared" si="118"/>
        <v>4.0099999999999997E-2</v>
      </c>
      <c r="Z255" s="69">
        <f t="shared" si="119"/>
        <v>2.4243999999999999</v>
      </c>
      <c r="AA255" s="69">
        <f t="shared" si="120"/>
        <v>2.3843000000000001</v>
      </c>
      <c r="AB255" s="66" t="e">
        <f>VLOOKUP(A255,Enforcements!$C$7:$K$21,8,0)</f>
        <v>#N/A</v>
      </c>
      <c r="AC255" s="62" t="e">
        <f>VLOOKUP(A255,Enforcements!$C$7:$E$21,3,0)</f>
        <v>#N/A</v>
      </c>
      <c r="AD255" s="63" t="str">
        <f t="shared" si="106"/>
        <v>66-06</v>
      </c>
      <c r="AE255" s="95" t="str">
        <f t="shared" si="121"/>
        <v>aws s3 cp s3://rtdc.mdm.uploadarchive.raw/RTDC4022/ "%USERPROFILE%\AppData\Local\Temp\OnboardLogs"\RTDC4022\2016-10-06 --exclude "*" --recursive --include "*20161006*" &amp; "%USERPROFILE%\Documents\GitHub\mrs-test-scripts\Headless Mode &amp; Sideloading\WalkAndUnGZ.bat" "%USERPROFILE%\AppData\Local\Temp\OnboardLogs"\RTDC4022\2016-10-06 &amp; aws s3 cp s3://rtdc.mdm.uploadarchive.raw/RTDC4022/ "%USERPROFILE%\AppData\Local\Temp\OnboardLogs"\RTDC4022\2016-10-07 --exclude "*" --recursive --include "*20161007*" &amp; "%USERPROFILE%\Documents\GitHub\mrs-test-scripts\Headless Mode &amp; Sideloading\WalkAndUnGZ.bat" "%USERPROFILE%\AppData\Local\Temp\OnboardLogs"\RTDC4022\2016-10-07</v>
      </c>
      <c r="AF255" s="92" t="str">
        <f t="shared" si="122"/>
        <v>"C:\Program Files (x86)\AstroGrep\AstroGrep.exe" /spath="%USERPROFILE%\AppData\Local\Temp\OnboardLogs" /stypes="app*4022*20161007*" /stext=" 00:.+((SYSTEM_STATE.+slice.+state.+changed )|(ment ac)|(system.+state.+changed )|(\[timeout)|(PRM\|1\|D)|(kpr)|(kdp)|(\|lc)|(penalty))" /e /r /s</v>
      </c>
      <c r="AG255" s="1" t="str">
        <f t="shared" si="107"/>
        <v>Other</v>
      </c>
      <c r="AH255" s="96" t="str">
        <f t="shared" si="108"/>
        <v>"%USERPROFILE%\Documents\GitHub\eaglep3\Utilities\RefineRTDCRunTimes.py" --tripid 66-06 --locoid 4022 --swversion DE.1.0.7.0 --startMP 204:401 --initTime 2016-10-06T18:16:54 --startdatetime 2016-10-06T18:25:32 --delay 1 --endMP 300:24244 --enddatetime 2016-10-06T18:35:49 --enforcementcount 0 &gt;&gt;C:\Users\stu\Documents\GitHub\eaglep3-reporting\EC\2016-10-06-refined-times.txt</v>
      </c>
      <c r="AI255" s="130" t="str">
        <f t="shared" si="109"/>
        <v>echo {"issue":{"subject":"","project_id":79,"tracker_id":40,"status_id":1,"priority_id":2,"assigned_to_id":23,"start_date":"2016-10-06","description":"","custom_fields":[{"id":1,"name":"Subdivision","value":"Other"},{"id":4,"name":"Milepost","value":"2.4244"},{"id":17,"name":"Train ID","value":"66-06"},{"id":16,"name":"Locomotive ID","value":"4022"},{"id":130,"name":"Impact","value":""},{"id":150,"name":"Time of Event (Mountain Time)","value":"18:35:49"},{"id":151,"name":"Denver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55"/>
      <c r="AK255" s="55"/>
      <c r="AL255" s="55"/>
    </row>
    <row r="256" spans="1:38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17"/>
      <c r="L256" s="24"/>
      <c r="M256" s="6"/>
      <c r="N256" s="7"/>
      <c r="O256" s="7"/>
      <c r="P256" s="7"/>
      <c r="Q256" s="25"/>
      <c r="R256" s="25"/>
      <c r="S256" s="37"/>
      <c r="T256" s="52"/>
      <c r="U256" s="159"/>
      <c r="V256" s="102"/>
      <c r="W256" s="54"/>
      <c r="X256" s="164"/>
      <c r="Y256" s="69"/>
      <c r="Z256" s="69"/>
      <c r="AA256" s="69"/>
      <c r="AB256" s="66"/>
      <c r="AC256" s="62"/>
      <c r="AD256" s="63"/>
      <c r="AE256" s="95"/>
      <c r="AF256" s="92"/>
      <c r="AG256" s="1"/>
      <c r="AI256" s="130"/>
      <c r="AJ256" s="55"/>
      <c r="AK256" s="55"/>
      <c r="AL256" s="55"/>
    </row>
  </sheetData>
  <autoFilter ref="A12:AG256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326" operator="equal">
      <formula>"Y"</formula>
    </cfRule>
  </conditionalFormatting>
  <conditionalFormatting sqref="X13:X1048576">
    <cfRule type="cellIs" dxfId="7" priority="309" operator="greaterThan">
      <formula>1</formula>
    </cfRule>
  </conditionalFormatting>
  <conditionalFormatting sqref="X12:X1048576">
    <cfRule type="cellIs" dxfId="6" priority="306" operator="equal">
      <formula>0</formula>
    </cfRule>
  </conditionalFormatting>
  <conditionalFormatting sqref="A13:S256">
    <cfRule type="expression" dxfId="5" priority="300" stopIfTrue="1">
      <formula>$P13&gt;0</formula>
    </cfRule>
    <cfRule type="expression" dxfId="4" priority="30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AK13:AK256</xm:sqref>
        </x14:dataValidation>
        <x14:dataValidation type="list" allowBlank="1" showInputMessage="1" showErrorMessage="1">
          <x14:formula1>
            <xm:f>'Redmine List Values'!$C$2:$C$20</xm:f>
          </x14:formula1>
          <xm:sqref>AL13:AL256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67"/>
  <sheetViews>
    <sheetView topLeftCell="A2" workbookViewId="0">
      <selection activeCell="Y48" sqref="Y48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57" customWidth="1"/>
    <col min="16" max="16" width="30.7109375" customWidth="1"/>
    <col min="17" max="17" width="5" hidden="1" customWidth="1"/>
    <col min="18" max="18" width="5.5703125" style="93" customWidth="1"/>
    <col min="19" max="19" width="5.5703125" style="105" customWidth="1"/>
    <col min="20" max="20" width="6" style="90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1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57"/>
      <c r="R1" s="93"/>
      <c r="S1" s="105"/>
      <c r="T1" s="90"/>
      <c r="V1" s="50"/>
      <c r="AC1" s="171"/>
    </row>
    <row r="2" spans="1:29" s="23" customFormat="1" x14ac:dyDescent="0.25">
      <c r="A2" s="8"/>
      <c r="F2" s="2"/>
      <c r="G2" s="2"/>
      <c r="H2" s="2"/>
      <c r="I2" s="2"/>
      <c r="K2" s="2"/>
      <c r="L2" s="143" t="s">
        <v>87</v>
      </c>
      <c r="M2" s="147"/>
      <c r="N2" s="118"/>
      <c r="O2" s="167">
        <f>COUNTIF($O$7:$O$369,"=Y")</f>
        <v>4</v>
      </c>
      <c r="P2" s="119"/>
      <c r="R2" s="93"/>
      <c r="S2" s="105"/>
      <c r="T2" s="90"/>
      <c r="V2" s="50"/>
      <c r="AC2" s="172"/>
    </row>
    <row r="3" spans="1:29" s="23" customFormat="1" ht="15.75" thickBot="1" x14ac:dyDescent="0.3">
      <c r="A3" s="8"/>
      <c r="F3" s="2"/>
      <c r="G3" s="2"/>
      <c r="H3" s="2"/>
      <c r="I3" s="2"/>
      <c r="K3" s="2"/>
      <c r="L3" s="144" t="s">
        <v>88</v>
      </c>
      <c r="M3" s="148"/>
      <c r="N3" s="120"/>
      <c r="O3" s="168">
        <f>COUNTA($O$7:$O$369)-O2</f>
        <v>52</v>
      </c>
      <c r="P3" s="119"/>
      <c r="R3" s="93"/>
      <c r="S3" s="105"/>
      <c r="T3" s="90"/>
      <c r="V3" s="50"/>
      <c r="AC3" s="172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57"/>
      <c r="R4" s="93"/>
      <c r="S4" s="105"/>
      <c r="T4" s="90"/>
      <c r="V4" s="50"/>
      <c r="AC4" s="172"/>
    </row>
    <row r="5" spans="1:29" s="11" customFormat="1" ht="15" customHeight="1" x14ac:dyDescent="0.25">
      <c r="A5" s="185" t="str">
        <f>"Eagle P3 Braking Events - "&amp;TEXT(Variables!$A$2,"YYYY-mm-dd")</f>
        <v>Eagle P3 Braking Events - 2016-10-06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2"/>
      <c r="R5" s="103"/>
      <c r="S5" s="106"/>
      <c r="T5" s="108"/>
      <c r="V5" s="51"/>
      <c r="AC5" s="173"/>
    </row>
    <row r="6" spans="1:29" s="142" customFormat="1" ht="69.75" customHeight="1" x14ac:dyDescent="0.2">
      <c r="A6" s="131" t="s">
        <v>38</v>
      </c>
      <c r="B6" s="132" t="s">
        <v>37</v>
      </c>
      <c r="C6" s="132" t="s">
        <v>36</v>
      </c>
      <c r="D6" s="132" t="s">
        <v>35</v>
      </c>
      <c r="E6" s="132" t="s">
        <v>34</v>
      </c>
      <c r="F6" s="133" t="s">
        <v>33</v>
      </c>
      <c r="G6" s="133" t="s">
        <v>32</v>
      </c>
      <c r="H6" s="133" t="s">
        <v>31</v>
      </c>
      <c r="I6" s="133" t="s">
        <v>172</v>
      </c>
      <c r="J6" s="132" t="s">
        <v>30</v>
      </c>
      <c r="K6" s="133" t="s">
        <v>29</v>
      </c>
      <c r="L6" s="145" t="s">
        <v>28</v>
      </c>
      <c r="M6" s="133" t="s">
        <v>173</v>
      </c>
      <c r="N6" s="134" t="s">
        <v>47</v>
      </c>
      <c r="O6" s="169" t="s">
        <v>27</v>
      </c>
      <c r="P6" s="132" t="s">
        <v>24</v>
      </c>
      <c r="Q6" s="135"/>
      <c r="R6" s="136" t="s">
        <v>96</v>
      </c>
      <c r="S6" s="137" t="s">
        <v>61</v>
      </c>
      <c r="T6" s="138" t="s">
        <v>95</v>
      </c>
      <c r="U6" s="132" t="s">
        <v>90</v>
      </c>
      <c r="V6" s="139" t="s">
        <v>91</v>
      </c>
      <c r="W6" s="135" t="s">
        <v>103</v>
      </c>
      <c r="X6" s="135" t="s">
        <v>104</v>
      </c>
      <c r="Y6" s="140" t="s">
        <v>157</v>
      </c>
      <c r="Z6" s="141" t="s">
        <v>158</v>
      </c>
      <c r="AA6" s="141" t="s">
        <v>131</v>
      </c>
      <c r="AB6" s="141" t="s">
        <v>159</v>
      </c>
      <c r="AC6" s="174" t="s">
        <v>211</v>
      </c>
    </row>
    <row r="7" spans="1:29" s="1" customFormat="1" x14ac:dyDescent="0.25">
      <c r="A7" s="38">
        <v>42649.197708333333</v>
      </c>
      <c r="B7" s="33" t="s">
        <v>247</v>
      </c>
      <c r="C7" s="33" t="s">
        <v>397</v>
      </c>
      <c r="D7" s="33" t="s">
        <v>225</v>
      </c>
      <c r="E7" s="33" t="s">
        <v>163</v>
      </c>
      <c r="F7" s="49">
        <v>0</v>
      </c>
      <c r="G7" s="49">
        <v>142</v>
      </c>
      <c r="H7" s="49">
        <v>27288</v>
      </c>
      <c r="I7" s="49">
        <v>27173</v>
      </c>
      <c r="J7" s="33" t="s">
        <v>162</v>
      </c>
      <c r="K7" s="49">
        <v>27350</v>
      </c>
      <c r="L7" s="146" t="s">
        <v>53</v>
      </c>
      <c r="M7" s="149">
        <f t="shared" ref="M7:M38" si="0">CONVERT((I7-K7)/10000,"mi","ft")*IF(L7="Increasing Mileposts (1)",-1,1)</f>
        <v>-93.456000000000003</v>
      </c>
      <c r="N7" s="88" t="str">
        <f>VLOOKUP(C7,'Trips&amp;Operators'!$C$1:$E$99999,3,FALSE)</f>
        <v>MAELZER</v>
      </c>
      <c r="O7" s="170" t="s">
        <v>86</v>
      </c>
      <c r="P7" s="10" t="s">
        <v>316</v>
      </c>
      <c r="Q7" s="33"/>
      <c r="R7" s="104" t="str">
        <f>VLOOKUP(C7,'Train Runs'!$A$13:$AE$10009,31,0)</f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S7" s="107" t="str">
        <f>VLOOKUP(C7,'Train Runs'!$A$13:$AE$10009,22,0)</f>
        <v>https://search-rtdc-monitor-bjffxe2xuh6vdkpspy63sjmuny.us-east-1.es.amazonaws.com/_plugin/kibana/#/discover/Steve-Slow-Train-Analysis-(2080s-and-2083s)?_g=(refreshInterval:(display:Off,section:0,value:0),time:(from:'2016-10-06 03:01:09-0600',mode:absolute,to:'2016-10-06 05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7" s="109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/stypes="*4032*201610061*" /stext=" 10:.+((SYSTEM_STATE.+slice.+state.+changed )|(ment ac)|(system.+state.+changed )|(\[timeout)|(PRM\|1\|D)|(kpr)|(kdp)|(\|lc)|(penalty))" /e /r /s</v>
      </c>
      <c r="U7" s="9" t="str">
        <f t="shared" ref="U7:U38" si="2">MID(B7,13,4)</f>
        <v>4032</v>
      </c>
      <c r="V7" s="38">
        <f t="shared" ref="V7:V38" si="3">A7+6/24</f>
        <v>42649.447708333333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30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arrival","project_id":79,"tracker_id":40,"status_id":1,"priority_id":2,"assigned_to_id":23,"start_date":"2016-10-06","description":"","custom_fields":[{"id":1,"name":"Subdivision","value":"EC"},{"id":4,"name":"Milepost","value":"2.735"},{"id":17,"name":"Train ID","value":"102-06"},{"id":16,"name":"Locomotive ID","value":"4032"},{"id":130,"name":"Impact","value":""},{"id":150,"name":"Time of Event (Mountain Time)","value":"04:44:42"},{"id":151,"name":"Denver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1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"%USERPROFILE%\AppData\Local\Temp\OnboardLogs"\RTDC4032\*4032*201610061* | grep -SE "((Enforcement Ac)|(PRM))" -</v>
      </c>
    </row>
    <row r="8" spans="1:29" s="1" customFormat="1" x14ac:dyDescent="0.25">
      <c r="A8" s="38">
        <v>42649.601631944446</v>
      </c>
      <c r="B8" s="33" t="s">
        <v>248</v>
      </c>
      <c r="C8" s="33" t="s">
        <v>519</v>
      </c>
      <c r="D8" s="33" t="s">
        <v>49</v>
      </c>
      <c r="E8" s="33" t="s">
        <v>163</v>
      </c>
      <c r="F8" s="49">
        <v>0</v>
      </c>
      <c r="G8" s="49">
        <v>395</v>
      </c>
      <c r="H8" s="49">
        <v>42730</v>
      </c>
      <c r="I8" s="49">
        <v>43412</v>
      </c>
      <c r="J8" s="33" t="s">
        <v>162</v>
      </c>
      <c r="K8" s="49">
        <v>42779</v>
      </c>
      <c r="L8" s="146" t="s">
        <v>52</v>
      </c>
      <c r="M8" s="149">
        <f t="shared" si="0"/>
        <v>-334.22399999999993</v>
      </c>
      <c r="N8" s="88" t="str">
        <f>VLOOKUP(C8,'Trips&amp;Operators'!$C$1:$E$99999,3,FALSE)</f>
        <v>STORY</v>
      </c>
      <c r="O8" s="170" t="s">
        <v>86</v>
      </c>
      <c r="P8" s="10" t="s">
        <v>316</v>
      </c>
      <c r="Q8" s="33"/>
      <c r="R8" s="104" t="str">
        <f>VLOOKUP(C8,'Train Runs'!$A$13:$AE$10009,31,0)</f>
        <v>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 &amp; aws s3 cp s3://rtdc.mdm.uploadarchive.raw/RTDC4031/ "%USERPROFILE%\AppData\Local\Temp\OnboardLogs"\RTDC4031\2016-10-07 --exclude "*" --recursive --include "*20161007*" &amp; "%USERPROFILE%\Documents\GitHub\mrs-test-scripts\Headless Mode &amp; Sideloading\WalkAndUnGZ.bat" "%USERPROFILE%\AppData\Local\Temp\OnboardLogs"\RTDC4031\2016-10-07</v>
      </c>
      <c r="S8" s="107" t="str">
        <f>VLOOKUP(C8,'Train Runs'!$A$13:$AE$10009,22,0)</f>
        <v>https://search-rtdc-monitor-bjffxe2xuh6vdkpspy63sjmuny.us-east-1.es.amazonaws.com/_plugin/kibana/#/discover/Steve-Slow-Train-Analysis-(2080s-and-2083s)?_g=(refreshInterval:(display:Off,section:0,value:0),time:(from:'2016-10-06 13:14:51-0600',mode:absolute,to:'2016-10-06 15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8" s="109" t="str">
        <f t="shared" si="1"/>
        <v>"C:\Program Files (x86)\AstroGrep\AstroGrep.exe" /spath="%USERPROFILE%\AppData\Local\Temp\OnboardLogs" /stypes="*4031*201610062*" /stext=" 20:.+((SYSTEM_STATE.+slice.+state.+changed )|(ment ac)|(system.+state.+changed )|(\[timeout)|(PRM\|1\|D)|(kpr)|(kdp)|(\|lc)|(penalty))" /e /r /s</v>
      </c>
      <c r="U8" s="9" t="str">
        <f t="shared" si="2"/>
        <v>4031</v>
      </c>
      <c r="V8" s="38">
        <f t="shared" si="3"/>
        <v>42649.851631944446</v>
      </c>
      <c r="W8" s="52" t="str">
        <f t="shared" si="4"/>
        <v>EC</v>
      </c>
      <c r="X8" s="52" t="str">
        <f t="shared" si="5"/>
        <v>KEEP</v>
      </c>
      <c r="Y8" s="130" t="str">
        <f t="shared" si="6"/>
        <v>echo {"issue":{"subject":"Early arrival","project_id":79,"tracker_id":40,"status_id":1,"priority_id":2,"assigned_to_id":23,"start_date":"2016-10-06","description":"","custom_fields":[{"id":1,"name":"Subdivision","value":"EC"},{"id":4,"name":"Milepost","value":"4.2779"},{"id":17,"name":"Train ID","value":"185-06"},{"id":16,"name":"Locomotive ID","value":"4031"},{"id":130,"name":"Impact","value":""},{"id":150,"name":"Time of Event (Mountain Time)","value":"14:26:21"},{"id":151,"name":"Denver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1" t="str">
        <f t="shared" si="7"/>
        <v>grep -hSE -A100 "Enforcement Action" "%USERPROFILE%\AppData\Local\Temp\OnboardLogs"\RTDC4031\*4031*201610062* | grep -SE "((Enforcement Ac)|(PRM))" -</v>
      </c>
    </row>
    <row r="9" spans="1:29" s="1" customFormat="1" x14ac:dyDescent="0.25">
      <c r="A9" s="38">
        <v>42649.539618055554</v>
      </c>
      <c r="B9" s="33" t="s">
        <v>318</v>
      </c>
      <c r="C9" s="33" t="s">
        <v>504</v>
      </c>
      <c r="D9" s="33" t="s">
        <v>49</v>
      </c>
      <c r="E9" s="33" t="s">
        <v>163</v>
      </c>
      <c r="F9" s="49">
        <v>0</v>
      </c>
      <c r="G9" s="49">
        <v>41</v>
      </c>
      <c r="H9" s="49">
        <v>47782</v>
      </c>
      <c r="I9" s="49">
        <v>47819</v>
      </c>
      <c r="J9" s="33" t="s">
        <v>162</v>
      </c>
      <c r="K9" s="49">
        <v>47865</v>
      </c>
      <c r="L9" s="146" t="s">
        <v>52</v>
      </c>
      <c r="M9" s="149">
        <f t="shared" si="0"/>
        <v>24.288</v>
      </c>
      <c r="N9" s="88" t="str">
        <f>VLOOKUP(C9,'Trips&amp;Operators'!$C$1:$E$99999,3,FALSE)</f>
        <v>BONDS</v>
      </c>
      <c r="O9" s="170" t="s">
        <v>86</v>
      </c>
      <c r="P9" s="10" t="s">
        <v>838</v>
      </c>
      <c r="Q9" s="33"/>
      <c r="R9" s="104" t="str">
        <f>VLOOKUP(C9,'Train Runs'!$A$13:$AE$10009,31,0)</f>
        <v>aws s3 cp s3://rtdc.mdm.uploadarchive.raw/RTDC4027/ "%USERPROFILE%\AppData\Local\Temp\OnboardLogs"\RTDC4027\2016-10-06 --exclude "*" --recursive --include "*20161006*" &amp; "%USERPROFILE%\Documents\GitHub\mrs-test-scripts\Headless Mode &amp; Sideloading\WalkAndUnGZ.bat" "%USERPROFILE%\AppData\Local\Temp\OnboardLogs"\RTDC4027\2016-10-06 &amp; aws s3 cp s3://rtdc.mdm.uploadarchive.raw/RTDC4027/ "%USERPROFILE%\AppData\Local\Temp\OnboardLogs"\RTDC4027\2016-10-07 --exclude "*" --recursive --include "*20161007*" &amp; "%USERPROFILE%\Documents\GitHub\mrs-test-scripts\Headless Mode &amp; Sideloading\WalkAndUnGZ.bat" "%USERPROFILE%\AppData\Local\Temp\OnboardLogs"\RTDC4027\2016-10-07</v>
      </c>
      <c r="S9" s="107" t="str">
        <f>VLOOKUP(C9,'Train Runs'!$A$13:$AE$10009,22,0)</f>
        <v>https://search-rtdc-monitor-bjffxe2xuh6vdkpspy63sjmuny.us-east-1.es.amazonaws.com/_plugin/kibana/#/discover/Steve-Slow-Train-Analysis-(2080s-and-2083s)?_g=(refreshInterval:(display:Off,section:0,value:0),time:(from:'2016-10-06 11:37:39-0600',mode:absolute,to:'2016-10-06 14:23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9" s="109" t="str">
        <f t="shared" si="1"/>
        <v>"C:\Program Files (x86)\AstroGrep\AstroGrep.exe" /spath="%USERPROFILE%\AppData\Local\Temp\OnboardLogs" /stypes="*4027*201610061*" /stext=" 18:.+((SYSTEM_STATE.+slice.+state.+changed )|(ment ac)|(system.+state.+changed )|(\[timeout)|(PRM\|1\|D)|(kpr)|(kdp)|(\|lc)|(penalty))" /e /r /s</v>
      </c>
      <c r="U9" s="9" t="str">
        <f t="shared" si="2"/>
        <v>4027</v>
      </c>
      <c r="V9" s="38">
        <f t="shared" si="3"/>
        <v>42649.789618055554</v>
      </c>
      <c r="W9" s="52" t="str">
        <f t="shared" si="4"/>
        <v>EC</v>
      </c>
      <c r="X9" s="52" t="str">
        <f t="shared" si="5"/>
        <v>KEEP</v>
      </c>
      <c r="Y9" s="130" t="str">
        <f t="shared" si="6"/>
        <v>echo {"issue":{"subject":"Form C","project_id":79,"tracker_id":40,"status_id":1,"priority_id":2,"assigned_to_id":23,"start_date":"2016-10-06","description":"","custom_fields":[{"id":1,"name":"Subdivision","value":"EC"},{"id":4,"name":"Milepost","value":"4.7865"},{"id":17,"name":"Train ID","value":"173-06"},{"id":16,"name":"Locomotive ID","value":"4027"},{"id":130,"name":"Impact","value":""},{"id":150,"name":"Time of Event (Mountain Time)","value":"12:57:03"},{"id":151,"name":"Denver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1" t="str">
        <f t="shared" si="7"/>
        <v>grep -hSE -A100 "Enforcement Action" "%USERPROFILE%\AppData\Local\Temp\OnboardLogs"\RTDC4027\*4027*201610061* | grep -SE "((Enforcement Ac)|(PRM))" -</v>
      </c>
    </row>
    <row r="10" spans="1:29" s="1" customFormat="1" x14ac:dyDescent="0.25">
      <c r="A10" s="38">
        <v>42649.726423611108</v>
      </c>
      <c r="B10" s="33" t="s">
        <v>247</v>
      </c>
      <c r="C10" s="33" t="s">
        <v>553</v>
      </c>
      <c r="D10" s="33" t="s">
        <v>225</v>
      </c>
      <c r="E10" s="33" t="s">
        <v>163</v>
      </c>
      <c r="F10" s="49">
        <v>0</v>
      </c>
      <c r="G10" s="49">
        <v>215</v>
      </c>
      <c r="H10" s="49">
        <v>63211</v>
      </c>
      <c r="I10" s="49">
        <v>63062</v>
      </c>
      <c r="J10" s="33" t="s">
        <v>162</v>
      </c>
      <c r="K10" s="49">
        <v>63309</v>
      </c>
      <c r="L10" s="146" t="s">
        <v>53</v>
      </c>
      <c r="M10" s="149">
        <f t="shared" si="0"/>
        <v>-130.416</v>
      </c>
      <c r="N10" s="88" t="str">
        <f>VLOOKUP(C10,'Trips&amp;Operators'!$C$1:$E$99999,3,FALSE)</f>
        <v>STORY</v>
      </c>
      <c r="O10" s="170" t="s">
        <v>86</v>
      </c>
      <c r="P10" s="10" t="s">
        <v>316</v>
      </c>
      <c r="Q10" s="33"/>
      <c r="R10" s="104" t="str">
        <f>VLOOKUP(C10,'Train Runs'!$A$13:$AE$10009,31,0)</f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S10" s="107" t="str">
        <f>VLOOKUP(C10,'Train Runs'!$A$13:$AE$10009,22,0)</f>
        <v>https://search-rtdc-monitor-bjffxe2xuh6vdkpspy63sjmuny.us-east-1.es.amazonaws.com/_plugin/kibana/#/discover/Steve-Slow-Train-Analysis-(2080s-and-2083s)?_g=(refreshInterval:(display:Off,section:0,value:0),time:(from:'2016-10-06 15:59:25-0600',mode:absolute,to:'2016-10-06 18:40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0" s="109" t="str">
        <f t="shared" si="1"/>
        <v>"C:\Program Files (x86)\AstroGrep\AstroGrep.exe" /spath="%USERPROFILE%\AppData\Local\Temp\OnboardLogs" /stypes="*4032*201610062*" /stext=" 23:.+((SYSTEM_STATE.+slice.+state.+changed )|(ment ac)|(system.+state.+changed )|(\[timeout)|(PRM\|1\|D)|(kpr)|(kdp)|(\|lc)|(penalty))" /e /r /s</v>
      </c>
      <c r="U10" s="9" t="str">
        <f t="shared" si="2"/>
        <v>4032</v>
      </c>
      <c r="V10" s="38">
        <f t="shared" si="3"/>
        <v>42649.976423611108</v>
      </c>
      <c r="W10" s="52" t="str">
        <f t="shared" si="4"/>
        <v>EC</v>
      </c>
      <c r="X10" s="52" t="str">
        <f t="shared" si="5"/>
        <v>KEEP</v>
      </c>
      <c r="Y10" s="130" t="str">
        <f t="shared" si="6"/>
        <v>echo {"issue":{"subject":"Early arrival","project_id":79,"tracker_id":40,"status_id":1,"priority_id":2,"assigned_to_id":23,"start_date":"2016-10-06","description":"","custom_fields":[{"id":1,"name":"Subdivision","value":"EC"},{"id":4,"name":"Milepost","value":"6.3309"},{"id":17,"name":"Train ID","value":"200-06"},{"id":16,"name":"Locomotive ID","value":"4032"},{"id":130,"name":"Impact","value":""},{"id":150,"name":"Time of Event (Mountain Time)","value":"17:26:03"},{"id":151,"name":"Denver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1" t="str">
        <f t="shared" si="7"/>
        <v>grep -hSE -A100 "Enforcement Action" "%USERPROFILE%\AppData\Local\Temp\OnboardLogs"\RTDC4032\*4032*201610062* | grep -SE "((Enforcement Ac)|(PRM))" -</v>
      </c>
    </row>
    <row r="11" spans="1:29" s="1" customFormat="1" x14ac:dyDescent="0.25">
      <c r="A11" s="38">
        <v>42649.408865740741</v>
      </c>
      <c r="B11" s="33" t="s">
        <v>287</v>
      </c>
      <c r="C11" s="33" t="s">
        <v>462</v>
      </c>
      <c r="D11" s="33" t="s">
        <v>105</v>
      </c>
      <c r="E11" s="33" t="s">
        <v>163</v>
      </c>
      <c r="F11" s="49">
        <v>0</v>
      </c>
      <c r="G11" s="49">
        <v>352</v>
      </c>
      <c r="H11" s="49">
        <v>78439</v>
      </c>
      <c r="I11" s="49">
        <v>77600</v>
      </c>
      <c r="J11" s="33" t="s">
        <v>162</v>
      </c>
      <c r="K11" s="49">
        <v>78469</v>
      </c>
      <c r="L11" s="146" t="s">
        <v>53</v>
      </c>
      <c r="M11" s="149">
        <f t="shared" si="0"/>
        <v>-458.83199999999999</v>
      </c>
      <c r="N11" s="88" t="str">
        <f>VLOOKUP(C11,'Trips&amp;Operators'!$C$1:$E$99999,3,FALSE)</f>
        <v>ROCHA</v>
      </c>
      <c r="O11" s="170" t="s">
        <v>86</v>
      </c>
      <c r="P11" s="10" t="s">
        <v>316</v>
      </c>
      <c r="Q11" s="33"/>
      <c r="R11" s="104" t="str">
        <f>VLOOKUP(C11,'Train Runs'!$A$13:$AE$10009,31,0)</f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S11" s="107" t="str">
        <f>VLOOKUP(C11,'Train Runs'!$A$13:$AE$10009,22,0)</f>
        <v>https://search-rtdc-monitor-bjffxe2xuh6vdkpspy63sjmuny.us-east-1.es.amazonaws.com/_plugin/kibana/#/discover/Steve-Slow-Train-Analysis-(2080s-and-2083s)?_g=(refreshInterval:(display:Off,section:0,value:0),time:(from:'2016-10-06 08:24:18-0600',mode:absolute,to:'2016-10-06 11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1" s="109" t="str">
        <f t="shared" si="1"/>
        <v>"C:\Program Files (x86)\AstroGrep\AstroGrep.exe" /spath="%USERPROFILE%\AppData\Local\Temp\OnboardLogs" /stypes="*4008*201610061*" /stext=" 15:.+((SYSTEM_STATE.+slice.+state.+changed )|(ment ac)|(system.+state.+changed )|(\[timeout)|(PRM\|1\|D)|(kpr)|(kdp)|(\|lc)|(penalty))" /e /r /s</v>
      </c>
      <c r="U11" s="9" t="str">
        <f t="shared" si="2"/>
        <v>4008</v>
      </c>
      <c r="V11" s="38">
        <f t="shared" si="3"/>
        <v>42649.658865740741</v>
      </c>
      <c r="W11" s="52" t="str">
        <f t="shared" si="4"/>
        <v>EC</v>
      </c>
      <c r="X11" s="52" t="str">
        <f t="shared" si="5"/>
        <v>KEEP</v>
      </c>
      <c r="Y11" s="130" t="str">
        <f t="shared" si="6"/>
        <v>echo {"issue":{"subject":"Early arrival","project_id":79,"tracker_id":40,"status_id":1,"priority_id":2,"assigned_to_id":23,"start_date":"2016-10-06","description":"","custom_fields":[{"id":1,"name":"Subdivision","value":"EC"},{"id":4,"name":"Milepost","value":"7.8469"},{"id":17,"name":"Train ID","value":"140-06"},{"id":16,"name":"Locomotive ID","value":"4008"},{"id":130,"name":"Impact","value":""},{"id":150,"name":"Time of Event (Mountain Time)","value":"09:48:46"},{"id":151,"name":"Denver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1" t="str">
        <f t="shared" si="7"/>
        <v>grep -hSE -A100 "Enforcement Action" "%USERPROFILE%\AppData\Local\Temp\OnboardLogs"\RTDC4008\*4008*201610061* | grep -SE "((Enforcement Ac)|(PRM))" -</v>
      </c>
    </row>
    <row r="12" spans="1:29" s="1" customFormat="1" x14ac:dyDescent="0.25">
      <c r="A12" s="38">
        <v>42649.285902777781</v>
      </c>
      <c r="B12" s="33" t="s">
        <v>290</v>
      </c>
      <c r="C12" s="33" t="s">
        <v>427</v>
      </c>
      <c r="D12" s="33" t="s">
        <v>105</v>
      </c>
      <c r="E12" s="33" t="s">
        <v>163</v>
      </c>
      <c r="F12" s="49">
        <v>0</v>
      </c>
      <c r="G12" s="49">
        <v>531</v>
      </c>
      <c r="H12" s="49">
        <v>103750</v>
      </c>
      <c r="I12" s="49">
        <v>105122</v>
      </c>
      <c r="J12" s="33" t="s">
        <v>162</v>
      </c>
      <c r="K12" s="49">
        <v>103738</v>
      </c>
      <c r="L12" s="146" t="s">
        <v>52</v>
      </c>
      <c r="M12" s="149">
        <f t="shared" si="0"/>
        <v>-730.75199999999995</v>
      </c>
      <c r="N12" s="88" t="str">
        <f>VLOOKUP(C12,'Trips&amp;Operators'!$C$1:$E$99999,3,FALSE)</f>
        <v>ROCHA</v>
      </c>
      <c r="O12" s="170" t="s">
        <v>86</v>
      </c>
      <c r="P12" s="10" t="s">
        <v>316</v>
      </c>
      <c r="Q12" s="33"/>
      <c r="R12" s="104" t="str">
        <f>VLOOKUP(C12,'Train Runs'!$A$13:$AE$10009,31,0)</f>
        <v>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 &amp; 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</v>
      </c>
      <c r="S12" s="107" t="str">
        <f>VLOOKUP(C12,'Train Runs'!$A$13:$AE$10009,22,0)</f>
        <v>https://search-rtdc-monitor-bjffxe2xuh6vdkpspy63sjmuny.us-east-1.es.amazonaws.com/_plugin/kibana/#/discover/Steve-Slow-Train-Analysis-(2080s-and-2083s)?_g=(refreshInterval:(display:Off,section:0,value:0),time:(from:'2016-10-06 05:35:16-0600',mode:absolute,to:'2016-10-06 08:09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2" s="109" t="str">
        <f t="shared" si="1"/>
        <v>"C:\Program Files (x86)\AstroGrep\AstroGrep.exe" /spath="%USERPROFILE%\AppData\Local\Temp\OnboardLogs" /stypes="*4007*201610061*" /stext=" 12:.+((SYSTEM_STATE.+slice.+state.+changed )|(ment ac)|(system.+state.+changed )|(\[timeout)|(PRM\|1\|D)|(kpr)|(kdp)|(\|lc)|(penalty))" /e /r /s</v>
      </c>
      <c r="U12" s="9" t="str">
        <f t="shared" si="2"/>
        <v>4007</v>
      </c>
      <c r="V12" s="38">
        <f t="shared" si="3"/>
        <v>42649.535902777781</v>
      </c>
      <c r="W12" s="52" t="str">
        <f t="shared" si="4"/>
        <v>EC</v>
      </c>
      <c r="X12" s="52" t="str">
        <f t="shared" si="5"/>
        <v>KEEP</v>
      </c>
      <c r="Y12" s="130" t="str">
        <f t="shared" si="6"/>
        <v>echo {"issue":{"subject":"Early arrival","project_id":79,"tracker_id":40,"status_id":1,"priority_id":2,"assigned_to_id":23,"start_date":"2016-10-06","description":"","custom_fields":[{"id":1,"name":"Subdivision","value":"EC"},{"id":4,"name":"Milepost","value":"10.3738"},{"id":17,"name":"Train ID","value":"123-06"},{"id":16,"name":"Locomotive ID","value":"4007"},{"id":130,"name":"Impact","value":""},{"id":150,"name":"Time of Event (Mountain Time)","value":"06:51:42"},{"id":151,"name":"Denver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1" t="str">
        <f t="shared" si="7"/>
        <v>grep -hSE -A100 "Enforcement Action" "%USERPROFILE%\AppData\Local\Temp\OnboardLogs"\RTDC4007\*4007*201610061* | grep -SE "((Enforcement Ac)|(PRM))" -</v>
      </c>
    </row>
    <row r="13" spans="1:29" s="1" customFormat="1" x14ac:dyDescent="0.25">
      <c r="A13" s="38">
        <v>42649.364363425928</v>
      </c>
      <c r="B13" s="33" t="s">
        <v>317</v>
      </c>
      <c r="C13" s="33" t="s">
        <v>449</v>
      </c>
      <c r="D13" s="33" t="s">
        <v>49</v>
      </c>
      <c r="E13" s="33" t="s">
        <v>163</v>
      </c>
      <c r="F13" s="49">
        <v>0</v>
      </c>
      <c r="G13" s="49">
        <v>419</v>
      </c>
      <c r="H13" s="49">
        <v>109142</v>
      </c>
      <c r="I13" s="49">
        <v>107939</v>
      </c>
      <c r="J13" s="33" t="s">
        <v>162</v>
      </c>
      <c r="K13" s="49">
        <v>109135</v>
      </c>
      <c r="L13" s="146" t="s">
        <v>53</v>
      </c>
      <c r="M13" s="149">
        <f t="shared" si="0"/>
        <v>-631.48800000000006</v>
      </c>
      <c r="N13" s="88" t="str">
        <f>VLOOKUP(C13,'Trips&amp;Operators'!$C$1:$E$99999,3,FALSE)</f>
        <v>BRANNON</v>
      </c>
      <c r="O13" s="170" t="s">
        <v>86</v>
      </c>
      <c r="P13" s="10" t="s">
        <v>316</v>
      </c>
      <c r="Q13" s="33"/>
      <c r="R13" s="104" t="str">
        <f>VLOOKUP(C13,'Train Runs'!$A$13:$AE$10009,31,0)</f>
        <v>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 &amp; aws s3 cp s3://rtdc.mdm.uploadarchive.raw/RTDC4028/ "%USERPROFILE%\AppData\Local\Temp\OnboardLogs"\RTDC4028\2016-10-07 --exclude "*" --recursive --include "*20161007*" &amp; "%USERPROFILE%\Documents\GitHub\mrs-test-scripts\Headless Mode &amp; Sideloading\WalkAndUnGZ.bat" "%USERPROFILE%\AppData\Local\Temp\OnboardLogs"\RTDC4028\2016-10-07</v>
      </c>
      <c r="S13" s="107" t="str">
        <f>VLOOKUP(C13,'Train Runs'!$A$13:$AE$10009,22,0)</f>
        <v>https://search-rtdc-monitor-bjffxe2xuh6vdkpspy63sjmuny.us-east-1.es.amazonaws.com/_plugin/kibana/#/discover/Steve-Slow-Train-Analysis-(2080s-and-2083s)?_g=(refreshInterval:(display:Off,section:0,value:0),time:(from:'2016-10-06 07:15:47-0600',mode:absolute,to:'2016-10-06 10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3" s="109" t="str">
        <f t="shared" si="1"/>
        <v>"C:\Program Files (x86)\AstroGrep\AstroGrep.exe" /spath="%USERPROFILE%\AppData\Local\Temp\OnboardLogs" /stypes="*4028*201610061*" /stext=" 14:.+((SYSTEM_STATE.+slice.+state.+changed )|(ment ac)|(system.+state.+changed )|(\[timeout)|(PRM\|1\|D)|(kpr)|(kdp)|(\|lc)|(penalty))" /e /r /s</v>
      </c>
      <c r="U13" s="9" t="str">
        <f t="shared" si="2"/>
        <v>4028</v>
      </c>
      <c r="V13" s="38">
        <f t="shared" si="3"/>
        <v>42649.614363425928</v>
      </c>
      <c r="W13" s="52" t="str">
        <f t="shared" si="4"/>
        <v>EC</v>
      </c>
      <c r="X13" s="52" t="str">
        <f t="shared" si="5"/>
        <v>KEEP</v>
      </c>
      <c r="Y13" s="130" t="str">
        <f t="shared" si="6"/>
        <v>echo {"issue":{"subject":"Early arrival","project_id":79,"tracker_id":40,"status_id":1,"priority_id":2,"assigned_to_id":23,"start_date":"2016-10-06","description":"","custom_fields":[{"id":1,"name":"Subdivision","value":"EC"},{"id":4,"name":"Milepost","value":"10.9135"},{"id":17,"name":"Train ID","value":"132-06"},{"id":16,"name":"Locomotive ID","value":"4028"},{"id":130,"name":"Impact","value":""},{"id":150,"name":"Time of Event (Mountain Time)","value":"08:44:41"},{"id":151,"name":"Denver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1" t="str">
        <f t="shared" si="7"/>
        <v>grep -hSE -A100 "Enforcement Action" "%USERPROFILE%\AppData\Local\Temp\OnboardLogs"\RTDC4028\*4028*201610061* | grep -SE "((Enforcement Ac)|(PRM))" -</v>
      </c>
    </row>
    <row r="14" spans="1:29" s="1" customFormat="1" x14ac:dyDescent="0.25">
      <c r="A14" s="38">
        <v>42649.708726851852</v>
      </c>
      <c r="B14" s="33" t="s">
        <v>224</v>
      </c>
      <c r="C14" s="33" t="s">
        <v>552</v>
      </c>
      <c r="D14" s="33" t="s">
        <v>105</v>
      </c>
      <c r="E14" s="33" t="s">
        <v>56</v>
      </c>
      <c r="F14" s="49">
        <v>150</v>
      </c>
      <c r="G14" s="49">
        <v>200</v>
      </c>
      <c r="H14" s="49">
        <v>1080</v>
      </c>
      <c r="I14" s="49">
        <v>1328</v>
      </c>
      <c r="J14" s="33" t="s">
        <v>57</v>
      </c>
      <c r="K14" s="49">
        <v>0</v>
      </c>
      <c r="L14" s="146" t="s">
        <v>52</v>
      </c>
      <c r="M14" s="149">
        <f t="shared" si="0"/>
        <v>-701.18399999999997</v>
      </c>
      <c r="N14" s="88" t="str">
        <f>VLOOKUP(C14,'Trips&amp;Operators'!$C$1:$E$99999,3,FALSE)</f>
        <v>NEWELL</v>
      </c>
      <c r="O14" s="170" t="s">
        <v>86</v>
      </c>
      <c r="P14" s="10"/>
      <c r="Q14" s="33"/>
      <c r="R14" s="104" t="str">
        <f>VLOOKUP(C14,'Train Runs'!$A$13:$AE$10009,31,0)</f>
        <v>aws s3 cp s3://rtdc.mdm.uploadarchive.raw/RTDC4018/ "%USERPROFILE%\AppData\Local\Temp\OnboardLogs"\RTDC4018\2016-10-06 --exclude "*" --recursive --include "*20161006*" &amp; "%USERPROFILE%\Documents\GitHub\mrs-test-scripts\Headless Mode &amp; Sideloading\WalkAndUnGZ.bat" "%USERPROFILE%\AppData\Local\Temp\OnboardLogs"\RTDC4018\2016-10-06 &amp; 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</v>
      </c>
      <c r="S14" s="107" t="str">
        <f>VLOOKUP(C14,'Train Runs'!$A$13:$AE$10009,22,0)</f>
        <v>https://search-rtdc-monitor-bjffxe2xuh6vdkpspy63sjmuny.us-east-1.es.amazonaws.com/_plugin/kibana/#/discover/Steve-Slow-Train-Analysis-(2080s-and-2083s)?_g=(refreshInterval:(display:Off,section:0,value:0),time:(from:'2016-10-06 15:56:55-0600',mode:absolute,to:'2016-10-06 18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4" s="109" t="str">
        <f t="shared" si="1"/>
        <v>"C:\Program Files (x86)\AstroGrep\AstroGrep.exe" /spath="%USERPROFILE%\AppData\Local\Temp\OnboardLogs" /stypes="*4018*201610062*" /stext=" 23:.+((SYSTEM_STATE.+slice.+state.+changed )|(ment ac)|(system.+state.+changed )|(\[timeout)|(PRM\|1\|D)|(kpr)|(kdp)|(\|lc)|(penalty))" /e /r /s</v>
      </c>
      <c r="U14" s="9" t="str">
        <f t="shared" si="2"/>
        <v>4018</v>
      </c>
      <c r="V14" s="38">
        <f t="shared" si="3"/>
        <v>42649.958726851852</v>
      </c>
      <c r="W14" s="52" t="str">
        <f t="shared" si="4"/>
        <v>EC</v>
      </c>
      <c r="X14" s="52" t="str">
        <f t="shared" si="5"/>
        <v>KEEP</v>
      </c>
      <c r="Y14" s="130" t="str">
        <f t="shared" si="6"/>
        <v>echo {"issue":{"subject":"","project_id":79,"tracker_id":40,"status_id":1,"priority_id":2,"assigned_to_id":23,"start_date":"2016-10-06","description":"","custom_fields":[{"id":1,"name":"Subdivision","value":"EC"},{"id":4,"name":"Milepost","value":"0"},{"id":17,"name":"Train ID","value":"207-06"},{"id":16,"name":"Locomotive ID","value":"4018"},{"id":130,"name":"Impact","value":""},{"id":150,"name":"Time of Event (Mountain Time)","value":"17:00:34"},{"id":151,"name":"Denver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1" t="str">
        <f t="shared" si="7"/>
        <v>grep -hSE -A100 "Enforcement Action" "%USERPROFILE%\AppData\Local\Temp\OnboardLogs"\RTDC4018\*4018*201610062* | grep -SE "((Enforcement Ac)|(PRM))" -</v>
      </c>
    </row>
    <row r="15" spans="1:29" s="1" customFormat="1" x14ac:dyDescent="0.25">
      <c r="A15" s="38">
        <v>42649.761562500003</v>
      </c>
      <c r="B15" s="33" t="s">
        <v>288</v>
      </c>
      <c r="C15" s="33" t="s">
        <v>572</v>
      </c>
      <c r="D15" s="33" t="s">
        <v>105</v>
      </c>
      <c r="E15" s="33" t="s">
        <v>56</v>
      </c>
      <c r="F15" s="49">
        <v>150</v>
      </c>
      <c r="G15" s="49">
        <v>201</v>
      </c>
      <c r="H15" s="49">
        <v>3308</v>
      </c>
      <c r="I15" s="49">
        <v>3640</v>
      </c>
      <c r="J15" s="33" t="s">
        <v>57</v>
      </c>
      <c r="K15" s="49">
        <v>0</v>
      </c>
      <c r="L15" s="146" t="s">
        <v>52</v>
      </c>
      <c r="M15" s="149">
        <f t="shared" si="0"/>
        <v>-1921.92</v>
      </c>
      <c r="N15" s="88" t="str">
        <f>VLOOKUP(C15,'Trips&amp;Operators'!$C$1:$E$99999,3,FALSE)</f>
        <v>LEVIN</v>
      </c>
      <c r="O15" s="170" t="s">
        <v>86</v>
      </c>
      <c r="P15" s="10"/>
      <c r="Q15" s="33"/>
      <c r="R15" s="104" t="str">
        <f>VLOOKUP(C15,'Train Runs'!$A$13:$AE$10009,31,0)</f>
        <v>aws s3 cp s3://rtdc.mdm.uploadarchive.raw/RTDC4044/ "%USERPROFILE%\AppData\Local\Temp\OnboardLogs"\RTDC4044\2016-10-06 --exclude "*" --recursive --include "*20161006*" &amp; "%USERPROFILE%\Documents\GitHub\mrs-test-scripts\Headless Mode &amp; Sideloading\WalkAndUnGZ.bat" "%USERPROFILE%\AppData\Local\Temp\OnboardLogs"\RTDC4044\2016-10-06 &amp; aws s3 cp s3://rtdc.mdm.uploadarchive.raw/RTDC4044/ "%USERPROFILE%\AppData\Local\Temp\OnboardLogs"\RTDC4044\2016-10-07 --exclude "*" --recursive --include "*20161007*" &amp; "%USERPROFILE%\Documents\GitHub\mrs-test-scripts\Headless Mode &amp; Sideloading\WalkAndUnGZ.bat" "%USERPROFILE%\AppData\Local\Temp\OnboardLogs"\RTDC4044\2016-10-07</v>
      </c>
      <c r="S15" s="107" t="str">
        <f>VLOOKUP(C15,'Train Runs'!$A$13:$AE$10009,22,0)</f>
        <v>https://search-rtdc-monitor-bjffxe2xuh6vdkpspy63sjmuny.us-east-1.es.amazonaws.com/_plugin/kibana/#/discover/Steve-Slow-Train-Analysis-(2080s-and-2083s)?_g=(refreshInterval:(display:Off,section:0,value:0),time:(from:'2016-10-06 17:09:28-0600',mode:absolute,to:'2016-10-06 19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5" s="109" t="str">
        <f t="shared" si="1"/>
        <v>"C:\Program Files (x86)\AstroGrep\AstroGrep.exe" /spath="%USERPROFILE%\AppData\Local\Temp\OnboardLogs" /stypes="*4044*201610070*" /stext=" 00:.+((SYSTEM_STATE.+slice.+state.+changed )|(ment ac)|(system.+state.+changed )|(\[timeout)|(PRM\|1\|D)|(kpr)|(kdp)|(\|lc)|(penalty))" /e /r /s</v>
      </c>
      <c r="U15" s="9" t="str">
        <f t="shared" si="2"/>
        <v>4044</v>
      </c>
      <c r="V15" s="38">
        <f t="shared" si="3"/>
        <v>42650.011562500003</v>
      </c>
      <c r="W15" s="52" t="str">
        <f t="shared" si="4"/>
        <v>EC</v>
      </c>
      <c r="X15" s="52" t="str">
        <f t="shared" si="5"/>
        <v>KEEP</v>
      </c>
      <c r="Y15" s="130" t="str">
        <f t="shared" si="6"/>
        <v>echo {"issue":{"subject":"","project_id":79,"tracker_id":40,"status_id":1,"priority_id":2,"assigned_to_id":23,"start_date":"2016-10-06","description":"","custom_fields":[{"id":1,"name":"Subdivision","value":"EC"},{"id":4,"name":"Milepost","value":"0"},{"id":17,"name":"Train ID","value":"217-06"},{"id":16,"name":"Locomotive ID","value":"4044"},{"id":130,"name":"Impact","value":""},{"id":150,"name":"Time of Event (Mountain Time)","value":"18:16:39"},{"id":151,"name":"Denver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1" t="str">
        <f t="shared" si="7"/>
        <v>grep -hSE -A100 "Enforcement Action" "%USERPROFILE%\AppData\Local\Temp\OnboardLogs"\RTDC4044\*4044*201610070* | grep -SE "((Enforcement Ac)|(PRM))" -</v>
      </c>
    </row>
    <row r="16" spans="1:29" s="1" customFormat="1" x14ac:dyDescent="0.25">
      <c r="A16" s="38">
        <v>42649.295219907406</v>
      </c>
      <c r="B16" s="33" t="s">
        <v>417</v>
      </c>
      <c r="C16" s="33" t="s">
        <v>418</v>
      </c>
      <c r="D16" s="33" t="s">
        <v>105</v>
      </c>
      <c r="E16" s="33" t="s">
        <v>56</v>
      </c>
      <c r="F16" s="49">
        <v>150</v>
      </c>
      <c r="G16" s="49">
        <v>203</v>
      </c>
      <c r="H16" s="49">
        <v>3054</v>
      </c>
      <c r="I16" s="49">
        <v>2641</v>
      </c>
      <c r="J16" s="33" t="s">
        <v>57</v>
      </c>
      <c r="K16" s="49">
        <v>4677</v>
      </c>
      <c r="L16" s="146" t="s">
        <v>53</v>
      </c>
      <c r="M16" s="149">
        <f t="shared" si="0"/>
        <v>-1075.008</v>
      </c>
      <c r="N16" s="88" t="str">
        <f>VLOOKUP(C16,'Trips&amp;Operators'!$C$1:$E$99999,3,FALSE)</f>
        <v>BERLING</v>
      </c>
      <c r="O16" s="170" t="s">
        <v>86</v>
      </c>
      <c r="P16" s="10"/>
      <c r="Q16" s="33"/>
      <c r="R16" s="104" t="str">
        <f>VLOOKUP(C16,'Train Runs'!$A$13:$AE$10009,31,0)</f>
        <v>aws s3 cp s3://rtdc.mdm.uploadarchive.raw/RTDC4045/ "%USERPROFILE%\AppData\Local\Temp\OnboardLogs"\RTDC4045\2016-10-06 --exclude "*" --recursive --include "*20161006*" &amp; "%USERPROFILE%\Documents\GitHub\mrs-test-scripts\Headless Mode &amp; Sideloading\WalkAndUnGZ.bat" "%USERPROFILE%\AppData\Local\Temp\OnboardLogs"\RTDC4045\2016-10-06 &amp; 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</v>
      </c>
      <c r="S16" s="107" t="str">
        <f>VLOOKUP(C16,'Train Runs'!$A$13:$AE$10009,22,0)</f>
        <v>https://search-rtdc-monitor-bjffxe2xuh6vdkpspy63sjmuny.us-east-1.es.amazonaws.com/_plugin/kibana/#/discover/Steve-Slow-Train-Analysis-(2080s-and-2083s)?_g=(refreshInterval:(display:Off,section:0,value:0),time:(from:'2016-10-06 04:48:14-0600',mode:absolute,to:'2016-10-06 08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6" s="109" t="str">
        <f t="shared" si="1"/>
        <v>"C:\Program Files (x86)\AstroGrep\AstroGrep.exe" /spath="%USERPROFILE%\AppData\Local\Temp\OnboardLogs" /stypes="*4045*201610061*" /stext=" 13:.+((SYSTEM_STATE.+slice.+state.+changed )|(ment ac)|(system.+state.+changed )|(\[timeout)|(PRM\|1\|D)|(kpr)|(kdp)|(\|lc)|(penalty))" /e /r /s</v>
      </c>
      <c r="U16" s="9" t="str">
        <f t="shared" si="2"/>
        <v>4045</v>
      </c>
      <c r="V16" s="38">
        <f t="shared" si="3"/>
        <v>42649.545219907406</v>
      </c>
      <c r="W16" s="52" t="str">
        <f t="shared" si="4"/>
        <v>EC</v>
      </c>
      <c r="X16" s="52" t="str">
        <f t="shared" si="5"/>
        <v>KEEP</v>
      </c>
      <c r="Y16" s="130" t="str">
        <f t="shared" si="6"/>
        <v>echo {"issue":{"subject":"","project_id":79,"tracker_id":40,"status_id":1,"priority_id":2,"assigned_to_id":23,"start_date":"2016-10-06","description":"","custom_fields":[{"id":1,"name":"Subdivision","value":"EC"},{"id":4,"name":"Milepost","value":"0.4677"},{"id":17,"name":"Train ID","value":"112-06"},{"id":16,"name":"Locomotive ID","value":"4045"},{"id":130,"name":"Impact","value":""},{"id":150,"name":"Time of Event (Mountain Time)","value":"07:05:07"},{"id":151,"name":"Denver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1" t="str">
        <f t="shared" si="7"/>
        <v>grep -hSE -A100 "Enforcement Action" "%USERPROFILE%\AppData\Local\Temp\OnboardLogs"\RTDC4045\*4045*201610061* | grep -SE "((Enforcement Ac)|(PRM))" -</v>
      </c>
    </row>
    <row r="17" spans="1:29" s="1" customFormat="1" x14ac:dyDescent="0.25">
      <c r="A17" s="38">
        <v>42649.327986111108</v>
      </c>
      <c r="B17" s="33" t="s">
        <v>223</v>
      </c>
      <c r="C17" s="33" t="s">
        <v>433</v>
      </c>
      <c r="D17" s="33" t="s">
        <v>105</v>
      </c>
      <c r="E17" s="33" t="s">
        <v>56</v>
      </c>
      <c r="F17" s="49">
        <v>150</v>
      </c>
      <c r="G17" s="49">
        <v>201</v>
      </c>
      <c r="H17" s="49">
        <v>3688</v>
      </c>
      <c r="I17" s="49">
        <v>3411</v>
      </c>
      <c r="J17" s="33" t="s">
        <v>57</v>
      </c>
      <c r="K17" s="49">
        <v>4677</v>
      </c>
      <c r="L17" s="146" t="s">
        <v>53</v>
      </c>
      <c r="M17" s="149">
        <f t="shared" si="0"/>
        <v>-668.44799999999987</v>
      </c>
      <c r="N17" s="88" t="str">
        <f>VLOOKUP(C17,'Trips&amp;Operators'!$C$1:$E$99999,3,FALSE)</f>
        <v>STRICKLAND</v>
      </c>
      <c r="O17" s="170" t="s">
        <v>86</v>
      </c>
      <c r="P17" s="10"/>
      <c r="Q17" s="33"/>
      <c r="R17" s="104" t="str">
        <f>VLOOKUP(C17,'Train Runs'!$A$13:$AE$10009,31,0)</f>
        <v>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 &amp; 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</v>
      </c>
      <c r="S17" s="107" t="str">
        <f>VLOOKUP(C17,'Train Runs'!$A$13:$AE$10009,22,0)</f>
        <v>https://search-rtdc-monitor-bjffxe2xuh6vdkpspy63sjmuny.us-east-1.es.amazonaws.com/_plugin/kibana/#/discover/Steve-Slow-Train-Analysis-(2080s-and-2083s)?_g=(refreshInterval:(display:Off,section:0,value:0),time:(from:'2016-10-06 06:05:08-0600',mode:absolute,to:'2016-10-06 08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7" s="109" t="str">
        <f t="shared" si="1"/>
        <v>"C:\Program Files (x86)\AstroGrep\AstroGrep.exe" /spath="%USERPROFILE%\AppData\Local\Temp\OnboardLogs" /stypes="*4017*201610061*" /stext=" 13:.+((SYSTEM_STATE.+slice.+state.+changed )|(ment ac)|(system.+state.+changed )|(\[timeout)|(PRM\|1\|D)|(kpr)|(kdp)|(\|lc)|(penalty))" /e /r /s</v>
      </c>
      <c r="U17" s="9" t="str">
        <f t="shared" si="2"/>
        <v>4017</v>
      </c>
      <c r="V17" s="38">
        <f t="shared" si="3"/>
        <v>42649.577986111108</v>
      </c>
      <c r="W17" s="52" t="str">
        <f t="shared" si="4"/>
        <v>EC</v>
      </c>
      <c r="X17" s="52" t="str">
        <f t="shared" si="5"/>
        <v>KEEP</v>
      </c>
      <c r="Y17" s="130" t="str">
        <f t="shared" si="6"/>
        <v>echo {"issue":{"subject":"","project_id":79,"tracker_id":40,"status_id":1,"priority_id":2,"assigned_to_id":23,"start_date":"2016-10-06","description":"","custom_fields":[{"id":1,"name":"Subdivision","value":"EC"},{"id":4,"name":"Milepost","value":"0.4677"},{"id":17,"name":"Train ID","value":"122-06"},{"id":16,"name":"Locomotive ID","value":"4017"},{"id":130,"name":"Impact","value":""},{"id":150,"name":"Time of Event (Mountain Time)","value":"07:52:18"},{"id":151,"name":"Denver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1" t="str">
        <f t="shared" si="7"/>
        <v>grep -hSE -A100 "Enforcement Action" "%USERPROFILE%\AppData\Local\Temp\OnboardLogs"\RTDC4017\*4017*201610061* | grep -SE "((Enforcement Ac)|(PRM))" -</v>
      </c>
    </row>
    <row r="18" spans="1:29" s="1" customFormat="1" x14ac:dyDescent="0.25">
      <c r="A18" s="38">
        <v>42649.492418981485</v>
      </c>
      <c r="B18" s="33" t="s">
        <v>287</v>
      </c>
      <c r="C18" s="33" t="s">
        <v>485</v>
      </c>
      <c r="D18" s="33" t="s">
        <v>49</v>
      </c>
      <c r="E18" s="33" t="s">
        <v>56</v>
      </c>
      <c r="F18" s="49">
        <v>200</v>
      </c>
      <c r="G18" s="49">
        <v>257</v>
      </c>
      <c r="H18" s="49">
        <v>6043</v>
      </c>
      <c r="I18" s="49">
        <v>5578</v>
      </c>
      <c r="J18" s="33" t="s">
        <v>57</v>
      </c>
      <c r="K18" s="49">
        <v>5457</v>
      </c>
      <c r="L18" s="146" t="s">
        <v>53</v>
      </c>
      <c r="M18" s="149">
        <f t="shared" si="0"/>
        <v>63.887999999999998</v>
      </c>
      <c r="N18" s="88" t="str">
        <f>VLOOKUP(C18,'Trips&amp;Operators'!$C$1:$E$99999,3,FALSE)</f>
        <v>ROCHA</v>
      </c>
      <c r="O18" s="170" t="s">
        <v>86</v>
      </c>
      <c r="P18" s="10"/>
      <c r="Q18" s="33"/>
      <c r="R18" s="104" t="str">
        <f>VLOOKUP(C18,'Train Runs'!$A$13:$AE$10009,31,0)</f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S18" s="107" t="str">
        <f>VLOOKUP(C18,'Train Runs'!$A$13:$AE$10009,22,0)</f>
        <v>https://search-rtdc-monitor-bjffxe2xuh6vdkpspy63sjmuny.us-east-1.es.amazonaws.com/_plugin/kibana/#/discover/Steve-Slow-Train-Analysis-(2080s-and-2083s)?_g=(refreshInterval:(display:Off,section:0,value:0),time:(from:'2016-10-06 10:04:50-0600',mode:absolute,to:'2016-10-06 12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8" s="109" t="str">
        <f t="shared" si="1"/>
        <v>"C:\Program Files (x86)\AstroGrep\AstroGrep.exe" /spath="%USERPROFILE%\AppData\Local\Temp\OnboardLogs" /stypes="*4008*201610061*" /stext=" 17:.+((SYSTEM_STATE.+slice.+state.+changed )|(ment ac)|(system.+state.+changed )|(\[timeout)|(PRM\|1\|D)|(kpr)|(kdp)|(\|lc)|(penalty))" /e /r /s</v>
      </c>
      <c r="U18" s="9" t="str">
        <f t="shared" si="2"/>
        <v>4008</v>
      </c>
      <c r="V18" s="38">
        <f t="shared" si="3"/>
        <v>42649.742418981485</v>
      </c>
      <c r="W18" s="52" t="str">
        <f t="shared" si="4"/>
        <v>EC</v>
      </c>
      <c r="X18" s="52" t="str">
        <f t="shared" si="5"/>
        <v>KEEP</v>
      </c>
      <c r="Y18" s="130" t="str">
        <f t="shared" si="6"/>
        <v>echo {"issue":{"subject":"","project_id":79,"tracker_id":40,"status_id":1,"priority_id":2,"assigned_to_id":23,"start_date":"2016-10-06","description":"","custom_fields":[{"id":1,"name":"Subdivision","value":"EC"},{"id":4,"name":"Milepost","value":"0.5457"},{"id":17,"name":"Train ID","value":"154-06"},{"id":16,"name":"Locomotive ID","value":"4008"},{"id":130,"name":"Impact","value":""},{"id":150,"name":"Time of Event (Mountain Time)","value":"11:49:05"},{"id":151,"name":"Denver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1" t="str">
        <f t="shared" si="7"/>
        <v>grep -hSE -A100 "Enforcement Action" "%USERPROFILE%\AppData\Local\Temp\OnboardLogs"\RTDC4008\*4008*201610061* | grep -SE "((Enforcement Ac)|(PRM))" -</v>
      </c>
    </row>
    <row r="19" spans="1:29" s="1" customFormat="1" x14ac:dyDescent="0.25">
      <c r="A19" s="38">
        <v>42649.224618055552</v>
      </c>
      <c r="B19" s="33" t="s">
        <v>391</v>
      </c>
      <c r="C19" s="33" t="s">
        <v>402</v>
      </c>
      <c r="D19" s="33" t="s">
        <v>49</v>
      </c>
      <c r="E19" s="33" t="s">
        <v>56</v>
      </c>
      <c r="F19" s="49">
        <v>300</v>
      </c>
      <c r="G19" s="49">
        <v>395</v>
      </c>
      <c r="H19" s="49">
        <v>23189</v>
      </c>
      <c r="I19" s="49">
        <v>21959</v>
      </c>
      <c r="J19" s="33" t="s">
        <v>57</v>
      </c>
      <c r="K19" s="49">
        <v>21848</v>
      </c>
      <c r="L19" s="146" t="s">
        <v>53</v>
      </c>
      <c r="M19" s="149">
        <f t="shared" si="0"/>
        <v>58.607999999999997</v>
      </c>
      <c r="N19" s="88" t="str">
        <f>VLOOKUP(C19,'Trips&amp;Operators'!$C$1:$E$99999,3,FALSE)</f>
        <v>OUN</v>
      </c>
      <c r="O19" s="170" t="s">
        <v>86</v>
      </c>
      <c r="P19" s="10"/>
      <c r="Q19" s="33"/>
      <c r="R19" s="104" t="str">
        <f>VLOOKUP(C19,'Train Runs'!$A$13:$AE$10009,31,0)</f>
        <v>aws s3 cp s3://rtdc.mdm.uploadarchive.raw/RTDC4043/ "%USERPROFILE%\AppData\Local\Temp\OnboardLogs"\RTDC4043\2016-10-06 --exclude "*" --recursive --include "*20161006*" &amp; "%USERPROFILE%\Documents\GitHub\mrs-test-scripts\Headless Mode &amp; Sideloading\WalkAndUnGZ.bat" "%USERPROFILE%\AppData\Local\Temp\OnboardLogs"\RTDC4043\2016-10-06 &amp; aws s3 cp s3://rtdc.mdm.uploadarchive.raw/RTDC4043/ "%USERPROFILE%\AppData\Local\Temp\OnboardLogs"\RTDC4043\2016-10-07 --exclude "*" --recursive --include "*20161007*" &amp; "%USERPROFILE%\Documents\GitHub\mrs-test-scripts\Headless Mode &amp; Sideloading\WalkAndUnGZ.bat" "%USERPROFILE%\AppData\Local\Temp\OnboardLogs"\RTDC4043\2016-10-07</v>
      </c>
      <c r="S19" s="107" t="str">
        <f>VLOOKUP(C19,'Train Runs'!$A$13:$AE$10009,22,0)</f>
        <v>https://search-rtdc-monitor-bjffxe2xuh6vdkpspy63sjmuny.us-east-1.es.amazonaws.com/_plugin/kibana/#/discover/Steve-Slow-Train-Analysis-(2080s-and-2083s)?_g=(refreshInterval:(display:Off,section:0,value:0),time:(from:'2016-10-06 03:33:00-0600',mode:absolute,to:'2016-10-06 06:12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9" s="109" t="str">
        <f t="shared" si="1"/>
        <v>"C:\Program Files (x86)\AstroGrep\AstroGrep.exe" /spath="%USERPROFILE%\AppData\Local\Temp\OnboardLogs" /stypes="*4043*201610061*" /stext=" 11:.+((SYSTEM_STATE.+slice.+state.+changed )|(ment ac)|(system.+state.+changed )|(\[timeout)|(PRM\|1\|D)|(kpr)|(kdp)|(\|lc)|(penalty))" /e /r /s</v>
      </c>
      <c r="U19" s="9" t="str">
        <f t="shared" si="2"/>
        <v>4043</v>
      </c>
      <c r="V19" s="38">
        <f t="shared" si="3"/>
        <v>42649.474618055552</v>
      </c>
      <c r="W19" s="52" t="str">
        <f t="shared" si="4"/>
        <v>EC</v>
      </c>
      <c r="X19" s="52" t="str">
        <f t="shared" si="5"/>
        <v>KEEP</v>
      </c>
      <c r="Y19" s="130" t="str">
        <f t="shared" si="6"/>
        <v>echo {"issue":{"subject":"","project_id":79,"tracker_id":40,"status_id":1,"priority_id":2,"assigned_to_id":23,"start_date":"2016-10-06","description":"","custom_fields":[{"id":1,"name":"Subdivision","value":"EC"},{"id":4,"name":"Milepost","value":"2.1848"},{"id":17,"name":"Train ID","value":"104-06"},{"id":16,"name":"Locomotive ID","value":"4043"},{"id":130,"name":"Impact","value":""},{"id":150,"name":"Time of Event (Mountain Time)","value":"05:23:27"},{"id":151,"name":"Denver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1" t="str">
        <f t="shared" si="7"/>
        <v>grep -hSE -A100 "Enforcement Action" "%USERPROFILE%\AppData\Local\Temp\OnboardLogs"\RTDC4043\*4043*201610061* | grep -SE "((Enforcement Ac)|(PRM))" -</v>
      </c>
    </row>
    <row r="20" spans="1:29" x14ac:dyDescent="0.25">
      <c r="A20" s="38">
        <v>42649.588020833333</v>
      </c>
      <c r="B20" s="33" t="s">
        <v>247</v>
      </c>
      <c r="C20" s="33" t="s">
        <v>511</v>
      </c>
      <c r="D20" s="33" t="s">
        <v>49</v>
      </c>
      <c r="E20" s="33" t="s">
        <v>56</v>
      </c>
      <c r="F20" s="49">
        <v>300</v>
      </c>
      <c r="G20" s="49">
        <v>391</v>
      </c>
      <c r="H20" s="49">
        <v>23010</v>
      </c>
      <c r="I20" s="49">
        <v>21913</v>
      </c>
      <c r="J20" s="33" t="s">
        <v>57</v>
      </c>
      <c r="K20" s="49">
        <v>21848</v>
      </c>
      <c r="L20" s="146" t="s">
        <v>53</v>
      </c>
      <c r="M20" s="149">
        <f t="shared" si="0"/>
        <v>34.32</v>
      </c>
      <c r="N20" s="88" t="str">
        <f>VLOOKUP(C20,'Trips&amp;Operators'!$C$1:$E$99999,3,FALSE)</f>
        <v>STORY</v>
      </c>
      <c r="O20" s="170" t="s">
        <v>86</v>
      </c>
      <c r="P20" s="10"/>
      <c r="Q20" s="33"/>
      <c r="R20" s="104" t="str">
        <f>VLOOKUP(C20,'Train Runs'!$A$13:$AE$10009,31,0)</f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S20" s="107" t="str">
        <f>VLOOKUP(C20,'Train Runs'!$A$13:$AE$10009,22,0)</f>
        <v>https://search-rtdc-monitor-bjffxe2xuh6vdkpspy63sjmuny.us-east-1.es.amazonaws.com/_plugin/kibana/#/discover/Steve-Slow-Train-Analysis-(2080s-and-2083s)?_g=(refreshInterval:(display:Off,section:0,value:0),time:(from:'2016-10-06 12:19:14-0600',mode:absolute,to:'2016-10-06 14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0" s="109" t="str">
        <f t="shared" si="1"/>
        <v>"C:\Program Files (x86)\AstroGrep\AstroGrep.exe" /spath="%USERPROFILE%\AppData\Local\Temp\OnboardLogs" /stypes="*4032*201610062*" /stext=" 20:.+((SYSTEM_STATE.+slice.+state.+changed )|(ment ac)|(system.+state.+changed )|(\[timeout)|(PRM\|1\|D)|(kpr)|(kdp)|(\|lc)|(penalty))" /e /r /s</v>
      </c>
      <c r="U20" s="9" t="str">
        <f t="shared" si="2"/>
        <v>4032</v>
      </c>
      <c r="V20" s="38">
        <f t="shared" si="3"/>
        <v>42649.838020833333</v>
      </c>
      <c r="W20" s="52" t="str">
        <f t="shared" si="4"/>
        <v>EC</v>
      </c>
      <c r="X20" s="52" t="str">
        <f t="shared" si="5"/>
        <v>KEEP</v>
      </c>
      <c r="Y20" s="130" t="str">
        <f t="shared" si="6"/>
        <v>echo {"issue":{"subject":"","project_id":79,"tracker_id":40,"status_id":1,"priority_id":2,"assigned_to_id":23,"start_date":"2016-10-06","description":"","custom_fields":[{"id":1,"name":"Subdivision","value":"EC"},{"id":4,"name":"Milepost","value":"2.1848"},{"id":17,"name":"Train ID","value":"172-06"},{"id":16,"name":"Locomotive ID","value":"4032"},{"id":130,"name":"Impact","value":""},{"id":150,"name":"Time of Event (Mountain Time)","value":"14:06:45"},{"id":151,"name":"Denver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1" t="str">
        <f t="shared" si="7"/>
        <v>grep -hSE -A100 "Enforcement Action" "%USERPROFILE%\AppData\Local\Temp\OnboardLogs"\RTDC4032\*4032*201610062* | grep -SE "((Enforcement Ac)|(PRM))" -</v>
      </c>
    </row>
    <row r="21" spans="1:29" s="1" customFormat="1" x14ac:dyDescent="0.25">
      <c r="A21" s="38">
        <v>42649.488263888888</v>
      </c>
      <c r="B21" s="33" t="s">
        <v>287</v>
      </c>
      <c r="C21" s="33" t="s">
        <v>485</v>
      </c>
      <c r="D21" s="33" t="s">
        <v>105</v>
      </c>
      <c r="E21" s="33" t="s">
        <v>56</v>
      </c>
      <c r="F21" s="49">
        <v>200</v>
      </c>
      <c r="G21" s="49">
        <v>250</v>
      </c>
      <c r="H21" s="49">
        <v>29949</v>
      </c>
      <c r="I21" s="49">
        <v>29234</v>
      </c>
      <c r="J21" s="33" t="s">
        <v>57</v>
      </c>
      <c r="K21" s="49">
        <v>30562</v>
      </c>
      <c r="L21" s="146" t="s">
        <v>53</v>
      </c>
      <c r="M21" s="149">
        <f t="shared" si="0"/>
        <v>-701.18399999999997</v>
      </c>
      <c r="N21" s="88" t="str">
        <f>VLOOKUP(C21,'Trips&amp;Operators'!$C$1:$E$99999,3,FALSE)</f>
        <v>ROCHA</v>
      </c>
      <c r="O21" s="170" t="s">
        <v>86</v>
      </c>
      <c r="P21" s="10"/>
      <c r="Q21" s="33"/>
      <c r="R21" s="104" t="str">
        <f>VLOOKUP(C21,'Train Runs'!$A$13:$AE$10009,31,0)</f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S21" s="107" t="str">
        <f>VLOOKUP(C21,'Train Runs'!$A$13:$AE$10009,22,0)</f>
        <v>https://search-rtdc-monitor-bjffxe2xuh6vdkpspy63sjmuny.us-east-1.es.amazonaws.com/_plugin/kibana/#/discover/Steve-Slow-Train-Analysis-(2080s-and-2083s)?_g=(refreshInterval:(display:Off,section:0,value:0),time:(from:'2016-10-06 10:04:50-0600',mode:absolute,to:'2016-10-06 12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1" s="109" t="str">
        <f t="shared" si="1"/>
        <v>"C:\Program Files (x86)\AstroGrep\AstroGrep.exe" /spath="%USERPROFILE%\AppData\Local\Temp\OnboardLogs" /stypes="*4008*201610061*" /stext=" 17:.+((SYSTEM_STATE.+slice.+state.+changed )|(ment ac)|(system.+state.+changed )|(\[timeout)|(PRM\|1\|D)|(kpr)|(kdp)|(\|lc)|(penalty))" /e /r /s</v>
      </c>
      <c r="U21" s="9" t="str">
        <f t="shared" si="2"/>
        <v>4008</v>
      </c>
      <c r="V21" s="38">
        <f t="shared" si="3"/>
        <v>42649.738263888888</v>
      </c>
      <c r="W21" s="52" t="str">
        <f t="shared" si="4"/>
        <v>EC</v>
      </c>
      <c r="X21" s="52" t="str">
        <f t="shared" si="5"/>
        <v>KEEP</v>
      </c>
      <c r="Y21" s="130" t="str">
        <f t="shared" si="6"/>
        <v>echo {"issue":{"subject":"","project_id":79,"tracker_id":40,"status_id":1,"priority_id":2,"assigned_to_id":23,"start_date":"2016-10-06","description":"","custom_fields":[{"id":1,"name":"Subdivision","value":"EC"},{"id":4,"name":"Milepost","value":"3.0562"},{"id":17,"name":"Train ID","value":"154-06"},{"id":16,"name":"Locomotive ID","value":"4008"},{"id":130,"name":"Impact","value":""},{"id":150,"name":"Time of Event (Mountain Time)","value":"11:43:06"},{"id":151,"name":"Denver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1" t="str">
        <f t="shared" si="7"/>
        <v>grep -hSE -A100 "Enforcement Action" "%USERPROFILE%\AppData\Local\Temp\OnboardLogs"\RTDC4008\*4008*201610061* | grep -SE "((Enforcement Ac)|(PRM))" -</v>
      </c>
    </row>
    <row r="22" spans="1:29" x14ac:dyDescent="0.25">
      <c r="A22" s="38">
        <v>42649.780775462961</v>
      </c>
      <c r="B22" s="33" t="s">
        <v>417</v>
      </c>
      <c r="C22" s="33" t="s">
        <v>575</v>
      </c>
      <c r="D22" s="33" t="s">
        <v>49</v>
      </c>
      <c r="E22" s="33" t="s">
        <v>56</v>
      </c>
      <c r="F22" s="49">
        <v>400</v>
      </c>
      <c r="G22" s="49">
        <v>530</v>
      </c>
      <c r="H22" s="49">
        <v>121594</v>
      </c>
      <c r="I22" s="49">
        <v>119988</v>
      </c>
      <c r="J22" s="33" t="s">
        <v>57</v>
      </c>
      <c r="K22" s="49">
        <v>119716</v>
      </c>
      <c r="L22" s="146" t="s">
        <v>53</v>
      </c>
      <c r="M22" s="149">
        <f t="shared" si="0"/>
        <v>143.61600000000001</v>
      </c>
      <c r="N22" s="88" t="str">
        <f>VLOOKUP(C22,'Trips&amp;Operators'!$C$1:$E$99999,3,FALSE)</f>
        <v>HILLS</v>
      </c>
      <c r="O22" s="170" t="s">
        <v>86</v>
      </c>
      <c r="P22" s="10"/>
      <c r="Q22" s="33"/>
      <c r="R22" s="104" t="str">
        <f>VLOOKUP(C22,'Train Runs'!$A$13:$AE$10009,31,0)</f>
        <v>aws s3 cp s3://rtdc.mdm.uploadarchive.raw/RTDC4045/ "%USERPROFILE%\AppData\Local\Temp\OnboardLogs"\RTDC4045\2016-10-06 --exclude "*" --recursive --include "*20161006*" &amp; "%USERPROFILE%\Documents\GitHub\mrs-test-scripts\Headless Mode &amp; Sideloading\WalkAndUnGZ.bat" "%USERPROFILE%\AppData\Local\Temp\OnboardLogs"\RTDC4045\2016-10-06 &amp; 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</v>
      </c>
      <c r="S22" s="107" t="str">
        <f>VLOOKUP(C22,'Train Runs'!$A$13:$AE$10009,22,0)</f>
        <v>https://search-rtdc-monitor-bjffxe2xuh6vdkpspy63sjmuny.us-east-1.es.amazonaws.com/_plugin/kibana/#/discover/Steve-Slow-Train-Analysis-(2080s-and-2083s)?_g=(refreshInterval:(display:Off,section:0,value:0),time:(from:'2016-10-06 17:17:30-0600',mode:absolute,to:'2016-10-06 20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2" s="109" t="str">
        <f t="shared" si="1"/>
        <v>"C:\Program Files (x86)\AstroGrep\AstroGrep.exe" /spath="%USERPROFILE%\AppData\Local\Temp\OnboardLogs" /stypes="*4045*201610070*" /stext=" 00:.+((SYSTEM_STATE.+slice.+state.+changed )|(ment ac)|(system.+state.+changed )|(\[timeout)|(PRM\|1\|D)|(kpr)|(kdp)|(\|lc)|(penalty))" /e /r /s</v>
      </c>
      <c r="U22" s="9" t="str">
        <f t="shared" si="2"/>
        <v>4045</v>
      </c>
      <c r="V22" s="38">
        <f t="shared" si="3"/>
        <v>42650.030775462961</v>
      </c>
      <c r="W22" s="52" t="str">
        <f t="shared" si="4"/>
        <v>EC</v>
      </c>
      <c r="X22" s="52" t="str">
        <f t="shared" si="5"/>
        <v>KEEP</v>
      </c>
      <c r="Y22" s="130" t="str">
        <f t="shared" si="6"/>
        <v>echo {"issue":{"subject":"","project_id":79,"tracker_id":40,"status_id":1,"priority_id":2,"assigned_to_id":23,"start_date":"2016-10-06","description":"","custom_fields":[{"id":1,"name":"Subdivision","value":"EC"},{"id":4,"name":"Milepost","value":"11.9716"},{"id":17,"name":"Train ID","value":"212-06"},{"id":16,"name":"Locomotive ID","value":"4045"},{"id":130,"name":"Impact","value":""},{"id":150,"name":"Time of Event (Mountain Time)","value":"18:44:19"},{"id":151,"name":"Denver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1" t="str">
        <f t="shared" si="7"/>
        <v>grep -hSE -A100 "Enforcement Action" "%USERPROFILE%\AppData\Local\Temp\OnboardLogs"\RTDC4045\*4045*201610070* | grep -SE "((Enforcement Ac)|(PRM))" -</v>
      </c>
    </row>
    <row r="23" spans="1:29" x14ac:dyDescent="0.25">
      <c r="A23" s="38">
        <v>42649.471550925926</v>
      </c>
      <c r="B23" s="33" t="s">
        <v>287</v>
      </c>
      <c r="C23" s="33" t="s">
        <v>485</v>
      </c>
      <c r="D23" s="33" t="s">
        <v>105</v>
      </c>
      <c r="E23" s="33" t="s">
        <v>56</v>
      </c>
      <c r="F23" s="49">
        <v>700</v>
      </c>
      <c r="G23" s="49">
        <v>750</v>
      </c>
      <c r="H23" s="49">
        <v>177769</v>
      </c>
      <c r="I23" s="49">
        <v>174043</v>
      </c>
      <c r="J23" s="33" t="s">
        <v>57</v>
      </c>
      <c r="K23" s="49">
        <v>183829</v>
      </c>
      <c r="L23" s="146" t="s">
        <v>53</v>
      </c>
      <c r="M23" s="149">
        <f t="shared" si="0"/>
        <v>-5167.0079999999998</v>
      </c>
      <c r="N23" s="88" t="str">
        <f>VLOOKUP(C23,'Trips&amp;Operators'!$C$1:$E$99999,3,FALSE)</f>
        <v>ROCHA</v>
      </c>
      <c r="O23" s="170" t="s">
        <v>86</v>
      </c>
      <c r="P23" s="10"/>
      <c r="Q23" s="33"/>
      <c r="R23" s="104" t="str">
        <f>VLOOKUP(C23,'Train Runs'!$A$13:$AE$10009,31,0)</f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S23" s="107" t="str">
        <f>VLOOKUP(C23,'Train Runs'!$A$13:$AE$10009,22,0)</f>
        <v>https://search-rtdc-monitor-bjffxe2xuh6vdkpspy63sjmuny.us-east-1.es.amazonaws.com/_plugin/kibana/#/discover/Steve-Slow-Train-Analysis-(2080s-and-2083s)?_g=(refreshInterval:(display:Off,section:0,value:0),time:(from:'2016-10-06 10:04:50-0600',mode:absolute,to:'2016-10-06 12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3" s="109" t="str">
        <f t="shared" si="1"/>
        <v>"C:\Program Files (x86)\AstroGrep\AstroGrep.exe" /spath="%USERPROFILE%\AppData\Local\Temp\OnboardLogs" /stypes="*4008*201610061*" /stext=" 17:.+((SYSTEM_STATE.+slice.+state.+changed )|(ment ac)|(system.+state.+changed )|(\[timeout)|(PRM\|1\|D)|(kpr)|(kdp)|(\|lc)|(penalty))" /e /r /s</v>
      </c>
      <c r="U23" s="9" t="str">
        <f t="shared" si="2"/>
        <v>4008</v>
      </c>
      <c r="V23" s="38">
        <f t="shared" si="3"/>
        <v>42649.721550925926</v>
      </c>
      <c r="W23" s="52" t="str">
        <f t="shared" si="4"/>
        <v>EC</v>
      </c>
      <c r="X23" s="52" t="str">
        <f t="shared" si="5"/>
        <v>KEEP</v>
      </c>
      <c r="Y23" s="130" t="str">
        <f t="shared" si="6"/>
        <v>echo {"issue":{"subject":"","project_id":79,"tracker_id":40,"status_id":1,"priority_id":2,"assigned_to_id":23,"start_date":"2016-10-06","description":"","custom_fields":[{"id":1,"name":"Subdivision","value":"EC"},{"id":4,"name":"Milepost","value":"18.3829"},{"id":17,"name":"Train ID","value":"154-06"},{"id":16,"name":"Locomotive ID","value":"4008"},{"id":130,"name":"Impact","value":""},{"id":150,"name":"Time of Event (Mountain Time)","value":"11:19:02"},{"id":151,"name":"Denver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1" t="str">
        <f t="shared" si="7"/>
        <v>grep -hSE -A100 "Enforcement Action" "%USERPROFILE%\AppData\Local\Temp\OnboardLogs"\RTDC4008\*4008*201610061* | grep -SE "((Enforcement Ac)|(PRM))" -</v>
      </c>
    </row>
    <row r="24" spans="1:29" x14ac:dyDescent="0.25">
      <c r="A24" s="38">
        <v>42649.957592592589</v>
      </c>
      <c r="B24" s="33" t="s">
        <v>391</v>
      </c>
      <c r="C24" s="33" t="s">
        <v>609</v>
      </c>
      <c r="D24" s="33" t="s">
        <v>105</v>
      </c>
      <c r="E24" s="33" t="s">
        <v>56</v>
      </c>
      <c r="F24" s="49">
        <v>600</v>
      </c>
      <c r="G24" s="49">
        <v>652</v>
      </c>
      <c r="H24" s="49">
        <v>183788</v>
      </c>
      <c r="I24" s="49">
        <v>180639</v>
      </c>
      <c r="J24" s="33" t="s">
        <v>57</v>
      </c>
      <c r="K24" s="49">
        <v>190834</v>
      </c>
      <c r="L24" s="146" t="s">
        <v>53</v>
      </c>
      <c r="M24" s="149">
        <f t="shared" si="0"/>
        <v>-5382.9600000000009</v>
      </c>
      <c r="N24" s="88" t="str">
        <f>VLOOKUP(C24,'Trips&amp;Operators'!$C$1:$E$99999,3,FALSE)</f>
        <v>LEVIN</v>
      </c>
      <c r="O24" s="170" t="s">
        <v>86</v>
      </c>
      <c r="P24" s="10"/>
      <c r="Q24" s="33"/>
      <c r="R24" s="104" t="str">
        <f>VLOOKUP(C24,'Train Runs'!$A$13:$AE$10009,31,0)</f>
        <v>aws s3 cp s3://rtdc.mdm.uploadarchive.raw/RTDC4043/ "%USERPROFILE%\AppData\Local\Temp\OnboardLogs"\RTDC4043\2016-10-06 --exclude "*" --recursive --include "*20161006*" &amp; "%USERPROFILE%\Documents\GitHub\mrs-test-scripts\Headless Mode &amp; Sideloading\WalkAndUnGZ.bat" "%USERPROFILE%\AppData\Local\Temp\OnboardLogs"\RTDC4043\2016-10-06 &amp; aws s3 cp s3://rtdc.mdm.uploadarchive.raw/RTDC4043/ "%USERPROFILE%\AppData\Local\Temp\OnboardLogs"\RTDC4043\2016-10-07 --exclude "*" --recursive --include "*20161007*" &amp; "%USERPROFILE%\Documents\GitHub\mrs-test-scripts\Headless Mode &amp; Sideloading\WalkAndUnGZ.bat" "%USERPROFILE%\AppData\Local\Temp\OnboardLogs"\RTDC4043\2016-10-07</v>
      </c>
      <c r="S24" s="107" t="str">
        <f>VLOOKUP(C24,'Train Runs'!$A$13:$AE$10009,22,0)</f>
        <v>https://search-rtdc-monitor-bjffxe2xuh6vdkpspy63sjmuny.us-east-1.es.amazonaws.com/_plugin/kibana/#/discover/Steve-Slow-Train-Analysis-(2080s-and-2083s)?_g=(refreshInterval:(display:Off,section:0,value:0),time:(from:'2016-10-06 21:49:45-0600',mode:absolute,to:'2016-10-07 00:31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4" s="109" t="str">
        <f t="shared" si="1"/>
        <v>"C:\Program Files (x86)\AstroGrep\AstroGrep.exe" /spath="%USERPROFILE%\AppData\Local\Temp\OnboardLogs" /stypes="*4043*201610070*" /stext=" 04:.+((SYSTEM_STATE.+slice.+state.+changed )|(ment ac)|(system.+state.+changed )|(\[timeout)|(PRM\|1\|D)|(kpr)|(kdp)|(\|lc)|(penalty))" /e /r /s</v>
      </c>
      <c r="U24" s="9" t="str">
        <f t="shared" si="2"/>
        <v>4043</v>
      </c>
      <c r="V24" s="38">
        <f t="shared" si="3"/>
        <v>42650.207592592589</v>
      </c>
      <c r="W24" s="52" t="str">
        <f t="shared" si="4"/>
        <v>EC</v>
      </c>
      <c r="X24" s="52" t="str">
        <f t="shared" si="5"/>
        <v>KEEP</v>
      </c>
      <c r="Y24" s="130" t="str">
        <f t="shared" si="6"/>
        <v>echo {"issue":{"subject":"","project_id":79,"tracker_id":40,"status_id":1,"priority_id":2,"assigned_to_id":23,"start_date":"2016-10-06","description":"","custom_fields":[{"id":1,"name":"Subdivision","value":"EC"},{"id":4,"name":"Milepost","value":"19.0834"},{"id":17,"name":"Train ID","value":"234-06"},{"id":16,"name":"Locomotive ID","value":"4043"},{"id":130,"name":"Impact","value":""},{"id":150,"name":"Time of Event (Mountain Time)","value":"22:58:56"},{"id":151,"name":"Denver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1" t="str">
        <f t="shared" si="7"/>
        <v>grep -hSE -A100 "Enforcement Action" "%USERPROFILE%\AppData\Local\Temp\OnboardLogs"\RTDC4043\*4043*201610070* | grep -SE "((Enforcement Ac)|(PRM))" -</v>
      </c>
    </row>
    <row r="25" spans="1:29" ht="15" customHeight="1" x14ac:dyDescent="0.25">
      <c r="A25" s="38">
        <v>42649.45175925926</v>
      </c>
      <c r="B25" s="33" t="s">
        <v>290</v>
      </c>
      <c r="C25" s="33" t="s">
        <v>471</v>
      </c>
      <c r="D25" s="33" t="s">
        <v>49</v>
      </c>
      <c r="E25" s="33" t="s">
        <v>56</v>
      </c>
      <c r="F25" s="49">
        <v>350</v>
      </c>
      <c r="G25" s="49">
        <v>531</v>
      </c>
      <c r="H25" s="49">
        <v>222833</v>
      </c>
      <c r="I25" s="49">
        <v>224469</v>
      </c>
      <c r="J25" s="33" t="s">
        <v>57</v>
      </c>
      <c r="K25" s="49">
        <v>224578</v>
      </c>
      <c r="L25" s="146" t="s">
        <v>52</v>
      </c>
      <c r="M25" s="149">
        <f t="shared" si="0"/>
        <v>57.552</v>
      </c>
      <c r="N25" s="88" t="str">
        <f>VLOOKUP(C25,'Trips&amp;Operators'!$C$1:$E$99999,3,FALSE)</f>
        <v>ROCHA</v>
      </c>
      <c r="O25" s="170" t="s">
        <v>86</v>
      </c>
      <c r="P25" s="10"/>
      <c r="Q25" s="33"/>
      <c r="R25" s="104" t="str">
        <f>VLOOKUP(C25,'Train Runs'!$A$13:$AE$10009,31,0)</f>
        <v>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 &amp; 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</v>
      </c>
      <c r="S25" s="107" t="str">
        <f>VLOOKUP(C25,'Train Runs'!$A$13:$AE$10009,22,0)</f>
        <v>https://search-rtdc-monitor-bjffxe2xuh6vdkpspy63sjmuny.us-east-1.es.amazonaws.com/_plugin/kibana/#/discover/Steve-Slow-Train-Analysis-(2080s-and-2083s)?_g=(refreshInterval:(display:Off,section:0,value:0),time:(from:'2016-10-06 09:13:07-0600',mode:absolute,to:'2016-10-06 11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5" s="109" t="str">
        <f t="shared" si="1"/>
        <v>"C:\Program Files (x86)\AstroGrep\AstroGrep.exe" /spath="%USERPROFILE%\AppData\Local\Temp\OnboardLogs" /stypes="*4007*201610061*" /stext=" 16:.+((SYSTEM_STATE.+slice.+state.+changed )|(ment ac)|(system.+state.+changed )|(\[timeout)|(PRM\|1\|D)|(kpr)|(kdp)|(\|lc)|(penalty))" /e /r /s</v>
      </c>
      <c r="U25" s="9" t="str">
        <f t="shared" si="2"/>
        <v>4007</v>
      </c>
      <c r="V25" s="38">
        <f t="shared" si="3"/>
        <v>42649.70175925926</v>
      </c>
      <c r="W25" s="52" t="str">
        <f t="shared" si="4"/>
        <v>EC</v>
      </c>
      <c r="X25" s="52" t="str">
        <f t="shared" si="5"/>
        <v>KEEP</v>
      </c>
      <c r="Y25" s="130" t="str">
        <f t="shared" si="6"/>
        <v>echo {"issue":{"subject":"","project_id":79,"tracker_id":40,"status_id":1,"priority_id":2,"assigned_to_id":23,"start_date":"2016-10-06","description":"","custom_fields":[{"id":1,"name":"Subdivision","value":"EC"},{"id":4,"name":"Milepost","value":"22.4578"},{"id":17,"name":"Train ID","value":"153-06"},{"id":16,"name":"Locomotive ID","value":"4007"},{"id":130,"name":"Impact","value":""},{"id":150,"name":"Time of Event (Mountain Time)","value":"10:50:32"},{"id":151,"name":"Denver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1" t="str">
        <f t="shared" si="7"/>
        <v>grep -hSE -A100 "Enforcement Action" "%USERPROFILE%\AppData\Local\Temp\OnboardLogs"\RTDC4007\*4007*201610061* | grep -SE "((Enforcement Ac)|(PRM))" -</v>
      </c>
    </row>
    <row r="26" spans="1:29" x14ac:dyDescent="0.25">
      <c r="A26" s="38">
        <v>42649.754618055558</v>
      </c>
      <c r="B26" s="33" t="s">
        <v>389</v>
      </c>
      <c r="C26" s="33" t="s">
        <v>561</v>
      </c>
      <c r="D26" s="33" t="s">
        <v>49</v>
      </c>
      <c r="E26" s="33" t="s">
        <v>56</v>
      </c>
      <c r="F26" s="49">
        <v>150</v>
      </c>
      <c r="G26" s="49">
        <v>296</v>
      </c>
      <c r="H26" s="49">
        <v>229445</v>
      </c>
      <c r="I26" s="49">
        <v>229940</v>
      </c>
      <c r="J26" s="33" t="s">
        <v>57</v>
      </c>
      <c r="K26" s="49">
        <v>230436</v>
      </c>
      <c r="L26" s="146" t="s">
        <v>52</v>
      </c>
      <c r="M26" s="149">
        <f t="shared" si="0"/>
        <v>261.88799999999998</v>
      </c>
      <c r="N26" s="88" t="str">
        <f>VLOOKUP(C26,'Trips&amp;Operators'!$C$1:$E$99999,3,FALSE)</f>
        <v>HILLS</v>
      </c>
      <c r="O26" s="170" t="s">
        <v>86</v>
      </c>
      <c r="P26" s="10"/>
      <c r="Q26" s="33"/>
      <c r="R26" s="104" t="str">
        <f>VLOOKUP(C26,'Train Runs'!$A$13:$AE$10009,31,0)</f>
        <v>aws s3 cp s3://rtdc.mdm.uploadarchive.raw/RTDC4046/ "%USERPROFILE%\AppData\Local\Temp\OnboardLogs"\RTDC4046\2016-10-06 --exclude "*" --recursive --include "*20161006*" &amp; "%USERPROFILE%\Documents\GitHub\mrs-test-scripts\Headless Mode &amp; Sideloading\WalkAndUnGZ.bat" "%USERPROFILE%\AppData\Local\Temp\OnboardLogs"\RTDC4046\2016-10-06 &amp; 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</v>
      </c>
      <c r="S26" s="107" t="str">
        <f>VLOOKUP(C26,'Train Runs'!$A$13:$AE$10009,22,0)</f>
        <v>https://search-rtdc-monitor-bjffxe2xuh6vdkpspy63sjmuny.us-east-1.es.amazonaws.com/_plugin/kibana/#/discover/Steve-Slow-Train-Analysis-(2080s-and-2083s)?_g=(refreshInterval:(display:Off,section:0,value:0),time:(from:'2016-10-06 16:28:23-0600',mode:absolute,to:'2016-10-06 19:08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26" s="109" t="str">
        <f t="shared" si="1"/>
        <v>"C:\Program Files (x86)\AstroGrep\AstroGrep.exe" /spath="%USERPROFILE%\AppData\Local\Temp\OnboardLogs" /stypes="*4046*201610070*" /stext=" 00:.+((SYSTEM_STATE.+slice.+state.+changed )|(ment ac)|(system.+state.+changed )|(\[timeout)|(PRM\|1\|D)|(kpr)|(kdp)|(\|lc)|(penalty))" /e /r /s</v>
      </c>
      <c r="U26" s="9" t="str">
        <f t="shared" si="2"/>
        <v>4046</v>
      </c>
      <c r="V26" s="38">
        <f t="shared" si="3"/>
        <v>42650.004618055558</v>
      </c>
      <c r="W26" s="52" t="str">
        <f t="shared" si="4"/>
        <v>EC</v>
      </c>
      <c r="X26" s="52" t="str">
        <f t="shared" si="5"/>
        <v>KEEP</v>
      </c>
      <c r="Y26" s="130" t="str">
        <f t="shared" si="6"/>
        <v>echo {"issue":{"subject":"","project_id":79,"tracker_id":40,"status_id":1,"priority_id":2,"assigned_to_id":23,"start_date":"2016-10-06","description":"","custom_fields":[{"id":1,"name":"Subdivision","value":"EC"},{"id":4,"name":"Milepost","value":"23.0436"},{"id":17,"name":"Train ID","value":"211-06"},{"id":16,"name":"Locomotive ID","value":"4046"},{"id":130,"name":"Impact","value":""},{"id":150,"name":"Time of Event (Mountain Time)","value":"18:06:39"},{"id":151,"name":"Denver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1" t="str">
        <f t="shared" si="7"/>
        <v>grep -hSE -A100 "Enforcement Action" "%USERPROFILE%\AppData\Local\Temp\OnboardLogs"\RTDC4046\*4046*201610070* | grep -SE "((Enforcement Ac)|(PRM))" -</v>
      </c>
    </row>
    <row r="27" spans="1:29" x14ac:dyDescent="0.25">
      <c r="A27" s="38">
        <v>42649.711041666669</v>
      </c>
      <c r="B27" s="33" t="s">
        <v>247</v>
      </c>
      <c r="C27" s="33" t="s">
        <v>553</v>
      </c>
      <c r="D27" s="33" t="s">
        <v>105</v>
      </c>
      <c r="E27" s="33" t="s">
        <v>56</v>
      </c>
      <c r="F27" s="49">
        <v>350</v>
      </c>
      <c r="G27" s="49">
        <v>401</v>
      </c>
      <c r="H27" s="49">
        <v>225025</v>
      </c>
      <c r="I27" s="49">
        <v>223563</v>
      </c>
      <c r="J27" s="33" t="s">
        <v>57</v>
      </c>
      <c r="K27" s="49">
        <v>232107</v>
      </c>
      <c r="L27" s="146" t="s">
        <v>53</v>
      </c>
      <c r="M27" s="149">
        <f t="shared" si="0"/>
        <v>-4511.232</v>
      </c>
      <c r="N27" s="88" t="str">
        <f>VLOOKUP(C27,'Trips&amp;Operators'!$C$1:$E$99999,3,FALSE)</f>
        <v>STORY</v>
      </c>
      <c r="O27" s="170" t="s">
        <v>86</v>
      </c>
      <c r="P27" s="10"/>
      <c r="Q27" s="33"/>
      <c r="R27" s="104" t="str">
        <f>VLOOKUP(C27,'Train Runs'!$A$13:$AE$10009,31,0)</f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S27" s="107" t="str">
        <f>VLOOKUP(C27,'Train Runs'!$A$13:$AE$10009,22,0)</f>
        <v>https://search-rtdc-monitor-bjffxe2xuh6vdkpspy63sjmuny.us-east-1.es.amazonaws.com/_plugin/kibana/#/discover/Steve-Slow-Train-Analysis-(2080s-and-2083s)?_g=(refreshInterval:(display:Off,section:0,value:0),time:(from:'2016-10-06 15:59:25-0600',mode:absolute,to:'2016-10-06 18:40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7" s="109" t="str">
        <f t="shared" si="1"/>
        <v>"C:\Program Files (x86)\AstroGrep\AstroGrep.exe" /spath="%USERPROFILE%\AppData\Local\Temp\OnboardLogs" /stypes="*4032*201610062*" /stext=" 23:.+((SYSTEM_STATE.+slice.+state.+changed )|(ment ac)|(system.+state.+changed )|(\[timeout)|(PRM\|1\|D)|(kpr)|(kdp)|(\|lc)|(penalty))" /e /r /s</v>
      </c>
      <c r="U27" s="9" t="str">
        <f t="shared" si="2"/>
        <v>4032</v>
      </c>
      <c r="V27" s="38">
        <f t="shared" si="3"/>
        <v>42649.961041666669</v>
      </c>
      <c r="W27" s="52" t="str">
        <f t="shared" si="4"/>
        <v>EC</v>
      </c>
      <c r="X27" s="52" t="str">
        <f t="shared" si="5"/>
        <v>KEEP</v>
      </c>
      <c r="Y27" s="130" t="str">
        <f t="shared" si="6"/>
        <v>echo {"issue":{"subject":"","project_id":79,"tracker_id":40,"status_id":1,"priority_id":2,"assigned_to_id":23,"start_date":"2016-10-06","description":"","custom_fields":[{"id":1,"name":"Subdivision","value":"EC"},{"id":4,"name":"Milepost","value":"23.2107"},{"id":17,"name":"Train ID","value":"200-06"},{"id":16,"name":"Locomotive ID","value":"4032"},{"id":130,"name":"Impact","value":""},{"id":150,"name":"Time of Event (Mountain Time)","value":"17:03:54"},{"id":151,"name":"Denver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1" t="str">
        <f t="shared" si="7"/>
        <v>grep -hSE -A100 "Enforcement Action" "%USERPROFILE%\AppData\Local\Temp\OnboardLogs"\RTDC4032\*4032*201610062* | grep -SE "((Enforcement Ac)|(PRM))" -</v>
      </c>
    </row>
    <row r="28" spans="1:29" x14ac:dyDescent="0.25">
      <c r="A28" s="38">
        <v>42649.271689814814</v>
      </c>
      <c r="B28" s="33" t="s">
        <v>290</v>
      </c>
      <c r="C28" s="33" t="s">
        <v>427</v>
      </c>
      <c r="D28" s="33" t="s">
        <v>105</v>
      </c>
      <c r="E28" s="33" t="s">
        <v>54</v>
      </c>
      <c r="F28" s="49">
        <v>0</v>
      </c>
      <c r="G28" s="49">
        <v>145</v>
      </c>
      <c r="H28" s="49">
        <v>1815</v>
      </c>
      <c r="I28" s="49">
        <v>2076</v>
      </c>
      <c r="J28" s="33" t="s">
        <v>55</v>
      </c>
      <c r="K28" s="49">
        <v>1692</v>
      </c>
      <c r="L28" s="146" t="s">
        <v>52</v>
      </c>
      <c r="M28" s="149">
        <f t="shared" si="0"/>
        <v>-202.75200000000001</v>
      </c>
      <c r="N28" s="88" t="str">
        <f>VLOOKUP(C28,'Trips&amp;Operators'!$C$1:$E$99999,3,FALSE)</f>
        <v>ROCHA</v>
      </c>
      <c r="O28" s="170" t="s">
        <v>86</v>
      </c>
      <c r="P28" s="10" t="s">
        <v>827</v>
      </c>
      <c r="Q28" s="33"/>
      <c r="R28" s="104" t="str">
        <f>VLOOKUP(C28,'Train Runs'!$A$13:$AE$10009,31,0)</f>
        <v>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 &amp; 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</v>
      </c>
      <c r="S28" s="107" t="str">
        <f>VLOOKUP(C28,'Train Runs'!$A$13:$AE$10009,22,0)</f>
        <v>https://search-rtdc-monitor-bjffxe2xuh6vdkpspy63sjmuny.us-east-1.es.amazonaws.com/_plugin/kibana/#/discover/Steve-Slow-Train-Analysis-(2080s-and-2083s)?_g=(refreshInterval:(display:Off,section:0,value:0),time:(from:'2016-10-06 05:35:16-0600',mode:absolute,to:'2016-10-06 08:09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8" s="109" t="str">
        <f t="shared" si="1"/>
        <v>"C:\Program Files (x86)\AstroGrep\AstroGrep.exe" /spath="%USERPROFILE%\AppData\Local\Temp\OnboardLogs" /stypes="*4007*201610061*" /stext=" 12:.+((SYSTEM_STATE.+slice.+state.+changed )|(ment ac)|(system.+state.+changed )|(\[timeout)|(PRM\|1\|D)|(kpr)|(kdp)|(\|lc)|(penalty))" /e /r /s</v>
      </c>
      <c r="U28" s="9" t="str">
        <f t="shared" si="2"/>
        <v>4007</v>
      </c>
      <c r="V28" s="38">
        <f t="shared" si="3"/>
        <v>42649.521689814814</v>
      </c>
      <c r="W28" s="52" t="str">
        <f t="shared" si="4"/>
        <v>EC</v>
      </c>
      <c r="X28" s="52" t="str">
        <f t="shared" si="5"/>
        <v>KEEP</v>
      </c>
      <c r="Y28" s="130" t="str">
        <f t="shared" si="6"/>
        <v>echo {"issue":{"subject":"Went active too close to signal","project_id":79,"tracker_id":40,"status_id":1,"priority_id":2,"assigned_to_id":23,"start_date":"2016-10-06","description":"","custom_fields":[{"id":1,"name":"Subdivision","value":"EC"},{"id":4,"name":"Milepost","value":"0.1692"},{"id":17,"name":"Train ID","value":"123-06"},{"id":16,"name":"Locomotive ID","value":"4007"},{"id":130,"name":"Impact","value":""},{"id":150,"name":"Time of Event (Mountain Time)","value":"06:31:14"},{"id":151,"name":"Denver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1" t="str">
        <f t="shared" si="7"/>
        <v>grep -hSE -A100 "Enforcement Action" "%USERPROFILE%\AppData\Local\Temp\OnboardLogs"\RTDC4007\*4007*201610061* | grep -SE "((Enforcement Ac)|(PRM))" -</v>
      </c>
    </row>
    <row r="29" spans="1:29" x14ac:dyDescent="0.25">
      <c r="A29" s="38">
        <v>42649.662569444445</v>
      </c>
      <c r="B29" s="33" t="s">
        <v>247</v>
      </c>
      <c r="C29" s="33" t="s">
        <v>529</v>
      </c>
      <c r="D29" s="33" t="s">
        <v>49</v>
      </c>
      <c r="E29" s="33" t="s">
        <v>54</v>
      </c>
      <c r="F29" s="49">
        <v>0</v>
      </c>
      <c r="G29" s="49">
        <v>139</v>
      </c>
      <c r="H29" s="49">
        <v>3088</v>
      </c>
      <c r="I29" s="49">
        <v>2866</v>
      </c>
      <c r="J29" s="33" t="s">
        <v>55</v>
      </c>
      <c r="K29" s="49">
        <v>2822</v>
      </c>
      <c r="L29" s="146" t="s">
        <v>53</v>
      </c>
      <c r="M29" s="149">
        <f t="shared" si="0"/>
        <v>23.231999999999999</v>
      </c>
      <c r="N29" s="88" t="str">
        <f>VLOOKUP(C29,'Trips&amp;Operators'!$C$1:$E$99999,3,FALSE)</f>
        <v>STORY</v>
      </c>
      <c r="O29" s="170" t="s">
        <v>86</v>
      </c>
      <c r="P29" s="10" t="s">
        <v>840</v>
      </c>
      <c r="Q29" s="33"/>
      <c r="R29" s="104" t="str">
        <f>VLOOKUP(C29,'Train Runs'!$A$13:$AE$10009,31,0)</f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S29" s="107" t="str">
        <f>VLOOKUP(C29,'Train Runs'!$A$13:$AE$10009,22,0)</f>
        <v>https://search-rtdc-monitor-bjffxe2xuh6vdkpspy63sjmuny.us-east-1.es.amazonaws.com/_plugin/kibana/#/discover/Steve-Slow-Train-Analysis-(2080s-and-2083s)?_g=(refreshInterval:(display:Off,section:0,value:0),time:(from:'2016-10-06 14:28:18-0600',mode:absolute,to:'2016-10-06 16:57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9" s="109" t="str">
        <f t="shared" si="1"/>
        <v>"C:\Program Files (x86)\AstroGrep\AstroGrep.exe" /spath="%USERPROFILE%\AppData\Local\Temp\OnboardLogs" /stypes="*4032*201610062*" /stext=" 21:.+((SYSTEM_STATE.+slice.+state.+changed )|(ment ac)|(system.+state.+changed )|(\[timeout)|(PRM\|1\|D)|(kpr)|(kdp)|(\|lc)|(penalty))" /e /r /s</v>
      </c>
      <c r="U29" s="9" t="str">
        <f t="shared" si="2"/>
        <v>4032</v>
      </c>
      <c r="V29" s="38">
        <f t="shared" si="3"/>
        <v>42649.912569444445</v>
      </c>
      <c r="W29" s="52" t="str">
        <f t="shared" si="4"/>
        <v>EC</v>
      </c>
      <c r="X29" s="52" t="str">
        <f t="shared" si="5"/>
        <v>KEEP</v>
      </c>
      <c r="Y29" s="130" t="str">
        <f t="shared" si="6"/>
        <v>echo {"issue":{"subject":"DUS 2S STOP, cleared afterward","project_id":79,"tracker_id":40,"status_id":1,"priority_id":2,"assigned_to_id":23,"start_date":"2016-10-06","description":"","custom_fields":[{"id":1,"name":"Subdivision","value":"EC"},{"id":4,"name":"Milepost","value":"0.2822"},{"id":17,"name":"Train ID","value":"186-06"},{"id":16,"name":"Locomotive ID","value":"4032"},{"id":130,"name":"Impact","value":""},{"id":150,"name":"Time of Event (Mountain Time)","value":"15:54:06"},{"id":151,"name":"Denver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1" t="str">
        <f t="shared" si="7"/>
        <v>grep -hSE -A100 "Enforcement Action" "%USERPROFILE%\AppData\Local\Temp\OnboardLogs"\RTDC4032\*4032*201610062* | grep -SE "((Enforcement Ac)|(PRM))" -</v>
      </c>
    </row>
    <row r="30" spans="1:29" x14ac:dyDescent="0.25">
      <c r="A30" s="38">
        <v>42649.584745370368</v>
      </c>
      <c r="B30" s="33" t="s">
        <v>247</v>
      </c>
      <c r="C30" s="33" t="s">
        <v>511</v>
      </c>
      <c r="D30" s="33" t="s">
        <v>105</v>
      </c>
      <c r="E30" s="33" t="s">
        <v>54</v>
      </c>
      <c r="F30" s="49">
        <v>200</v>
      </c>
      <c r="G30" s="49">
        <v>253</v>
      </c>
      <c r="H30" s="49">
        <v>35787</v>
      </c>
      <c r="I30" s="49">
        <v>35151</v>
      </c>
      <c r="J30" s="33" t="s">
        <v>55</v>
      </c>
      <c r="K30" s="49">
        <v>36657</v>
      </c>
      <c r="L30" s="146" t="s">
        <v>53</v>
      </c>
      <c r="M30" s="149">
        <f t="shared" si="0"/>
        <v>-795.16800000000001</v>
      </c>
      <c r="N30" s="88" t="str">
        <f>VLOOKUP(C30,'Trips&amp;Operators'!$C$1:$E$99999,3,FALSE)</f>
        <v>STORY</v>
      </c>
      <c r="O30" s="170" t="s">
        <v>86</v>
      </c>
      <c r="P30" s="10" t="s">
        <v>286</v>
      </c>
      <c r="Q30" s="33"/>
      <c r="R30" s="104" t="str">
        <f>VLOOKUP(C30,'Train Runs'!$A$13:$AE$10009,31,0)</f>
        <v>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 &amp; 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</v>
      </c>
      <c r="S30" s="107" t="str">
        <f>VLOOKUP(C30,'Train Runs'!$A$13:$AE$10009,22,0)</f>
        <v>https://search-rtdc-monitor-bjffxe2xuh6vdkpspy63sjmuny.us-east-1.es.amazonaws.com/_plugin/kibana/#/discover/Steve-Slow-Train-Analysis-(2080s-and-2083s)?_g=(refreshInterval:(display:Off,section:0,value:0),time:(from:'2016-10-06 12:19:14-0600',mode:absolute,to:'2016-10-06 14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0" s="109" t="str">
        <f t="shared" si="1"/>
        <v>"C:\Program Files (x86)\AstroGrep\AstroGrep.exe" /spath="%USERPROFILE%\AppData\Local\Temp\OnboardLogs" /stypes="*4032*201610062*" /stext=" 20:.+((SYSTEM_STATE.+slice.+state.+changed )|(ment ac)|(system.+state.+changed )|(\[timeout)|(PRM\|1\|D)|(kpr)|(kdp)|(\|lc)|(penalty))" /e /r /s</v>
      </c>
      <c r="U30" s="9" t="str">
        <f t="shared" si="2"/>
        <v>4032</v>
      </c>
      <c r="V30" s="38">
        <f t="shared" si="3"/>
        <v>42649.834745370368</v>
      </c>
      <c r="W30" s="52" t="str">
        <f t="shared" si="4"/>
        <v>EC</v>
      </c>
      <c r="X30" s="52" t="str">
        <f t="shared" si="5"/>
        <v>KEEP</v>
      </c>
      <c r="Y30" s="130" t="str">
        <f t="shared" si="6"/>
        <v>echo {"issue":{"subject":"Overspeed","project_id":79,"tracker_id":40,"status_id":1,"priority_id":2,"assigned_to_id":23,"start_date":"2016-10-06","description":"","custom_fields":[{"id":1,"name":"Subdivision","value":"EC"},{"id":4,"name":"Milepost","value":"3.6657"},{"id":17,"name":"Train ID","value":"172-06"},{"id":16,"name":"Locomotive ID","value":"4032"},{"id":130,"name":"Impact","value":""},{"id":150,"name":"Time of Event (Mountain Time)","value":"14:02:02"},{"id":151,"name":"Denver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1" t="str">
        <f t="shared" si="7"/>
        <v>grep -hSE -A100 "Enforcement Action" "%USERPROFILE%\AppData\Local\Temp\OnboardLogs"\RTDC4032\*4032*201610062* | grep -SE "((Enforcement Ac)|(PRM))" -</v>
      </c>
    </row>
    <row r="31" spans="1:29" ht="15" customHeight="1" x14ac:dyDescent="0.25">
      <c r="A31" s="38">
        <v>42649.53738425926</v>
      </c>
      <c r="B31" s="33" t="s">
        <v>223</v>
      </c>
      <c r="C31" s="33" t="s">
        <v>502</v>
      </c>
      <c r="D31" s="33" t="s">
        <v>49</v>
      </c>
      <c r="E31" s="33" t="s">
        <v>54</v>
      </c>
      <c r="F31" s="49">
        <v>0</v>
      </c>
      <c r="G31" s="49">
        <v>426</v>
      </c>
      <c r="H31" s="49">
        <v>129438</v>
      </c>
      <c r="I31" s="49">
        <v>128262</v>
      </c>
      <c r="J31" s="33" t="s">
        <v>55</v>
      </c>
      <c r="K31" s="49">
        <v>127587</v>
      </c>
      <c r="L31" s="146" t="s">
        <v>53</v>
      </c>
      <c r="M31" s="149">
        <f t="shared" si="0"/>
        <v>356.40000000000003</v>
      </c>
      <c r="N31" s="88" t="str">
        <f>VLOOKUP(C31,'Trips&amp;Operators'!$C$1:$E$99999,3,FALSE)</f>
        <v>NEWELL</v>
      </c>
      <c r="O31" s="170" t="s">
        <v>86</v>
      </c>
      <c r="P31" s="10" t="s">
        <v>285</v>
      </c>
      <c r="Q31" s="33"/>
      <c r="R31" s="104" t="str">
        <f>VLOOKUP(C31,'Train Runs'!$A$13:$AE$10009,31,0)</f>
        <v>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 &amp; 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</v>
      </c>
      <c r="S31" s="107" t="str">
        <f>VLOOKUP(C31,'Train Runs'!$A$13:$AE$10009,22,0)</f>
        <v>https://search-rtdc-monitor-bjffxe2xuh6vdkpspy63sjmuny.us-east-1.es.amazonaws.com/_plugin/kibana/#/discover/Steve-Slow-Train-Analysis-(2080s-and-2083s)?_g=(refreshInterval:(display:Off,section:0,value:0),time:(from:'2016-10-06 11:34:27-0600',mode:absolute,to:'2016-10-06 14:25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1" s="109" t="str">
        <f t="shared" si="1"/>
        <v>"C:\Program Files (x86)\AstroGrep\AstroGrep.exe" /spath="%USERPROFILE%\AppData\Local\Temp\OnboardLogs" /stypes="*4017*201610061*" /stext=" 18:.+((SYSTEM_STATE.+slice.+state.+changed )|(ment ac)|(system.+state.+changed )|(\[timeout)|(PRM\|1\|D)|(kpr)|(kdp)|(\|lc)|(penalty))" /e /r /s</v>
      </c>
      <c r="U31" s="9" t="str">
        <f t="shared" si="2"/>
        <v>4017</v>
      </c>
      <c r="V31" s="38">
        <f t="shared" si="3"/>
        <v>42649.78738425926</v>
      </c>
      <c r="W31" s="52" t="str">
        <f t="shared" si="4"/>
        <v>EC</v>
      </c>
      <c r="X31" s="52" t="str">
        <f t="shared" si="5"/>
        <v>KEEP</v>
      </c>
      <c r="Y31" s="130" t="str">
        <f t="shared" si="6"/>
        <v>echo {"issue":{"subject":"40th 4S STOP, cleared afterward","project_id":79,"tracker_id":40,"status_id":1,"priority_id":2,"assigned_to_id":23,"start_date":"2016-10-06","description":"","custom_fields":[{"id":1,"name":"Subdivision","value":"EC"},{"id":4,"name":"Milepost","value":"12.7587"},{"id":17,"name":"Train ID","value":"166-06"},{"id":16,"name":"Locomotive ID","value":"4017"},{"id":130,"name":"Impact","value":""},{"id":150,"name":"Time of Event (Mountain Time)","value":"12:53:50"},{"id":151,"name":"Denver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1" t="str">
        <f t="shared" si="7"/>
        <v>grep -hSE -A100 "Enforcement Action" "%USERPROFILE%\AppData\Local\Temp\OnboardLogs"\RTDC4017\*4017*201610061* | grep -SE "((Enforcement Ac)|(PRM))" -</v>
      </c>
    </row>
    <row r="32" spans="1:29" x14ac:dyDescent="0.25">
      <c r="A32" s="38">
        <v>42649.547858796293</v>
      </c>
      <c r="B32" s="33" t="s">
        <v>287</v>
      </c>
      <c r="C32" s="33" t="s">
        <v>505</v>
      </c>
      <c r="D32" s="33" t="s">
        <v>49</v>
      </c>
      <c r="E32" s="33" t="s">
        <v>54</v>
      </c>
      <c r="F32" s="49">
        <v>0</v>
      </c>
      <c r="G32" s="49">
        <v>444</v>
      </c>
      <c r="H32" s="49">
        <v>129577</v>
      </c>
      <c r="I32" s="49">
        <v>128255</v>
      </c>
      <c r="J32" s="33" t="s">
        <v>55</v>
      </c>
      <c r="K32" s="49">
        <v>127587</v>
      </c>
      <c r="L32" s="146" t="s">
        <v>53</v>
      </c>
      <c r="M32" s="149">
        <f t="shared" si="0"/>
        <v>352.70400000000001</v>
      </c>
      <c r="N32" s="88" t="str">
        <f>VLOOKUP(C32,'Trips&amp;Operators'!$C$1:$E$99999,3,FALSE)</f>
        <v>HILLS</v>
      </c>
      <c r="O32" s="170" t="s">
        <v>86</v>
      </c>
      <c r="P32" s="10" t="s">
        <v>285</v>
      </c>
      <c r="Q32" s="33"/>
      <c r="R32" s="104" t="str">
        <f>VLOOKUP(C32,'Train Runs'!$A$13:$AE$10009,31,0)</f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S32" s="107" t="str">
        <f>VLOOKUP(C32,'Train Runs'!$A$13:$AE$10009,22,0)</f>
        <v>https://search-rtdc-monitor-bjffxe2xuh6vdkpspy63sjmuny.us-east-1.es.amazonaws.com/_plugin/kibana/#/discover/Steve-Slow-Train-Analysis-(2080s-and-2083s)?_g=(refreshInterval:(display:Off,section:0,value:0),time:(from:'2016-10-06 11:46:14-0600',mode:absolute,to:'2016-10-06 14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2" s="109" t="str">
        <f t="shared" si="1"/>
        <v>"C:\Program Files (x86)\AstroGrep\AstroGrep.exe" /spath="%USERPROFILE%\AppData\Local\Temp\OnboardLogs" /stypes="*4008*201610061*" /stext=" 19:.+((SYSTEM_STATE.+slice.+state.+changed )|(ment ac)|(system.+state.+changed )|(\[timeout)|(PRM\|1\|D)|(kpr)|(kdp)|(\|lc)|(penalty))" /e /r /s</v>
      </c>
      <c r="U32" s="9" t="str">
        <f t="shared" si="2"/>
        <v>4008</v>
      </c>
      <c r="V32" s="38">
        <f t="shared" si="3"/>
        <v>42649.797858796293</v>
      </c>
      <c r="W32" s="52" t="str">
        <f t="shared" si="4"/>
        <v>EC</v>
      </c>
      <c r="X32" s="52" t="str">
        <f t="shared" si="5"/>
        <v>KEEP</v>
      </c>
      <c r="Y32" s="130" t="str">
        <f t="shared" si="6"/>
        <v>echo {"issue":{"subject":"40th 4S STOP, cleared afterward","project_id":79,"tracker_id":40,"status_id":1,"priority_id":2,"assigned_to_id":23,"start_date":"2016-10-06","description":"","custom_fields":[{"id":1,"name":"Subdivision","value":"EC"},{"id":4,"name":"Milepost","value":"12.7587"},{"id":17,"name":"Train ID","value":"168-06"},{"id":16,"name":"Locomotive ID","value":"4008"},{"id":130,"name":"Impact","value":""},{"id":150,"name":"Time of Event (Mountain Time)","value":"13:08:55"},{"id":151,"name":"Denver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1" t="str">
        <f t="shared" si="7"/>
        <v>grep -hSE -A100 "Enforcement Action" "%USERPROFILE%\AppData\Local\Temp\OnboardLogs"\RTDC4008\*4008*201610061* | grep -SE "((Enforcement Ac)|(PRM))" -</v>
      </c>
    </row>
    <row r="33" spans="1:29" ht="15" customHeight="1" x14ac:dyDescent="0.25">
      <c r="A33" s="38">
        <v>42649.636979166666</v>
      </c>
      <c r="B33" s="33" t="s">
        <v>288</v>
      </c>
      <c r="C33" s="33" t="s">
        <v>524</v>
      </c>
      <c r="D33" s="33" t="s">
        <v>49</v>
      </c>
      <c r="E33" s="33" t="s">
        <v>54</v>
      </c>
      <c r="F33" s="49">
        <v>0</v>
      </c>
      <c r="G33" s="49">
        <v>124</v>
      </c>
      <c r="H33" s="49">
        <v>132673</v>
      </c>
      <c r="I33" s="49">
        <v>132915</v>
      </c>
      <c r="J33" s="33" t="s">
        <v>55</v>
      </c>
      <c r="K33" s="49">
        <v>133155</v>
      </c>
      <c r="L33" s="146" t="s">
        <v>52</v>
      </c>
      <c r="M33" s="149">
        <f t="shared" si="0"/>
        <v>126.72</v>
      </c>
      <c r="N33" s="88" t="str">
        <f>VLOOKUP(C33,'Trips&amp;Operators'!$C$1:$E$99999,3,FALSE)</f>
        <v>SHOOK</v>
      </c>
      <c r="O33" s="170" t="s">
        <v>86</v>
      </c>
      <c r="P33" s="10" t="s">
        <v>832</v>
      </c>
      <c r="Q33" s="33"/>
      <c r="R33" s="104" t="str">
        <f>VLOOKUP(C33,'Train Runs'!$A$13:$AE$10009,31,0)</f>
        <v>aws s3 cp s3://rtdc.mdm.uploadarchive.raw/RTDC4044/ "%USERPROFILE%\AppData\Local\Temp\OnboardLogs"\RTDC4044\2016-10-06 --exclude "*" --recursive --include "*20161006*" &amp; "%USERPROFILE%\Documents\GitHub\mrs-test-scripts\Headless Mode &amp; Sideloading\WalkAndUnGZ.bat" "%USERPROFILE%\AppData\Local\Temp\OnboardLogs"\RTDC4044\2016-10-06 &amp; aws s3 cp s3://rtdc.mdm.uploadarchive.raw/RTDC4044/ "%USERPROFILE%\AppData\Local\Temp\OnboardLogs"\RTDC4044\2016-10-07 --exclude "*" --recursive --include "*20161007*" &amp; "%USERPROFILE%\Documents\GitHub\mrs-test-scripts\Headless Mode &amp; Sideloading\WalkAndUnGZ.bat" "%USERPROFILE%\AppData\Local\Temp\OnboardLogs"\RTDC4044\2016-10-07</v>
      </c>
      <c r="S33" s="107" t="str">
        <f>VLOOKUP(C33,'Train Runs'!$A$13:$AE$10009,22,0)</f>
        <v>https://search-rtdc-monitor-bjffxe2xuh6vdkpspy63sjmuny.us-east-1.es.amazonaws.com/_plugin/kibana/#/discover/Steve-Slow-Train-Analysis-(2080s-and-2083s)?_g=(refreshInterval:(display:Off,section:0,value:0),time:(from:'2016-10-06 14:14:10-0600',mode:absolute,to:'2016-10-06 16:19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3" s="109" t="str">
        <f t="shared" si="1"/>
        <v>"C:\Program Files (x86)\AstroGrep\AstroGrep.exe" /spath="%USERPROFILE%\AppData\Local\Temp\OnboardLogs" /stypes="*4044*201610062*" /stext=" 21:.+((SYSTEM_STATE.+slice.+state.+changed )|(ment ac)|(system.+state.+changed )|(\[timeout)|(PRM\|1\|D)|(kpr)|(kdp)|(\|lc)|(penalty))" /e /r /s</v>
      </c>
      <c r="U33" s="9" t="str">
        <f t="shared" si="2"/>
        <v>4044</v>
      </c>
      <c r="V33" s="38">
        <f t="shared" si="3"/>
        <v>42649.886979166666</v>
      </c>
      <c r="W33" s="52" t="str">
        <f t="shared" si="4"/>
        <v>EC</v>
      </c>
      <c r="X33" s="52" t="str">
        <f t="shared" si="5"/>
        <v>KEEP</v>
      </c>
      <c r="Y33" s="130" t="str">
        <f t="shared" si="6"/>
        <v>echo {"issue":{"subject":"CP 61st ELXS failure","project_id":79,"tracker_id":40,"status_id":1,"priority_id":2,"assigned_to_id":23,"start_date":"2016-10-06","description":"","custom_fields":[{"id":1,"name":"Subdivision","value":"EC"},{"id":4,"name":"Milepost","value":"13.3155"},{"id":17,"name":"Train ID","value":"189-06"},{"id":16,"name":"Locomotive ID","value":"4044"},{"id":130,"name":"Impact","value":""},{"id":150,"name":"Time of Event (Mountain Time)","value":"15:17:15"},{"id":151,"name":"Denver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1" t="str">
        <f t="shared" si="7"/>
        <v>grep -hSE -A100 "Enforcement Action" "%USERPROFILE%\AppData\Local\Temp\OnboardLogs"\RTDC4044\*4044*201610062* | grep -SE "((Enforcement Ac)|(PRM))" -</v>
      </c>
    </row>
    <row r="34" spans="1:29" x14ac:dyDescent="0.25">
      <c r="A34" s="38">
        <v>42649.690509259257</v>
      </c>
      <c r="B34" s="33" t="s">
        <v>248</v>
      </c>
      <c r="C34" s="33" t="s">
        <v>539</v>
      </c>
      <c r="D34" s="33" t="s">
        <v>49</v>
      </c>
      <c r="E34" s="33" t="s">
        <v>54</v>
      </c>
      <c r="F34" s="49">
        <v>0</v>
      </c>
      <c r="G34" s="49">
        <v>109</v>
      </c>
      <c r="H34" s="49">
        <v>132607</v>
      </c>
      <c r="I34" s="49">
        <v>132757</v>
      </c>
      <c r="J34" s="33" t="s">
        <v>55</v>
      </c>
      <c r="K34" s="49">
        <v>133155</v>
      </c>
      <c r="L34" s="146" t="s">
        <v>52</v>
      </c>
      <c r="M34" s="149">
        <f t="shared" si="0"/>
        <v>210.14400000000001</v>
      </c>
      <c r="N34" s="88" t="str">
        <f>VLOOKUP(C34,'Trips&amp;Operators'!$C$1:$E$99999,3,FALSE)</f>
        <v>STORY</v>
      </c>
      <c r="O34" s="170" t="s">
        <v>86</v>
      </c>
      <c r="P34" s="10" t="s">
        <v>832</v>
      </c>
      <c r="Q34" s="33"/>
      <c r="R34" s="104" t="str">
        <f>VLOOKUP(C34,'Train Runs'!$A$13:$AE$10009,31,0)</f>
        <v>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 &amp; aws s3 cp s3://rtdc.mdm.uploadarchive.raw/RTDC4031/ "%USERPROFILE%\AppData\Local\Temp\OnboardLogs"\RTDC4031\2016-10-07 --exclude "*" --recursive --include "*20161007*" &amp; "%USERPROFILE%\Documents\GitHub\mrs-test-scripts\Headless Mode &amp; Sideloading\WalkAndUnGZ.bat" "%USERPROFILE%\AppData\Local\Temp\OnboardLogs"\RTDC4031\2016-10-07</v>
      </c>
      <c r="S34" s="107" t="str">
        <f>VLOOKUP(C34,'Train Runs'!$A$13:$AE$10009,22,0)</f>
        <v>https://search-rtdc-monitor-bjffxe2xuh6vdkpspy63sjmuny.us-east-1.es.amazonaws.com/_plugin/kibana/#/discover/Steve-Slow-Train-Analysis-(2080s-and-2083s)?_g=(refreshInterval:(display:Off,section:0,value:0),time:(from:'2016-10-06 15:31:14-0600',mode:absolute,to:'2016-10-06 17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4" s="109" t="str">
        <f t="shared" si="1"/>
        <v>"C:\Program Files (x86)\AstroGrep\AstroGrep.exe" /spath="%USERPROFILE%\AppData\Local\Temp\OnboardLogs" /stypes="*4031*201610062*" /stext=" 22:.+((SYSTEM_STATE.+slice.+state.+changed )|(ment ac)|(system.+state.+changed )|(\[timeout)|(PRM\|1\|D)|(kpr)|(kdp)|(\|lc)|(penalty))" /e /r /s</v>
      </c>
      <c r="U34" s="9" t="str">
        <f t="shared" si="2"/>
        <v>4031</v>
      </c>
      <c r="V34" s="38">
        <f t="shared" si="3"/>
        <v>42649.940509259257</v>
      </c>
      <c r="W34" s="52" t="str">
        <f t="shared" si="4"/>
        <v>EC</v>
      </c>
      <c r="X34" s="52" t="str">
        <f t="shared" si="5"/>
        <v>KEEP</v>
      </c>
      <c r="Y34" s="130" t="str">
        <f t="shared" si="6"/>
        <v>echo {"issue":{"subject":"CP 61st ELXS failure","project_id":79,"tracker_id":40,"status_id":1,"priority_id":2,"assigned_to_id":23,"start_date":"2016-10-06","description":"","custom_fields":[{"id":1,"name":"Subdivision","value":"EC"},{"id":4,"name":"Milepost","value":"13.3155"},{"id":17,"name":"Train ID","value":"199-06"},{"id":16,"name":"Locomotive ID","value":"4031"},{"id":130,"name":"Impact","value":""},{"id":150,"name":"Time of Event (Mountain Time)","value":"16:34:20"},{"id":151,"name":"Denver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1" t="str">
        <f t="shared" si="7"/>
        <v>grep -hSE -A100 "Enforcement Action" "%USERPROFILE%\AppData\Local\Temp\OnboardLogs"\RTDC4031\*4031*201610062* | grep -SE "((Enforcement Ac)|(PRM))" -</v>
      </c>
    </row>
    <row r="35" spans="1:29" x14ac:dyDescent="0.25">
      <c r="A35" s="38">
        <v>42649.229016203702</v>
      </c>
      <c r="B35" s="33" t="s">
        <v>389</v>
      </c>
      <c r="C35" s="33" t="s">
        <v>406</v>
      </c>
      <c r="D35" s="33" t="s">
        <v>105</v>
      </c>
      <c r="E35" s="33" t="s">
        <v>54</v>
      </c>
      <c r="F35" s="49">
        <v>200</v>
      </c>
      <c r="G35" s="49">
        <v>252</v>
      </c>
      <c r="H35" s="49">
        <v>155369</v>
      </c>
      <c r="I35" s="49">
        <v>156004</v>
      </c>
      <c r="J35" s="33" t="s">
        <v>55</v>
      </c>
      <c r="K35" s="49">
        <v>149694</v>
      </c>
      <c r="L35" s="146" t="s">
        <v>52</v>
      </c>
      <c r="M35" s="149">
        <f t="shared" si="0"/>
        <v>-3331.68</v>
      </c>
      <c r="N35" s="88" t="str">
        <f>VLOOKUP(C35,'Trips&amp;Operators'!$C$1:$E$99999,3,FALSE)</f>
        <v>BERLING</v>
      </c>
      <c r="O35" s="170" t="s">
        <v>86</v>
      </c>
      <c r="P35" s="10" t="s">
        <v>286</v>
      </c>
      <c r="Q35" s="33"/>
      <c r="R35" s="104" t="str">
        <f>VLOOKUP(C35,'Train Runs'!$A$13:$AE$10009,31,0)</f>
        <v>aws s3 cp s3://rtdc.mdm.uploadarchive.raw/RTDC4046/ "%USERPROFILE%\AppData\Local\Temp\OnboardLogs"\RTDC4046\2016-10-06 --exclude "*" --recursive --include "*20161006*" &amp; "%USERPROFILE%\Documents\GitHub\mrs-test-scripts\Headless Mode &amp; Sideloading\WalkAndUnGZ.bat" "%USERPROFILE%\AppData\Local\Temp\OnboardLogs"\RTDC4046\2016-10-06 &amp; 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</v>
      </c>
      <c r="S35" s="107" t="str">
        <f>VLOOKUP(C35,'Train Runs'!$A$13:$AE$10009,22,0)</f>
        <v>https://search-rtdc-monitor-bjffxe2xuh6vdkpspy63sjmuny.us-east-1.es.amazonaws.com/_plugin/kibana/#/discover/Steve-Slow-Train-Analysis-(2080s-and-2083s)?_g=(refreshInterval:(display:Off,section:0,value:0),time:(from:'2016-10-06 03:54:51-0600',mode:absolute,to:'2016-10-06 06:27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5" s="109" t="str">
        <f t="shared" si="1"/>
        <v>"C:\Program Files (x86)\AstroGrep\AstroGrep.exe" /spath="%USERPROFILE%\AppData\Local\Temp\OnboardLogs" /stypes="*4046*201610061*" /stext=" 11:.+((SYSTEM_STATE.+slice.+state.+changed )|(ment ac)|(system.+state.+changed )|(\[timeout)|(PRM\|1\|D)|(kpr)|(kdp)|(\|lc)|(penalty))" /e /r /s</v>
      </c>
      <c r="U35" s="9" t="str">
        <f t="shared" si="2"/>
        <v>4046</v>
      </c>
      <c r="V35" s="38">
        <f t="shared" si="3"/>
        <v>42649.479016203702</v>
      </c>
      <c r="W35" s="52" t="str">
        <f t="shared" si="4"/>
        <v>EC</v>
      </c>
      <c r="X35" s="52" t="str">
        <f t="shared" si="5"/>
        <v>KEEP</v>
      </c>
      <c r="Y35" s="130" t="str">
        <f t="shared" si="6"/>
        <v>echo {"issue":{"subject":"Overspeed","project_id":79,"tracker_id":40,"status_id":1,"priority_id":2,"assigned_to_id":23,"start_date":"2016-10-06","description":"","custom_fields":[{"id":1,"name":"Subdivision","value":"EC"},{"id":4,"name":"Milepost","value":"14.9694"},{"id":17,"name":"Train ID","value":"111-06"},{"id":16,"name":"Locomotive ID","value":"4046"},{"id":130,"name":"Impact","value":""},{"id":150,"name":"Time of Event (Mountain Time)","value":"05:29:47"},{"id":151,"name":"Denver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1" t="str">
        <f t="shared" si="7"/>
        <v>grep -hSE -A100 "Enforcement Action" "%USERPROFILE%\AppData\Local\Temp\OnboardLogs"\RTDC4046\*4046*201610061* | grep -SE "((Enforcement Ac)|(PRM))" -</v>
      </c>
    </row>
    <row r="36" spans="1:29" x14ac:dyDescent="0.25">
      <c r="A36" s="38">
        <v>42649.297071759262</v>
      </c>
      <c r="B36" s="33" t="s">
        <v>417</v>
      </c>
      <c r="C36" s="33" t="s">
        <v>418</v>
      </c>
      <c r="D36" s="33" t="s">
        <v>49</v>
      </c>
      <c r="E36" s="33" t="s">
        <v>50</v>
      </c>
      <c r="F36" s="49">
        <v>0</v>
      </c>
      <c r="G36" s="49">
        <v>114</v>
      </c>
      <c r="H36" s="49">
        <v>431</v>
      </c>
      <c r="I36" s="49">
        <v>291</v>
      </c>
      <c r="J36" s="33" t="s">
        <v>51</v>
      </c>
      <c r="K36" s="49">
        <v>1</v>
      </c>
      <c r="L36" s="146" t="s">
        <v>53</v>
      </c>
      <c r="M36" s="149">
        <f t="shared" si="0"/>
        <v>153.12</v>
      </c>
      <c r="N36" s="88" t="str">
        <f>VLOOKUP(C36,'Trips&amp;Operators'!$C$1:$E$99999,3,FALSE)</f>
        <v>BERLING</v>
      </c>
      <c r="O36" s="170" t="s">
        <v>86</v>
      </c>
      <c r="P36" s="10"/>
      <c r="Q36" s="33"/>
      <c r="R36" s="104" t="str">
        <f>VLOOKUP(C36,'Train Runs'!$A$13:$AE$10009,31,0)</f>
        <v>aws s3 cp s3://rtdc.mdm.uploadarchive.raw/RTDC4045/ "%USERPROFILE%\AppData\Local\Temp\OnboardLogs"\RTDC4045\2016-10-06 --exclude "*" --recursive --include "*20161006*" &amp; "%USERPROFILE%\Documents\GitHub\mrs-test-scripts\Headless Mode &amp; Sideloading\WalkAndUnGZ.bat" "%USERPROFILE%\AppData\Local\Temp\OnboardLogs"\RTDC4045\2016-10-06 &amp; 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</v>
      </c>
      <c r="S36" s="107" t="str">
        <f>VLOOKUP(C36,'Train Runs'!$A$13:$AE$10009,22,0)</f>
        <v>https://search-rtdc-monitor-bjffxe2xuh6vdkpspy63sjmuny.us-east-1.es.amazonaws.com/_plugin/kibana/#/discover/Steve-Slow-Train-Analysis-(2080s-and-2083s)?_g=(refreshInterval:(display:Off,section:0,value:0),time:(from:'2016-10-06 04:48:14-0600',mode:absolute,to:'2016-10-06 08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6" s="109" t="str">
        <f t="shared" si="1"/>
        <v>"C:\Program Files (x86)\AstroGrep\AstroGrep.exe" /spath="%USERPROFILE%\AppData\Local\Temp\OnboardLogs" /stypes="*4045*201610061*" /stext=" 13:.+((SYSTEM_STATE.+slice.+state.+changed )|(ment ac)|(system.+state.+changed )|(\[timeout)|(PRM\|1\|D)|(kpr)|(kdp)|(\|lc)|(penalty))" /e /r /s</v>
      </c>
      <c r="U36" s="9" t="str">
        <f t="shared" si="2"/>
        <v>4045</v>
      </c>
      <c r="V36" s="38">
        <f t="shared" si="3"/>
        <v>42649.547071759262</v>
      </c>
      <c r="W36" s="52" t="str">
        <f t="shared" si="4"/>
        <v>EC</v>
      </c>
      <c r="X36" s="52" t="str">
        <f t="shared" si="5"/>
        <v>KEEP</v>
      </c>
      <c r="Y36" s="130" t="str">
        <f t="shared" si="6"/>
        <v>echo {"issue":{"subject":"","project_id":79,"tracker_id":40,"status_id":1,"priority_id":2,"assigned_to_id":23,"start_date":"2016-10-06","description":"","custom_fields":[{"id":1,"name":"Subdivision","value":"EC"},{"id":4,"name":"Milepost","value":"0.0001"},{"id":17,"name":"Train ID","value":"112-06"},{"id":16,"name":"Locomotive ID","value":"4045"},{"id":130,"name":"Impact","value":""},{"id":150,"name":"Time of Event (Mountain Time)","value":"07:07:47"},{"id":151,"name":"Denver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1" t="str">
        <f t="shared" si="7"/>
        <v>grep -hSE -A100 "Enforcement Action" "%USERPROFILE%\AppData\Local\Temp\OnboardLogs"\RTDC4045\*4045*201610061* | grep -SE "((Enforcement Ac)|(PRM))" -</v>
      </c>
    </row>
    <row r="37" spans="1:29" ht="15" customHeight="1" x14ac:dyDescent="0.25">
      <c r="A37" s="38">
        <v>42649.797673611109</v>
      </c>
      <c r="B37" s="33" t="s">
        <v>417</v>
      </c>
      <c r="C37" s="33" t="s">
        <v>575</v>
      </c>
      <c r="D37" s="33" t="s">
        <v>49</v>
      </c>
      <c r="E37" s="33" t="s">
        <v>50</v>
      </c>
      <c r="F37" s="49">
        <v>0</v>
      </c>
      <c r="G37" s="49">
        <v>53</v>
      </c>
      <c r="H37" s="49">
        <v>196</v>
      </c>
      <c r="I37" s="49">
        <v>129</v>
      </c>
      <c r="J37" s="33" t="s">
        <v>51</v>
      </c>
      <c r="K37" s="49">
        <v>1</v>
      </c>
      <c r="L37" s="146" t="s">
        <v>53</v>
      </c>
      <c r="M37" s="149">
        <f t="shared" si="0"/>
        <v>67.584000000000003</v>
      </c>
      <c r="N37" s="88" t="str">
        <f>VLOOKUP(C37,'Trips&amp;Operators'!$C$1:$E$99999,3,FALSE)</f>
        <v>HILLS</v>
      </c>
      <c r="O37" s="170" t="s">
        <v>86</v>
      </c>
      <c r="P37" s="10"/>
      <c r="Q37" s="33"/>
      <c r="R37" s="104" t="str">
        <f>VLOOKUP(C37,'Train Runs'!$A$13:$AE$10009,31,0)</f>
        <v>aws s3 cp s3://rtdc.mdm.uploadarchive.raw/RTDC4045/ "%USERPROFILE%\AppData\Local\Temp\OnboardLogs"\RTDC4045\2016-10-06 --exclude "*" --recursive --include "*20161006*" &amp; "%USERPROFILE%\Documents\GitHub\mrs-test-scripts\Headless Mode &amp; Sideloading\WalkAndUnGZ.bat" "%USERPROFILE%\AppData\Local\Temp\OnboardLogs"\RTDC4045\2016-10-06 &amp; 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</v>
      </c>
      <c r="S37" s="107" t="str">
        <f>VLOOKUP(C37,'Train Runs'!$A$13:$AE$10009,22,0)</f>
        <v>https://search-rtdc-monitor-bjffxe2xuh6vdkpspy63sjmuny.us-east-1.es.amazonaws.com/_plugin/kibana/#/discover/Steve-Slow-Train-Analysis-(2080s-and-2083s)?_g=(refreshInterval:(display:Off,section:0,value:0),time:(from:'2016-10-06 17:17:30-0600',mode:absolute,to:'2016-10-06 20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7" s="109" t="str">
        <f t="shared" si="1"/>
        <v>"C:\Program Files (x86)\AstroGrep\AstroGrep.exe" /spath="%USERPROFILE%\AppData\Local\Temp\OnboardLogs" /stypes="*4045*201610070*" /stext=" 01:.+((SYSTEM_STATE.+slice.+state.+changed )|(ment ac)|(system.+state.+changed )|(\[timeout)|(PRM\|1\|D)|(kpr)|(kdp)|(\|lc)|(penalty))" /e /r /s</v>
      </c>
      <c r="U37" s="9" t="str">
        <f t="shared" si="2"/>
        <v>4045</v>
      </c>
      <c r="V37" s="38">
        <f t="shared" si="3"/>
        <v>42650.047673611109</v>
      </c>
      <c r="W37" s="52" t="str">
        <f t="shared" si="4"/>
        <v>EC</v>
      </c>
      <c r="X37" s="52" t="str">
        <f t="shared" si="5"/>
        <v>KEEP</v>
      </c>
      <c r="Y37" s="130" t="str">
        <f t="shared" si="6"/>
        <v>echo {"issue":{"subject":"","project_id":79,"tracker_id":40,"status_id":1,"priority_id":2,"assigned_to_id":23,"start_date":"2016-10-06","description":"","custom_fields":[{"id":1,"name":"Subdivision","value":"EC"},{"id":4,"name":"Milepost","value":"0.0001"},{"id":17,"name":"Train ID","value":"212-06"},{"id":16,"name":"Locomotive ID","value":"4045"},{"id":130,"name":"Impact","value":""},{"id":150,"name":"Time of Event (Mountain Time)","value":"19:08:39"},{"id":151,"name":"Denver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1" t="str">
        <f t="shared" si="7"/>
        <v>grep -hSE -A100 "Enforcement Action" "%USERPROFILE%\AppData\Local\Temp\OnboardLogs"\RTDC4045\*4045*201610070* | grep -SE "((Enforcement Ac)|(PRM))" -</v>
      </c>
    </row>
    <row r="38" spans="1:29" x14ac:dyDescent="0.25">
      <c r="A38" s="38">
        <v>42649.817696759259</v>
      </c>
      <c r="B38" s="33" t="s">
        <v>317</v>
      </c>
      <c r="C38" s="33" t="s">
        <v>581</v>
      </c>
      <c r="D38" s="33" t="s">
        <v>49</v>
      </c>
      <c r="E38" s="33" t="s">
        <v>50</v>
      </c>
      <c r="F38" s="49">
        <v>0</v>
      </c>
      <c r="G38" s="49">
        <v>37</v>
      </c>
      <c r="H38" s="49">
        <v>97</v>
      </c>
      <c r="I38" s="49">
        <v>59</v>
      </c>
      <c r="J38" s="33" t="s">
        <v>51</v>
      </c>
      <c r="K38" s="49">
        <v>1</v>
      </c>
      <c r="L38" s="146" t="s">
        <v>53</v>
      </c>
      <c r="M38" s="149">
        <f t="shared" si="0"/>
        <v>30.623999999999999</v>
      </c>
      <c r="N38" s="88" t="str">
        <f>VLOOKUP(C38,'Trips&amp;Operators'!$C$1:$E$99999,3,FALSE)</f>
        <v>STORY</v>
      </c>
      <c r="O38" s="170" t="s">
        <v>86</v>
      </c>
      <c r="P38" s="10"/>
      <c r="Q38" s="33"/>
      <c r="R38" s="104" t="str">
        <f>VLOOKUP(C38,'Train Runs'!$A$13:$AE$10009,31,0)</f>
        <v>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 &amp; aws s3 cp s3://rtdc.mdm.uploadarchive.raw/RTDC4028/ "%USERPROFILE%\AppData\Local\Temp\OnboardLogs"\RTDC4028\2016-10-07 --exclude "*" --recursive --include "*20161007*" &amp; "%USERPROFILE%\Documents\GitHub\mrs-test-scripts\Headless Mode &amp; Sideloading\WalkAndUnGZ.bat" "%USERPROFILE%\AppData\Local\Temp\OnboardLogs"\RTDC4028\2016-10-07</v>
      </c>
      <c r="S38" s="107" t="str">
        <f>VLOOKUP(C38,'Train Runs'!$A$13:$AE$10009,22,0)</f>
        <v>https://search-rtdc-monitor-bjffxe2xuh6vdkpspy63sjmuny.us-east-1.es.amazonaws.com/_plugin/kibana/#/discover/Steve-Slow-Train-Analysis-(2080s-and-2083s)?_g=(refreshInterval:(display:Off,section:0,value:0),time:(from:'2016-10-06 17:46:22-0600',mode:absolute,to:'2016-10-06 20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38" s="109" t="str">
        <f t="shared" si="1"/>
        <v>"C:\Program Files (x86)\AstroGrep\AstroGrep.exe" /spath="%USERPROFILE%\AppData\Local\Temp\OnboardLogs" /stypes="*4028*201610070*" /stext=" 01:.+((SYSTEM_STATE.+slice.+state.+changed )|(ment ac)|(system.+state.+changed )|(\[timeout)|(PRM\|1\|D)|(kpr)|(kdp)|(\|lc)|(penalty))" /e /r /s</v>
      </c>
      <c r="U38" s="9" t="str">
        <f t="shared" si="2"/>
        <v>4028</v>
      </c>
      <c r="V38" s="38">
        <f t="shared" si="3"/>
        <v>42650.067696759259</v>
      </c>
      <c r="W38" s="52" t="str">
        <f t="shared" si="4"/>
        <v>EC</v>
      </c>
      <c r="X38" s="52" t="str">
        <f t="shared" si="5"/>
        <v>KEEP</v>
      </c>
      <c r="Y38" s="130" t="str">
        <f t="shared" si="6"/>
        <v>echo {"issue":{"subject":"","project_id":79,"tracker_id":40,"status_id":1,"priority_id":2,"assigned_to_id":23,"start_date":"2016-10-06","description":"","custom_fields":[{"id":1,"name":"Subdivision","value":"EC"},{"id":4,"name":"Milepost","value":"0.0001"},{"id":17,"name":"Train ID","value":"216-06"},{"id":16,"name":"Locomotive ID","value":"4028"},{"id":130,"name":"Impact","value":""},{"id":150,"name":"Time of Event (Mountain Time)","value":"19:37:29"},{"id":151,"name":"Denver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1" t="str">
        <f t="shared" si="7"/>
        <v>grep -hSE -A100 "Enforcement Action" "%USERPROFILE%\AppData\Local\Temp\OnboardLogs"\RTDC4028\*4028*201610070* | grep -SE "((Enforcement Ac)|(PRM))" -</v>
      </c>
    </row>
    <row r="39" spans="1:29" x14ac:dyDescent="0.25">
      <c r="A39" s="38">
        <v>42649.980057870373</v>
      </c>
      <c r="B39" s="33" t="s">
        <v>391</v>
      </c>
      <c r="C39" s="33" t="s">
        <v>609</v>
      </c>
      <c r="D39" s="33" t="s">
        <v>49</v>
      </c>
      <c r="E39" s="33" t="s">
        <v>50</v>
      </c>
      <c r="F39" s="49">
        <v>0</v>
      </c>
      <c r="G39" s="49">
        <v>85</v>
      </c>
      <c r="H39" s="49">
        <v>347</v>
      </c>
      <c r="I39" s="49">
        <v>251</v>
      </c>
      <c r="J39" s="33" t="s">
        <v>51</v>
      </c>
      <c r="K39" s="49">
        <v>1</v>
      </c>
      <c r="L39" s="146" t="s">
        <v>53</v>
      </c>
      <c r="M39" s="149">
        <f t="shared" ref="M39:M62" si="8">CONVERT((I39-K39)/10000,"mi","ft")*IF(L39="Increasing Mileposts (1)",-1,1)</f>
        <v>132</v>
      </c>
      <c r="N39" s="88" t="str">
        <f>VLOOKUP(C39,'Trips&amp;Operators'!$C$1:$E$99999,3,FALSE)</f>
        <v>LEVIN</v>
      </c>
      <c r="O39" s="170" t="s">
        <v>86</v>
      </c>
      <c r="P39" s="10"/>
      <c r="Q39" s="33"/>
      <c r="R39" s="104" t="str">
        <f>VLOOKUP(C39,'Train Runs'!$A$13:$AE$10009,31,0)</f>
        <v>aws s3 cp s3://rtdc.mdm.uploadarchive.raw/RTDC4043/ "%USERPROFILE%\AppData\Local\Temp\OnboardLogs"\RTDC4043\2016-10-06 --exclude "*" --recursive --include "*20161006*" &amp; "%USERPROFILE%\Documents\GitHub\mrs-test-scripts\Headless Mode &amp; Sideloading\WalkAndUnGZ.bat" "%USERPROFILE%\AppData\Local\Temp\OnboardLogs"\RTDC4043\2016-10-06 &amp; aws s3 cp s3://rtdc.mdm.uploadarchive.raw/RTDC4043/ "%USERPROFILE%\AppData\Local\Temp\OnboardLogs"\RTDC4043\2016-10-07 --exclude "*" --recursive --include "*20161007*" &amp; "%USERPROFILE%\Documents\GitHub\mrs-test-scripts\Headless Mode &amp; Sideloading\WalkAndUnGZ.bat" "%USERPROFILE%\AppData\Local\Temp\OnboardLogs"\RTDC4043\2016-10-07</v>
      </c>
      <c r="S39" s="107" t="str">
        <f>VLOOKUP(C39,'Train Runs'!$A$13:$AE$10009,22,0)</f>
        <v>https://search-rtdc-monitor-bjffxe2xuh6vdkpspy63sjmuny.us-east-1.es.amazonaws.com/_plugin/kibana/#/discover/Steve-Slow-Train-Analysis-(2080s-and-2083s)?_g=(refreshInterval:(display:Off,section:0,value:0),time:(from:'2016-10-06 21:49:45-0600',mode:absolute,to:'2016-10-07 00:31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9" s="109" t="str">
        <f t="shared" ref="T39:T62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/stypes="*4043*201610070*" /stext=" 05:.+((SYSTEM_STATE.+slice.+state.+changed )|(ment ac)|(system.+state.+changed )|(\[timeout)|(PRM\|1\|D)|(kpr)|(kdp)|(\|lc)|(penalty))" /e /r /s</v>
      </c>
      <c r="U39" s="9" t="str">
        <f t="shared" ref="U39:U62" si="10">MID(B39,13,4)</f>
        <v>4043</v>
      </c>
      <c r="V39" s="38">
        <f t="shared" ref="V39:V62" si="11">A39+6/24</f>
        <v>42650.230057870373</v>
      </c>
      <c r="W39" s="52" t="str">
        <f t="shared" ref="W39:W62" si="12">IF(VALUE(LEFT(IF(LEN(C39)=6,"0"&amp;C39,C39),2))&lt;=2,"EC",IF(OR(VALUE(LEFT(IF(LEN(C39)=6,"0"&amp;C39,C39),2))=8,VALUE(LEFT(IF(LEN(C39)=6,"0"&amp;C39,C39),2))=18),"NW","Other"))</f>
        <v>EC</v>
      </c>
      <c r="X39" s="52" t="str">
        <f t="shared" ref="X39:X62" si="13">IF(AND(E39="TRACK WARRANT AUTHORITY",G39&lt;10),"OMIT","KEEP")</f>
        <v>KEEP</v>
      </c>
      <c r="Y39" s="130" t="str">
        <f t="shared" ref="Y39:Y62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{"issue":{"subject":"","project_id":79,"tracker_id":40,"status_id":1,"priority_id":2,"assigned_to_id":23,"start_date":"2016-10-06","description":"","custom_fields":[{"id":1,"name":"Subdivision","value":"EC"},{"id":4,"name":"Milepost","value":"0.0001"},{"id":17,"name":"Train ID","value":"234-06"},{"id":16,"name":"Locomotive ID","value":"4043"},{"id":130,"name":"Impact","value":""},{"id":150,"name":"Time of Event (Mountain Time)","value":"23:31:17"},{"id":151,"name":"Denver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1" t="str">
        <f t="shared" ref="AC39:AC62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"%USERPROFILE%\AppData\Local\Temp\OnboardLogs"\RTDC4043\*4043*201610070* | grep -SE "((Enforcement Ac)|(PRM))" -</v>
      </c>
    </row>
    <row r="40" spans="1:29" x14ac:dyDescent="0.25">
      <c r="A40" s="38">
        <v>42649.601956018516</v>
      </c>
      <c r="B40" s="33" t="s">
        <v>424</v>
      </c>
      <c r="C40" s="33" t="s">
        <v>520</v>
      </c>
      <c r="D40" s="33" t="s">
        <v>49</v>
      </c>
      <c r="E40" s="33" t="s">
        <v>163</v>
      </c>
      <c r="F40" s="49">
        <v>0</v>
      </c>
      <c r="G40" s="49">
        <v>29</v>
      </c>
      <c r="H40" s="49">
        <v>10640</v>
      </c>
      <c r="I40" s="49">
        <v>10665</v>
      </c>
      <c r="J40" s="33" t="s">
        <v>162</v>
      </c>
      <c r="K40" s="49">
        <v>10714</v>
      </c>
      <c r="L40" s="146" t="s">
        <v>52</v>
      </c>
      <c r="M40" s="149">
        <f t="shared" si="8"/>
        <v>25.872</v>
      </c>
      <c r="N40" s="88" t="str">
        <f>VLOOKUP(C40,'Trips&amp;Operators'!$C$1:$E$99999,3,FALSE)</f>
        <v>PUGH</v>
      </c>
      <c r="O40" s="170" t="s">
        <v>86</v>
      </c>
      <c r="P40" s="10" t="s">
        <v>838</v>
      </c>
      <c r="Q40" s="33"/>
      <c r="R40" s="104" t="str">
        <f>VLOOKUP(C40,'Train Runs'!$A$13:$AE$10009,31,0)</f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S40" s="107" t="str">
        <f>VLOOKUP(C40,'Train Runs'!$A$13:$AE$10009,22,0)</f>
        <v>https://search-rtdc-monitor-bjffxe2xuh6vdkpspy63sjmuny.us-east-1.es.amazonaws.com/_plugin/kibana/#/discover/Steve-Slow-Train-Analysis-(2080s-and-2083s)?_g=(refreshInterval:(display:Off,section:0,value:0),time:(from:'2016-10-06 13:19:20-0600',mode:absolute,to:'2016-10-06 15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0" s="109" t="str">
        <f t="shared" si="9"/>
        <v>"C:\Program Files (x86)\AstroGrep\AstroGrep.exe" /spath="%USERPROFILE%\AppData\Local\Temp\OnboardLogs" /stypes="*4029*201610062*" /stext=" 20:.+((SYSTEM_STATE.+slice.+state.+changed )|(ment ac)|(system.+state.+changed )|(\[timeout)|(PRM\|1\|D)|(kpr)|(kdp)|(\|lc)|(penalty))" /e /r /s</v>
      </c>
      <c r="U40" s="9" t="str">
        <f t="shared" si="10"/>
        <v>4029</v>
      </c>
      <c r="V40" s="38">
        <f t="shared" si="11"/>
        <v>42649.851956018516</v>
      </c>
      <c r="W40" s="52" t="str">
        <f t="shared" si="12"/>
        <v>NW</v>
      </c>
      <c r="X40" s="52" t="str">
        <f t="shared" si="13"/>
        <v>KEEP</v>
      </c>
      <c r="Y40" s="130" t="str">
        <f t="shared" si="14"/>
        <v>echo {"issue":{"subject":"Form C","project_id":79,"tracker_id":40,"status_id":1,"priority_id":2,"assigned_to_id":23,"start_date":"2016-10-06","description":"","custom_fields":[{"id":1,"name":"Subdivision","value":"NW"},{"id":4,"name":"Milepost","value":"1.0714"},{"id":17,"name":"Train ID","value":"823-06"},{"id":16,"name":"Locomotive ID","value":"4029"},{"id":130,"name":"Impact","value":""},{"id":150,"name":"Time of Event (Mountain Time)","value":"14:26:49"},{"id":151,"name":"Denver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1" t="str">
        <f t="shared" si="15"/>
        <v>grep -hSE -A100 "Enforcement Action" "%USERPROFILE%\AppData\Local\Temp\OnboardLogs"\RTDC4029\*4029*201610062* | grep -SE "((Enforcement Ac)|(PRM))" -</v>
      </c>
    </row>
    <row r="41" spans="1:29" x14ac:dyDescent="0.25">
      <c r="A41" s="38">
        <v>42649.744108796294</v>
      </c>
      <c r="B41" s="33" t="s">
        <v>260</v>
      </c>
      <c r="C41" s="33" t="s">
        <v>563</v>
      </c>
      <c r="D41" s="33" t="s">
        <v>49</v>
      </c>
      <c r="E41" s="33" t="s">
        <v>163</v>
      </c>
      <c r="F41" s="49">
        <v>0</v>
      </c>
      <c r="G41" s="49">
        <v>501</v>
      </c>
      <c r="H41" s="49">
        <v>17025</v>
      </c>
      <c r="I41" s="49">
        <v>15490</v>
      </c>
      <c r="J41" s="33" t="s">
        <v>162</v>
      </c>
      <c r="K41" s="49">
        <v>15777</v>
      </c>
      <c r="L41" s="146" t="s">
        <v>53</v>
      </c>
      <c r="M41" s="149">
        <f t="shared" si="8"/>
        <v>-151.536</v>
      </c>
      <c r="N41" s="88" t="str">
        <f>VLOOKUP(C41,'Trips&amp;Operators'!$C$1:$E$99999,3,FALSE)</f>
        <v>PUGH</v>
      </c>
      <c r="O41" s="170" t="s">
        <v>622</v>
      </c>
      <c r="P41" s="10" t="s">
        <v>839</v>
      </c>
      <c r="Q41" s="33"/>
      <c r="R41" s="104" t="str">
        <f>VLOOKUP(C41,'Train Runs'!$A$13:$AE$10009,31,0)</f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S41" s="107" t="str">
        <f>VLOOKUP(C41,'Train Runs'!$A$13:$AE$10009,22,0)</f>
        <v>https://search-rtdc-monitor-bjffxe2xuh6vdkpspy63sjmuny.us-east-1.es.amazonaws.com/_plugin/kibana/#/discover/Steve-Slow-Train-Analysis-(2080s-and-2083s)?_g=(refreshInterval:(display:Off,section:0,value:0),time:(from:'2016-10-06 16:36:54-0600',mode:absolute,to:'2016-10-06 18:59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41" s="109" t="str">
        <f t="shared" si="9"/>
        <v>"C:\Program Files (x86)\AstroGrep\AstroGrep.exe" /spath="%USERPROFILE%\AppData\Local\Temp\OnboardLogs" /stypes="*4030*201610062*" /stext=" 23:.+((SYSTEM_STATE.+slice.+state.+changed )|(ment ac)|(system.+state.+changed )|(\[timeout)|(PRM\|1\|D)|(kpr)|(kdp)|(\|lc)|(penalty))" /e /r /s</v>
      </c>
      <c r="U41" s="9" t="str">
        <f t="shared" si="10"/>
        <v>4030</v>
      </c>
      <c r="V41" s="38">
        <f t="shared" si="11"/>
        <v>42649.994108796294</v>
      </c>
      <c r="W41" s="52" t="str">
        <f t="shared" si="12"/>
        <v>NW</v>
      </c>
      <c r="X41" s="52" t="str">
        <f t="shared" si="13"/>
        <v>KEEP</v>
      </c>
      <c r="Y41" s="130" t="str">
        <f t="shared" si="14"/>
        <v>echo {"issue":{"subject":"Early arrival - Ped Xing","project_id":79,"tracker_id":40,"status_id":1,"priority_id":2,"assigned_to_id":23,"start_date":"2016-10-06","description":"","custom_fields":[{"id":1,"name":"Subdivision","value":"NW"},{"id":4,"name":"Milepost","value":"1.5777"},{"id":17,"name":"Train ID","value":"834-06"},{"id":16,"name":"Locomotive ID","value":"4030"},{"id":130,"name":"Impact","value":""},{"id":150,"name":"Time of Event (Mountain Time)","value":"17:51:31"},{"id":151,"name":"Denver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1" t="str">
        <f t="shared" si="15"/>
        <v>grep -hSE -A100 "Enforcement Action" "%USERPROFILE%\AppData\Local\Temp\OnboardLogs"\RTDC4030\*4030*201610062* | grep -SE "((Enforcement Ac)|(PRM))" -</v>
      </c>
    </row>
    <row r="42" spans="1:29" x14ac:dyDescent="0.25">
      <c r="A42" s="38">
        <v>42649.688923611109</v>
      </c>
      <c r="B42" s="33" t="s">
        <v>424</v>
      </c>
      <c r="C42" s="33" t="s">
        <v>544</v>
      </c>
      <c r="D42" s="33" t="s">
        <v>49</v>
      </c>
      <c r="E42" s="33" t="s">
        <v>56</v>
      </c>
      <c r="F42" s="49">
        <v>150</v>
      </c>
      <c r="G42" s="49">
        <v>333</v>
      </c>
      <c r="H42" s="49">
        <v>56173</v>
      </c>
      <c r="I42" s="49">
        <v>56817</v>
      </c>
      <c r="J42" s="33" t="s">
        <v>57</v>
      </c>
      <c r="K42" s="49">
        <v>57008</v>
      </c>
      <c r="L42" s="146" t="s">
        <v>52</v>
      </c>
      <c r="M42" s="149">
        <f t="shared" si="8"/>
        <v>100.848</v>
      </c>
      <c r="N42" s="88" t="str">
        <f>VLOOKUP(C42,'Trips&amp;Operators'!$C$1:$E$99999,3,FALSE)</f>
        <v>PUGH</v>
      </c>
      <c r="O42" s="170" t="s">
        <v>86</v>
      </c>
      <c r="P42" s="10"/>
      <c r="Q42" s="33"/>
      <c r="R42" s="104" t="str">
        <f>VLOOKUP(C42,'Train Runs'!$A$13:$AE$10009,31,0)</f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S42" s="107" t="str">
        <f>VLOOKUP(C42,'Train Runs'!$A$13:$AE$10009,22,0)</f>
        <v>https://search-rtdc-monitor-bjffxe2xuh6vdkpspy63sjmuny.us-east-1.es.amazonaws.com/_plugin/kibana/#/discover/Steve-Slow-Train-Analysis-(2080s-and-2083s)?_g=(refreshInterval:(display:Off,section:0,value:0),time:(from:'2016-10-06 15:13:47-0600',mode:absolute,to:'2016-10-06 17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2" s="109" t="str">
        <f t="shared" si="9"/>
        <v>"C:\Program Files (x86)\AstroGrep\AstroGrep.exe" /spath="%USERPROFILE%\AppData\Local\Temp\OnboardLogs" /stypes="*4029*201610062*" /stext=" 22:.+((SYSTEM_STATE.+slice.+state.+changed )|(ment ac)|(system.+state.+changed )|(\[timeout)|(PRM\|1\|D)|(kpr)|(kdp)|(\|lc)|(penalty))" /e /r /s</v>
      </c>
      <c r="U42" s="9" t="str">
        <f t="shared" si="10"/>
        <v>4029</v>
      </c>
      <c r="V42" s="38">
        <f t="shared" si="11"/>
        <v>42649.938923611109</v>
      </c>
      <c r="W42" s="52" t="str">
        <f t="shared" si="12"/>
        <v>NW</v>
      </c>
      <c r="X42" s="52" t="str">
        <f t="shared" si="13"/>
        <v>KEEP</v>
      </c>
      <c r="Y42" s="130" t="str">
        <f t="shared" si="14"/>
        <v>echo {"issue":{"subject":"","project_id":79,"tracker_id":40,"status_id":1,"priority_id":2,"assigned_to_id":23,"start_date":"2016-10-06","description":"","custom_fields":[{"id":1,"name":"Subdivision","value":"NW"},{"id":4,"name":"Milepost","value":"5.7008"},{"id":17,"name":"Train ID","value":"829-06"},{"id":16,"name":"Locomotive ID","value":"4029"},{"id":130,"name":"Impact","value":""},{"id":150,"name":"Time of Event (Mountain Time)","value":"16:32:03"},{"id":151,"name":"Denver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1" t="str">
        <f t="shared" si="15"/>
        <v>grep -hSE -A100 "Enforcement Action" "%USERPROFILE%\AppData\Local\Temp\OnboardLogs"\RTDC4029\*4029*201610062* | grep -SE "((Enforcement Ac)|(PRM))" -</v>
      </c>
    </row>
    <row r="43" spans="1:29" x14ac:dyDescent="0.25">
      <c r="A43" s="38">
        <v>42649.28020833333</v>
      </c>
      <c r="B43" s="33" t="s">
        <v>260</v>
      </c>
      <c r="C43" s="33" t="s">
        <v>428</v>
      </c>
      <c r="D43" s="33" t="s">
        <v>105</v>
      </c>
      <c r="E43" s="33" t="s">
        <v>56</v>
      </c>
      <c r="F43" s="49">
        <v>150</v>
      </c>
      <c r="G43" s="49">
        <v>213</v>
      </c>
      <c r="H43" s="49">
        <v>56950</v>
      </c>
      <c r="I43" s="49">
        <v>56485</v>
      </c>
      <c r="J43" s="33" t="s">
        <v>57</v>
      </c>
      <c r="K43" s="49">
        <v>59050</v>
      </c>
      <c r="L43" s="146" t="s">
        <v>53</v>
      </c>
      <c r="M43" s="149">
        <f t="shared" si="8"/>
        <v>-1354.32</v>
      </c>
      <c r="N43" s="88" t="str">
        <f>VLOOKUP(C43,'Trips&amp;Operators'!$C$1:$E$99999,3,FALSE)</f>
        <v>GEBRETEKLE</v>
      </c>
      <c r="O43" s="170" t="s">
        <v>86</v>
      </c>
      <c r="P43" s="10"/>
      <c r="Q43" s="33"/>
      <c r="R43" s="104" t="str">
        <f>VLOOKUP(C43,'Train Runs'!$A$13:$AE$10009,31,0)</f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S43" s="107" t="str">
        <f>VLOOKUP(C43,'Train Runs'!$A$13:$AE$10009,22,0)</f>
        <v>https://search-rtdc-monitor-bjffxe2xuh6vdkpspy63sjmuny.us-east-1.es.amazonaws.com/_plugin/kibana/#/discover/Steve-Slow-Train-Analysis-(2080s-and-2083s)?_g=(refreshInterval:(display:Off,section:0,value:0),time:(from:'2016-10-06 05:37:00-0600',mode:absolute,to:'2016-10-06 07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43" s="109" t="str">
        <f t="shared" si="9"/>
        <v>"C:\Program Files (x86)\AstroGrep\AstroGrep.exe" /spath="%USERPROFILE%\AppData\Local\Temp\OnboardLogs" /stypes="*4030*201610061*" /stext=" 12:.+((SYSTEM_STATE.+slice.+state.+changed )|(ment ac)|(system.+state.+changed )|(\[timeout)|(PRM\|1\|D)|(kpr)|(kdp)|(\|lc)|(penalty))" /e /r /s</v>
      </c>
      <c r="U43" s="9" t="str">
        <f t="shared" si="10"/>
        <v>4030</v>
      </c>
      <c r="V43" s="38">
        <f t="shared" si="11"/>
        <v>42649.53020833333</v>
      </c>
      <c r="W43" s="52" t="str">
        <f t="shared" si="12"/>
        <v>NW</v>
      </c>
      <c r="X43" s="52" t="str">
        <f t="shared" si="13"/>
        <v>KEEP</v>
      </c>
      <c r="Y43" s="130" t="str">
        <f t="shared" si="14"/>
        <v>echo {"issue":{"subject":"","project_id":79,"tracker_id":40,"status_id":1,"priority_id":2,"assigned_to_id":23,"start_date":"2016-10-06","description":"","custom_fields":[{"id":1,"name":"Subdivision","value":"NW"},{"id":4,"name":"Milepost","value":"5.905"},{"id":17,"name":"Train ID","value":"804-06"},{"id":16,"name":"Locomotive ID","value":"4030"},{"id":130,"name":"Impact","value":""},{"id":150,"name":"Time of Event (Mountain Time)","value":"06:43:30"},{"id":151,"name":"Denver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1" t="str">
        <f t="shared" si="15"/>
        <v>grep -hSE -A100 "Enforcement Action" "%USERPROFILE%\AppData\Local\Temp\OnboardLogs"\RTDC4030\*4030*201610061* | grep -SE "((Enforcement Ac)|(PRM))" -</v>
      </c>
    </row>
    <row r="44" spans="1:29" x14ac:dyDescent="0.25">
      <c r="A44" s="38">
        <v>42649.452511574076</v>
      </c>
      <c r="B44" s="33" t="s">
        <v>260</v>
      </c>
      <c r="C44" s="33" t="s">
        <v>479</v>
      </c>
      <c r="D44" s="33" t="s">
        <v>105</v>
      </c>
      <c r="E44" s="33" t="s">
        <v>54</v>
      </c>
      <c r="F44" s="49">
        <v>0</v>
      </c>
      <c r="G44" s="49">
        <v>114</v>
      </c>
      <c r="H44" s="49">
        <v>11000</v>
      </c>
      <c r="I44" s="49">
        <v>10710</v>
      </c>
      <c r="J44" s="33" t="s">
        <v>55</v>
      </c>
      <c r="K44" s="49">
        <v>11016</v>
      </c>
      <c r="L44" s="146" t="s">
        <v>53</v>
      </c>
      <c r="M44" s="149">
        <f t="shared" si="8"/>
        <v>-161.56800000000001</v>
      </c>
      <c r="N44" s="88" t="str">
        <f>VLOOKUP(C44,'Trips&amp;Operators'!$C$1:$E$99999,3,FALSE)</f>
        <v>GEBRETEKLE</v>
      </c>
      <c r="O44" s="170" t="s">
        <v>622</v>
      </c>
      <c r="P44" s="10" t="s">
        <v>841</v>
      </c>
      <c r="Q44" s="33"/>
      <c r="R44" s="104" t="str">
        <f>VLOOKUP(C44,'Train Runs'!$A$13:$AE$10009,31,0)</f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S44" s="107" t="str">
        <f>VLOOKUP(C44,'Train Runs'!$A$13:$AE$10009,22,0)</f>
        <v>https://search-rtdc-monitor-bjffxe2xuh6vdkpspy63sjmuny.us-east-1.es.amazonaws.com/_plugin/kibana/#/discover/Steve-Slow-Train-Analysis-(2080s-and-2083s)?_g=(refreshInterval:(display:Off,section:0,value:0),time:(from:'2016-10-06 09:36:59-0600',mode:absolute,to:'2016-10-06 11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44" s="109" t="str">
        <f t="shared" si="9"/>
        <v>"C:\Program Files (x86)\AstroGrep\AstroGrep.exe" /spath="%USERPROFILE%\AppData\Local\Temp\OnboardLogs" /stypes="*4030*201610061*" /stext=" 16:.+((SYSTEM_STATE.+slice.+state.+changed )|(ment ac)|(system.+state.+changed )|(\[timeout)|(PRM\|1\|D)|(kpr)|(kdp)|(\|lc)|(penalty))" /e /r /s</v>
      </c>
      <c r="U44" s="9" t="str">
        <f t="shared" si="10"/>
        <v>4030</v>
      </c>
      <c r="V44" s="38">
        <f t="shared" si="11"/>
        <v>42649.702511574076</v>
      </c>
      <c r="W44" s="52" t="str">
        <f t="shared" si="12"/>
        <v>NW</v>
      </c>
      <c r="X44" s="52" t="str">
        <f t="shared" si="13"/>
        <v>KEEP</v>
      </c>
      <c r="Y44" s="130" t="str">
        <f t="shared" si="14"/>
        <v>echo {"issue":{"subject":"Poor GPS at I-25 bridge","project_id":79,"tracker_id":40,"status_id":1,"priority_id":2,"assigned_to_id":23,"start_date":"2016-10-06","description":"Jury is still out on if poor GPS is indeed the culprit here, but this is our continuing hypothesis for the time being","custom_fields":[{"id":1,"name":"Subdivision","value":"NW"},{"id":4,"name":"Milepost","value":"1.1016"},{"id":17,"name":"Train ID","value":"816-06"},{"id":16,"name":"Locomotive ID","value":"4030"},{"id":130,"name":"Impact","value":"Enforcement"},{"id":150,"name":"Time of Event (Mountain Time)","value":"10:51:37"},{"id":151,"name":"Denver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44" s="55" t="s">
        <v>842</v>
      </c>
      <c r="AA44" s="55" t="s">
        <v>134</v>
      </c>
      <c r="AB44" s="23" t="s">
        <v>207</v>
      </c>
      <c r="AC44" s="171" t="str">
        <f t="shared" si="15"/>
        <v>grep -hSE -A100 "Enforcement Action" "%USERPROFILE%\AppData\Local\Temp\OnboardLogs"\RTDC4030\*4030*201610061* | grep -SE "((Enforcement Ac)|(PRM))" -</v>
      </c>
    </row>
    <row r="45" spans="1:29" x14ac:dyDescent="0.25">
      <c r="A45" s="38">
        <v>42649.852083333331</v>
      </c>
      <c r="B45" s="33" t="s">
        <v>424</v>
      </c>
      <c r="C45" s="33" t="s">
        <v>593</v>
      </c>
      <c r="D45" s="33" t="s">
        <v>49</v>
      </c>
      <c r="E45" s="33" t="s">
        <v>54</v>
      </c>
      <c r="F45" s="49">
        <v>0</v>
      </c>
      <c r="G45" s="49">
        <v>359</v>
      </c>
      <c r="H45" s="49">
        <v>18943</v>
      </c>
      <c r="I45" s="49">
        <v>19917</v>
      </c>
      <c r="J45" s="33" t="s">
        <v>55</v>
      </c>
      <c r="K45" s="49">
        <v>18990</v>
      </c>
      <c r="L45" s="146" t="s">
        <v>52</v>
      </c>
      <c r="M45" s="149">
        <f t="shared" si="8"/>
        <v>-489.45600000000002</v>
      </c>
      <c r="N45" s="88" t="str">
        <f>VLOOKUP(C45,'Trips&amp;Operators'!$C$1:$E$99999,3,FALSE)</f>
        <v>PUGH</v>
      </c>
      <c r="O45" s="170" t="s">
        <v>622</v>
      </c>
      <c r="P45" s="10" t="s">
        <v>843</v>
      </c>
      <c r="Q45" s="33"/>
      <c r="R45" s="104" t="str">
        <f>VLOOKUP(C45,'Train Runs'!$A$13:$AE$10009,31,0)</f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S45" s="107" t="str">
        <f>VLOOKUP(C45,'Train Runs'!$A$13:$AE$10009,22,0)</f>
        <v>https://search-rtdc-monitor-bjffxe2xuh6vdkpspy63sjmuny.us-east-1.es.amazonaws.com/_plugin/kibana/#/discover/Steve-Slow-Train-Analysis-(2080s-and-2083s)?_g=(refreshInterval:(display:Off,section:0,value:0),time:(from:'2016-10-06 19:16:05-0600',mode:absolute,to:'2016-10-06 21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5" s="109" t="str">
        <f t="shared" si="9"/>
        <v>"C:\Program Files (x86)\AstroGrep\AstroGrep.exe" /spath="%USERPROFILE%\AppData\Local\Temp\OnboardLogs" /stypes="*4029*201610070*" /stext=" 02:.+((SYSTEM_STATE.+slice.+state.+changed )|(ment ac)|(system.+state.+changed )|(\[timeout)|(PRM\|1\|D)|(kpr)|(kdp)|(\|lc)|(penalty))" /e /r /s</v>
      </c>
      <c r="U45" s="9" t="str">
        <f t="shared" si="10"/>
        <v>4029</v>
      </c>
      <c r="V45" s="38">
        <f t="shared" si="11"/>
        <v>42650.102083333331</v>
      </c>
      <c r="W45" s="52" t="str">
        <f t="shared" si="12"/>
        <v>NW</v>
      </c>
      <c r="X45" s="52" t="str">
        <f t="shared" si="13"/>
        <v>KEEP</v>
      </c>
      <c r="Y45" s="130" t="str">
        <f t="shared" si="14"/>
        <v>echo {"issue":{"subject":"Wi-MAX outage","project_id":79,"tracker_id":40,"status_id":1,"priority_id":2,"assigned_to_id":23,"start_date":"2016-10-06","description":"4029,,,,0:00:17.971661,2016-10-06 20:26:23.456538-06:00","custom_fields":[{"id":1,"name":"Subdivision","value":"NW"},{"id":4,"name":"Milepost","value":"1.899"},{"id":17,"name":"Train ID","value":"843-06"},{"id":16,"name":"Locomotive ID","value":"4029"},{"id":130,"name":"Impact","value":"Enforcement"},{"id":150,"name":"Time of Event (Mountain Time)","value":"20:27:00"},{"id":151,"name":"Denver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5" s="55" t="s">
        <v>844</v>
      </c>
      <c r="AA45" s="55" t="s">
        <v>134</v>
      </c>
      <c r="AB45" s="23" t="s">
        <v>147</v>
      </c>
      <c r="AC45" s="171" t="str">
        <f t="shared" si="15"/>
        <v>grep -hSE -A100 "Enforcement Action" "%USERPROFILE%\AppData\Local\Temp\OnboardLogs"\RTDC4029\*4029*201610070* | grep -SE "((Enforcement Ac)|(PRM))" -</v>
      </c>
    </row>
    <row r="46" spans="1:29" x14ac:dyDescent="0.25">
      <c r="A46" s="38">
        <v>42649.852824074071</v>
      </c>
      <c r="B46" s="33" t="s">
        <v>424</v>
      </c>
      <c r="C46" s="33" t="s">
        <v>593</v>
      </c>
      <c r="D46" s="33" t="s">
        <v>105</v>
      </c>
      <c r="E46" s="33" t="s">
        <v>54</v>
      </c>
      <c r="F46" s="49">
        <v>200</v>
      </c>
      <c r="G46" s="49">
        <v>256</v>
      </c>
      <c r="H46" s="49">
        <v>20803</v>
      </c>
      <c r="I46" s="49">
        <v>21469</v>
      </c>
      <c r="J46" s="33" t="s">
        <v>55</v>
      </c>
      <c r="K46" s="49">
        <v>18990</v>
      </c>
      <c r="L46" s="146" t="s">
        <v>52</v>
      </c>
      <c r="M46" s="149">
        <f t="shared" si="8"/>
        <v>-1308.912</v>
      </c>
      <c r="N46" s="88" t="str">
        <f>VLOOKUP(C46,'Trips&amp;Operators'!$C$1:$E$99999,3,FALSE)</f>
        <v>PUGH</v>
      </c>
      <c r="O46" s="170" t="s">
        <v>86</v>
      </c>
      <c r="P46" s="10" t="s">
        <v>286</v>
      </c>
      <c r="Q46" s="33"/>
      <c r="R46" s="104" t="str">
        <f>VLOOKUP(C46,'Train Runs'!$A$13:$AE$10009,31,0)</f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S46" s="107" t="str">
        <f>VLOOKUP(C46,'Train Runs'!$A$13:$AE$10009,22,0)</f>
        <v>https://search-rtdc-monitor-bjffxe2xuh6vdkpspy63sjmuny.us-east-1.es.amazonaws.com/_plugin/kibana/#/discover/Steve-Slow-Train-Analysis-(2080s-and-2083s)?_g=(refreshInterval:(display:Off,section:0,value:0),time:(from:'2016-10-06 19:16:05-0600',mode:absolute,to:'2016-10-06 21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6" s="109" t="str">
        <f t="shared" si="9"/>
        <v>"C:\Program Files (x86)\AstroGrep\AstroGrep.exe" /spath="%USERPROFILE%\AppData\Local\Temp\OnboardLogs" /stypes="*4029*201610070*" /stext=" 02:.+((SYSTEM_STATE.+slice.+state.+changed )|(ment ac)|(system.+state.+changed )|(\[timeout)|(PRM\|1\|D)|(kpr)|(kdp)|(\|lc)|(penalty))" /e /r /s</v>
      </c>
      <c r="U46" s="9" t="str">
        <f t="shared" si="10"/>
        <v>4029</v>
      </c>
      <c r="V46" s="38">
        <f t="shared" si="11"/>
        <v>42650.102824074071</v>
      </c>
      <c r="W46" s="52" t="str">
        <f t="shared" si="12"/>
        <v>NW</v>
      </c>
      <c r="X46" s="52" t="str">
        <f t="shared" si="13"/>
        <v>KEEP</v>
      </c>
      <c r="Y46" s="130" t="str">
        <f t="shared" si="14"/>
        <v>echo {"issue":{"subject":"Overspeed","project_id":79,"tracker_id":40,"status_id":1,"priority_id":2,"assigned_to_id":23,"start_date":"2016-10-06","description":"","custom_fields":[{"id":1,"name":"Subdivision","value":"NW"},{"id":4,"name":"Milepost","value":"1.899"},{"id":17,"name":"Train ID","value":"843-06"},{"id":16,"name":"Locomotive ID","value":"4029"},{"id":130,"name":"Impact","value":""},{"id":150,"name":"Time of Event (Mountain Time)","value":"20:28:04"},{"id":151,"name":"Denver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  <c r="AC46" s="171" t="str">
        <f t="shared" si="15"/>
        <v>grep -hSE -A100 "Enforcement Action" "%USERPROFILE%\AppData\Local\Temp\OnboardLogs"\RTDC4029\*4029*201610070* | grep -SE "((Enforcement Ac)|(PRM))" -</v>
      </c>
    </row>
    <row r="47" spans="1:29" x14ac:dyDescent="0.25">
      <c r="A47" s="38">
        <v>42649.853530092594</v>
      </c>
      <c r="B47" s="33" t="s">
        <v>424</v>
      </c>
      <c r="C47" s="33" t="s">
        <v>593</v>
      </c>
      <c r="D47" s="33" t="s">
        <v>105</v>
      </c>
      <c r="E47" s="33" t="s">
        <v>54</v>
      </c>
      <c r="F47" s="49">
        <v>200</v>
      </c>
      <c r="G47" s="49">
        <v>250</v>
      </c>
      <c r="H47" s="49">
        <v>22229</v>
      </c>
      <c r="I47" s="49">
        <v>23025</v>
      </c>
      <c r="J47" s="33" t="s">
        <v>55</v>
      </c>
      <c r="K47" s="49">
        <v>18990</v>
      </c>
      <c r="L47" s="146" t="s">
        <v>52</v>
      </c>
      <c r="M47" s="149">
        <f t="shared" si="8"/>
        <v>-2130.48</v>
      </c>
      <c r="N47" s="88" t="str">
        <f>VLOOKUP(C47,'Trips&amp;Operators'!$C$1:$E$99999,3,FALSE)</f>
        <v>PUGH</v>
      </c>
      <c r="O47" s="170" t="s">
        <v>86</v>
      </c>
      <c r="P47" s="10" t="s">
        <v>286</v>
      </c>
      <c r="Q47" s="33"/>
      <c r="R47" s="104" t="str">
        <f>VLOOKUP(C47,'Train Runs'!$A$13:$AE$10009,31,0)</f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S47" s="107" t="str">
        <f>VLOOKUP(C47,'Train Runs'!$A$13:$AE$10009,22,0)</f>
        <v>https://search-rtdc-monitor-bjffxe2xuh6vdkpspy63sjmuny.us-east-1.es.amazonaws.com/_plugin/kibana/#/discover/Steve-Slow-Train-Analysis-(2080s-and-2083s)?_g=(refreshInterval:(display:Off,section:0,value:0),time:(from:'2016-10-06 19:16:05-0600',mode:absolute,to:'2016-10-06 21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7" s="109" t="str">
        <f t="shared" si="9"/>
        <v>"C:\Program Files (x86)\AstroGrep\AstroGrep.exe" /spath="%USERPROFILE%\AppData\Local\Temp\OnboardLogs" /stypes="*4029*201610070*" /stext=" 02:.+((SYSTEM_STATE.+slice.+state.+changed )|(ment ac)|(system.+state.+changed )|(\[timeout)|(PRM\|1\|D)|(kpr)|(kdp)|(\|lc)|(penalty))" /e /r /s</v>
      </c>
      <c r="U47" s="9" t="str">
        <f t="shared" si="10"/>
        <v>4029</v>
      </c>
      <c r="V47" s="38">
        <f t="shared" si="11"/>
        <v>42650.103530092594</v>
      </c>
      <c r="W47" s="52" t="str">
        <f t="shared" si="12"/>
        <v>NW</v>
      </c>
      <c r="X47" s="52" t="str">
        <f t="shared" si="13"/>
        <v>KEEP</v>
      </c>
      <c r="Y47" s="130" t="str">
        <f t="shared" si="14"/>
        <v>echo {"issue":{"subject":"Overspeed","project_id":79,"tracker_id":40,"status_id":1,"priority_id":2,"assigned_to_id":23,"start_date":"2016-10-06","description":"","custom_fields":[{"id":1,"name":"Subdivision","value":"NW"},{"id":4,"name":"Milepost","value":"1.899"},{"id":17,"name":"Train ID","value":"843-06"},{"id":16,"name":"Locomotive ID","value":"4029"},{"id":130,"name":"Impact","value":""},{"id":150,"name":"Time of Event (Mountain Time)","value":"20:29:05"},{"id":151,"name":"Denver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  <c r="AC47" s="171" t="str">
        <f t="shared" si="15"/>
        <v>grep -hSE -A100 "Enforcement Action" "%USERPROFILE%\AppData\Local\Temp\OnboardLogs"\RTDC4029\*4029*201610070* | grep -SE "((Enforcement Ac)|(PRM))" -</v>
      </c>
    </row>
    <row r="48" spans="1:29" x14ac:dyDescent="0.25">
      <c r="A48" s="38">
        <v>42649.477395833332</v>
      </c>
      <c r="B48" s="33" t="s">
        <v>424</v>
      </c>
      <c r="C48" s="33" t="s">
        <v>487</v>
      </c>
      <c r="D48" s="33" t="s">
        <v>49</v>
      </c>
      <c r="E48" s="33" t="s">
        <v>54</v>
      </c>
      <c r="F48" s="49">
        <v>0</v>
      </c>
      <c r="G48" s="49">
        <v>296</v>
      </c>
      <c r="H48" s="49">
        <v>20608</v>
      </c>
      <c r="I48" s="49">
        <v>21413</v>
      </c>
      <c r="J48" s="33" t="s">
        <v>55</v>
      </c>
      <c r="K48" s="49">
        <v>22206</v>
      </c>
      <c r="L48" s="146" t="s">
        <v>52</v>
      </c>
      <c r="M48" s="149">
        <f t="shared" si="8"/>
        <v>418.70400000000001</v>
      </c>
      <c r="N48" s="88" t="str">
        <f>VLOOKUP(C48,'Trips&amp;Operators'!$C$1:$E$99999,3,FALSE)</f>
        <v>GEBRETEKLE</v>
      </c>
      <c r="O48" s="170" t="s">
        <v>622</v>
      </c>
      <c r="P48" s="10" t="s">
        <v>843</v>
      </c>
      <c r="Q48" s="33"/>
      <c r="R48" s="104" t="str">
        <f>VLOOKUP(C48,'Train Runs'!$A$13:$AE$10009,31,0)</f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S48" s="107" t="str">
        <f>VLOOKUP(C48,'Train Runs'!$A$13:$AE$10009,22,0)</f>
        <v>https://search-rtdc-monitor-bjffxe2xuh6vdkpspy63sjmuny.us-east-1.es.amazonaws.com/_plugin/kibana/#/discover/Steve-Slow-Train-Analysis-(2080s-and-2083s)?_g=(refreshInterval:(display:Off,section:0,value:0),time:(from:'2016-10-06 10:16:43-0600',mode:absolute,to:'2016-10-06 12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8" s="109" t="str">
        <f t="shared" si="9"/>
        <v>"C:\Program Files (x86)\AstroGrep\AstroGrep.exe" /spath="%USERPROFILE%\AppData\Local\Temp\OnboardLogs" /stypes="*4029*201610061*" /stext=" 17:.+((SYSTEM_STATE.+slice.+state.+changed )|(ment ac)|(system.+state.+changed )|(\[timeout)|(PRM\|1\|D)|(kpr)|(kdp)|(\|lc)|(penalty))" /e /r /s</v>
      </c>
      <c r="U48" s="9" t="str">
        <f t="shared" si="10"/>
        <v>4029</v>
      </c>
      <c r="V48" s="38">
        <f t="shared" si="11"/>
        <v>42649.727395833332</v>
      </c>
      <c r="W48" s="52" t="str">
        <f t="shared" si="12"/>
        <v>NW</v>
      </c>
      <c r="X48" s="52" t="str">
        <f t="shared" si="13"/>
        <v>KEEP</v>
      </c>
      <c r="Y48" s="130" t="str">
        <f t="shared" si="14"/>
        <v>echo {"issue":{"subject":"Wi-MAX outage","project_id":79,"tracker_id":40,"status_id":1,"priority_id":2,"assigned_to_id":23,"start_date":"2016-10-06","description":"4029,,,,0:00:32.932444,2016-10-06 11:26:47.984163-06:00","custom_fields":[{"id":1,"name":"Subdivision","value":"NW"},{"id":4,"name":"Milepost","value":"2.2206"},{"id":17,"name":"Train ID","value":"817-06"},{"id":16,"name":"Locomotive ID","value":"4029"},{"id":130,"name":"Impact","value":"Enforcement"},{"id":150,"name":"Time of Event (Mountain Time)","value":"11:27:27"},{"id":151,"name":"Denver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8" s="55" t="s">
        <v>845</v>
      </c>
      <c r="AA48" s="55" t="s">
        <v>134</v>
      </c>
      <c r="AB48" s="23" t="s">
        <v>147</v>
      </c>
      <c r="AC48" s="171" t="str">
        <f t="shared" si="15"/>
        <v>grep -hSE -A100 "Enforcement Action" "%USERPROFILE%\AppData\Local\Temp\OnboardLogs"\RTDC4029\*4029*201610061* | grep -SE "((Enforcement Ac)|(PRM))" -</v>
      </c>
    </row>
    <row r="49" spans="1:29" x14ac:dyDescent="0.25">
      <c r="A49" s="38">
        <v>42649.622291666667</v>
      </c>
      <c r="B49" s="33" t="s">
        <v>260</v>
      </c>
      <c r="C49" s="33" t="s">
        <v>525</v>
      </c>
      <c r="D49" s="33" t="s">
        <v>49</v>
      </c>
      <c r="E49" s="33" t="s">
        <v>50</v>
      </c>
      <c r="F49" s="49">
        <v>0</v>
      </c>
      <c r="G49" s="49">
        <v>128</v>
      </c>
      <c r="H49" s="49">
        <v>1111</v>
      </c>
      <c r="I49" s="49">
        <v>967</v>
      </c>
      <c r="J49" s="33" t="s">
        <v>51</v>
      </c>
      <c r="K49" s="49">
        <v>575</v>
      </c>
      <c r="L49" s="146" t="s">
        <v>53</v>
      </c>
      <c r="M49" s="149">
        <f t="shared" si="8"/>
        <v>206.976</v>
      </c>
      <c r="N49" s="88" t="str">
        <f>VLOOKUP(C49,'Trips&amp;Operators'!$C$1:$E$99999,3,FALSE)</f>
        <v>PUGH</v>
      </c>
      <c r="O49" s="170" t="s">
        <v>86</v>
      </c>
      <c r="P49" s="10"/>
      <c r="Q49" s="33"/>
      <c r="R49" s="104" t="str">
        <f>VLOOKUP(C49,'Train Runs'!$A$13:$AE$10009,31,0)</f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S49" s="107" t="str">
        <f>VLOOKUP(C49,'Train Runs'!$A$13:$AE$10009,22,0)</f>
        <v>https://search-rtdc-monitor-bjffxe2xuh6vdkpspy63sjmuny.us-east-1.es.amazonaws.com/_plugin/kibana/#/discover/Steve-Slow-Train-Analysis-(2080s-and-2083s)?_g=(refreshInterval:(display:Off,section:0,value:0),time:(from:'2016-10-06 13:40:11-0600',mode:absolute,to:'2016-10-06 15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49" s="109" t="str">
        <f t="shared" si="9"/>
        <v>"C:\Program Files (x86)\AstroGrep\AstroGrep.exe" /spath="%USERPROFILE%\AppData\Local\Temp\OnboardLogs" /stypes="*4030*201610062*" /stext=" 20:.+((SYSTEM_STATE.+slice.+state.+changed )|(ment ac)|(system.+state.+changed )|(\[timeout)|(PRM\|1\|D)|(kpr)|(kdp)|(\|lc)|(penalty))" /e /r /s</v>
      </c>
      <c r="U49" s="9" t="str">
        <f t="shared" si="10"/>
        <v>4030</v>
      </c>
      <c r="V49" s="38">
        <f t="shared" si="11"/>
        <v>42649.872291666667</v>
      </c>
      <c r="W49" s="52" t="str">
        <f t="shared" si="12"/>
        <v>NW</v>
      </c>
      <c r="X49" s="52" t="str">
        <f t="shared" si="13"/>
        <v>KEEP</v>
      </c>
      <c r="Y49" s="130" t="str">
        <f t="shared" si="14"/>
        <v>echo {"issue":{"subject":"","project_id":79,"tracker_id":40,"status_id":1,"priority_id":2,"assigned_to_id":23,"start_date":"2016-10-06","description":"","custom_fields":[{"id":1,"name":"Subdivision","value":"NW"},{"id":4,"name":"Milepost","value":"0.0575"},{"id":17,"name":"Train ID","value":"824-06"},{"id":16,"name":"Locomotive ID","value":"4030"},{"id":130,"name":"Impact","value":""},{"id":150,"name":"Time of Event (Mountain Time)","value":"14:56:06"},{"id":151,"name":"Denver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  <c r="AC49" s="171" t="str">
        <f t="shared" si="15"/>
        <v>grep -hSE -A100 "Enforcement Action" "%USERPROFILE%\AppData\Local\Temp\OnboardLogs"\RTDC4030\*4030*201610062* | grep -SE "((Enforcement Ac)|(PRM))" -</v>
      </c>
    </row>
    <row r="50" spans="1:29" x14ac:dyDescent="0.25">
      <c r="A50" s="38">
        <v>42649.726111111115</v>
      </c>
      <c r="B50" s="33" t="s">
        <v>409</v>
      </c>
      <c r="C50" s="33" t="s">
        <v>554</v>
      </c>
      <c r="D50" s="33" t="s">
        <v>49</v>
      </c>
      <c r="E50" s="33" t="s">
        <v>50</v>
      </c>
      <c r="F50" s="49">
        <v>0</v>
      </c>
      <c r="G50" s="49">
        <v>40</v>
      </c>
      <c r="H50" s="49">
        <v>647</v>
      </c>
      <c r="I50" s="49">
        <v>638</v>
      </c>
      <c r="J50" s="33" t="s">
        <v>51</v>
      </c>
      <c r="K50" s="49">
        <v>575</v>
      </c>
      <c r="L50" s="146" t="s">
        <v>53</v>
      </c>
      <c r="M50" s="149">
        <f t="shared" si="8"/>
        <v>33.264000000000003</v>
      </c>
      <c r="N50" s="88" t="str">
        <f>VLOOKUP(C50,'Trips&amp;Operators'!$C$1:$E$99999,3,FALSE)</f>
        <v>YANAI</v>
      </c>
      <c r="O50" s="170" t="s">
        <v>86</v>
      </c>
      <c r="P50" s="10"/>
      <c r="Q50" s="33"/>
      <c r="R50" s="104" t="str">
        <f>VLOOKUP(C50,'Train Runs'!$A$13:$AE$10009,31,0)</f>
        <v>aws s3 cp s3://rtdc.mdm.uploadarchive.raw/RTDC4054/ "%USERPROFILE%\AppData\Local\Temp\OnboardLogs"\RTDC4054\2016-10-06 --exclude "*" --recursive --include "*20161006*" &amp; "%USERPROFILE%\Documents\GitHub\mrs-test-scripts\Headless Mode &amp; Sideloading\WalkAndUnGZ.bat" "%USERPROFILE%\AppData\Local\Temp\OnboardLogs"\RTDC4054\2016-10-06 &amp; 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</v>
      </c>
      <c r="S50" s="107" t="str">
        <f>VLOOKUP(C50,'Train Runs'!$A$13:$AE$10009,22,0)</f>
        <v>https://search-rtdc-monitor-bjffxe2xuh6vdkpspy63sjmuny.us-east-1.es.amazonaws.com/_plugin/kibana/#/discover/Steve-Slow-Train-Analysis-(2080s-and-2083s)?_g=(refreshInterval:(display:Off,section:0,value:0),time:(from:'2016-10-06 16:06:03-0600',mode:absolute,to:'2016-10-06 18:24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50" s="109" t="str">
        <f t="shared" si="9"/>
        <v>"C:\Program Files (x86)\AstroGrep\AstroGrep.exe" /spath="%USERPROFILE%\AppData\Local\Temp\OnboardLogs" /stypes="*4054*201610062*" /stext=" 23:.+((SYSTEM_STATE.+slice.+state.+changed )|(ment ac)|(system.+state.+changed )|(\[timeout)|(PRM\|1\|D)|(kpr)|(kdp)|(\|lc)|(penalty))" /e /r /s</v>
      </c>
      <c r="U50" s="9" t="str">
        <f t="shared" si="10"/>
        <v>4054</v>
      </c>
      <c r="V50" s="38">
        <f t="shared" si="11"/>
        <v>42649.976111111115</v>
      </c>
      <c r="W50" s="52" t="str">
        <f t="shared" si="12"/>
        <v>NW</v>
      </c>
      <c r="X50" s="52" t="str">
        <f t="shared" si="13"/>
        <v>KEEP</v>
      </c>
      <c r="Y50" s="130" t="str">
        <f t="shared" si="14"/>
        <v>echo {"issue":{"subject":"","project_id":79,"tracker_id":40,"status_id":1,"priority_id":2,"assigned_to_id":23,"start_date":"2016-10-06","description":"","custom_fields":[{"id":1,"name":"Subdivision","value":"NW"},{"id":4,"name":"Milepost","value":"0.0575"},{"id":17,"name":"Train ID","value":"832-06"},{"id":16,"name":"Locomotive ID","value":"4054"},{"id":130,"name":"Impact","value":""},{"id":150,"name":"Time of Event (Mountain Time)","value":"17:25:36"},{"id":151,"name":"Denver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  <c r="AC50" s="171" t="str">
        <f t="shared" si="15"/>
        <v>grep -hSE -A100 "Enforcement Action" "%USERPROFILE%\AppData\Local\Temp\OnboardLogs"\RTDC4054\*4054*201610062* | grep -SE "((Enforcement Ac)|(PRM))" -</v>
      </c>
    </row>
    <row r="51" spans="1:29" x14ac:dyDescent="0.25">
      <c r="A51" s="38">
        <v>42649.749097222222</v>
      </c>
      <c r="B51" s="33" t="s">
        <v>260</v>
      </c>
      <c r="C51" s="33" t="s">
        <v>563</v>
      </c>
      <c r="D51" s="33" t="s">
        <v>49</v>
      </c>
      <c r="E51" s="33" t="s">
        <v>50</v>
      </c>
      <c r="F51" s="49">
        <v>0</v>
      </c>
      <c r="G51" s="49">
        <v>154</v>
      </c>
      <c r="H51" s="49">
        <v>1455</v>
      </c>
      <c r="I51" s="49">
        <v>1294</v>
      </c>
      <c r="J51" s="33" t="s">
        <v>51</v>
      </c>
      <c r="K51" s="49">
        <v>575</v>
      </c>
      <c r="L51" s="146" t="s">
        <v>53</v>
      </c>
      <c r="M51" s="149">
        <f t="shared" si="8"/>
        <v>379.63200000000001</v>
      </c>
      <c r="N51" s="88" t="str">
        <f>VLOOKUP(C51,'Trips&amp;Operators'!$C$1:$E$99999,3,FALSE)</f>
        <v>PUGH</v>
      </c>
      <c r="O51" s="170" t="s">
        <v>86</v>
      </c>
      <c r="P51" s="10"/>
      <c r="Q51" s="33"/>
      <c r="R51" s="104" t="str">
        <f>VLOOKUP(C51,'Train Runs'!$A$13:$AE$10009,31,0)</f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S51" s="107" t="str">
        <f>VLOOKUP(C51,'Train Runs'!$A$13:$AE$10009,22,0)</f>
        <v>https://search-rtdc-monitor-bjffxe2xuh6vdkpspy63sjmuny.us-east-1.es.amazonaws.com/_plugin/kibana/#/discover/Steve-Slow-Train-Analysis-(2080s-and-2083s)?_g=(refreshInterval:(display:Off,section:0,value:0),time:(from:'2016-10-06 16:36:54-0600',mode:absolute,to:'2016-10-06 18:59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51" s="109" t="str">
        <f t="shared" si="9"/>
        <v>"C:\Program Files (x86)\AstroGrep\AstroGrep.exe" /spath="%USERPROFILE%\AppData\Local\Temp\OnboardLogs" /stypes="*4030*201610062*" /stext=" 23:.+((SYSTEM_STATE.+slice.+state.+changed )|(ment ac)|(system.+state.+changed )|(\[timeout)|(PRM\|1\|D)|(kpr)|(kdp)|(\|lc)|(penalty))" /e /r /s</v>
      </c>
      <c r="U51" s="9" t="str">
        <f t="shared" si="10"/>
        <v>4030</v>
      </c>
      <c r="V51" s="38">
        <f t="shared" si="11"/>
        <v>42649.999097222222</v>
      </c>
      <c r="W51" s="52" t="str">
        <f t="shared" si="12"/>
        <v>NW</v>
      </c>
      <c r="X51" s="52" t="str">
        <f t="shared" si="13"/>
        <v>KEEP</v>
      </c>
      <c r="Y51" s="130" t="str">
        <f t="shared" si="14"/>
        <v>echo {"issue":{"subject":"","project_id":79,"tracker_id":40,"status_id":1,"priority_id":2,"assigned_to_id":23,"start_date":"2016-10-06","description":"","custom_fields":[{"id":1,"name":"Subdivision","value":"NW"},{"id":4,"name":"Milepost","value":"0.0575"},{"id":17,"name":"Train ID","value":"834-06"},{"id":16,"name":"Locomotive ID","value":"4030"},{"id":130,"name":"Impact","value":""},{"id":150,"name":"Time of Event (Mountain Time)","value":"17:58:42"},{"id":151,"name":"Denver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  <c r="AC51" s="171" t="str">
        <f t="shared" si="15"/>
        <v>grep -hSE -A100 "Enforcement Action" "%USERPROFILE%\AppData\Local\Temp\OnboardLogs"\RTDC4030\*4030*201610062* | grep -SE "((Enforcement Ac)|(PRM))" -</v>
      </c>
    </row>
    <row r="52" spans="1:29" x14ac:dyDescent="0.25">
      <c r="A52" s="38">
        <v>42649.749722222223</v>
      </c>
      <c r="B52" s="33" t="s">
        <v>260</v>
      </c>
      <c r="C52" s="33" t="s">
        <v>563</v>
      </c>
      <c r="D52" s="33" t="s">
        <v>49</v>
      </c>
      <c r="E52" s="33" t="s">
        <v>50</v>
      </c>
      <c r="F52" s="49">
        <v>0</v>
      </c>
      <c r="G52" s="49">
        <v>78</v>
      </c>
      <c r="H52" s="49">
        <v>939</v>
      </c>
      <c r="I52" s="49">
        <v>860</v>
      </c>
      <c r="J52" s="33" t="s">
        <v>51</v>
      </c>
      <c r="K52" s="49">
        <v>575</v>
      </c>
      <c r="L52" s="146" t="s">
        <v>53</v>
      </c>
      <c r="M52" s="149">
        <f t="shared" si="8"/>
        <v>150.47999999999999</v>
      </c>
      <c r="N52" s="88" t="str">
        <f>VLOOKUP(C52,'Trips&amp;Operators'!$C$1:$E$99999,3,FALSE)</f>
        <v>PUGH</v>
      </c>
      <c r="O52" s="170" t="s">
        <v>86</v>
      </c>
      <c r="P52" s="10"/>
      <c r="Q52" s="33"/>
      <c r="R52" s="104" t="str">
        <f>VLOOKUP(C52,'Train Runs'!$A$13:$AE$10009,31,0)</f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S52" s="107" t="str">
        <f>VLOOKUP(C52,'Train Runs'!$A$13:$AE$10009,22,0)</f>
        <v>https://search-rtdc-monitor-bjffxe2xuh6vdkpspy63sjmuny.us-east-1.es.amazonaws.com/_plugin/kibana/#/discover/Steve-Slow-Train-Analysis-(2080s-and-2083s)?_g=(refreshInterval:(display:Off,section:0,value:0),time:(from:'2016-10-06 16:36:54-0600',mode:absolute,to:'2016-10-06 18:59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52" s="109" t="str">
        <f t="shared" si="9"/>
        <v>"C:\Program Files (x86)\AstroGrep\AstroGrep.exe" /spath="%USERPROFILE%\AppData\Local\Temp\OnboardLogs" /stypes="*4030*201610062*" /stext=" 23:.+((SYSTEM_STATE.+slice.+state.+changed )|(ment ac)|(system.+state.+changed )|(\[timeout)|(PRM\|1\|D)|(kpr)|(kdp)|(\|lc)|(penalty))" /e /r /s</v>
      </c>
      <c r="U52" s="9" t="str">
        <f t="shared" si="10"/>
        <v>4030</v>
      </c>
      <c r="V52" s="38">
        <f t="shared" si="11"/>
        <v>42649.999722222223</v>
      </c>
      <c r="W52" s="52" t="str">
        <f t="shared" si="12"/>
        <v>NW</v>
      </c>
      <c r="X52" s="52" t="str">
        <f t="shared" si="13"/>
        <v>KEEP</v>
      </c>
      <c r="Y52" s="130" t="str">
        <f t="shared" si="14"/>
        <v>echo {"issue":{"subject":"","project_id":79,"tracker_id":40,"status_id":1,"priority_id":2,"assigned_to_id":23,"start_date":"2016-10-06","description":"","custom_fields":[{"id":1,"name":"Subdivision","value":"NW"},{"id":4,"name":"Milepost","value":"0.0575"},{"id":17,"name":"Train ID","value":"834-06"},{"id":16,"name":"Locomotive ID","value":"4030"},{"id":130,"name":"Impact","value":""},{"id":150,"name":"Time of Event (Mountain Time)","value":"17:59:36"},{"id":151,"name":"Denver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  <c r="AC52" s="171" t="str">
        <f t="shared" si="15"/>
        <v>grep -hSE -A100 "Enforcement Action" "%USERPROFILE%\AppData\Local\Temp\OnboardLogs"\RTDC4030\*4030*201610062* | grep -SE "((Enforcement Ac)|(PRM))" -</v>
      </c>
    </row>
    <row r="53" spans="1:29" x14ac:dyDescent="0.25">
      <c r="A53" s="38">
        <v>42649.767372685186</v>
      </c>
      <c r="B53" s="33" t="s">
        <v>409</v>
      </c>
      <c r="C53" s="33" t="s">
        <v>571</v>
      </c>
      <c r="D53" s="33" t="s">
        <v>49</v>
      </c>
      <c r="E53" s="33" t="s">
        <v>50</v>
      </c>
      <c r="F53" s="49">
        <v>0</v>
      </c>
      <c r="G53" s="49">
        <v>58</v>
      </c>
      <c r="H53" s="49">
        <v>757</v>
      </c>
      <c r="I53" s="49">
        <v>708</v>
      </c>
      <c r="J53" s="33" t="s">
        <v>51</v>
      </c>
      <c r="K53" s="49">
        <v>575</v>
      </c>
      <c r="L53" s="146" t="s">
        <v>53</v>
      </c>
      <c r="M53" s="149">
        <f t="shared" si="8"/>
        <v>70.224000000000004</v>
      </c>
      <c r="N53" s="88" t="str">
        <f>VLOOKUP(C53,'Trips&amp;Operators'!$C$1:$E$99999,3,FALSE)</f>
        <v>YANAI</v>
      </c>
      <c r="O53" s="170" t="s">
        <v>86</v>
      </c>
      <c r="P53" s="10"/>
      <c r="Q53" s="33"/>
      <c r="R53" s="104" t="str">
        <f>VLOOKUP(C53,'Train Runs'!$A$13:$AE$10009,31,0)</f>
        <v>aws s3 cp s3://rtdc.mdm.uploadarchive.raw/RTDC4054/ "%USERPROFILE%\AppData\Local\Temp\OnboardLogs"\RTDC4054\2016-10-06 --exclude "*" --recursive --include "*20161006*" &amp; "%USERPROFILE%\Documents\GitHub\mrs-test-scripts\Headless Mode &amp; Sideloading\WalkAndUnGZ.bat" "%USERPROFILE%\AppData\Local\Temp\OnboardLogs"\RTDC4054\2016-10-06 &amp; 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</v>
      </c>
      <c r="S53" s="107" t="str">
        <f>VLOOKUP(C53,'Train Runs'!$A$13:$AE$10009,22,0)</f>
        <v>https://search-rtdc-monitor-bjffxe2xuh6vdkpspy63sjmuny.us-east-1.es.amazonaws.com/_plugin/kibana/#/discover/Steve-Slow-Train-Analysis-(2080s-and-2083s)?_g=(refreshInterval:(display:Off,section:0,value:0),time:(from:'2016-10-06 17:05:34-0600',mode:absolute,to:'2016-10-06 19:25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53" s="109" t="str">
        <f t="shared" si="9"/>
        <v>"C:\Program Files (x86)\AstroGrep\AstroGrep.exe" /spath="%USERPROFILE%\AppData\Local\Temp\OnboardLogs" /stypes="*4054*201610070*" /stext=" 00:.+((SYSTEM_STATE.+slice.+state.+changed )|(ment ac)|(system.+state.+changed )|(\[timeout)|(PRM\|1\|D)|(kpr)|(kdp)|(\|lc)|(penalty))" /e /r /s</v>
      </c>
      <c r="U53" s="9" t="str">
        <f t="shared" si="10"/>
        <v>4054</v>
      </c>
      <c r="V53" s="38">
        <f t="shared" si="11"/>
        <v>42650.017372685186</v>
      </c>
      <c r="W53" s="52" t="str">
        <f t="shared" si="12"/>
        <v>NW</v>
      </c>
      <c r="X53" s="52" t="str">
        <f t="shared" si="13"/>
        <v>KEEP</v>
      </c>
      <c r="Y53" s="130" t="str">
        <f t="shared" si="14"/>
        <v>echo {"issue":{"subject":"","project_id":79,"tracker_id":40,"status_id":1,"priority_id":2,"assigned_to_id":23,"start_date":"2016-10-06","description":"","custom_fields":[{"id":1,"name":"Subdivision","value":"NW"},{"id":4,"name":"Milepost","value":"0.0575"},{"id":17,"name":"Train ID","value":"836-06"},{"id":16,"name":"Locomotive ID","value":"4054"},{"id":130,"name":"Impact","value":""},{"id":150,"name":"Time of Event (Mountain Time)","value":"18:25:01"},{"id":151,"name":"Denver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  <c r="AC53" s="171" t="str">
        <f t="shared" si="15"/>
        <v>grep -hSE -A100 "Enforcement Action" "%USERPROFILE%\AppData\Local\Temp\OnboardLogs"\RTDC4054\*4054*201610070* | grep -SE "((Enforcement Ac)|(PRM))" -</v>
      </c>
    </row>
    <row r="54" spans="1:29" x14ac:dyDescent="0.25">
      <c r="A54" s="38">
        <v>42649.91302083333</v>
      </c>
      <c r="B54" s="33" t="s">
        <v>260</v>
      </c>
      <c r="C54" s="33" t="s">
        <v>602</v>
      </c>
      <c r="D54" s="33" t="s">
        <v>49</v>
      </c>
      <c r="E54" s="33" t="s">
        <v>50</v>
      </c>
      <c r="F54" s="49">
        <v>0</v>
      </c>
      <c r="G54" s="49">
        <v>32</v>
      </c>
      <c r="H54" s="49">
        <v>652</v>
      </c>
      <c r="I54" s="49">
        <v>622</v>
      </c>
      <c r="J54" s="33" t="s">
        <v>51</v>
      </c>
      <c r="K54" s="49">
        <v>575</v>
      </c>
      <c r="L54" s="146" t="s">
        <v>53</v>
      </c>
      <c r="M54" s="149">
        <f t="shared" si="8"/>
        <v>24.815999999999999</v>
      </c>
      <c r="N54" s="88" t="str">
        <f>VLOOKUP(C54,'Trips&amp;Operators'!$C$1:$E$99999,3,FALSE)</f>
        <v>YANAI</v>
      </c>
      <c r="O54" s="170" t="s">
        <v>86</v>
      </c>
      <c r="P54" s="10"/>
      <c r="Q54" s="33"/>
      <c r="R54" s="104" t="str">
        <f>VLOOKUP(C54,'Train Runs'!$A$13:$AE$10009,31,0)</f>
        <v>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 &amp; aws s3 cp s3://rtdc.mdm.uploadarchive.raw/RTDC4030/ "%USERPROFILE%\AppData\Local\Temp\OnboardLogs"\RTDC4030\2016-10-07 --exclude "*" --recursive --include "*20161007*" &amp; "%USERPROFILE%\Documents\GitHub\mrs-test-scripts\Headless Mode &amp; Sideloading\WalkAndUnGZ.bat" "%USERPROFILE%\AppData\Local\Temp\OnboardLogs"\RTDC4030\2016-10-07</v>
      </c>
      <c r="S54" s="107" t="str">
        <f>VLOOKUP(C54,'Train Runs'!$A$13:$AE$10009,22,0)</f>
        <v>https://search-rtdc-monitor-bjffxe2xuh6vdkpspy63sjmuny.us-east-1.es.amazonaws.com/_plugin/kibana/#/discover/Steve-Slow-Train-Analysis-(2080s-and-2083s)?_g=(refreshInterval:(display:Off,section:0,value:0),time:(from:'2016-10-06 20:35:35-0600',mode:absolute,to:'2016-10-06 22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54" s="109" t="str">
        <f t="shared" si="9"/>
        <v>"C:\Program Files (x86)\AstroGrep\AstroGrep.exe" /spath="%USERPROFILE%\AppData\Local\Temp\OnboardLogs" /stypes="*4030*201610070*" /stext=" 03:.+((SYSTEM_STATE.+slice.+state.+changed )|(ment ac)|(system.+state.+changed )|(\[timeout)|(PRM\|1\|D)|(kpr)|(kdp)|(\|lc)|(penalty))" /e /r /s</v>
      </c>
      <c r="U54" s="9" t="str">
        <f t="shared" si="10"/>
        <v>4030</v>
      </c>
      <c r="V54" s="38">
        <f t="shared" si="11"/>
        <v>42650.16302083333</v>
      </c>
      <c r="W54" s="52" t="str">
        <f t="shared" si="12"/>
        <v>NW</v>
      </c>
      <c r="X54" s="52" t="str">
        <f t="shared" si="13"/>
        <v>KEEP</v>
      </c>
      <c r="Y54" s="130" t="str">
        <f t="shared" si="14"/>
        <v>echo {"issue":{"subject":"","project_id":79,"tracker_id":40,"status_id":1,"priority_id":2,"assigned_to_id":23,"start_date":"2016-10-06","description":"","custom_fields":[{"id":1,"name":"Subdivision","value":"NW"},{"id":4,"name":"Milepost","value":"0.0575"},{"id":17,"name":"Train ID","value":"844-06"},{"id":16,"name":"Locomotive ID","value":"4030"},{"id":130,"name":"Impact","value":""},{"id":150,"name":"Time of Event (Mountain Time)","value":"21:54:45"},{"id":151,"name":"Denver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23"/>
      <c r="AC54" s="171" t="str">
        <f t="shared" si="15"/>
        <v>grep -hSE -A100 "Enforcement Action" "%USERPROFILE%\AppData\Local\Temp\OnboardLogs"\RTDC4030\*4030*201610070* | grep -SE "((Enforcement Ac)|(PRM))" -</v>
      </c>
    </row>
    <row r="55" spans="1:29" x14ac:dyDescent="0.25">
      <c r="A55" s="38">
        <v>42649.399571759262</v>
      </c>
      <c r="B55" s="33" t="s">
        <v>424</v>
      </c>
      <c r="C55" s="33" t="s">
        <v>461</v>
      </c>
      <c r="D55" s="33" t="s">
        <v>49</v>
      </c>
      <c r="E55" s="33" t="s">
        <v>50</v>
      </c>
      <c r="F55" s="49">
        <v>0</v>
      </c>
      <c r="G55" s="49">
        <v>23</v>
      </c>
      <c r="H55" s="49">
        <v>58984</v>
      </c>
      <c r="I55" s="49">
        <v>58997</v>
      </c>
      <c r="J55" s="33" t="s">
        <v>51</v>
      </c>
      <c r="K55" s="49">
        <v>59048</v>
      </c>
      <c r="L55" s="146" t="s">
        <v>52</v>
      </c>
      <c r="M55" s="149">
        <f t="shared" si="8"/>
        <v>26.928000000000001</v>
      </c>
      <c r="N55" s="88" t="str">
        <f>VLOOKUP(C55,'Trips&amp;Operators'!$C$1:$E$99999,3,FALSE)</f>
        <v>GEBRETEKLE</v>
      </c>
      <c r="O55" s="170" t="s">
        <v>86</v>
      </c>
      <c r="P55" s="10"/>
      <c r="Q55" s="33"/>
      <c r="R55" s="104" t="str">
        <f>VLOOKUP(C55,'Train Runs'!$A$13:$AE$10009,31,0)</f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S55" s="107" t="str">
        <f>VLOOKUP(C55,'Train Runs'!$A$13:$AE$10009,22,0)</f>
        <v>https://search-rtdc-monitor-bjffxe2xuh6vdkpspy63sjmuny.us-east-1.es.amazonaws.com/_plugin/kibana/#/discover/Steve-Slow-Train-Analysis-(2080s-and-2083s)?_g=(refreshInterval:(display:Off,section:0,value:0),time:(from:'2016-10-06 08:17:44-0600',mode:absolute,to:'2016-10-06 10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55" s="109" t="str">
        <f t="shared" si="9"/>
        <v>"C:\Program Files (x86)\AstroGrep\AstroGrep.exe" /spath="%USERPROFILE%\AppData\Local\Temp\OnboardLogs" /stypes="*4029*201610061*" /stext=" 15:.+((SYSTEM_STATE.+slice.+state.+changed )|(ment ac)|(system.+state.+changed )|(\[timeout)|(PRM\|1\|D)|(kpr)|(kdp)|(\|lc)|(penalty))" /e /r /s</v>
      </c>
      <c r="U55" s="9" t="str">
        <f t="shared" si="10"/>
        <v>4029</v>
      </c>
      <c r="V55" s="38">
        <f t="shared" si="11"/>
        <v>42649.649571759262</v>
      </c>
      <c r="W55" s="52" t="str">
        <f t="shared" si="12"/>
        <v>NW</v>
      </c>
      <c r="X55" s="52" t="str">
        <f t="shared" si="13"/>
        <v>KEEP</v>
      </c>
      <c r="Y55" s="130" t="str">
        <f t="shared" si="14"/>
        <v>echo {"issue":{"subject":"","project_id":79,"tracker_id":40,"status_id":1,"priority_id":2,"assigned_to_id":23,"start_date":"2016-10-06","description":"","custom_fields":[{"id":1,"name":"Subdivision","value":"NW"},{"id":4,"name":"Milepost","value":"5.9048"},{"id":17,"name":"Train ID","value":"813-06"},{"id":16,"name":"Locomotive ID","value":"4029"},{"id":130,"name":"Impact","value":""},{"id":150,"name":"Time of Event (Mountain Time)","value":"09:35:23"},{"id":151,"name":"Denver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23"/>
      <c r="AC55" s="171" t="str">
        <f t="shared" si="15"/>
        <v>grep -hSE -A100 "Enforcement Action" "%USERPROFILE%\AppData\Local\Temp\OnboardLogs"\RTDC4029\*4029*201610061* | grep -SE "((Enforcement Ac)|(PRM))" -</v>
      </c>
    </row>
    <row r="56" spans="1:29" x14ac:dyDescent="0.25">
      <c r="A56" s="38">
        <v>42649.483657407407</v>
      </c>
      <c r="B56" s="33" t="s">
        <v>424</v>
      </c>
      <c r="C56" s="33" t="s">
        <v>487</v>
      </c>
      <c r="D56" s="33" t="s">
        <v>49</v>
      </c>
      <c r="E56" s="33" t="s">
        <v>50</v>
      </c>
      <c r="F56" s="49">
        <v>0</v>
      </c>
      <c r="G56" s="49">
        <v>8</v>
      </c>
      <c r="H56" s="49">
        <v>59022</v>
      </c>
      <c r="I56" s="49">
        <v>59024</v>
      </c>
      <c r="J56" s="33" t="s">
        <v>51</v>
      </c>
      <c r="K56" s="49">
        <v>59048</v>
      </c>
      <c r="L56" s="146" t="s">
        <v>52</v>
      </c>
      <c r="M56" s="149">
        <f t="shared" si="8"/>
        <v>12.672000000000001</v>
      </c>
      <c r="N56" s="88" t="str">
        <f>VLOOKUP(C56,'Trips&amp;Operators'!$C$1:$E$99999,3,FALSE)</f>
        <v>GEBRETEKLE</v>
      </c>
      <c r="O56" s="170" t="s">
        <v>86</v>
      </c>
      <c r="P56" s="10"/>
      <c r="Q56" s="33"/>
      <c r="R56" s="104" t="str">
        <f>VLOOKUP(C56,'Train Runs'!$A$13:$AE$10009,31,0)</f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S56" s="107" t="str">
        <f>VLOOKUP(C56,'Train Runs'!$A$13:$AE$10009,22,0)</f>
        <v>https://search-rtdc-monitor-bjffxe2xuh6vdkpspy63sjmuny.us-east-1.es.amazonaws.com/_plugin/kibana/#/discover/Steve-Slow-Train-Analysis-(2080s-and-2083s)?_g=(refreshInterval:(display:Off,section:0,value:0),time:(from:'2016-10-06 10:16:43-0600',mode:absolute,to:'2016-10-06 12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56" s="109" t="str">
        <f t="shared" si="9"/>
        <v>"C:\Program Files (x86)\AstroGrep\AstroGrep.exe" /spath="%USERPROFILE%\AppData\Local\Temp\OnboardLogs" /stypes="*4029*201610061*" /stext=" 17:.+((SYSTEM_STATE.+slice.+state.+changed )|(ment ac)|(system.+state.+changed )|(\[timeout)|(PRM\|1\|D)|(kpr)|(kdp)|(\|lc)|(penalty))" /e /r /s</v>
      </c>
      <c r="U56" s="9" t="str">
        <f t="shared" si="10"/>
        <v>4029</v>
      </c>
      <c r="V56" s="38">
        <f t="shared" si="11"/>
        <v>42649.733657407407</v>
      </c>
      <c r="W56" s="52" t="str">
        <f t="shared" si="12"/>
        <v>NW</v>
      </c>
      <c r="X56" s="52" t="str">
        <f t="shared" si="13"/>
        <v>OMIT</v>
      </c>
      <c r="Y56" s="130" t="str">
        <f t="shared" si="14"/>
        <v>echo {"issue":{"subject":"","project_id":79,"tracker_id":40,"status_id":1,"priority_id":2,"assigned_to_id":23,"start_date":"2016-10-06","description":"","custom_fields":[{"id":1,"name":"Subdivision","value":"NW"},{"id":4,"name":"Milepost","value":"5.9048"},{"id":17,"name":"Train ID","value":"817-06"},{"id":16,"name":"Locomotive ID","value":"4029"},{"id":130,"name":"Impact","value":""},{"id":150,"name":"Time of Event (Mountain Time)","value":"11:36:28"},{"id":151,"name":"Denver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23"/>
      <c r="AC56" s="171" t="str">
        <f t="shared" si="15"/>
        <v>grep -hSE -A100 "Enforcement Action" "%USERPROFILE%\AppData\Local\Temp\OnboardLogs"\RTDC4029\*4029*201610061* | grep -SE "((Enforcement Ac)|(PRM))" -</v>
      </c>
    </row>
    <row r="57" spans="1:29" x14ac:dyDescent="0.25">
      <c r="A57" s="38">
        <v>42649.815972222219</v>
      </c>
      <c r="B57" s="33" t="s">
        <v>424</v>
      </c>
      <c r="C57" s="33" t="s">
        <v>587</v>
      </c>
      <c r="D57" s="33" t="s">
        <v>49</v>
      </c>
      <c r="E57" s="33" t="s">
        <v>50</v>
      </c>
      <c r="F57" s="49">
        <v>0</v>
      </c>
      <c r="G57" s="49">
        <v>52</v>
      </c>
      <c r="H57" s="49">
        <v>58890</v>
      </c>
      <c r="I57" s="49">
        <v>58946</v>
      </c>
      <c r="J57" s="33" t="s">
        <v>51</v>
      </c>
      <c r="K57" s="49">
        <v>59048</v>
      </c>
      <c r="L57" s="146" t="s">
        <v>52</v>
      </c>
      <c r="M57" s="149">
        <f t="shared" si="8"/>
        <v>53.856000000000002</v>
      </c>
      <c r="N57" s="88" t="str">
        <f>VLOOKUP(C57,'Trips&amp;Operators'!$C$1:$E$99999,3,FALSE)</f>
        <v>PUGH</v>
      </c>
      <c r="O57" s="170" t="s">
        <v>86</v>
      </c>
      <c r="P57" s="10"/>
      <c r="Q57" s="33"/>
      <c r="R57" s="104" t="str">
        <f>VLOOKUP(C57,'Train Runs'!$A$13:$AE$10009,31,0)</f>
        <v>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 &amp; aws s3 cp s3://rtdc.mdm.uploadarchive.raw/RTDC4029/ "%USERPROFILE%\AppData\Local\Temp\OnboardLogs"\RTDC4029\2016-10-07 --exclude "*" --recursive --include "*20161007*" &amp; "%USERPROFILE%\Documents\GitHub\mrs-test-scripts\Headless Mode &amp; Sideloading\WalkAndUnGZ.bat" "%USERPROFILE%\AppData\Local\Temp\OnboardLogs"\RTDC4029\2016-10-07</v>
      </c>
      <c r="S57" s="107" t="str">
        <f>VLOOKUP(C57,'Train Runs'!$A$13:$AE$10009,22,0)</f>
        <v>https://search-rtdc-monitor-bjffxe2xuh6vdkpspy63sjmuny.us-east-1.es.amazonaws.com/_plugin/kibana/#/discover/Steve-Slow-Train-Analysis-(2080s-and-2083s)?_g=(refreshInterval:(display:Off,section:0,value:0),time:(from:'2016-10-06 18:17:25-0600',mode:absolute,to:'2016-10-06 20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57" s="109" t="str">
        <f t="shared" si="9"/>
        <v>"C:\Program Files (x86)\AstroGrep\AstroGrep.exe" /spath="%USERPROFILE%\AppData\Local\Temp\OnboardLogs" /stypes="*4029*201610070*" /stext=" 01:.+((SYSTEM_STATE.+slice.+state.+changed )|(ment ac)|(system.+state.+changed )|(\[timeout)|(PRM\|1\|D)|(kpr)|(kdp)|(\|lc)|(penalty))" /e /r /s</v>
      </c>
      <c r="U57" s="9" t="str">
        <f t="shared" si="10"/>
        <v>4029</v>
      </c>
      <c r="V57" s="38">
        <f t="shared" si="11"/>
        <v>42650.065972222219</v>
      </c>
      <c r="W57" s="52" t="str">
        <f t="shared" si="12"/>
        <v>NW</v>
      </c>
      <c r="X57" s="52" t="str">
        <f t="shared" si="13"/>
        <v>KEEP</v>
      </c>
      <c r="Y57" s="130" t="str">
        <f t="shared" si="14"/>
        <v>echo {"issue":{"subject":"","project_id":79,"tracker_id":40,"status_id":1,"priority_id":2,"assigned_to_id":23,"start_date":"2016-10-06","description":"","custom_fields":[{"id":1,"name":"Subdivision","value":"NW"},{"id":4,"name":"Milepost","value":"5.9048"},{"id":17,"name":"Train ID","value":"841-06"},{"id":16,"name":"Locomotive ID","value":"4029"},{"id":130,"name":"Impact","value":""},{"id":150,"name":"Time of Event (Mountain Time)","value":"19:35:00"},{"id":151,"name":"Denver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23"/>
      <c r="AC57" s="171" t="str">
        <f t="shared" si="15"/>
        <v>grep -hSE -A100 "Enforcement Action" "%USERPROFILE%\AppData\Local\Temp\OnboardLogs"\RTDC4029\*4029*201610070* | grep -SE "((Enforcement Ac)|(PRM))" -</v>
      </c>
    </row>
    <row r="58" spans="1:29" x14ac:dyDescent="0.25">
      <c r="A58" s="38">
        <v>42649.193009259259</v>
      </c>
      <c r="B58" s="33" t="s">
        <v>287</v>
      </c>
      <c r="C58" s="33" t="s">
        <v>401</v>
      </c>
      <c r="D58" s="33" t="s">
        <v>49</v>
      </c>
      <c r="E58" s="33" t="s">
        <v>54</v>
      </c>
      <c r="F58" s="49">
        <v>0</v>
      </c>
      <c r="G58" s="49">
        <v>133</v>
      </c>
      <c r="H58" s="49">
        <v>4794</v>
      </c>
      <c r="I58" s="49">
        <v>4518</v>
      </c>
      <c r="J58" s="33" t="s">
        <v>55</v>
      </c>
      <c r="K58" s="49">
        <v>4790</v>
      </c>
      <c r="L58" s="146" t="s">
        <v>53</v>
      </c>
      <c r="M58" s="149">
        <f t="shared" si="8"/>
        <v>-143.61600000000001</v>
      </c>
      <c r="N58" s="88" t="str">
        <f>VLOOKUP(C58,'Trips&amp;Operators'!$C$1:$E$99999,3,FALSE)</f>
        <v>ROCHA</v>
      </c>
      <c r="O58" s="170" t="s">
        <v>86</v>
      </c>
      <c r="P58" s="10"/>
      <c r="Q58" s="33"/>
      <c r="R58" s="104" t="str">
        <f>VLOOKUP(C58,'Train Runs'!$A$13:$AE$10009,31,0)</f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S58" s="107" t="str">
        <f>VLOOKUP(C58,'Train Runs'!$A$13:$AE$10009,22,0)</f>
        <v>https://search-rtdc-monitor-bjffxe2xuh6vdkpspy63sjmuny.us-east-1.es.amazonaws.com/_plugin/kibana/#/discover/Steve-Slow-Train-Analysis-(2080s-and-2083s)?_g=(refreshInterval:(display:Off,section:0,value:0),time:(from:'2016-10-06 03:27:15-0600',mode:absolute,to:'2016-10-06 05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58" s="109" t="str">
        <f t="shared" si="9"/>
        <v>"C:\Program Files (x86)\AstroGrep\AstroGrep.exe" /spath="%USERPROFILE%\AppData\Local\Temp\OnboardLogs" /stypes="*4008*201610061*" /stext=" 10:.+((SYSTEM_STATE.+slice.+state.+changed )|(ment ac)|(system.+state.+changed )|(\[timeout)|(PRM\|1\|D)|(kpr)|(kdp)|(\|lc)|(penalty))" /e /r /s</v>
      </c>
      <c r="U58" s="9" t="str">
        <f t="shared" si="10"/>
        <v>4008</v>
      </c>
      <c r="V58" s="38">
        <f t="shared" si="11"/>
        <v>42649.443009259259</v>
      </c>
      <c r="W58" s="52" t="str">
        <f t="shared" si="12"/>
        <v>Other</v>
      </c>
      <c r="X58" s="52" t="str">
        <f t="shared" si="13"/>
        <v>KEEP</v>
      </c>
      <c r="Y58" s="130" t="str">
        <f t="shared" si="14"/>
        <v>echo {"issue":{"subject":"","project_id":79,"tracker_id":40,"status_id":1,"priority_id":2,"assigned_to_id":23,"start_date":"2016-10-06","description":"","custom_fields":[{"id":1,"name":"Subdivision","value":"Other"},{"id":4,"name":"Milepost","value":"0.479"},{"id":17,"name":"Train ID","value":"310-06"},{"id":16,"name":"Locomotive ID","value":"4008"},{"id":130,"name":"Impact","value":""},{"id":150,"name":"Time of Event (Mountain Time)","value":"04:37:56"},{"id":151,"name":"Denver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23"/>
      <c r="AC58" s="171" t="str">
        <f t="shared" si="15"/>
        <v>grep -hSE -A100 "Enforcement Action" "%USERPROFILE%\AppData\Local\Temp\OnboardLogs"\RTDC4008\*4008*201610061* | grep -SE "((Enforcement Ac)|(PRM))" -</v>
      </c>
    </row>
    <row r="59" spans="1:29" x14ac:dyDescent="0.25">
      <c r="A59" s="38">
        <v>42649.193124999998</v>
      </c>
      <c r="B59" s="33" t="s">
        <v>287</v>
      </c>
      <c r="C59" s="33" t="s">
        <v>401</v>
      </c>
      <c r="D59" s="33" t="s">
        <v>105</v>
      </c>
      <c r="E59" s="33" t="s">
        <v>54</v>
      </c>
      <c r="F59" s="49">
        <v>0</v>
      </c>
      <c r="G59" s="49">
        <v>3</v>
      </c>
      <c r="H59" s="49">
        <v>4370</v>
      </c>
      <c r="I59" s="49">
        <v>4372</v>
      </c>
      <c r="J59" s="33" t="s">
        <v>55</v>
      </c>
      <c r="K59" s="49">
        <v>4790</v>
      </c>
      <c r="L59" s="146" t="s">
        <v>53</v>
      </c>
      <c r="M59" s="149">
        <f t="shared" si="8"/>
        <v>-220.70400000000001</v>
      </c>
      <c r="N59" s="88" t="str">
        <f>VLOOKUP(C59,'Trips&amp;Operators'!$C$1:$E$99999,3,FALSE)</f>
        <v>ROCHA</v>
      </c>
      <c r="O59" s="170" t="s">
        <v>86</v>
      </c>
      <c r="P59" s="10"/>
      <c r="Q59" s="33"/>
      <c r="R59" s="104" t="str">
        <f>VLOOKUP(C59,'Train Runs'!$A$13:$AE$10009,31,0)</f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S59" s="107" t="str">
        <f>VLOOKUP(C59,'Train Runs'!$A$13:$AE$10009,22,0)</f>
        <v>https://search-rtdc-monitor-bjffxe2xuh6vdkpspy63sjmuny.us-east-1.es.amazonaws.com/_plugin/kibana/#/discover/Steve-Slow-Train-Analysis-(2080s-and-2083s)?_g=(refreshInterval:(display:Off,section:0,value:0),time:(from:'2016-10-06 03:27:15-0600',mode:absolute,to:'2016-10-06 05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59" s="109" t="str">
        <f t="shared" si="9"/>
        <v>"C:\Program Files (x86)\AstroGrep\AstroGrep.exe" /spath="%USERPROFILE%\AppData\Local\Temp\OnboardLogs" /stypes="*4008*201610061*" /stext=" 10:.+((SYSTEM_STATE.+slice.+state.+changed )|(ment ac)|(system.+state.+changed )|(\[timeout)|(PRM\|1\|D)|(kpr)|(kdp)|(\|lc)|(penalty))" /e /r /s</v>
      </c>
      <c r="U59" s="9" t="str">
        <f t="shared" si="10"/>
        <v>4008</v>
      </c>
      <c r="V59" s="38">
        <f t="shared" si="11"/>
        <v>42649.443124999998</v>
      </c>
      <c r="W59" s="52" t="str">
        <f t="shared" si="12"/>
        <v>Other</v>
      </c>
      <c r="X59" s="52" t="str">
        <f t="shared" si="13"/>
        <v>KEEP</v>
      </c>
      <c r="Y59" s="130" t="str">
        <f t="shared" si="14"/>
        <v>echo {"issue":{"subject":"","project_id":79,"tracker_id":40,"status_id":1,"priority_id":2,"assigned_to_id":23,"start_date":"2016-10-06","description":"","custom_fields":[{"id":1,"name":"Subdivision","value":"Other"},{"id":4,"name":"Milepost","value":"0.479"},{"id":17,"name":"Train ID","value":"310-06"},{"id":16,"name":"Locomotive ID","value":"4008"},{"id":130,"name":"Impact","value":""},{"id":150,"name":"Time of Event (Mountain Time)","value":"04:38:06"},{"id":151,"name":"Denver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5"/>
      <c r="AA59" s="55"/>
      <c r="AB59" s="23"/>
      <c r="AC59" s="171" t="str">
        <f t="shared" si="15"/>
        <v>grep -hSE -A100 "Enforcement Action" "%USERPROFILE%\AppData\Local\Temp\OnboardLogs"\RTDC4008\*4008*201610061* | grep -SE "((Enforcement Ac)|(PRM))" -</v>
      </c>
    </row>
    <row r="60" spans="1:29" x14ac:dyDescent="0.25">
      <c r="A60" s="38">
        <v>42649.744699074072</v>
      </c>
      <c r="B60" s="33" t="s">
        <v>282</v>
      </c>
      <c r="C60" s="33" t="s">
        <v>566</v>
      </c>
      <c r="D60" s="33" t="s">
        <v>105</v>
      </c>
      <c r="E60" s="33" t="s">
        <v>54</v>
      </c>
      <c r="F60" s="49">
        <v>0</v>
      </c>
      <c r="G60" s="49">
        <v>118</v>
      </c>
      <c r="H60" s="49">
        <v>24205</v>
      </c>
      <c r="I60" s="49">
        <v>24017</v>
      </c>
      <c r="J60" s="33" t="s">
        <v>55</v>
      </c>
      <c r="K60" s="49">
        <v>24235</v>
      </c>
      <c r="L60" s="146" t="s">
        <v>53</v>
      </c>
      <c r="M60" s="149">
        <f t="shared" si="8"/>
        <v>-115.104</v>
      </c>
      <c r="N60" s="88" t="str">
        <f>VLOOKUP(C60,'Trips&amp;Operators'!$C$1:$E$99999,3,FALSE)</f>
        <v>LEVIN</v>
      </c>
      <c r="O60" s="170" t="s">
        <v>86</v>
      </c>
      <c r="P60" s="10"/>
      <c r="Q60" s="33"/>
      <c r="R60" s="104" t="str">
        <f>VLOOKUP(C60,'Train Runs'!$A$13:$AE$10009,31,0)</f>
        <v>aws s3 cp s3://rtdc.mdm.uploadarchive.raw/RTDC4021/ "%USERPROFILE%\AppData\Local\Temp\OnboardLogs"\RTDC4021\2016-10-06 --exclude "*" --recursive --include "*20161006*" &amp; "%USERPROFILE%\Documents\GitHub\mrs-test-scripts\Headless Mode &amp; Sideloading\WalkAndUnGZ.bat" "%USERPROFILE%\AppData\Local\Temp\OnboardLogs"\RTDC4021\2016-10-06 &amp; aws s3 cp s3://rtdc.mdm.uploadarchive.raw/RTDC4021/ "%USERPROFILE%\AppData\Local\Temp\OnboardLogs"\RTDC4021\2016-10-07 --exclude "*" --recursive --include "*20161007*" &amp; "%USERPROFILE%\Documents\GitHub\mrs-test-scripts\Headless Mode &amp; Sideloading\WalkAndUnGZ.bat" "%USERPROFILE%\AppData\Local\Temp\OnboardLogs"\RTDC4021\2016-10-07</v>
      </c>
      <c r="S60" s="107" t="str">
        <f>VLOOKUP(C60,'Train Runs'!$A$13:$AE$10009,22,0)</f>
        <v>https://search-rtdc-monitor-bjffxe2xuh6vdkpspy63sjmuny.us-east-1.es.amazonaws.com/_plugin/kibana/#/discover/Steve-Slow-Train-Analysis-(2080s-and-2083s)?_g=(refreshInterval:(display:Off,section:0,value:0),time:(from:'2016-10-06 16:42:31-0600',mode:absolute,to:'2016-10-06 18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60" s="109" t="str">
        <f t="shared" si="9"/>
        <v>"C:\Program Files (x86)\AstroGrep\AstroGrep.exe" /spath="%USERPROFILE%\AppData\Local\Temp\OnboardLogs" /stypes="*4021*201610062*" /stext=" 23:.+((SYSTEM_STATE.+slice.+state.+changed )|(ment ac)|(system.+state.+changed )|(\[timeout)|(PRM\|1\|D)|(kpr)|(kdp)|(\|lc)|(penalty))" /e /r /s</v>
      </c>
      <c r="U60" s="9" t="str">
        <f t="shared" si="10"/>
        <v>4021</v>
      </c>
      <c r="V60" s="38">
        <f t="shared" si="11"/>
        <v>42649.994699074072</v>
      </c>
      <c r="W60" s="52" t="str">
        <f t="shared" si="12"/>
        <v>Other</v>
      </c>
      <c r="X60" s="52" t="str">
        <f t="shared" si="13"/>
        <v>KEEP</v>
      </c>
      <c r="Y60" s="130" t="str">
        <f t="shared" si="14"/>
        <v>echo {"issue":{"subject":"","project_id":79,"tracker_id":40,"status_id":1,"priority_id":2,"assigned_to_id":23,"start_date":"2016-10-06","description":"","custom_fields":[{"id":1,"name":"Subdivision","value":"Other"},{"id":4,"name":"Milepost","value":"2.4235"},{"id":17,"name":"Train ID","value":"64-06"},{"id":16,"name":"Locomotive ID","value":"4021"},{"id":130,"name":"Impact","value":""},{"id":150,"name":"Time of Event (Mountain Time)","value":"17:52:22"},{"id":151,"name":"Denver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5"/>
      <c r="AA60" s="55"/>
      <c r="AB60" s="23"/>
      <c r="AC60" s="171" t="str">
        <f t="shared" si="15"/>
        <v>grep -hSE -A100 "Enforcement Action" "%USERPROFILE%\AppData\Local\Temp\OnboardLogs"\RTDC4021\*4021*201610062* | grep -SE "((Enforcement Ac)|(PRM))" -</v>
      </c>
    </row>
    <row r="61" spans="1:29" x14ac:dyDescent="0.25">
      <c r="A61" s="38">
        <v>42649.485081018516</v>
      </c>
      <c r="B61" s="33" t="s">
        <v>283</v>
      </c>
      <c r="C61" s="33" t="s">
        <v>489</v>
      </c>
      <c r="D61" s="33" t="s">
        <v>49</v>
      </c>
      <c r="E61" s="33" t="s">
        <v>54</v>
      </c>
      <c r="F61" s="49">
        <v>0</v>
      </c>
      <c r="G61" s="49">
        <v>64</v>
      </c>
      <c r="H61" s="49">
        <v>25469</v>
      </c>
      <c r="I61" s="49">
        <v>25539</v>
      </c>
      <c r="J61" s="33" t="s">
        <v>55</v>
      </c>
      <c r="K61" s="49">
        <v>25696</v>
      </c>
      <c r="L61" s="146" t="s">
        <v>52</v>
      </c>
      <c r="M61" s="149">
        <f t="shared" si="8"/>
        <v>82.895999999999987</v>
      </c>
      <c r="N61" s="88" t="str">
        <f>VLOOKUP(C61,'Trips&amp;Operators'!$C$1:$E$99999,3,FALSE)</f>
        <v>OUN</v>
      </c>
      <c r="O61" s="170" t="s">
        <v>86</v>
      </c>
      <c r="P61" s="10"/>
      <c r="Q61" s="33"/>
      <c r="R61" s="104" t="str">
        <f>VLOOKUP(C61,'Train Runs'!$A$13:$AE$10009,31,0)</f>
        <v>aws s3 cp s3://rtdc.mdm.uploadarchive.raw/RTDC4022/ "%USERPROFILE%\AppData\Local\Temp\OnboardLogs"\RTDC4022\2016-10-06 --exclude "*" --recursive --include "*20161006*" &amp; "%USERPROFILE%\Documents\GitHub\mrs-test-scripts\Headless Mode &amp; Sideloading\WalkAndUnGZ.bat" "%USERPROFILE%\AppData\Local\Temp\OnboardLogs"\RTDC4022\2016-10-06 &amp; aws s3 cp s3://rtdc.mdm.uploadarchive.raw/RTDC4022/ "%USERPROFILE%\AppData\Local\Temp\OnboardLogs"\RTDC4022\2016-10-07 --exclude "*" --recursive --include "*20161007*" &amp; "%USERPROFILE%\Documents\GitHub\mrs-test-scripts\Headless Mode &amp; Sideloading\WalkAndUnGZ.bat" "%USERPROFILE%\AppData\Local\Temp\OnboardLogs"\RTDC4022\2016-10-07</v>
      </c>
      <c r="S61" s="107" t="str">
        <f>VLOOKUP(C61,'Train Runs'!$A$13:$AE$10009,22,0)</f>
        <v>https://search-rtdc-monitor-bjffxe2xuh6vdkpspy63sjmuny.us-east-1.es.amazonaws.com/_plugin/kibana/#/discover/Steve-Slow-Train-Analysis-(2080s-and-2083s)?_g=(refreshInterval:(display:Off,section:0,value:0),time:(from:'2016-10-06 10:23:06-0600',mode:absolute,to:'2016-10-06 12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61" s="109" t="str">
        <f t="shared" si="9"/>
        <v>"C:\Program Files (x86)\AstroGrep\AstroGrep.exe" /spath="%USERPROFILE%\AppData\Local\Temp\OnboardLogs" /stypes="*4022*201610061*" /stext=" 17:.+((SYSTEM_STATE.+slice.+state.+changed )|(ment ac)|(system.+state.+changed )|(\[timeout)|(PRM\|1\|D)|(kpr)|(kdp)|(\|lc)|(penalty))" /e /r /s</v>
      </c>
      <c r="U61" s="9" t="str">
        <f t="shared" si="10"/>
        <v>4022</v>
      </c>
      <c r="V61" s="38">
        <f t="shared" si="11"/>
        <v>42649.735081018516</v>
      </c>
      <c r="W61" s="52" t="str">
        <f t="shared" si="12"/>
        <v>Other</v>
      </c>
      <c r="X61" s="52" t="str">
        <f t="shared" si="13"/>
        <v>KEEP</v>
      </c>
      <c r="Y61" s="130" t="str">
        <f t="shared" si="14"/>
        <v>echo {"issue":{"subject":"","project_id":79,"tracker_id":40,"status_id":1,"priority_id":2,"assigned_to_id":23,"start_date":"2016-10-06","description":"","custom_fields":[{"id":1,"name":"Subdivision","value":"Other"},{"id":4,"name":"Milepost","value":"2.5696"},{"id":17,"name":"Train ID","value":"53-06"},{"id":16,"name":"Locomotive ID","value":"4022"},{"id":130,"name":"Impact","value":""},{"id":150,"name":"Time of Event (Mountain Time)","value":"11:38:31"},{"id":151,"name":"Denver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5"/>
      <c r="AA61" s="55"/>
      <c r="AB61" s="23"/>
      <c r="AC61" s="171" t="str">
        <f t="shared" si="15"/>
        <v>grep -hSE -A100 "Enforcement Action" "%USERPROFILE%\AppData\Local\Temp\OnboardLogs"\RTDC4022\*4022*201610061* | grep -SE "((Enforcement Ac)|(PRM))" -</v>
      </c>
    </row>
    <row r="62" spans="1:29" x14ac:dyDescent="0.25">
      <c r="A62" s="38">
        <v>42649.205752314818</v>
      </c>
      <c r="B62" s="33" t="s">
        <v>249</v>
      </c>
      <c r="C62" s="33" t="s">
        <v>404</v>
      </c>
      <c r="D62" s="33" t="s">
        <v>105</v>
      </c>
      <c r="E62" s="33" t="s">
        <v>620</v>
      </c>
      <c r="F62" s="49">
        <v>0</v>
      </c>
      <c r="G62" s="49">
        <v>93</v>
      </c>
      <c r="H62" s="49">
        <v>29389</v>
      </c>
      <c r="I62" s="49">
        <v>29449</v>
      </c>
      <c r="J62" s="33" t="s">
        <v>621</v>
      </c>
      <c r="K62" s="49">
        <v>28990</v>
      </c>
      <c r="L62" s="146" t="s">
        <v>52</v>
      </c>
      <c r="M62" s="149">
        <f t="shared" si="8"/>
        <v>-242.352</v>
      </c>
      <c r="N62" s="88" t="str">
        <f>VLOOKUP(C62,'Trips&amp;Operators'!$C$1:$E$99999,3,FALSE)</f>
        <v>YORK</v>
      </c>
      <c r="O62" s="170" t="s">
        <v>86</v>
      </c>
      <c r="P62" s="10"/>
      <c r="Q62" s="33"/>
      <c r="R62" s="104" t="str">
        <f>VLOOKUP(C62,'Train Runs'!$A$13:$AE$10009,31,0)</f>
        <v>aws s3 cp s3://rtdc.mdm.uploadarchive.raw/RTDC4053/ "%USERPROFILE%\AppData\Local\Temp\OnboardLogs"\RTDC4053\2016-10-06 --exclude "*" --recursive --include "*20161006*" &amp; "%USERPROFILE%\Documents\GitHub\mrs-test-scripts\Headless Mode &amp; Sideloading\WalkAndUnGZ.bat" "%USERPROFILE%\AppData\Local\Temp\OnboardLogs"\RTDC4053\2016-10-06 &amp; 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</v>
      </c>
      <c r="S62" s="107" t="str">
        <f>VLOOKUP(C62,'Train Runs'!$A$13:$AE$10009,22,0)</f>
        <v>https://search-rtdc-monitor-bjffxe2xuh6vdkpspy63sjmuny.us-east-1.es.amazonaws.com/_plugin/kibana/#/discover/Steve-Slow-Train-Analysis-(2080s-and-2083s)?_g=(refreshInterval:(display:Off,section:0,value:0),time:(from:'2016-10-06 03:53:50-0600',mode:absolute,to:'2016-10-06 06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62" s="109" t="str">
        <f t="shared" si="9"/>
        <v>"C:\Program Files (x86)\AstroGrep\AstroGrep.exe" /spath="%USERPROFILE%\AppData\Local\Temp\OnboardLogs" /stypes="*4053*201610061*" /stext=" 10:.+((SYSTEM_STATE.+slice.+state.+changed )|(ment ac)|(system.+state.+changed )|(\[timeout)|(PRM\|1\|D)|(kpr)|(kdp)|(\|lc)|(penalty))" /e /r /s</v>
      </c>
      <c r="U62" s="9" t="str">
        <f t="shared" si="10"/>
        <v>4053</v>
      </c>
      <c r="V62" s="38">
        <f t="shared" si="11"/>
        <v>42649.455752314818</v>
      </c>
      <c r="W62" s="52" t="str">
        <f t="shared" si="12"/>
        <v>Other</v>
      </c>
      <c r="X62" s="52" t="str">
        <f t="shared" si="13"/>
        <v>KEEP</v>
      </c>
      <c r="Y62" s="130" t="str">
        <f t="shared" si="14"/>
        <v>echo {"issue":{"subject":"","project_id":79,"tracker_id":40,"status_id":1,"priority_id":2,"assigned_to_id":23,"start_date":"2016-10-06","description":"","custom_fields":[{"id":1,"name":"Subdivision","value":"Other"},{"id":4,"name":"Milepost","value":"2.899"},{"id":17,"name":"Train ID","value":"901-06"},{"id":16,"name":"Locomotive ID","value":"4053"},{"id":130,"name":"Impact","value":""},{"id":150,"name":"Time of Event (Mountain Time)","value":"04:56:17"},{"id":151,"name":"Denver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5"/>
      <c r="AA62" s="55"/>
      <c r="AB62" s="23"/>
      <c r="AC62" s="171" t="str">
        <f t="shared" si="15"/>
        <v>grep -hSE -A100 "Enforcement Action" "%USERPROFILE%\AppData\Local\Temp\OnboardLogs"\RTDC4053\*4053*201610061* | grep -SE "((Enforcement Ac)|(PRM))" -</v>
      </c>
    </row>
    <row r="63" spans="1:29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46"/>
      <c r="M63" s="149"/>
      <c r="N63" s="88"/>
      <c r="O63" s="170"/>
      <c r="P63" s="10"/>
      <c r="Q63" s="33"/>
      <c r="R63" s="104"/>
      <c r="S63" s="107"/>
      <c r="T63" s="109"/>
      <c r="U63" s="9"/>
      <c r="V63" s="38"/>
      <c r="W63" s="52"/>
      <c r="X63" s="52"/>
      <c r="Y63" s="130"/>
      <c r="Z63" s="55"/>
      <c r="AA63" s="55"/>
      <c r="AB63" s="23"/>
    </row>
    <row r="64" spans="1:29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46"/>
      <c r="M64" s="149"/>
      <c r="N64" s="88"/>
      <c r="O64" s="170"/>
      <c r="P64" s="10"/>
      <c r="Q64" s="33"/>
      <c r="R64" s="104"/>
      <c r="S64" s="107"/>
      <c r="T64" s="109"/>
      <c r="U64" s="9"/>
      <c r="V64" s="38"/>
      <c r="W64" s="52"/>
      <c r="X64" s="52"/>
      <c r="Y64" s="130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46"/>
      <c r="M65" s="149"/>
      <c r="N65" s="88"/>
      <c r="O65" s="170"/>
      <c r="P65" s="10"/>
      <c r="Q65" s="33"/>
      <c r="R65" s="104"/>
      <c r="S65" s="107"/>
      <c r="T65" s="109"/>
      <c r="U65" s="9"/>
      <c r="V65" s="38"/>
      <c r="W65" s="52"/>
      <c r="X65" s="52"/>
      <c r="Y65" s="130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46"/>
      <c r="M66" s="149"/>
      <c r="N66" s="88"/>
      <c r="O66" s="170"/>
      <c r="P66" s="10"/>
      <c r="Q66" s="33"/>
      <c r="R66" s="104"/>
      <c r="S66" s="107"/>
      <c r="T66" s="109"/>
      <c r="U66" s="9"/>
      <c r="V66" s="38"/>
      <c r="W66" s="52"/>
      <c r="X66" s="52"/>
      <c r="Y66" s="130"/>
      <c r="Z66" s="55"/>
      <c r="AA66" s="55"/>
      <c r="AB66" s="23"/>
    </row>
    <row r="67" spans="1:28" x14ac:dyDescent="0.25">
      <c r="B67" s="23"/>
      <c r="C67" s="23"/>
      <c r="D67" s="23"/>
      <c r="E67" s="23"/>
      <c r="J67" s="23"/>
    </row>
  </sheetData>
  <autoFilter ref="A6:AC66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5" operator="equal">
      <formula>"Y"</formula>
    </cfRule>
  </conditionalFormatting>
  <conditionalFormatting sqref="A7:P66">
    <cfRule type="expression" dxfId="1" priority="8">
      <formula>$O7="Y"</formula>
    </cfRule>
  </conditionalFormatting>
  <conditionalFormatting sqref="O2:O3">
    <cfRule type="cellIs" dxfId="0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AB7:AB66</xm:sqref>
        </x14:dataValidation>
        <x14:dataValidation type="list" allowBlank="1" showInputMessage="1" showErrorMessage="1">
          <x14:formula1>
            <xm:f>'Redmine List Values'!$A$2:$A$7</xm:f>
          </x14:formula1>
          <xm:sqref>AA7:AA66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8"/>
  <sheetViews>
    <sheetView workbookViewId="0">
      <selection activeCell="A3" sqref="A3:A6"/>
    </sheetView>
  </sheetViews>
  <sheetFormatPr defaultRowHeight="15" x14ac:dyDescent="0.25"/>
  <cols>
    <col min="1" max="1" width="9.140625" style="157"/>
    <col min="2" max="2" width="9.140625" style="2" customWidth="1"/>
    <col min="3" max="3" width="8" style="116" bestFit="1" customWidth="1"/>
    <col min="4" max="4" width="9.85546875" style="112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7"/>
      <c r="B1" s="186" t="str">
        <f>"Trips that did not appear in PTC Data "&amp;TEXT(Variables!$A$2,"YYYY-mm-dd")</f>
        <v>Trips that did not appear in PTC Data 2016-10-06</v>
      </c>
      <c r="C1" s="186"/>
      <c r="D1" s="186"/>
      <c r="E1" s="186"/>
      <c r="F1" s="186"/>
    </row>
    <row r="2" spans="1:11" s="26" customFormat="1" ht="45" x14ac:dyDescent="0.25">
      <c r="A2" s="166" t="s">
        <v>164</v>
      </c>
      <c r="B2" s="121" t="s">
        <v>64</v>
      </c>
      <c r="C2" s="113" t="s">
        <v>65</v>
      </c>
      <c r="D2" s="114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-06</v>
      </c>
      <c r="C3" s="115"/>
      <c r="D3" s="115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-06</v>
      </c>
      <c r="C4" s="115"/>
      <c r="D4" s="115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-06</v>
      </c>
      <c r="C5" s="115"/>
      <c r="D5" s="115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ref="I5:I13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-06</v>
      </c>
      <c r="C6" s="115"/>
      <c r="D6" s="115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-06</v>
      </c>
      <c r="C7" s="115"/>
      <c r="D7" s="115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-06</v>
      </c>
      <c r="C8" s="115"/>
      <c r="D8" s="115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-06</v>
      </c>
      <c r="C9" s="115"/>
      <c r="D9" s="115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-06</v>
      </c>
      <c r="C10" s="115"/>
      <c r="D10" s="115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-06</v>
      </c>
      <c r="C11" s="115"/>
      <c r="D11" s="115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-06</v>
      </c>
      <c r="C12" s="115"/>
      <c r="D12" s="115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-06</v>
      </c>
      <c r="C13" s="179"/>
      <c r="D13" s="179"/>
      <c r="E13" s="180"/>
      <c r="F13" s="181" t="e">
        <f>VLOOKUP(B13,'Trips&amp;Operators'!$C$2:$E$10000,3,FALSE)</f>
        <v>#N/A</v>
      </c>
      <c r="G13" s="181" t="e">
        <f>VLOOKUP(B13,'Trips&amp;Operators'!$C$1:$F$10000,4,FALSE)</f>
        <v>#N/A</v>
      </c>
      <c r="H13" s="182" t="e">
        <f>VLOOKUP(B13,'Trips&amp;Operators'!$C$1:$H$10000,5,FALSE)</f>
        <v>#N/A</v>
      </c>
      <c r="I13" s="183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3" s="23"/>
      <c r="K13" s="23"/>
    </row>
    <row r="14" spans="1:11" s="23" customFormat="1" x14ac:dyDescent="0.25">
      <c r="A14" s="184"/>
      <c r="B14" s="2" t="str">
        <f>A14&amp;"-"&amp;IF(DAY(Variables!$A$2)&lt;10,0,"")&amp;DAY(Variables!$A$2)</f>
        <v>-06</v>
      </c>
      <c r="C14" s="179"/>
      <c r="D14" s="179"/>
      <c r="E14" s="180"/>
      <c r="F14" s="181" t="e">
        <f>VLOOKUP(B14,'Trips&amp;Operators'!$C$2:$E$10000,3,FALSE)</f>
        <v>#N/A</v>
      </c>
      <c r="G14" s="181" t="e">
        <f>VLOOKUP(B14,'Trips&amp;Operators'!$C$1:$F$10000,4,FALSE)</f>
        <v>#N/A</v>
      </c>
      <c r="H14" s="182" t="e">
        <f>VLOOKUP(B14,'Trips&amp;Operators'!$C$1:$H$10000,5,FALSE)</f>
        <v>#N/A</v>
      </c>
      <c r="I14" s="183" t="str">
        <f t="shared" ref="I1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</row>
    <row r="15" spans="1:11" x14ac:dyDescent="0.25">
      <c r="A15" s="184"/>
      <c r="B15" s="2" t="str">
        <f>A15&amp;"-"&amp;IF(DAY(Variables!$A$2)&lt;10,0,"")&amp;DAY(Variables!$A$2)</f>
        <v>-06</v>
      </c>
      <c r="C15" s="115"/>
      <c r="D15" s="115"/>
      <c r="E15" s="33"/>
      <c r="F15" s="24" t="e">
        <f>VLOOKUP(B15,'Trips&amp;Operators'!$C$2:$E$10000,3,FALSE)</f>
        <v>#N/A</v>
      </c>
      <c r="G15" s="24" t="e">
        <f>VLOOKUP(B15,'Trips&amp;Operators'!$C$1:$F$10000,4,FALSE)</f>
        <v>#N/A</v>
      </c>
      <c r="H15" s="32" t="e">
        <f>VLOOKUP(B15,'Trips&amp;Operators'!$C$1:$H$10000,5,FALSE)</f>
        <v>#N/A</v>
      </c>
      <c r="I15" s="52" t="str">
        <f t="shared" ref="I15:I28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5" s="23"/>
      <c r="K15" s="23"/>
    </row>
    <row r="16" spans="1:11" x14ac:dyDescent="0.25">
      <c r="A16" s="184"/>
      <c r="B16" s="2" t="str">
        <f>A16&amp;"-"&amp;IF(DAY(Variables!$A$2)&lt;10,0,"")&amp;DAY(Variables!$A$2)</f>
        <v>-06</v>
      </c>
      <c r="C16" s="115"/>
      <c r="D16" s="115"/>
      <c r="E16" s="33"/>
      <c r="F16" s="24" t="e">
        <f>VLOOKUP(B16,'Trips&amp;Operators'!$C$2:$E$10000,3,FALSE)</f>
        <v>#N/A</v>
      </c>
      <c r="G16" s="24" t="e">
        <f>VLOOKUP(B16,'Trips&amp;Operators'!$C$1:$F$10000,4,FALSE)</f>
        <v>#N/A</v>
      </c>
      <c r="H16" s="32" t="e">
        <f>VLOOKUP(B16,'Trips&amp;Operators'!$C$1:$H$10000,5,FALSE)</f>
        <v>#N/A</v>
      </c>
      <c r="I1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6" s="23"/>
      <c r="K16" s="23"/>
    </row>
    <row r="17" spans="2:11" x14ac:dyDescent="0.25">
      <c r="B17" s="2" t="str">
        <f>A17&amp;"-"&amp;IF(DAY(Variables!$A$2)&lt;10,0,"")&amp;DAY(Variables!$A$2)</f>
        <v>-06</v>
      </c>
      <c r="C17" s="115"/>
      <c r="D17" s="115"/>
      <c r="E17" s="33"/>
      <c r="F17" s="24" t="e">
        <f>VLOOKUP(B17,'Trips&amp;Operators'!$C$2:$E$10000,3,FALSE)</f>
        <v>#N/A</v>
      </c>
      <c r="G17" s="24" t="e">
        <f>VLOOKUP(B17,'Trips&amp;Operators'!$C$1:$F$10000,4,FALSE)</f>
        <v>#N/A</v>
      </c>
      <c r="H17" s="32" t="e">
        <f>VLOOKUP(B17,'Trips&amp;Operators'!$C$1:$H$10000,5,FALSE)</f>
        <v>#N/A</v>
      </c>
      <c r="I1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7" s="23"/>
      <c r="K17" s="23"/>
    </row>
    <row r="18" spans="2:11" x14ac:dyDescent="0.25">
      <c r="B18" s="2" t="str">
        <f>A18&amp;"-"&amp;IF(DAY(Variables!$A$2)&lt;10,0,"")&amp;DAY(Variables!$A$2)</f>
        <v>-06</v>
      </c>
      <c r="C18" s="115"/>
      <c r="D18" s="115"/>
      <c r="E18" s="33"/>
      <c r="F18" s="24" t="e">
        <f>VLOOKUP(B18,'Trips&amp;Operators'!$C$2:$E$10000,3,FALSE)</f>
        <v>#N/A</v>
      </c>
      <c r="G18" s="24" t="e">
        <f>VLOOKUP(B18,'Trips&amp;Operators'!$C$1:$F$10000,4,FALSE)</f>
        <v>#N/A</v>
      </c>
      <c r="H18" s="32" t="e">
        <f>VLOOKUP(B18,'Trips&amp;Operators'!$C$1:$H$10000,5,FALSE)</f>
        <v>#N/A</v>
      </c>
      <c r="I1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8" s="23"/>
      <c r="K18" s="23"/>
    </row>
    <row r="19" spans="2:11" x14ac:dyDescent="0.25">
      <c r="B19" s="2" t="str">
        <f>A19&amp;"-"&amp;IF(DAY(Variables!$A$2)&lt;10,0,"")&amp;DAY(Variables!$A$2)</f>
        <v>-06</v>
      </c>
      <c r="C19" s="115"/>
      <c r="D19" s="115"/>
      <c r="E19" s="33"/>
      <c r="F19" s="24" t="e">
        <f>VLOOKUP(B19,'Trips&amp;Operators'!$C$2:$E$10000,3,FALSE)</f>
        <v>#N/A</v>
      </c>
      <c r="G19" s="24" t="e">
        <f>VLOOKUP(B19,'Trips&amp;Operators'!$C$1:$F$10000,4,FALSE)</f>
        <v>#N/A</v>
      </c>
      <c r="H19" s="32" t="e">
        <f>VLOOKUP(B19,'Trips&amp;Operators'!$C$1:$H$10000,5,FALSE)</f>
        <v>#N/A</v>
      </c>
      <c r="I19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9" s="23"/>
      <c r="K19" s="23"/>
    </row>
    <row r="20" spans="2:11" x14ac:dyDescent="0.25">
      <c r="B20" s="2" t="str">
        <f>A20&amp;"-"&amp;IF(DAY(Variables!$A$2)&lt;10,0,"")&amp;DAY(Variables!$A$2)</f>
        <v>-06</v>
      </c>
      <c r="C20" s="115"/>
      <c r="D20" s="115"/>
      <c r="E20" s="33"/>
      <c r="F20" s="24" t="e">
        <f>VLOOKUP(B20,'Trips&amp;Operators'!$C$2:$E$10000,3,FALSE)</f>
        <v>#N/A</v>
      </c>
      <c r="G20" s="24" t="e">
        <f>VLOOKUP(B20,'Trips&amp;Operators'!$C$1:$F$10000,4,FALSE)</f>
        <v>#N/A</v>
      </c>
      <c r="H20" s="32" t="e">
        <f>VLOOKUP(B20,'Trips&amp;Operators'!$C$1:$H$10000,5,FALSE)</f>
        <v>#N/A</v>
      </c>
      <c r="I20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20" s="23"/>
      <c r="K20" s="23"/>
    </row>
    <row r="21" spans="2:11" x14ac:dyDescent="0.25">
      <c r="B21" s="2" t="str">
        <f>A21&amp;"-"&amp;IF(DAY(Variables!$A$2)&lt;10,0,"")&amp;DAY(Variables!$A$2)</f>
        <v>-06</v>
      </c>
      <c r="C21" s="115"/>
      <c r="D21" s="115"/>
      <c r="E21" s="33"/>
      <c r="F21" s="24" t="e">
        <f>VLOOKUP(B21,'Trips&amp;Operators'!$C$2:$E$10000,3,FALSE)</f>
        <v>#N/A</v>
      </c>
      <c r="G21" s="24" t="e">
        <f>VLOOKUP(B21,'Trips&amp;Operators'!$C$1:$F$10000,4,FALSE)</f>
        <v>#N/A</v>
      </c>
      <c r="H21" s="32" t="e">
        <f>VLOOKUP(B21,'Trips&amp;Operators'!$C$1:$H$10000,5,FALSE)</f>
        <v>#N/A</v>
      </c>
      <c r="I21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21" s="23"/>
      <c r="K21" s="23"/>
    </row>
    <row r="22" spans="2:11" x14ac:dyDescent="0.25">
      <c r="B22" s="2" t="str">
        <f>A22&amp;"-"&amp;IF(DAY(Variables!$A$2)&lt;10,0,"")&amp;DAY(Variables!$A$2)</f>
        <v>-06</v>
      </c>
      <c r="C22" s="115"/>
      <c r="D22" s="115"/>
      <c r="E22" s="33"/>
      <c r="F22" s="24" t="e">
        <f>VLOOKUP(B22,'Trips&amp;Operators'!$C$2:$E$10000,3,FALSE)</f>
        <v>#N/A</v>
      </c>
      <c r="G22" s="24" t="e">
        <f>VLOOKUP(B22,'Trips&amp;Operators'!$C$1:$F$10000,4,FALSE)</f>
        <v>#N/A</v>
      </c>
      <c r="H22" s="32" t="e">
        <f>VLOOKUP(B22,'Trips&amp;Operators'!$C$1:$H$10000,5,FALSE)</f>
        <v>#N/A</v>
      </c>
      <c r="I22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</row>
    <row r="23" spans="2:11" x14ac:dyDescent="0.25">
      <c r="B23" s="2" t="str">
        <f>A23&amp;"-"&amp;IF(DAY(Variables!$A$2)&lt;10,0,"")&amp;DAY(Variables!$A$2)</f>
        <v>-06</v>
      </c>
      <c r="C23" s="115"/>
      <c r="D23" s="115"/>
      <c r="E23" s="33"/>
      <c r="F23" s="24" t="e">
        <f>VLOOKUP(B23,'Trips&amp;Operators'!$C$2:$E$10000,3,FALSE)</f>
        <v>#N/A</v>
      </c>
      <c r="G23" s="24" t="e">
        <f>VLOOKUP(B23,'Trips&amp;Operators'!$C$1:$F$10000,4,FALSE)</f>
        <v>#N/A</v>
      </c>
      <c r="H23" s="32" t="e">
        <f>VLOOKUP(B23,'Trips&amp;Operators'!$C$1:$H$10000,5,FALSE)</f>
        <v>#N/A</v>
      </c>
      <c r="I23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</row>
    <row r="24" spans="2:11" x14ac:dyDescent="0.25">
      <c r="B24" s="2" t="str">
        <f>A24&amp;"-"&amp;IF(DAY(Variables!$A$2)&lt;10,0,"")&amp;DAY(Variables!$A$2)</f>
        <v>-06</v>
      </c>
      <c r="C24" s="115"/>
      <c r="D24" s="115"/>
      <c r="E24" s="33"/>
      <c r="F24" s="24" t="e">
        <f>VLOOKUP(B24,'Trips&amp;Operators'!$C$2:$E$10000,3,FALSE)</f>
        <v>#N/A</v>
      </c>
      <c r="G24" s="24" t="e">
        <f>VLOOKUP(B24,'Trips&amp;Operators'!$C$1:$F$10000,4,FALSE)</f>
        <v>#N/A</v>
      </c>
      <c r="H24" s="32" t="e">
        <f>VLOOKUP(B24,'Trips&amp;Operators'!$C$1:$H$10000,5,FALSE)</f>
        <v>#N/A</v>
      </c>
      <c r="I24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</row>
    <row r="25" spans="2:11" x14ac:dyDescent="0.25">
      <c r="B25" s="2" t="str">
        <f>A25&amp;"-"&amp;IF(DAY(Variables!$A$2)&lt;10,0,"")&amp;DAY(Variables!$A$2)</f>
        <v>-06</v>
      </c>
      <c r="C25" s="115"/>
      <c r="D25" s="115"/>
      <c r="E25" s="33"/>
      <c r="F25" s="24" t="e">
        <f>VLOOKUP(B25,'Trips&amp;Operators'!$C$2:$E$10000,3,FALSE)</f>
        <v>#N/A</v>
      </c>
      <c r="G25" s="24" t="e">
        <f>VLOOKUP(B25,'Trips&amp;Operators'!$C$1:$F$10000,4,FALSE)</f>
        <v>#N/A</v>
      </c>
      <c r="H25" s="32" t="e">
        <f>VLOOKUP(B25,'Trips&amp;Operators'!$C$1:$H$10000,5,FALSE)</f>
        <v>#N/A</v>
      </c>
      <c r="I25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</row>
    <row r="26" spans="2:11" x14ac:dyDescent="0.25">
      <c r="B26" s="2" t="str">
        <f>A26&amp;"-"&amp;IF(DAY(Variables!$A$2)&lt;10,0,"")&amp;DAY(Variables!$A$2)</f>
        <v>-06</v>
      </c>
      <c r="C26" s="115"/>
      <c r="D26" s="115"/>
      <c r="E26" s="33"/>
      <c r="F26" s="24" t="e">
        <f>VLOOKUP(B26,'Trips&amp;Operators'!$C$2:$E$10000,3,FALSE)</f>
        <v>#N/A</v>
      </c>
      <c r="G26" s="24" t="e">
        <f>VLOOKUP(B26,'Trips&amp;Operators'!$C$1:$F$10000,4,FALSE)</f>
        <v>#N/A</v>
      </c>
      <c r="H26" s="32" t="e">
        <f>VLOOKUP(B26,'Trips&amp;Operators'!$C$1:$H$10000,5,FALSE)</f>
        <v>#N/A</v>
      </c>
      <c r="I2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</row>
    <row r="27" spans="2:11" x14ac:dyDescent="0.25">
      <c r="B27" s="2" t="str">
        <f>A27&amp;"-"&amp;IF(DAY(Variables!$A$2)&lt;10,0,"")&amp;DAY(Variables!$A$2)</f>
        <v>-06</v>
      </c>
      <c r="C27" s="115"/>
      <c r="D27" s="115"/>
      <c r="E27" s="33"/>
      <c r="F27" s="24" t="e">
        <f>VLOOKUP(B27,'Trips&amp;Operators'!$C$2:$E$10000,3,FALSE)</f>
        <v>#N/A</v>
      </c>
      <c r="G27" s="24" t="e">
        <f>VLOOKUP(B27,'Trips&amp;Operators'!$C$1:$F$10000,4,FALSE)</f>
        <v>#N/A</v>
      </c>
      <c r="H27" s="32" t="e">
        <f>VLOOKUP(B27,'Trips&amp;Operators'!$C$1:$H$10000,5,FALSE)</f>
        <v>#N/A</v>
      </c>
      <c r="I2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</row>
    <row r="28" spans="2:11" x14ac:dyDescent="0.25">
      <c r="B28" s="2" t="str">
        <f>A28&amp;"-"&amp;IF(DAY(Variables!$A$2)&lt;10,0,"")&amp;DAY(Variables!$A$2)</f>
        <v>-06</v>
      </c>
      <c r="C28" s="115"/>
      <c r="D28" s="115"/>
      <c r="E28" s="33"/>
      <c r="F28" s="24" t="e">
        <f>VLOOKUP(B28,'Trips&amp;Operators'!$C$2:$E$10000,3,FALSE)</f>
        <v>#N/A</v>
      </c>
      <c r="G28" s="24" t="e">
        <f>VLOOKUP(B28,'Trips&amp;Operators'!$C$1:$F$10000,4,FALSE)</f>
        <v>#N/A</v>
      </c>
      <c r="H28" s="32" t="e">
        <f>VLOOKUP(B28,'Trips&amp;Operators'!$C$1:$H$10000,5,FALSE)</f>
        <v>#N/A</v>
      </c>
      <c r="I2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7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216</v>
      </c>
      <c r="B1" s="23" t="s">
        <v>217</v>
      </c>
      <c r="C1" s="23" t="s">
        <v>0</v>
      </c>
      <c r="D1" s="23" t="s">
        <v>218</v>
      </c>
      <c r="E1" s="23" t="s">
        <v>219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42649.033750000002</v>
      </c>
      <c r="B2" s="23" t="s">
        <v>290</v>
      </c>
      <c r="C2" s="23" t="s">
        <v>331</v>
      </c>
      <c r="D2" s="23">
        <v>1480000</v>
      </c>
      <c r="E2" s="23" t="s">
        <v>232</v>
      </c>
      <c r="F2" s="23" t="str">
        <f t="shared" ref="F2:F65" si="0">B2</f>
        <v>rtdc.l.rtdc.4007:itc</v>
      </c>
      <c r="G2" s="8">
        <f t="shared" ref="G2:G65" si="1">A2</f>
        <v>42649.033750000002</v>
      </c>
    </row>
    <row r="3" spans="1:7" x14ac:dyDescent="0.25">
      <c r="A3" s="8">
        <v>42649.036377314813</v>
      </c>
      <c r="B3" s="23" t="s">
        <v>245</v>
      </c>
      <c r="C3" s="23" t="s">
        <v>332</v>
      </c>
      <c r="D3" s="23">
        <v>1300000</v>
      </c>
      <c r="E3" s="23" t="s">
        <v>121</v>
      </c>
      <c r="F3" s="23" t="str">
        <f t="shared" si="0"/>
        <v>rtdc.l.rtdc.4015:itc</v>
      </c>
      <c r="G3" s="8">
        <f t="shared" si="1"/>
        <v>42649.036377314813</v>
      </c>
    </row>
    <row r="4" spans="1:7" x14ac:dyDescent="0.25">
      <c r="A4" s="8">
        <v>42649.046261574076</v>
      </c>
      <c r="B4" s="23" t="s">
        <v>258</v>
      </c>
      <c r="C4" s="23" t="s">
        <v>333</v>
      </c>
      <c r="D4" s="23">
        <v>1230000</v>
      </c>
      <c r="E4" s="23" t="s">
        <v>292</v>
      </c>
      <c r="F4" s="23" t="str">
        <f t="shared" si="0"/>
        <v>rtdc.l.rtdc.4003:itc</v>
      </c>
      <c r="G4" s="8">
        <f t="shared" si="1"/>
        <v>42649.046261574076</v>
      </c>
    </row>
    <row r="5" spans="1:7" x14ac:dyDescent="0.25">
      <c r="A5" s="8">
        <v>42649.049467592595</v>
      </c>
      <c r="B5" s="23" t="s">
        <v>169</v>
      </c>
      <c r="C5" s="23" t="s">
        <v>330</v>
      </c>
      <c r="D5" s="23">
        <v>630000</v>
      </c>
      <c r="E5" s="23" t="b">
        <v>1</v>
      </c>
      <c r="F5" s="23" t="str">
        <f t="shared" si="0"/>
        <v>rtdc.l.rtdc.4052:itc</v>
      </c>
      <c r="G5" s="8">
        <f t="shared" si="1"/>
        <v>42649.049467592595</v>
      </c>
    </row>
    <row r="6" spans="1:7" x14ac:dyDescent="0.25">
      <c r="A6" s="8">
        <v>42649.056539351855</v>
      </c>
      <c r="B6" s="23" t="s">
        <v>170</v>
      </c>
      <c r="C6" s="23" t="s">
        <v>334</v>
      </c>
      <c r="D6" s="23">
        <v>1290000</v>
      </c>
      <c r="E6" s="23" t="s">
        <v>167</v>
      </c>
      <c r="F6" s="23" t="str">
        <f t="shared" si="0"/>
        <v>rtdc.l.rtdc.4041:itc</v>
      </c>
      <c r="G6" s="8">
        <f t="shared" si="1"/>
        <v>42649.056539351855</v>
      </c>
    </row>
    <row r="7" spans="1:7" x14ac:dyDescent="0.25">
      <c r="A7" s="8">
        <v>42649.069953703707</v>
      </c>
      <c r="B7" s="23" t="s">
        <v>246</v>
      </c>
      <c r="C7" s="23" t="s">
        <v>335</v>
      </c>
      <c r="D7" s="23">
        <v>1300000</v>
      </c>
      <c r="E7" s="23" t="s">
        <v>121</v>
      </c>
      <c r="F7" s="23" t="str">
        <f t="shared" si="0"/>
        <v>rtdc.l.rtdc.4016:itc</v>
      </c>
      <c r="G7" s="8">
        <f t="shared" si="1"/>
        <v>42649.069953703707</v>
      </c>
    </row>
    <row r="8" spans="1:7" x14ac:dyDescent="0.25">
      <c r="A8" s="8">
        <v>42649.070960648147</v>
      </c>
      <c r="B8" s="23" t="s">
        <v>168</v>
      </c>
      <c r="C8" s="23" t="s">
        <v>327</v>
      </c>
      <c r="D8" s="23">
        <v>630000</v>
      </c>
      <c r="E8" s="23" t="b">
        <v>1</v>
      </c>
      <c r="F8" s="23" t="str">
        <f t="shared" si="0"/>
        <v>rtdc.l.rtdc.4051:itc</v>
      </c>
      <c r="G8" s="8">
        <f t="shared" si="1"/>
        <v>42649.070960648147</v>
      </c>
    </row>
    <row r="9" spans="1:7" ht="15.75" thickBot="1" x14ac:dyDescent="0.3">
      <c r="A9" s="27">
        <v>42649.087847222225</v>
      </c>
      <c r="B9" s="23" t="s">
        <v>171</v>
      </c>
      <c r="C9" s="23" t="s">
        <v>336</v>
      </c>
      <c r="D9" s="23">
        <v>1290000</v>
      </c>
      <c r="E9" s="23" t="s">
        <v>167</v>
      </c>
      <c r="F9" s="23" t="str">
        <f t="shared" si="0"/>
        <v>rtdc.l.rtdc.4042:itc</v>
      </c>
      <c r="G9" s="8">
        <f t="shared" si="1"/>
        <v>42649.087847222225</v>
      </c>
    </row>
    <row r="10" spans="1:7" x14ac:dyDescent="0.25">
      <c r="A10" s="8">
        <v>42649.08865740741</v>
      </c>
      <c r="B10" s="23" t="s">
        <v>169</v>
      </c>
      <c r="C10" s="23" t="s">
        <v>330</v>
      </c>
      <c r="D10" s="23">
        <v>630000</v>
      </c>
      <c r="E10" s="23" t="b">
        <v>1</v>
      </c>
      <c r="F10" s="23" t="str">
        <f t="shared" si="0"/>
        <v>rtdc.l.rtdc.4052:itc</v>
      </c>
      <c r="G10" s="8">
        <f t="shared" si="1"/>
        <v>42649.08865740741</v>
      </c>
    </row>
    <row r="11" spans="1:7" x14ac:dyDescent="0.25">
      <c r="A11" s="8">
        <v>42649.094178240739</v>
      </c>
      <c r="B11" s="23" t="s">
        <v>170</v>
      </c>
      <c r="C11" s="23" t="s">
        <v>336</v>
      </c>
      <c r="D11" s="23">
        <v>1290000</v>
      </c>
      <c r="E11" s="23" t="s">
        <v>167</v>
      </c>
      <c r="F11" s="23" t="str">
        <f t="shared" si="0"/>
        <v>rtdc.l.rtdc.4041:itc</v>
      </c>
      <c r="G11" s="8">
        <f t="shared" si="1"/>
        <v>42649.094178240739</v>
      </c>
    </row>
    <row r="12" spans="1:7" x14ac:dyDescent="0.25">
      <c r="A12" s="8">
        <v>42649.09542824074</v>
      </c>
      <c r="B12" s="23" t="s">
        <v>170</v>
      </c>
      <c r="C12" s="23" t="s">
        <v>336</v>
      </c>
      <c r="D12" s="23">
        <v>1290000</v>
      </c>
      <c r="E12" s="23" t="s">
        <v>167</v>
      </c>
      <c r="F12" s="23" t="str">
        <f t="shared" si="0"/>
        <v>rtdc.l.rtdc.4041:itc</v>
      </c>
      <c r="G12" s="8">
        <f t="shared" si="1"/>
        <v>42649.09542824074</v>
      </c>
    </row>
    <row r="13" spans="1:7" x14ac:dyDescent="0.25">
      <c r="A13" s="8">
        <v>42649.101145833331</v>
      </c>
      <c r="B13" s="23" t="s">
        <v>280</v>
      </c>
      <c r="C13" s="23" t="s">
        <v>336</v>
      </c>
      <c r="D13" s="23">
        <v>1290000</v>
      </c>
      <c r="E13" s="23" t="s">
        <v>167</v>
      </c>
      <c r="F13" s="23" t="str">
        <f t="shared" si="0"/>
        <v>rtdc.l.rtdc.4002:itc</v>
      </c>
      <c r="G13" s="8">
        <f t="shared" si="1"/>
        <v>42649.101145833331</v>
      </c>
    </row>
    <row r="14" spans="1:7" x14ac:dyDescent="0.25">
      <c r="A14" s="8">
        <v>42649.105891203704</v>
      </c>
      <c r="B14" s="23" t="s">
        <v>168</v>
      </c>
      <c r="C14" s="23" t="s">
        <v>327</v>
      </c>
      <c r="D14" s="23">
        <v>630000</v>
      </c>
      <c r="E14" s="23" t="b">
        <v>1</v>
      </c>
      <c r="F14" s="23" t="str">
        <f t="shared" si="0"/>
        <v>rtdc.l.rtdc.4051:itc</v>
      </c>
      <c r="G14" s="8">
        <f t="shared" si="1"/>
        <v>42649.105891203704</v>
      </c>
    </row>
    <row r="15" spans="1:7" x14ac:dyDescent="0.25">
      <c r="A15" s="8">
        <v>42649.106817129628</v>
      </c>
      <c r="B15" s="23" t="s">
        <v>168</v>
      </c>
      <c r="C15" s="23" t="s">
        <v>327</v>
      </c>
      <c r="D15" s="23">
        <v>630000</v>
      </c>
      <c r="E15" s="23" t="b">
        <v>1</v>
      </c>
      <c r="F15" s="23" t="str">
        <f t="shared" si="0"/>
        <v>rtdc.l.rtdc.4051:itc</v>
      </c>
      <c r="G15" s="8">
        <f t="shared" si="1"/>
        <v>42649.106817129628</v>
      </c>
    </row>
    <row r="16" spans="1:7" x14ac:dyDescent="0.25">
      <c r="A16" s="8">
        <v>42649.11991898148</v>
      </c>
      <c r="B16" s="23" t="s">
        <v>247</v>
      </c>
      <c r="C16" s="23" t="s">
        <v>388</v>
      </c>
      <c r="D16" s="23">
        <v>2010000</v>
      </c>
      <c r="E16" s="23" t="s">
        <v>319</v>
      </c>
      <c r="F16" s="23" t="str">
        <f t="shared" si="0"/>
        <v>rtdc.l.rtdc.4032:itc</v>
      </c>
      <c r="G16" s="8">
        <f t="shared" si="1"/>
        <v>42649.11991898148</v>
      </c>
    </row>
    <row r="17" spans="1:7" x14ac:dyDescent="0.25">
      <c r="A17" s="8">
        <v>42649.123182870368</v>
      </c>
      <c r="B17" s="23" t="s">
        <v>169</v>
      </c>
      <c r="C17" s="23" t="s">
        <v>330</v>
      </c>
      <c r="D17" s="23">
        <v>630000</v>
      </c>
      <c r="E17" s="23" t="b">
        <v>1</v>
      </c>
      <c r="F17" s="23" t="str">
        <f t="shared" si="0"/>
        <v>rtdc.l.rtdc.4052:itc</v>
      </c>
      <c r="G17" s="8">
        <f t="shared" si="1"/>
        <v>42649.123182870368</v>
      </c>
    </row>
    <row r="18" spans="1:7" x14ac:dyDescent="0.25">
      <c r="A18" s="8">
        <v>42649.131678240738</v>
      </c>
      <c r="B18" s="23" t="s">
        <v>389</v>
      </c>
      <c r="C18" s="23" t="s">
        <v>390</v>
      </c>
      <c r="D18" s="23">
        <v>2010000</v>
      </c>
      <c r="E18" s="23" t="s">
        <v>319</v>
      </c>
      <c r="F18" s="23" t="str">
        <f t="shared" si="0"/>
        <v>rtdc.l.rtdc.4046:itc</v>
      </c>
      <c r="G18" s="8">
        <f t="shared" si="1"/>
        <v>42649.131678240738</v>
      </c>
    </row>
    <row r="19" spans="1:7" x14ac:dyDescent="0.25">
      <c r="A19" s="8">
        <v>42649.136134259257</v>
      </c>
      <c r="B19" s="23" t="s">
        <v>391</v>
      </c>
      <c r="C19" s="23" t="s">
        <v>392</v>
      </c>
      <c r="D19" s="23">
        <v>2110000</v>
      </c>
      <c r="E19" s="23" t="s">
        <v>393</v>
      </c>
      <c r="F19" s="23" t="str">
        <f t="shared" si="0"/>
        <v>rtdc.l.rtdc.4043:itc</v>
      </c>
      <c r="G19" s="8">
        <f t="shared" si="1"/>
        <v>42649.136134259257</v>
      </c>
    </row>
    <row r="20" spans="1:7" x14ac:dyDescent="0.25">
      <c r="A20" s="8">
        <v>42649.151099537034</v>
      </c>
      <c r="B20" s="23" t="s">
        <v>318</v>
      </c>
      <c r="C20" s="23" t="s">
        <v>394</v>
      </c>
      <c r="D20" s="23">
        <v>2110000</v>
      </c>
      <c r="E20" s="23" t="s">
        <v>393</v>
      </c>
      <c r="F20" s="23" t="str">
        <f t="shared" si="0"/>
        <v>rtdc.l.rtdc.4027:itc</v>
      </c>
      <c r="G20" s="8">
        <f t="shared" si="1"/>
        <v>42649.151099537034</v>
      </c>
    </row>
    <row r="21" spans="1:7" x14ac:dyDescent="0.25">
      <c r="A21" s="8">
        <v>42649.161030092589</v>
      </c>
      <c r="B21" s="23" t="s">
        <v>166</v>
      </c>
      <c r="C21" s="23" t="s">
        <v>395</v>
      </c>
      <c r="D21" s="23">
        <v>2230000</v>
      </c>
      <c r="E21" s="23" t="s">
        <v>396</v>
      </c>
      <c r="F21" s="23" t="str">
        <f t="shared" si="0"/>
        <v>rtdc.l.rtdc.4026:itc</v>
      </c>
      <c r="G21" s="8">
        <f t="shared" si="1"/>
        <v>42649.161030092589</v>
      </c>
    </row>
    <row r="22" spans="1:7" x14ac:dyDescent="0.25">
      <c r="A22" s="29">
        <v>42649.16778935185</v>
      </c>
      <c r="B22" s="23" t="s">
        <v>247</v>
      </c>
      <c r="C22" s="23" t="s">
        <v>397</v>
      </c>
      <c r="D22" s="23">
        <v>2010000</v>
      </c>
      <c r="E22" s="23" t="s">
        <v>319</v>
      </c>
      <c r="F22" s="23" t="str">
        <f t="shared" si="0"/>
        <v>rtdc.l.rtdc.4032:itc</v>
      </c>
      <c r="G22" s="8">
        <f t="shared" si="1"/>
        <v>42649.16778935185</v>
      </c>
    </row>
    <row r="23" spans="1:7" x14ac:dyDescent="0.25">
      <c r="A23" s="8">
        <v>42649.174363425926</v>
      </c>
      <c r="B23" s="23" t="s">
        <v>223</v>
      </c>
      <c r="C23" s="23" t="s">
        <v>398</v>
      </c>
      <c r="D23" s="23">
        <v>1760000</v>
      </c>
      <c r="E23" s="23" t="s">
        <v>320</v>
      </c>
      <c r="F23" s="23" t="str">
        <f t="shared" si="0"/>
        <v>rtdc.l.rtdc.4017:itc</v>
      </c>
      <c r="G23" s="8">
        <f t="shared" si="1"/>
        <v>42649.174363425926</v>
      </c>
    </row>
    <row r="24" spans="1:7" x14ac:dyDescent="0.25">
      <c r="A24" s="8">
        <v>42649.175127314818</v>
      </c>
      <c r="B24" s="23" t="s">
        <v>250</v>
      </c>
      <c r="C24" s="23" t="s">
        <v>399</v>
      </c>
      <c r="D24" s="23">
        <v>2230000</v>
      </c>
      <c r="E24" s="23" t="s">
        <v>396</v>
      </c>
      <c r="F24" s="23" t="str">
        <f t="shared" si="0"/>
        <v>rtdc.l.rtdc.4009:itc</v>
      </c>
      <c r="G24" s="8">
        <f t="shared" si="1"/>
        <v>42649.175127314818</v>
      </c>
    </row>
    <row r="25" spans="1:7" x14ac:dyDescent="0.25">
      <c r="A25" s="8">
        <v>42649.176018518519</v>
      </c>
      <c r="B25" s="23" t="s">
        <v>250</v>
      </c>
      <c r="C25" s="23" t="s">
        <v>399</v>
      </c>
      <c r="D25" s="23">
        <v>2230000</v>
      </c>
      <c r="E25" s="23" t="s">
        <v>396</v>
      </c>
      <c r="F25" s="23" t="str">
        <f t="shared" si="0"/>
        <v>rtdc.l.rtdc.4009:itc</v>
      </c>
      <c r="G25" s="8">
        <f t="shared" si="1"/>
        <v>42649.176018518519</v>
      </c>
    </row>
    <row r="26" spans="1:7" x14ac:dyDescent="0.25">
      <c r="A26" s="8">
        <v>42649.184965277775</v>
      </c>
      <c r="B26" s="23" t="s">
        <v>224</v>
      </c>
      <c r="C26" s="23" t="s">
        <v>400</v>
      </c>
      <c r="D26" s="23">
        <v>1760000</v>
      </c>
      <c r="E26" s="23" t="s">
        <v>320</v>
      </c>
      <c r="F26" s="23" t="str">
        <f t="shared" si="0"/>
        <v>rtdc.l.rtdc.4018:itc</v>
      </c>
      <c r="G26" s="8">
        <f t="shared" si="1"/>
        <v>42649.184965277775</v>
      </c>
    </row>
    <row r="27" spans="1:7" x14ac:dyDescent="0.25">
      <c r="A27" s="8">
        <v>42649.186076388891</v>
      </c>
      <c r="B27" s="23" t="s">
        <v>287</v>
      </c>
      <c r="C27" s="23" t="s">
        <v>401</v>
      </c>
      <c r="D27" s="23">
        <v>900000</v>
      </c>
      <c r="E27" s="23" t="s">
        <v>321</v>
      </c>
      <c r="F27" s="23" t="str">
        <f t="shared" si="0"/>
        <v>rtdc.l.rtdc.4008:itc</v>
      </c>
      <c r="G27" s="8">
        <f t="shared" si="1"/>
        <v>42649.186076388891</v>
      </c>
    </row>
    <row r="28" spans="1:7" x14ac:dyDescent="0.25">
      <c r="A28" s="8">
        <v>42649.189976851849</v>
      </c>
      <c r="B28" s="23" t="s">
        <v>391</v>
      </c>
      <c r="C28" s="23" t="s">
        <v>402</v>
      </c>
      <c r="D28" s="23">
        <v>2110000</v>
      </c>
      <c r="E28" s="23" t="s">
        <v>393</v>
      </c>
      <c r="F28" s="23" t="str">
        <f t="shared" si="0"/>
        <v>rtdc.l.rtdc.4043:itc</v>
      </c>
      <c r="G28" s="8">
        <f t="shared" si="1"/>
        <v>42649.189976851849</v>
      </c>
    </row>
    <row r="29" spans="1:7" x14ac:dyDescent="0.25">
      <c r="A29" s="8">
        <v>42649.197453703702</v>
      </c>
      <c r="B29" s="23" t="s">
        <v>290</v>
      </c>
      <c r="C29" s="23" t="s">
        <v>403</v>
      </c>
      <c r="D29" s="23">
        <v>900000</v>
      </c>
      <c r="E29" s="23" t="s">
        <v>321</v>
      </c>
      <c r="F29" s="23" t="str">
        <f t="shared" si="0"/>
        <v>rtdc.l.rtdc.4007:itc</v>
      </c>
      <c r="G29" s="8">
        <f t="shared" si="1"/>
        <v>42649.197453703702</v>
      </c>
    </row>
    <row r="30" spans="1:7" x14ac:dyDescent="0.25">
      <c r="A30" s="8">
        <v>42649.204560185186</v>
      </c>
      <c r="B30" s="23" t="s">
        <v>249</v>
      </c>
      <c r="C30" s="23" t="s">
        <v>404</v>
      </c>
      <c r="D30" s="23">
        <v>1830000</v>
      </c>
      <c r="E30" s="23" t="s">
        <v>405</v>
      </c>
      <c r="F30" s="23" t="str">
        <f t="shared" si="0"/>
        <v>rtdc.l.rtdc.4053:itc</v>
      </c>
      <c r="G30" s="8">
        <f t="shared" si="1"/>
        <v>42649.204560185186</v>
      </c>
    </row>
    <row r="31" spans="1:7" x14ac:dyDescent="0.25">
      <c r="A31" s="8">
        <v>42649.205729166664</v>
      </c>
      <c r="B31" s="23" t="s">
        <v>389</v>
      </c>
      <c r="C31" s="23" t="s">
        <v>406</v>
      </c>
      <c r="D31" s="23">
        <v>2350000</v>
      </c>
      <c r="E31" s="23" t="s">
        <v>407</v>
      </c>
      <c r="F31" s="23" t="str">
        <f t="shared" si="0"/>
        <v>rtdc.l.rtdc.4046:itc</v>
      </c>
      <c r="G31" s="8">
        <f t="shared" si="1"/>
        <v>42649.205729166664</v>
      </c>
    </row>
    <row r="32" spans="1:7" x14ac:dyDescent="0.25">
      <c r="A32" s="8">
        <v>42649.208287037036</v>
      </c>
      <c r="B32" s="23" t="s">
        <v>249</v>
      </c>
      <c r="C32" s="23" t="s">
        <v>404</v>
      </c>
      <c r="D32" s="23">
        <v>1830000</v>
      </c>
      <c r="E32" s="23" t="s">
        <v>405</v>
      </c>
      <c r="F32" s="23" t="str">
        <f t="shared" si="0"/>
        <v>rtdc.l.rtdc.4053:itc</v>
      </c>
      <c r="G32" s="8">
        <f t="shared" si="1"/>
        <v>42649.208287037036</v>
      </c>
    </row>
    <row r="33" spans="1:7" x14ac:dyDescent="0.25">
      <c r="A33" s="8">
        <v>42649.209745370368</v>
      </c>
      <c r="B33" s="23" t="s">
        <v>248</v>
      </c>
      <c r="C33" s="23" t="s">
        <v>408</v>
      </c>
      <c r="D33" s="23">
        <v>2010000</v>
      </c>
      <c r="E33" s="23" t="s">
        <v>319</v>
      </c>
      <c r="F33" s="23" t="str">
        <f t="shared" si="0"/>
        <v>rtdc.l.rtdc.4031:itc</v>
      </c>
      <c r="G33" s="8">
        <f t="shared" si="1"/>
        <v>42649.209745370368</v>
      </c>
    </row>
    <row r="34" spans="1:7" x14ac:dyDescent="0.25">
      <c r="A34" s="8">
        <v>42649.214270833334</v>
      </c>
      <c r="B34" s="23" t="s">
        <v>409</v>
      </c>
      <c r="C34" s="23" t="s">
        <v>410</v>
      </c>
      <c r="D34" s="23">
        <v>1830000</v>
      </c>
      <c r="E34" s="23" t="s">
        <v>405</v>
      </c>
      <c r="F34" s="23" t="str">
        <f t="shared" si="0"/>
        <v>rtdc.l.rtdc.4054:itc</v>
      </c>
      <c r="G34" s="8">
        <f t="shared" si="1"/>
        <v>42649.214270833334</v>
      </c>
    </row>
    <row r="35" spans="1:7" x14ac:dyDescent="0.25">
      <c r="A35" s="8">
        <v>42649.219282407408</v>
      </c>
      <c r="B35" s="23" t="s">
        <v>166</v>
      </c>
      <c r="C35" s="23" t="s">
        <v>411</v>
      </c>
      <c r="D35" s="23">
        <v>2230000</v>
      </c>
      <c r="E35" s="23" t="s">
        <v>396</v>
      </c>
      <c r="F35" s="23" t="str">
        <f t="shared" si="0"/>
        <v>rtdc.l.rtdc.4026:itc</v>
      </c>
      <c r="G35" s="8">
        <f t="shared" si="1"/>
        <v>42649.219282407408</v>
      </c>
    </row>
    <row r="36" spans="1:7" x14ac:dyDescent="0.25">
      <c r="A36" s="8">
        <v>42649.221180555556</v>
      </c>
      <c r="B36" s="23" t="s">
        <v>391</v>
      </c>
      <c r="C36" s="23" t="s">
        <v>402</v>
      </c>
      <c r="D36" s="23">
        <v>2110000</v>
      </c>
      <c r="E36" s="23" t="s">
        <v>393</v>
      </c>
      <c r="F36" s="23" t="str">
        <f t="shared" si="0"/>
        <v>rtdc.l.rtdc.4043:itc</v>
      </c>
      <c r="G36" s="8">
        <f t="shared" si="1"/>
        <v>42649.221180555556</v>
      </c>
    </row>
    <row r="37" spans="1:7" x14ac:dyDescent="0.25">
      <c r="A37" s="8">
        <v>42649.224918981483</v>
      </c>
      <c r="B37" s="23" t="s">
        <v>223</v>
      </c>
      <c r="C37" s="23" t="s">
        <v>412</v>
      </c>
      <c r="D37" s="23">
        <v>1760000</v>
      </c>
      <c r="E37" s="23" t="s">
        <v>320</v>
      </c>
      <c r="F37" s="23" t="str">
        <f t="shared" si="0"/>
        <v>rtdc.l.rtdc.4017:itc</v>
      </c>
      <c r="G37" s="8">
        <f t="shared" si="1"/>
        <v>42649.224918981483</v>
      </c>
    </row>
    <row r="38" spans="1:7" x14ac:dyDescent="0.25">
      <c r="A38" s="8">
        <v>42649.228831018518</v>
      </c>
      <c r="B38" s="23" t="s">
        <v>287</v>
      </c>
      <c r="C38" s="23" t="s">
        <v>413</v>
      </c>
      <c r="D38" s="23">
        <v>900000</v>
      </c>
      <c r="E38" s="23" t="s">
        <v>321</v>
      </c>
      <c r="F38" s="23" t="str">
        <f t="shared" si="0"/>
        <v>rtdc.l.rtdc.4008:itc</v>
      </c>
      <c r="G38" s="8">
        <f t="shared" si="1"/>
        <v>42649.228831018518</v>
      </c>
    </row>
    <row r="39" spans="1:7" x14ac:dyDescent="0.25">
      <c r="A39" s="8">
        <v>42649.232685185183</v>
      </c>
      <c r="B39" s="23" t="s">
        <v>318</v>
      </c>
      <c r="C39" s="23" t="s">
        <v>414</v>
      </c>
      <c r="D39" s="23">
        <v>1190000</v>
      </c>
      <c r="E39" s="23" t="s">
        <v>281</v>
      </c>
      <c r="F39" s="23" t="str">
        <f t="shared" si="0"/>
        <v>rtdc.l.rtdc.4027:itc</v>
      </c>
      <c r="G39" s="8">
        <f t="shared" si="1"/>
        <v>42649.232685185183</v>
      </c>
    </row>
    <row r="40" spans="1:7" x14ac:dyDescent="0.25">
      <c r="A40" s="8">
        <v>42649.237141203703</v>
      </c>
      <c r="B40" s="28" t="s">
        <v>288</v>
      </c>
      <c r="C40" s="23" t="s">
        <v>415</v>
      </c>
      <c r="D40" s="23">
        <v>2110000</v>
      </c>
      <c r="E40" s="23" t="s">
        <v>393</v>
      </c>
      <c r="F40" s="23" t="str">
        <f t="shared" si="0"/>
        <v>rtdc.l.rtdc.4044:itc</v>
      </c>
      <c r="G40" s="8">
        <f t="shared" si="1"/>
        <v>42649.237141203703</v>
      </c>
    </row>
    <row r="41" spans="1:7" x14ac:dyDescent="0.25">
      <c r="A41" s="8">
        <v>42649.238125000003</v>
      </c>
      <c r="B41" s="23" t="s">
        <v>288</v>
      </c>
      <c r="C41" s="23" t="s">
        <v>415</v>
      </c>
      <c r="D41" s="23">
        <v>2110000</v>
      </c>
      <c r="E41" s="23" t="s">
        <v>393</v>
      </c>
      <c r="F41" s="23" t="str">
        <f t="shared" si="0"/>
        <v>rtdc.l.rtdc.4044:itc</v>
      </c>
      <c r="G41" s="8">
        <f t="shared" si="1"/>
        <v>42649.238125000003</v>
      </c>
    </row>
    <row r="42" spans="1:7" x14ac:dyDescent="0.25">
      <c r="A42" s="8">
        <v>42649.242083333331</v>
      </c>
      <c r="B42" s="23" t="s">
        <v>249</v>
      </c>
      <c r="C42" s="23" t="s">
        <v>416</v>
      </c>
      <c r="D42" s="23">
        <v>1830000</v>
      </c>
      <c r="E42" s="23" t="s">
        <v>405</v>
      </c>
      <c r="F42" s="23" t="str">
        <f t="shared" si="0"/>
        <v>rtdc.l.rtdc.4053:itc</v>
      </c>
      <c r="G42" s="8">
        <f t="shared" si="1"/>
        <v>42649.242083333331</v>
      </c>
    </row>
    <row r="43" spans="1:7" x14ac:dyDescent="0.25">
      <c r="A43" s="8">
        <v>42649.242615740739</v>
      </c>
      <c r="B43" s="23" t="s">
        <v>417</v>
      </c>
      <c r="C43" s="23" t="s">
        <v>418</v>
      </c>
      <c r="D43" s="23">
        <v>2350000</v>
      </c>
      <c r="E43" s="23" t="s">
        <v>407</v>
      </c>
      <c r="F43" s="23" t="str">
        <f t="shared" si="0"/>
        <v>rtdc.l.rtdc.4045:itc</v>
      </c>
      <c r="G43" s="8">
        <f t="shared" si="1"/>
        <v>42649.242615740739</v>
      </c>
    </row>
    <row r="44" spans="1:7" x14ac:dyDescent="0.25">
      <c r="A44" s="8">
        <v>42649.246655092589</v>
      </c>
      <c r="B44" s="23" t="s">
        <v>260</v>
      </c>
      <c r="C44" s="23" t="s">
        <v>419</v>
      </c>
      <c r="D44" s="23">
        <v>1100000</v>
      </c>
      <c r="E44" s="23" t="s">
        <v>289</v>
      </c>
      <c r="F44" s="23" t="str">
        <f t="shared" si="0"/>
        <v>rtdc.l.rtdc.4030:itc</v>
      </c>
      <c r="G44" s="8">
        <f t="shared" si="1"/>
        <v>42649.246655092589</v>
      </c>
    </row>
    <row r="45" spans="1:7" x14ac:dyDescent="0.25">
      <c r="A45" s="8">
        <v>42649.24763888889</v>
      </c>
      <c r="B45" s="23" t="s">
        <v>260</v>
      </c>
      <c r="C45" s="23" t="s">
        <v>419</v>
      </c>
      <c r="D45" s="23">
        <v>1100000</v>
      </c>
      <c r="E45" s="23" t="s">
        <v>289</v>
      </c>
      <c r="F45" s="23" t="str">
        <f t="shared" si="0"/>
        <v>rtdc.l.rtdc.4030:itc</v>
      </c>
      <c r="G45" s="8">
        <f t="shared" si="1"/>
        <v>42649.24763888889</v>
      </c>
    </row>
    <row r="46" spans="1:7" x14ac:dyDescent="0.25">
      <c r="A46" s="8">
        <v>42649.252164351848</v>
      </c>
      <c r="B46" s="23" t="s">
        <v>250</v>
      </c>
      <c r="C46" s="23" t="s">
        <v>420</v>
      </c>
      <c r="D46" s="23">
        <v>2230000</v>
      </c>
      <c r="E46" s="23" t="s">
        <v>396</v>
      </c>
      <c r="F46" s="23" t="str">
        <f t="shared" si="0"/>
        <v>rtdc.l.rtdc.4009:itc</v>
      </c>
      <c r="G46" s="8">
        <f t="shared" si="1"/>
        <v>42649.252164351848</v>
      </c>
    </row>
    <row r="47" spans="1:7" x14ac:dyDescent="0.25">
      <c r="A47" s="8">
        <v>42649.253275462965</v>
      </c>
      <c r="B47" s="23" t="s">
        <v>250</v>
      </c>
      <c r="C47" s="23" t="s">
        <v>420</v>
      </c>
      <c r="D47" s="23">
        <v>2230000</v>
      </c>
      <c r="E47" s="23" t="s">
        <v>396</v>
      </c>
      <c r="F47" s="23" t="str">
        <f t="shared" si="0"/>
        <v>rtdc.l.rtdc.4009:itc</v>
      </c>
      <c r="G47" s="8">
        <f t="shared" si="1"/>
        <v>42649.253275462965</v>
      </c>
    </row>
    <row r="48" spans="1:7" x14ac:dyDescent="0.25">
      <c r="A48" s="8">
        <v>42649.25439814815</v>
      </c>
      <c r="B48" s="23" t="s">
        <v>250</v>
      </c>
      <c r="C48" s="23" t="s">
        <v>420</v>
      </c>
      <c r="D48" s="23">
        <v>2230000</v>
      </c>
      <c r="E48" s="23" t="s">
        <v>396</v>
      </c>
      <c r="F48" s="23" t="str">
        <f t="shared" si="0"/>
        <v>rtdc.l.rtdc.4009:itc</v>
      </c>
      <c r="G48" s="8">
        <f t="shared" si="1"/>
        <v>42649.25439814815</v>
      </c>
    </row>
    <row r="49" spans="1:7" x14ac:dyDescent="0.25">
      <c r="A49" s="8">
        <v>42649.254687499997</v>
      </c>
      <c r="B49" s="23" t="s">
        <v>409</v>
      </c>
      <c r="C49" s="23" t="s">
        <v>421</v>
      </c>
      <c r="D49" s="23">
        <v>1830000</v>
      </c>
      <c r="E49" s="23" t="s">
        <v>405</v>
      </c>
      <c r="F49" s="23" t="str">
        <f t="shared" si="0"/>
        <v>rtdc.l.rtdc.4054:itc</v>
      </c>
      <c r="G49" s="8">
        <f t="shared" si="1"/>
        <v>42649.254687499997</v>
      </c>
    </row>
    <row r="50" spans="1:7" x14ac:dyDescent="0.25">
      <c r="A50" s="8">
        <v>42649.257060185184</v>
      </c>
      <c r="B50" s="23" t="s">
        <v>247</v>
      </c>
      <c r="C50" s="23" t="s">
        <v>422</v>
      </c>
      <c r="D50" s="23">
        <v>2010000</v>
      </c>
      <c r="E50" s="23" t="s">
        <v>319</v>
      </c>
      <c r="F50" s="23" t="str">
        <f t="shared" si="0"/>
        <v>rtdc.l.rtdc.4032:itc</v>
      </c>
      <c r="G50" s="8">
        <f t="shared" si="1"/>
        <v>42649.257060185184</v>
      </c>
    </row>
    <row r="51" spans="1:7" x14ac:dyDescent="0.25">
      <c r="A51" s="8">
        <v>42649.2577662037</v>
      </c>
      <c r="B51" s="23" t="s">
        <v>224</v>
      </c>
      <c r="C51" s="23" t="s">
        <v>423</v>
      </c>
      <c r="D51" s="23">
        <v>1760000</v>
      </c>
      <c r="E51" s="23" t="s">
        <v>320</v>
      </c>
      <c r="F51" s="23" t="str">
        <f t="shared" si="0"/>
        <v>rtdc.l.rtdc.4018:itc</v>
      </c>
      <c r="G51" s="8">
        <f t="shared" si="1"/>
        <v>42649.2577662037</v>
      </c>
    </row>
    <row r="52" spans="1:7" x14ac:dyDescent="0.25">
      <c r="A52" s="8">
        <v>42649.2578125</v>
      </c>
      <c r="B52" s="23" t="s">
        <v>424</v>
      </c>
      <c r="C52" s="23" t="s">
        <v>425</v>
      </c>
      <c r="D52" s="23">
        <v>1100000</v>
      </c>
      <c r="E52" s="23" t="s">
        <v>289</v>
      </c>
      <c r="F52" s="23" t="str">
        <f t="shared" si="0"/>
        <v>rtdc.l.rtdc.4029:itc</v>
      </c>
      <c r="G52" s="8">
        <f t="shared" si="1"/>
        <v>42649.2578125</v>
      </c>
    </row>
    <row r="53" spans="1:7" x14ac:dyDescent="0.25">
      <c r="A53" s="8">
        <v>42649.261608796296</v>
      </c>
      <c r="B53" s="23" t="s">
        <v>317</v>
      </c>
      <c r="C53" s="23" t="s">
        <v>426</v>
      </c>
      <c r="D53" s="23">
        <v>1190000</v>
      </c>
      <c r="E53" s="23" t="s">
        <v>281</v>
      </c>
      <c r="F53" s="23" t="str">
        <f t="shared" si="0"/>
        <v>rtdc.l.rtdc.4028:itc</v>
      </c>
      <c r="G53" s="8">
        <f t="shared" si="1"/>
        <v>42649.261608796296</v>
      </c>
    </row>
    <row r="54" spans="1:7" x14ac:dyDescent="0.25">
      <c r="A54" s="8">
        <v>42649.26972222222</v>
      </c>
      <c r="B54" s="23" t="s">
        <v>290</v>
      </c>
      <c r="C54" s="23" t="s">
        <v>427</v>
      </c>
      <c r="D54" s="23">
        <v>900000</v>
      </c>
      <c r="E54" s="23" t="s">
        <v>321</v>
      </c>
      <c r="F54" s="23" t="str">
        <f t="shared" si="0"/>
        <v>rtdc.l.rtdc.4007:itc</v>
      </c>
      <c r="G54" s="8">
        <f t="shared" si="1"/>
        <v>42649.26972222222</v>
      </c>
    </row>
    <row r="55" spans="1:7" x14ac:dyDescent="0.25">
      <c r="A55" s="8">
        <v>42649.270787037036</v>
      </c>
      <c r="B55" s="23" t="s">
        <v>247</v>
      </c>
      <c r="C55" s="23" t="s">
        <v>422</v>
      </c>
      <c r="D55" s="23">
        <v>2010000</v>
      </c>
      <c r="E55" s="23" t="s">
        <v>319</v>
      </c>
      <c r="F55" s="23" t="str">
        <f t="shared" si="0"/>
        <v>rtdc.l.rtdc.4032:itc</v>
      </c>
      <c r="G55" s="8">
        <f t="shared" si="1"/>
        <v>42649.270787037036</v>
      </c>
    </row>
    <row r="56" spans="1:7" x14ac:dyDescent="0.25">
      <c r="A56" s="8">
        <v>42649.274826388886</v>
      </c>
      <c r="B56" s="23" t="s">
        <v>290</v>
      </c>
      <c r="C56" s="23" t="s">
        <v>427</v>
      </c>
      <c r="D56" s="23">
        <v>900000</v>
      </c>
      <c r="E56" s="23" t="s">
        <v>321</v>
      </c>
      <c r="F56" s="23" t="str">
        <f t="shared" si="0"/>
        <v>rtdc.l.rtdc.4007:itc</v>
      </c>
      <c r="G56" s="8">
        <f t="shared" si="1"/>
        <v>42649.274826388886</v>
      </c>
    </row>
    <row r="57" spans="1:7" x14ac:dyDescent="0.25">
      <c r="A57" s="8">
        <v>42649.276030092595</v>
      </c>
      <c r="B57" s="23" t="s">
        <v>260</v>
      </c>
      <c r="C57" s="23" t="s">
        <v>428</v>
      </c>
      <c r="D57" s="23">
        <v>1100000</v>
      </c>
      <c r="E57" s="23" t="s">
        <v>289</v>
      </c>
      <c r="F57" s="23" t="str">
        <f t="shared" si="0"/>
        <v>rtdc.l.rtdc.4030:itc</v>
      </c>
      <c r="G57" s="8">
        <f t="shared" si="1"/>
        <v>42649.276030092595</v>
      </c>
    </row>
    <row r="58" spans="1:7" x14ac:dyDescent="0.25">
      <c r="A58" s="8">
        <v>42649.277881944443</v>
      </c>
      <c r="B58" s="23" t="s">
        <v>391</v>
      </c>
      <c r="C58" s="23" t="s">
        <v>429</v>
      </c>
      <c r="D58" s="23">
        <v>2110000</v>
      </c>
      <c r="E58" s="23" t="s">
        <v>393</v>
      </c>
      <c r="F58" s="23" t="str">
        <f t="shared" si="0"/>
        <v>rtdc.l.rtdc.4043:itc</v>
      </c>
      <c r="G58" s="8">
        <f t="shared" si="1"/>
        <v>42649.277881944443</v>
      </c>
    </row>
    <row r="59" spans="1:7" x14ac:dyDescent="0.25">
      <c r="A59" s="8">
        <v>42649.280613425923</v>
      </c>
      <c r="B59" s="23" t="s">
        <v>249</v>
      </c>
      <c r="C59" s="23" t="s">
        <v>430</v>
      </c>
      <c r="D59" s="23">
        <v>1830000</v>
      </c>
      <c r="E59" s="23" t="s">
        <v>405</v>
      </c>
      <c r="F59" s="23" t="str">
        <f t="shared" si="0"/>
        <v>rtdc.l.rtdc.4053:itc</v>
      </c>
      <c r="G59" s="8">
        <f t="shared" si="1"/>
        <v>42649.280613425923</v>
      </c>
    </row>
    <row r="60" spans="1:7" x14ac:dyDescent="0.25">
      <c r="A60" s="8">
        <v>42649.280671296299</v>
      </c>
      <c r="B60" s="23" t="s">
        <v>165</v>
      </c>
      <c r="C60" s="23" t="s">
        <v>431</v>
      </c>
      <c r="D60" s="23">
        <v>2270000</v>
      </c>
      <c r="E60" s="23" t="s">
        <v>323</v>
      </c>
      <c r="F60" s="23" t="str">
        <f t="shared" si="0"/>
        <v>rtdc.l.rtdc.4025:itc</v>
      </c>
      <c r="G60" s="8">
        <f t="shared" si="1"/>
        <v>42649.280671296299</v>
      </c>
    </row>
    <row r="61" spans="1:7" x14ac:dyDescent="0.25">
      <c r="A61" s="8">
        <v>42649.285590277781</v>
      </c>
      <c r="B61" s="23" t="s">
        <v>244</v>
      </c>
      <c r="C61" s="23" t="s">
        <v>432</v>
      </c>
      <c r="D61" s="23">
        <v>2230000</v>
      </c>
      <c r="E61" s="23" t="s">
        <v>396</v>
      </c>
      <c r="F61" s="23" t="str">
        <f t="shared" si="0"/>
        <v>rtdc.l.rtdc.4010:itc</v>
      </c>
      <c r="G61" s="8">
        <f t="shared" si="1"/>
        <v>42649.285590277781</v>
      </c>
    </row>
    <row r="62" spans="1:7" x14ac:dyDescent="0.25">
      <c r="A62" s="8">
        <v>42649.286215277774</v>
      </c>
      <c r="B62" s="23" t="s">
        <v>244</v>
      </c>
      <c r="C62" s="23" t="s">
        <v>432</v>
      </c>
      <c r="D62" s="23">
        <v>2230000</v>
      </c>
      <c r="E62" s="23" t="s">
        <v>396</v>
      </c>
      <c r="F62" s="23" t="str">
        <f t="shared" si="0"/>
        <v>rtdc.l.rtdc.4010:itc</v>
      </c>
      <c r="G62" s="8">
        <f t="shared" si="1"/>
        <v>42649.286215277774</v>
      </c>
    </row>
    <row r="63" spans="1:7" x14ac:dyDescent="0.25">
      <c r="A63" s="8">
        <v>42649.287268518521</v>
      </c>
      <c r="B63" s="23" t="s">
        <v>244</v>
      </c>
      <c r="C63" s="23" t="s">
        <v>432</v>
      </c>
      <c r="D63" s="23">
        <v>2230000</v>
      </c>
      <c r="E63" s="23" t="s">
        <v>396</v>
      </c>
      <c r="F63" s="23" t="str">
        <f t="shared" si="0"/>
        <v>rtdc.l.rtdc.4010:itc</v>
      </c>
      <c r="G63" s="8">
        <f t="shared" si="1"/>
        <v>42649.287268518521</v>
      </c>
    </row>
    <row r="64" spans="1:7" x14ac:dyDescent="0.25">
      <c r="A64" s="29">
        <v>42649.287858796299</v>
      </c>
      <c r="B64" s="23" t="s">
        <v>244</v>
      </c>
      <c r="C64" s="23" t="s">
        <v>432</v>
      </c>
      <c r="D64" s="23">
        <v>2230000</v>
      </c>
      <c r="E64" s="23" t="s">
        <v>396</v>
      </c>
      <c r="F64" s="23" t="str">
        <f t="shared" si="0"/>
        <v>rtdc.l.rtdc.4010:itc</v>
      </c>
      <c r="G64" s="8">
        <f t="shared" si="1"/>
        <v>42649.287858796299</v>
      </c>
    </row>
    <row r="65" spans="1:7" x14ac:dyDescent="0.25">
      <c r="A65" s="8">
        <v>42649.288761574076</v>
      </c>
      <c r="B65" s="23" t="s">
        <v>244</v>
      </c>
      <c r="C65" s="23" t="s">
        <v>432</v>
      </c>
      <c r="D65" s="23">
        <v>2230000</v>
      </c>
      <c r="E65" s="23" t="s">
        <v>396</v>
      </c>
      <c r="F65" s="23" t="str">
        <f t="shared" si="0"/>
        <v>rtdc.l.rtdc.4010:itc</v>
      </c>
      <c r="G65" s="8">
        <f t="shared" si="1"/>
        <v>42649.288761574076</v>
      </c>
    </row>
    <row r="66" spans="1:7" x14ac:dyDescent="0.25">
      <c r="A66" s="8">
        <v>42649.28974537037</v>
      </c>
      <c r="B66" s="23" t="s">
        <v>244</v>
      </c>
      <c r="C66" s="23" t="s">
        <v>432</v>
      </c>
      <c r="D66" s="23">
        <v>2230000</v>
      </c>
      <c r="E66" s="23" t="s">
        <v>396</v>
      </c>
      <c r="F66" s="23" t="str">
        <f t="shared" ref="F66:F129" si="2">B66</f>
        <v>rtdc.l.rtdc.4010:itc</v>
      </c>
      <c r="G66" s="8">
        <f t="shared" ref="G66:G129" si="3">A66</f>
        <v>42649.28974537037</v>
      </c>
    </row>
    <row r="67" spans="1:7" x14ac:dyDescent="0.25">
      <c r="A67" s="8">
        <v>42649.29078703704</v>
      </c>
      <c r="B67" s="23" t="s">
        <v>244</v>
      </c>
      <c r="C67" s="23" t="s">
        <v>432</v>
      </c>
      <c r="D67" s="23">
        <v>2230000</v>
      </c>
      <c r="E67" s="23" t="s">
        <v>396</v>
      </c>
      <c r="F67" s="23" t="str">
        <f t="shared" si="2"/>
        <v>rtdc.l.rtdc.4010:itc</v>
      </c>
      <c r="G67" s="8">
        <f t="shared" si="3"/>
        <v>42649.29078703704</v>
      </c>
    </row>
    <row r="68" spans="1:7" x14ac:dyDescent="0.25">
      <c r="A68" s="8">
        <v>42649.295810185184</v>
      </c>
      <c r="B68" s="23" t="s">
        <v>223</v>
      </c>
      <c r="C68" s="23" t="s">
        <v>433</v>
      </c>
      <c r="D68" s="23">
        <v>1760000</v>
      </c>
      <c r="E68" s="23" t="s">
        <v>320</v>
      </c>
      <c r="F68" s="23" t="str">
        <f t="shared" si="2"/>
        <v>rtdc.l.rtdc.4017:itc</v>
      </c>
      <c r="G68" s="8">
        <f t="shared" si="3"/>
        <v>42649.295810185184</v>
      </c>
    </row>
    <row r="69" spans="1:7" x14ac:dyDescent="0.25">
      <c r="A69" s="8">
        <v>42649.296701388892</v>
      </c>
      <c r="B69" s="23" t="s">
        <v>409</v>
      </c>
      <c r="C69" s="23" t="s">
        <v>434</v>
      </c>
      <c r="D69" s="23">
        <v>1830000</v>
      </c>
      <c r="E69" s="23" t="s">
        <v>405</v>
      </c>
      <c r="F69" s="23" t="str">
        <f t="shared" si="2"/>
        <v>rtdc.l.rtdc.4054:itc</v>
      </c>
      <c r="G69" s="8">
        <f t="shared" si="3"/>
        <v>42649.296701388892</v>
      </c>
    </row>
    <row r="70" spans="1:7" x14ac:dyDescent="0.25">
      <c r="A70" s="8">
        <v>42649.300266203703</v>
      </c>
      <c r="B70" s="23" t="s">
        <v>389</v>
      </c>
      <c r="C70" s="23" t="s">
        <v>435</v>
      </c>
      <c r="D70" s="23">
        <v>2350000</v>
      </c>
      <c r="E70" s="23" t="s">
        <v>407</v>
      </c>
      <c r="F70" s="23" t="str">
        <f t="shared" si="2"/>
        <v>rtdc.l.rtdc.4046:itc</v>
      </c>
      <c r="G70" s="8">
        <f t="shared" si="3"/>
        <v>42649.300266203703</v>
      </c>
    </row>
    <row r="71" spans="1:7" x14ac:dyDescent="0.25">
      <c r="A71" s="8">
        <v>42649.304537037038</v>
      </c>
      <c r="B71" s="23" t="s">
        <v>424</v>
      </c>
      <c r="C71" s="23" t="s">
        <v>436</v>
      </c>
      <c r="D71" s="23">
        <v>1100000</v>
      </c>
      <c r="E71" s="23" t="s">
        <v>289</v>
      </c>
      <c r="F71" s="23" t="str">
        <f t="shared" si="2"/>
        <v>rtdc.l.rtdc.4029:itc</v>
      </c>
      <c r="G71" s="8">
        <f t="shared" si="3"/>
        <v>42649.304537037038</v>
      </c>
    </row>
    <row r="72" spans="1:7" x14ac:dyDescent="0.25">
      <c r="A72" s="8">
        <v>42649.304699074077</v>
      </c>
      <c r="B72" s="23" t="s">
        <v>248</v>
      </c>
      <c r="C72" s="23" t="s">
        <v>437</v>
      </c>
      <c r="D72" s="23">
        <v>2010000</v>
      </c>
      <c r="E72" s="23" t="s">
        <v>319</v>
      </c>
      <c r="F72" s="23" t="str">
        <f t="shared" si="2"/>
        <v>rtdc.l.rtdc.4031:itc</v>
      </c>
      <c r="G72" s="8">
        <f t="shared" si="3"/>
        <v>42649.304699074077</v>
      </c>
    </row>
    <row r="73" spans="1:7" x14ac:dyDescent="0.25">
      <c r="A73" s="8">
        <v>42649.309247685182</v>
      </c>
      <c r="B73" s="23" t="s">
        <v>287</v>
      </c>
      <c r="C73" s="23" t="s">
        <v>438</v>
      </c>
      <c r="D73" s="23">
        <v>900000</v>
      </c>
      <c r="E73" s="23" t="s">
        <v>321</v>
      </c>
      <c r="F73" s="23" t="str">
        <f t="shared" si="2"/>
        <v>rtdc.l.rtdc.4008:itc</v>
      </c>
      <c r="G73" s="8">
        <f t="shared" si="3"/>
        <v>42649.309247685182</v>
      </c>
    </row>
    <row r="74" spans="1:7" x14ac:dyDescent="0.25">
      <c r="A74" s="8">
        <v>42649.309571759259</v>
      </c>
      <c r="B74" s="23" t="s">
        <v>318</v>
      </c>
      <c r="C74" s="23" t="s">
        <v>439</v>
      </c>
      <c r="D74" s="23">
        <v>1190000</v>
      </c>
      <c r="E74" s="23" t="s">
        <v>281</v>
      </c>
      <c r="F74" s="23" t="str">
        <f t="shared" si="2"/>
        <v>rtdc.l.rtdc.4027:itc</v>
      </c>
      <c r="G74" s="8">
        <f t="shared" si="3"/>
        <v>42649.309571759259</v>
      </c>
    </row>
    <row r="75" spans="1:7" x14ac:dyDescent="0.25">
      <c r="A75" s="8">
        <v>42649.317997685182</v>
      </c>
      <c r="B75" s="23" t="s">
        <v>288</v>
      </c>
      <c r="C75" s="23" t="s">
        <v>440</v>
      </c>
      <c r="D75" s="23">
        <v>2110000</v>
      </c>
      <c r="E75" s="23" t="s">
        <v>393</v>
      </c>
      <c r="F75" s="23" t="str">
        <f t="shared" si="2"/>
        <v>rtdc.l.rtdc.4044:itc</v>
      </c>
      <c r="G75" s="8">
        <f t="shared" si="3"/>
        <v>42649.317997685182</v>
      </c>
    </row>
    <row r="76" spans="1:7" x14ac:dyDescent="0.25">
      <c r="A76" s="8">
        <v>42649.318229166667</v>
      </c>
      <c r="B76" s="23" t="s">
        <v>260</v>
      </c>
      <c r="C76" s="23" t="s">
        <v>441</v>
      </c>
      <c r="D76" s="23">
        <v>1100000</v>
      </c>
      <c r="E76" s="23" t="s">
        <v>289</v>
      </c>
      <c r="F76" s="23" t="str">
        <f t="shared" si="2"/>
        <v>rtdc.l.rtdc.4030:itc</v>
      </c>
      <c r="G76" s="8">
        <f t="shared" si="3"/>
        <v>42649.318229166667</v>
      </c>
    </row>
    <row r="77" spans="1:7" x14ac:dyDescent="0.25">
      <c r="A77" s="8">
        <v>42649.320798611108</v>
      </c>
      <c r="B77" s="23" t="s">
        <v>166</v>
      </c>
      <c r="C77" s="23" t="s">
        <v>442</v>
      </c>
      <c r="D77" s="23">
        <v>2270000</v>
      </c>
      <c r="E77" s="23" t="s">
        <v>323</v>
      </c>
      <c r="F77" s="23" t="str">
        <f t="shared" si="2"/>
        <v>rtdc.l.rtdc.4026:itc</v>
      </c>
      <c r="G77" s="8">
        <f t="shared" si="3"/>
        <v>42649.320798611108</v>
      </c>
    </row>
    <row r="78" spans="1:7" x14ac:dyDescent="0.25">
      <c r="A78" s="8">
        <v>42649.322847222225</v>
      </c>
      <c r="B78" s="23" t="s">
        <v>250</v>
      </c>
      <c r="C78" s="23" t="s">
        <v>443</v>
      </c>
      <c r="D78" s="23">
        <v>2230000</v>
      </c>
      <c r="E78" s="23" t="s">
        <v>396</v>
      </c>
      <c r="F78" s="23" t="str">
        <f t="shared" si="2"/>
        <v>rtdc.l.rtdc.4009:itc</v>
      </c>
      <c r="G78" s="8">
        <f t="shared" si="3"/>
        <v>42649.322847222225</v>
      </c>
    </row>
    <row r="79" spans="1:7" x14ac:dyDescent="0.25">
      <c r="A79" s="8">
        <v>42649.322962962964</v>
      </c>
      <c r="B79" s="23" t="s">
        <v>249</v>
      </c>
      <c r="C79" s="23" t="s">
        <v>444</v>
      </c>
      <c r="D79" s="23">
        <v>1830000</v>
      </c>
      <c r="E79" s="23" t="s">
        <v>405</v>
      </c>
      <c r="F79" s="23" t="str">
        <f t="shared" si="2"/>
        <v>rtdc.l.rtdc.4053:itc</v>
      </c>
      <c r="G79" s="8">
        <f t="shared" si="3"/>
        <v>42649.322962962964</v>
      </c>
    </row>
    <row r="80" spans="1:7" x14ac:dyDescent="0.25">
      <c r="A80" s="8">
        <v>42649.32949074074</v>
      </c>
      <c r="B80" s="23" t="s">
        <v>417</v>
      </c>
      <c r="C80" s="23" t="s">
        <v>445</v>
      </c>
      <c r="D80" s="23">
        <v>2350000</v>
      </c>
      <c r="E80" s="23" t="s">
        <v>407</v>
      </c>
      <c r="F80" s="23" t="str">
        <f t="shared" si="2"/>
        <v>rtdc.l.rtdc.4045:itc</v>
      </c>
      <c r="G80" s="8">
        <f t="shared" si="3"/>
        <v>42649.32949074074</v>
      </c>
    </row>
    <row r="81" spans="1:7" x14ac:dyDescent="0.25">
      <c r="A81" s="8">
        <v>42649.335335648146</v>
      </c>
      <c r="B81" s="23" t="s">
        <v>224</v>
      </c>
      <c r="C81" s="23" t="s">
        <v>446</v>
      </c>
      <c r="D81" s="23">
        <v>1760000</v>
      </c>
      <c r="E81" s="23" t="s">
        <v>320</v>
      </c>
      <c r="F81" s="23" t="str">
        <f t="shared" si="2"/>
        <v>rtdc.l.rtdc.4018:itc</v>
      </c>
      <c r="G81" s="8">
        <f t="shared" si="3"/>
        <v>42649.335335648146</v>
      </c>
    </row>
    <row r="82" spans="1:7" x14ac:dyDescent="0.25">
      <c r="A82" s="8">
        <v>42649.338888888888</v>
      </c>
      <c r="B82" s="23" t="s">
        <v>409</v>
      </c>
      <c r="C82" s="23" t="s">
        <v>447</v>
      </c>
      <c r="D82" s="23">
        <v>1830000</v>
      </c>
      <c r="E82" s="23" t="s">
        <v>405</v>
      </c>
      <c r="F82" s="23" t="str">
        <f t="shared" si="2"/>
        <v>rtdc.l.rtdc.4054:itc</v>
      </c>
      <c r="G82" s="8">
        <f t="shared" si="3"/>
        <v>42649.338888888888</v>
      </c>
    </row>
    <row r="83" spans="1:7" x14ac:dyDescent="0.25">
      <c r="A83" s="8">
        <v>42649.339166666665</v>
      </c>
      <c r="B83" s="23" t="s">
        <v>247</v>
      </c>
      <c r="C83" s="23" t="s">
        <v>448</v>
      </c>
      <c r="D83" s="23">
        <v>2010000</v>
      </c>
      <c r="E83" s="23" t="s">
        <v>319</v>
      </c>
      <c r="F83" s="23" t="str">
        <f t="shared" si="2"/>
        <v>rtdc.l.rtdc.4032:itc</v>
      </c>
      <c r="G83" s="8">
        <f t="shared" si="3"/>
        <v>42649.339166666665</v>
      </c>
    </row>
    <row r="84" spans="1:7" x14ac:dyDescent="0.25">
      <c r="A84" s="8">
        <v>42649.344930555555</v>
      </c>
      <c r="B84" s="23" t="s">
        <v>317</v>
      </c>
      <c r="C84" s="23" t="s">
        <v>449</v>
      </c>
      <c r="D84" s="23">
        <v>1190000</v>
      </c>
      <c r="E84" s="23" t="s">
        <v>281</v>
      </c>
      <c r="F84" s="23" t="str">
        <f t="shared" si="2"/>
        <v>rtdc.l.rtdc.4028:itc</v>
      </c>
      <c r="G84" s="8">
        <f t="shared" si="3"/>
        <v>42649.344930555555</v>
      </c>
    </row>
    <row r="85" spans="1:7" x14ac:dyDescent="0.25">
      <c r="A85" s="8">
        <v>42649.345416666663</v>
      </c>
      <c r="B85" s="23" t="s">
        <v>290</v>
      </c>
      <c r="C85" s="23" t="s">
        <v>450</v>
      </c>
      <c r="D85" s="23">
        <v>900000</v>
      </c>
      <c r="E85" s="23" t="s">
        <v>321</v>
      </c>
      <c r="F85" s="23" t="str">
        <f t="shared" si="2"/>
        <v>rtdc.l.rtdc.4007:itc</v>
      </c>
      <c r="G85" s="8">
        <f t="shared" si="3"/>
        <v>42649.345416666663</v>
      </c>
    </row>
    <row r="86" spans="1:7" x14ac:dyDescent="0.25">
      <c r="A86" s="8">
        <v>42649.346331018518</v>
      </c>
      <c r="B86" s="23" t="s">
        <v>424</v>
      </c>
      <c r="C86" s="23" t="s">
        <v>451</v>
      </c>
      <c r="D86" s="23">
        <v>1100000</v>
      </c>
      <c r="E86" s="23" t="s">
        <v>289</v>
      </c>
      <c r="F86" s="23" t="str">
        <f t="shared" si="2"/>
        <v>rtdc.l.rtdc.4029:itc</v>
      </c>
      <c r="G86" s="8">
        <f t="shared" si="3"/>
        <v>42649.346331018518</v>
      </c>
    </row>
    <row r="87" spans="1:7" x14ac:dyDescent="0.25">
      <c r="A87" s="8">
        <v>42649.355092592596</v>
      </c>
      <c r="B87" s="23" t="s">
        <v>249</v>
      </c>
      <c r="C87" s="23" t="s">
        <v>452</v>
      </c>
      <c r="D87" s="23">
        <v>1830000</v>
      </c>
      <c r="E87" s="23" t="s">
        <v>405</v>
      </c>
      <c r="F87" s="23" t="str">
        <f t="shared" si="2"/>
        <v>rtdc.l.rtdc.4053:itc</v>
      </c>
      <c r="G87" s="8">
        <f t="shared" si="3"/>
        <v>42649.355092592596</v>
      </c>
    </row>
    <row r="88" spans="1:7" x14ac:dyDescent="0.25">
      <c r="A88" s="8">
        <v>42649.355416666665</v>
      </c>
      <c r="B88" s="23" t="s">
        <v>165</v>
      </c>
      <c r="C88" s="23" t="s">
        <v>453</v>
      </c>
      <c r="D88" s="23">
        <v>2270000</v>
      </c>
      <c r="E88" s="23" t="s">
        <v>323</v>
      </c>
      <c r="F88" s="23" t="str">
        <f t="shared" si="2"/>
        <v>rtdc.l.rtdc.4025:itc</v>
      </c>
      <c r="G88" s="8">
        <f t="shared" si="3"/>
        <v>42649.355416666665</v>
      </c>
    </row>
    <row r="89" spans="1:7" x14ac:dyDescent="0.25">
      <c r="A89" s="8">
        <v>42649.35765046296</v>
      </c>
      <c r="B89" s="23" t="s">
        <v>391</v>
      </c>
      <c r="C89" s="23" t="s">
        <v>454</v>
      </c>
      <c r="D89" s="23">
        <v>2110000</v>
      </c>
      <c r="E89" s="23" t="s">
        <v>393</v>
      </c>
      <c r="F89" s="23" t="str">
        <f t="shared" si="2"/>
        <v>rtdc.l.rtdc.4043:itc</v>
      </c>
      <c r="G89" s="8">
        <f t="shared" si="3"/>
        <v>42649.35765046296</v>
      </c>
    </row>
    <row r="90" spans="1:7" x14ac:dyDescent="0.25">
      <c r="A90" s="8">
        <v>42649.359733796293</v>
      </c>
      <c r="B90" s="23" t="s">
        <v>260</v>
      </c>
      <c r="C90" s="23" t="s">
        <v>455</v>
      </c>
      <c r="D90" s="23">
        <v>1100000</v>
      </c>
      <c r="E90" s="23" t="s">
        <v>289</v>
      </c>
      <c r="F90" s="23" t="str">
        <f t="shared" si="2"/>
        <v>rtdc.l.rtdc.4030:itc</v>
      </c>
      <c r="G90" s="8">
        <f t="shared" si="3"/>
        <v>42649.359733796293</v>
      </c>
    </row>
    <row r="91" spans="1:7" x14ac:dyDescent="0.25">
      <c r="A91" s="8">
        <v>42649.361261574071</v>
      </c>
      <c r="B91" s="23" t="s">
        <v>389</v>
      </c>
      <c r="C91" s="23" t="s">
        <v>456</v>
      </c>
      <c r="D91" s="23">
        <v>2350000</v>
      </c>
      <c r="E91" s="23" t="s">
        <v>407</v>
      </c>
      <c r="F91" s="23" t="str">
        <f t="shared" si="2"/>
        <v>rtdc.l.rtdc.4046:itc</v>
      </c>
      <c r="G91" s="8">
        <f t="shared" si="3"/>
        <v>42649.361261574071</v>
      </c>
    </row>
    <row r="92" spans="1:7" x14ac:dyDescent="0.25">
      <c r="A92" s="8">
        <v>42649.364768518521</v>
      </c>
      <c r="B92" s="23" t="s">
        <v>244</v>
      </c>
      <c r="C92" s="23" t="s">
        <v>457</v>
      </c>
      <c r="D92" s="23">
        <v>2230000</v>
      </c>
      <c r="E92" s="23" t="s">
        <v>396</v>
      </c>
      <c r="F92" s="23" t="str">
        <f t="shared" si="2"/>
        <v>rtdc.l.rtdc.4010:itc</v>
      </c>
      <c r="G92" s="8">
        <f t="shared" si="3"/>
        <v>42649.364768518521</v>
      </c>
    </row>
    <row r="93" spans="1:7" x14ac:dyDescent="0.25">
      <c r="A93" s="8">
        <v>42649.370810185188</v>
      </c>
      <c r="B93" s="23" t="s">
        <v>248</v>
      </c>
      <c r="C93" s="23" t="s">
        <v>458</v>
      </c>
      <c r="D93" s="23">
        <v>2010000</v>
      </c>
      <c r="E93" s="23" t="s">
        <v>319</v>
      </c>
      <c r="F93" s="23" t="str">
        <f t="shared" si="2"/>
        <v>rtdc.l.rtdc.4031:itc</v>
      </c>
      <c r="G93" s="8">
        <f t="shared" si="3"/>
        <v>42649.370810185188</v>
      </c>
    </row>
    <row r="94" spans="1:7" x14ac:dyDescent="0.25">
      <c r="A94" s="8">
        <v>42649.378854166665</v>
      </c>
      <c r="B94" s="23" t="s">
        <v>223</v>
      </c>
      <c r="C94" s="23" t="s">
        <v>459</v>
      </c>
      <c r="D94" s="23">
        <v>1760000</v>
      </c>
      <c r="E94" s="23" t="s">
        <v>320</v>
      </c>
      <c r="F94" s="23" t="str">
        <f t="shared" si="2"/>
        <v>rtdc.l.rtdc.4017:itc</v>
      </c>
      <c r="G94" s="8">
        <f t="shared" si="3"/>
        <v>42649.378854166665</v>
      </c>
    </row>
    <row r="95" spans="1:7" x14ac:dyDescent="0.25">
      <c r="A95" s="8">
        <v>42649.381805555553</v>
      </c>
      <c r="B95" s="23" t="s">
        <v>318</v>
      </c>
      <c r="C95" s="23" t="s">
        <v>460</v>
      </c>
      <c r="D95" s="23">
        <v>1190000</v>
      </c>
      <c r="E95" s="23" t="s">
        <v>281</v>
      </c>
      <c r="F95" s="23" t="str">
        <f t="shared" si="2"/>
        <v>rtdc.l.rtdc.4027:itc</v>
      </c>
      <c r="G95" s="8">
        <f t="shared" si="3"/>
        <v>42649.381805555553</v>
      </c>
    </row>
    <row r="96" spans="1:7" x14ac:dyDescent="0.25">
      <c r="A96" s="8">
        <v>42649.387719907405</v>
      </c>
      <c r="B96" s="23" t="s">
        <v>424</v>
      </c>
      <c r="C96" s="23" t="s">
        <v>461</v>
      </c>
      <c r="D96" s="23">
        <v>1100000</v>
      </c>
      <c r="E96" s="23" t="s">
        <v>289</v>
      </c>
      <c r="F96" s="23" t="str">
        <f t="shared" si="2"/>
        <v>rtdc.l.rtdc.4029:itc</v>
      </c>
      <c r="G96" s="8">
        <f t="shared" si="3"/>
        <v>42649.387719907405</v>
      </c>
    </row>
    <row r="97" spans="1:7" x14ac:dyDescent="0.25">
      <c r="A97" s="8">
        <v>42649.391226851854</v>
      </c>
      <c r="B97" s="23" t="s">
        <v>287</v>
      </c>
      <c r="C97" s="23" t="s">
        <v>462</v>
      </c>
      <c r="D97" s="23">
        <v>900000</v>
      </c>
      <c r="E97" s="23" t="s">
        <v>321</v>
      </c>
      <c r="F97" s="23" t="str">
        <f t="shared" si="2"/>
        <v>rtdc.l.rtdc.4008:itc</v>
      </c>
      <c r="G97" s="8">
        <f t="shared" si="3"/>
        <v>42649.391226851854</v>
      </c>
    </row>
    <row r="98" spans="1:7" x14ac:dyDescent="0.25">
      <c r="A98" s="8">
        <v>42649.391342592593</v>
      </c>
      <c r="B98" s="23" t="s">
        <v>259</v>
      </c>
      <c r="C98" s="23" t="s">
        <v>463</v>
      </c>
      <c r="D98" s="23">
        <v>2270000</v>
      </c>
      <c r="E98" s="23" t="s">
        <v>323</v>
      </c>
      <c r="F98" s="23" t="str">
        <f t="shared" si="2"/>
        <v>rtdc.l.rtdc.4004:itc</v>
      </c>
      <c r="G98" s="8">
        <f t="shared" si="3"/>
        <v>42649.391342592593</v>
      </c>
    </row>
    <row r="99" spans="1:7" x14ac:dyDescent="0.25">
      <c r="A99" s="8">
        <v>42649.392222222225</v>
      </c>
      <c r="B99" s="23" t="s">
        <v>287</v>
      </c>
      <c r="C99" s="23" t="s">
        <v>462</v>
      </c>
      <c r="D99" s="23">
        <v>900000</v>
      </c>
      <c r="E99" s="23" t="s">
        <v>321</v>
      </c>
      <c r="F99" s="23" t="str">
        <f t="shared" si="2"/>
        <v>rtdc.l.rtdc.4008:itc</v>
      </c>
      <c r="G99" s="8">
        <f t="shared" si="3"/>
        <v>42649.392222222225</v>
      </c>
    </row>
    <row r="100" spans="1:7" x14ac:dyDescent="0.25">
      <c r="A100" s="8">
        <v>42649.393599537034</v>
      </c>
      <c r="B100" s="23" t="s">
        <v>288</v>
      </c>
      <c r="C100" s="23" t="s">
        <v>464</v>
      </c>
      <c r="D100" s="23">
        <v>2110000</v>
      </c>
      <c r="E100" s="23" t="s">
        <v>393</v>
      </c>
      <c r="F100" s="23" t="str">
        <f t="shared" si="2"/>
        <v>rtdc.l.rtdc.4044:itc</v>
      </c>
      <c r="G100" s="8">
        <f t="shared" si="3"/>
        <v>42649.393599537034</v>
      </c>
    </row>
    <row r="101" spans="1:7" x14ac:dyDescent="0.25">
      <c r="A101" s="8">
        <v>42649.395266203705</v>
      </c>
      <c r="B101" s="23" t="s">
        <v>417</v>
      </c>
      <c r="C101" s="23" t="s">
        <v>465</v>
      </c>
      <c r="D101" s="23">
        <v>2350000</v>
      </c>
      <c r="E101" s="23" t="s">
        <v>407</v>
      </c>
      <c r="F101" s="23" t="str">
        <f t="shared" si="2"/>
        <v>rtdc.l.rtdc.4045:itc</v>
      </c>
      <c r="G101" s="8">
        <f t="shared" si="3"/>
        <v>42649.395266203705</v>
      </c>
    </row>
    <row r="102" spans="1:7" x14ac:dyDescent="0.25">
      <c r="A102" s="8">
        <v>42649.401504629626</v>
      </c>
      <c r="B102" s="23" t="s">
        <v>260</v>
      </c>
      <c r="C102" s="23" t="s">
        <v>466</v>
      </c>
      <c r="D102" s="23">
        <v>1100000</v>
      </c>
      <c r="E102" s="23" t="s">
        <v>289</v>
      </c>
      <c r="F102" s="23" t="str">
        <f t="shared" si="2"/>
        <v>rtdc.l.rtdc.4030:itc</v>
      </c>
      <c r="G102" s="8">
        <f t="shared" si="3"/>
        <v>42649.401504629626</v>
      </c>
    </row>
    <row r="103" spans="1:7" x14ac:dyDescent="0.25">
      <c r="A103" s="8">
        <v>42649.40253472222</v>
      </c>
      <c r="B103" s="23" t="s">
        <v>250</v>
      </c>
      <c r="C103" s="23" t="s">
        <v>467</v>
      </c>
      <c r="D103" s="23">
        <v>2230000</v>
      </c>
      <c r="E103" s="23" t="s">
        <v>396</v>
      </c>
      <c r="F103" s="23" t="str">
        <f t="shared" si="2"/>
        <v>rtdc.l.rtdc.4009:itc</v>
      </c>
      <c r="G103" s="8">
        <f t="shared" si="3"/>
        <v>42649.40253472222</v>
      </c>
    </row>
    <row r="104" spans="1:7" x14ac:dyDescent="0.25">
      <c r="A104" s="8">
        <v>42649.407094907408</v>
      </c>
      <c r="B104" s="23" t="s">
        <v>247</v>
      </c>
      <c r="C104" s="23" t="s">
        <v>468</v>
      </c>
      <c r="D104" s="23">
        <v>2010000</v>
      </c>
      <c r="E104" s="23" t="s">
        <v>319</v>
      </c>
      <c r="F104" s="23" t="str">
        <f t="shared" si="2"/>
        <v>rtdc.l.rtdc.4032:itc</v>
      </c>
      <c r="G104" s="8">
        <f t="shared" si="3"/>
        <v>42649.407094907408</v>
      </c>
    </row>
    <row r="105" spans="1:7" x14ac:dyDescent="0.25">
      <c r="A105" s="8">
        <v>42649.41474537037</v>
      </c>
      <c r="B105" s="23" t="s">
        <v>224</v>
      </c>
      <c r="C105" s="23" t="s">
        <v>469</v>
      </c>
      <c r="D105" s="23">
        <v>1760000</v>
      </c>
      <c r="E105" s="23" t="s">
        <v>320</v>
      </c>
      <c r="F105" s="23" t="str">
        <f t="shared" si="2"/>
        <v>rtdc.l.rtdc.4018:itc</v>
      </c>
      <c r="G105" s="8">
        <f t="shared" si="3"/>
        <v>42649.41474537037</v>
      </c>
    </row>
    <row r="106" spans="1:7" x14ac:dyDescent="0.25">
      <c r="A106" s="8">
        <v>42649.418993055559</v>
      </c>
      <c r="B106" s="23" t="s">
        <v>317</v>
      </c>
      <c r="C106" s="23" t="s">
        <v>470</v>
      </c>
      <c r="D106" s="23">
        <v>1190000</v>
      </c>
      <c r="E106" s="23" t="s">
        <v>281</v>
      </c>
      <c r="F106" s="23" t="str">
        <f t="shared" si="2"/>
        <v>rtdc.l.rtdc.4028:itc</v>
      </c>
      <c r="G106" s="8">
        <f t="shared" si="3"/>
        <v>42649.418993055559</v>
      </c>
    </row>
    <row r="107" spans="1:7" x14ac:dyDescent="0.25">
      <c r="A107" s="8">
        <v>42649.426261574074</v>
      </c>
      <c r="B107" s="23" t="s">
        <v>290</v>
      </c>
      <c r="C107" s="23" t="s">
        <v>471</v>
      </c>
      <c r="D107" s="23">
        <v>900000</v>
      </c>
      <c r="E107" s="23" t="s">
        <v>321</v>
      </c>
      <c r="F107" s="23" t="str">
        <f t="shared" si="2"/>
        <v>rtdc.l.rtdc.4007:itc</v>
      </c>
      <c r="G107" s="8">
        <f t="shared" si="3"/>
        <v>42649.426261574074</v>
      </c>
    </row>
    <row r="108" spans="1:7" x14ac:dyDescent="0.25">
      <c r="A108" s="8">
        <v>42649.429629629631</v>
      </c>
      <c r="B108" s="23" t="s">
        <v>424</v>
      </c>
      <c r="C108" s="23" t="s">
        <v>472</v>
      </c>
      <c r="D108" s="23">
        <v>1100000</v>
      </c>
      <c r="E108" s="23" t="s">
        <v>289</v>
      </c>
      <c r="F108" s="23" t="str">
        <f t="shared" si="2"/>
        <v>rtdc.l.rtdc.4029:itc</v>
      </c>
      <c r="G108" s="8">
        <f t="shared" si="3"/>
        <v>42649.429629629631</v>
      </c>
    </row>
    <row r="109" spans="1:7" x14ac:dyDescent="0.25">
      <c r="A109" s="8">
        <v>42649.430763888886</v>
      </c>
      <c r="B109" s="23" t="s">
        <v>391</v>
      </c>
      <c r="C109" s="23" t="s">
        <v>473</v>
      </c>
      <c r="D109" s="23">
        <v>470000</v>
      </c>
      <c r="E109" s="23" t="s">
        <v>474</v>
      </c>
      <c r="F109" s="23" t="str">
        <f t="shared" si="2"/>
        <v>rtdc.l.rtdc.4043:itc</v>
      </c>
      <c r="G109" s="8">
        <f t="shared" si="3"/>
        <v>42649.430763888886</v>
      </c>
    </row>
    <row r="110" spans="1:7" x14ac:dyDescent="0.25">
      <c r="A110" s="8">
        <v>42649.435960648145</v>
      </c>
      <c r="B110" s="23" t="s">
        <v>244</v>
      </c>
      <c r="C110" s="23" t="s">
        <v>475</v>
      </c>
      <c r="D110" s="23">
        <v>2230000</v>
      </c>
      <c r="E110" s="23" t="s">
        <v>396</v>
      </c>
      <c r="F110" s="23" t="str">
        <f t="shared" si="2"/>
        <v>rtdc.l.rtdc.4010:itc</v>
      </c>
      <c r="G110" s="8">
        <f t="shared" si="3"/>
        <v>42649.435960648145</v>
      </c>
    </row>
    <row r="111" spans="1:7" x14ac:dyDescent="0.25">
      <c r="A111" s="8">
        <v>42649.436319444445</v>
      </c>
      <c r="B111" s="23" t="s">
        <v>389</v>
      </c>
      <c r="C111" s="23" t="s">
        <v>476</v>
      </c>
      <c r="D111" s="23">
        <v>1830000</v>
      </c>
      <c r="E111" s="23" t="s">
        <v>405</v>
      </c>
      <c r="F111" s="23" t="str">
        <f t="shared" si="2"/>
        <v>rtdc.l.rtdc.4046:itc</v>
      </c>
      <c r="G111" s="8">
        <f t="shared" si="3"/>
        <v>42649.436319444445</v>
      </c>
    </row>
    <row r="112" spans="1:7" x14ac:dyDescent="0.25">
      <c r="A112" s="8">
        <v>42649.440752314818</v>
      </c>
      <c r="B112" s="23" t="s">
        <v>282</v>
      </c>
      <c r="C112" s="23" t="s">
        <v>477</v>
      </c>
      <c r="D112" s="23">
        <v>2020000</v>
      </c>
      <c r="E112" s="23" t="s">
        <v>478</v>
      </c>
      <c r="F112" s="23" t="str">
        <f t="shared" si="2"/>
        <v>rtdc.l.rtdc.4021:itc</v>
      </c>
      <c r="G112" s="8">
        <f t="shared" si="3"/>
        <v>42649.440752314818</v>
      </c>
    </row>
    <row r="113" spans="1:7" x14ac:dyDescent="0.25">
      <c r="A113" s="8">
        <v>42649.442743055559</v>
      </c>
      <c r="B113" s="23" t="s">
        <v>260</v>
      </c>
      <c r="C113" s="23" t="s">
        <v>479</v>
      </c>
      <c r="D113" s="23">
        <v>1100000</v>
      </c>
      <c r="E113" s="23" t="s">
        <v>289</v>
      </c>
      <c r="F113" s="23" t="str">
        <f t="shared" si="2"/>
        <v>rtdc.l.rtdc.4030:itc</v>
      </c>
      <c r="G113" s="8">
        <f t="shared" si="3"/>
        <v>42649.442743055559</v>
      </c>
    </row>
    <row r="114" spans="1:7" x14ac:dyDescent="0.25">
      <c r="A114" s="8">
        <v>42649.443784722222</v>
      </c>
      <c r="B114" s="23" t="s">
        <v>248</v>
      </c>
      <c r="C114" s="23" t="s">
        <v>480</v>
      </c>
      <c r="D114" s="23">
        <v>2350000</v>
      </c>
      <c r="E114" s="23" t="s">
        <v>407</v>
      </c>
      <c r="F114" s="23" t="str">
        <f t="shared" si="2"/>
        <v>rtdc.l.rtdc.4031:itc</v>
      </c>
      <c r="G114" s="8">
        <f t="shared" si="3"/>
        <v>42649.443784722222</v>
      </c>
    </row>
    <row r="115" spans="1:7" x14ac:dyDescent="0.25">
      <c r="A115" s="8">
        <v>42649.450138888889</v>
      </c>
      <c r="B115" s="23" t="s">
        <v>223</v>
      </c>
      <c r="C115" s="23" t="s">
        <v>481</v>
      </c>
      <c r="D115" s="23">
        <v>1760000</v>
      </c>
      <c r="E115" s="23" t="s">
        <v>320</v>
      </c>
      <c r="F115" s="23" t="str">
        <f t="shared" si="2"/>
        <v>rtdc.l.rtdc.4017:itc</v>
      </c>
      <c r="G115" s="8">
        <f t="shared" si="3"/>
        <v>42649.450138888889</v>
      </c>
    </row>
    <row r="116" spans="1:7" x14ac:dyDescent="0.25">
      <c r="A116" s="8">
        <v>42649.454421296294</v>
      </c>
      <c r="B116" s="23" t="s">
        <v>318</v>
      </c>
      <c r="C116" s="23" t="s">
        <v>482</v>
      </c>
      <c r="D116" s="23">
        <v>940000</v>
      </c>
      <c r="E116" s="23" t="s">
        <v>284</v>
      </c>
      <c r="F116" s="23" t="str">
        <f t="shared" si="2"/>
        <v>rtdc.l.rtdc.4027:itc</v>
      </c>
      <c r="G116" s="8">
        <f t="shared" si="3"/>
        <v>42649.454421296294</v>
      </c>
    </row>
    <row r="117" spans="1:7" x14ac:dyDescent="0.25">
      <c r="A117" s="8">
        <v>42649.457627314812</v>
      </c>
      <c r="B117" s="23" t="s">
        <v>483</v>
      </c>
      <c r="C117" s="23" t="s">
        <v>484</v>
      </c>
      <c r="D117" s="23">
        <v>2040000</v>
      </c>
      <c r="E117" s="23" t="s">
        <v>324</v>
      </c>
      <c r="F117" s="23" t="str">
        <f t="shared" si="2"/>
        <v>rtdc.l.rtdc.4005:itc</v>
      </c>
      <c r="G117" s="8">
        <f t="shared" si="3"/>
        <v>42649.457627314812</v>
      </c>
    </row>
    <row r="118" spans="1:7" x14ac:dyDescent="0.25">
      <c r="A118" s="8">
        <v>42649.462314814817</v>
      </c>
      <c r="B118" s="23" t="s">
        <v>287</v>
      </c>
      <c r="C118" s="23" t="s">
        <v>485</v>
      </c>
      <c r="D118" s="23">
        <v>900000</v>
      </c>
      <c r="E118" s="23" t="s">
        <v>321</v>
      </c>
      <c r="F118" s="23" t="str">
        <f t="shared" si="2"/>
        <v>rtdc.l.rtdc.4008:itc</v>
      </c>
      <c r="G118" s="8">
        <f t="shared" si="3"/>
        <v>42649.462314814817</v>
      </c>
    </row>
    <row r="119" spans="1:7" x14ac:dyDescent="0.25">
      <c r="A119" s="8">
        <v>42649.466145833336</v>
      </c>
      <c r="B119" s="23" t="s">
        <v>288</v>
      </c>
      <c r="C119" s="23" t="s">
        <v>486</v>
      </c>
      <c r="D119" s="23">
        <v>2020000</v>
      </c>
      <c r="E119" s="23" t="s">
        <v>478</v>
      </c>
      <c r="F119" s="23" t="str">
        <f t="shared" si="2"/>
        <v>rtdc.l.rtdc.4044:itc</v>
      </c>
      <c r="G119" s="8">
        <f t="shared" si="3"/>
        <v>42649.466145833336</v>
      </c>
    </row>
    <row r="120" spans="1:7" x14ac:dyDescent="0.25">
      <c r="A120" s="8">
        <v>42649.470405092594</v>
      </c>
      <c r="B120" s="23" t="s">
        <v>424</v>
      </c>
      <c r="C120" s="23" t="s">
        <v>487</v>
      </c>
      <c r="D120" s="23">
        <v>1100000</v>
      </c>
      <c r="E120" s="23" t="s">
        <v>289</v>
      </c>
      <c r="F120" s="23" t="str">
        <f t="shared" si="2"/>
        <v>rtdc.l.rtdc.4029:itc</v>
      </c>
      <c r="G120" s="8">
        <f t="shared" si="3"/>
        <v>42649.470405092594</v>
      </c>
    </row>
    <row r="121" spans="1:7" x14ac:dyDescent="0.25">
      <c r="A121" s="8">
        <v>42649.472083333334</v>
      </c>
      <c r="B121" s="23" t="s">
        <v>417</v>
      </c>
      <c r="C121" s="23" t="s">
        <v>488</v>
      </c>
      <c r="D121" s="23">
        <v>1830000</v>
      </c>
      <c r="E121" s="23" t="s">
        <v>405</v>
      </c>
      <c r="F121" s="23" t="str">
        <f t="shared" si="2"/>
        <v>rtdc.l.rtdc.4045:itc</v>
      </c>
      <c r="G121" s="8">
        <f t="shared" si="3"/>
        <v>42649.472083333334</v>
      </c>
    </row>
    <row r="122" spans="1:7" x14ac:dyDescent="0.25">
      <c r="A122" s="8">
        <v>42649.474791666667</v>
      </c>
      <c r="B122" s="28" t="s">
        <v>283</v>
      </c>
      <c r="C122" s="23" t="s">
        <v>489</v>
      </c>
      <c r="D122" s="23">
        <v>2110000</v>
      </c>
      <c r="E122" s="23" t="s">
        <v>393</v>
      </c>
      <c r="F122" s="23" t="str">
        <f t="shared" si="2"/>
        <v>rtdc.l.rtdc.4022:itc</v>
      </c>
      <c r="G122" s="8">
        <f t="shared" si="3"/>
        <v>42649.474791666667</v>
      </c>
    </row>
    <row r="123" spans="1:7" x14ac:dyDescent="0.25">
      <c r="A123" s="8">
        <v>42649.477037037039</v>
      </c>
      <c r="B123" s="23" t="s">
        <v>250</v>
      </c>
      <c r="C123" s="23" t="s">
        <v>490</v>
      </c>
      <c r="D123" s="23">
        <v>2040000</v>
      </c>
      <c r="E123" s="23" t="s">
        <v>324</v>
      </c>
      <c r="F123" s="23" t="str">
        <f t="shared" si="2"/>
        <v>rtdc.l.rtdc.4009:itc</v>
      </c>
      <c r="G123" s="8">
        <f t="shared" si="3"/>
        <v>42649.477037037039</v>
      </c>
    </row>
    <row r="124" spans="1:7" x14ac:dyDescent="0.25">
      <c r="A124" s="8">
        <v>42649.482060185182</v>
      </c>
      <c r="B124" s="23" t="s">
        <v>247</v>
      </c>
      <c r="C124" s="23" t="s">
        <v>491</v>
      </c>
      <c r="D124" s="23">
        <v>2350000</v>
      </c>
      <c r="E124" s="23" t="s">
        <v>407</v>
      </c>
      <c r="F124" s="23" t="str">
        <f t="shared" si="2"/>
        <v>rtdc.l.rtdc.4032:itc</v>
      </c>
      <c r="G124" s="8">
        <f t="shared" si="3"/>
        <v>42649.482060185182</v>
      </c>
    </row>
    <row r="125" spans="1:7" x14ac:dyDescent="0.25">
      <c r="A125" s="8">
        <v>42649.485324074078</v>
      </c>
      <c r="B125" s="23" t="s">
        <v>260</v>
      </c>
      <c r="C125" s="23" t="s">
        <v>492</v>
      </c>
      <c r="D125" s="23">
        <v>1100000</v>
      </c>
      <c r="E125" s="23" t="s">
        <v>289</v>
      </c>
      <c r="F125" s="23" t="str">
        <f t="shared" si="2"/>
        <v>rtdc.l.rtdc.4030:itc</v>
      </c>
      <c r="G125" s="8">
        <f t="shared" si="3"/>
        <v>42649.485324074078</v>
      </c>
    </row>
    <row r="126" spans="1:7" x14ac:dyDescent="0.25">
      <c r="A126" s="8">
        <v>42649.487696759257</v>
      </c>
      <c r="B126" s="23" t="s">
        <v>224</v>
      </c>
      <c r="C126" s="23" t="s">
        <v>493</v>
      </c>
      <c r="D126" s="23">
        <v>1810000</v>
      </c>
      <c r="E126" s="23" t="s">
        <v>494</v>
      </c>
      <c r="F126" s="23" t="str">
        <f t="shared" si="2"/>
        <v>rtdc.l.rtdc.4018:itc</v>
      </c>
      <c r="G126" s="8">
        <f t="shared" si="3"/>
        <v>42649.487696759257</v>
      </c>
    </row>
    <row r="127" spans="1:7" x14ac:dyDescent="0.25">
      <c r="A127" s="8">
        <v>42649.488275462965</v>
      </c>
      <c r="B127" s="23" t="s">
        <v>317</v>
      </c>
      <c r="C127" s="23" t="s">
        <v>495</v>
      </c>
      <c r="D127" s="23">
        <v>940000</v>
      </c>
      <c r="E127" s="23" t="s">
        <v>284</v>
      </c>
      <c r="F127" s="23" t="str">
        <f t="shared" si="2"/>
        <v>rtdc.l.rtdc.4028:itc</v>
      </c>
      <c r="G127" s="8">
        <f t="shared" si="3"/>
        <v>42649.488275462965</v>
      </c>
    </row>
    <row r="128" spans="1:7" x14ac:dyDescent="0.25">
      <c r="A128" s="8">
        <v>42649.500497685185</v>
      </c>
      <c r="B128" s="23" t="s">
        <v>290</v>
      </c>
      <c r="C128" s="23" t="s">
        <v>496</v>
      </c>
      <c r="D128" s="23">
        <v>2220000</v>
      </c>
      <c r="E128" s="23" t="s">
        <v>326</v>
      </c>
      <c r="F128" s="23" t="str">
        <f t="shared" si="2"/>
        <v>rtdc.l.rtdc.4007:itc</v>
      </c>
      <c r="G128" s="8">
        <f t="shared" si="3"/>
        <v>42649.500497685185</v>
      </c>
    </row>
    <row r="129" spans="1:7" x14ac:dyDescent="0.25">
      <c r="A129" s="8">
        <v>42649.503333333334</v>
      </c>
      <c r="B129" s="23" t="s">
        <v>391</v>
      </c>
      <c r="C129" s="23" t="s">
        <v>497</v>
      </c>
      <c r="D129" s="23">
        <v>2020000</v>
      </c>
      <c r="E129" s="23" t="s">
        <v>478</v>
      </c>
      <c r="F129" s="23" t="str">
        <f t="shared" si="2"/>
        <v>rtdc.l.rtdc.4043:itc</v>
      </c>
      <c r="G129" s="8">
        <f t="shared" si="3"/>
        <v>42649.503333333334</v>
      </c>
    </row>
    <row r="130" spans="1:7" x14ac:dyDescent="0.25">
      <c r="A130" s="8">
        <v>42649.50540509259</v>
      </c>
      <c r="B130" s="23" t="s">
        <v>290</v>
      </c>
      <c r="C130" s="23" t="s">
        <v>496</v>
      </c>
      <c r="D130" s="23">
        <v>2220000</v>
      </c>
      <c r="E130" s="23" t="s">
        <v>326</v>
      </c>
      <c r="F130" s="23" t="str">
        <f t="shared" ref="F130:F193" si="4">B130</f>
        <v>rtdc.l.rtdc.4007:itc</v>
      </c>
      <c r="G130" s="8">
        <f t="shared" ref="G130:G193" si="5">A130</f>
        <v>42649.50540509259</v>
      </c>
    </row>
    <row r="131" spans="1:7" x14ac:dyDescent="0.25">
      <c r="A131" s="8">
        <v>42649.509444444448</v>
      </c>
      <c r="B131" s="23" t="s">
        <v>389</v>
      </c>
      <c r="C131" s="23" t="s">
        <v>498</v>
      </c>
      <c r="D131" s="23">
        <v>2250000</v>
      </c>
      <c r="E131" s="23" t="s">
        <v>322</v>
      </c>
      <c r="F131" s="23" t="str">
        <f t="shared" si="4"/>
        <v>rtdc.l.rtdc.4046:itc</v>
      </c>
      <c r="G131" s="8">
        <f t="shared" si="5"/>
        <v>42649.509444444448</v>
      </c>
    </row>
    <row r="132" spans="1:7" x14ac:dyDescent="0.25">
      <c r="A132" s="8">
        <v>42649.511944444443</v>
      </c>
      <c r="B132" s="23" t="s">
        <v>424</v>
      </c>
      <c r="C132" s="23" t="s">
        <v>499</v>
      </c>
      <c r="D132" s="23">
        <v>1100000</v>
      </c>
      <c r="E132" s="23" t="s">
        <v>289</v>
      </c>
      <c r="F132" s="23" t="str">
        <f t="shared" si="4"/>
        <v>rtdc.l.rtdc.4029:itc</v>
      </c>
      <c r="G132" s="8">
        <f t="shared" si="5"/>
        <v>42649.511944444443</v>
      </c>
    </row>
    <row r="133" spans="1:7" x14ac:dyDescent="0.25">
      <c r="A133" s="8">
        <v>42649.516099537039</v>
      </c>
      <c r="B133" s="23" t="s">
        <v>244</v>
      </c>
      <c r="C133" s="23" t="s">
        <v>500</v>
      </c>
      <c r="D133" s="23">
        <v>2040000</v>
      </c>
      <c r="E133" s="23" t="s">
        <v>324</v>
      </c>
      <c r="F133" s="23" t="str">
        <f t="shared" si="4"/>
        <v>rtdc.l.rtdc.4010:itc</v>
      </c>
      <c r="G133" s="8">
        <f t="shared" si="5"/>
        <v>42649.516099537039</v>
      </c>
    </row>
    <row r="134" spans="1:7" x14ac:dyDescent="0.25">
      <c r="A134" s="8">
        <v>42649.517233796294</v>
      </c>
      <c r="B134" s="23" t="s">
        <v>248</v>
      </c>
      <c r="C134" s="23" t="s">
        <v>501</v>
      </c>
      <c r="D134" s="23">
        <v>1740000</v>
      </c>
      <c r="E134" s="23" t="s">
        <v>291</v>
      </c>
      <c r="F134" s="23" t="str">
        <f t="shared" si="4"/>
        <v>rtdc.l.rtdc.4031:itc</v>
      </c>
      <c r="G134" s="8">
        <f t="shared" si="5"/>
        <v>42649.517233796294</v>
      </c>
    </row>
    <row r="135" spans="1:7" x14ac:dyDescent="0.25">
      <c r="A135" s="8">
        <v>42649.524814814817</v>
      </c>
      <c r="B135" s="23" t="s">
        <v>223</v>
      </c>
      <c r="C135" s="23" t="s">
        <v>502</v>
      </c>
      <c r="D135" s="23">
        <v>1810000</v>
      </c>
      <c r="E135" s="23" t="s">
        <v>494</v>
      </c>
      <c r="F135" s="23" t="str">
        <f t="shared" si="4"/>
        <v>rtdc.l.rtdc.4017:itc</v>
      </c>
      <c r="G135" s="8">
        <f t="shared" si="5"/>
        <v>42649.524814814817</v>
      </c>
    </row>
    <row r="136" spans="1:7" x14ac:dyDescent="0.25">
      <c r="A136" s="8">
        <v>42649.526134259257</v>
      </c>
      <c r="B136" s="23" t="s">
        <v>248</v>
      </c>
      <c r="C136" s="23" t="s">
        <v>501</v>
      </c>
      <c r="D136" s="23">
        <v>1740000</v>
      </c>
      <c r="E136" s="23" t="s">
        <v>291</v>
      </c>
      <c r="F136" s="23" t="str">
        <f t="shared" si="4"/>
        <v>rtdc.l.rtdc.4031:itc</v>
      </c>
      <c r="G136" s="8">
        <f t="shared" si="5"/>
        <v>42649.526134259257</v>
      </c>
    </row>
    <row r="137" spans="1:7" x14ac:dyDescent="0.25">
      <c r="A137" s="8">
        <v>42649.526377314818</v>
      </c>
      <c r="B137" s="23" t="s">
        <v>260</v>
      </c>
      <c r="C137" s="23" t="s">
        <v>503</v>
      </c>
      <c r="D137" s="23">
        <v>1100000</v>
      </c>
      <c r="E137" s="23" t="s">
        <v>289</v>
      </c>
      <c r="F137" s="23" t="str">
        <f t="shared" si="4"/>
        <v>rtdc.l.rtdc.4030:itc</v>
      </c>
      <c r="G137" s="8">
        <f t="shared" si="5"/>
        <v>42649.526377314818</v>
      </c>
    </row>
    <row r="138" spans="1:7" x14ac:dyDescent="0.25">
      <c r="A138" s="8">
        <v>42649.526516203703</v>
      </c>
      <c r="B138" s="23" t="s">
        <v>318</v>
      </c>
      <c r="C138" s="23" t="s">
        <v>504</v>
      </c>
      <c r="D138" s="23">
        <v>940000</v>
      </c>
      <c r="E138" s="23" t="s">
        <v>284</v>
      </c>
      <c r="F138" s="23" t="str">
        <f t="shared" si="4"/>
        <v>rtdc.l.rtdc.4027:itc</v>
      </c>
      <c r="G138" s="8">
        <f t="shared" si="5"/>
        <v>42649.526516203703</v>
      </c>
    </row>
    <row r="139" spans="1:7" x14ac:dyDescent="0.25">
      <c r="A139" s="8">
        <v>42649.532731481479</v>
      </c>
      <c r="B139" s="23" t="s">
        <v>287</v>
      </c>
      <c r="C139" s="23" t="s">
        <v>505</v>
      </c>
      <c r="D139" s="23">
        <v>2220000</v>
      </c>
      <c r="E139" s="23" t="s">
        <v>326</v>
      </c>
      <c r="F139" s="23" t="str">
        <f t="shared" si="4"/>
        <v>rtdc.l.rtdc.4008:itc</v>
      </c>
      <c r="G139" s="8">
        <f t="shared" si="5"/>
        <v>42649.532731481479</v>
      </c>
    </row>
    <row r="140" spans="1:7" x14ac:dyDescent="0.25">
      <c r="A140" s="8">
        <v>42649.540578703702</v>
      </c>
      <c r="B140" s="23" t="s">
        <v>288</v>
      </c>
      <c r="C140" s="23" t="s">
        <v>506</v>
      </c>
      <c r="D140" s="23">
        <v>2020000</v>
      </c>
      <c r="E140" s="23" t="s">
        <v>478</v>
      </c>
      <c r="F140" s="23" t="str">
        <f t="shared" si="4"/>
        <v>rtdc.l.rtdc.4044:itc</v>
      </c>
      <c r="G140" s="8">
        <f t="shared" si="5"/>
        <v>42649.540578703702</v>
      </c>
    </row>
    <row r="141" spans="1:7" x14ac:dyDescent="0.25">
      <c r="A141" s="8">
        <v>42649.54383101852</v>
      </c>
      <c r="B141" s="23" t="s">
        <v>417</v>
      </c>
      <c r="C141" s="23" t="s">
        <v>507</v>
      </c>
      <c r="D141" s="23">
        <v>2250000</v>
      </c>
      <c r="E141" s="23" t="s">
        <v>322</v>
      </c>
      <c r="F141" s="23" t="str">
        <f t="shared" si="4"/>
        <v>rtdc.l.rtdc.4045:itc</v>
      </c>
      <c r="G141" s="8">
        <f t="shared" si="5"/>
        <v>42649.54383101852</v>
      </c>
    </row>
    <row r="142" spans="1:7" x14ac:dyDescent="0.25">
      <c r="A142" s="8">
        <v>42649.554247685184</v>
      </c>
      <c r="B142" s="23" t="s">
        <v>250</v>
      </c>
      <c r="C142" s="23" t="s">
        <v>508</v>
      </c>
      <c r="D142" s="23">
        <v>2040000</v>
      </c>
      <c r="E142" s="23" t="s">
        <v>324</v>
      </c>
      <c r="F142" s="23" t="str">
        <f t="shared" si="4"/>
        <v>rtdc.l.rtdc.4009:itc</v>
      </c>
      <c r="G142" s="8">
        <f t="shared" si="5"/>
        <v>42649.554247685184</v>
      </c>
    </row>
    <row r="143" spans="1:7" x14ac:dyDescent="0.25">
      <c r="A143" s="8">
        <v>42649.555474537039</v>
      </c>
      <c r="B143" s="23" t="s">
        <v>424</v>
      </c>
      <c r="C143" s="23" t="s">
        <v>509</v>
      </c>
      <c r="D143" s="23">
        <v>120000</v>
      </c>
      <c r="E143" s="23" t="s">
        <v>510</v>
      </c>
      <c r="F143" s="23" t="str">
        <f t="shared" si="4"/>
        <v>rtdc.l.rtdc.4029:itc</v>
      </c>
      <c r="G143" s="8">
        <f t="shared" si="5"/>
        <v>42649.555474537039</v>
      </c>
    </row>
    <row r="144" spans="1:7" x14ac:dyDescent="0.25">
      <c r="A144" s="8">
        <v>42649.555902777778</v>
      </c>
      <c r="B144" s="23" t="s">
        <v>247</v>
      </c>
      <c r="C144" s="23" t="s">
        <v>511</v>
      </c>
      <c r="D144" s="23">
        <v>1740000</v>
      </c>
      <c r="E144" s="23" t="s">
        <v>291</v>
      </c>
      <c r="F144" s="23" t="str">
        <f t="shared" si="4"/>
        <v>rtdc.l.rtdc.4032:itc</v>
      </c>
      <c r="G144" s="8">
        <f t="shared" si="5"/>
        <v>42649.555902777778</v>
      </c>
    </row>
    <row r="145" spans="1:7" x14ac:dyDescent="0.25">
      <c r="A145" s="8">
        <v>42649.561168981483</v>
      </c>
      <c r="B145" s="23" t="s">
        <v>224</v>
      </c>
      <c r="C145" s="23" t="s">
        <v>512</v>
      </c>
      <c r="D145" s="23">
        <v>1810000</v>
      </c>
      <c r="E145" s="23" t="s">
        <v>494</v>
      </c>
      <c r="F145" s="23" t="str">
        <f t="shared" si="4"/>
        <v>rtdc.l.rtdc.4018:itc</v>
      </c>
      <c r="G145" s="8">
        <f t="shared" si="5"/>
        <v>42649.561168981483</v>
      </c>
    </row>
    <row r="146" spans="1:7" x14ac:dyDescent="0.25">
      <c r="A146" s="8">
        <v>42649.562939814816</v>
      </c>
      <c r="B146" s="23" t="s">
        <v>317</v>
      </c>
      <c r="C146" s="23" t="s">
        <v>513</v>
      </c>
      <c r="D146" s="23">
        <v>940000</v>
      </c>
      <c r="E146" s="23" t="s">
        <v>284</v>
      </c>
      <c r="F146" s="23" t="str">
        <f t="shared" si="4"/>
        <v>rtdc.l.rtdc.4028:itc</v>
      </c>
      <c r="G146" s="8">
        <f t="shared" si="5"/>
        <v>42649.562939814816</v>
      </c>
    </row>
    <row r="147" spans="1:7" x14ac:dyDescent="0.25">
      <c r="A147" s="8">
        <v>42649.569733796299</v>
      </c>
      <c r="B147" s="23" t="s">
        <v>290</v>
      </c>
      <c r="C147" s="23" t="s">
        <v>514</v>
      </c>
      <c r="D147" s="23">
        <v>2220000</v>
      </c>
      <c r="E147" s="23" t="s">
        <v>326</v>
      </c>
      <c r="F147" s="23" t="str">
        <f t="shared" si="4"/>
        <v>rtdc.l.rtdc.4007:itc</v>
      </c>
      <c r="G147" s="8">
        <f t="shared" si="5"/>
        <v>42649.569733796299</v>
      </c>
    </row>
    <row r="148" spans="1:7" x14ac:dyDescent="0.25">
      <c r="A148" s="8">
        <v>42649.572002314817</v>
      </c>
      <c r="B148" s="23" t="s">
        <v>260</v>
      </c>
      <c r="C148" s="23" t="s">
        <v>515</v>
      </c>
      <c r="D148" s="23">
        <v>120000</v>
      </c>
      <c r="E148" s="23" t="s">
        <v>510</v>
      </c>
      <c r="F148" s="23" t="str">
        <f t="shared" si="4"/>
        <v>rtdc.l.rtdc.4030:itc</v>
      </c>
      <c r="G148" s="8">
        <f t="shared" si="5"/>
        <v>42649.572002314817</v>
      </c>
    </row>
    <row r="149" spans="1:7" x14ac:dyDescent="0.25">
      <c r="A149" s="8">
        <v>42649.572685185187</v>
      </c>
      <c r="B149" s="23" t="s">
        <v>290</v>
      </c>
      <c r="C149" s="23" t="s">
        <v>514</v>
      </c>
      <c r="D149" s="23">
        <v>2220000</v>
      </c>
      <c r="E149" s="23" t="s">
        <v>326</v>
      </c>
      <c r="F149" s="23" t="str">
        <f t="shared" si="4"/>
        <v>rtdc.l.rtdc.4007:itc</v>
      </c>
      <c r="G149" s="8">
        <f t="shared" si="5"/>
        <v>42649.572685185187</v>
      </c>
    </row>
    <row r="150" spans="1:7" x14ac:dyDescent="0.25">
      <c r="A150" s="8">
        <v>42649.57540509259</v>
      </c>
      <c r="B150" s="23" t="s">
        <v>391</v>
      </c>
      <c r="C150" s="23" t="s">
        <v>516</v>
      </c>
      <c r="D150" s="23">
        <v>2020000</v>
      </c>
      <c r="E150" s="23" t="s">
        <v>478</v>
      </c>
      <c r="F150" s="23" t="str">
        <f t="shared" si="4"/>
        <v>rtdc.l.rtdc.4043:itc</v>
      </c>
      <c r="G150" s="8">
        <f t="shared" si="5"/>
        <v>42649.57540509259</v>
      </c>
    </row>
    <row r="151" spans="1:7" x14ac:dyDescent="0.25">
      <c r="A151" s="8">
        <v>42649.58084490741</v>
      </c>
      <c r="B151" s="23" t="s">
        <v>389</v>
      </c>
      <c r="C151" s="23" t="s">
        <v>517</v>
      </c>
      <c r="D151" s="23">
        <v>2250000</v>
      </c>
      <c r="E151" s="23" t="s">
        <v>322</v>
      </c>
      <c r="F151" s="23" t="str">
        <f t="shared" si="4"/>
        <v>rtdc.l.rtdc.4046:itc</v>
      </c>
      <c r="G151" s="8">
        <f t="shared" si="5"/>
        <v>42649.58084490741</v>
      </c>
    </row>
    <row r="152" spans="1:7" x14ac:dyDescent="0.25">
      <c r="A152" s="8">
        <v>42649.583807870367</v>
      </c>
      <c r="B152" s="23" t="s">
        <v>247</v>
      </c>
      <c r="C152" s="23" t="s">
        <v>511</v>
      </c>
      <c r="D152" s="23">
        <v>1740000</v>
      </c>
      <c r="E152" s="23" t="s">
        <v>291</v>
      </c>
      <c r="F152" s="23" t="str">
        <f t="shared" si="4"/>
        <v>rtdc.l.rtdc.4032:itc</v>
      </c>
      <c r="G152" s="8">
        <f t="shared" si="5"/>
        <v>42649.583807870367</v>
      </c>
    </row>
    <row r="153" spans="1:7" x14ac:dyDescent="0.25">
      <c r="A153" s="8">
        <v>42649.587835648148</v>
      </c>
      <c r="B153" s="23" t="s">
        <v>244</v>
      </c>
      <c r="C153" s="23" t="s">
        <v>518</v>
      </c>
      <c r="D153" s="23">
        <v>2040000</v>
      </c>
      <c r="E153" s="23" t="s">
        <v>324</v>
      </c>
      <c r="F153" s="23" t="str">
        <f t="shared" si="4"/>
        <v>rtdc.l.rtdc.4010:itc</v>
      </c>
      <c r="G153" s="8">
        <f t="shared" si="5"/>
        <v>42649.587835648148</v>
      </c>
    </row>
    <row r="154" spans="1:7" x14ac:dyDescent="0.25">
      <c r="A154" s="8">
        <v>42649.593969907408</v>
      </c>
      <c r="B154" s="23" t="s">
        <v>248</v>
      </c>
      <c r="C154" s="23" t="s">
        <v>519</v>
      </c>
      <c r="D154" s="23">
        <v>1740000</v>
      </c>
      <c r="E154" s="23" t="s">
        <v>291</v>
      </c>
      <c r="F154" s="23" t="str">
        <f t="shared" si="4"/>
        <v>rtdc.l.rtdc.4031:itc</v>
      </c>
      <c r="G154" s="8">
        <f t="shared" si="5"/>
        <v>42649.593969907408</v>
      </c>
    </row>
    <row r="155" spans="1:7" x14ac:dyDescent="0.25">
      <c r="A155" s="8">
        <v>42649.597245370373</v>
      </c>
      <c r="B155" s="23" t="s">
        <v>424</v>
      </c>
      <c r="C155" s="23" t="s">
        <v>520</v>
      </c>
      <c r="D155" s="23">
        <v>120000</v>
      </c>
      <c r="E155" s="23" t="s">
        <v>510</v>
      </c>
      <c r="F155" s="23" t="str">
        <f t="shared" si="4"/>
        <v>rtdc.l.rtdc.4029:itc</v>
      </c>
      <c r="G155" s="8">
        <f t="shared" si="5"/>
        <v>42649.597245370373</v>
      </c>
    </row>
    <row r="156" spans="1:7" x14ac:dyDescent="0.25">
      <c r="A156" s="8">
        <v>42649.597326388888</v>
      </c>
      <c r="B156" s="23" t="s">
        <v>223</v>
      </c>
      <c r="C156" s="23" t="s">
        <v>521</v>
      </c>
      <c r="D156" s="23">
        <v>1810000</v>
      </c>
      <c r="E156" s="23" t="s">
        <v>494</v>
      </c>
      <c r="F156" s="23" t="str">
        <f t="shared" si="4"/>
        <v>rtdc.l.rtdc.4017:itc</v>
      </c>
      <c r="G156" s="8">
        <f t="shared" si="5"/>
        <v>42649.597326388888</v>
      </c>
    </row>
    <row r="157" spans="1:7" x14ac:dyDescent="0.25">
      <c r="A157" s="8">
        <v>42649.599386574075</v>
      </c>
      <c r="B157" s="23" t="s">
        <v>318</v>
      </c>
      <c r="C157" s="23" t="s">
        <v>522</v>
      </c>
      <c r="D157" s="23">
        <v>940000</v>
      </c>
      <c r="E157" s="23" t="s">
        <v>284</v>
      </c>
      <c r="F157" s="23" t="str">
        <f t="shared" si="4"/>
        <v>rtdc.l.rtdc.4027:itc</v>
      </c>
      <c r="G157" s="8">
        <f t="shared" si="5"/>
        <v>42649.599386574075</v>
      </c>
    </row>
    <row r="158" spans="1:7" x14ac:dyDescent="0.25">
      <c r="A158" s="8">
        <v>42649.602384259262</v>
      </c>
      <c r="B158" s="23" t="s">
        <v>287</v>
      </c>
      <c r="C158" s="23" t="s">
        <v>523</v>
      </c>
      <c r="D158" s="23">
        <v>2220000</v>
      </c>
      <c r="E158" s="23" t="s">
        <v>326</v>
      </c>
      <c r="F158" s="23" t="str">
        <f t="shared" si="4"/>
        <v>rtdc.l.rtdc.4008:itc</v>
      </c>
      <c r="G158" s="8">
        <f t="shared" si="5"/>
        <v>42649.602384259262</v>
      </c>
    </row>
    <row r="159" spans="1:7" x14ac:dyDescent="0.25">
      <c r="A159" s="8">
        <v>42649.610613425924</v>
      </c>
      <c r="B159" s="23" t="s">
        <v>288</v>
      </c>
      <c r="C159" s="23" t="s">
        <v>524</v>
      </c>
      <c r="D159" s="23">
        <v>2020000</v>
      </c>
      <c r="E159" s="23" t="s">
        <v>478</v>
      </c>
      <c r="F159" s="23" t="str">
        <f t="shared" si="4"/>
        <v>rtdc.l.rtdc.4044:itc</v>
      </c>
      <c r="G159" s="8">
        <f t="shared" si="5"/>
        <v>42649.610613425924</v>
      </c>
    </row>
    <row r="160" spans="1:7" x14ac:dyDescent="0.25">
      <c r="A160" s="8">
        <v>42649.611805555556</v>
      </c>
      <c r="B160" s="23" t="s">
        <v>260</v>
      </c>
      <c r="C160" s="23" t="s">
        <v>525</v>
      </c>
      <c r="D160" s="23">
        <v>120000</v>
      </c>
      <c r="E160" s="23" t="s">
        <v>510</v>
      </c>
      <c r="F160" s="23" t="str">
        <f t="shared" si="4"/>
        <v>rtdc.l.rtdc.4030:itc</v>
      </c>
      <c r="G160" s="8">
        <f t="shared" si="5"/>
        <v>42649.611805555556</v>
      </c>
    </row>
    <row r="161" spans="1:7" x14ac:dyDescent="0.25">
      <c r="A161" s="8">
        <v>42649.612314814818</v>
      </c>
      <c r="B161" s="23" t="s">
        <v>417</v>
      </c>
      <c r="C161" s="23" t="s">
        <v>526</v>
      </c>
      <c r="D161" s="23">
        <v>2250000</v>
      </c>
      <c r="E161" s="23" t="s">
        <v>322</v>
      </c>
      <c r="F161" s="23" t="str">
        <f t="shared" si="4"/>
        <v>rtdc.l.rtdc.4045:itc</v>
      </c>
      <c r="G161" s="8">
        <f t="shared" si="5"/>
        <v>42649.612314814818</v>
      </c>
    </row>
    <row r="162" spans="1:7" x14ac:dyDescent="0.25">
      <c r="A162" s="8">
        <v>42649.623368055552</v>
      </c>
      <c r="B162" s="23" t="s">
        <v>250</v>
      </c>
      <c r="C162" s="23" t="s">
        <v>527</v>
      </c>
      <c r="D162" s="23">
        <v>2040000</v>
      </c>
      <c r="E162" s="23" t="s">
        <v>324</v>
      </c>
      <c r="F162" s="23" t="str">
        <f t="shared" si="4"/>
        <v>rtdc.l.rtdc.4009:itc</v>
      </c>
      <c r="G162" s="8">
        <f t="shared" si="5"/>
        <v>42649.623368055552</v>
      </c>
    </row>
    <row r="163" spans="1:7" x14ac:dyDescent="0.25">
      <c r="A163" s="8">
        <v>42649.629108796296</v>
      </c>
      <c r="B163" s="23" t="s">
        <v>424</v>
      </c>
      <c r="C163" s="23" t="s">
        <v>528</v>
      </c>
      <c r="D163" s="23">
        <v>120000</v>
      </c>
      <c r="E163" s="23" t="s">
        <v>510</v>
      </c>
      <c r="F163" s="23" t="str">
        <f t="shared" si="4"/>
        <v>rtdc.l.rtdc.4029:itc</v>
      </c>
      <c r="G163" s="8">
        <f t="shared" si="5"/>
        <v>42649.629108796296</v>
      </c>
    </row>
    <row r="164" spans="1:7" x14ac:dyDescent="0.25">
      <c r="A164" s="8">
        <v>42649.629236111112</v>
      </c>
      <c r="B164" s="23" t="s">
        <v>247</v>
      </c>
      <c r="C164" s="23" t="s">
        <v>529</v>
      </c>
      <c r="D164" s="23">
        <v>1740000</v>
      </c>
      <c r="E164" s="23" t="s">
        <v>291</v>
      </c>
      <c r="F164" s="23" t="str">
        <f t="shared" si="4"/>
        <v>rtdc.l.rtdc.4032:itc</v>
      </c>
      <c r="G164" s="8">
        <f t="shared" si="5"/>
        <v>42649.629236111112</v>
      </c>
    </row>
    <row r="165" spans="1:7" x14ac:dyDescent="0.25">
      <c r="A165" s="8">
        <v>42649.633715277778</v>
      </c>
      <c r="B165" s="23" t="s">
        <v>224</v>
      </c>
      <c r="C165" s="23" t="s">
        <v>530</v>
      </c>
      <c r="D165" s="23">
        <v>1810000</v>
      </c>
      <c r="E165" s="23" t="s">
        <v>494</v>
      </c>
      <c r="F165" s="23" t="str">
        <f t="shared" si="4"/>
        <v>rtdc.l.rtdc.4018:itc</v>
      </c>
      <c r="G165" s="8">
        <f t="shared" si="5"/>
        <v>42649.633715277778</v>
      </c>
    </row>
    <row r="166" spans="1:7" x14ac:dyDescent="0.25">
      <c r="A166" s="8">
        <v>42649.635011574072</v>
      </c>
      <c r="B166" s="23" t="s">
        <v>288</v>
      </c>
      <c r="C166" s="23" t="s">
        <v>524</v>
      </c>
      <c r="D166" s="23">
        <v>2020000</v>
      </c>
      <c r="E166" s="23" t="s">
        <v>478</v>
      </c>
      <c r="F166" s="23" t="str">
        <f t="shared" si="4"/>
        <v>rtdc.l.rtdc.4044:itc</v>
      </c>
      <c r="G166" s="8">
        <f t="shared" si="5"/>
        <v>42649.635011574072</v>
      </c>
    </row>
    <row r="167" spans="1:7" x14ac:dyDescent="0.25">
      <c r="A167" s="8">
        <v>42649.635092592594</v>
      </c>
      <c r="B167" s="23" t="s">
        <v>317</v>
      </c>
      <c r="C167" s="23" t="s">
        <v>531</v>
      </c>
      <c r="D167" s="23">
        <v>940000</v>
      </c>
      <c r="E167" s="23" t="s">
        <v>284</v>
      </c>
      <c r="F167" s="23" t="str">
        <f t="shared" si="4"/>
        <v>rtdc.l.rtdc.4028:itc</v>
      </c>
      <c r="G167" s="8">
        <f t="shared" si="5"/>
        <v>42649.635092592594</v>
      </c>
    </row>
    <row r="168" spans="1:7" x14ac:dyDescent="0.25">
      <c r="A168" s="8">
        <v>42649.635706018518</v>
      </c>
      <c r="B168" s="23" t="s">
        <v>417</v>
      </c>
      <c r="C168" s="23" t="s">
        <v>526</v>
      </c>
      <c r="D168" s="23">
        <v>2250000</v>
      </c>
      <c r="E168" s="23" t="s">
        <v>322</v>
      </c>
      <c r="F168" s="23" t="str">
        <f t="shared" si="4"/>
        <v>rtdc.l.rtdc.4045:itc</v>
      </c>
      <c r="G168" s="8">
        <f t="shared" si="5"/>
        <v>42649.635706018518</v>
      </c>
    </row>
    <row r="169" spans="1:7" x14ac:dyDescent="0.25">
      <c r="A169" s="8">
        <v>42649.636099537034</v>
      </c>
      <c r="B169" s="23" t="s">
        <v>409</v>
      </c>
      <c r="C169" s="23" t="s">
        <v>532</v>
      </c>
      <c r="D169" s="23">
        <v>1230000</v>
      </c>
      <c r="E169" s="23" t="s">
        <v>292</v>
      </c>
      <c r="F169" s="23" t="str">
        <f t="shared" si="4"/>
        <v>rtdc.l.rtdc.4054:itc</v>
      </c>
      <c r="G169" s="8">
        <f t="shared" si="5"/>
        <v>42649.636099537034</v>
      </c>
    </row>
    <row r="170" spans="1:7" x14ac:dyDescent="0.25">
      <c r="A170" s="8">
        <v>42649.636921296296</v>
      </c>
      <c r="B170" s="23" t="s">
        <v>409</v>
      </c>
      <c r="C170" s="23" t="s">
        <v>532</v>
      </c>
      <c r="D170" s="23">
        <v>1230000</v>
      </c>
      <c r="E170" s="23" t="s">
        <v>292</v>
      </c>
      <c r="F170" s="23" t="str">
        <f t="shared" si="4"/>
        <v>rtdc.l.rtdc.4054:itc</v>
      </c>
      <c r="G170" s="8">
        <f t="shared" si="5"/>
        <v>42649.636921296296</v>
      </c>
    </row>
    <row r="171" spans="1:7" x14ac:dyDescent="0.25">
      <c r="A171" s="8">
        <v>42649.637604166666</v>
      </c>
      <c r="B171" s="23" t="s">
        <v>409</v>
      </c>
      <c r="C171" s="23" t="s">
        <v>532</v>
      </c>
      <c r="D171" s="23">
        <v>1230000</v>
      </c>
      <c r="E171" s="23" t="s">
        <v>292</v>
      </c>
      <c r="F171" s="23" t="str">
        <f t="shared" si="4"/>
        <v>rtdc.l.rtdc.4054:itc</v>
      </c>
      <c r="G171" s="8">
        <f t="shared" si="5"/>
        <v>42649.637604166666</v>
      </c>
    </row>
    <row r="172" spans="1:7" x14ac:dyDescent="0.25">
      <c r="A172" s="8">
        <v>42649.640902777777</v>
      </c>
      <c r="B172" s="23" t="s">
        <v>290</v>
      </c>
      <c r="C172" s="23" t="s">
        <v>533</v>
      </c>
      <c r="D172" s="23">
        <v>2220000</v>
      </c>
      <c r="E172" s="23" t="s">
        <v>326</v>
      </c>
      <c r="F172" s="23" t="str">
        <f t="shared" si="4"/>
        <v>rtdc.l.rtdc.4007:itc</v>
      </c>
      <c r="G172" s="8">
        <f t="shared" si="5"/>
        <v>42649.640902777777</v>
      </c>
    </row>
    <row r="173" spans="1:7" x14ac:dyDescent="0.25">
      <c r="A173" s="8">
        <v>42649.644826388889</v>
      </c>
      <c r="B173" s="23" t="s">
        <v>247</v>
      </c>
      <c r="C173" s="23" t="s">
        <v>529</v>
      </c>
      <c r="D173" s="23">
        <v>1740000</v>
      </c>
      <c r="E173" s="23" t="s">
        <v>291</v>
      </c>
      <c r="F173" s="23" t="str">
        <f t="shared" si="4"/>
        <v>rtdc.l.rtdc.4032:itc</v>
      </c>
      <c r="G173" s="8">
        <f t="shared" si="5"/>
        <v>42649.644826388889</v>
      </c>
    </row>
    <row r="174" spans="1:7" x14ac:dyDescent="0.25">
      <c r="A174" s="8">
        <v>42649.651041666664</v>
      </c>
      <c r="B174" s="23" t="s">
        <v>260</v>
      </c>
      <c r="C174" s="23" t="s">
        <v>534</v>
      </c>
      <c r="D174" s="23">
        <v>120000</v>
      </c>
      <c r="E174" s="23" t="s">
        <v>510</v>
      </c>
      <c r="F174" s="23" t="str">
        <f t="shared" si="4"/>
        <v>rtdc.l.rtdc.4030:itc</v>
      </c>
      <c r="G174" s="8">
        <f t="shared" si="5"/>
        <v>42649.651041666664</v>
      </c>
    </row>
    <row r="175" spans="1:7" x14ac:dyDescent="0.25">
      <c r="A175" s="8">
        <v>42649.655069444445</v>
      </c>
      <c r="B175" s="23" t="s">
        <v>317</v>
      </c>
      <c r="C175" s="23" t="s">
        <v>531</v>
      </c>
      <c r="D175" s="23">
        <v>940000</v>
      </c>
      <c r="E175" s="23" t="s">
        <v>284</v>
      </c>
      <c r="F175" s="23" t="str">
        <f t="shared" si="4"/>
        <v>rtdc.l.rtdc.4028:itc</v>
      </c>
      <c r="G175" s="8">
        <f t="shared" si="5"/>
        <v>42649.655069444445</v>
      </c>
    </row>
    <row r="176" spans="1:7" x14ac:dyDescent="0.25">
      <c r="A176" s="8">
        <v>42649.657476851855</v>
      </c>
      <c r="B176" s="23" t="s">
        <v>258</v>
      </c>
      <c r="C176" s="23" t="s">
        <v>535</v>
      </c>
      <c r="D176" s="23">
        <v>2270000</v>
      </c>
      <c r="E176" s="23" t="s">
        <v>323</v>
      </c>
      <c r="F176" s="23" t="str">
        <f t="shared" si="4"/>
        <v>rtdc.l.rtdc.4003:itc</v>
      </c>
      <c r="G176" s="8">
        <f t="shared" si="5"/>
        <v>42649.657476851855</v>
      </c>
    </row>
    <row r="177" spans="1:7" x14ac:dyDescent="0.25">
      <c r="A177" s="8">
        <v>42649.657673611109</v>
      </c>
      <c r="B177" s="23" t="s">
        <v>249</v>
      </c>
      <c r="C177" s="23" t="s">
        <v>536</v>
      </c>
      <c r="D177" s="23">
        <v>1230000</v>
      </c>
      <c r="E177" s="23" t="s">
        <v>292</v>
      </c>
      <c r="F177" s="23" t="str">
        <f t="shared" si="4"/>
        <v>rtdc.l.rtdc.4053:itc</v>
      </c>
      <c r="G177" s="8">
        <f t="shared" si="5"/>
        <v>42649.657673611109</v>
      </c>
    </row>
    <row r="178" spans="1:7" x14ac:dyDescent="0.25">
      <c r="A178" s="8">
        <v>42649.65834490741</v>
      </c>
      <c r="B178" s="23" t="s">
        <v>389</v>
      </c>
      <c r="C178" s="23" t="s">
        <v>537</v>
      </c>
      <c r="D178" s="23">
        <v>2250000</v>
      </c>
      <c r="E178" s="23" t="s">
        <v>322</v>
      </c>
      <c r="F178" s="23" t="str">
        <f t="shared" si="4"/>
        <v>rtdc.l.rtdc.4046:itc</v>
      </c>
      <c r="G178" s="8">
        <f t="shared" si="5"/>
        <v>42649.65834490741</v>
      </c>
    </row>
    <row r="179" spans="1:7" x14ac:dyDescent="0.25">
      <c r="A179" s="8">
        <v>42649.663344907407</v>
      </c>
      <c r="B179" s="23" t="s">
        <v>244</v>
      </c>
      <c r="C179" s="23" t="s">
        <v>538</v>
      </c>
      <c r="D179" s="23">
        <v>2040000</v>
      </c>
      <c r="E179" s="23" t="s">
        <v>324</v>
      </c>
      <c r="F179" s="23" t="str">
        <f t="shared" si="4"/>
        <v>rtdc.l.rtdc.4010:itc</v>
      </c>
      <c r="G179" s="8">
        <f t="shared" si="5"/>
        <v>42649.663344907407</v>
      </c>
    </row>
    <row r="180" spans="1:7" x14ac:dyDescent="0.25">
      <c r="A180" s="8">
        <v>42649.667164351849</v>
      </c>
      <c r="B180" s="23" t="s">
        <v>248</v>
      </c>
      <c r="C180" s="23" t="s">
        <v>539</v>
      </c>
      <c r="D180" s="23">
        <v>1740000</v>
      </c>
      <c r="E180" s="23" t="s">
        <v>291</v>
      </c>
      <c r="F180" s="23" t="str">
        <f t="shared" si="4"/>
        <v>rtdc.l.rtdc.4031:itc</v>
      </c>
      <c r="G180" s="8">
        <f t="shared" si="5"/>
        <v>42649.667164351849</v>
      </c>
    </row>
    <row r="181" spans="1:7" x14ac:dyDescent="0.25">
      <c r="A181" s="8">
        <v>42649.668506944443</v>
      </c>
      <c r="B181" s="23" t="s">
        <v>391</v>
      </c>
      <c r="C181" s="23" t="s">
        <v>540</v>
      </c>
      <c r="D181" s="23">
        <v>2020000</v>
      </c>
      <c r="E181" s="23" t="s">
        <v>478</v>
      </c>
      <c r="F181" s="23" t="str">
        <f t="shared" si="4"/>
        <v>rtdc.l.rtdc.4043:itc</v>
      </c>
      <c r="G181" s="8">
        <f t="shared" si="5"/>
        <v>42649.668506944443</v>
      </c>
    </row>
    <row r="182" spans="1:7" x14ac:dyDescent="0.25">
      <c r="A182" s="8">
        <v>42649.671064814815</v>
      </c>
      <c r="B182" s="23" t="s">
        <v>409</v>
      </c>
      <c r="C182" s="23" t="s">
        <v>541</v>
      </c>
      <c r="D182" s="23">
        <v>1230000</v>
      </c>
      <c r="E182" s="23" t="s">
        <v>292</v>
      </c>
      <c r="F182" s="23" t="str">
        <f t="shared" si="4"/>
        <v>rtdc.l.rtdc.4054:itc</v>
      </c>
      <c r="G182" s="8">
        <f t="shared" si="5"/>
        <v>42649.671064814815</v>
      </c>
    </row>
    <row r="183" spans="1:7" x14ac:dyDescent="0.25">
      <c r="A183" s="8">
        <v>42649.672592592593</v>
      </c>
      <c r="B183" s="23" t="s">
        <v>223</v>
      </c>
      <c r="C183" s="23" t="s">
        <v>542</v>
      </c>
      <c r="D183" s="23">
        <v>1810000</v>
      </c>
      <c r="E183" s="23" t="s">
        <v>494</v>
      </c>
      <c r="F183" s="23" t="str">
        <f t="shared" si="4"/>
        <v>rtdc.l.rtdc.4017:itc</v>
      </c>
      <c r="G183" s="8">
        <f t="shared" si="5"/>
        <v>42649.672592592593</v>
      </c>
    </row>
    <row r="184" spans="1:7" x14ac:dyDescent="0.25">
      <c r="A184" s="8">
        <v>42649.674270833333</v>
      </c>
      <c r="B184" s="23" t="s">
        <v>318</v>
      </c>
      <c r="C184" s="23" t="s">
        <v>543</v>
      </c>
      <c r="D184" s="23">
        <v>940000</v>
      </c>
      <c r="E184" s="23" t="s">
        <v>284</v>
      </c>
      <c r="F184" s="23" t="str">
        <f t="shared" si="4"/>
        <v>rtdc.l.rtdc.4027:itc</v>
      </c>
      <c r="G184" s="8">
        <f t="shared" si="5"/>
        <v>42649.674270833333</v>
      </c>
    </row>
    <row r="185" spans="1:7" x14ac:dyDescent="0.25">
      <c r="A185" s="8">
        <v>42649.676736111112</v>
      </c>
      <c r="B185" s="23" t="s">
        <v>424</v>
      </c>
      <c r="C185" s="23" t="s">
        <v>544</v>
      </c>
      <c r="D185" s="23">
        <v>120000</v>
      </c>
      <c r="E185" s="23" t="s">
        <v>510</v>
      </c>
      <c r="F185" s="23" t="str">
        <f t="shared" si="4"/>
        <v>rtdc.l.rtdc.4029:itc</v>
      </c>
      <c r="G185" s="8">
        <f t="shared" si="5"/>
        <v>42649.676736111112</v>
      </c>
    </row>
    <row r="186" spans="1:7" x14ac:dyDescent="0.25">
      <c r="A186" s="8">
        <v>42649.680763888886</v>
      </c>
      <c r="B186" s="23" t="s">
        <v>287</v>
      </c>
      <c r="C186" s="23" t="s">
        <v>545</v>
      </c>
      <c r="D186" s="23">
        <v>2220000</v>
      </c>
      <c r="E186" s="23" t="s">
        <v>326</v>
      </c>
      <c r="F186" s="23" t="str">
        <f t="shared" si="4"/>
        <v>rtdc.l.rtdc.4008:itc</v>
      </c>
      <c r="G186" s="8">
        <f t="shared" si="5"/>
        <v>42649.680763888886</v>
      </c>
    </row>
    <row r="187" spans="1:7" x14ac:dyDescent="0.25">
      <c r="A187" s="8">
        <v>42649.687731481485</v>
      </c>
      <c r="B187" s="23" t="s">
        <v>288</v>
      </c>
      <c r="C187" s="23" t="s">
        <v>546</v>
      </c>
      <c r="D187" s="23">
        <v>2020000</v>
      </c>
      <c r="E187" s="23" t="s">
        <v>478</v>
      </c>
      <c r="F187" s="23" t="str">
        <f t="shared" si="4"/>
        <v>rtdc.l.rtdc.4044:itc</v>
      </c>
      <c r="G187" s="8">
        <f t="shared" si="5"/>
        <v>42649.687731481485</v>
      </c>
    </row>
    <row r="188" spans="1:7" x14ac:dyDescent="0.25">
      <c r="A188" s="8">
        <v>42649.688530092593</v>
      </c>
      <c r="B188" s="23" t="s">
        <v>248</v>
      </c>
      <c r="C188" s="23" t="s">
        <v>539</v>
      </c>
      <c r="D188" s="23">
        <v>1740000</v>
      </c>
      <c r="E188" s="23" t="s">
        <v>291</v>
      </c>
      <c r="F188" s="23" t="str">
        <f t="shared" si="4"/>
        <v>rtdc.l.rtdc.4031:itc</v>
      </c>
      <c r="G188" s="8">
        <f t="shared" si="5"/>
        <v>42649.688530092593</v>
      </c>
    </row>
    <row r="189" spans="1:7" x14ac:dyDescent="0.25">
      <c r="A189" s="8">
        <v>42649.689699074072</v>
      </c>
      <c r="B189" s="23" t="s">
        <v>417</v>
      </c>
      <c r="C189" s="23" t="s">
        <v>547</v>
      </c>
      <c r="D189" s="23">
        <v>2250000</v>
      </c>
      <c r="E189" s="23" t="s">
        <v>322</v>
      </c>
      <c r="F189" s="23" t="str">
        <f t="shared" si="4"/>
        <v>rtdc.l.rtdc.4045:itc</v>
      </c>
      <c r="G189" s="8">
        <f t="shared" si="5"/>
        <v>42649.689699074072</v>
      </c>
    </row>
    <row r="190" spans="1:7" x14ac:dyDescent="0.25">
      <c r="A190" s="8">
        <v>42649.693298611113</v>
      </c>
      <c r="B190" s="23" t="s">
        <v>260</v>
      </c>
      <c r="C190" s="23" t="s">
        <v>548</v>
      </c>
      <c r="D190" s="23">
        <v>120000</v>
      </c>
      <c r="E190" s="23" t="s">
        <v>510</v>
      </c>
      <c r="F190" s="23" t="str">
        <f t="shared" si="4"/>
        <v>rtdc.l.rtdc.4030:itc</v>
      </c>
      <c r="G190" s="8">
        <f t="shared" si="5"/>
        <v>42649.693298611113</v>
      </c>
    </row>
    <row r="191" spans="1:7" x14ac:dyDescent="0.25">
      <c r="A191" s="8">
        <v>42649.6952662037</v>
      </c>
      <c r="B191" s="23" t="s">
        <v>483</v>
      </c>
      <c r="C191" s="23" t="s">
        <v>549</v>
      </c>
      <c r="D191" s="23">
        <v>1180000</v>
      </c>
      <c r="E191" s="23" t="s">
        <v>226</v>
      </c>
      <c r="F191" s="23" t="str">
        <f t="shared" si="4"/>
        <v>rtdc.l.rtdc.4005:itc</v>
      </c>
      <c r="G191" s="8">
        <f t="shared" si="5"/>
        <v>42649.6952662037</v>
      </c>
    </row>
    <row r="192" spans="1:7" x14ac:dyDescent="0.25">
      <c r="A192" s="8">
        <v>42649.698344907411</v>
      </c>
      <c r="B192" s="23" t="s">
        <v>483</v>
      </c>
      <c r="C192" s="23" t="s">
        <v>549</v>
      </c>
      <c r="D192" s="23">
        <v>1180000</v>
      </c>
      <c r="E192" s="23" t="s">
        <v>226</v>
      </c>
      <c r="F192" s="23" t="str">
        <f t="shared" si="4"/>
        <v>rtdc.l.rtdc.4005:itc</v>
      </c>
      <c r="G192" s="8">
        <f t="shared" si="5"/>
        <v>42649.698344907411</v>
      </c>
    </row>
    <row r="193" spans="1:7" x14ac:dyDescent="0.25">
      <c r="A193" s="8">
        <v>42649.699386574073</v>
      </c>
      <c r="B193" s="23" t="s">
        <v>249</v>
      </c>
      <c r="C193" s="23" t="s">
        <v>550</v>
      </c>
      <c r="D193" s="23">
        <v>1230000</v>
      </c>
      <c r="E193" s="23" t="s">
        <v>292</v>
      </c>
      <c r="F193" s="23" t="str">
        <f t="shared" si="4"/>
        <v>rtdc.l.rtdc.4053:itc</v>
      </c>
      <c r="G193" s="8">
        <f t="shared" si="5"/>
        <v>42649.699386574073</v>
      </c>
    </row>
    <row r="194" spans="1:7" x14ac:dyDescent="0.25">
      <c r="A194" s="8">
        <v>42649.699687499997</v>
      </c>
      <c r="B194" s="23" t="s">
        <v>250</v>
      </c>
      <c r="C194" s="23" t="s">
        <v>551</v>
      </c>
      <c r="D194" s="23">
        <v>2040000</v>
      </c>
      <c r="E194" s="23" t="s">
        <v>324</v>
      </c>
      <c r="F194" s="23" t="str">
        <f t="shared" ref="F194:F235" si="6">B194</f>
        <v>rtdc.l.rtdc.4009:itc</v>
      </c>
      <c r="G194" s="8">
        <f t="shared" ref="G194:G235" si="7">A194</f>
        <v>42649.699687499997</v>
      </c>
    </row>
    <row r="195" spans="1:7" x14ac:dyDescent="0.25">
      <c r="A195" s="8">
        <v>42649.706574074073</v>
      </c>
      <c r="B195" s="23" t="s">
        <v>224</v>
      </c>
      <c r="C195" s="23" t="s">
        <v>552</v>
      </c>
      <c r="D195" s="23">
        <v>1810000</v>
      </c>
      <c r="E195" s="23" t="s">
        <v>494</v>
      </c>
      <c r="F195" s="23" t="str">
        <f t="shared" si="6"/>
        <v>rtdc.l.rtdc.4018:itc</v>
      </c>
      <c r="G195" s="8">
        <f t="shared" si="7"/>
        <v>42649.706574074073</v>
      </c>
    </row>
    <row r="196" spans="1:7" x14ac:dyDescent="0.25">
      <c r="A196" s="8">
        <v>42649.708240740743</v>
      </c>
      <c r="B196" s="23" t="s">
        <v>247</v>
      </c>
      <c r="C196" s="23" t="s">
        <v>553</v>
      </c>
      <c r="D196" s="23">
        <v>1740000</v>
      </c>
      <c r="E196" s="23" t="s">
        <v>291</v>
      </c>
      <c r="F196" s="23" t="str">
        <f t="shared" si="6"/>
        <v>rtdc.l.rtdc.4032:itc</v>
      </c>
      <c r="G196" s="8">
        <f t="shared" si="7"/>
        <v>42649.708240740743</v>
      </c>
    </row>
    <row r="197" spans="1:7" x14ac:dyDescent="0.25">
      <c r="A197" s="8">
        <v>42649.712893518517</v>
      </c>
      <c r="B197" s="23" t="s">
        <v>409</v>
      </c>
      <c r="C197" s="23" t="s">
        <v>554</v>
      </c>
      <c r="D197" s="23">
        <v>1230000</v>
      </c>
      <c r="E197" s="23" t="s">
        <v>292</v>
      </c>
      <c r="F197" s="23" t="str">
        <f t="shared" si="6"/>
        <v>rtdc.l.rtdc.4054:itc</v>
      </c>
      <c r="G197" s="8">
        <f t="shared" si="7"/>
        <v>42649.712893518517</v>
      </c>
    </row>
    <row r="198" spans="1:7" x14ac:dyDescent="0.25">
      <c r="A198" s="8">
        <v>42649.714178240742</v>
      </c>
      <c r="B198" s="23" t="s">
        <v>317</v>
      </c>
      <c r="C198" s="23" t="s">
        <v>555</v>
      </c>
      <c r="D198" s="23">
        <v>940000</v>
      </c>
      <c r="E198" s="23" t="s">
        <v>284</v>
      </c>
      <c r="F198" s="23" t="str">
        <f t="shared" si="6"/>
        <v>rtdc.l.rtdc.4028:itc</v>
      </c>
      <c r="G198" s="8">
        <f t="shared" si="7"/>
        <v>42649.714178240742</v>
      </c>
    </row>
    <row r="199" spans="1:7" x14ac:dyDescent="0.25">
      <c r="A199" s="8">
        <v>42649.716261574074</v>
      </c>
      <c r="B199" s="23" t="s">
        <v>279</v>
      </c>
      <c r="C199" s="23" t="s">
        <v>556</v>
      </c>
      <c r="D199" s="23">
        <v>140000</v>
      </c>
      <c r="E199" s="23" t="s">
        <v>329</v>
      </c>
      <c r="F199" s="23" t="str">
        <f t="shared" si="6"/>
        <v>rtdc.l.rtdc.4001:itc</v>
      </c>
      <c r="G199" s="8">
        <f t="shared" si="7"/>
        <v>42649.716261574074</v>
      </c>
    </row>
    <row r="200" spans="1:7" x14ac:dyDescent="0.25">
      <c r="A200" s="8">
        <v>42649.718773148146</v>
      </c>
      <c r="B200" s="23" t="s">
        <v>290</v>
      </c>
      <c r="C200" s="23" t="s">
        <v>557</v>
      </c>
      <c r="D200" s="23">
        <v>1180000</v>
      </c>
      <c r="E200" s="23" t="s">
        <v>226</v>
      </c>
      <c r="F200" s="23" t="str">
        <f t="shared" si="6"/>
        <v>rtdc.l.rtdc.4007:itc</v>
      </c>
      <c r="G200" s="8">
        <f t="shared" si="7"/>
        <v>42649.718773148146</v>
      </c>
    </row>
    <row r="201" spans="1:7" x14ac:dyDescent="0.25">
      <c r="A201" s="8">
        <v>42649.719143518516</v>
      </c>
      <c r="B201" s="23" t="s">
        <v>424</v>
      </c>
      <c r="C201" s="23" t="s">
        <v>558</v>
      </c>
      <c r="D201" s="23">
        <v>120000</v>
      </c>
      <c r="E201" s="23" t="s">
        <v>510</v>
      </c>
      <c r="F201" s="23" t="str">
        <f t="shared" si="6"/>
        <v>rtdc.l.rtdc.4029:itc</v>
      </c>
      <c r="G201" s="8">
        <f t="shared" si="7"/>
        <v>42649.719143518516</v>
      </c>
    </row>
    <row r="202" spans="1:7" x14ac:dyDescent="0.25">
      <c r="A202" s="29">
        <v>42649.720567129632</v>
      </c>
      <c r="B202" s="23" t="s">
        <v>171</v>
      </c>
      <c r="C202" s="23" t="s">
        <v>559</v>
      </c>
      <c r="D202" s="23">
        <v>2000000</v>
      </c>
      <c r="E202" s="23" t="s">
        <v>325</v>
      </c>
      <c r="F202" s="23" t="str">
        <f t="shared" si="6"/>
        <v>rtdc.l.rtdc.4042:itc</v>
      </c>
      <c r="G202" s="8">
        <f t="shared" si="7"/>
        <v>42649.720567129632</v>
      </c>
    </row>
    <row r="203" spans="1:7" x14ac:dyDescent="0.25">
      <c r="A203" s="8">
        <v>42649.722303240742</v>
      </c>
      <c r="B203" s="23" t="s">
        <v>171</v>
      </c>
      <c r="C203" s="23" t="s">
        <v>559</v>
      </c>
      <c r="D203" s="23">
        <v>2000000</v>
      </c>
      <c r="E203" s="23" t="s">
        <v>325</v>
      </c>
      <c r="F203" s="23" t="str">
        <f t="shared" si="6"/>
        <v>rtdc.l.rtdc.4042:itc</v>
      </c>
      <c r="G203" s="8">
        <f t="shared" si="7"/>
        <v>42649.722303240742</v>
      </c>
    </row>
    <row r="204" spans="1:7" x14ac:dyDescent="0.25">
      <c r="A204" s="8">
        <v>42649.723124999997</v>
      </c>
      <c r="B204" s="23" t="s">
        <v>391</v>
      </c>
      <c r="C204" s="23" t="s">
        <v>560</v>
      </c>
      <c r="D204" s="23">
        <v>2020000</v>
      </c>
      <c r="E204" s="23" t="s">
        <v>478</v>
      </c>
      <c r="F204" s="23" t="str">
        <f t="shared" si="6"/>
        <v>rtdc.l.rtdc.4043:itc</v>
      </c>
      <c r="G204" s="8">
        <f t="shared" si="7"/>
        <v>42649.723124999997</v>
      </c>
    </row>
    <row r="205" spans="1:7" x14ac:dyDescent="0.25">
      <c r="A205" s="8">
        <v>42649.729131944441</v>
      </c>
      <c r="B205" s="23" t="s">
        <v>389</v>
      </c>
      <c r="C205" s="23" t="s">
        <v>561</v>
      </c>
      <c r="D205" s="23">
        <v>2220000</v>
      </c>
      <c r="E205" s="23" t="s">
        <v>326</v>
      </c>
      <c r="F205" s="23" t="str">
        <f t="shared" si="6"/>
        <v>rtdc.l.rtdc.4046:itc</v>
      </c>
      <c r="G205" s="8">
        <f t="shared" si="7"/>
        <v>42649.729131944441</v>
      </c>
    </row>
    <row r="206" spans="1:7" x14ac:dyDescent="0.25">
      <c r="A206" s="8">
        <v>42649.733472222222</v>
      </c>
      <c r="B206" s="23" t="s">
        <v>244</v>
      </c>
      <c r="C206" s="23" t="s">
        <v>562</v>
      </c>
      <c r="D206" s="23">
        <v>2040000</v>
      </c>
      <c r="E206" s="23" t="s">
        <v>324</v>
      </c>
      <c r="F206" s="23" t="str">
        <f t="shared" si="6"/>
        <v>rtdc.l.rtdc.4010:itc</v>
      </c>
      <c r="G206" s="8">
        <f t="shared" si="7"/>
        <v>42649.733472222222</v>
      </c>
    </row>
    <row r="207" spans="1:7" x14ac:dyDescent="0.25">
      <c r="A207" s="8">
        <v>42649.734594907408</v>
      </c>
      <c r="B207" s="23" t="s">
        <v>260</v>
      </c>
      <c r="C207" s="23" t="s">
        <v>563</v>
      </c>
      <c r="D207" s="23">
        <v>120000</v>
      </c>
      <c r="E207" s="23" t="s">
        <v>510</v>
      </c>
      <c r="F207" s="23" t="str">
        <f t="shared" si="6"/>
        <v>rtdc.l.rtdc.4030:itc</v>
      </c>
      <c r="G207" s="8">
        <f t="shared" si="7"/>
        <v>42649.734594907408</v>
      </c>
    </row>
    <row r="208" spans="1:7" x14ac:dyDescent="0.25">
      <c r="A208" s="8">
        <v>42649.736666666664</v>
      </c>
      <c r="B208" s="23" t="s">
        <v>228</v>
      </c>
      <c r="C208" s="23" t="s">
        <v>564</v>
      </c>
      <c r="D208" s="23">
        <v>2250000</v>
      </c>
      <c r="E208" s="23" t="s">
        <v>322</v>
      </c>
      <c r="F208" s="23" t="str">
        <f t="shared" si="6"/>
        <v>rtdc.l.rtdc.4006:itc</v>
      </c>
      <c r="G208" s="8">
        <f t="shared" si="7"/>
        <v>42649.736666666664</v>
      </c>
    </row>
    <row r="209" spans="1:7" x14ac:dyDescent="0.25">
      <c r="A209" s="8">
        <v>42649.736712962964</v>
      </c>
      <c r="B209" s="23" t="s">
        <v>223</v>
      </c>
      <c r="C209" s="23" t="s">
        <v>565</v>
      </c>
      <c r="D209" s="23">
        <v>1810000</v>
      </c>
      <c r="E209" s="23" t="s">
        <v>494</v>
      </c>
      <c r="F209" s="23" t="str">
        <f t="shared" si="6"/>
        <v>rtdc.l.rtdc.4017:itc</v>
      </c>
      <c r="G209" s="8">
        <f t="shared" si="7"/>
        <v>42649.736712962964</v>
      </c>
    </row>
    <row r="210" spans="1:7" x14ac:dyDescent="0.25">
      <c r="A210" s="8">
        <v>42649.738391203704</v>
      </c>
      <c r="B210" s="23" t="s">
        <v>282</v>
      </c>
      <c r="C210" s="23" t="s">
        <v>566</v>
      </c>
      <c r="D210" s="23">
        <v>1300000</v>
      </c>
      <c r="E210" s="23" t="s">
        <v>121</v>
      </c>
      <c r="F210" s="23" t="str">
        <f t="shared" si="6"/>
        <v>rtdc.l.rtdc.4021:itc</v>
      </c>
      <c r="G210" s="8">
        <f t="shared" si="7"/>
        <v>42649.738391203704</v>
      </c>
    </row>
    <row r="211" spans="1:7" x14ac:dyDescent="0.25">
      <c r="A211" s="8">
        <v>42649.741423611114</v>
      </c>
      <c r="B211" s="23" t="s">
        <v>248</v>
      </c>
      <c r="C211" s="23" t="s">
        <v>567</v>
      </c>
      <c r="D211" s="23">
        <v>130000</v>
      </c>
      <c r="E211" s="23" t="s">
        <v>328</v>
      </c>
      <c r="F211" s="23" t="str">
        <f t="shared" si="6"/>
        <v>rtdc.l.rtdc.4031:itc</v>
      </c>
      <c r="G211" s="8">
        <f t="shared" si="7"/>
        <v>42649.741423611114</v>
      </c>
    </row>
    <row r="212" spans="1:7" x14ac:dyDescent="0.25">
      <c r="A212" s="8">
        <v>42649.742395833331</v>
      </c>
      <c r="B212" s="23" t="s">
        <v>249</v>
      </c>
      <c r="C212" s="23" t="s">
        <v>568</v>
      </c>
      <c r="D212" s="23">
        <v>1230000</v>
      </c>
      <c r="E212" s="23" t="s">
        <v>292</v>
      </c>
      <c r="F212" s="23" t="str">
        <f t="shared" si="6"/>
        <v>rtdc.l.rtdc.4053:itc</v>
      </c>
      <c r="G212" s="8">
        <f t="shared" si="7"/>
        <v>42649.742395833331</v>
      </c>
    </row>
    <row r="213" spans="1:7" x14ac:dyDescent="0.25">
      <c r="A213" s="8">
        <v>42649.750277777777</v>
      </c>
      <c r="B213" s="23" t="s">
        <v>318</v>
      </c>
      <c r="C213" s="23" t="s">
        <v>569</v>
      </c>
      <c r="D213" s="23">
        <v>1740000</v>
      </c>
      <c r="E213" s="23" t="s">
        <v>291</v>
      </c>
      <c r="F213" s="23" t="str">
        <f t="shared" si="6"/>
        <v>rtdc.l.rtdc.4027:itc</v>
      </c>
      <c r="G213" s="8">
        <f t="shared" si="7"/>
        <v>42649.750277777777</v>
      </c>
    </row>
    <row r="214" spans="1:7" x14ac:dyDescent="0.25">
      <c r="A214" s="8">
        <v>42649.752754629626</v>
      </c>
      <c r="B214" s="23" t="s">
        <v>287</v>
      </c>
      <c r="C214" s="23" t="s">
        <v>570</v>
      </c>
      <c r="D214" s="23">
        <v>1180000</v>
      </c>
      <c r="E214" s="23" t="s">
        <v>226</v>
      </c>
      <c r="F214" s="23" t="str">
        <f t="shared" si="6"/>
        <v>rtdc.l.rtdc.4008:itc</v>
      </c>
      <c r="G214" s="8">
        <f t="shared" si="7"/>
        <v>42649.752754629626</v>
      </c>
    </row>
    <row r="215" spans="1:7" x14ac:dyDescent="0.25">
      <c r="A215" s="8">
        <v>42649.754201388889</v>
      </c>
      <c r="B215" s="23" t="s">
        <v>409</v>
      </c>
      <c r="C215" s="23" t="s">
        <v>571</v>
      </c>
      <c r="D215" s="23">
        <v>1230000</v>
      </c>
      <c r="E215" s="23" t="s">
        <v>292</v>
      </c>
      <c r="F215" s="23" t="str">
        <f t="shared" si="6"/>
        <v>rtdc.l.rtdc.4054:itc</v>
      </c>
      <c r="G215" s="8">
        <f t="shared" si="7"/>
        <v>42649.754201388889</v>
      </c>
    </row>
    <row r="216" spans="1:7" x14ac:dyDescent="0.25">
      <c r="A216" s="8">
        <v>42649.757268518515</v>
      </c>
      <c r="B216" s="23" t="s">
        <v>288</v>
      </c>
      <c r="C216" s="23" t="s">
        <v>572</v>
      </c>
      <c r="D216" s="23">
        <v>1300000</v>
      </c>
      <c r="E216" s="23" t="s">
        <v>121</v>
      </c>
      <c r="F216" s="23" t="str">
        <f t="shared" si="6"/>
        <v>rtdc.l.rtdc.4044:itc</v>
      </c>
      <c r="G216" s="8">
        <f t="shared" si="7"/>
        <v>42649.757268518515</v>
      </c>
    </row>
    <row r="217" spans="1:7" x14ac:dyDescent="0.25">
      <c r="A217" s="8">
        <v>42649.762199074074</v>
      </c>
      <c r="B217" s="23" t="s">
        <v>283</v>
      </c>
      <c r="C217" s="23" t="s">
        <v>573</v>
      </c>
      <c r="D217" s="23">
        <v>2020000</v>
      </c>
      <c r="E217" s="23" t="s">
        <v>478</v>
      </c>
      <c r="F217" s="23" t="str">
        <f t="shared" si="6"/>
        <v>rtdc.l.rtdc.4022:itc</v>
      </c>
      <c r="G217" s="8">
        <f t="shared" si="7"/>
        <v>42649.762199074074</v>
      </c>
    </row>
    <row r="218" spans="1:7" x14ac:dyDescent="0.25">
      <c r="A218" s="8">
        <v>42649.762592592589</v>
      </c>
      <c r="B218" s="23" t="s">
        <v>424</v>
      </c>
      <c r="C218" s="23" t="s">
        <v>574</v>
      </c>
      <c r="D218" s="23">
        <v>120000</v>
      </c>
      <c r="E218" s="23" t="s">
        <v>510</v>
      </c>
      <c r="F218" s="23" t="str">
        <f t="shared" si="6"/>
        <v>rtdc.l.rtdc.4029:itc</v>
      </c>
      <c r="G218" s="8">
        <f t="shared" si="7"/>
        <v>42649.762592592589</v>
      </c>
    </row>
    <row r="219" spans="1:7" x14ac:dyDescent="0.25">
      <c r="A219" s="8">
        <v>42649.762777777774</v>
      </c>
      <c r="B219" s="23" t="s">
        <v>417</v>
      </c>
      <c r="C219" s="23" t="s">
        <v>575</v>
      </c>
      <c r="D219" s="23">
        <v>2220000</v>
      </c>
      <c r="E219" s="23" t="s">
        <v>326</v>
      </c>
      <c r="F219" s="23" t="str">
        <f t="shared" si="6"/>
        <v>rtdc.l.rtdc.4045:itc</v>
      </c>
      <c r="G219" s="8">
        <f t="shared" si="7"/>
        <v>42649.762777777774</v>
      </c>
    </row>
    <row r="220" spans="1:7" x14ac:dyDescent="0.25">
      <c r="A220" s="8">
        <v>42649.768333333333</v>
      </c>
      <c r="B220" s="23" t="s">
        <v>250</v>
      </c>
      <c r="C220" s="23" t="s">
        <v>576</v>
      </c>
      <c r="D220" s="23">
        <v>1480000</v>
      </c>
      <c r="E220" s="23" t="s">
        <v>232</v>
      </c>
      <c r="F220" s="23" t="str">
        <f t="shared" si="6"/>
        <v>rtdc.l.rtdc.4009:itc</v>
      </c>
      <c r="G220" s="8">
        <f t="shared" si="7"/>
        <v>42649.768333333333</v>
      </c>
    </row>
    <row r="221" spans="1:7" x14ac:dyDescent="0.25">
      <c r="A221" s="8">
        <v>42649.775000000001</v>
      </c>
      <c r="B221" s="23" t="s">
        <v>247</v>
      </c>
      <c r="C221" s="23" t="s">
        <v>577</v>
      </c>
      <c r="D221" s="23">
        <v>130000</v>
      </c>
      <c r="E221" s="23" t="s">
        <v>328</v>
      </c>
      <c r="F221" s="23" t="str">
        <f t="shared" si="6"/>
        <v>rtdc.l.rtdc.4032:itc</v>
      </c>
      <c r="G221" s="8">
        <f t="shared" si="7"/>
        <v>42649.775000000001</v>
      </c>
    </row>
    <row r="222" spans="1:7" x14ac:dyDescent="0.25">
      <c r="A222" s="8">
        <v>42649.776250000003</v>
      </c>
      <c r="B222" s="23" t="s">
        <v>260</v>
      </c>
      <c r="C222" s="23" t="s">
        <v>578</v>
      </c>
      <c r="D222" s="23">
        <v>120000</v>
      </c>
      <c r="E222" s="23" t="s">
        <v>510</v>
      </c>
      <c r="F222" s="23" t="str">
        <f t="shared" si="6"/>
        <v>rtdc.l.rtdc.4030:itc</v>
      </c>
      <c r="G222" s="8">
        <f t="shared" si="7"/>
        <v>42649.776250000003</v>
      </c>
    </row>
    <row r="223" spans="1:7" x14ac:dyDescent="0.25">
      <c r="A223" s="8">
        <v>42649.779409722221</v>
      </c>
      <c r="B223" s="23" t="s">
        <v>224</v>
      </c>
      <c r="C223" s="23" t="s">
        <v>579</v>
      </c>
      <c r="D223" s="23">
        <v>1810000</v>
      </c>
      <c r="E223" s="23" t="s">
        <v>494</v>
      </c>
      <c r="F223" s="23" t="str">
        <f t="shared" si="6"/>
        <v>rtdc.l.rtdc.4018:itc</v>
      </c>
      <c r="G223" s="8">
        <f t="shared" si="7"/>
        <v>42649.779409722221</v>
      </c>
    </row>
    <row r="224" spans="1:7" x14ac:dyDescent="0.25">
      <c r="A224" s="8">
        <v>42649.783402777779</v>
      </c>
      <c r="B224" t="s">
        <v>249</v>
      </c>
      <c r="C224" t="s">
        <v>580</v>
      </c>
      <c r="D224">
        <v>1230000</v>
      </c>
      <c r="E224" t="s">
        <v>292</v>
      </c>
      <c r="F224" s="23" t="str">
        <f t="shared" si="6"/>
        <v>rtdc.l.rtdc.4053:itc</v>
      </c>
      <c r="G224" s="8">
        <f t="shared" si="7"/>
        <v>42649.783402777779</v>
      </c>
    </row>
    <row r="225" spans="1:7" x14ac:dyDescent="0.25">
      <c r="A225" s="8">
        <v>42649.783437500002</v>
      </c>
      <c r="B225" t="s">
        <v>317</v>
      </c>
      <c r="C225" t="s">
        <v>581</v>
      </c>
      <c r="D225">
        <v>1740000</v>
      </c>
      <c r="E225" t="s">
        <v>291</v>
      </c>
      <c r="F225" s="23" t="str">
        <f t="shared" si="6"/>
        <v>rtdc.l.rtdc.4028:itc</v>
      </c>
      <c r="G225" s="8">
        <f t="shared" si="7"/>
        <v>42649.783437500002</v>
      </c>
    </row>
    <row r="226" spans="1:7" x14ac:dyDescent="0.25">
      <c r="A226" s="8">
        <v>42649.787638888891</v>
      </c>
      <c r="B226" t="s">
        <v>290</v>
      </c>
      <c r="C226" t="s">
        <v>582</v>
      </c>
      <c r="D226">
        <v>1180000</v>
      </c>
      <c r="E226" t="s">
        <v>226</v>
      </c>
      <c r="F226" s="23" t="str">
        <f t="shared" si="6"/>
        <v>rtdc.l.rtdc.4007:itc</v>
      </c>
      <c r="G226" s="8">
        <f t="shared" si="7"/>
        <v>42649.787638888891</v>
      </c>
    </row>
    <row r="227" spans="1:7" x14ac:dyDescent="0.25">
      <c r="A227" s="8">
        <v>42649.795717592591</v>
      </c>
      <c r="B227" t="s">
        <v>391</v>
      </c>
      <c r="C227" t="s">
        <v>583</v>
      </c>
      <c r="D227">
        <v>1300000</v>
      </c>
      <c r="E227" t="s">
        <v>121</v>
      </c>
      <c r="F227" s="23" t="str">
        <f t="shared" si="6"/>
        <v>rtdc.l.rtdc.4043:itc</v>
      </c>
      <c r="G227" s="8">
        <f t="shared" si="7"/>
        <v>42649.795717592591</v>
      </c>
    </row>
    <row r="228" spans="1:7" x14ac:dyDescent="0.25">
      <c r="A228" s="8">
        <v>42649.796134259261</v>
      </c>
      <c r="B228" t="s">
        <v>409</v>
      </c>
      <c r="C228" t="s">
        <v>584</v>
      </c>
      <c r="D228">
        <v>1230000</v>
      </c>
      <c r="E228" t="s">
        <v>292</v>
      </c>
      <c r="F228" s="23" t="str">
        <f t="shared" si="6"/>
        <v>rtdc.l.rtdc.4054:itc</v>
      </c>
      <c r="G228" s="8">
        <f t="shared" si="7"/>
        <v>42649.796134259261</v>
      </c>
    </row>
    <row r="229" spans="1:7" x14ac:dyDescent="0.25">
      <c r="A229" s="8">
        <v>42649.803043981483</v>
      </c>
      <c r="B229" t="s">
        <v>389</v>
      </c>
      <c r="C229" t="s">
        <v>585</v>
      </c>
      <c r="D229">
        <v>2220000</v>
      </c>
      <c r="E229" t="s">
        <v>326</v>
      </c>
      <c r="F229" s="23" t="str">
        <f t="shared" si="6"/>
        <v>rtdc.l.rtdc.4046:itc</v>
      </c>
      <c r="G229" s="8">
        <f t="shared" si="7"/>
        <v>42649.803043981483</v>
      </c>
    </row>
    <row r="230" spans="1:7" x14ac:dyDescent="0.25">
      <c r="A230" s="8">
        <v>42649.803668981483</v>
      </c>
      <c r="B230" t="s">
        <v>244</v>
      </c>
      <c r="C230" t="s">
        <v>586</v>
      </c>
      <c r="D230">
        <v>1480000</v>
      </c>
      <c r="E230" t="s">
        <v>232</v>
      </c>
      <c r="F230" s="23" t="str">
        <f t="shared" si="6"/>
        <v>rtdc.l.rtdc.4010:itc</v>
      </c>
      <c r="G230" s="8">
        <f t="shared" si="7"/>
        <v>42649.803668981483</v>
      </c>
    </row>
    <row r="231" spans="1:7" x14ac:dyDescent="0.25">
      <c r="A231" s="8">
        <v>42649.804155092592</v>
      </c>
      <c r="B231" t="s">
        <v>424</v>
      </c>
      <c r="C231" t="s">
        <v>587</v>
      </c>
      <c r="D231">
        <v>120000</v>
      </c>
      <c r="E231" t="s">
        <v>510</v>
      </c>
      <c r="F231" s="23" t="str">
        <f t="shared" si="6"/>
        <v>rtdc.l.rtdc.4029:itc</v>
      </c>
      <c r="G231" s="8">
        <f t="shared" si="7"/>
        <v>42649.804155092592</v>
      </c>
    </row>
    <row r="232" spans="1:7" x14ac:dyDescent="0.25">
      <c r="A232" s="8">
        <v>42649.810219907406</v>
      </c>
      <c r="B232" t="s">
        <v>248</v>
      </c>
      <c r="C232" t="s">
        <v>588</v>
      </c>
      <c r="D232">
        <v>130000</v>
      </c>
      <c r="E232" t="s">
        <v>328</v>
      </c>
      <c r="F232" s="23" t="str">
        <f t="shared" si="6"/>
        <v>rtdc.l.rtdc.4031:itc</v>
      </c>
      <c r="G232" s="8">
        <f t="shared" si="7"/>
        <v>42649.810219907406</v>
      </c>
    </row>
    <row r="233" spans="1:7" x14ac:dyDescent="0.25">
      <c r="A233" s="8">
        <v>42649.817916666667</v>
      </c>
      <c r="B233" t="s">
        <v>260</v>
      </c>
      <c r="C233" t="s">
        <v>589</v>
      </c>
      <c r="D233">
        <v>120000</v>
      </c>
      <c r="E233" t="s">
        <v>510</v>
      </c>
      <c r="F233" s="23" t="str">
        <f t="shared" si="6"/>
        <v>rtdc.l.rtdc.4030:itc</v>
      </c>
      <c r="G233" s="8">
        <f t="shared" si="7"/>
        <v>42649.817916666667</v>
      </c>
    </row>
    <row r="234" spans="1:7" x14ac:dyDescent="0.25">
      <c r="A234" s="8">
        <v>42649.820243055554</v>
      </c>
      <c r="B234" t="s">
        <v>318</v>
      </c>
      <c r="C234" t="s">
        <v>590</v>
      </c>
      <c r="D234">
        <v>1740000</v>
      </c>
      <c r="E234" t="s">
        <v>291</v>
      </c>
      <c r="F234" s="23" t="str">
        <f t="shared" si="6"/>
        <v>rtdc.l.rtdc.4027:itc</v>
      </c>
      <c r="G234" s="8">
        <f t="shared" si="7"/>
        <v>42649.820243055554</v>
      </c>
    </row>
    <row r="235" spans="1:7" x14ac:dyDescent="0.25">
      <c r="A235" s="8">
        <v>42649.824837962966</v>
      </c>
      <c r="B235" t="s">
        <v>287</v>
      </c>
      <c r="C235" t="s">
        <v>591</v>
      </c>
      <c r="D235">
        <v>1180000</v>
      </c>
      <c r="E235" t="s">
        <v>226</v>
      </c>
      <c r="F235" s="23" t="str">
        <f t="shared" si="6"/>
        <v>rtdc.l.rtdc.4008:itc</v>
      </c>
      <c r="G235" s="8">
        <f t="shared" si="7"/>
        <v>42649.824837962966</v>
      </c>
    </row>
    <row r="236" spans="1:7" x14ac:dyDescent="0.25">
      <c r="A236" s="8">
        <v>42649.827997685185</v>
      </c>
      <c r="B236" t="s">
        <v>288</v>
      </c>
      <c r="C236" t="s">
        <v>592</v>
      </c>
      <c r="D236">
        <v>1300000</v>
      </c>
      <c r="E236" t="s">
        <v>121</v>
      </c>
      <c r="F236" s="23" t="str">
        <f t="shared" ref="F236:F265" si="8">B236</f>
        <v>rtdc.l.rtdc.4044:itc</v>
      </c>
      <c r="G236" s="8">
        <f t="shared" ref="G236:G265" si="9">A236</f>
        <v>42649.827997685185</v>
      </c>
    </row>
    <row r="237" spans="1:7" x14ac:dyDescent="0.25">
      <c r="A237" s="8">
        <v>42649.845000000001</v>
      </c>
      <c r="B237" t="s">
        <v>424</v>
      </c>
      <c r="C237" t="s">
        <v>593</v>
      </c>
      <c r="D237">
        <v>120000</v>
      </c>
      <c r="E237" t="s">
        <v>510</v>
      </c>
      <c r="F237" s="23" t="str">
        <f t="shared" si="8"/>
        <v>rtdc.l.rtdc.4029:itc</v>
      </c>
      <c r="G237" s="8">
        <f t="shared" si="9"/>
        <v>42649.845000000001</v>
      </c>
    </row>
    <row r="238" spans="1:7" x14ac:dyDescent="0.25">
      <c r="A238" s="8">
        <v>42649.845868055556</v>
      </c>
      <c r="B238" t="s">
        <v>247</v>
      </c>
      <c r="C238" t="s">
        <v>594</v>
      </c>
      <c r="D238">
        <v>130000</v>
      </c>
      <c r="E238" t="s">
        <v>328</v>
      </c>
      <c r="F238" s="23" t="str">
        <f t="shared" si="8"/>
        <v>rtdc.l.rtdc.4032:itc</v>
      </c>
      <c r="G238" s="8">
        <f t="shared" si="9"/>
        <v>42649.845868055556</v>
      </c>
    </row>
    <row r="239" spans="1:7" x14ac:dyDescent="0.25">
      <c r="A239" s="8">
        <v>42649.847662037035</v>
      </c>
      <c r="B239" t="s">
        <v>250</v>
      </c>
      <c r="C239" t="s">
        <v>595</v>
      </c>
      <c r="D239">
        <v>1480000</v>
      </c>
      <c r="E239" t="s">
        <v>232</v>
      </c>
      <c r="F239" s="23" t="str">
        <f t="shared" si="8"/>
        <v>rtdc.l.rtdc.4009:itc</v>
      </c>
      <c r="G239" s="8">
        <f t="shared" si="9"/>
        <v>42649.847662037035</v>
      </c>
    </row>
    <row r="240" spans="1:7" x14ac:dyDescent="0.25">
      <c r="A240" s="8">
        <v>42649.862245370372</v>
      </c>
      <c r="B240" t="s">
        <v>260</v>
      </c>
      <c r="C240" t="s">
        <v>596</v>
      </c>
      <c r="D240">
        <v>120000</v>
      </c>
      <c r="E240" t="s">
        <v>510</v>
      </c>
      <c r="F240" s="23" t="str">
        <f t="shared" si="8"/>
        <v>rtdc.l.rtdc.4030:itc</v>
      </c>
      <c r="G240" s="8">
        <f t="shared" si="9"/>
        <v>42649.862245370372</v>
      </c>
    </row>
    <row r="241" spans="1:7" x14ac:dyDescent="0.25">
      <c r="A241" s="8">
        <v>42649.868078703701</v>
      </c>
      <c r="B241" t="s">
        <v>290</v>
      </c>
      <c r="C241" t="s">
        <v>597</v>
      </c>
      <c r="D241">
        <v>1180000</v>
      </c>
      <c r="E241" t="s">
        <v>226</v>
      </c>
      <c r="F241" s="23" t="str">
        <f t="shared" si="8"/>
        <v>rtdc.l.rtdc.4007:itc</v>
      </c>
      <c r="G241" s="8">
        <f t="shared" si="9"/>
        <v>42649.868078703701</v>
      </c>
    </row>
    <row r="242" spans="1:7" x14ac:dyDescent="0.25">
      <c r="A242" s="8">
        <v>42649.873865740738</v>
      </c>
      <c r="B242" t="s">
        <v>391</v>
      </c>
      <c r="C242" t="s">
        <v>598</v>
      </c>
      <c r="D242">
        <v>1300000</v>
      </c>
      <c r="E242" t="s">
        <v>121</v>
      </c>
      <c r="F242" s="23" t="str">
        <f t="shared" si="8"/>
        <v>rtdc.l.rtdc.4043:itc</v>
      </c>
      <c r="G242" s="8">
        <f t="shared" si="9"/>
        <v>42649.873865740738</v>
      </c>
    </row>
    <row r="243" spans="1:7" x14ac:dyDescent="0.25">
      <c r="A243" s="8">
        <v>42649.881689814814</v>
      </c>
      <c r="B243" t="s">
        <v>248</v>
      </c>
      <c r="C243" t="s">
        <v>599</v>
      </c>
      <c r="D243">
        <v>130000</v>
      </c>
      <c r="E243" t="s">
        <v>328</v>
      </c>
      <c r="F243" s="23" t="str">
        <f t="shared" si="8"/>
        <v>rtdc.l.rtdc.4031:itc</v>
      </c>
      <c r="G243" s="8">
        <f t="shared" si="9"/>
        <v>42649.881689814814</v>
      </c>
    </row>
    <row r="244" spans="1:7" x14ac:dyDescent="0.25">
      <c r="A244" s="8">
        <v>42649.887488425928</v>
      </c>
      <c r="B244" t="s">
        <v>424</v>
      </c>
      <c r="C244" t="s">
        <v>600</v>
      </c>
      <c r="D244">
        <v>1230000</v>
      </c>
      <c r="E244" t="s">
        <v>292</v>
      </c>
      <c r="F244" s="23" t="str">
        <f t="shared" si="8"/>
        <v>rtdc.l.rtdc.4029:itc</v>
      </c>
      <c r="G244" s="8">
        <f t="shared" si="9"/>
        <v>42649.887488425928</v>
      </c>
    </row>
    <row r="245" spans="1:7" x14ac:dyDescent="0.25">
      <c r="A245" s="8">
        <v>42649.888912037037</v>
      </c>
      <c r="B245" t="s">
        <v>244</v>
      </c>
      <c r="C245" t="s">
        <v>601</v>
      </c>
      <c r="D245">
        <v>1480000</v>
      </c>
      <c r="E245" t="s">
        <v>232</v>
      </c>
      <c r="F245" s="23" t="str">
        <f t="shared" si="8"/>
        <v>rtdc.l.rtdc.4010:itc</v>
      </c>
      <c r="G245" s="8">
        <f t="shared" si="9"/>
        <v>42649.888912037037</v>
      </c>
    </row>
    <row r="246" spans="1:7" x14ac:dyDescent="0.25">
      <c r="A246" s="8">
        <v>42649.900289351855</v>
      </c>
      <c r="B246" t="s">
        <v>260</v>
      </c>
      <c r="C246" t="s">
        <v>602</v>
      </c>
      <c r="D246">
        <v>1230000</v>
      </c>
      <c r="E246" t="s">
        <v>292</v>
      </c>
      <c r="F246" s="23" t="str">
        <f t="shared" si="8"/>
        <v>rtdc.l.rtdc.4030:itc</v>
      </c>
      <c r="G246" s="8">
        <f t="shared" si="9"/>
        <v>42649.900289351855</v>
      </c>
    </row>
    <row r="247" spans="1:7" x14ac:dyDescent="0.25">
      <c r="A247" s="8">
        <v>42649.908599537041</v>
      </c>
      <c r="B247" t="s">
        <v>287</v>
      </c>
      <c r="C247" t="s">
        <v>603</v>
      </c>
      <c r="D247">
        <v>1180000</v>
      </c>
      <c r="E247" t="s">
        <v>226</v>
      </c>
      <c r="F247" s="23" t="str">
        <f t="shared" si="8"/>
        <v>rtdc.l.rtdc.4008:itc</v>
      </c>
      <c r="G247" s="8">
        <f t="shared" si="9"/>
        <v>42649.908599537041</v>
      </c>
    </row>
    <row r="248" spans="1:7" x14ac:dyDescent="0.25">
      <c r="A248" s="8">
        <v>42649.915370370371</v>
      </c>
      <c r="B248" t="s">
        <v>288</v>
      </c>
      <c r="C248" t="s">
        <v>604</v>
      </c>
      <c r="D248">
        <v>1300000</v>
      </c>
      <c r="E248" t="s">
        <v>121</v>
      </c>
      <c r="F248" s="23" t="str">
        <f t="shared" si="8"/>
        <v>rtdc.l.rtdc.4044:itc</v>
      </c>
      <c r="G248" s="8">
        <f t="shared" si="9"/>
        <v>42649.915370370371</v>
      </c>
    </row>
    <row r="249" spans="1:7" x14ac:dyDescent="0.25">
      <c r="A249" s="8">
        <v>42649.927256944444</v>
      </c>
      <c r="B249" t="s">
        <v>424</v>
      </c>
      <c r="C249" t="s">
        <v>605</v>
      </c>
      <c r="D249">
        <v>1230000</v>
      </c>
      <c r="E249" t="s">
        <v>292</v>
      </c>
      <c r="F249" s="23" t="str">
        <f t="shared" si="8"/>
        <v>rtdc.l.rtdc.4029:itc</v>
      </c>
      <c r="G249" s="8">
        <f t="shared" si="9"/>
        <v>42649.927256944444</v>
      </c>
    </row>
    <row r="250" spans="1:7" x14ac:dyDescent="0.25">
      <c r="A250" s="8">
        <v>42649.929560185185</v>
      </c>
      <c r="B250" t="s">
        <v>247</v>
      </c>
      <c r="C250" t="s">
        <v>606</v>
      </c>
      <c r="D250">
        <v>130000</v>
      </c>
      <c r="E250" t="s">
        <v>328</v>
      </c>
      <c r="F250" s="23" t="str">
        <f t="shared" si="8"/>
        <v>rtdc.l.rtdc.4032:itc</v>
      </c>
      <c r="G250" s="8">
        <f t="shared" si="9"/>
        <v>42649.929560185185</v>
      </c>
    </row>
    <row r="251" spans="1:7" x14ac:dyDescent="0.25">
      <c r="A251" s="8">
        <v>42649.937615740739</v>
      </c>
      <c r="B251" t="s">
        <v>250</v>
      </c>
      <c r="C251" t="s">
        <v>607</v>
      </c>
      <c r="D251">
        <v>1480000</v>
      </c>
      <c r="E251" t="s">
        <v>232</v>
      </c>
      <c r="F251" s="23" t="str">
        <f t="shared" si="8"/>
        <v>rtdc.l.rtdc.4009:itc</v>
      </c>
      <c r="G251" s="8">
        <f t="shared" si="9"/>
        <v>42649.937615740739</v>
      </c>
    </row>
    <row r="252" spans="1:7" x14ac:dyDescent="0.25">
      <c r="A252" s="8">
        <v>42649.942071759258</v>
      </c>
      <c r="B252" t="s">
        <v>260</v>
      </c>
      <c r="C252" t="s">
        <v>608</v>
      </c>
      <c r="D252">
        <v>1230000</v>
      </c>
      <c r="E252" t="s">
        <v>292</v>
      </c>
      <c r="F252" s="23" t="str">
        <f t="shared" si="8"/>
        <v>rtdc.l.rtdc.4030:itc</v>
      </c>
      <c r="G252" s="8">
        <f t="shared" si="9"/>
        <v>42649.942071759258</v>
      </c>
    </row>
    <row r="253" spans="1:7" x14ac:dyDescent="0.25">
      <c r="A253" s="8">
        <v>42649.951689814814</v>
      </c>
      <c r="B253" t="s">
        <v>391</v>
      </c>
      <c r="C253" t="s">
        <v>609</v>
      </c>
      <c r="D253">
        <v>1300000</v>
      </c>
      <c r="E253" t="s">
        <v>121</v>
      </c>
      <c r="F253" s="23" t="str">
        <f t="shared" si="8"/>
        <v>rtdc.l.rtdc.4043:itc</v>
      </c>
      <c r="G253" s="8">
        <f t="shared" si="9"/>
        <v>42649.951689814814</v>
      </c>
    </row>
    <row r="254" spans="1:7" x14ac:dyDescent="0.25">
      <c r="A254" s="8">
        <v>42649.955520833333</v>
      </c>
      <c r="B254" t="s">
        <v>290</v>
      </c>
      <c r="C254" t="s">
        <v>610</v>
      </c>
      <c r="D254">
        <v>1180000</v>
      </c>
      <c r="E254" t="s">
        <v>226</v>
      </c>
      <c r="F254" s="23" t="str">
        <f t="shared" si="8"/>
        <v>rtdc.l.rtdc.4007:itc</v>
      </c>
      <c r="G254" s="8">
        <f t="shared" si="9"/>
        <v>42649.955520833333</v>
      </c>
    </row>
    <row r="255" spans="1:7" x14ac:dyDescent="0.25">
      <c r="A255" s="8">
        <v>42649.970335648148</v>
      </c>
      <c r="B255" t="s">
        <v>244</v>
      </c>
      <c r="C255" t="s">
        <v>611</v>
      </c>
      <c r="D255">
        <v>1480000</v>
      </c>
      <c r="E255" t="s">
        <v>232</v>
      </c>
      <c r="F255" s="23" t="str">
        <f t="shared" si="8"/>
        <v>rtdc.l.rtdc.4010:itc</v>
      </c>
      <c r="G255" s="8">
        <f t="shared" si="9"/>
        <v>42649.970335648148</v>
      </c>
    </row>
    <row r="256" spans="1:7" x14ac:dyDescent="0.25">
      <c r="A256" s="8">
        <v>42649.981724537036</v>
      </c>
      <c r="B256" t="s">
        <v>288</v>
      </c>
      <c r="C256" t="s">
        <v>612</v>
      </c>
      <c r="D256">
        <v>1300000</v>
      </c>
      <c r="E256" t="s">
        <v>121</v>
      </c>
      <c r="F256" s="23" t="str">
        <f t="shared" si="8"/>
        <v>rtdc.l.rtdc.4044:itc</v>
      </c>
      <c r="G256" s="8">
        <f t="shared" si="9"/>
        <v>42649.981724537036</v>
      </c>
    </row>
    <row r="257" spans="1:7" x14ac:dyDescent="0.25">
      <c r="A257" s="8">
        <v>42649.982569444444</v>
      </c>
      <c r="B257" t="s">
        <v>288</v>
      </c>
      <c r="C257" t="s">
        <v>612</v>
      </c>
      <c r="D257">
        <v>1300000</v>
      </c>
      <c r="E257" t="s">
        <v>121</v>
      </c>
      <c r="F257" s="23" t="str">
        <f t="shared" si="8"/>
        <v>rtdc.l.rtdc.4044:itc</v>
      </c>
      <c r="G257" s="8">
        <f t="shared" si="9"/>
        <v>42649.982569444444</v>
      </c>
    </row>
    <row r="258" spans="1:7" x14ac:dyDescent="0.25">
      <c r="A258" s="8">
        <v>42649.994189814817</v>
      </c>
      <c r="B258" t="s">
        <v>287</v>
      </c>
      <c r="C258" t="s">
        <v>613</v>
      </c>
      <c r="D258">
        <v>1180000</v>
      </c>
      <c r="E258" t="s">
        <v>226</v>
      </c>
      <c r="F258" s="23" t="str">
        <f t="shared" si="8"/>
        <v>rtdc.l.rtdc.4008:itc</v>
      </c>
      <c r="G258" s="8">
        <f t="shared" si="9"/>
        <v>42649.994189814817</v>
      </c>
    </row>
    <row r="259" spans="1:7" x14ac:dyDescent="0.25">
      <c r="A259" s="8">
        <v>42650.015625</v>
      </c>
      <c r="B259" t="s">
        <v>391</v>
      </c>
      <c r="C259" t="s">
        <v>614</v>
      </c>
      <c r="D259">
        <v>1300000</v>
      </c>
      <c r="E259" t="s">
        <v>121</v>
      </c>
      <c r="F259" s="23" t="str">
        <f t="shared" si="8"/>
        <v>rtdc.l.rtdc.4043:itc</v>
      </c>
      <c r="G259" s="8">
        <f t="shared" si="9"/>
        <v>42650.015625</v>
      </c>
    </row>
    <row r="260" spans="1:7" x14ac:dyDescent="0.25">
      <c r="A260" s="8">
        <v>42650.017372685186</v>
      </c>
      <c r="B260" t="s">
        <v>250</v>
      </c>
      <c r="C260" t="s">
        <v>615</v>
      </c>
      <c r="D260">
        <v>1480000</v>
      </c>
      <c r="E260" t="s">
        <v>232</v>
      </c>
      <c r="F260" s="23" t="str">
        <f t="shared" si="8"/>
        <v>rtdc.l.rtdc.4009:itc</v>
      </c>
      <c r="G260" s="8">
        <f t="shared" si="9"/>
        <v>42650.017372685186</v>
      </c>
    </row>
    <row r="261" spans="1:7" x14ac:dyDescent="0.25">
      <c r="A261" s="8">
        <v>42650.029976851853</v>
      </c>
      <c r="B261" t="s">
        <v>290</v>
      </c>
      <c r="C261" t="s">
        <v>616</v>
      </c>
      <c r="D261">
        <v>1180000</v>
      </c>
      <c r="E261" t="s">
        <v>226</v>
      </c>
      <c r="F261" s="23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168</v>
      </c>
      <c r="C262" t="s">
        <v>535</v>
      </c>
      <c r="D262">
        <v>630000</v>
      </c>
      <c r="E262" t="b">
        <v>1</v>
      </c>
      <c r="F262" s="23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244</v>
      </c>
      <c r="C263" t="s">
        <v>617</v>
      </c>
      <c r="D263">
        <v>1480000</v>
      </c>
      <c r="E263" t="s">
        <v>232</v>
      </c>
      <c r="F263" s="23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288</v>
      </c>
      <c r="C264" t="s">
        <v>618</v>
      </c>
      <c r="D264">
        <v>1300000</v>
      </c>
      <c r="E264" t="s">
        <v>121</v>
      </c>
      <c r="F264" s="23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169</v>
      </c>
      <c r="C265" t="s">
        <v>535</v>
      </c>
      <c r="D265">
        <v>630000</v>
      </c>
      <c r="E265" t="b">
        <v>1</v>
      </c>
      <c r="F265" s="23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168</v>
      </c>
      <c r="C266" t="s">
        <v>535</v>
      </c>
      <c r="D266">
        <v>630000</v>
      </c>
      <c r="E266" t="b">
        <v>1</v>
      </c>
      <c r="F266" s="23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168</v>
      </c>
      <c r="C267" t="s">
        <v>535</v>
      </c>
      <c r="D267">
        <v>630000</v>
      </c>
      <c r="E267" t="b">
        <v>1</v>
      </c>
      <c r="F267" s="23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168</v>
      </c>
      <c r="C268" t="s">
        <v>535</v>
      </c>
      <c r="D268">
        <v>630000</v>
      </c>
      <c r="E268" t="b">
        <v>1</v>
      </c>
      <c r="F268" s="23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168</v>
      </c>
      <c r="C269" t="s">
        <v>535</v>
      </c>
      <c r="D269">
        <v>630000</v>
      </c>
      <c r="E269" t="b">
        <v>1</v>
      </c>
      <c r="F269" s="23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250</v>
      </c>
      <c r="C270" t="s">
        <v>619</v>
      </c>
      <c r="D270">
        <v>1480000</v>
      </c>
      <c r="E270" t="s">
        <v>232</v>
      </c>
      <c r="F270" s="23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169</v>
      </c>
      <c r="C271" t="s">
        <v>535</v>
      </c>
      <c r="D271">
        <v>630000</v>
      </c>
      <c r="E271" t="b">
        <v>1</v>
      </c>
      <c r="F271" s="23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169</v>
      </c>
      <c r="C272" t="s">
        <v>535</v>
      </c>
      <c r="D272">
        <v>630000</v>
      </c>
      <c r="E272" t="b">
        <v>1</v>
      </c>
      <c r="F272" s="23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169</v>
      </c>
      <c r="C273" t="s">
        <v>535</v>
      </c>
      <c r="D273">
        <v>630000</v>
      </c>
      <c r="E273" t="b">
        <v>1</v>
      </c>
      <c r="F273" s="23" t="str">
        <f t="shared" si="10"/>
        <v>rtdc.l.rtdc.4052:itc</v>
      </c>
      <c r="G273" s="8">
        <f t="shared" si="11"/>
        <v>42650.103645833333</v>
      </c>
    </row>
    <row r="274" spans="1:7" x14ac:dyDescent="0.25">
      <c r="F274" s="23">
        <f t="shared" si="10"/>
        <v>0</v>
      </c>
      <c r="G274" s="8">
        <f t="shared" si="11"/>
        <v>0</v>
      </c>
    </row>
    <row r="275" spans="1:7" x14ac:dyDescent="0.25">
      <c r="F275" s="23">
        <f t="shared" si="10"/>
        <v>0</v>
      </c>
      <c r="G275" s="8">
        <f t="shared" si="11"/>
        <v>0</v>
      </c>
    </row>
    <row r="276" spans="1:7" x14ac:dyDescent="0.25">
      <c r="F276" s="23">
        <f t="shared" si="10"/>
        <v>0</v>
      </c>
      <c r="G276" s="8">
        <f t="shared" si="11"/>
        <v>0</v>
      </c>
    </row>
    <row r="277" spans="1:7" x14ac:dyDescent="0.25">
      <c r="F277" s="23">
        <f t="shared" si="10"/>
        <v>0</v>
      </c>
      <c r="G277" s="8">
        <f t="shared" si="11"/>
        <v>0</v>
      </c>
    </row>
    <row r="278" spans="1:7" x14ac:dyDescent="0.25">
      <c r="F278" s="23">
        <f t="shared" si="10"/>
        <v>0</v>
      </c>
      <c r="G278" s="8">
        <f t="shared" si="11"/>
        <v>0</v>
      </c>
    </row>
    <row r="279" spans="1:7" x14ac:dyDescent="0.25">
      <c r="F279" s="23">
        <f t="shared" si="10"/>
        <v>0</v>
      </c>
      <c r="G279" s="8">
        <f t="shared" si="11"/>
        <v>0</v>
      </c>
    </row>
    <row r="280" spans="1:7" x14ac:dyDescent="0.25">
      <c r="F280" s="23">
        <f t="shared" si="10"/>
        <v>0</v>
      </c>
      <c r="G280" s="8">
        <f t="shared" si="11"/>
        <v>0</v>
      </c>
    </row>
    <row r="281" spans="1:7" x14ac:dyDescent="0.25">
      <c r="F281" s="23">
        <f t="shared" si="10"/>
        <v>0</v>
      </c>
      <c r="G281" s="8">
        <f t="shared" si="11"/>
        <v>0</v>
      </c>
    </row>
    <row r="282" spans="1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3">
        <f t="shared" si="12"/>
        <v>0</v>
      </c>
      <c r="G283" s="8">
        <f t="shared" si="13"/>
        <v>0</v>
      </c>
    </row>
    <row r="284" spans="1:7" x14ac:dyDescent="0.25">
      <c r="F284" s="23">
        <f t="shared" si="12"/>
        <v>0</v>
      </c>
      <c r="G284" s="8">
        <f t="shared" si="13"/>
        <v>0</v>
      </c>
    </row>
    <row r="285" spans="1:7" x14ac:dyDescent="0.25">
      <c r="F285" s="23">
        <f t="shared" si="12"/>
        <v>0</v>
      </c>
      <c r="G285" s="8">
        <f t="shared" si="13"/>
        <v>0</v>
      </c>
    </row>
    <row r="286" spans="1:7" x14ac:dyDescent="0.25">
      <c r="F286" s="23">
        <f t="shared" si="12"/>
        <v>0</v>
      </c>
      <c r="G286" s="8">
        <f t="shared" si="13"/>
        <v>0</v>
      </c>
    </row>
    <row r="287" spans="1:7" x14ac:dyDescent="0.25">
      <c r="F287" s="23">
        <f t="shared" si="12"/>
        <v>0</v>
      </c>
      <c r="G287" s="8">
        <f t="shared" si="13"/>
        <v>0</v>
      </c>
    </row>
    <row r="288" spans="1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50" customWidth="1"/>
    <col min="2" max="2" width="8.140625" style="150" bestFit="1" customWidth="1"/>
    <col min="3" max="3" width="12.28515625" style="150" bestFit="1" customWidth="1"/>
    <col min="4" max="4" width="18.28515625" style="150" bestFit="1" customWidth="1"/>
    <col min="5" max="5" width="9.5703125" style="150" bestFit="1" customWidth="1"/>
    <col min="6" max="6" width="9" style="150" bestFit="1" customWidth="1"/>
    <col min="7" max="7" width="8.5703125" style="150" bestFit="1" customWidth="1"/>
    <col min="8" max="8" width="13.7109375" style="150" bestFit="1" customWidth="1"/>
    <col min="9" max="9" width="20.85546875" style="150" bestFit="1" customWidth="1"/>
    <col min="10" max="10" width="8.7109375" style="150" bestFit="1" customWidth="1"/>
    <col min="11" max="13" width="11" style="150" bestFit="1" customWidth="1"/>
    <col min="14" max="14" width="12.140625" style="150" bestFit="1" customWidth="1"/>
    <col min="15" max="15" width="14.5703125" style="150" bestFit="1" customWidth="1"/>
    <col min="16" max="16" width="16.42578125" style="150" bestFit="1" customWidth="1"/>
    <col min="17" max="17" width="9.140625" style="150"/>
    <col min="18" max="16384" width="9.140625" style="111"/>
  </cols>
  <sheetData>
    <row r="1" spans="1:17" s="152" customFormat="1" x14ac:dyDescent="0.25">
      <c r="A1" s="151" t="s">
        <v>181</v>
      </c>
      <c r="B1" s="151" t="s">
        <v>184</v>
      </c>
      <c r="C1" s="151" t="s">
        <v>177</v>
      </c>
      <c r="D1" s="151" t="s">
        <v>204</v>
      </c>
      <c r="E1" s="151" t="s">
        <v>178</v>
      </c>
      <c r="F1" s="151" t="s">
        <v>176</v>
      </c>
      <c r="G1" s="151" t="s">
        <v>174</v>
      </c>
      <c r="H1" s="151" t="s">
        <v>187</v>
      </c>
      <c r="I1" s="151" t="s">
        <v>188</v>
      </c>
      <c r="J1" s="151" t="s">
        <v>337</v>
      </c>
      <c r="K1" s="151" t="s">
        <v>182</v>
      </c>
      <c r="L1" s="151" t="s">
        <v>180</v>
      </c>
      <c r="M1" s="151" t="s">
        <v>175</v>
      </c>
      <c r="N1" s="151" t="s">
        <v>185</v>
      </c>
      <c r="O1" s="151" t="s">
        <v>179</v>
      </c>
      <c r="P1" s="151" t="s">
        <v>186</v>
      </c>
      <c r="Q1" s="151" t="s">
        <v>183</v>
      </c>
    </row>
    <row r="2" spans="1:17" x14ac:dyDescent="0.25">
      <c r="A2" s="150">
        <v>50.93</v>
      </c>
      <c r="B2" s="150">
        <v>0.66</v>
      </c>
      <c r="C2" s="150">
        <v>30.11</v>
      </c>
      <c r="D2" s="165">
        <v>42649</v>
      </c>
      <c r="E2" s="150">
        <v>0.45</v>
      </c>
      <c r="F2" s="150" t="s">
        <v>238</v>
      </c>
      <c r="G2" s="150">
        <v>309.04000000000002</v>
      </c>
      <c r="H2" s="150">
        <v>0</v>
      </c>
      <c r="I2" s="150">
        <v>0</v>
      </c>
      <c r="K2" s="150">
        <v>1012.57</v>
      </c>
      <c r="L2" s="150" t="s">
        <v>338</v>
      </c>
      <c r="M2" s="150">
        <v>50.93</v>
      </c>
      <c r="N2" s="150">
        <v>1475733600</v>
      </c>
      <c r="O2" s="150">
        <v>7.97</v>
      </c>
      <c r="P2" s="150">
        <v>352</v>
      </c>
      <c r="Q2" s="150">
        <v>2.9</v>
      </c>
    </row>
    <row r="3" spans="1:17" x14ac:dyDescent="0.25">
      <c r="A3" s="150">
        <v>49.04</v>
      </c>
      <c r="B3" s="150">
        <v>0.48</v>
      </c>
      <c r="C3" s="150">
        <v>28.89</v>
      </c>
      <c r="D3" s="165">
        <v>42649.041666666664</v>
      </c>
      <c r="E3" s="150">
        <v>0.45</v>
      </c>
      <c r="F3" s="150" t="s">
        <v>238</v>
      </c>
      <c r="G3" s="150">
        <v>311.02</v>
      </c>
      <c r="H3" s="150">
        <v>1.2999999999999999E-3</v>
      </c>
      <c r="I3" s="150">
        <v>0.02</v>
      </c>
      <c r="J3" s="150" t="s">
        <v>339</v>
      </c>
      <c r="K3" s="150">
        <v>1012.79</v>
      </c>
      <c r="L3" s="150" t="s">
        <v>231</v>
      </c>
      <c r="M3" s="150">
        <v>49.04</v>
      </c>
      <c r="N3" s="150">
        <v>1475737200</v>
      </c>
      <c r="O3" s="150">
        <v>8.06</v>
      </c>
      <c r="P3" s="150">
        <v>17</v>
      </c>
      <c r="Q3" s="150">
        <v>2.4500000000000002</v>
      </c>
    </row>
    <row r="4" spans="1:17" x14ac:dyDescent="0.25">
      <c r="A4" s="150">
        <v>47</v>
      </c>
      <c r="B4" s="150">
        <v>0.3</v>
      </c>
      <c r="C4" s="150">
        <v>28.8</v>
      </c>
      <c r="D4" s="165">
        <v>42649.083333333336</v>
      </c>
      <c r="E4" s="150">
        <v>0.49</v>
      </c>
      <c r="F4" s="150" t="s">
        <v>238</v>
      </c>
      <c r="G4" s="150">
        <v>313</v>
      </c>
      <c r="H4" s="150">
        <v>2.7000000000000001E-3</v>
      </c>
      <c r="I4" s="150">
        <v>0.08</v>
      </c>
      <c r="J4" s="150" t="s">
        <v>339</v>
      </c>
      <c r="K4" s="150">
        <v>1013.03</v>
      </c>
      <c r="L4" s="150" t="s">
        <v>231</v>
      </c>
      <c r="M4" s="150">
        <v>47</v>
      </c>
      <c r="N4" s="150">
        <v>1475740800</v>
      </c>
      <c r="O4" s="150">
        <v>8.0399999999999991</v>
      </c>
      <c r="P4" s="150">
        <v>357</v>
      </c>
      <c r="Q4" s="150">
        <v>2.5499999999999998</v>
      </c>
    </row>
    <row r="5" spans="1:17" x14ac:dyDescent="0.25">
      <c r="A5" s="150">
        <v>45.52</v>
      </c>
      <c r="B5" s="150">
        <v>0.12</v>
      </c>
      <c r="C5" s="150">
        <v>29.09</v>
      </c>
      <c r="D5" s="165">
        <v>42649.125</v>
      </c>
      <c r="E5" s="150">
        <v>0.52</v>
      </c>
      <c r="F5" s="150" t="s">
        <v>820</v>
      </c>
      <c r="G5" s="150">
        <v>314.99</v>
      </c>
      <c r="H5" s="150">
        <v>0</v>
      </c>
      <c r="I5" s="150">
        <v>0</v>
      </c>
      <c r="K5" s="150">
        <v>1013.3</v>
      </c>
      <c r="L5" s="150" t="s">
        <v>222</v>
      </c>
      <c r="M5" s="150">
        <v>45.52</v>
      </c>
      <c r="N5" s="150">
        <v>1475744400</v>
      </c>
      <c r="O5" s="150">
        <v>7.67</v>
      </c>
      <c r="P5" s="150">
        <v>334</v>
      </c>
      <c r="Q5" s="150">
        <v>2.98</v>
      </c>
    </row>
    <row r="6" spans="1:17" x14ac:dyDescent="0.25">
      <c r="A6" s="150">
        <v>42.4</v>
      </c>
      <c r="B6" s="150">
        <v>0.24</v>
      </c>
      <c r="C6" s="150">
        <v>28.35</v>
      </c>
      <c r="D6" s="165">
        <v>42649.166666666664</v>
      </c>
      <c r="E6" s="150">
        <v>0.53</v>
      </c>
      <c r="F6" s="150" t="s">
        <v>820</v>
      </c>
      <c r="G6" s="150">
        <v>315.18</v>
      </c>
      <c r="H6" s="150">
        <v>2.8E-3</v>
      </c>
      <c r="I6" s="150">
        <v>0.08</v>
      </c>
      <c r="J6" s="150" t="s">
        <v>339</v>
      </c>
      <c r="K6" s="150">
        <v>1013.92</v>
      </c>
      <c r="L6" s="150" t="s">
        <v>222</v>
      </c>
      <c r="M6" s="150">
        <v>44.54</v>
      </c>
      <c r="N6" s="150">
        <v>1475748000</v>
      </c>
      <c r="O6" s="150">
        <v>7.55</v>
      </c>
      <c r="P6" s="150">
        <v>334</v>
      </c>
      <c r="Q6" s="150">
        <v>4.1900000000000004</v>
      </c>
    </row>
    <row r="7" spans="1:17" x14ac:dyDescent="0.25">
      <c r="A7" s="150">
        <v>40.68</v>
      </c>
      <c r="B7" s="150">
        <v>0.47</v>
      </c>
      <c r="C7" s="150">
        <v>33.58</v>
      </c>
      <c r="D7" s="165">
        <v>42649.208333333336</v>
      </c>
      <c r="E7" s="150">
        <v>0.69</v>
      </c>
      <c r="F7" s="150" t="s">
        <v>339</v>
      </c>
      <c r="G7" s="150">
        <v>314.70999999999998</v>
      </c>
      <c r="H7" s="150">
        <v>8.2000000000000007E-3</v>
      </c>
      <c r="I7" s="150">
        <v>0.37</v>
      </c>
      <c r="J7" s="150" t="s">
        <v>339</v>
      </c>
      <c r="K7" s="150">
        <v>1014.72</v>
      </c>
      <c r="L7" s="150" t="s">
        <v>340</v>
      </c>
      <c r="M7" s="150">
        <v>42.94</v>
      </c>
      <c r="N7" s="150">
        <v>1475751600</v>
      </c>
      <c r="O7" s="150">
        <v>7.31</v>
      </c>
      <c r="P7" s="150">
        <v>323</v>
      </c>
      <c r="Q7" s="150">
        <v>4.04</v>
      </c>
    </row>
    <row r="8" spans="1:17" x14ac:dyDescent="0.25">
      <c r="A8" s="150">
        <v>38.68</v>
      </c>
      <c r="B8" s="150">
        <v>0.62</v>
      </c>
      <c r="C8" s="150">
        <v>36.479999999999997</v>
      </c>
      <c r="D8" s="165">
        <v>42649.25</v>
      </c>
      <c r="E8" s="150">
        <v>0.81</v>
      </c>
      <c r="F8" s="150" t="s">
        <v>339</v>
      </c>
      <c r="G8" s="150">
        <v>315.08</v>
      </c>
      <c r="H8" s="150">
        <v>2.4799999999999999E-2</v>
      </c>
      <c r="I8" s="150">
        <v>0.54</v>
      </c>
      <c r="J8" s="150" t="s">
        <v>339</v>
      </c>
      <c r="K8" s="150">
        <v>1015.51</v>
      </c>
      <c r="L8" s="150" t="s">
        <v>821</v>
      </c>
      <c r="M8" s="150">
        <v>41.74</v>
      </c>
      <c r="N8" s="150">
        <v>1475755200</v>
      </c>
      <c r="O8" s="150">
        <v>5.87</v>
      </c>
      <c r="P8" s="150">
        <v>297</v>
      </c>
      <c r="Q8" s="150">
        <v>4.79</v>
      </c>
    </row>
    <row r="9" spans="1:17" x14ac:dyDescent="0.25">
      <c r="A9" s="150">
        <v>38.409999999999997</v>
      </c>
      <c r="B9" s="150">
        <v>0.61</v>
      </c>
      <c r="C9" s="150">
        <v>37.56</v>
      </c>
      <c r="D9" s="165">
        <v>42649.291666666664</v>
      </c>
      <c r="E9" s="150">
        <v>0.87</v>
      </c>
      <c r="F9" s="150" t="s">
        <v>339</v>
      </c>
      <c r="G9" s="150">
        <v>317.24</v>
      </c>
      <c r="H9" s="150">
        <v>4.4600000000000001E-2</v>
      </c>
      <c r="I9" s="150">
        <v>0.6</v>
      </c>
      <c r="J9" s="150" t="s">
        <v>339</v>
      </c>
      <c r="K9" s="150">
        <v>1016.25</v>
      </c>
      <c r="L9" s="150" t="s">
        <v>821</v>
      </c>
      <c r="M9" s="150">
        <v>41.17</v>
      </c>
      <c r="N9" s="150">
        <v>1475758800</v>
      </c>
      <c r="O9" s="150">
        <v>4.87</v>
      </c>
      <c r="P9" s="150">
        <v>300</v>
      </c>
      <c r="Q9" s="150">
        <v>4.29</v>
      </c>
    </row>
    <row r="10" spans="1:17" x14ac:dyDescent="0.25">
      <c r="A10" s="150">
        <v>41.65</v>
      </c>
      <c r="B10" s="150">
        <v>0.47</v>
      </c>
      <c r="C10" s="150">
        <v>38.75</v>
      </c>
      <c r="D10" s="165">
        <v>42649.333333333336</v>
      </c>
      <c r="E10" s="150">
        <v>0.89</v>
      </c>
      <c r="F10" s="150" t="s">
        <v>339</v>
      </c>
      <c r="G10" s="150">
        <v>320.22000000000003</v>
      </c>
      <c r="H10" s="150">
        <v>6.2399999999999997E-2</v>
      </c>
      <c r="I10" s="150">
        <v>0.63</v>
      </c>
      <c r="J10" s="150" t="s">
        <v>339</v>
      </c>
      <c r="K10" s="150">
        <v>1016.92</v>
      </c>
      <c r="L10" s="150" t="s">
        <v>822</v>
      </c>
      <c r="M10" s="150">
        <v>41.65</v>
      </c>
      <c r="N10" s="150">
        <v>1475762400</v>
      </c>
      <c r="O10" s="150">
        <v>3.79</v>
      </c>
      <c r="P10" s="150">
        <v>232</v>
      </c>
      <c r="Q10" s="150">
        <v>1.04</v>
      </c>
    </row>
    <row r="11" spans="1:17" x14ac:dyDescent="0.25">
      <c r="A11" s="150">
        <v>43.06</v>
      </c>
      <c r="B11" s="150">
        <v>0.4</v>
      </c>
      <c r="C11" s="150">
        <v>39.83</v>
      </c>
      <c r="D11" s="165">
        <v>42649.375</v>
      </c>
      <c r="E11" s="150">
        <v>0.88</v>
      </c>
      <c r="F11" s="150" t="s">
        <v>339</v>
      </c>
      <c r="G11" s="150">
        <v>322.62</v>
      </c>
      <c r="H11" s="150">
        <v>4.9500000000000002E-2</v>
      </c>
      <c r="I11" s="150">
        <v>0.61</v>
      </c>
      <c r="J11" s="150" t="s">
        <v>339</v>
      </c>
      <c r="K11" s="150">
        <v>1017.36</v>
      </c>
      <c r="L11" s="150" t="s">
        <v>821</v>
      </c>
      <c r="M11" s="150">
        <v>43.06</v>
      </c>
      <c r="N11" s="150">
        <v>1475766000</v>
      </c>
      <c r="O11" s="150">
        <v>3.59</v>
      </c>
      <c r="P11" s="150">
        <v>154</v>
      </c>
      <c r="Q11" s="150">
        <v>1.92</v>
      </c>
    </row>
    <row r="12" spans="1:17" x14ac:dyDescent="0.25">
      <c r="A12" s="150">
        <v>44.58</v>
      </c>
      <c r="B12" s="150">
        <v>0.42</v>
      </c>
      <c r="C12" s="150">
        <v>41.02</v>
      </c>
      <c r="D12" s="165">
        <v>42649.416666666664</v>
      </c>
      <c r="E12" s="150">
        <v>0.87</v>
      </c>
      <c r="F12" s="150" t="s">
        <v>339</v>
      </c>
      <c r="G12" s="150">
        <v>323.87</v>
      </c>
      <c r="H12" s="150">
        <v>3.56E-2</v>
      </c>
      <c r="I12" s="150">
        <v>0.56999999999999995</v>
      </c>
      <c r="J12" s="150" t="s">
        <v>339</v>
      </c>
      <c r="K12" s="150">
        <v>1017.51</v>
      </c>
      <c r="L12" s="150" t="s">
        <v>821</v>
      </c>
      <c r="M12" s="150">
        <v>44.58</v>
      </c>
      <c r="N12" s="150">
        <v>1475769600</v>
      </c>
      <c r="O12" s="150">
        <v>3.44</v>
      </c>
      <c r="P12" s="150">
        <v>170</v>
      </c>
      <c r="Q12" s="150">
        <v>0.08</v>
      </c>
    </row>
    <row r="13" spans="1:17" x14ac:dyDescent="0.25">
      <c r="A13" s="150">
        <v>47.08</v>
      </c>
      <c r="B13" s="150">
        <v>0.5</v>
      </c>
      <c r="C13" s="150">
        <v>41.47</v>
      </c>
      <c r="D13" s="165">
        <v>42649.458333333336</v>
      </c>
      <c r="E13" s="150">
        <v>0.81</v>
      </c>
      <c r="F13" s="150" t="s">
        <v>339</v>
      </c>
      <c r="G13" s="150">
        <v>324.54000000000002</v>
      </c>
      <c r="H13" s="150">
        <v>2.47E-2</v>
      </c>
      <c r="I13" s="150">
        <v>0.54</v>
      </c>
      <c r="J13" s="150" t="s">
        <v>339</v>
      </c>
      <c r="K13" s="150">
        <v>1017.31</v>
      </c>
      <c r="L13" s="150" t="s">
        <v>821</v>
      </c>
      <c r="M13" s="150">
        <v>47.08</v>
      </c>
      <c r="N13" s="150">
        <v>1475773200</v>
      </c>
      <c r="O13" s="150">
        <v>3.62</v>
      </c>
      <c r="P13" s="150">
        <v>24</v>
      </c>
      <c r="Q13" s="150">
        <v>2.29</v>
      </c>
    </row>
    <row r="14" spans="1:17" x14ac:dyDescent="0.25">
      <c r="A14" s="150">
        <v>46.88</v>
      </c>
      <c r="B14" s="150">
        <v>0.5</v>
      </c>
      <c r="C14" s="150">
        <v>40.39</v>
      </c>
      <c r="D14" s="165">
        <v>42649.5</v>
      </c>
      <c r="E14" s="150">
        <v>0.78</v>
      </c>
      <c r="F14" s="150" t="s">
        <v>339</v>
      </c>
      <c r="G14" s="150">
        <v>324.86</v>
      </c>
      <c r="H14" s="150">
        <v>1.2E-2</v>
      </c>
      <c r="I14" s="150">
        <v>0.46</v>
      </c>
      <c r="J14" s="150" t="s">
        <v>339</v>
      </c>
      <c r="K14" s="150">
        <v>1017.05</v>
      </c>
      <c r="L14" s="150" t="s">
        <v>821</v>
      </c>
      <c r="M14" s="150">
        <v>46.88</v>
      </c>
      <c r="N14" s="150">
        <v>1475776800</v>
      </c>
      <c r="O14" s="150">
        <v>3.74</v>
      </c>
      <c r="P14" s="150">
        <v>18</v>
      </c>
      <c r="Q14" s="150">
        <v>2.91</v>
      </c>
    </row>
    <row r="15" spans="1:17" x14ac:dyDescent="0.25">
      <c r="A15" s="150">
        <v>45.23</v>
      </c>
      <c r="B15" s="150">
        <v>0.45</v>
      </c>
      <c r="C15" s="150">
        <v>40.799999999999997</v>
      </c>
      <c r="D15" s="165">
        <v>42649.541666666664</v>
      </c>
      <c r="E15" s="150">
        <v>0.79</v>
      </c>
      <c r="F15" s="150" t="s">
        <v>339</v>
      </c>
      <c r="G15" s="150">
        <v>325</v>
      </c>
      <c r="H15" s="150">
        <v>5.8999999999999999E-3</v>
      </c>
      <c r="I15" s="150">
        <v>0.24</v>
      </c>
      <c r="J15" s="150" t="s">
        <v>339</v>
      </c>
      <c r="K15" s="150">
        <v>1017.01</v>
      </c>
      <c r="L15" s="150" t="s">
        <v>340</v>
      </c>
      <c r="M15" s="150">
        <v>46.96</v>
      </c>
      <c r="N15" s="150">
        <v>1475780400</v>
      </c>
      <c r="O15" s="150">
        <v>3.85</v>
      </c>
      <c r="P15" s="150">
        <v>43</v>
      </c>
      <c r="Q15" s="150">
        <v>4.17</v>
      </c>
    </row>
    <row r="16" spans="1:17" x14ac:dyDescent="0.25">
      <c r="A16" s="150">
        <v>48.72</v>
      </c>
      <c r="B16" s="150">
        <v>0.35</v>
      </c>
      <c r="C16" s="150">
        <v>40.11</v>
      </c>
      <c r="D16" s="165">
        <v>42649.583333333336</v>
      </c>
      <c r="E16" s="150">
        <v>0.7</v>
      </c>
      <c r="F16" s="150" t="s">
        <v>339</v>
      </c>
      <c r="G16" s="150">
        <v>324.79000000000002</v>
      </c>
      <c r="H16" s="150">
        <v>5.7999999999999996E-3</v>
      </c>
      <c r="I16" s="150">
        <v>0.23</v>
      </c>
      <c r="J16" s="150" t="s">
        <v>339</v>
      </c>
      <c r="K16" s="150">
        <v>1017.04</v>
      </c>
      <c r="L16" s="150" t="s">
        <v>340</v>
      </c>
      <c r="M16" s="150">
        <v>49.37</v>
      </c>
      <c r="N16" s="150">
        <v>1475784000</v>
      </c>
      <c r="O16" s="150">
        <v>4.3499999999999996</v>
      </c>
      <c r="P16" s="150">
        <v>52</v>
      </c>
      <c r="Q16" s="150">
        <v>3.28</v>
      </c>
    </row>
    <row r="17" spans="1:17" x14ac:dyDescent="0.25">
      <c r="A17" s="150">
        <v>52.42</v>
      </c>
      <c r="B17" s="150">
        <v>0.3</v>
      </c>
      <c r="C17" s="150">
        <v>39.29</v>
      </c>
      <c r="D17" s="165">
        <v>42649.625</v>
      </c>
      <c r="E17" s="150">
        <v>0.61</v>
      </c>
      <c r="F17" s="150" t="s">
        <v>339</v>
      </c>
      <c r="G17" s="150">
        <v>323.95</v>
      </c>
      <c r="H17" s="150">
        <v>5.3E-3</v>
      </c>
      <c r="I17" s="150">
        <v>0.21</v>
      </c>
      <c r="J17" s="150" t="s">
        <v>339</v>
      </c>
      <c r="K17" s="150">
        <v>1017.23</v>
      </c>
      <c r="L17" s="150" t="s">
        <v>340</v>
      </c>
      <c r="M17" s="150">
        <v>52.42</v>
      </c>
      <c r="N17" s="150">
        <v>1475787600</v>
      </c>
      <c r="O17" s="150">
        <v>5.49</v>
      </c>
      <c r="P17" s="150">
        <v>33</v>
      </c>
      <c r="Q17" s="150">
        <v>2.83</v>
      </c>
    </row>
    <row r="18" spans="1:17" x14ac:dyDescent="0.25">
      <c r="A18" s="150">
        <v>53.48</v>
      </c>
      <c r="B18" s="150">
        <v>0.28000000000000003</v>
      </c>
      <c r="C18" s="150">
        <v>37.479999999999997</v>
      </c>
      <c r="D18" s="165">
        <v>42649.666666666664</v>
      </c>
      <c r="E18" s="150">
        <v>0.54</v>
      </c>
      <c r="F18" s="150" t="s">
        <v>339</v>
      </c>
      <c r="G18" s="150">
        <v>322.02</v>
      </c>
      <c r="H18" s="150">
        <v>6.6E-3</v>
      </c>
      <c r="I18" s="150">
        <v>0.28000000000000003</v>
      </c>
      <c r="J18" s="150" t="s">
        <v>339</v>
      </c>
      <c r="K18" s="150">
        <v>1017.74</v>
      </c>
      <c r="L18" s="150" t="s">
        <v>340</v>
      </c>
      <c r="M18" s="150">
        <v>53.48</v>
      </c>
      <c r="N18" s="150">
        <v>1475791200</v>
      </c>
      <c r="O18" s="150">
        <v>6.5</v>
      </c>
      <c r="P18" s="150">
        <v>34</v>
      </c>
      <c r="Q18" s="150">
        <v>4.1500000000000004</v>
      </c>
    </row>
    <row r="19" spans="1:17" x14ac:dyDescent="0.25">
      <c r="A19" s="150">
        <v>52.53</v>
      </c>
      <c r="B19" s="150">
        <v>0.33</v>
      </c>
      <c r="C19" s="150">
        <v>36.24</v>
      </c>
      <c r="D19" s="165">
        <v>42649.708333333336</v>
      </c>
      <c r="E19" s="150">
        <v>0.54</v>
      </c>
      <c r="F19" s="150" t="s">
        <v>339</v>
      </c>
      <c r="G19" s="150">
        <v>319.45999999999998</v>
      </c>
      <c r="H19" s="150">
        <v>5.7999999999999996E-3</v>
      </c>
      <c r="I19" s="150">
        <v>0.23</v>
      </c>
      <c r="J19" s="150" t="s">
        <v>339</v>
      </c>
      <c r="K19" s="150">
        <v>1018.42</v>
      </c>
      <c r="L19" s="150" t="s">
        <v>340</v>
      </c>
      <c r="M19" s="150">
        <v>52.53</v>
      </c>
      <c r="N19" s="150">
        <v>1475794800</v>
      </c>
      <c r="O19" s="150">
        <v>6.84</v>
      </c>
      <c r="P19" s="150">
        <v>38</v>
      </c>
      <c r="Q19" s="150">
        <v>4.8600000000000003</v>
      </c>
    </row>
    <row r="20" spans="1:17" x14ac:dyDescent="0.25">
      <c r="A20" s="150">
        <v>50.49</v>
      </c>
      <c r="B20" s="150">
        <v>0.43</v>
      </c>
      <c r="C20" s="150">
        <v>36</v>
      </c>
      <c r="D20" s="165">
        <v>42649.75</v>
      </c>
      <c r="E20" s="150">
        <v>0.56999999999999995</v>
      </c>
      <c r="F20" s="150" t="s">
        <v>230</v>
      </c>
      <c r="G20" s="150">
        <v>317.44</v>
      </c>
      <c r="H20" s="150">
        <v>0</v>
      </c>
      <c r="I20" s="150">
        <v>0</v>
      </c>
      <c r="K20" s="150">
        <v>1019.22</v>
      </c>
      <c r="L20" s="150" t="s">
        <v>231</v>
      </c>
      <c r="M20" s="150">
        <v>50.49</v>
      </c>
      <c r="N20" s="150">
        <v>1475798400</v>
      </c>
      <c r="O20" s="150">
        <v>7.46</v>
      </c>
      <c r="P20" s="150">
        <v>48</v>
      </c>
      <c r="Q20" s="150">
        <v>5.19</v>
      </c>
    </row>
    <row r="21" spans="1:17" x14ac:dyDescent="0.25">
      <c r="A21" s="150">
        <v>45.3</v>
      </c>
      <c r="B21" s="150">
        <v>0.36</v>
      </c>
      <c r="C21" s="150">
        <v>37.119999999999997</v>
      </c>
      <c r="D21" s="165">
        <v>42649.791666666664</v>
      </c>
      <c r="E21" s="150">
        <v>0.69</v>
      </c>
      <c r="F21" s="150" t="s">
        <v>238</v>
      </c>
      <c r="G21" s="150">
        <v>316.52</v>
      </c>
      <c r="H21" s="150">
        <v>0</v>
      </c>
      <c r="I21" s="150">
        <v>0</v>
      </c>
      <c r="K21" s="150">
        <v>1020.15</v>
      </c>
      <c r="L21" s="150" t="s">
        <v>231</v>
      </c>
      <c r="M21" s="150">
        <v>46.71</v>
      </c>
      <c r="N21" s="150">
        <v>1475802000</v>
      </c>
      <c r="O21" s="150">
        <v>7.46</v>
      </c>
      <c r="P21" s="150">
        <v>61</v>
      </c>
      <c r="Q21" s="150">
        <v>3.72</v>
      </c>
    </row>
    <row r="22" spans="1:17" x14ac:dyDescent="0.25">
      <c r="A22" s="150">
        <v>44.23</v>
      </c>
      <c r="B22" s="150">
        <v>0.2</v>
      </c>
      <c r="C22" s="150">
        <v>37.42</v>
      </c>
      <c r="D22" s="165">
        <v>42649.833333333336</v>
      </c>
      <c r="E22" s="150">
        <v>0.77</v>
      </c>
      <c r="F22" s="150" t="s">
        <v>820</v>
      </c>
      <c r="G22" s="150">
        <v>316.13</v>
      </c>
      <c r="H22" s="150">
        <v>0</v>
      </c>
      <c r="I22" s="150">
        <v>0</v>
      </c>
      <c r="K22" s="150">
        <v>1021.33</v>
      </c>
      <c r="L22" s="150" t="s">
        <v>222</v>
      </c>
      <c r="M22" s="150">
        <v>44.23</v>
      </c>
      <c r="N22" s="150">
        <v>1475805600</v>
      </c>
      <c r="O22" s="150">
        <v>7.04</v>
      </c>
      <c r="P22" s="150">
        <v>84</v>
      </c>
      <c r="Q22" s="150">
        <v>1.98</v>
      </c>
    </row>
    <row r="23" spans="1:17" x14ac:dyDescent="0.25">
      <c r="A23" s="150">
        <v>42.07</v>
      </c>
      <c r="B23" s="150">
        <v>7.0000000000000007E-2</v>
      </c>
      <c r="C23" s="150">
        <v>36.950000000000003</v>
      </c>
      <c r="D23" s="165">
        <v>42649.875</v>
      </c>
      <c r="E23" s="150">
        <v>0.82</v>
      </c>
      <c r="F23" s="150" t="s">
        <v>820</v>
      </c>
      <c r="G23" s="150">
        <v>315.7</v>
      </c>
      <c r="H23" s="150">
        <v>0</v>
      </c>
      <c r="I23" s="150">
        <v>0</v>
      </c>
      <c r="K23" s="150">
        <v>1022.43</v>
      </c>
      <c r="L23" s="150" t="s">
        <v>222</v>
      </c>
      <c r="M23" s="150">
        <v>42.07</v>
      </c>
      <c r="N23" s="150">
        <v>1475809200</v>
      </c>
      <c r="O23" s="150">
        <v>7.4</v>
      </c>
      <c r="P23" s="150">
        <v>151</v>
      </c>
      <c r="Q23" s="150">
        <v>1.04</v>
      </c>
    </row>
    <row r="24" spans="1:17" x14ac:dyDescent="0.25">
      <c r="A24" s="150">
        <v>41.48</v>
      </c>
      <c r="B24" s="150">
        <v>0.1</v>
      </c>
      <c r="C24" s="150">
        <v>36.92</v>
      </c>
      <c r="D24" s="165">
        <v>42649.916666666664</v>
      </c>
      <c r="E24" s="150">
        <v>0.84</v>
      </c>
      <c r="F24" s="150" t="s">
        <v>820</v>
      </c>
      <c r="G24" s="150">
        <v>315.02</v>
      </c>
      <c r="H24" s="150">
        <v>0</v>
      </c>
      <c r="I24" s="150">
        <v>0</v>
      </c>
      <c r="K24" s="150">
        <v>1023.41</v>
      </c>
      <c r="L24" s="150" t="s">
        <v>222</v>
      </c>
      <c r="M24" s="150">
        <v>41.48</v>
      </c>
      <c r="N24" s="150">
        <v>1475812800</v>
      </c>
      <c r="O24" s="150">
        <v>5.87</v>
      </c>
      <c r="P24" s="150">
        <v>172</v>
      </c>
      <c r="Q24" s="150">
        <v>1.99</v>
      </c>
    </row>
    <row r="25" spans="1:17" x14ac:dyDescent="0.25">
      <c r="A25" s="150">
        <v>40.06</v>
      </c>
      <c r="B25" s="150">
        <v>0.08</v>
      </c>
      <c r="C25" s="150">
        <v>35.5</v>
      </c>
      <c r="D25" s="165">
        <v>42649.958333333336</v>
      </c>
      <c r="E25" s="150">
        <v>0.84</v>
      </c>
      <c r="F25" s="150" t="s">
        <v>820</v>
      </c>
      <c r="G25" s="150">
        <v>314.29000000000002</v>
      </c>
      <c r="H25" s="150">
        <v>0</v>
      </c>
      <c r="I25" s="150">
        <v>0</v>
      </c>
      <c r="K25" s="150">
        <v>1024.3</v>
      </c>
      <c r="L25" s="150" t="s">
        <v>222</v>
      </c>
      <c r="M25" s="150">
        <v>40.06</v>
      </c>
      <c r="N25" s="150">
        <v>1475816400</v>
      </c>
      <c r="O25" s="150">
        <v>5.71</v>
      </c>
      <c r="P25" s="150">
        <v>196</v>
      </c>
      <c r="Q25" s="150">
        <v>1.67</v>
      </c>
    </row>
    <row r="26" spans="1:17" x14ac:dyDescent="0.25">
      <c r="A26" s="150">
        <v>38.72</v>
      </c>
      <c r="B26" s="150">
        <v>0.1</v>
      </c>
      <c r="C26" s="150">
        <v>34.54</v>
      </c>
      <c r="D26" s="165">
        <v>42650</v>
      </c>
      <c r="E26" s="150">
        <v>0.85</v>
      </c>
      <c r="F26" s="150" t="s">
        <v>820</v>
      </c>
      <c r="G26" s="150">
        <v>313.60000000000002</v>
      </c>
      <c r="H26" s="150">
        <v>0</v>
      </c>
      <c r="I26" s="150">
        <v>0</v>
      </c>
      <c r="K26" s="150">
        <v>1024.9100000000001</v>
      </c>
      <c r="L26" s="150" t="s">
        <v>222</v>
      </c>
      <c r="M26" s="150">
        <v>38.72</v>
      </c>
      <c r="N26" s="150">
        <v>1475820000</v>
      </c>
      <c r="O26" s="150">
        <v>5.63</v>
      </c>
      <c r="P26" s="150">
        <v>196</v>
      </c>
      <c r="Q26" s="150">
        <v>2.5299999999999998</v>
      </c>
    </row>
    <row r="27" spans="1:17" x14ac:dyDescent="0.25">
      <c r="A27" s="150">
        <v>37.51</v>
      </c>
      <c r="B27" s="150">
        <v>0.08</v>
      </c>
      <c r="C27" s="150">
        <v>33.78</v>
      </c>
      <c r="D27" s="165">
        <v>42650.041666666664</v>
      </c>
      <c r="E27" s="150">
        <v>0.86</v>
      </c>
      <c r="F27" s="150" t="s">
        <v>820</v>
      </c>
      <c r="G27" s="150">
        <v>313.01</v>
      </c>
      <c r="H27" s="150">
        <v>0</v>
      </c>
      <c r="I27" s="150">
        <v>0</v>
      </c>
      <c r="K27" s="150">
        <v>1025.02</v>
      </c>
      <c r="L27" s="150" t="s">
        <v>222</v>
      </c>
      <c r="M27" s="150">
        <v>37.51</v>
      </c>
      <c r="N27" s="150">
        <v>1475823600</v>
      </c>
      <c r="O27" s="150">
        <v>5.75</v>
      </c>
      <c r="P27" s="150">
        <v>196</v>
      </c>
      <c r="Q27" s="150">
        <v>2.2799999999999998</v>
      </c>
    </row>
    <row r="28" spans="1:17" x14ac:dyDescent="0.25">
      <c r="A28" s="150">
        <v>36.590000000000003</v>
      </c>
      <c r="B28" s="150">
        <v>0.04</v>
      </c>
      <c r="C28" s="150">
        <v>32.69</v>
      </c>
      <c r="D28" s="165">
        <v>42650.083333333336</v>
      </c>
      <c r="E28" s="150">
        <v>0.86</v>
      </c>
      <c r="F28" s="150" t="s">
        <v>820</v>
      </c>
      <c r="G28" s="150">
        <v>312.42</v>
      </c>
      <c r="H28" s="150">
        <v>0</v>
      </c>
      <c r="I28" s="150">
        <v>0</v>
      </c>
      <c r="K28" s="150">
        <v>1025.0999999999999</v>
      </c>
      <c r="L28" s="150" t="s">
        <v>222</v>
      </c>
      <c r="M28" s="150">
        <v>36.590000000000003</v>
      </c>
      <c r="N28" s="150">
        <v>1475827200</v>
      </c>
      <c r="O28" s="150">
        <v>5.78</v>
      </c>
      <c r="P28" s="150">
        <v>212</v>
      </c>
      <c r="Q28" s="150">
        <v>2.52</v>
      </c>
    </row>
    <row r="29" spans="1:17" x14ac:dyDescent="0.25">
      <c r="A29" s="150">
        <v>35.44</v>
      </c>
      <c r="B29" s="150">
        <v>0.04</v>
      </c>
      <c r="C29" s="150">
        <v>31.45</v>
      </c>
      <c r="D29" s="165">
        <v>42650.125</v>
      </c>
      <c r="E29" s="150">
        <v>0.85</v>
      </c>
      <c r="F29" s="150" t="s">
        <v>820</v>
      </c>
      <c r="G29" s="150">
        <v>311.82</v>
      </c>
      <c r="H29" s="150">
        <v>0</v>
      </c>
      <c r="I29" s="150">
        <v>0</v>
      </c>
      <c r="K29" s="150">
        <v>1025.18</v>
      </c>
      <c r="L29" s="150" t="s">
        <v>222</v>
      </c>
      <c r="M29" s="150">
        <v>35.44</v>
      </c>
      <c r="N29" s="150">
        <v>1475830800</v>
      </c>
      <c r="O29" s="150">
        <v>6.22</v>
      </c>
      <c r="P29" s="150">
        <v>224</v>
      </c>
      <c r="Q29" s="150">
        <v>2.61</v>
      </c>
    </row>
    <row r="31" spans="1:17" x14ac:dyDescent="0.25">
      <c r="A31" s="150" t="s">
        <v>823</v>
      </c>
    </row>
    <row r="33" spans="1:1" x14ac:dyDescent="0.25">
      <c r="A33" s="150" t="s">
        <v>189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B12" sqref="B12"/>
    </sheetView>
  </sheetViews>
  <sheetFormatPr defaultRowHeight="15" x14ac:dyDescent="0.25"/>
  <cols>
    <col min="1" max="1" width="32.140625" customWidth="1"/>
    <col min="3" max="3" width="24" style="72" customWidth="1"/>
    <col min="4" max="4" width="19.140625" style="72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5" t="s">
        <v>107</v>
      </c>
      <c r="D1" s="176" t="s">
        <v>108</v>
      </c>
      <c r="J1" s="34" t="s">
        <v>109</v>
      </c>
      <c r="K1" s="34" t="s">
        <v>72</v>
      </c>
      <c r="L1" s="34" t="s">
        <v>73</v>
      </c>
      <c r="O1" s="73" t="s">
        <v>110</v>
      </c>
    </row>
    <row r="2" spans="1:16" ht="15.75" thickBot="1" x14ac:dyDescent="0.3">
      <c r="A2" s="14">
        <v>42649</v>
      </c>
      <c r="B2" s="4"/>
      <c r="C2" s="177">
        <v>50</v>
      </c>
      <c r="D2" s="178">
        <v>25</v>
      </c>
      <c r="F2" t="s">
        <v>122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0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5" t="s">
        <v>107</v>
      </c>
      <c r="D4" s="176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10">
        <f t="shared" si="0"/>
        <v>3.09</v>
      </c>
    </row>
    <row r="5" spans="1:16" x14ac:dyDescent="0.25">
      <c r="C5" s="72">
        <v>30</v>
      </c>
      <c r="D5" s="72">
        <v>9</v>
      </c>
      <c r="J5" s="35" t="s">
        <v>76</v>
      </c>
      <c r="K5" s="36">
        <v>3.3136000000000001</v>
      </c>
      <c r="L5" s="36">
        <v>3.3256999999999999</v>
      </c>
      <c r="M5" s="110">
        <f t="shared" si="0"/>
        <v>3.3196500000000002</v>
      </c>
    </row>
    <row r="6" spans="1:16" x14ac:dyDescent="0.25">
      <c r="F6" t="s">
        <v>123</v>
      </c>
      <c r="J6" s="35" t="s">
        <v>77</v>
      </c>
      <c r="K6" s="36">
        <v>4.2778999999999998</v>
      </c>
      <c r="L6" s="36">
        <v>4.2961</v>
      </c>
      <c r="M6" s="110">
        <f t="shared" si="0"/>
        <v>4.2869999999999999</v>
      </c>
    </row>
    <row r="7" spans="1:16" x14ac:dyDescent="0.25">
      <c r="F7" t="s">
        <v>124</v>
      </c>
      <c r="J7" s="35" t="s">
        <v>78</v>
      </c>
      <c r="K7" s="36">
        <v>4.7865000000000002</v>
      </c>
      <c r="L7" s="36">
        <v>4.8048000000000002</v>
      </c>
      <c r="M7" s="110">
        <f t="shared" si="0"/>
        <v>4.7956500000000002</v>
      </c>
    </row>
    <row r="8" spans="1:16" x14ac:dyDescent="0.25">
      <c r="F8" t="s">
        <v>125</v>
      </c>
      <c r="J8" s="35" t="s">
        <v>79</v>
      </c>
      <c r="K8" s="36">
        <v>5.3155000000000001</v>
      </c>
      <c r="L8" s="36">
        <v>5.3277000000000001</v>
      </c>
      <c r="M8" s="11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229</v>
      </c>
    </row>
    <row r="21" spans="10:13" x14ac:dyDescent="0.25">
      <c r="J21" s="23" t="s">
        <v>97</v>
      </c>
      <c r="K21" s="23" t="s">
        <v>98</v>
      </c>
      <c r="M21" s="70" t="s">
        <v>237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2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160</v>
      </c>
      <c r="M25" s="70" t="b">
        <v>1</v>
      </c>
    </row>
    <row r="26" spans="10:13" x14ac:dyDescent="0.25">
      <c r="J26" t="s">
        <v>161</v>
      </c>
      <c r="M26" s="70" t="str">
        <f>"C:\Users\stu\Documents\GitHub\eaglep3-reporting\EC\"&amp;TEXT(A2,"yyyy-mm-dd")&amp;"-refined-times.txt"</f>
        <v>C:\Users\stu\Documents\GitHub\eaglep3-reporting\EC\2016-10-06-refined-times.txt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24" bestFit="1" customWidth="1"/>
    <col min="2" max="7" width="9.140625" style="124"/>
    <col min="8" max="8" width="17.7109375" style="124" bestFit="1" customWidth="1"/>
    <col min="9" max="9" width="9.140625" style="126"/>
    <col min="10" max="16384" width="9.140625" style="124"/>
  </cols>
  <sheetData>
    <row r="1" spans="1:11" x14ac:dyDescent="0.25">
      <c r="A1" s="123" t="s">
        <v>131</v>
      </c>
      <c r="B1" s="123" t="s">
        <v>132</v>
      </c>
      <c r="C1" s="124" t="s">
        <v>133</v>
      </c>
      <c r="H1" t="s">
        <v>127</v>
      </c>
      <c r="I1" s="125" t="s">
        <v>129</v>
      </c>
      <c r="J1"/>
    </row>
    <row r="2" spans="1:11" x14ac:dyDescent="0.25">
      <c r="A2" s="124" t="s">
        <v>134</v>
      </c>
      <c r="B2" s="124" t="s">
        <v>135</v>
      </c>
      <c r="C2" s="124" t="s">
        <v>136</v>
      </c>
      <c r="H2" t="s">
        <v>128</v>
      </c>
      <c r="I2" s="110" t="s">
        <v>130</v>
      </c>
      <c r="J2"/>
    </row>
    <row r="3" spans="1:11" x14ac:dyDescent="0.25">
      <c r="A3" s="124" t="s">
        <v>137</v>
      </c>
      <c r="B3" s="124" t="s">
        <v>138</v>
      </c>
      <c r="C3" s="124" t="s">
        <v>139</v>
      </c>
      <c r="H3" t="s">
        <v>153</v>
      </c>
      <c r="I3" s="110">
        <v>1</v>
      </c>
      <c r="J3"/>
      <c r="K3" s="70"/>
    </row>
    <row r="4" spans="1:11" x14ac:dyDescent="0.25">
      <c r="A4" s="124" t="s">
        <v>140</v>
      </c>
      <c r="C4" s="124" t="s">
        <v>141</v>
      </c>
      <c r="H4" t="s">
        <v>154</v>
      </c>
      <c r="I4" s="110">
        <v>2</v>
      </c>
      <c r="J4"/>
      <c r="K4" s="70"/>
    </row>
    <row r="5" spans="1:11" x14ac:dyDescent="0.25">
      <c r="A5" s="124" t="s">
        <v>142</v>
      </c>
      <c r="C5" s="124" t="s">
        <v>143</v>
      </c>
      <c r="H5" t="s">
        <v>155</v>
      </c>
      <c r="I5" s="110">
        <v>23</v>
      </c>
      <c r="J5"/>
      <c r="K5" s="70"/>
    </row>
    <row r="6" spans="1:11" x14ac:dyDescent="0.25">
      <c r="A6" s="124" t="s">
        <v>144</v>
      </c>
      <c r="C6" s="124" t="s">
        <v>145</v>
      </c>
      <c r="H6" s="127" t="s">
        <v>156</v>
      </c>
      <c r="I6" s="128" t="s">
        <v>135</v>
      </c>
    </row>
    <row r="7" spans="1:11" x14ac:dyDescent="0.25">
      <c r="A7" s="124" t="s">
        <v>146</v>
      </c>
      <c r="C7" s="124" t="s">
        <v>147</v>
      </c>
    </row>
    <row r="8" spans="1:11" x14ac:dyDescent="0.25">
      <c r="C8" s="124" t="s">
        <v>148</v>
      </c>
    </row>
    <row r="9" spans="1:11" x14ac:dyDescent="0.25">
      <c r="C9" s="127" t="s">
        <v>207</v>
      </c>
    </row>
    <row r="10" spans="1:11" x14ac:dyDescent="0.25">
      <c r="C10" s="124" t="s">
        <v>149</v>
      </c>
    </row>
    <row r="11" spans="1:11" x14ac:dyDescent="0.25">
      <c r="C11" s="124" t="s">
        <v>150</v>
      </c>
    </row>
    <row r="12" spans="1:11" x14ac:dyDescent="0.25">
      <c r="C12" s="124" t="s">
        <v>151</v>
      </c>
    </row>
    <row r="13" spans="1:11" x14ac:dyDescent="0.25">
      <c r="C13" s="124" t="s">
        <v>152</v>
      </c>
    </row>
    <row r="14" spans="1:11" x14ac:dyDescent="0.25">
      <c r="C14" s="127" t="s">
        <v>208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2016-10-10T13:12:21Z</dcterms:modified>
</cp:coreProperties>
</file>