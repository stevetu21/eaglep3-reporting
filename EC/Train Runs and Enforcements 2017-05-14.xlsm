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Enforcements!$A$6:$AC$61</definedName>
    <definedName name="_xlnm._FilterDatabase" localSheetId="2" hidden="1">'Missing Trips'!$A$2:$J$76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1" i="1" l="1"/>
  <c r="X72" i="1"/>
  <c r="X73" i="1"/>
  <c r="X74" i="1"/>
  <c r="P71" i="1"/>
  <c r="K71" i="1"/>
  <c r="L71" i="1"/>
  <c r="M71" i="1"/>
  <c r="T71" i="1"/>
  <c r="V71" i="1"/>
  <c r="Y71" i="1"/>
  <c r="Z71" i="1"/>
  <c r="AA71" i="1"/>
  <c r="W71" i="1" s="1"/>
  <c r="AB71" i="1"/>
  <c r="AC71" i="1"/>
  <c r="AD71" i="1"/>
  <c r="AE71" i="1"/>
  <c r="AF71" i="1"/>
  <c r="AG71" i="1"/>
  <c r="AH71" i="1"/>
  <c r="AM71" i="1"/>
  <c r="AN71" i="1"/>
  <c r="P57" i="1"/>
  <c r="X58" i="1"/>
  <c r="K57" i="1"/>
  <c r="L57" i="1"/>
  <c r="M57" i="1"/>
  <c r="V57" i="1"/>
  <c r="AA57" i="1"/>
  <c r="AB57" i="1"/>
  <c r="AC57" i="1"/>
  <c r="AD57" i="1"/>
  <c r="T57" i="1" s="1"/>
  <c r="AE57" i="1"/>
  <c r="AF57" i="1"/>
  <c r="AH57" i="1"/>
  <c r="AM57" i="1"/>
  <c r="AN57" i="1"/>
  <c r="K56" i="1"/>
  <c r="L56" i="1"/>
  <c r="M56" i="1"/>
  <c r="N56" i="1" s="1"/>
  <c r="V56" i="1"/>
  <c r="Y56" i="1"/>
  <c r="Z56" i="1"/>
  <c r="AA56" i="1" s="1"/>
  <c r="W56" i="1" s="1"/>
  <c r="AB56" i="1"/>
  <c r="AC56" i="1"/>
  <c r="AD56" i="1"/>
  <c r="T56" i="1" s="1"/>
  <c r="AE56" i="1"/>
  <c r="AF56" i="1"/>
  <c r="AG56" i="1"/>
  <c r="U56" i="1" s="1"/>
  <c r="S56" i="1" s="1"/>
  <c r="AH56" i="1"/>
  <c r="AI56" i="1"/>
  <c r="AM56" i="1"/>
  <c r="AN56" i="1"/>
  <c r="R12" i="3"/>
  <c r="R13" i="3"/>
  <c r="R14" i="3"/>
  <c r="U71" i="1" l="1"/>
  <c r="S71" i="1" s="1"/>
  <c r="AI71" i="1"/>
  <c r="AG57" i="1"/>
  <c r="X57" i="1"/>
  <c r="X56" i="1"/>
  <c r="AI57" i="1" l="1"/>
  <c r="U57" i="1"/>
  <c r="S57" i="1" s="1"/>
  <c r="W57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11" i="3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R26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R34" i="3" s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S24" i="3" s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10" i="3" s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S20" i="3" s="1"/>
  <c r="Y41" i="1"/>
  <c r="Z41" i="1"/>
  <c r="AB41" i="1"/>
  <c r="AC41" i="1"/>
  <c r="AD41" i="1"/>
  <c r="T41" i="1" s="1"/>
  <c r="AE41" i="1"/>
  <c r="R20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R28" i="3" s="1"/>
  <c r="AF43" i="1"/>
  <c r="AH43" i="1"/>
  <c r="AM43" i="1"/>
  <c r="AN43" i="1"/>
  <c r="K44" i="1"/>
  <c r="L44" i="1"/>
  <c r="M44" i="1"/>
  <c r="N44" i="1" s="1"/>
  <c r="V44" i="1"/>
  <c r="S9" i="3" s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S29" i="3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R30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R18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S7" i="3" s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2" i="1"/>
  <c r="L72" i="1"/>
  <c r="M72" i="1"/>
  <c r="N72" i="1" s="1"/>
  <c r="V72" i="1"/>
  <c r="S33" i="3" s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35" i="3" s="1"/>
  <c r="AF81" i="1"/>
  <c r="AH81" i="1"/>
  <c r="AM81" i="1"/>
  <c r="AN81" i="1"/>
  <c r="K82" i="1"/>
  <c r="L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V83" i="1"/>
  <c r="Y83" i="1"/>
  <c r="Z83" i="1"/>
  <c r="AB83" i="1"/>
  <c r="AC83" i="1"/>
  <c r="AD83" i="1"/>
  <c r="AG83" i="1" s="1"/>
  <c r="AE83" i="1"/>
  <c r="R27" i="3" s="1"/>
  <c r="AF83" i="1"/>
  <c r="AH83" i="1"/>
  <c r="AM83" i="1"/>
  <c r="AN83" i="1"/>
  <c r="K84" i="1"/>
  <c r="L84" i="1"/>
  <c r="M84" i="1"/>
  <c r="N84" i="1" s="1"/>
  <c r="T84" i="1"/>
  <c r="V84" i="1"/>
  <c r="S36" i="3" s="1"/>
  <c r="Y84" i="1"/>
  <c r="Z84" i="1"/>
  <c r="AB84" i="1"/>
  <c r="AC84" i="1"/>
  <c r="AD84" i="1"/>
  <c r="AG84" i="1" s="1"/>
  <c r="AE84" i="1"/>
  <c r="R36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15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S19" i="3" s="1"/>
  <c r="Y93" i="1"/>
  <c r="Z93" i="1"/>
  <c r="AB93" i="1"/>
  <c r="AC93" i="1"/>
  <c r="AD93" i="1"/>
  <c r="T93" i="1" s="1"/>
  <c r="AE93" i="1"/>
  <c r="R19" i="3" s="1"/>
  <c r="AF93" i="1"/>
  <c r="AH93" i="1"/>
  <c r="AM93" i="1"/>
  <c r="AN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94" i="1"/>
  <c r="AM94" i="1"/>
  <c r="AN94" i="1"/>
  <c r="K158" i="1"/>
  <c r="L158" i="1"/>
  <c r="M158" i="1"/>
  <c r="P158" i="1" s="1"/>
  <c r="V158" i="1"/>
  <c r="S43" i="3" s="1"/>
  <c r="Y158" i="1"/>
  <c r="Z158" i="1"/>
  <c r="AB158" i="1"/>
  <c r="AC158" i="1"/>
  <c r="AD158" i="1"/>
  <c r="AE158" i="1"/>
  <c r="AF158" i="1"/>
  <c r="AH95" i="1"/>
  <c r="AM95" i="1"/>
  <c r="AN95" i="1"/>
  <c r="K159" i="1"/>
  <c r="L159" i="1"/>
  <c r="M159" i="1"/>
  <c r="P159" i="1" s="1"/>
  <c r="V159" i="1"/>
  <c r="S42" i="3" s="1"/>
  <c r="Y159" i="1"/>
  <c r="Z159" i="1"/>
  <c r="AB159" i="1"/>
  <c r="AC159" i="1"/>
  <c r="AD159" i="1"/>
  <c r="AE159" i="1"/>
  <c r="AF159" i="1"/>
  <c r="AH96" i="1"/>
  <c r="AM96" i="1"/>
  <c r="AN96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7" i="1"/>
  <c r="AM97" i="1"/>
  <c r="AN97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8" i="1"/>
  <c r="AM98" i="1"/>
  <c r="AN98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9" i="1"/>
  <c r="AM99" i="1"/>
  <c r="AN9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00" i="1"/>
  <c r="AM100" i="1"/>
  <c r="AN10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1" i="1"/>
  <c r="AM101" i="1"/>
  <c r="AN10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2" i="1"/>
  <c r="AM102" i="1"/>
  <c r="AN10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3" i="1"/>
  <c r="AM103" i="1"/>
  <c r="AN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AM104" i="1"/>
  <c r="AN104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05" i="1"/>
  <c r="AM105" i="1"/>
  <c r="AN10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6" i="1"/>
  <c r="AM106" i="1"/>
  <c r="AN106" i="1"/>
  <c r="K169" i="1"/>
  <c r="L169" i="1"/>
  <c r="M169" i="1"/>
  <c r="N169" i="1" s="1"/>
  <c r="V169" i="1"/>
  <c r="S44" i="3" s="1"/>
  <c r="Y169" i="1"/>
  <c r="Z169" i="1"/>
  <c r="AB169" i="1"/>
  <c r="AC169" i="1"/>
  <c r="AD169" i="1"/>
  <c r="AE169" i="1"/>
  <c r="R44" i="3" s="1"/>
  <c r="AF169" i="1"/>
  <c r="AH107" i="1"/>
  <c r="AM107" i="1"/>
  <c r="AN107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8" i="1"/>
  <c r="AM108" i="1"/>
  <c r="AN10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9" i="1"/>
  <c r="AM109" i="1"/>
  <c r="AN1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10" i="1"/>
  <c r="AM110" i="1"/>
  <c r="AN11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1" i="1"/>
  <c r="AM111" i="1"/>
  <c r="AN11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12" i="1"/>
  <c r="AM112" i="1"/>
  <c r="AN11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3" i="1"/>
  <c r="AM113" i="1"/>
  <c r="AN11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5" i="1"/>
  <c r="AM115" i="1"/>
  <c r="AN11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6" i="1"/>
  <c r="AM116" i="1"/>
  <c r="AN116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7" i="1"/>
  <c r="AM117" i="1"/>
  <c r="AN11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8" i="1"/>
  <c r="AM118" i="1"/>
  <c r="AN11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9" i="1"/>
  <c r="AM119" i="1"/>
  <c r="AN11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20" i="1"/>
  <c r="AM120" i="1"/>
  <c r="AN12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21" i="1"/>
  <c r="AM121" i="1"/>
  <c r="AN12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2" i="1"/>
  <c r="AM122" i="1"/>
  <c r="AN12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3" i="1"/>
  <c r="AM123" i="1"/>
  <c r="AN12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4" i="1"/>
  <c r="AM124" i="1"/>
  <c r="AN124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5" i="1"/>
  <c r="AM125" i="1"/>
  <c r="AN125" i="1"/>
  <c r="K96" i="1"/>
  <c r="L96" i="1"/>
  <c r="M96" i="1"/>
  <c r="N96" i="1" s="1"/>
  <c r="V96" i="1"/>
  <c r="S37" i="3" s="1"/>
  <c r="Y96" i="1"/>
  <c r="Z96" i="1"/>
  <c r="AB96" i="1"/>
  <c r="AC96" i="1"/>
  <c r="AD96" i="1"/>
  <c r="T96" i="1" s="1"/>
  <c r="AE96" i="1"/>
  <c r="AF96" i="1"/>
  <c r="AH126" i="1"/>
  <c r="AM126" i="1"/>
  <c r="AN12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7" i="1"/>
  <c r="AM127" i="1"/>
  <c r="AN12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8" i="1"/>
  <c r="AM128" i="1"/>
  <c r="AN12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9" i="1"/>
  <c r="AM129" i="1"/>
  <c r="AN12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S23" i="3" s="1"/>
  <c r="Y99" i="1"/>
  <c r="Z99" i="1"/>
  <c r="AB99" i="1"/>
  <c r="AC99" i="1"/>
  <c r="AD99" i="1"/>
  <c r="AG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S39" i="3" s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7" i="1"/>
  <c r="AM137" i="1"/>
  <c r="AN13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38" i="1"/>
  <c r="AM138" i="1"/>
  <c r="AN13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0" i="1"/>
  <c r="AM140" i="1"/>
  <c r="AN140" i="1"/>
  <c r="K105" i="1"/>
  <c r="L105" i="1"/>
  <c r="M105" i="1"/>
  <c r="N105" i="1" s="1"/>
  <c r="V105" i="1"/>
  <c r="S12" i="3" s="1"/>
  <c r="Y105" i="1"/>
  <c r="Z105" i="1"/>
  <c r="AB105" i="1"/>
  <c r="AC105" i="1"/>
  <c r="AD105" i="1"/>
  <c r="AG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A108" i="1" s="1"/>
  <c r="AB108" i="1"/>
  <c r="AC108" i="1"/>
  <c r="AD108" i="1"/>
  <c r="T108" i="1" s="1"/>
  <c r="AE108" i="1"/>
  <c r="AF108" i="1"/>
  <c r="AH144" i="1"/>
  <c r="AM144" i="1"/>
  <c r="AN144" i="1"/>
  <c r="K109" i="1"/>
  <c r="L109" i="1"/>
  <c r="M109" i="1"/>
  <c r="N109" i="1"/>
  <c r="V109" i="1"/>
  <c r="Y109" i="1"/>
  <c r="Z109" i="1"/>
  <c r="AB109" i="1"/>
  <c r="AC109" i="1"/>
  <c r="AD109" i="1"/>
  <c r="AG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S22" i="3" s="1"/>
  <c r="Y112" i="1"/>
  <c r="Z112" i="1"/>
  <c r="AB112" i="1"/>
  <c r="AC112" i="1"/>
  <c r="AD112" i="1"/>
  <c r="T112" i="1" s="1"/>
  <c r="AE112" i="1"/>
  <c r="AF112" i="1"/>
  <c r="AH148" i="1"/>
  <c r="AM148" i="1"/>
  <c r="AN148" i="1"/>
  <c r="K113" i="1"/>
  <c r="L113" i="1"/>
  <c r="M113" i="1"/>
  <c r="N113" i="1" s="1"/>
  <c r="V113" i="1"/>
  <c r="S31" i="3" s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AM161" i="1"/>
  <c r="AN161" i="1"/>
  <c r="K127" i="1"/>
  <c r="L127" i="1"/>
  <c r="M127" i="1"/>
  <c r="N127" i="1" s="1"/>
  <c r="V127" i="1"/>
  <c r="S25" i="3" s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P134" i="1" s="1"/>
  <c r="V134" i="1"/>
  <c r="Y134" i="1"/>
  <c r="Z134" i="1"/>
  <c r="AB134" i="1"/>
  <c r="AC134" i="1"/>
  <c r="AD134" i="1"/>
  <c r="T134" i="1" s="1"/>
  <c r="AE134" i="1"/>
  <c r="AF134" i="1"/>
  <c r="AH169" i="1"/>
  <c r="AM169" i="1"/>
  <c r="AN169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S21" i="3" s="1"/>
  <c r="Y145" i="1"/>
  <c r="Z145" i="1"/>
  <c r="AB145" i="1"/>
  <c r="AC145" i="1"/>
  <c r="AD145" i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S14" i="3" s="1"/>
  <c r="Y147" i="1"/>
  <c r="Z147" i="1"/>
  <c r="AB147" i="1"/>
  <c r="AC147" i="1"/>
  <c r="AD147" i="1"/>
  <c r="AG147" i="1" s="1"/>
  <c r="AE147" i="1"/>
  <c r="AF147" i="1"/>
  <c r="AH182" i="1"/>
  <c r="AM182" i="1"/>
  <c r="AN182" i="1"/>
  <c r="K148" i="1"/>
  <c r="L148" i="1"/>
  <c r="M148" i="1"/>
  <c r="N148" i="1" s="1"/>
  <c r="V148" i="1"/>
  <c r="S13" i="3" s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V155" i="1"/>
  <c r="S41" i="3" s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X156" i="1" s="1"/>
  <c r="AE156" i="1"/>
  <c r="AF156" i="1"/>
  <c r="AH191" i="1"/>
  <c r="AM191" i="1"/>
  <c r="AN191" i="1"/>
  <c r="AH192" i="1"/>
  <c r="AM192" i="1"/>
  <c r="AN192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3" i="1"/>
  <c r="AM193" i="1"/>
  <c r="AN193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AM198" i="1"/>
  <c r="AN198" i="1"/>
  <c r="K197" i="1"/>
  <c r="L197" i="1"/>
  <c r="M197" i="1"/>
  <c r="N197" i="1" s="1"/>
  <c r="T197" i="1"/>
  <c r="V197" i="1"/>
  <c r="Y197" i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K212" i="1"/>
  <c r="L212" i="1"/>
  <c r="M212" i="1"/>
  <c r="N212" i="1" s="1"/>
  <c r="V212" i="1"/>
  <c r="S45" i="3" s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R45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M34" i="3"/>
  <c r="S34" i="3"/>
  <c r="U34" i="3"/>
  <c r="T34" i="3" s="1"/>
  <c r="V34" i="3"/>
  <c r="W34" i="3"/>
  <c r="X34" i="3"/>
  <c r="M24" i="3"/>
  <c r="R24" i="3"/>
  <c r="U24" i="3"/>
  <c r="T24" i="3" s="1"/>
  <c r="V24" i="3"/>
  <c r="W24" i="3"/>
  <c r="X24" i="3"/>
  <c r="M26" i="3"/>
  <c r="S26" i="3"/>
  <c r="U26" i="3"/>
  <c r="AC26" i="3" s="1"/>
  <c r="V26" i="3"/>
  <c r="W26" i="3"/>
  <c r="X26" i="3"/>
  <c r="M8" i="3"/>
  <c r="R8" i="3"/>
  <c r="S8" i="3"/>
  <c r="U8" i="3"/>
  <c r="AC8" i="3" s="1"/>
  <c r="V8" i="3"/>
  <c r="W8" i="3"/>
  <c r="X8" i="3"/>
  <c r="M43" i="3"/>
  <c r="R43" i="3"/>
  <c r="U43" i="3"/>
  <c r="T43" i="3" s="1"/>
  <c r="V43" i="3"/>
  <c r="W43" i="3"/>
  <c r="X43" i="3"/>
  <c r="AC43" i="3"/>
  <c r="M42" i="3"/>
  <c r="R42" i="3"/>
  <c r="U42" i="3"/>
  <c r="AC42" i="3" s="1"/>
  <c r="V42" i="3"/>
  <c r="W42" i="3"/>
  <c r="X42" i="3"/>
  <c r="M16" i="3"/>
  <c r="S16" i="3"/>
  <c r="U16" i="3"/>
  <c r="AC16" i="3" s="1"/>
  <c r="V16" i="3"/>
  <c r="W16" i="3"/>
  <c r="X16" i="3"/>
  <c r="M17" i="3"/>
  <c r="S17" i="3"/>
  <c r="U17" i="3"/>
  <c r="T17" i="3" s="1"/>
  <c r="V17" i="3"/>
  <c r="W17" i="3"/>
  <c r="X17" i="3"/>
  <c r="M20" i="3"/>
  <c r="U20" i="3"/>
  <c r="T20" i="3" s="1"/>
  <c r="V20" i="3"/>
  <c r="W20" i="3"/>
  <c r="X20" i="3"/>
  <c r="AC20" i="3"/>
  <c r="M10" i="3"/>
  <c r="R10" i="3"/>
  <c r="U10" i="3"/>
  <c r="AC10" i="3" s="1"/>
  <c r="V10" i="3"/>
  <c r="W10" i="3"/>
  <c r="X10" i="3"/>
  <c r="M28" i="3"/>
  <c r="S28" i="3"/>
  <c r="U28" i="3"/>
  <c r="AC28" i="3" s="1"/>
  <c r="V28" i="3"/>
  <c r="W28" i="3"/>
  <c r="X28" i="3"/>
  <c r="M9" i="3"/>
  <c r="R9" i="3"/>
  <c r="U9" i="3"/>
  <c r="AD9" i="3" s="1"/>
  <c r="V9" i="3"/>
  <c r="W9" i="3"/>
  <c r="X9" i="3"/>
  <c r="M29" i="3"/>
  <c r="R29" i="3"/>
  <c r="U29" i="3"/>
  <c r="T29" i="3" s="1"/>
  <c r="V29" i="3"/>
  <c r="W29" i="3"/>
  <c r="X29" i="3"/>
  <c r="AC29" i="3"/>
  <c r="M7" i="3"/>
  <c r="R7" i="3"/>
  <c r="U7" i="3"/>
  <c r="AC7" i="3" s="1"/>
  <c r="V7" i="3"/>
  <c r="W7" i="3"/>
  <c r="X7" i="3"/>
  <c r="M18" i="3"/>
  <c r="S18" i="3"/>
  <c r="U18" i="3"/>
  <c r="AC18" i="3" s="1"/>
  <c r="V18" i="3"/>
  <c r="W18" i="3"/>
  <c r="X18" i="3"/>
  <c r="M30" i="3"/>
  <c r="S30" i="3"/>
  <c r="U30" i="3"/>
  <c r="T30" i="3" s="1"/>
  <c r="V30" i="3"/>
  <c r="W30" i="3"/>
  <c r="X30" i="3"/>
  <c r="AC30" i="3"/>
  <c r="M44" i="3"/>
  <c r="U44" i="3"/>
  <c r="T44" i="3" s="1"/>
  <c r="V44" i="3"/>
  <c r="W44" i="3"/>
  <c r="X44" i="3"/>
  <c r="AC44" i="3"/>
  <c r="M33" i="3"/>
  <c r="R33" i="3"/>
  <c r="U33" i="3"/>
  <c r="V33" i="3"/>
  <c r="W33" i="3"/>
  <c r="X33" i="3"/>
  <c r="M35" i="3"/>
  <c r="S35" i="3"/>
  <c r="U35" i="3"/>
  <c r="AC35" i="3" s="1"/>
  <c r="V35" i="3"/>
  <c r="W35" i="3"/>
  <c r="X35" i="3"/>
  <c r="M36" i="3"/>
  <c r="U36" i="3"/>
  <c r="V36" i="3"/>
  <c r="W36" i="3"/>
  <c r="X36" i="3"/>
  <c r="AC36" i="3"/>
  <c r="M27" i="3"/>
  <c r="S27" i="3"/>
  <c r="U27" i="3"/>
  <c r="T27" i="3" s="1"/>
  <c r="V27" i="3"/>
  <c r="W27" i="3"/>
  <c r="X27" i="3"/>
  <c r="M15" i="3"/>
  <c r="S15" i="3"/>
  <c r="U15" i="3"/>
  <c r="V15" i="3"/>
  <c r="W15" i="3"/>
  <c r="X15" i="3"/>
  <c r="M37" i="3"/>
  <c r="R37" i="3"/>
  <c r="U37" i="3"/>
  <c r="AC37" i="3" s="1"/>
  <c r="V37" i="3"/>
  <c r="W37" i="3"/>
  <c r="X37" i="3"/>
  <c r="M19" i="3"/>
  <c r="U19" i="3"/>
  <c r="T19" i="3" s="1"/>
  <c r="V19" i="3"/>
  <c r="W19" i="3"/>
  <c r="X19" i="3"/>
  <c r="M38" i="3"/>
  <c r="R38" i="3"/>
  <c r="S38" i="3"/>
  <c r="U38" i="3"/>
  <c r="T38" i="3" s="1"/>
  <c r="V38" i="3"/>
  <c r="W38" i="3"/>
  <c r="X38" i="3"/>
  <c r="M39" i="3"/>
  <c r="R39" i="3"/>
  <c r="U39" i="3"/>
  <c r="V39" i="3"/>
  <c r="W39" i="3"/>
  <c r="X39" i="3"/>
  <c r="M23" i="3"/>
  <c r="R23" i="3"/>
  <c r="U23" i="3"/>
  <c r="AC23" i="3" s="1"/>
  <c r="V23" i="3"/>
  <c r="W23" i="3"/>
  <c r="X23" i="3"/>
  <c r="M22" i="3"/>
  <c r="R22" i="3"/>
  <c r="U22" i="3"/>
  <c r="T22" i="3" s="1"/>
  <c r="V22" i="3"/>
  <c r="W22" i="3"/>
  <c r="X22" i="3"/>
  <c r="AC22" i="3"/>
  <c r="M12" i="3"/>
  <c r="U12" i="3"/>
  <c r="T12" i="3" s="1"/>
  <c r="V12" i="3"/>
  <c r="W12" i="3"/>
  <c r="X12" i="3"/>
  <c r="AC12" i="3"/>
  <c r="M40" i="3"/>
  <c r="R40" i="3"/>
  <c r="S40" i="3"/>
  <c r="U40" i="3"/>
  <c r="V40" i="3"/>
  <c r="W40" i="3"/>
  <c r="X40" i="3"/>
  <c r="M31" i="3"/>
  <c r="R31" i="3"/>
  <c r="U31" i="3"/>
  <c r="AC31" i="3" s="1"/>
  <c r="V31" i="3"/>
  <c r="W31" i="3"/>
  <c r="X31" i="3"/>
  <c r="M45" i="3"/>
  <c r="U45" i="3"/>
  <c r="T45" i="3" s="1"/>
  <c r="V45" i="3"/>
  <c r="W45" i="3"/>
  <c r="X45" i="3"/>
  <c r="M25" i="3"/>
  <c r="R25" i="3"/>
  <c r="U25" i="3"/>
  <c r="T25" i="3" s="1"/>
  <c r="V25" i="3"/>
  <c r="W25" i="3"/>
  <c r="X25" i="3"/>
  <c r="AC25" i="3"/>
  <c r="M21" i="3"/>
  <c r="R21" i="3"/>
  <c r="U21" i="3"/>
  <c r="V21" i="3"/>
  <c r="W21" i="3"/>
  <c r="X21" i="3"/>
  <c r="M14" i="3"/>
  <c r="U14" i="3"/>
  <c r="AC14" i="3" s="1"/>
  <c r="V14" i="3"/>
  <c r="W14" i="3"/>
  <c r="X14" i="3"/>
  <c r="M13" i="3"/>
  <c r="U13" i="3"/>
  <c r="T13" i="3" s="1"/>
  <c r="V13" i="3"/>
  <c r="W13" i="3"/>
  <c r="X13" i="3"/>
  <c r="M32" i="3"/>
  <c r="R32" i="3"/>
  <c r="U32" i="3"/>
  <c r="T32" i="3" s="1"/>
  <c r="V32" i="3"/>
  <c r="W32" i="3"/>
  <c r="X32" i="3"/>
  <c r="AC32" i="3"/>
  <c r="M41" i="3"/>
  <c r="R41" i="3"/>
  <c r="U41" i="3"/>
  <c r="V41" i="3"/>
  <c r="W41" i="3"/>
  <c r="X41" i="3"/>
  <c r="AC9" i="3" l="1"/>
  <c r="AC27" i="3"/>
  <c r="AG131" i="1"/>
  <c r="X131" i="1"/>
  <c r="X29" i="1"/>
  <c r="X17" i="1"/>
  <c r="X106" i="1"/>
  <c r="T207" i="1"/>
  <c r="AA131" i="1"/>
  <c r="X204" i="1"/>
  <c r="AI189" i="1"/>
  <c r="AG96" i="1"/>
  <c r="X96" i="1"/>
  <c r="AA94" i="1"/>
  <c r="W94" i="1" s="1"/>
  <c r="AA42" i="1"/>
  <c r="W42" i="1" s="1"/>
  <c r="AG31" i="1"/>
  <c r="U31" i="1" s="1"/>
  <c r="S31" i="1" s="1"/>
  <c r="AA161" i="1"/>
  <c r="AA92" i="1"/>
  <c r="W92" i="1" s="1"/>
  <c r="T34" i="1"/>
  <c r="AD28" i="3"/>
  <c r="AD42" i="3"/>
  <c r="AA196" i="1"/>
  <c r="W196" i="1" s="1"/>
  <c r="AA192" i="1"/>
  <c r="W192" i="1" s="1"/>
  <c r="T205" i="1"/>
  <c r="AA181" i="1"/>
  <c r="W181" i="1" s="1"/>
  <c r="AA174" i="1"/>
  <c r="W174" i="1" s="1"/>
  <c r="X162" i="1"/>
  <c r="X160" i="1"/>
  <c r="T158" i="1"/>
  <c r="X158" i="1"/>
  <c r="AG90" i="1"/>
  <c r="AA17" i="1"/>
  <c r="T17" i="1"/>
  <c r="AA14" i="1"/>
  <c r="R16" i="3"/>
  <c r="R17" i="3"/>
  <c r="S32" i="3"/>
  <c r="AA216" i="1"/>
  <c r="T155" i="1"/>
  <c r="X155" i="1"/>
  <c r="AG134" i="1"/>
  <c r="AA121" i="1"/>
  <c r="AA117" i="1"/>
  <c r="W117" i="1" s="1"/>
  <c r="AA113" i="1"/>
  <c r="W113" i="1" s="1"/>
  <c r="AG163" i="1"/>
  <c r="AI163" i="1" s="1"/>
  <c r="X163" i="1"/>
  <c r="T161" i="1"/>
  <c r="X161" i="1"/>
  <c r="AG159" i="1"/>
  <c r="X159" i="1"/>
  <c r="T157" i="1"/>
  <c r="X157" i="1"/>
  <c r="AG17" i="1"/>
  <c r="AI17" i="1" s="1"/>
  <c r="X47" i="1"/>
  <c r="AC13" i="3"/>
  <c r="X100" i="1"/>
  <c r="X175" i="1"/>
  <c r="T94" i="1"/>
  <c r="U94" i="1" s="1"/>
  <c r="S94" i="1" s="1"/>
  <c r="X33" i="1"/>
  <c r="X43" i="1"/>
  <c r="AD34" i="3"/>
  <c r="Y44" i="3"/>
  <c r="Y34" i="3"/>
  <c r="AC38" i="3"/>
  <c r="Y41" i="3"/>
  <c r="X207" i="1"/>
  <c r="AA202" i="1"/>
  <c r="AA200" i="1"/>
  <c r="W200" i="1" s="1"/>
  <c r="X134" i="1"/>
  <c r="AA206" i="1"/>
  <c r="W206" i="1" s="1"/>
  <c r="T100" i="1"/>
  <c r="AA80" i="1"/>
  <c r="T42" i="1"/>
  <c r="U42" i="1" s="1"/>
  <c r="S42" i="1" s="1"/>
  <c r="AA39" i="1"/>
  <c r="T29" i="1"/>
  <c r="AA28" i="1"/>
  <c r="W28" i="1" s="1"/>
  <c r="AA24" i="1"/>
  <c r="W24" i="1" s="1"/>
  <c r="AA22" i="1"/>
  <c r="X44" i="1"/>
  <c r="Y37" i="3"/>
  <c r="AG206" i="1"/>
  <c r="U206" i="1" s="1"/>
  <c r="S206" i="1" s="1"/>
  <c r="AG100" i="1"/>
  <c r="X183" i="1"/>
  <c r="AG182" i="1"/>
  <c r="AI159" i="1"/>
  <c r="AG29" i="1"/>
  <c r="AI29" i="1" s="1"/>
  <c r="X46" i="1"/>
  <c r="X42" i="1"/>
  <c r="Y43" i="3"/>
  <c r="AA152" i="1"/>
  <c r="AA125" i="1"/>
  <c r="AA210" i="1"/>
  <c r="AA130" i="1"/>
  <c r="AI109" i="1"/>
  <c r="AA109" i="1"/>
  <c r="W109" i="1" s="1"/>
  <c r="X190" i="1"/>
  <c r="AI177" i="1"/>
  <c r="AA177" i="1"/>
  <c r="W177" i="1" s="1"/>
  <c r="AA170" i="1"/>
  <c r="W170" i="1" s="1"/>
  <c r="AG161" i="1"/>
  <c r="AI161" i="1" s="1"/>
  <c r="AA90" i="1"/>
  <c r="W90" i="1" s="1"/>
  <c r="AI86" i="1"/>
  <c r="AA84" i="1"/>
  <c r="W84" i="1" s="1"/>
  <c r="N82" i="1"/>
  <c r="AA64" i="1"/>
  <c r="X51" i="1"/>
  <c r="AG46" i="1"/>
  <c r="U46" i="1" s="1"/>
  <c r="S46" i="1" s="1"/>
  <c r="X45" i="1"/>
  <c r="X41" i="1"/>
  <c r="T83" i="1"/>
  <c r="U83" i="1" s="1"/>
  <c r="AA82" i="1"/>
  <c r="AA83" i="1"/>
  <c r="X84" i="1"/>
  <c r="AC45" i="3"/>
  <c r="Y45" i="3"/>
  <c r="AD45" i="3"/>
  <c r="Y33" i="3"/>
  <c r="AC19" i="3"/>
  <c r="AD30" i="3"/>
  <c r="Y28" i="3"/>
  <c r="AC17" i="3"/>
  <c r="AD29" i="3"/>
  <c r="AD24" i="3"/>
  <c r="AE24" i="3"/>
  <c r="AD36" i="3"/>
  <c r="Y39" i="3"/>
  <c r="AD26" i="3"/>
  <c r="Y7" i="3"/>
  <c r="Y17" i="3"/>
  <c r="Y16" i="3"/>
  <c r="Y24" i="3"/>
  <c r="Y21" i="3"/>
  <c r="AE40" i="3"/>
  <c r="Y13" i="3"/>
  <c r="Y14" i="3"/>
  <c r="Y15" i="3"/>
  <c r="Y18" i="3"/>
  <c r="AD16" i="3"/>
  <c r="AE16" i="3"/>
  <c r="Y26" i="3"/>
  <c r="Y40" i="3"/>
  <c r="AC15" i="3"/>
  <c r="Y27" i="3"/>
  <c r="AD20" i="3"/>
  <c r="AE20" i="3"/>
  <c r="AC24" i="3"/>
  <c r="AA214" i="1"/>
  <c r="W214" i="1" s="1"/>
  <c r="X211" i="1"/>
  <c r="X201" i="1"/>
  <c r="AG193" i="1"/>
  <c r="X193" i="1"/>
  <c r="AA153" i="1"/>
  <c r="AI181" i="1"/>
  <c r="X138" i="1"/>
  <c r="AG130" i="1"/>
  <c r="X130" i="1"/>
  <c r="AG123" i="1"/>
  <c r="U123" i="1" s="1"/>
  <c r="S123" i="1" s="1"/>
  <c r="X123" i="1"/>
  <c r="X122" i="1"/>
  <c r="AG111" i="1"/>
  <c r="X111" i="1"/>
  <c r="T106" i="1"/>
  <c r="U205" i="1"/>
  <c r="S205" i="1" s="1"/>
  <c r="X103" i="1"/>
  <c r="AA99" i="1"/>
  <c r="W99" i="1" s="1"/>
  <c r="AA97" i="1"/>
  <c r="AA188" i="1"/>
  <c r="AA185" i="1"/>
  <c r="AA182" i="1"/>
  <c r="W182" i="1" s="1"/>
  <c r="AA178" i="1"/>
  <c r="T174" i="1"/>
  <c r="U174" i="1" s="1"/>
  <c r="S174" i="1" s="1"/>
  <c r="AA168" i="1"/>
  <c r="AA163" i="1"/>
  <c r="W163" i="1" s="1"/>
  <c r="T160" i="1"/>
  <c r="AG157" i="1"/>
  <c r="AI157" i="1" s="1"/>
  <c r="AG93" i="1"/>
  <c r="AI93" i="1" s="1"/>
  <c r="X93" i="1"/>
  <c r="T80" i="1"/>
  <c r="T79" i="1"/>
  <c r="U79" i="1" s="1"/>
  <c r="S79" i="1" s="1"/>
  <c r="AA78" i="1"/>
  <c r="AA48" i="1"/>
  <c r="W48" i="1" s="1"/>
  <c r="X21" i="1"/>
  <c r="AA19" i="1"/>
  <c r="X210" i="1"/>
  <c r="T190" i="1"/>
  <c r="Y31" i="3"/>
  <c r="Y10" i="3"/>
  <c r="X219" i="1"/>
  <c r="X178" i="1"/>
  <c r="T177" i="1"/>
  <c r="T167" i="1"/>
  <c r="AE36" i="3"/>
  <c r="AA218" i="1"/>
  <c r="W218" i="1" s="1"/>
  <c r="AA198" i="1"/>
  <c r="AA191" i="1"/>
  <c r="AA154" i="1"/>
  <c r="AA150" i="1"/>
  <c r="AG136" i="1"/>
  <c r="AA126" i="1"/>
  <c r="W126" i="1" s="1"/>
  <c r="AI117" i="1"/>
  <c r="AI113" i="1"/>
  <c r="AA111" i="1"/>
  <c r="AG106" i="1"/>
  <c r="AI106" i="1" s="1"/>
  <c r="AA102" i="1"/>
  <c r="AA98" i="1"/>
  <c r="AA186" i="1"/>
  <c r="W186" i="1" s="1"/>
  <c r="AA184" i="1"/>
  <c r="AG168" i="1"/>
  <c r="W168" i="1" s="1"/>
  <c r="AG160" i="1"/>
  <c r="AA157" i="1"/>
  <c r="AA91" i="1"/>
  <c r="AA88" i="1"/>
  <c r="AA75" i="1"/>
  <c r="AA70" i="1"/>
  <c r="AA66" i="1"/>
  <c r="W66" i="1" s="1"/>
  <c r="AA62" i="1"/>
  <c r="W62" i="1" s="1"/>
  <c r="AA58" i="1"/>
  <c r="W58" i="1" s="1"/>
  <c r="AA53" i="1"/>
  <c r="W53" i="1" s="1"/>
  <c r="T28" i="1"/>
  <c r="U28" i="1" s="1"/>
  <c r="S28" i="1" s="1"/>
  <c r="AA27" i="1"/>
  <c r="X26" i="1"/>
  <c r="T21" i="1"/>
  <c r="AA20" i="1"/>
  <c r="W20" i="1" s="1"/>
  <c r="AA16" i="1"/>
  <c r="U134" i="1"/>
  <c r="S134" i="1" s="1"/>
  <c r="X118" i="1"/>
  <c r="AA112" i="1"/>
  <c r="T110" i="1"/>
  <c r="AG107" i="1"/>
  <c r="U107" i="1" s="1"/>
  <c r="S107" i="1" s="1"/>
  <c r="X107" i="1"/>
  <c r="AI105" i="1"/>
  <c r="AA105" i="1"/>
  <c r="W105" i="1" s="1"/>
  <c r="AA103" i="1"/>
  <c r="W103" i="1" s="1"/>
  <c r="AG101" i="1"/>
  <c r="AA189" i="1"/>
  <c r="W189" i="1" s="1"/>
  <c r="AG187" i="1"/>
  <c r="AI187" i="1" s="1"/>
  <c r="AA158" i="1"/>
  <c r="AG89" i="1"/>
  <c r="U89" i="1" s="1"/>
  <c r="S89" i="1" s="1"/>
  <c r="X89" i="1"/>
  <c r="AA87" i="1"/>
  <c r="AG37" i="1"/>
  <c r="AI37" i="1" s="1"/>
  <c r="X37" i="1"/>
  <c r="X36" i="1"/>
  <c r="AA34" i="1"/>
  <c r="W34" i="1" s="1"/>
  <c r="AA33" i="1"/>
  <c r="X215" i="1"/>
  <c r="AG212" i="1"/>
  <c r="AI212" i="1" s="1"/>
  <c r="X197" i="1"/>
  <c r="AA156" i="1"/>
  <c r="AA144" i="1"/>
  <c r="AA142" i="1"/>
  <c r="W142" i="1" s="1"/>
  <c r="AA137" i="1"/>
  <c r="AA136" i="1"/>
  <c r="AG127" i="1"/>
  <c r="U127" i="1" s="1"/>
  <c r="X127" i="1"/>
  <c r="U111" i="1"/>
  <c r="S111" i="1" s="1"/>
  <c r="AG190" i="1"/>
  <c r="U190" i="1" s="1"/>
  <c r="S190" i="1" s="1"/>
  <c r="X189" i="1"/>
  <c r="X174" i="1"/>
  <c r="X94" i="1"/>
  <c r="AA159" i="1"/>
  <c r="W159" i="1" s="1"/>
  <c r="X80" i="1"/>
  <c r="X76" i="1"/>
  <c r="X67" i="1"/>
  <c r="AA50" i="1"/>
  <c r="AA46" i="1"/>
  <c r="AG44" i="1"/>
  <c r="AI44" i="1" s="1"/>
  <c r="AA41" i="1"/>
  <c r="AG39" i="1"/>
  <c r="AA26" i="1"/>
  <c r="W26" i="1" s="1"/>
  <c r="T26" i="1"/>
  <c r="AG25" i="1"/>
  <c r="AI25" i="1" s="1"/>
  <c r="X25" i="1"/>
  <c r="AA18" i="1"/>
  <c r="X16" i="1"/>
  <c r="X15" i="1"/>
  <c r="T151" i="1"/>
  <c r="U151" i="1" s="1"/>
  <c r="S151" i="1" s="1"/>
  <c r="AA138" i="1"/>
  <c r="W138" i="1" s="1"/>
  <c r="AA135" i="1"/>
  <c r="AA134" i="1"/>
  <c r="W134" i="1" s="1"/>
  <c r="AA133" i="1"/>
  <c r="U131" i="1"/>
  <c r="S131" i="1" s="1"/>
  <c r="X126" i="1"/>
  <c r="AA122" i="1"/>
  <c r="W122" i="1" s="1"/>
  <c r="T122" i="1"/>
  <c r="U122" i="1" s="1"/>
  <c r="S122" i="1" s="1"/>
  <c r="AA120" i="1"/>
  <c r="AA118" i="1"/>
  <c r="W118" i="1" s="1"/>
  <c r="T118" i="1"/>
  <c r="U118" i="1" s="1"/>
  <c r="S118" i="1" s="1"/>
  <c r="AA116" i="1"/>
  <c r="AA114" i="1"/>
  <c r="AG110" i="1"/>
  <c r="U110" i="1" s="1"/>
  <c r="S110" i="1" s="1"/>
  <c r="AA107" i="1"/>
  <c r="W107" i="1" s="1"/>
  <c r="AA104" i="1"/>
  <c r="AA101" i="1"/>
  <c r="AG97" i="1"/>
  <c r="AA187" i="1"/>
  <c r="W187" i="1" s="1"/>
  <c r="AG184" i="1"/>
  <c r="U184" i="1" s="1"/>
  <c r="S184" i="1" s="1"/>
  <c r="AA183" i="1"/>
  <c r="X177" i="1"/>
  <c r="AA175" i="1"/>
  <c r="X171" i="1"/>
  <c r="AA171" i="1"/>
  <c r="AA169" i="1"/>
  <c r="AG167" i="1"/>
  <c r="AI167" i="1" s="1"/>
  <c r="AA164" i="1"/>
  <c r="AA162" i="1"/>
  <c r="T63" i="1"/>
  <c r="T49" i="1"/>
  <c r="U49" i="1" s="1"/>
  <c r="S49" i="1" s="1"/>
  <c r="T43" i="1"/>
  <c r="U43" i="1" s="1"/>
  <c r="S43" i="1" s="1"/>
  <c r="AA36" i="1"/>
  <c r="W36" i="1" s="1"/>
  <c r="T36" i="1"/>
  <c r="U36" i="1" s="1"/>
  <c r="S36" i="1" s="1"/>
  <c r="AA35" i="1"/>
  <c r="AA31" i="1"/>
  <c r="W31" i="1" s="1"/>
  <c r="AA23" i="1"/>
  <c r="AG21" i="1"/>
  <c r="AI21" i="1" s="1"/>
  <c r="AA219" i="1"/>
  <c r="AA217" i="1"/>
  <c r="AA213" i="1"/>
  <c r="AA212" i="1"/>
  <c r="AA204" i="1"/>
  <c r="W204" i="1" s="1"/>
  <c r="AA201" i="1"/>
  <c r="AA199" i="1"/>
  <c r="AG152" i="1"/>
  <c r="U152" i="1" s="1"/>
  <c r="S152" i="1" s="1"/>
  <c r="AA151" i="1"/>
  <c r="W151" i="1" s="1"/>
  <c r="AA148" i="1"/>
  <c r="AA146" i="1"/>
  <c r="W146" i="1" s="1"/>
  <c r="AA140" i="1"/>
  <c r="AA76" i="1"/>
  <c r="W76" i="1" s="1"/>
  <c r="T76" i="1"/>
  <c r="U76" i="1" s="1"/>
  <c r="S76" i="1" s="1"/>
  <c r="T75" i="1"/>
  <c r="U75" i="1" s="1"/>
  <c r="S75" i="1" s="1"/>
  <c r="AA74" i="1"/>
  <c r="AA72" i="1"/>
  <c r="W72" i="1" s="1"/>
  <c r="T72" i="1"/>
  <c r="U72" i="1" s="1"/>
  <c r="S72" i="1" s="1"/>
  <c r="T70" i="1"/>
  <c r="U70" i="1" s="1"/>
  <c r="S70" i="1" s="1"/>
  <c r="AA69" i="1"/>
  <c r="AA67" i="1"/>
  <c r="W67" i="1" s="1"/>
  <c r="T67" i="1"/>
  <c r="U67" i="1" s="1"/>
  <c r="S67" i="1" s="1"/>
  <c r="T66" i="1"/>
  <c r="U66" i="1" s="1"/>
  <c r="S66" i="1" s="1"/>
  <c r="AA63" i="1"/>
  <c r="W63" i="1" s="1"/>
  <c r="AA60" i="1"/>
  <c r="AA55" i="1"/>
  <c r="AA49" i="1"/>
  <c r="W49" i="1" s="1"/>
  <c r="AI48" i="1"/>
  <c r="AA43" i="1"/>
  <c r="W43" i="1" s="1"/>
  <c r="AA15" i="1"/>
  <c r="AI146" i="1"/>
  <c r="W154" i="1"/>
  <c r="W150" i="1"/>
  <c r="AI142" i="1"/>
  <c r="AI154" i="1"/>
  <c r="AI150" i="1"/>
  <c r="AI138" i="1"/>
  <c r="T219" i="1"/>
  <c r="AG216" i="1"/>
  <c r="X214" i="1"/>
  <c r="AG211" i="1"/>
  <c r="AI211" i="1" s="1"/>
  <c r="AA209" i="1"/>
  <c r="AA208" i="1"/>
  <c r="AA207" i="1"/>
  <c r="W207" i="1" s="1"/>
  <c r="T204" i="1"/>
  <c r="U204" i="1" s="1"/>
  <c r="S204" i="1" s="1"/>
  <c r="T201" i="1"/>
  <c r="AG198" i="1"/>
  <c r="AI198" i="1" s="1"/>
  <c r="X196" i="1"/>
  <c r="AG194" i="1"/>
  <c r="AI194" i="1" s="1"/>
  <c r="X192" i="1"/>
  <c r="AA155" i="1"/>
  <c r="X154" i="1"/>
  <c r="T132" i="1"/>
  <c r="AG132" i="1"/>
  <c r="X114" i="1"/>
  <c r="X205" i="1"/>
  <c r="AI83" i="1"/>
  <c r="AI79" i="1"/>
  <c r="AI75" i="1"/>
  <c r="AI70" i="1"/>
  <c r="AI66" i="1"/>
  <c r="T218" i="1"/>
  <c r="U218" i="1" s="1"/>
  <c r="S218" i="1" s="1"/>
  <c r="T200" i="1"/>
  <c r="X151" i="1"/>
  <c r="T150" i="1"/>
  <c r="U150" i="1" s="1"/>
  <c r="S150" i="1" s="1"/>
  <c r="AA149" i="1"/>
  <c r="X147" i="1"/>
  <c r="T146" i="1"/>
  <c r="U146" i="1" s="1"/>
  <c r="S146" i="1" s="1"/>
  <c r="AA145" i="1"/>
  <c r="X143" i="1"/>
  <c r="T142" i="1"/>
  <c r="U142" i="1" s="1"/>
  <c r="S142" i="1" s="1"/>
  <c r="AA141" i="1"/>
  <c r="X139" i="1"/>
  <c r="AG135" i="1"/>
  <c r="W135" i="1" s="1"/>
  <c r="X135" i="1"/>
  <c r="AA128" i="1"/>
  <c r="AI126" i="1"/>
  <c r="T126" i="1"/>
  <c r="U126" i="1" s="1"/>
  <c r="S126" i="1" s="1"/>
  <c r="AG124" i="1"/>
  <c r="U124" i="1" s="1"/>
  <c r="S124" i="1" s="1"/>
  <c r="T119" i="1"/>
  <c r="X119" i="1"/>
  <c r="AG119" i="1"/>
  <c r="T115" i="1"/>
  <c r="X115" i="1"/>
  <c r="AG115" i="1"/>
  <c r="W111" i="1"/>
  <c r="AI134" i="1"/>
  <c r="AA215" i="1"/>
  <c r="T214" i="1"/>
  <c r="U214" i="1" s="1"/>
  <c r="S214" i="1" s="1"/>
  <c r="AG208" i="1"/>
  <c r="AG201" i="1"/>
  <c r="U201" i="1" s="1"/>
  <c r="S201" i="1" s="1"/>
  <c r="AA197" i="1"/>
  <c r="T196" i="1"/>
  <c r="U196" i="1" s="1"/>
  <c r="S196" i="1" s="1"/>
  <c r="AA195" i="1"/>
  <c r="AA194" i="1"/>
  <c r="AA193" i="1"/>
  <c r="W193" i="1" s="1"/>
  <c r="T192" i="1"/>
  <c r="U192" i="1" s="1"/>
  <c r="S192" i="1" s="1"/>
  <c r="AG155" i="1"/>
  <c r="T154" i="1"/>
  <c r="U154" i="1" s="1"/>
  <c r="S154" i="1" s="1"/>
  <c r="X150" i="1"/>
  <c r="X146" i="1"/>
  <c r="X142" i="1"/>
  <c r="T138" i="1"/>
  <c r="U138" i="1" s="1"/>
  <c r="S138" i="1" s="1"/>
  <c r="W131" i="1"/>
  <c r="W114" i="1"/>
  <c r="T114" i="1"/>
  <c r="U114" i="1" s="1"/>
  <c r="S114" i="1" s="1"/>
  <c r="U97" i="1"/>
  <c r="S97" i="1" s="1"/>
  <c r="AI97" i="1"/>
  <c r="AG219" i="1"/>
  <c r="AI219" i="1" s="1"/>
  <c r="X218" i="1"/>
  <c r="AG215" i="1"/>
  <c r="AI215" i="1" s="1"/>
  <c r="AA211" i="1"/>
  <c r="T210" i="1"/>
  <c r="U210" i="1" s="1"/>
  <c r="S210" i="1" s="1"/>
  <c r="AG202" i="1"/>
  <c r="X200" i="1"/>
  <c r="AG197" i="1"/>
  <c r="U197" i="1" s="1"/>
  <c r="S197" i="1" s="1"/>
  <c r="AG148" i="1"/>
  <c r="U148" i="1" s="1"/>
  <c r="S148" i="1" s="1"/>
  <c r="AA147" i="1"/>
  <c r="W147" i="1" s="1"/>
  <c r="T147" i="1"/>
  <c r="U147" i="1" s="1"/>
  <c r="S147" i="1" s="1"/>
  <c r="AG144" i="1"/>
  <c r="W144" i="1" s="1"/>
  <c r="AA143" i="1"/>
  <c r="W143" i="1" s="1"/>
  <c r="T143" i="1"/>
  <c r="U143" i="1" s="1"/>
  <c r="S143" i="1" s="1"/>
  <c r="AG140" i="1"/>
  <c r="W140" i="1" s="1"/>
  <c r="AA139" i="1"/>
  <c r="W139" i="1" s="1"/>
  <c r="T139" i="1"/>
  <c r="U139" i="1" s="1"/>
  <c r="S139" i="1" s="1"/>
  <c r="AA132" i="1"/>
  <c r="AG128" i="1"/>
  <c r="U128" i="1" s="1"/>
  <c r="S128" i="1" s="1"/>
  <c r="AA124" i="1"/>
  <c r="AI101" i="1"/>
  <c r="AI62" i="1"/>
  <c r="AI58" i="1"/>
  <c r="AI53" i="1"/>
  <c r="AA129" i="1"/>
  <c r="AA127" i="1"/>
  <c r="W127" i="1" s="1"/>
  <c r="AA123" i="1"/>
  <c r="X117" i="1"/>
  <c r="X113" i="1"/>
  <c r="X109" i="1"/>
  <c r="X105" i="1"/>
  <c r="AA205" i="1"/>
  <c r="W205" i="1" s="1"/>
  <c r="T103" i="1"/>
  <c r="U103" i="1" s="1"/>
  <c r="S103" i="1" s="1"/>
  <c r="X99" i="1"/>
  <c r="AA190" i="1"/>
  <c r="T189" i="1"/>
  <c r="U189" i="1" s="1"/>
  <c r="S189" i="1" s="1"/>
  <c r="X186" i="1"/>
  <c r="X182" i="1"/>
  <c r="AG179" i="1"/>
  <c r="U179" i="1" s="1"/>
  <c r="S179" i="1" s="1"/>
  <c r="X179" i="1"/>
  <c r="AG176" i="1"/>
  <c r="U176" i="1" s="1"/>
  <c r="S176" i="1" s="1"/>
  <c r="X176" i="1"/>
  <c r="AG172" i="1"/>
  <c r="U172" i="1" s="1"/>
  <c r="S172" i="1" s="1"/>
  <c r="X172" i="1"/>
  <c r="T171" i="1"/>
  <c r="T170" i="1"/>
  <c r="AG165" i="1"/>
  <c r="AI165" i="1" s="1"/>
  <c r="AG164" i="1"/>
  <c r="U164" i="1" s="1"/>
  <c r="X164" i="1"/>
  <c r="AA160" i="1"/>
  <c r="T159" i="1"/>
  <c r="U159" i="1" s="1"/>
  <c r="S159" i="1" s="1"/>
  <c r="X92" i="1"/>
  <c r="AA89" i="1"/>
  <c r="W89" i="1" s="1"/>
  <c r="T88" i="1"/>
  <c r="U88" i="1" s="1"/>
  <c r="S88" i="1" s="1"/>
  <c r="AA86" i="1"/>
  <c r="W86" i="1" s="1"/>
  <c r="T51" i="1"/>
  <c r="X49" i="1"/>
  <c r="X34" i="1"/>
  <c r="X28" i="1"/>
  <c r="T181" i="1"/>
  <c r="U181" i="1" s="1"/>
  <c r="S181" i="1" s="1"/>
  <c r="T178" i="1"/>
  <c r="T175" i="1"/>
  <c r="W83" i="1"/>
  <c r="W79" i="1"/>
  <c r="W75" i="1"/>
  <c r="W70" i="1"/>
  <c r="AA65" i="1"/>
  <c r="X63" i="1"/>
  <c r="T62" i="1"/>
  <c r="U62" i="1" s="1"/>
  <c r="S62" i="1" s="1"/>
  <c r="AA61" i="1"/>
  <c r="X59" i="1"/>
  <c r="T58" i="1"/>
  <c r="U58" i="1" s="1"/>
  <c r="S58" i="1" s="1"/>
  <c r="X54" i="1"/>
  <c r="T53" i="1"/>
  <c r="U53" i="1" s="1"/>
  <c r="S53" i="1" s="1"/>
  <c r="AA52" i="1"/>
  <c r="AA51" i="1"/>
  <c r="AG50" i="1"/>
  <c r="U50" i="1" s="1"/>
  <c r="T48" i="1"/>
  <c r="U48" i="1" s="1"/>
  <c r="S48" i="1" s="1"/>
  <c r="AA47" i="1"/>
  <c r="W47" i="1" s="1"/>
  <c r="T47" i="1"/>
  <c r="U47" i="1" s="1"/>
  <c r="S47" i="1" s="1"/>
  <c r="AG41" i="1"/>
  <c r="AI41" i="1" s="1"/>
  <c r="X40" i="1"/>
  <c r="AA38" i="1"/>
  <c r="T38" i="1"/>
  <c r="U38" i="1" s="1"/>
  <c r="S38" i="1" s="1"/>
  <c r="AA37" i="1"/>
  <c r="AG35" i="1"/>
  <c r="AI35" i="1" s="1"/>
  <c r="T33" i="1"/>
  <c r="AA32" i="1"/>
  <c r="W32" i="1" s="1"/>
  <c r="T32" i="1"/>
  <c r="U32" i="1" s="1"/>
  <c r="S32" i="1" s="1"/>
  <c r="X30" i="1"/>
  <c r="X24" i="1"/>
  <c r="X20" i="1"/>
  <c r="T16" i="1"/>
  <c r="AA119" i="1"/>
  <c r="T117" i="1"/>
  <c r="AA115" i="1"/>
  <c r="T113" i="1"/>
  <c r="U113" i="1" s="1"/>
  <c r="S113" i="1" s="1"/>
  <c r="AA110" i="1"/>
  <c r="T109" i="1"/>
  <c r="U109" i="1" s="1"/>
  <c r="S109" i="1" s="1"/>
  <c r="AA106" i="1"/>
  <c r="T105" i="1"/>
  <c r="U105" i="1" s="1"/>
  <c r="S105" i="1" s="1"/>
  <c r="AA100" i="1"/>
  <c r="T99" i="1"/>
  <c r="AA96" i="1"/>
  <c r="T186" i="1"/>
  <c r="U186" i="1" s="1"/>
  <c r="S186" i="1" s="1"/>
  <c r="AA180" i="1"/>
  <c r="AA179" i="1"/>
  <c r="AG178" i="1"/>
  <c r="AI178" i="1" s="1"/>
  <c r="AA95" i="1"/>
  <c r="AA176" i="1"/>
  <c r="AG175" i="1"/>
  <c r="AI175" i="1" s="1"/>
  <c r="AA173" i="1"/>
  <c r="AA172" i="1"/>
  <c r="AG171" i="1"/>
  <c r="X170" i="1"/>
  <c r="AA167" i="1"/>
  <c r="AA166" i="1"/>
  <c r="AA165" i="1"/>
  <c r="T163" i="1"/>
  <c r="AA93" i="1"/>
  <c r="W93" i="1" s="1"/>
  <c r="T92" i="1"/>
  <c r="U92" i="1" s="1"/>
  <c r="S92" i="1" s="1"/>
  <c r="X88" i="1"/>
  <c r="X86" i="1"/>
  <c r="AA85" i="1"/>
  <c r="AA81" i="1"/>
  <c r="X79" i="1"/>
  <c r="AA77" i="1"/>
  <c r="X75" i="1"/>
  <c r="AA73" i="1"/>
  <c r="X70" i="1"/>
  <c r="AA68" i="1"/>
  <c r="X66" i="1"/>
  <c r="X62" i="1"/>
  <c r="X53" i="1"/>
  <c r="AG16" i="1"/>
  <c r="T15" i="1"/>
  <c r="U101" i="1"/>
  <c r="S101" i="1" s="1"/>
  <c r="U100" i="1"/>
  <c r="S100" i="1" s="1"/>
  <c r="U187" i="1"/>
  <c r="S187" i="1" s="1"/>
  <c r="U96" i="1"/>
  <c r="S96" i="1" s="1"/>
  <c r="U182" i="1"/>
  <c r="S182" i="1" s="1"/>
  <c r="X181" i="1"/>
  <c r="W161" i="1"/>
  <c r="U93" i="1"/>
  <c r="S93" i="1" s="1"/>
  <c r="AG85" i="1"/>
  <c r="AI85" i="1" s="1"/>
  <c r="AG81" i="1"/>
  <c r="AI81" i="1" s="1"/>
  <c r="AG77" i="1"/>
  <c r="AG73" i="1"/>
  <c r="U73" i="1" s="1"/>
  <c r="S73" i="1" s="1"/>
  <c r="AG68" i="1"/>
  <c r="U68" i="1" s="1"/>
  <c r="S68" i="1" s="1"/>
  <c r="AG64" i="1"/>
  <c r="U64" i="1" s="1"/>
  <c r="S64" i="1" s="1"/>
  <c r="AG60" i="1"/>
  <c r="AA59" i="1"/>
  <c r="W59" i="1" s="1"/>
  <c r="T59" i="1"/>
  <c r="AG55" i="1"/>
  <c r="U55" i="1" s="1"/>
  <c r="S55" i="1" s="1"/>
  <c r="AA54" i="1"/>
  <c r="T54" i="1"/>
  <c r="AG51" i="1"/>
  <c r="AA45" i="1"/>
  <c r="W45" i="1" s="1"/>
  <c r="T45" i="1"/>
  <c r="U45" i="1" s="1"/>
  <c r="S45" i="1" s="1"/>
  <c r="AA44" i="1"/>
  <c r="AA40" i="1"/>
  <c r="T40" i="1"/>
  <c r="U40" i="1" s="1"/>
  <c r="S40" i="1" s="1"/>
  <c r="X38" i="1"/>
  <c r="AG33" i="1"/>
  <c r="AI33" i="1" s="1"/>
  <c r="X32" i="1"/>
  <c r="AA30" i="1"/>
  <c r="W30" i="1" s="1"/>
  <c r="T30" i="1"/>
  <c r="U30" i="1" s="1"/>
  <c r="S30" i="1" s="1"/>
  <c r="AA29" i="1"/>
  <c r="AG27" i="1"/>
  <c r="AI27" i="1" s="1"/>
  <c r="AA25" i="1"/>
  <c r="W25" i="1" s="1"/>
  <c r="T24" i="1"/>
  <c r="U24" i="1" s="1"/>
  <c r="S24" i="1" s="1"/>
  <c r="AA21" i="1"/>
  <c r="T20" i="1"/>
  <c r="AI210" i="1"/>
  <c r="U200" i="1"/>
  <c r="S200" i="1" s="1"/>
  <c r="AI218" i="1"/>
  <c r="AI214" i="1"/>
  <c r="W210" i="1"/>
  <c r="U207" i="1"/>
  <c r="S207" i="1" s="1"/>
  <c r="U193" i="1"/>
  <c r="S193" i="1" s="1"/>
  <c r="X153" i="1"/>
  <c r="U208" i="1"/>
  <c r="S208" i="1" s="1"/>
  <c r="AI186" i="1"/>
  <c r="AI182" i="1"/>
  <c r="AI174" i="1"/>
  <c r="AG217" i="1"/>
  <c r="X216" i="1"/>
  <c r="AG213" i="1"/>
  <c r="X212" i="1"/>
  <c r="AG209" i="1"/>
  <c r="X208" i="1"/>
  <c r="AI207" i="1"/>
  <c r="AG203" i="1"/>
  <c r="AI203" i="1" s="1"/>
  <c r="X202" i="1"/>
  <c r="AG199" i="1"/>
  <c r="AI199" i="1" s="1"/>
  <c r="X198" i="1"/>
  <c r="AG195" i="1"/>
  <c r="AI195" i="1" s="1"/>
  <c r="X194" i="1"/>
  <c r="AG191" i="1"/>
  <c r="T156" i="1"/>
  <c r="W153" i="1"/>
  <c r="T153" i="1"/>
  <c r="U153" i="1" s="1"/>
  <c r="S153" i="1" s="1"/>
  <c r="AI153" i="1"/>
  <c r="U117" i="1"/>
  <c r="S117" i="1" s="1"/>
  <c r="U99" i="1"/>
  <c r="S99" i="1" s="1"/>
  <c r="X217" i="1"/>
  <c r="X213" i="1"/>
  <c r="X209" i="1"/>
  <c r="AI208" i="1"/>
  <c r="X203" i="1"/>
  <c r="AI204" i="1"/>
  <c r="X199" i="1"/>
  <c r="AI200" i="1"/>
  <c r="X195" i="1"/>
  <c r="AI196" i="1"/>
  <c r="X191" i="1"/>
  <c r="AI192" i="1"/>
  <c r="AG156" i="1"/>
  <c r="AI170" i="1"/>
  <c r="U144" i="1"/>
  <c r="S144" i="1" s="1"/>
  <c r="AG120" i="1"/>
  <c r="AI120" i="1" s="1"/>
  <c r="AG116" i="1"/>
  <c r="AI116" i="1" s="1"/>
  <c r="AG112" i="1"/>
  <c r="AI112" i="1" s="1"/>
  <c r="AG108" i="1"/>
  <c r="W108" i="1" s="1"/>
  <c r="AG104" i="1"/>
  <c r="W104" i="1" s="1"/>
  <c r="X206" i="1"/>
  <c r="AG102" i="1"/>
  <c r="W102" i="1" s="1"/>
  <c r="X101" i="1"/>
  <c r="AG98" i="1"/>
  <c r="X97" i="1"/>
  <c r="AG188" i="1"/>
  <c r="X187" i="1"/>
  <c r="AG185" i="1"/>
  <c r="AI185" i="1" s="1"/>
  <c r="X184" i="1"/>
  <c r="T183" i="1"/>
  <c r="AI96" i="1"/>
  <c r="AI88" i="1"/>
  <c r="X152" i="1"/>
  <c r="AG149" i="1"/>
  <c r="X148" i="1"/>
  <c r="AG145" i="1"/>
  <c r="AI145" i="1" s="1"/>
  <c r="X144" i="1"/>
  <c r="AG141" i="1"/>
  <c r="X140" i="1"/>
  <c r="AG137" i="1"/>
  <c r="W137" i="1" s="1"/>
  <c r="X136" i="1"/>
  <c r="AG133" i="1"/>
  <c r="X132" i="1"/>
  <c r="AG129" i="1"/>
  <c r="AI129" i="1" s="1"/>
  <c r="X128" i="1"/>
  <c r="S127" i="1"/>
  <c r="AG125" i="1"/>
  <c r="AI125" i="1" s="1"/>
  <c r="X124" i="1"/>
  <c r="AG121" i="1"/>
  <c r="AI121" i="1" s="1"/>
  <c r="X120" i="1"/>
  <c r="AI155" i="1"/>
  <c r="X116" i="1"/>
  <c r="AI151" i="1"/>
  <c r="X112" i="1"/>
  <c r="AI147" i="1"/>
  <c r="X108" i="1"/>
  <c r="AI143" i="1"/>
  <c r="X104" i="1"/>
  <c r="AI139" i="1"/>
  <c r="X102" i="1"/>
  <c r="X98" i="1"/>
  <c r="AI131" i="1"/>
  <c r="X188" i="1"/>
  <c r="AI127" i="1"/>
  <c r="X185" i="1"/>
  <c r="AI123" i="1"/>
  <c r="AG183" i="1"/>
  <c r="U170" i="1"/>
  <c r="S170" i="1" s="1"/>
  <c r="X149" i="1"/>
  <c r="T149" i="1"/>
  <c r="X145" i="1"/>
  <c r="T145" i="1"/>
  <c r="AI179" i="1"/>
  <c r="X141" i="1"/>
  <c r="T141" i="1"/>
  <c r="X137" i="1"/>
  <c r="X133" i="1"/>
  <c r="X129" i="1"/>
  <c r="X125" i="1"/>
  <c r="X121" i="1"/>
  <c r="U177" i="1"/>
  <c r="S177" i="1" s="1"/>
  <c r="AI92" i="1"/>
  <c r="U163" i="1"/>
  <c r="S163" i="1" s="1"/>
  <c r="AI100" i="1"/>
  <c r="W88" i="1"/>
  <c r="U168" i="1"/>
  <c r="S168" i="1" s="1"/>
  <c r="U165" i="1"/>
  <c r="S165" i="1" s="1"/>
  <c r="U90" i="1"/>
  <c r="S90" i="1" s="1"/>
  <c r="U80" i="1"/>
  <c r="S80" i="1" s="1"/>
  <c r="AI80" i="1"/>
  <c r="AI76" i="1"/>
  <c r="AI72" i="1"/>
  <c r="AI67" i="1"/>
  <c r="U63" i="1"/>
  <c r="S63" i="1" s="1"/>
  <c r="AI63" i="1"/>
  <c r="U59" i="1"/>
  <c r="S59" i="1" s="1"/>
  <c r="AI59" i="1"/>
  <c r="U54" i="1"/>
  <c r="S54" i="1" s="1"/>
  <c r="AI54" i="1"/>
  <c r="AG180" i="1"/>
  <c r="AG95" i="1"/>
  <c r="AG173" i="1"/>
  <c r="AI173" i="1" s="1"/>
  <c r="AG169" i="1"/>
  <c r="AI169" i="1" s="1"/>
  <c r="X168" i="1"/>
  <c r="AG166" i="1"/>
  <c r="AI166" i="1" s="1"/>
  <c r="X165" i="1"/>
  <c r="S164" i="1"/>
  <c r="AG162" i="1"/>
  <c r="AG158" i="1"/>
  <c r="AG91" i="1"/>
  <c r="X90" i="1"/>
  <c r="AG87" i="1"/>
  <c r="U85" i="1"/>
  <c r="S85" i="1" s="1"/>
  <c r="X180" i="1"/>
  <c r="T180" i="1"/>
  <c r="AI118" i="1"/>
  <c r="X95" i="1"/>
  <c r="T95" i="1"/>
  <c r="AI114" i="1"/>
  <c r="X173" i="1"/>
  <c r="T173" i="1"/>
  <c r="X169" i="1"/>
  <c r="T169" i="1"/>
  <c r="X166" i="1"/>
  <c r="T166" i="1"/>
  <c r="T162" i="1"/>
  <c r="AI98" i="1"/>
  <c r="AI94" i="1"/>
  <c r="X91" i="1"/>
  <c r="AI90" i="1"/>
  <c r="X87" i="1"/>
  <c r="T86" i="1"/>
  <c r="U86" i="1" s="1"/>
  <c r="S86" i="1" s="1"/>
  <c r="U84" i="1"/>
  <c r="S84" i="1" s="1"/>
  <c r="AI84" i="1"/>
  <c r="X83" i="1"/>
  <c r="T82" i="1"/>
  <c r="X82" i="1"/>
  <c r="AG82" i="1"/>
  <c r="W82" i="1" s="1"/>
  <c r="W80" i="1"/>
  <c r="W54" i="1"/>
  <c r="U77" i="1"/>
  <c r="S77" i="1" s="1"/>
  <c r="U60" i="1"/>
  <c r="S60" i="1" s="1"/>
  <c r="AI45" i="1"/>
  <c r="AI40" i="1"/>
  <c r="AI30" i="1"/>
  <c r="X85" i="1"/>
  <c r="X81" i="1"/>
  <c r="AG78" i="1"/>
  <c r="W78" i="1" s="1"/>
  <c r="X77" i="1"/>
  <c r="AG74" i="1"/>
  <c r="W74" i="1" s="1"/>
  <c r="AG69" i="1"/>
  <c r="X68" i="1"/>
  <c r="AG65" i="1"/>
  <c r="X64" i="1"/>
  <c r="AG61" i="1"/>
  <c r="X60" i="1"/>
  <c r="X55" i="1"/>
  <c r="AG52" i="1"/>
  <c r="AI42" i="1"/>
  <c r="W38" i="1"/>
  <c r="AI36" i="1"/>
  <c r="U35" i="1"/>
  <c r="S35" i="1" s="1"/>
  <c r="AI26" i="1"/>
  <c r="U26" i="1"/>
  <c r="S26" i="1" s="1"/>
  <c r="W15" i="1"/>
  <c r="X78" i="1"/>
  <c r="T78" i="1"/>
  <c r="AI77" i="1"/>
  <c r="T74" i="1"/>
  <c r="X69" i="1"/>
  <c r="T69" i="1"/>
  <c r="AI68" i="1"/>
  <c r="X65" i="1"/>
  <c r="T65" i="1"/>
  <c r="X61" i="1"/>
  <c r="T61" i="1"/>
  <c r="AI60" i="1"/>
  <c r="X52" i="1"/>
  <c r="T52" i="1"/>
  <c r="AI51" i="1"/>
  <c r="AI47" i="1"/>
  <c r="AI38" i="1"/>
  <c r="AI32" i="1"/>
  <c r="U15" i="1"/>
  <c r="S15" i="1" s="1"/>
  <c r="AI15" i="1"/>
  <c r="AI49" i="1"/>
  <c r="AI43" i="1"/>
  <c r="W40" i="1"/>
  <c r="AI34" i="1"/>
  <c r="U34" i="1"/>
  <c r="S34" i="1" s="1"/>
  <c r="AI28" i="1"/>
  <c r="AI24" i="1"/>
  <c r="U20" i="1"/>
  <c r="S20" i="1" s="1"/>
  <c r="AI20" i="1"/>
  <c r="U44" i="1"/>
  <c r="S44" i="1" s="1"/>
  <c r="U21" i="1"/>
  <c r="S21" i="1" s="1"/>
  <c r="U17" i="1"/>
  <c r="S17" i="1" s="1"/>
  <c r="X48" i="1"/>
  <c r="AG22" i="1"/>
  <c r="W22" i="1" s="1"/>
  <c r="AG18" i="1"/>
  <c r="AG14" i="1"/>
  <c r="AG23" i="1"/>
  <c r="W23" i="1" s="1"/>
  <c r="X22" i="1"/>
  <c r="AG19" i="1"/>
  <c r="X18" i="1"/>
  <c r="X50" i="1"/>
  <c r="X39" i="1"/>
  <c r="X35" i="1"/>
  <c r="X31" i="1"/>
  <c r="X27" i="1"/>
  <c r="X23" i="1"/>
  <c r="X19" i="1"/>
  <c r="Y25" i="3"/>
  <c r="Y32" i="3"/>
  <c r="AD41" i="3"/>
  <c r="AD38" i="3"/>
  <c r="Y35" i="3"/>
  <c r="Y30" i="3"/>
  <c r="T9" i="3"/>
  <c r="Y20" i="3"/>
  <c r="Y42" i="3"/>
  <c r="AD12" i="3"/>
  <c r="AE12" i="3"/>
  <c r="Y8" i="3"/>
  <c r="Y22" i="3"/>
  <c r="Y19" i="3"/>
  <c r="Y9" i="3"/>
  <c r="AE9" i="3"/>
  <c r="AD32" i="3"/>
  <c r="AE32" i="3"/>
  <c r="AC21" i="3"/>
  <c r="AD8" i="3"/>
  <c r="AD44" i="3"/>
  <c r="AD40" i="3"/>
  <c r="AC40" i="3"/>
  <c r="AC39" i="3"/>
  <c r="T36" i="3"/>
  <c r="AD25" i="3"/>
  <c r="T18" i="3"/>
  <c r="AE19" i="3"/>
  <c r="AD17" i="3"/>
  <c r="T16" i="3"/>
  <c r="Y38" i="3"/>
  <c r="AE28" i="3"/>
  <c r="Y36" i="3"/>
  <c r="Y29" i="3"/>
  <c r="Y12" i="3"/>
  <c r="AC41" i="3"/>
  <c r="AD37" i="3"/>
  <c r="AD33" i="3"/>
  <c r="AC33" i="3"/>
  <c r="AE23" i="3"/>
  <c r="AD21" i="3"/>
  <c r="T28" i="3"/>
  <c r="AE15" i="3"/>
  <c r="AD13" i="3"/>
  <c r="T8" i="3"/>
  <c r="Y23" i="3"/>
  <c r="AE27" i="3"/>
  <c r="T35" i="3"/>
  <c r="AE39" i="3"/>
  <c r="T31" i="3"/>
  <c r="AE45" i="3"/>
  <c r="AD43" i="3"/>
  <c r="AD39" i="3"/>
  <c r="AD35" i="3"/>
  <c r="AD31" i="3"/>
  <c r="AE30" i="3"/>
  <c r="T15" i="3"/>
  <c r="AD27" i="3"/>
  <c r="AE26" i="3"/>
  <c r="T33" i="3"/>
  <c r="AD23" i="3"/>
  <c r="AE22" i="3"/>
  <c r="T7" i="3"/>
  <c r="AD19" i="3"/>
  <c r="AE18" i="3"/>
  <c r="T10" i="3"/>
  <c r="AD15" i="3"/>
  <c r="AE14" i="3"/>
  <c r="T42" i="3"/>
  <c r="AE10" i="3"/>
  <c r="T26" i="3"/>
  <c r="AC34" i="3"/>
  <c r="AE43" i="3"/>
  <c r="T14" i="3"/>
  <c r="AE35" i="3"/>
  <c r="T23" i="3"/>
  <c r="AE31" i="3"/>
  <c r="T37" i="3"/>
  <c r="T41" i="3"/>
  <c r="AE42" i="3"/>
  <c r="T21" i="3"/>
  <c r="AE38" i="3"/>
  <c r="T40" i="3"/>
  <c r="AE34" i="3"/>
  <c r="T39" i="3"/>
  <c r="AE44" i="3"/>
  <c r="AE41" i="3"/>
  <c r="AE37" i="3"/>
  <c r="AE33" i="3"/>
  <c r="AE29" i="3"/>
  <c r="AE25" i="3"/>
  <c r="AD22" i="3"/>
  <c r="AE21" i="3"/>
  <c r="AD18" i="3"/>
  <c r="AE17" i="3"/>
  <c r="AD14" i="3"/>
  <c r="AE13" i="3"/>
  <c r="AD10" i="3"/>
  <c r="AE8" i="3"/>
  <c r="AI55" i="1" l="1"/>
  <c r="W158" i="1"/>
  <c r="W156" i="1"/>
  <c r="U25" i="1"/>
  <c r="S25" i="1" s="1"/>
  <c r="W216" i="1"/>
  <c r="W130" i="1"/>
  <c r="W17" i="1"/>
  <c r="U37" i="1"/>
  <c r="S37" i="1" s="1"/>
  <c r="AI206" i="1"/>
  <c r="W37" i="1"/>
  <c r="W160" i="1"/>
  <c r="W162" i="1"/>
  <c r="W96" i="1"/>
  <c r="W65" i="1"/>
  <c r="W183" i="1"/>
  <c r="U211" i="1"/>
  <c r="S211" i="1" s="1"/>
  <c r="AI46" i="1"/>
  <c r="W172" i="1"/>
  <c r="AI31" i="1"/>
  <c r="W136" i="1"/>
  <c r="W97" i="1"/>
  <c r="U161" i="1"/>
  <c r="S161" i="1" s="1"/>
  <c r="W41" i="1"/>
  <c r="U41" i="1"/>
  <c r="S41" i="1" s="1"/>
  <c r="U81" i="1"/>
  <c r="S81" i="1" s="1"/>
  <c r="AI64" i="1"/>
  <c r="AI102" i="1"/>
  <c r="AI216" i="1"/>
  <c r="W21" i="1"/>
  <c r="W29" i="1"/>
  <c r="AI89" i="1"/>
  <c r="U167" i="1"/>
  <c r="S167" i="1" s="1"/>
  <c r="AI183" i="1"/>
  <c r="W212" i="1"/>
  <c r="U29" i="1"/>
  <c r="S29" i="1" s="1"/>
  <c r="U136" i="1"/>
  <c r="S136" i="1" s="1"/>
  <c r="U212" i="1"/>
  <c r="S212" i="1" s="1"/>
  <c r="U219" i="1"/>
  <c r="S219" i="1" s="1"/>
  <c r="W202" i="1"/>
  <c r="U33" i="1"/>
  <c r="S33" i="1" s="1"/>
  <c r="U27" i="1"/>
  <c r="S27" i="1" s="1"/>
  <c r="W61" i="1"/>
  <c r="AI110" i="1"/>
  <c r="U140" i="1"/>
  <c r="S140" i="1" s="1"/>
  <c r="W213" i="1"/>
  <c r="W60" i="1"/>
  <c r="W100" i="1"/>
  <c r="W110" i="1"/>
  <c r="W119" i="1"/>
  <c r="W123" i="1"/>
  <c r="U155" i="1"/>
  <c r="S155" i="1" s="1"/>
  <c r="W46" i="1"/>
  <c r="U135" i="1"/>
  <c r="S135" i="1" s="1"/>
  <c r="U194" i="1"/>
  <c r="S194" i="1" s="1"/>
  <c r="U215" i="1"/>
  <c r="S215" i="1" s="1"/>
  <c r="W64" i="1"/>
  <c r="W81" i="1"/>
  <c r="W190" i="1"/>
  <c r="U160" i="1"/>
  <c r="S160" i="1" s="1"/>
  <c r="U202" i="1"/>
  <c r="S202" i="1" s="1"/>
  <c r="AI202" i="1"/>
  <c r="W211" i="1"/>
  <c r="U132" i="1"/>
  <c r="S132" i="1" s="1"/>
  <c r="W101" i="1"/>
  <c r="AI135" i="1"/>
  <c r="W149" i="1"/>
  <c r="W91" i="1"/>
  <c r="W184" i="1"/>
  <c r="AI73" i="1"/>
  <c r="U198" i="1"/>
  <c r="S198" i="1" s="1"/>
  <c r="U216" i="1"/>
  <c r="S216" i="1" s="1"/>
  <c r="W167" i="1"/>
  <c r="W106" i="1"/>
  <c r="W115" i="1"/>
  <c r="W124" i="1"/>
  <c r="W148" i="1"/>
  <c r="AI130" i="1"/>
  <c r="W194" i="1"/>
  <c r="W198" i="1"/>
  <c r="W152" i="1"/>
  <c r="U106" i="1"/>
  <c r="S106" i="1" s="1"/>
  <c r="W157" i="1"/>
  <c r="U157" i="1"/>
  <c r="S157" i="1" s="1"/>
  <c r="AI108" i="1"/>
  <c r="W133" i="1"/>
  <c r="W141" i="1"/>
  <c r="AI190" i="1"/>
  <c r="W55" i="1"/>
  <c r="W179" i="1"/>
  <c r="U130" i="1"/>
  <c r="S130" i="1" s="1"/>
  <c r="W201" i="1"/>
  <c r="W44" i="1"/>
  <c r="U51" i="1"/>
  <c r="S51" i="1" s="1"/>
  <c r="W165" i="1"/>
  <c r="W176" i="1"/>
  <c r="W132" i="1"/>
  <c r="W215" i="1"/>
  <c r="W164" i="1"/>
  <c r="U178" i="1"/>
  <c r="S178" i="1" s="1"/>
  <c r="U115" i="1"/>
  <c r="S115" i="1" s="1"/>
  <c r="U39" i="1"/>
  <c r="S39" i="1" s="1"/>
  <c r="AI39" i="1"/>
  <c r="W33" i="1"/>
  <c r="W39" i="1"/>
  <c r="AI158" i="1"/>
  <c r="AI162" i="1"/>
  <c r="W185" i="1"/>
  <c r="W68" i="1"/>
  <c r="W77" i="1"/>
  <c r="U175" i="1"/>
  <c r="S175" i="1" s="1"/>
  <c r="S50" i="1"/>
  <c r="AI50" i="1"/>
  <c r="W27" i="1"/>
  <c r="W219" i="1"/>
  <c r="U119" i="1"/>
  <c r="S119" i="1" s="1"/>
  <c r="W188" i="1"/>
  <c r="AI188" i="1"/>
  <c r="W121" i="1"/>
  <c r="AI141" i="1"/>
  <c r="AI137" i="1"/>
  <c r="U171" i="1"/>
  <c r="S171" i="1" s="1"/>
  <c r="AI171" i="1"/>
  <c r="W51" i="1"/>
  <c r="W171" i="1"/>
  <c r="W175" i="1"/>
  <c r="W197" i="1"/>
  <c r="W50" i="1"/>
  <c r="AI149" i="1"/>
  <c r="U16" i="1"/>
  <c r="S16" i="1" s="1"/>
  <c r="AI16" i="1"/>
  <c r="W73" i="1"/>
  <c r="W16" i="1"/>
  <c r="AI104" i="1"/>
  <c r="AI133" i="1"/>
  <c r="W85" i="1"/>
  <c r="W178" i="1"/>
  <c r="W35" i="1"/>
  <c r="W128" i="1"/>
  <c r="W155" i="1"/>
  <c r="W208" i="1"/>
  <c r="AI14" i="1"/>
  <c r="U14" i="1"/>
  <c r="S14" i="1" s="1"/>
  <c r="U19" i="1"/>
  <c r="S19" i="1" s="1"/>
  <c r="AI19" i="1"/>
  <c r="AI18" i="1"/>
  <c r="U18" i="1"/>
  <c r="S18" i="1" s="1"/>
  <c r="W19" i="1"/>
  <c r="AI91" i="1"/>
  <c r="U91" i="1"/>
  <c r="S91" i="1" s="1"/>
  <c r="AI107" i="1"/>
  <c r="U169" i="1"/>
  <c r="S169" i="1" s="1"/>
  <c r="AI115" i="1"/>
  <c r="U95" i="1"/>
  <c r="S95" i="1" s="1"/>
  <c r="W169" i="1"/>
  <c r="AI132" i="1"/>
  <c r="U98" i="1"/>
  <c r="S98" i="1" s="1"/>
  <c r="AI144" i="1"/>
  <c r="U108" i="1"/>
  <c r="S108" i="1" s="1"/>
  <c r="AI156" i="1"/>
  <c r="U120" i="1"/>
  <c r="S120" i="1" s="1"/>
  <c r="W120" i="1"/>
  <c r="U191" i="1"/>
  <c r="S191" i="1" s="1"/>
  <c r="AI193" i="1"/>
  <c r="U209" i="1"/>
  <c r="S209" i="1" s="1"/>
  <c r="AI209" i="1"/>
  <c r="AI22" i="1"/>
  <c r="U22" i="1"/>
  <c r="S22" i="1" s="1"/>
  <c r="AI87" i="1"/>
  <c r="U87" i="1"/>
  <c r="S87" i="1" s="1"/>
  <c r="AI103" i="1"/>
  <c r="U166" i="1"/>
  <c r="S166" i="1" s="1"/>
  <c r="AI119" i="1"/>
  <c r="U180" i="1"/>
  <c r="S180" i="1" s="1"/>
  <c r="AI172" i="1"/>
  <c r="U137" i="1"/>
  <c r="S137" i="1" s="1"/>
  <c r="AI180" i="1"/>
  <c r="U145" i="1"/>
  <c r="S145" i="1" s="1"/>
  <c r="W87" i="1"/>
  <c r="AI128" i="1"/>
  <c r="U188" i="1"/>
  <c r="S188" i="1" s="1"/>
  <c r="W145" i="1"/>
  <c r="U203" i="1"/>
  <c r="S203" i="1" s="1"/>
  <c r="AI205" i="1"/>
  <c r="W191" i="1"/>
  <c r="AI52" i="1"/>
  <c r="U52" i="1"/>
  <c r="S52" i="1" s="1"/>
  <c r="AI61" i="1"/>
  <c r="U61" i="1"/>
  <c r="S61" i="1" s="1"/>
  <c r="AI69" i="1"/>
  <c r="U69" i="1"/>
  <c r="S69" i="1" s="1"/>
  <c r="AI78" i="1"/>
  <c r="U78" i="1"/>
  <c r="S78" i="1" s="1"/>
  <c r="U23" i="1"/>
  <c r="S23" i="1" s="1"/>
  <c r="AI23" i="1"/>
  <c r="AI99" i="1"/>
  <c r="U162" i="1"/>
  <c r="S162" i="1" s="1"/>
  <c r="AI111" i="1"/>
  <c r="U173" i="1"/>
  <c r="S173" i="1" s="1"/>
  <c r="W166" i="1"/>
  <c r="W173" i="1"/>
  <c r="W95" i="1"/>
  <c r="W180" i="1"/>
  <c r="AI124" i="1"/>
  <c r="U185" i="1"/>
  <c r="S185" i="1" s="1"/>
  <c r="AI140" i="1"/>
  <c r="U104" i="1"/>
  <c r="S104" i="1" s="1"/>
  <c r="AI148" i="1"/>
  <c r="U112" i="1"/>
  <c r="S112" i="1" s="1"/>
  <c r="W98" i="1"/>
  <c r="W112" i="1"/>
  <c r="U156" i="1"/>
  <c r="S156" i="1" s="1"/>
  <c r="AI191" i="1"/>
  <c r="U199" i="1"/>
  <c r="S199" i="1" s="1"/>
  <c r="AI201" i="1"/>
  <c r="U217" i="1"/>
  <c r="S217" i="1" s="1"/>
  <c r="AI217" i="1"/>
  <c r="W217" i="1"/>
  <c r="W14" i="1"/>
  <c r="W18" i="1"/>
  <c r="AI65" i="1"/>
  <c r="U65" i="1"/>
  <c r="S65" i="1" s="1"/>
  <c r="AI74" i="1"/>
  <c r="U74" i="1"/>
  <c r="S74" i="1" s="1"/>
  <c r="AI82" i="1"/>
  <c r="U82" i="1"/>
  <c r="S82" i="1" s="1"/>
  <c r="W52" i="1"/>
  <c r="W69" i="1"/>
  <c r="AI95" i="1"/>
  <c r="U158" i="1"/>
  <c r="S158" i="1" s="1"/>
  <c r="AI122" i="1"/>
  <c r="U183" i="1"/>
  <c r="S183" i="1" s="1"/>
  <c r="U121" i="1"/>
  <c r="S121" i="1" s="1"/>
  <c r="AI160" i="1"/>
  <c r="U125" i="1"/>
  <c r="S125" i="1" s="1"/>
  <c r="AI164" i="1"/>
  <c r="U129" i="1"/>
  <c r="S129" i="1" s="1"/>
  <c r="AI168" i="1"/>
  <c r="U133" i="1"/>
  <c r="S133" i="1" s="1"/>
  <c r="AI176" i="1"/>
  <c r="U141" i="1"/>
  <c r="S141" i="1" s="1"/>
  <c r="AI184" i="1"/>
  <c r="U149" i="1"/>
  <c r="S149" i="1" s="1"/>
  <c r="AI136" i="1"/>
  <c r="U102" i="1"/>
  <c r="S102" i="1" s="1"/>
  <c r="AI152" i="1"/>
  <c r="U116" i="1"/>
  <c r="S116" i="1" s="1"/>
  <c r="W116" i="1"/>
  <c r="W125" i="1"/>
  <c r="U195" i="1"/>
  <c r="S195" i="1" s="1"/>
  <c r="AI197" i="1"/>
  <c r="U213" i="1"/>
  <c r="S213" i="1" s="1"/>
  <c r="AI213" i="1"/>
  <c r="W129" i="1"/>
  <c r="W195" i="1"/>
  <c r="W199" i="1"/>
  <c r="W203" i="1"/>
  <c r="W209" i="1"/>
  <c r="M11" i="3"/>
  <c r="S11" i="3"/>
  <c r="U11" i="3"/>
  <c r="V11" i="3"/>
  <c r="W11" i="3"/>
  <c r="X11" i="3"/>
  <c r="AC11" i="3" l="1"/>
  <c r="AE11" i="3"/>
  <c r="AD11" i="3"/>
  <c r="B6" i="6"/>
  <c r="J6" i="6" s="1"/>
  <c r="Y11" i="3"/>
  <c r="T11" i="3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N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34" i="3" s="1"/>
  <c r="G34" i="4"/>
  <c r="G35" i="4"/>
  <c r="G36" i="4"/>
  <c r="G37" i="4"/>
  <c r="G38" i="4"/>
  <c r="G39" i="4"/>
  <c r="N24" i="3" s="1"/>
  <c r="G40" i="4"/>
  <c r="G41" i="4"/>
  <c r="G42" i="4"/>
  <c r="N8" i="3" s="1"/>
  <c r="G43" i="4"/>
  <c r="N26" i="3" s="1"/>
  <c r="G44" i="4"/>
  <c r="G45" i="4"/>
  <c r="G46" i="4"/>
  <c r="G47" i="4"/>
  <c r="G48" i="4"/>
  <c r="G49" i="4"/>
  <c r="G50" i="4"/>
  <c r="G51" i="4"/>
  <c r="G52" i="4"/>
  <c r="G53" i="4"/>
  <c r="G54" i="4"/>
  <c r="G55" i="4"/>
  <c r="N42" i="3" s="1"/>
  <c r="G56" i="4"/>
  <c r="G57" i="4"/>
  <c r="G58" i="4"/>
  <c r="G59" i="4"/>
  <c r="G60" i="4"/>
  <c r="N20" i="3" s="1"/>
  <c r="G61" i="4"/>
  <c r="N10" i="3" s="1"/>
  <c r="G62" i="4"/>
  <c r="G63" i="4"/>
  <c r="N28" i="3" s="1"/>
  <c r="G64" i="4"/>
  <c r="G65" i="4"/>
  <c r="G66" i="4"/>
  <c r="G67" i="4"/>
  <c r="G68" i="4"/>
  <c r="N11" i="3" s="1"/>
  <c r="G69" i="4"/>
  <c r="G70" i="4"/>
  <c r="G71" i="4"/>
  <c r="G72" i="4"/>
  <c r="G73" i="4"/>
  <c r="N9" i="3" s="1"/>
  <c r="G74" i="4"/>
  <c r="G75" i="4"/>
  <c r="G76" i="4"/>
  <c r="G77" i="4"/>
  <c r="G78" i="4"/>
  <c r="G79" i="4"/>
  <c r="G80" i="4"/>
  <c r="G81" i="4"/>
  <c r="G82" i="4"/>
  <c r="G83" i="4"/>
  <c r="H6" i="6" s="1"/>
  <c r="G84" i="4"/>
  <c r="G85" i="4"/>
  <c r="G86" i="4"/>
  <c r="H7" i="6" s="1"/>
  <c r="G87" i="4"/>
  <c r="G88" i="4"/>
  <c r="N29" i="3" s="1"/>
  <c r="G89" i="4"/>
  <c r="G90" i="4"/>
  <c r="G91" i="4"/>
  <c r="G92" i="4"/>
  <c r="G93" i="4"/>
  <c r="G94" i="4"/>
  <c r="G95" i="4"/>
  <c r="N30" i="3" s="1"/>
  <c r="G96" i="4"/>
  <c r="G97" i="4"/>
  <c r="N18" i="3" s="1"/>
  <c r="G98" i="4"/>
  <c r="G99" i="4"/>
  <c r="G100" i="4"/>
  <c r="H8" i="6" s="1"/>
  <c r="G101" i="4"/>
  <c r="G102" i="4"/>
  <c r="G103" i="4"/>
  <c r="N44" i="3" s="1"/>
  <c r="G104" i="4"/>
  <c r="G105" i="4"/>
  <c r="G106" i="4"/>
  <c r="N33" i="3" s="1"/>
  <c r="G107" i="4"/>
  <c r="H13" i="6" s="1"/>
  <c r="G108" i="4"/>
  <c r="G109" i="4"/>
  <c r="N35" i="3" s="1"/>
  <c r="G110" i="4"/>
  <c r="H10" i="6" s="1"/>
  <c r="G111" i="4"/>
  <c r="G112" i="4"/>
  <c r="G113" i="4"/>
  <c r="G114" i="4"/>
  <c r="H11" i="6" s="1"/>
  <c r="G115" i="4"/>
  <c r="G116" i="4"/>
  <c r="H12" i="6" s="1"/>
  <c r="G117" i="4"/>
  <c r="G118" i="4"/>
  <c r="H14" i="6" s="1"/>
  <c r="G119" i="4"/>
  <c r="G120" i="4"/>
  <c r="N27" i="3" s="1"/>
  <c r="G121" i="4"/>
  <c r="G122" i="4"/>
  <c r="H18" i="6" s="1"/>
  <c r="G123" i="4"/>
  <c r="G124" i="4"/>
  <c r="G125" i="4"/>
  <c r="G126" i="4"/>
  <c r="G127" i="4"/>
  <c r="G128" i="4"/>
  <c r="H20" i="6" s="1"/>
  <c r="G129" i="4"/>
  <c r="H17" i="6" s="1"/>
  <c r="G130" i="4"/>
  <c r="N37" i="3" s="1"/>
  <c r="G131" i="4"/>
  <c r="G132" i="4"/>
  <c r="G133" i="4"/>
  <c r="G134" i="4"/>
  <c r="G135" i="4"/>
  <c r="G136" i="4"/>
  <c r="G137" i="4"/>
  <c r="G138" i="4"/>
  <c r="G139" i="4"/>
  <c r="H21" i="6" s="1"/>
  <c r="G140" i="4"/>
  <c r="G141" i="4"/>
  <c r="N23" i="3" s="1"/>
  <c r="G142" i="4"/>
  <c r="H26" i="6" s="1"/>
  <c r="G143" i="4"/>
  <c r="H23" i="6" s="1"/>
  <c r="G144" i="4"/>
  <c r="G145" i="4"/>
  <c r="G146" i="4"/>
  <c r="G147" i="4"/>
  <c r="G148" i="4"/>
  <c r="H28" i="6" s="1"/>
  <c r="G149" i="4"/>
  <c r="G150" i="4"/>
  <c r="G151" i="4"/>
  <c r="G152" i="4"/>
  <c r="H27" i="6" s="1"/>
  <c r="G153" i="4"/>
  <c r="G154" i="4"/>
  <c r="G155" i="4"/>
  <c r="G156" i="4"/>
  <c r="G157" i="4"/>
  <c r="G158" i="4"/>
  <c r="G159" i="4"/>
  <c r="N31" i="3" s="1"/>
  <c r="G160" i="4"/>
  <c r="G161" i="4"/>
  <c r="G162" i="4"/>
  <c r="N45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25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21" i="3" s="1"/>
  <c r="G207" i="4"/>
  <c r="G208" i="4"/>
  <c r="G209" i="4"/>
  <c r="G210" i="4"/>
  <c r="N14" i="3" s="1"/>
  <c r="G211" i="4"/>
  <c r="G212" i="4"/>
  <c r="G213" i="4"/>
  <c r="G214" i="4"/>
  <c r="G215" i="4"/>
  <c r="G216" i="4"/>
  <c r="G217" i="4"/>
  <c r="G218" i="4"/>
  <c r="N41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9" i="3" l="1"/>
  <c r="H19" i="6"/>
  <c r="N7" i="3"/>
  <c r="H9" i="6"/>
  <c r="N32" i="3"/>
  <c r="N13" i="3"/>
  <c r="N15" i="3"/>
  <c r="H16" i="6"/>
  <c r="N17" i="3"/>
  <c r="N16" i="3"/>
  <c r="N40" i="3"/>
  <c r="N22" i="3"/>
  <c r="N39" i="3"/>
  <c r="H24" i="6"/>
  <c r="N12" i="3"/>
  <c r="H25" i="6"/>
  <c r="N38" i="3"/>
  <c r="H22" i="6"/>
  <c r="N36" i="3"/>
  <c r="H15" i="6"/>
  <c r="N43" i="3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<sst xmlns="http://schemas.openxmlformats.org/spreadsheetml/2006/main" count="2810" uniqueCount="1023">
  <si>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</si>
  <si>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</si>
  <si>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</si>
  <si>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</si>
  <si>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</si>
  <si>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</si>
  <si>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</si>
  <si>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</si>
  <si>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</si>
  <si>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</si>
  <si>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</si>
  <si>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</si>
  <si>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</si>
  <si>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</si>
  <si>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</si>
  <si>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</si>
  <si>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</si>
  <si>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</si>
  <si>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</si>
  <si>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</si>
  <si>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</si>
  <si>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</si>
  <si>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</si>
  <si>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</si>
  <si>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</si>
  <si>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</si>
  <si>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</si>
  <si>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</si>
  <si>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</si>
  <si>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</si>
  <si>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</si>
  <si>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</si>
  <si>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</si>
  <si>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</si>
  <si>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</si>
  <si>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</si>
  <si>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</si>
  <si>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</si>
  <si>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</si>
  <si>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</si>
  <si>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</si>
  <si>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</si>
  <si>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</si>
  <si>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</si>
  <si>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</si>
  <si>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</si>
  <si>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</si>
  <si>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</si>
  <si>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</si>
  <si>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</si>
  <si>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</si>
  <si>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</si>
  <si>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</si>
  <si>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</si>
  <si>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</si>
  <si>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</si>
  <si>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</si>
  <si>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</si>
  <si>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</si>
  <si>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</si>
  <si>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</si>
  <si>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</si>
  <si>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</si>
  <si>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</si>
  <si>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</si>
  <si>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</si>
  <si>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</si>
  <si>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</si>
  <si>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</si>
  <si>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</si>
  <si>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</si>
  <si>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</si>
  <si>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</si>
  <si>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</si>
  <si>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</si>
  <si>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</si>
  <si>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</si>
  <si>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</si>
  <si>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</si>
  <si>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</si>
  <si>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</si>
  <si>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</si>
  <si>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</si>
  <si>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</si>
  <si>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</si>
  <si>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</si>
  <si>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</si>
  <si>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</si>
  <si>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</si>
  <si>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</si>
  <si>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</si>
  <si>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</si>
  <si>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</si>
  <si>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</si>
  <si>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</si>
  <si>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</si>
  <si>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</si>
  <si>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</si>
  <si>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</si>
  <si>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</si>
  <si>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</si>
  <si>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</si>
  <si>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</si>
  <si>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</si>
  <si>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</si>
  <si>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</si>
  <si>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</si>
  <si>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</si>
  <si>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</si>
  <si>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</si>
  <si>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</si>
  <si>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</si>
  <si>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</si>
  <si>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</si>
  <si>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</si>
  <si>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</si>
  <si>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</si>
  <si>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</si>
  <si>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</si>
  <si>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</si>
  <si>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</si>
  <si>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</si>
  <si>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</si>
  <si>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</si>
  <si>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</si>
  <si>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</si>
  <si>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</si>
  <si>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</si>
  <si>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</si>
  <si>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</si>
  <si>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</si>
  <si>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</si>
  <si>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</si>
  <si>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</si>
  <si>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</si>
  <si>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</si>
  <si>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</si>
  <si>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</si>
  <si>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</si>
  <si>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</si>
  <si>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</si>
  <si>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</si>
  <si>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</si>
  <si>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</si>
  <si>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</si>
  <si>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</si>
  <si>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</si>
  <si>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</si>
  <si>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</si>
  <si>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</si>
  <si>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</si>
  <si>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</si>
  <si>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</si>
  <si>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</si>
  <si>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</si>
  <si>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</si>
  <si>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</si>
  <si>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</si>
  <si>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</si>
  <si>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</si>
  <si>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</si>
  <si>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</si>
  <si>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</si>
  <si>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</si>
  <si>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</si>
  <si>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</si>
  <si>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</si>
  <si>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</si>
  <si>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</si>
  <si>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</si>
  <si>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</si>
  <si>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</si>
  <si>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</si>
  <si>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</si>
  <si>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</si>
  <si>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</si>
  <si>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</si>
  <si>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</si>
  <si>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</si>
  <si>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</si>
  <si>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</si>
  <si>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</si>
  <si>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</si>
  <si>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</si>
  <si>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</si>
  <si>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</si>
  <si>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</si>
  <si>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</si>
  <si>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</si>
  <si>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</si>
  <si>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</si>
  <si>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</si>
  <si>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</si>
  <si>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</si>
  <si>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</si>
  <si>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</si>
  <si>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</si>
  <si>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</si>
  <si>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</si>
  <si>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</si>
  <si>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</si>
  <si>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</si>
  <si>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</si>
  <si>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</si>
  <si>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</si>
  <si>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</si>
  <si>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</si>
  <si>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</si>
  <si>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</si>
  <si>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</si>
  <si>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</si>
  <si>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</si>
  <si>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</si>
  <si>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</si>
  <si>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</si>
  <si>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</si>
  <si>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</si>
  <si>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</si>
  <si>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</si>
  <si>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</si>
  <si>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</si>
  <si>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</si>
  <si>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</si>
  <si>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</si>
  <si>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</si>
  <si>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</si>
  <si>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</si>
  <si>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</si>
  <si>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</si>
  <si>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</si>
  <si>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</si>
  <si>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</si>
  <si>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</si>
  <si>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</si>
  <si>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</si>
  <si>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</si>
  <si>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</si>
  <si>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</si>
  <si>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</si>
  <si>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</si>
  <si>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</si>
  <si>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</si>
  <si>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</si>
  <si>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</si>
  <si>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</si>
  <si>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</si>
  <si>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</si>
  <si>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</si>
  <si>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</si>
  <si>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</si>
  <si>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</si>
  <si>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</si>
  <si>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</si>
  <si>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</si>
  <si>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</si>
  <si>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</si>
  <si>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</si>
  <si>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</si>
  <si>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</si>
  <si>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</si>
  <si>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</si>
  <si>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</si>
  <si>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</si>
  <si>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</si>
  <si>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</si>
  <si>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</si>
  <si>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</si>
  <si>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</si>
  <si>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</si>
  <si>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</si>
  <si>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</si>
  <si>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</si>
  <si>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</si>
  <si>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</si>
  <si>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</si>
  <si>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</si>
  <si>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</si>
  <si>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</si>
  <si>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</si>
  <si>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</si>
  <si>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</si>
  <si>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</si>
  <si>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</si>
  <si>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</si>
  <si>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</si>
  <si>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</si>
  <si>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</si>
  <si>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</si>
  <si>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</si>
  <si>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</si>
  <si>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</si>
  <si>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</si>
  <si>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</si>
  <si>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</si>
  <si>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</si>
  <si>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</si>
  <si>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</si>
  <si>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</si>
  <si>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</si>
  <si>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</si>
  <si>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</si>
  <si>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</si>
  <si>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</si>
  <si>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</si>
  <si>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</si>
  <si>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</si>
  <si>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</si>
  <si>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</si>
  <si>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</si>
  <si>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</si>
  <si>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</si>
  <si>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</si>
  <si>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</si>
  <si>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</si>
  <si>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</si>
  <si>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</si>
  <si>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</si>
  <si>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</si>
  <si>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</si>
  <si>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</si>
  <si>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</si>
  <si>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</si>
  <si>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</si>
  <si>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</si>
  <si>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</si>
  <si>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</si>
  <si>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</si>
  <si>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</si>
  <si>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</si>
  <si>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</si>
  <si>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</si>
  <si>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</si>
  <si>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</si>
  <si>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</si>
  <si>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</si>
  <si>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</si>
  <si>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</si>
  <si>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</si>
  <si>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</si>
  <si>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</si>
  <si>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</si>
  <si>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</si>
  <si>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</si>
  <si>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</si>
  <si>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</si>
  <si>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</si>
  <si>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</si>
  <si>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</si>
  <si>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</si>
  <si>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</si>
  <si>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</si>
  <si>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</si>
  <si>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</si>
  <si>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</si>
  <si>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</si>
  <si>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</si>
  <si>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</si>
  <si>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</si>
  <si>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</si>
  <si>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</si>
  <si>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</si>
  <si>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</si>
  <si>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204:451</t>
  </si>
  <si>
    <t>300:23346</t>
  </si>
  <si>
    <t>rtdc.l.rtdc.4018:itc</t>
  </si>
  <si>
    <t>204:233314</t>
  </si>
  <si>
    <t>204:464</t>
  </si>
  <si>
    <t>204:156</t>
  </si>
  <si>
    <t>rtdc.l.rtdc.4017:itc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</si>
  <si>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</si>
  <si>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</si>
  <si>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</si>
  <si>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</si>
  <si>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</si>
  <si>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</si>
  <si>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</si>
  <si>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</si>
  <si>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204:442</t>
  </si>
  <si>
    <t>SIGNAL</t>
  </si>
  <si>
    <t>Signal based authority (5)</t>
  </si>
  <si>
    <t>rtdc.l.rtdc.4051:itc</t>
  </si>
  <si>
    <t>Y</t>
  </si>
  <si>
    <t>rtdc.l.rtdc.4052:itc</t>
  </si>
  <si>
    <t>rtdc.l.rtdc.4041:itc</t>
  </si>
  <si>
    <t>204:233301</t>
  </si>
  <si>
    <t>204:455</t>
  </si>
  <si>
    <t>rtdc.l.rtdc.4033:itc</t>
  </si>
  <si>
    <t>rtdc.l.rtdc.4034:itc</t>
  </si>
  <si>
    <t>partly-cloudy-day</t>
  </si>
  <si>
    <t>204:233312</t>
  </si>
  <si>
    <t>204:136</t>
  </si>
  <si>
    <t>204:232998</t>
  </si>
  <si>
    <t>204:232992</t>
  </si>
  <si>
    <t>rtdc.l.rtdc.4011:itc</t>
  </si>
  <si>
    <t>rtdc.l.rtdc.4021:itc</t>
  </si>
  <si>
    <t>rtdc.l.rtdc.4012:itc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</si>
  <si>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</si>
  <si>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</si>
  <si>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</si>
  <si>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</si>
  <si>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</si>
  <si>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</si>
  <si>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</si>
  <si>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</si>
  <si>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</si>
  <si>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243-08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</si>
  <si>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</si>
  <si>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</si>
  <si>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</si>
  <si>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</si>
  <si>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</si>
  <si>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</si>
  <si>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</si>
  <si>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</si>
  <si>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</si>
  <si>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</si>
  <si>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</si>
  <si>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</si>
  <si>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</si>
  <si>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</si>
  <si>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238-08</t>
  </si>
  <si>
    <t>240-08</t>
  </si>
  <si>
    <t>315-08</t>
  </si>
  <si>
    <t>242-08</t>
  </si>
  <si>
    <t>309-08</t>
  </si>
  <si>
    <t>311-08</t>
  </si>
  <si>
    <t>313-08</t>
  </si>
  <si>
    <t>204:462</t>
  </si>
  <si>
    <t>204:232994</t>
  </si>
  <si>
    <t>204:433</t>
  </si>
  <si>
    <t>204:233293</t>
  </si>
  <si>
    <t>204:233280</t>
  </si>
  <si>
    <t>204:477</t>
  </si>
  <si>
    <t>300:58617</t>
  </si>
  <si>
    <t>204:979</t>
  </si>
  <si>
    <t>300:58926</t>
  </si>
  <si>
    <t>rtdc.l.rtdc.4005:itc</t>
  </si>
  <si>
    <t>rtdc.l.rtdc.4006:itc</t>
  </si>
  <si>
    <t>rtdc.l.rtdc.4007:itc</t>
  </si>
  <si>
    <t>rtdc.l.rtdc.4032:itc</t>
  </si>
  <si>
    <t>rtdc.l.rtdc.4008:itc</t>
  </si>
  <si>
    <t>SWANSON</t>
  </si>
  <si>
    <t>BRYCE</t>
  </si>
  <si>
    <t>FORTUNATO</t>
  </si>
  <si>
    <t>FRANK</t>
  </si>
  <si>
    <t>204:438</t>
  </si>
  <si>
    <t>204:232988</t>
  </si>
  <si>
    <t>204:471</t>
  </si>
  <si>
    <t>204:232973</t>
  </si>
  <si>
    <t>300:58624</t>
  </si>
  <si>
    <t>204:680</t>
  </si>
  <si>
    <t>rtdc.l.rtdc.4025:itc</t>
  </si>
  <si>
    <t>rtdc.l.rtdc.4026:itc</t>
  </si>
  <si>
    <t>rtdc.l.rtdc.4015:itc</t>
  </si>
  <si>
    <t>rtdc.l.rtdc.4001:itc</t>
  </si>
  <si>
    <t>BADERTSCHER</t>
  </si>
  <si>
    <t>DIANE</t>
  </si>
  <si>
    <t>YORK</t>
  </si>
  <si>
    <t>EDGAR</t>
  </si>
  <si>
    <t>DELGADO</t>
  </si>
  <si>
    <t>DIANAH</t>
  </si>
  <si>
    <t>rtdc.l.rtdc.4016:itc</t>
  </si>
  <si>
    <t>HELVIE</t>
  </si>
  <si>
    <t>ADAM</t>
  </si>
  <si>
    <t>LOPES</t>
  </si>
  <si>
    <t>KIMBERLY</t>
  </si>
  <si>
    <t>STORY</t>
  </si>
  <si>
    <t>SAMANTHA</t>
  </si>
  <si>
    <t>BROWN</t>
  </si>
  <si>
    <t>JACOB</t>
  </si>
  <si>
    <t>SULLIVAN</t>
  </si>
  <si>
    <t>BRANDON</t>
  </si>
  <si>
    <t>YANG</t>
  </si>
  <si>
    <t>JAN</t>
  </si>
  <si>
    <t>204:424</t>
  </si>
  <si>
    <t>204:134</t>
  </si>
  <si>
    <t>204:427</t>
  </si>
  <si>
    <t>204:233006</t>
  </si>
  <si>
    <t>204:232953</t>
  </si>
  <si>
    <t>204:130</t>
  </si>
  <si>
    <t>204:233317</t>
  </si>
  <si>
    <t>300:23304</t>
  </si>
  <si>
    <t>204:475</t>
  </si>
  <si>
    <t>300:58929</t>
  </si>
  <si>
    <t>300:58609</t>
  </si>
  <si>
    <t>SWITCH UNKNOWN</t>
  </si>
  <si>
    <t>Track device (7)</t>
  </si>
  <si>
    <t>rtdc.l.rtdc.4053:itc</t>
  </si>
  <si>
    <t>rtdc.l.rtdc.4054:itc</t>
  </si>
  <si>
    <t>212-11</t>
  </si>
  <si>
    <t>307-11</t>
  </si>
  <si>
    <t>224-11</t>
  </si>
  <si>
    <t>844-11</t>
  </si>
  <si>
    <t>MACDONALD</t>
  </si>
  <si>
    <t>ARVIDSON</t>
  </si>
  <si>
    <t>DANIEL</t>
  </si>
  <si>
    <t>BRANDNER</t>
  </si>
  <si>
    <t>MELINDA</t>
  </si>
  <si>
    <t>rtdc.l.rtdc.4002:itc</t>
  </si>
  <si>
    <t>WHITED</t>
  </si>
  <si>
    <t>DUSTIN</t>
  </si>
  <si>
    <t>PERKINS</t>
  </si>
  <si>
    <t>DARREN</t>
  </si>
  <si>
    <t>219-11</t>
  </si>
  <si>
    <t>214-11</t>
  </si>
  <si>
    <t>838-11</t>
  </si>
  <si>
    <t>303-11</t>
  </si>
  <si>
    <t>77-11</t>
  </si>
  <si>
    <t>839-11</t>
  </si>
  <si>
    <t>87-11</t>
  </si>
  <si>
    <t>216-11</t>
  </si>
  <si>
    <t>221-11</t>
  </si>
  <si>
    <t>906-11</t>
  </si>
  <si>
    <t>841-11</t>
  </si>
  <si>
    <t>218-11</t>
  </si>
  <si>
    <t>220-11</t>
  </si>
  <si>
    <t>223-11</t>
  </si>
  <si>
    <t>305-11</t>
  </si>
  <si>
    <t>840-11</t>
  </si>
  <si>
    <t>222-11</t>
  </si>
  <si>
    <t>225-11</t>
  </si>
  <si>
    <t>843-11</t>
  </si>
  <si>
    <t>227-11</t>
  </si>
  <si>
    <t>842-11</t>
  </si>
  <si>
    <t>229-11</t>
  </si>
  <si>
    <t>226-11</t>
  </si>
  <si>
    <t>66-11</t>
  </si>
  <si>
    <t>88-11</t>
  </si>
  <si>
    <t>845-11</t>
  </si>
  <si>
    <t>228-11</t>
  </si>
  <si>
    <t>231-11</t>
  </si>
  <si>
    <t>230-11</t>
  </si>
  <si>
    <t>233-11</t>
  </si>
  <si>
    <t>847-11</t>
  </si>
  <si>
    <t>232-11</t>
  </si>
  <si>
    <t>235-11</t>
  </si>
  <si>
    <t>908-11</t>
  </si>
  <si>
    <t>234-11</t>
  </si>
  <si>
    <t>237-11</t>
  </si>
  <si>
    <t>236-11</t>
  </si>
  <si>
    <t>239-11</t>
  </si>
  <si>
    <t>238-11</t>
  </si>
  <si>
    <t>241-11</t>
  </si>
  <si>
    <t>243-11</t>
  </si>
  <si>
    <t>240-11</t>
  </si>
  <si>
    <t>315-11</t>
  </si>
  <si>
    <t>242-11</t>
  </si>
  <si>
    <t>244-11</t>
  </si>
  <si>
    <t>309-11</t>
  </si>
  <si>
    <t>311-11</t>
  </si>
  <si>
    <t>313-11</t>
  </si>
  <si>
    <t>Partly Cloudy</t>
  </si>
  <si>
    <t>Clear</t>
  </si>
  <si>
    <t>clear-night</t>
  </si>
  <si>
    <t>204:719</t>
  </si>
  <si>
    <t>204:761</t>
  </si>
  <si>
    <t>204:233291</t>
  </si>
  <si>
    <t>204:233257</t>
  </si>
  <si>
    <t>204:768</t>
  </si>
  <si>
    <t>204:232976</t>
  </si>
  <si>
    <t>204:154</t>
  </si>
  <si>
    <t>204:232942</t>
  </si>
  <si>
    <t>204:233311</t>
  </si>
  <si>
    <t>204:233380</t>
  </si>
  <si>
    <t>204:233083</t>
  </si>
  <si>
    <t>204:233125</t>
  </si>
  <si>
    <t>204:233284</t>
  </si>
  <si>
    <t>204:233327</t>
  </si>
  <si>
    <t>204:232989</t>
  </si>
  <si>
    <t>300:23017</t>
  </si>
  <si>
    <t>204:174</t>
  </si>
  <si>
    <t>204:161</t>
  </si>
  <si>
    <t>204:1488</t>
  </si>
  <si>
    <t>300:58944</t>
  </si>
  <si>
    <t>204:988</t>
  </si>
  <si>
    <t>300:58638</t>
  </si>
  <si>
    <t>300:58931</t>
  </si>
  <si>
    <t>300:58935</t>
  </si>
  <si>
    <t>300:58615</t>
  </si>
  <si>
    <t>Wi-MAX data drop</t>
  </si>
  <si>
    <t>Early arrival</t>
  </si>
  <si>
    <t>Selected wrong track</t>
  </si>
  <si>
    <t>rtdc.l.rtdc.4009:itc</t>
  </si>
  <si>
    <t>104-14</t>
  </si>
  <si>
    <t>113-14</t>
  </si>
  <si>
    <t>115-14</t>
  </si>
  <si>
    <t>112-14</t>
  </si>
  <si>
    <t>rtdc.l.rtdc.4031:itc</t>
  </si>
  <si>
    <t>110-14</t>
  </si>
  <si>
    <t>1801-14</t>
  </si>
  <si>
    <t>1802-14</t>
  </si>
  <si>
    <t>116-14</t>
  </si>
  <si>
    <t>129-14</t>
  </si>
  <si>
    <t>124-14</t>
  </si>
  <si>
    <t>rtdc.l.rtdc.4010:itc</t>
  </si>
  <si>
    <t>131-14</t>
  </si>
  <si>
    <t>132-14</t>
  </si>
  <si>
    <t>144-14</t>
  </si>
  <si>
    <t>157-14</t>
  </si>
  <si>
    <t>152-14</t>
  </si>
  <si>
    <t>150-14</t>
  </si>
  <si>
    <t>1812-14</t>
  </si>
  <si>
    <t>160-14</t>
  </si>
  <si>
    <t>169-14</t>
  </si>
  <si>
    <t>171-14</t>
  </si>
  <si>
    <t>170-14</t>
  </si>
  <si>
    <t>172-14</t>
  </si>
  <si>
    <t>183-14</t>
  </si>
  <si>
    <t>180-14</t>
  </si>
  <si>
    <t>185-14</t>
  </si>
  <si>
    <t>rtdc.l.rtdc.4046:itc</t>
  </si>
  <si>
    <t>189-14</t>
  </si>
  <si>
    <t>186-14</t>
  </si>
  <si>
    <t>199-14</t>
  </si>
  <si>
    <t>192-14</t>
  </si>
  <si>
    <t>200-14</t>
  </si>
  <si>
    <t>65-14</t>
  </si>
  <si>
    <t>216-14</t>
  </si>
  <si>
    <t>233-14</t>
  </si>
  <si>
    <t>235-14</t>
  </si>
  <si>
    <t>236-14</t>
  </si>
  <si>
    <t>243-14</t>
  </si>
  <si>
    <t>rtdc.l.rtdc.4062:itc</t>
  </si>
  <si>
    <t>81-13</t>
  </si>
  <si>
    <t>245-13</t>
  </si>
  <si>
    <t>89-13</t>
  </si>
  <si>
    <t>309-13</t>
  </si>
  <si>
    <t>244-13</t>
  </si>
  <si>
    <t>rtdc.l.rtdc.4061:itc</t>
  </si>
  <si>
    <t>311-13</t>
  </si>
  <si>
    <t>DUNCAN</t>
  </si>
  <si>
    <t>SHEILA</t>
  </si>
  <si>
    <t>246-13</t>
  </si>
  <si>
    <t>313-13</t>
  </si>
  <si>
    <t>315-13</t>
  </si>
  <si>
    <t>302-14</t>
  </si>
  <si>
    <t>SANTIZO</t>
  </si>
  <si>
    <t>D. EDY</t>
  </si>
  <si>
    <t>101-14</t>
  </si>
  <si>
    <t>304-14</t>
  </si>
  <si>
    <t>MAELZER</t>
  </si>
  <si>
    <t>KURT</t>
  </si>
  <si>
    <t>103-14</t>
  </si>
  <si>
    <t>102-14</t>
  </si>
  <si>
    <t>306-14</t>
  </si>
  <si>
    <t>308-14</t>
  </si>
  <si>
    <t>DAVIS</t>
  </si>
  <si>
    <t>WENDY</t>
  </si>
  <si>
    <t>105-14</t>
  </si>
  <si>
    <t>310-14</t>
  </si>
  <si>
    <t>NELSON</t>
  </si>
  <si>
    <t>ARIANE</t>
  </si>
  <si>
    <t>107-14</t>
  </si>
  <si>
    <t>109-14</t>
  </si>
  <si>
    <t>111-14</t>
  </si>
  <si>
    <t>GEBRETEKLE</t>
  </si>
  <si>
    <t>DAGNEW</t>
  </si>
  <si>
    <t>106-14</t>
  </si>
  <si>
    <t>1901-14</t>
  </si>
  <si>
    <t>108-14</t>
  </si>
  <si>
    <t>117-14</t>
  </si>
  <si>
    <t>1800-14</t>
  </si>
  <si>
    <t>114-14</t>
  </si>
  <si>
    <t>119-14</t>
  </si>
  <si>
    <t>51-14</t>
  </si>
  <si>
    <t>121-14</t>
  </si>
  <si>
    <t>123-14</t>
  </si>
  <si>
    <t>118-14</t>
  </si>
  <si>
    <t>125-14</t>
  </si>
  <si>
    <t>rtdc.l.rtdc.4045:itc</t>
  </si>
  <si>
    <t>120-14</t>
  </si>
  <si>
    <t>127-14</t>
  </si>
  <si>
    <t>122-14</t>
  </si>
  <si>
    <t>1803-14</t>
  </si>
  <si>
    <t>126-14</t>
  </si>
  <si>
    <t>128-14</t>
  </si>
  <si>
    <t>1804-14</t>
  </si>
  <si>
    <t>133-14</t>
  </si>
  <si>
    <t>135-14</t>
  </si>
  <si>
    <t>1805-14</t>
  </si>
  <si>
    <t>130-14</t>
  </si>
  <si>
    <t>137-14</t>
  </si>
  <si>
    <t>139-14</t>
  </si>
  <si>
    <t>134-14</t>
  </si>
  <si>
    <t>1806-14</t>
  </si>
  <si>
    <t>141-14</t>
  </si>
  <si>
    <t>136-14</t>
  </si>
  <si>
    <t>1807-14</t>
  </si>
  <si>
    <t>143-14</t>
  </si>
  <si>
    <t>138-14</t>
  </si>
  <si>
    <t>140-14</t>
  </si>
  <si>
    <t>147-14</t>
  </si>
  <si>
    <t>142-14</t>
  </si>
  <si>
    <t>1808-14</t>
  </si>
  <si>
    <t>149-14</t>
  </si>
  <si>
    <t>151-14</t>
  </si>
  <si>
    <t>1809-14</t>
  </si>
  <si>
    <t>153-14</t>
  </si>
  <si>
    <t>146-14</t>
  </si>
  <si>
    <t>148-14</t>
  </si>
  <si>
    <t>155-14</t>
  </si>
  <si>
    <t>ROMERO</t>
  </si>
  <si>
    <t>CHAD</t>
  </si>
  <si>
    <t>1810-14</t>
  </si>
  <si>
    <t>1811-14</t>
  </si>
  <si>
    <t>154-14</t>
  </si>
  <si>
    <t>156-14</t>
  </si>
  <si>
    <t>161-14</t>
  </si>
  <si>
    <t>163-14</t>
  </si>
  <si>
    <t>LEVIN</t>
  </si>
  <si>
    <t>SCOTT</t>
  </si>
  <si>
    <t>158-14</t>
  </si>
  <si>
    <t>165-14</t>
  </si>
  <si>
    <t>SAFIEF</t>
  </si>
  <si>
    <t>AEIMEN</t>
  </si>
  <si>
    <t>STEWART</t>
  </si>
  <si>
    <t>167-14</t>
  </si>
  <si>
    <t>LALONDE</t>
  </si>
  <si>
    <t>GREGORY</t>
  </si>
  <si>
    <t>1813-14</t>
  </si>
  <si>
    <t>162-14</t>
  </si>
  <si>
    <t>53-14</t>
  </si>
  <si>
    <t>DAVIDSON</t>
  </si>
  <si>
    <t>DAVID</t>
  </si>
  <si>
    <t>164-14</t>
  </si>
  <si>
    <t>173-14</t>
  </si>
  <si>
    <t>166-14</t>
  </si>
  <si>
    <t>1814-14</t>
  </si>
  <si>
    <t>168-14</t>
  </si>
  <si>
    <t>1815-14</t>
  </si>
  <si>
    <t>175-14</t>
  </si>
  <si>
    <t>177-14</t>
  </si>
  <si>
    <t>179-14</t>
  </si>
  <si>
    <t>174-14</t>
  </si>
  <si>
    <t>1816-14</t>
  </si>
  <si>
    <t>181-14</t>
  </si>
  <si>
    <t>176-14</t>
  </si>
  <si>
    <t>178-14</t>
  </si>
  <si>
    <t>1817-14</t>
  </si>
  <si>
    <t>187-14</t>
  </si>
  <si>
    <t>182-14</t>
  </si>
  <si>
    <t>1818-14</t>
  </si>
  <si>
    <t>184-14</t>
  </si>
  <si>
    <t>191-14</t>
  </si>
  <si>
    <t>193-14</t>
  </si>
  <si>
    <t>188-14</t>
  </si>
  <si>
    <t>1819-14</t>
  </si>
  <si>
    <t>195-14</t>
  </si>
  <si>
    <t>1820-14</t>
  </si>
  <si>
    <t>190-14</t>
  </si>
  <si>
    <t>197-14</t>
  </si>
  <si>
    <t>194-14</t>
  </si>
  <si>
    <t>196-14</t>
  </si>
  <si>
    <t>1821-14</t>
  </si>
  <si>
    <t>203-14</t>
  </si>
  <si>
    <t>198-14</t>
  </si>
  <si>
    <t>1822-14</t>
  </si>
  <si>
    <t>205-14</t>
  </si>
  <si>
    <t>55-14</t>
  </si>
  <si>
    <t>MCREYNOLDS</t>
  </si>
  <si>
    <t>KYLE</t>
  </si>
  <si>
    <t>207-14</t>
  </si>
  <si>
    <t>209-14</t>
  </si>
  <si>
    <t>1823-14</t>
  </si>
  <si>
    <t>211-14</t>
  </si>
  <si>
    <t>204-14</t>
  </si>
  <si>
    <t>60-14</t>
  </si>
  <si>
    <t>1824-14</t>
  </si>
  <si>
    <t>206-14</t>
  </si>
  <si>
    <t>208-14</t>
  </si>
  <si>
    <t>213-14</t>
  </si>
  <si>
    <t>215-14</t>
  </si>
  <si>
    <t>210-14</t>
  </si>
  <si>
    <t>212-14</t>
  </si>
  <si>
    <t>217-14</t>
  </si>
  <si>
    <t>1825-14</t>
  </si>
  <si>
    <t>219-14</t>
  </si>
  <si>
    <t>STAMBAUGH</t>
  </si>
  <si>
    <t>214-14</t>
  </si>
  <si>
    <t>1826-14</t>
  </si>
  <si>
    <t>303-14</t>
  </si>
  <si>
    <t>221-14</t>
  </si>
  <si>
    <t>218-14</t>
  </si>
  <si>
    <t>305-14</t>
  </si>
  <si>
    <t>1827-14</t>
  </si>
  <si>
    <t>220-14</t>
  </si>
  <si>
    <t>223-14</t>
  </si>
  <si>
    <t>1828-14</t>
  </si>
  <si>
    <t>222-14</t>
  </si>
  <si>
    <t>307-14</t>
  </si>
  <si>
    <t>225-14</t>
  </si>
  <si>
    <t>227-14</t>
  </si>
  <si>
    <t>224-14</t>
  </si>
  <si>
    <t>1829-14</t>
  </si>
  <si>
    <t>1830-14</t>
  </si>
  <si>
    <t>226-14</t>
  </si>
  <si>
    <t>229-14</t>
  </si>
  <si>
    <t>1831-14</t>
  </si>
  <si>
    <t>228-14</t>
  </si>
  <si>
    <t>231-14</t>
  </si>
  <si>
    <t>1832-14</t>
  </si>
  <si>
    <t>230-14</t>
  </si>
  <si>
    <t>1833-14</t>
  </si>
  <si>
    <t>232-14</t>
  </si>
  <si>
    <t>1902-14</t>
  </si>
  <si>
    <t>234-14</t>
  </si>
  <si>
    <t>237-14</t>
  </si>
  <si>
    <t>239-14</t>
  </si>
  <si>
    <t>241-14</t>
  </si>
  <si>
    <t>238-14</t>
  </si>
  <si>
    <t>240-14</t>
  </si>
  <si>
    <t>315-14</t>
  </si>
  <si>
    <t>242-14</t>
  </si>
  <si>
    <t>309-14</t>
  </si>
  <si>
    <t>244-14</t>
  </si>
  <si>
    <t>311-14</t>
  </si>
  <si>
    <t>313-14</t>
  </si>
  <si>
    <t>fog</t>
  </si>
  <si>
    <t>Foggy</t>
  </si>
  <si>
    <t>Mostly Cloudy</t>
  </si>
  <si>
    <t>partly-cloudy-night</t>
  </si>
  <si>
    <t>204:233385</t>
  </si>
  <si>
    <t>204:232781</t>
  </si>
  <si>
    <t>204:814</t>
  </si>
  <si>
    <t>204:232646</t>
  </si>
  <si>
    <t>204:757</t>
  </si>
  <si>
    <t>204:233319</t>
  </si>
  <si>
    <t>204:232687</t>
  </si>
  <si>
    <t>204:233297</t>
  </si>
  <si>
    <t>204:232985</t>
  </si>
  <si>
    <t>204:808</t>
  </si>
  <si>
    <t>204:233000</t>
  </si>
  <si>
    <t>204:467</t>
  </si>
  <si>
    <t>204:233259</t>
  </si>
  <si>
    <t>204:772</t>
  </si>
  <si>
    <t>204:232990</t>
  </si>
  <si>
    <t>204:418</t>
  </si>
  <si>
    <t>204:233272</t>
  </si>
  <si>
    <t>204:233002</t>
  </si>
  <si>
    <t>204:770</t>
  </si>
  <si>
    <t>204:233295</t>
  </si>
  <si>
    <t>204:233323</t>
  </si>
  <si>
    <t>204:233017</t>
  </si>
  <si>
    <t>204:233305</t>
  </si>
  <si>
    <t>204:232980</t>
  </si>
  <si>
    <t>204:233302</t>
  </si>
  <si>
    <t>204:232991</t>
  </si>
  <si>
    <t>204:165</t>
  </si>
  <si>
    <t>204:233288</t>
  </si>
  <si>
    <t>204:232975</t>
  </si>
  <si>
    <t>204:233276</t>
  </si>
  <si>
    <t>204:232970</t>
  </si>
  <si>
    <t>204:232974</t>
  </si>
  <si>
    <t>204:232982</t>
  </si>
  <si>
    <t>204:233353</t>
  </si>
  <si>
    <t>204:233030</t>
  </si>
  <si>
    <t>204:233324</t>
  </si>
  <si>
    <t>204:233005</t>
  </si>
  <si>
    <t>204:232983</t>
  </si>
  <si>
    <t>204:233011</t>
  </si>
  <si>
    <t>204:232957</t>
  </si>
  <si>
    <t>204:243</t>
  </si>
  <si>
    <t>204:233019</t>
  </si>
  <si>
    <t>204:233300</t>
  </si>
  <si>
    <t>204:233282</t>
  </si>
  <si>
    <t>204:233393</t>
  </si>
  <si>
    <t>204:233092</t>
  </si>
  <si>
    <t>204:107</t>
  </si>
  <si>
    <t>204:553</t>
  </si>
  <si>
    <t>204:233306</t>
  </si>
  <si>
    <t>204:167</t>
  </si>
  <si>
    <t>204:232967</t>
  </si>
  <si>
    <t>204:1357</t>
  </si>
  <si>
    <t>204:233325</t>
  </si>
  <si>
    <t>204:233318</t>
  </si>
  <si>
    <t>204:233099</t>
  </si>
  <si>
    <t>204:114</t>
  </si>
  <si>
    <t>204:233363</t>
  </si>
  <si>
    <t>204:233036</t>
  </si>
  <si>
    <t>204:473</t>
  </si>
  <si>
    <t>204:233347</t>
  </si>
  <si>
    <t>204:233034</t>
  </si>
  <si>
    <t>204:411</t>
  </si>
  <si>
    <t>204:233402</t>
  </si>
  <si>
    <t>204:110743</t>
  </si>
  <si>
    <t>204:112</t>
  </si>
  <si>
    <t>204:110735</t>
  </si>
  <si>
    <t>204:233399</t>
  </si>
  <si>
    <t>204:233090</t>
  </si>
  <si>
    <t>204:233001</t>
  </si>
  <si>
    <t>204:409</t>
  </si>
  <si>
    <t>204:233395</t>
  </si>
  <si>
    <t>204:233089</t>
  </si>
  <si>
    <t>204:132</t>
  </si>
  <si>
    <t>204:233326</t>
  </si>
  <si>
    <t>204:740</t>
  </si>
  <si>
    <t>204:1028</t>
  </si>
  <si>
    <t>204:3766</t>
  </si>
  <si>
    <t>300:18479</t>
  </si>
  <si>
    <t>204:999</t>
  </si>
  <si>
    <t>300:58941</t>
  </si>
  <si>
    <t>300:58632</t>
  </si>
  <si>
    <t>204:706</t>
  </si>
  <si>
    <t>204:731</t>
  </si>
  <si>
    <t>204:1021</t>
  </si>
  <si>
    <t>300:58621</t>
  </si>
  <si>
    <t>204:745</t>
  </si>
  <si>
    <t>204:1023</t>
  </si>
  <si>
    <t>204:736</t>
  </si>
  <si>
    <t>204:1018</t>
  </si>
  <si>
    <t>300:58613</t>
  </si>
  <si>
    <t>300:58606</t>
  </si>
  <si>
    <t>204:738</t>
  </si>
  <si>
    <t>204:1027</t>
  </si>
  <si>
    <t>300:58939</t>
  </si>
  <si>
    <t>300:58611</t>
  </si>
  <si>
    <t>204:1044</t>
  </si>
  <si>
    <t>300:58937</t>
  </si>
  <si>
    <t>204:752</t>
  </si>
  <si>
    <t>204:1042</t>
  </si>
  <si>
    <t>204:734</t>
  </si>
  <si>
    <t>204:1032</t>
  </si>
  <si>
    <t>300:58928</t>
  </si>
  <si>
    <t>204:776</t>
  </si>
  <si>
    <t>204:1049</t>
  </si>
  <si>
    <t>204:766</t>
  </si>
  <si>
    <t>204:1065</t>
  </si>
  <si>
    <t>204:778</t>
  </si>
  <si>
    <t>204:1063</t>
  </si>
  <si>
    <t>204:233449</t>
  </si>
  <si>
    <t>204:102</t>
  </si>
  <si>
    <t>204:404</t>
  </si>
  <si>
    <t>204:233142</t>
  </si>
  <si>
    <t>204:233332</t>
  </si>
  <si>
    <t>204:8048</t>
  </si>
  <si>
    <t>204:233168</t>
  </si>
  <si>
    <t>204:232913</t>
  </si>
  <si>
    <t>300:29957</t>
  </si>
  <si>
    <t>300:58623</t>
  </si>
  <si>
    <t>300:21755</t>
  </si>
  <si>
    <t>204:233046</t>
  </si>
  <si>
    <t>204:233389</t>
  </si>
  <si>
    <t>204:233068</t>
  </si>
  <si>
    <t>204:233362</t>
  </si>
  <si>
    <t>204:233053</t>
  </si>
  <si>
    <t>204:233361</t>
  </si>
  <si>
    <t>204:233049</t>
  </si>
  <si>
    <t>204:416</t>
  </si>
  <si>
    <t>204:232927</t>
  </si>
  <si>
    <t>204:233321</t>
  </si>
  <si>
    <t>204:233370</t>
  </si>
  <si>
    <t>204:233397</t>
  </si>
  <si>
    <t>204:233072</t>
  </si>
  <si>
    <t>204:420</t>
  </si>
  <si>
    <t>204:233442</t>
  </si>
  <si>
    <t>204:232971</t>
  </si>
  <si>
    <t>204:19126</t>
  </si>
  <si>
    <t>204:440</t>
  </si>
  <si>
    <t>204:1236</t>
  </si>
  <si>
    <t>204:232984</t>
  </si>
  <si>
    <t>204:233405</t>
  </si>
  <si>
    <t>204:233111</t>
  </si>
  <si>
    <t>204:362</t>
  </si>
  <si>
    <t>204:233428</t>
  </si>
  <si>
    <t>204:233153</t>
  </si>
  <si>
    <t>204:68</t>
  </si>
  <si>
    <t>204:233491</t>
  </si>
  <si>
    <t>204:233104</t>
  </si>
  <si>
    <t>204:365</t>
  </si>
  <si>
    <t>204:233458</t>
  </si>
  <si>
    <t>204:233151</t>
  </si>
  <si>
    <t>204:371</t>
  </si>
  <si>
    <t>204:233376</t>
  </si>
  <si>
    <t>300:19517</t>
  </si>
  <si>
    <t>204:101</t>
  </si>
  <si>
    <t>300:23106</t>
  </si>
  <si>
    <t>300:22900</t>
  </si>
  <si>
    <t>300:22864</t>
  </si>
  <si>
    <t>300:22003</t>
  </si>
  <si>
    <t>300:23306</t>
  </si>
  <si>
    <t>300:22641</t>
  </si>
  <si>
    <t>300:23299</t>
  </si>
  <si>
    <t>300:23316</t>
  </si>
  <si>
    <t>204:3352</t>
  </si>
  <si>
    <t>204:1160</t>
  </si>
  <si>
    <t>204:3665</t>
  </si>
  <si>
    <t>204:3110</t>
  </si>
  <si>
    <t>204:1481</t>
  </si>
  <si>
    <t>204:3445</t>
  </si>
  <si>
    <t>300:23709</t>
  </si>
  <si>
    <t>204:892</t>
  </si>
  <si>
    <t>204:3574</t>
  </si>
  <si>
    <t>204:3870</t>
  </si>
  <si>
    <t>204:1167</t>
  </si>
  <si>
    <t>204:91</t>
  </si>
  <si>
    <t>204:1302</t>
  </si>
  <si>
    <t>204:1609</t>
  </si>
  <si>
    <t>300:23312</t>
  </si>
  <si>
    <t>204:408</t>
  </si>
  <si>
    <t>300:58950</t>
  </si>
  <si>
    <t>start /low /b %USERPROFILE%\Documents\GitHub\eaglep3\Utilities\DownloadLogsFromS3.py --loco 4015 --day 2017-05-14</t>
  </si>
  <si>
    <t>start /low /b %USERPROFILE%\Documents\GitHub\eaglep3\Utilities\DownloadLogsFromS3.py --loco 4017 --day 2017-05-14</t>
  </si>
  <si>
    <t>start /low /b %USERPROFILE%\Documents\GitHub\eaglep3\Utilities\DownloadLogsFromS3.py --loco 4006 --day 2017-05-14</t>
  </si>
  <si>
    <t>start /low /b %USERPROFILE%\Documents\GitHub\eaglep3\Utilities\DownloadLogsFromS3.py --loco 4026 --day 2017-05-14</t>
  </si>
  <si>
    <t>start /low /b %USERPROFILE%\Documents\GitHub\eaglep3\Utilities\DownloadLogsFromS3.py --loco 4025 --day 2017-05-14</t>
  </si>
  <si>
    <t>start /low /b %USERPROFILE%\Documents\GitHub\eaglep3\Utilities\DownloadLogsFromS3.py --loco 4031 --day 2017-05-14</t>
  </si>
  <si>
    <t>start /low /b %USERPROFILE%\Documents\GitHub\eaglep3\Utilities\DownloadLogsFromS3.py --loco 4009 --day 2017-05-14</t>
  </si>
  <si>
    <t>start /low /b %USERPROFILE%\Documents\GitHub\eaglep3\Utilities\DownloadLogsFromS3.py --loco 4001 --day 2017-05-14</t>
  </si>
  <si>
    <t>start /low /b %USERPROFILE%\Documents\GitHub\eaglep3\Utilities\DownloadLogsFromS3.py --loco 4001 --day 2017-05-15</t>
  </si>
  <si>
    <t>start /low /b %USERPROFILE%\Documents\GitHub\eaglep3\Utilities\DownloadLogsFromS3.py --loco 4002 --day 2017-05-15</t>
  </si>
  <si>
    <t>start /low /b %USERPROFILE%\Documents\GitHub\eaglep3\Utilities\DownloadLogsFromS3.py --loco 4005 --day 2017-05-14</t>
  </si>
  <si>
    <t>start /low /b %USERPROFILE%\Documents\GitHub\eaglep3\Utilities\DownloadLogsFromS3.py --loco 4046 --day 2017-05-15</t>
  </si>
  <si>
    <t>start /low /b %USERPROFILE%\Documents\GitHub\eaglep3\Utilities\DownloadLogsFromS3.py --loco 4017 --day 2017-05-15</t>
  </si>
  <si>
    <t>start /low /b %USERPROFILE%\Documents\GitHub\eaglep3\Utilities\DownloadLogsFromS3.py --loco 4011 --day 2017-05-14</t>
  </si>
  <si>
    <t>start /low /b %USERPROFILE%\Documents\GitHub\eaglep3\Utilities\DownloadLogsFromS3.py --loco 4010 --day 2017-05-14</t>
  </si>
  <si>
    <t>start /low /b %USERPROFILE%\Documents\GitHub\eaglep3\Utilities\DownloadLogsFromS3.py --loco 4016 --day 2017-05-14</t>
  </si>
  <si>
    <t>start /low /b %USERPROFILE%\Documents\GitHub\eaglep3\Utilities\DownloadLogsFromS3.py --loco 4046 --day 2017-05-14</t>
  </si>
  <si>
    <t>Wi-MAX data drop, re-initialized without issue</t>
  </si>
  <si>
    <t>Stuck in phase break</t>
  </si>
  <si>
    <t>145-14</t>
  </si>
  <si>
    <t>Extended Onboard Wi-MAX data drop</t>
  </si>
  <si>
    <t>159-14</t>
  </si>
  <si>
    <t>Cancelled due to phase break incident with 188-14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</si>
</sst>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42869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42869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142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COUNTIFS($N$13:$N$9319,"&gt;0",$AG$13:$AG$9319,I1)</f>
        <v>139</v>
      </c>
      <c r="K5" s="39"/>
      <c r="L5" s="39"/>
      <c r="M5" s="40">
        <f>AVERAGEIFS($N$13:$N$9319,$AG$13:$AG$9319,I1)</f>
        <v>37.710071942608188</v>
      </c>
      <c r="N5" s="38">
        <f t="array" ref="N5">MIN(IF($AG$13:$AG$9319=I1,IF(ISNUMBER($N$13:$N$9319),IF($N$13:$N$9319&gt;0,$N$13:$N$9319))))</f>
        <v>32.716666666092351</v>
      </c>
      <c r="O5" s="3">
        <f t="array" ref="O5">MAX(IF($AG$13:$AG$9319=I1,IF(ISNUMBER($N$13:$N$9319),IF($N$13:$N$9319&gt;0,$N$13:$N$9319))))</f>
        <v>54.46666665840894</v>
      </c>
      <c r="P5" s="2"/>
      <c r="R5" s="177" t="s">
        <v>17</v>
      </c>
      <c r="S5" s="199">
        <f>COUNTIFS($N$13:$N$9319,"&gt;0",$AG$13:$AG$9319,R1)</f>
        <v>32</v>
      </c>
      <c r="T5" s="179"/>
      <c r="U5" s="179"/>
      <c r="V5" s="176">
        <f>AVERAGEIFS($N$13:$N$9319,$AG$13:$AG$9319,R1)</f>
        <v>13.149999999513966</v>
      </c>
      <c r="W5" s="177">
        <f t="array" ref="W5">MIN(IF($AG$13:$AG$9319=R1,IF(ISNUMBER($N$13:$N$9319),IF($N$13:$N$9319&gt;0,$N$13:$N$9319))))</f>
        <v>11.533333336701617</v>
      </c>
      <c r="X5" s="178">
        <f t="array" ref="X5">MAX(IF($AG$13:$AG$9319=R1,IF(ISNUMBER($N$13:$N$9319),IF($N$13:$N$9319&gt;0,$N$13:$N$9319))))</f>
        <v>15.916666657431051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COUNTIFS($P$13:$P$9319,"&gt;0",$AG$13:$AG$9319,I1)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COUNTIFS($P$13:$P$9319,"&gt;0",$AG$13:$AG$9319,R1)</f>
        <v>2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37.710071942608188</v>
      </c>
      <c r="N8" s="38">
        <f>N5</f>
        <v>32.716666666092351</v>
      </c>
      <c r="O8" s="3">
        <f>O5</f>
        <v>54.46666665840894</v>
      </c>
      <c r="P8" s="2"/>
      <c r="R8" s="177" t="s">
        <v>16</v>
      </c>
      <c r="S8" s="199">
        <f>S5</f>
        <v>32</v>
      </c>
      <c r="T8" s="179"/>
      <c r="U8" s="179"/>
      <c r="V8" s="176">
        <f>V5</f>
        <v>13.149999999513966</v>
      </c>
      <c r="W8" s="177">
        <f>W5</f>
        <v>11.533333336701617</v>
      </c>
      <c r="X8" s="178">
        <f>X5</f>
        <v>15.916666657431051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0.97887323943661975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0.94117647058823528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- 2017-05-14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0.97402597402597402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638</v>
      </c>
      <c r="B13" s="7">
        <v>4012</v>
      </c>
      <c r="C13" s="21" t="s">
        <v>206</v>
      </c>
      <c r="D13" s="21" t="s">
        <v>554</v>
      </c>
      <c r="E13" s="13">
        <v>42869.130289351851</v>
      </c>
      <c r="F13" s="13">
        <v>42869.135601851849</v>
      </c>
      <c r="G13" s="7">
        <v>1</v>
      </c>
      <c r="H13" s="21" t="s">
        <v>821</v>
      </c>
      <c r="I13" s="13">
        <v>42869.160752314812</v>
      </c>
      <c r="J13" s="7">
        <v>0</v>
      </c>
      <c r="K13" s="92" t="str">
        <f>IF(ISEVEN(B13),(B13-1)&amp;"/"&amp;B13,B13&amp;"/"&amp;(B13+1))</f>
        <v>4011/4012</v>
      </c>
      <c r="L13" s="21" t="str">
        <f>VLOOKUP(A13,'Trips&amp;Operators'!$C$1:$G$99999,5,FALSE)</f>
        <v>DELGADO DIANAH</v>
      </c>
      <c r="M13" s="6">
        <f>I13-F13</f>
        <v>2.5150462963210884E-2</v>
      </c>
      <c r="N13" s="7">
        <f>24*60*SUM($M13:$M13)</f>
        <v>36.216666667023674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-14T02:07:37-0600',mode:absolute,to:'2017-05-14T04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7.1900000000000006E-2</v>
      </c>
      <c r="Z13" s="192">
        <f>RIGHT(H13,LEN(H13)-4)/10000</f>
        <v>23.3385</v>
      </c>
      <c r="AA13" s="192">
        <f>ABS(Z13-Y13)</f>
        <v>23.2666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0101-14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/stypes="app*4012*20170514*"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4012 --swversion DE.1.0.9.0 --startMP 204:719 --initTime 2017-05-14T03:07:37 --startdatetime 2017-05-14T03:15:16 --delay 1 --endMP 204:233385 --enddatetime 2017-05-14T03:51:29 --enforcementcount 0 &gt;&gt;C:\Users\stu\Documents\GitHub\eaglep3-reporting\EC\2017-05-14-refined-times.txt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{"issue":{"subject":"","project_id":79,"tracker_id":40,"status_id":1,"priority_id":2,"assigned_to_id":23,"start_date":"2017-05-14","description":"","custom_fields":[{"id":1,"name":"Subdivision","value":"EC"},{"id":4,"name":"Milepost","value":"23.3385"},{"id":17,"name":"Train ID","value":"101-14"},{"id":16,"name":"Locomotive ID","value":"4012"},{"id":130,"name":"Impact","value":""},{"id":150,"name":"Time of Event (Mountain Time)","value":"03:51:29"},{"id":151,"name":"Denver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4012 --day 2017-05-14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643</v>
      </c>
      <c r="B14" s="7">
        <v>4015</v>
      </c>
      <c r="C14" s="21" t="s">
        <v>206</v>
      </c>
      <c r="D14" s="21" t="s">
        <v>822</v>
      </c>
      <c r="E14" s="13">
        <v>42869.162638888891</v>
      </c>
      <c r="F14" s="13">
        <v>42869.174467592595</v>
      </c>
      <c r="G14" s="7">
        <v>2</v>
      </c>
      <c r="H14" s="21" t="s">
        <v>372</v>
      </c>
      <c r="I14" s="13">
        <v>42869.200636574074</v>
      </c>
      <c r="J14" s="7">
        <v>0</v>
      </c>
      <c r="K14" s="92" t="str">
        <f>IF(ISEVEN(B14),(B14-1)&amp;"/"&amp;B14,B14&amp;"/"&amp;(B14+1))</f>
        <v>4015/4016</v>
      </c>
      <c r="L14" s="21" t="str">
        <f>VLOOKUP(A14,'Trips&amp;Operators'!$C$1:$G$99999,5,FALSE)</f>
        <v>DELGADO DIANAH</v>
      </c>
      <c r="M14" s="6">
        <f>I14-F14</f>
        <v>2.6168981479713693E-2</v>
      </c>
      <c r="N14" s="7">
        <f>24*60*SUM($M14:$M14)</f>
        <v>37.683333330787718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-14T02:54:12-0600',mode:absolute,to:'2017-05-14T05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23.278099999999998</v>
      </c>
      <c r="Z14" s="192">
        <f>RIGHT(H14,LEN(H14)-4)/10000</f>
        <v>1.3899999999999999E-2</v>
      </c>
      <c r="AA14" s="192">
        <f>ABS(Z14-Y14)</f>
        <v>23.264199999999999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0102-14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/stypes="app*4015*20170514*"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8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4015 --swversion DE.1.0.9.0 --startMP 204:232781 --initTime 2017-05-14T03:54:12 --startdatetime 2017-05-14T04:11:14 --delay 2 --endMP 204:139 --enddatetime 2017-05-14T04:48:55 --enforcementcount 0 &gt;&gt;C:\Users\stu\Documents\GitHub\eaglep3-reporting\EC\2017-05-14-refined-times.txt</v>
      </c>
      <c r="AI14" s="99" t="str">
        <f t="shared" ref="AI14:AI78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{"issue":{"subject":"","project_id":79,"tracker_id":40,"status_id":1,"priority_id":2,"assigned_to_id":23,"start_date":"2017-05-14","description":"","custom_fields":[{"id":1,"name":"Subdivision","value":"EC"},{"id":4,"name":"Milepost","value":"0.0139"},{"id":17,"name":"Train ID","value":"102-14"},{"id":16,"name":"Locomotive ID","value":"4015"},{"id":130,"name":"Impact","value":""},{"id":150,"name":"Time of Event (Mountain Time)","value":"04:48:55"},{"id":151,"name":"Denver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8" si="6">"start /low /b "&amp;dls3logs&amp;" --loco "&amp;B14&amp;" --day "&amp;TEXT(F14,"YYYY-MM-DD")</f>
        <v>start /low /b %USERPROFILE%\Documents\GitHub\eaglep3\Utilities\DownloadLogsFromS3.py --loco 4015 --day 2017-05-14</v>
      </c>
      <c r="AN14" s="154" t="str">
        <f t="shared" ref="AN14:AN78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642</v>
      </c>
      <c r="B15" s="7">
        <v>4006</v>
      </c>
      <c r="C15" s="21" t="s">
        <v>206</v>
      </c>
      <c r="D15" s="21" t="s">
        <v>823</v>
      </c>
      <c r="E15" s="13">
        <v>42869.149965277778</v>
      </c>
      <c r="F15" s="13">
        <v>42869.156493055554</v>
      </c>
      <c r="G15" s="7">
        <v>1</v>
      </c>
      <c r="H15" s="21" t="s">
        <v>430</v>
      </c>
      <c r="I15" s="13">
        <v>42869.181168981479</v>
      </c>
      <c r="J15" s="7">
        <v>0</v>
      </c>
      <c r="K15" s="92" t="str">
        <f>IF(ISEVEN(B15),(B15-1)&amp;"/"&amp;B15,B15&amp;"/"&amp;(B15+1))</f>
        <v>4005/4006</v>
      </c>
      <c r="L15" s="21" t="str">
        <f>VLOOKUP(A15,'Trips&amp;Operators'!$C$1:$G$99999,5,FALSE)</f>
        <v>MAELZER KURT</v>
      </c>
      <c r="M15" s="6">
        <f>I15-F15</f>
        <v>2.4675925924384501E-2</v>
      </c>
      <c r="N15" s="7">
        <f>24*60*SUM($M15:$M15)</f>
        <v>35.533333331113681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-14T02:35:57-0600',mode:absolute,to:'2017-05-14T05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8.14E-2</v>
      </c>
      <c r="Z15" s="192">
        <f>RIGHT(H15,LEN(H15)-4)/10000</f>
        <v>23.3293</v>
      </c>
      <c r="AA15" s="192">
        <f>ABS(Z15-Y15)</f>
        <v>23.247900000000001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0103-14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/stypes="app*4006*20170514*"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103-14 --locoid 4006 --swversion DE.1.0.9.0 --startMP 204:814 --initTime 2017-05-14T03:35:57 --startdatetime 2017-05-14T03:45:21 --delay 1 --endMP 204:233293 --enddatetime 2017-05-14T04:20:53 --enforcementcount 0 &gt;&gt;C:\Users\stu\Documents\GitHub\eaglep3-reporting\EC\2017-05-14-refined-times.txt</v>
      </c>
      <c r="AI1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{"issue":{"subject":"","project_id":79,"tracker_id":40,"status_id":1,"priority_id":2,"assigned_to_id":23,"start_date":"2017-05-14","description":"","custom_fields":[{"id":1,"name":"Subdivision","value":"EC"},{"id":4,"name":"Milepost","value":"23.3293"},{"id":17,"name":"Train ID","value":"103-14"},{"id":16,"name":"Locomotive ID","value":"4006"},{"id":130,"name":"Impact","value":""},{"id":150,"name":"Time of Event (Mountain Time)","value":"04:20:53"},{"id":151,"name":"Denver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4006 --day 2017-05-14</v>
      </c>
      <c r="AN1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583</v>
      </c>
      <c r="B16" s="7">
        <v>4009</v>
      </c>
      <c r="C16" s="21" t="s">
        <v>206</v>
      </c>
      <c r="D16" s="21" t="s">
        <v>824</v>
      </c>
      <c r="E16" s="13">
        <v>42869.187708333331</v>
      </c>
      <c r="F16" s="13">
        <v>42869.195381944446</v>
      </c>
      <c r="G16" s="7">
        <v>0</v>
      </c>
      <c r="H16" s="21" t="s">
        <v>360</v>
      </c>
      <c r="I16" s="13">
        <v>42869.222824074073</v>
      </c>
      <c r="J16" s="7">
        <v>0</v>
      </c>
      <c r="K16" s="92" t="str">
        <f>IF(ISEVEN(B16),(B16-1)&amp;"/"&amp;B16,B16&amp;"/"&amp;(B16+1))</f>
        <v>4009/4010</v>
      </c>
      <c r="L16" s="21" t="str">
        <f>VLOOKUP(A16,'Trips&amp;Operators'!$C$1:$G$99999,5,FALSE)</f>
        <v>MAELZER KURT</v>
      </c>
      <c r="M16" s="6">
        <f>I16-F16</f>
        <v>2.7442129627161194E-2</v>
      </c>
      <c r="N16" s="7">
        <f>24*60*SUM($M16:$M16)</f>
        <v>39.516666663112119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-14T03:30:18-0600',mode:absolute,to:'2017-05-14T06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23.264600000000002</v>
      </c>
      <c r="Z16" s="192">
        <f>RIGHT(H16,LEN(H16)-4)/10000</f>
        <v>1.43E-2</v>
      </c>
      <c r="AA16" s="192">
        <f>ABS(Z16-Y16)</f>
        <v>23.250300000000003</v>
      </c>
      <c r="AB16" s="57" t="str">
        <f>VLOOKUP(A16,Enforcements!$C$7:$K$13,8,0)</f>
        <v>Bulletin (2)</v>
      </c>
      <c r="AC16" s="53" t="str">
        <f>VLOOKUP(A16,Enforcements!$C$7:$E$13,3,0)</f>
        <v>GRADE CROSSING</v>
      </c>
      <c r="AD16" s="54" t="str">
        <f>IF(LEN(A16)=6,"0"&amp;A16,A16)</f>
        <v>0104-14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/stypes="app*4009*20170514*"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104-14 --locoid 4009 --swversion DE.1.0.9.0 --startMP 204:232646 --initTime 2017-05-14T04:30:18 --startdatetime 2017-05-14T04:41:21 --delay 0 --endMP 204:143 --enddatetime 2017-05-14T05:20:52 --enforcementcount 0 &gt;&gt;C:\Users\stu\Documents\GitHub\eaglep3-reporting\EC\2017-05-14-refined-times.txt</v>
      </c>
      <c r="AI1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{"issue":{"subject":"","project_id":79,"tracker_id":40,"status_id":1,"priority_id":2,"assigned_to_id":23,"start_date":"2017-05-14","description":"","custom_fields":[{"id":1,"name":"Subdivision","value":"EC"},{"id":4,"name":"Milepost","value":"0.0143"},{"id":17,"name":"Train ID","value":"104-14"},{"id":16,"name":"Locomotive ID","value":"4009"},{"id":130,"name":"Impact","value":""},{"id":150,"name":"Time of Event (Mountain Time)","value":"05:20:52"},{"id":151,"name":"Denver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4009 --day 2017-05-14</v>
      </c>
      <c r="AN1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648</v>
      </c>
      <c r="B17" s="7">
        <v>4046</v>
      </c>
      <c r="C17" s="21" t="s">
        <v>206</v>
      </c>
      <c r="D17" s="21" t="s">
        <v>825</v>
      </c>
      <c r="E17" s="13">
        <v>42869.175740740742</v>
      </c>
      <c r="F17" s="13">
        <v>42869.177858796298</v>
      </c>
      <c r="G17" s="7">
        <v>1</v>
      </c>
      <c r="H17" s="21" t="s">
        <v>826</v>
      </c>
      <c r="I17" s="13">
        <v>42869.203379629631</v>
      </c>
      <c r="J17" s="7">
        <v>0</v>
      </c>
      <c r="K17" s="92" t="str">
        <f>IF(ISEVEN(B17),(B17-1)&amp;"/"&amp;B17,B17&amp;"/"&amp;(B17+1))</f>
        <v>4045/4046</v>
      </c>
      <c r="L17" s="21" t="str">
        <f>VLOOKUP(A17,'Trips&amp;Operators'!$C$1:$G$99999,5,FALSE)</f>
        <v>BADERTSCHER DIANE</v>
      </c>
      <c r="M17" s="6">
        <f>I17-F17</f>
        <v>2.5520833332848269E-2</v>
      </c>
      <c r="N17" s="7">
        <f>24*60*SUM($M17:$M17)</f>
        <v>36.749999999301508</v>
      </c>
      <c r="O17" s="7"/>
      <c r="P17" s="7"/>
      <c r="Q17" s="22"/>
      <c r="R17" s="190"/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-14T03:13:04-0600',mode:absolute,to:'2017-05-14T05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7.5700000000000003E-2</v>
      </c>
      <c r="Z17" s="192">
        <f>RIGHT(H17,LEN(H17)-4)/10000</f>
        <v>23.331900000000001</v>
      </c>
      <c r="AA17" s="192">
        <f>ABS(Z17-Y17)</f>
        <v>23.2562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0105-14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/stypes="app*4046*20170514*"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105-14 --locoid 4046 --swversion DE.1.0.9.0 --startMP 204:757 --initTime 2017-05-14T04:13:04 --startdatetime 2017-05-14T04:16:07 --delay 1 --endMP 204:233319 --enddatetime 2017-05-14T04:52:52 --enforcementcount 0 &gt;&gt;C:\Users\stu\Documents\GitHub\eaglep3-reporting\EC\2017-05-14-refined-times.txt</v>
      </c>
      <c r="AI1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{"issue":{"subject":"","project_id":79,"tracker_id":40,"status_id":1,"priority_id":2,"assigned_to_id":23,"start_date":"2017-05-14","description":"","custom_fields":[{"id":1,"name":"Subdivision","value":"EC"},{"id":4,"name":"Milepost","value":"23.3319"},{"id":17,"name":"Train ID","value":"105-14"},{"id":16,"name":"Locomotive ID","value":"4046"},{"id":130,"name":"Impact","value":""},{"id":150,"name":"Time of Event (Mountain Time)","value":"04:52:52"},{"id":151,"name":"Denver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4046 --day 2017-05-14</v>
      </c>
      <c r="AN1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657</v>
      </c>
      <c r="B18" s="7">
        <v>4017</v>
      </c>
      <c r="C18" s="21" t="s">
        <v>206</v>
      </c>
      <c r="D18" s="21" t="s">
        <v>827</v>
      </c>
      <c r="E18" s="13">
        <v>42869.209861111114</v>
      </c>
      <c r="F18" s="13">
        <v>42869.216550925928</v>
      </c>
      <c r="G18" s="7">
        <v>1</v>
      </c>
      <c r="H18" s="21" t="s">
        <v>475</v>
      </c>
      <c r="I18" s="13">
        <v>42869.244467592594</v>
      </c>
      <c r="J18" s="7">
        <v>0</v>
      </c>
      <c r="K18" s="92" t="str">
        <f>IF(ISEVEN(B18),(B18-1)&amp;"/"&amp;B18,B18&amp;"/"&amp;(B18+1))</f>
        <v>4017/4018</v>
      </c>
      <c r="L18" s="21" t="str">
        <f>VLOOKUP(A18,'Trips&amp;Operators'!$C$1:$G$99999,5,FALSE)</f>
        <v>BADERTSCHER DIANE</v>
      </c>
      <c r="M18" s="6">
        <f>I18-F18</f>
        <v>2.7916666665987577E-2</v>
      </c>
      <c r="N18" s="7">
        <f>24*60*SUM($M18:$M18)</f>
        <v>40.199999999022111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-14T04:02:12-0600',mode:absolute,to:'2017-05-14T06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23.268699999999999</v>
      </c>
      <c r="Z18" s="192">
        <f>RIGHT(H18,LEN(H18)-4)/10000</f>
        <v>1.34E-2</v>
      </c>
      <c r="AA18" s="192">
        <f>ABS(Z18-Y18)</f>
        <v>23.255299999999998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0106-14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/stypes="app*4017*20170514*"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106-14 --locoid 4017 --swversion DE.1.0.9.0 --startMP 204:232687 --initTime 2017-05-14T05:02:12 --startdatetime 2017-05-14T05:11:50 --delay 1 --endMP 204:134 --enddatetime 2017-05-14T05:52:02 --enforcementcount 0 &gt;&gt;C:\Users\stu\Documents\GitHub\eaglep3-reporting\EC\2017-05-14-refined-times.txt</v>
      </c>
      <c r="AI1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{"issue":{"subject":"","project_id":79,"tracker_id":40,"status_id":1,"priority_id":2,"assigned_to_id":23,"start_date":"2017-05-14","description":"","custom_fields":[{"id":1,"name":"Subdivision","value":"EC"},{"id":4,"name":"Milepost","value":"0.0134"},{"id":17,"name":"Train ID","value":"106-14"},{"id":16,"name":"Locomotive ID","value":"4017"},{"id":130,"name":"Impact","value":""},{"id":150,"name":"Time of Event (Mountain Time)","value":"05:52:02"},{"id":151,"name":"Denver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4017 --day 2017-05-14</v>
      </c>
      <c r="AN1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652</v>
      </c>
      <c r="B19" s="7">
        <v>4002</v>
      </c>
      <c r="C19" s="21" t="s">
        <v>206</v>
      </c>
      <c r="D19" s="21" t="s">
        <v>369</v>
      </c>
      <c r="E19" s="13">
        <v>42869.184618055559</v>
      </c>
      <c r="F19" s="13">
        <v>42869.187696759262</v>
      </c>
      <c r="G19" s="7">
        <v>1</v>
      </c>
      <c r="H19" s="21" t="s">
        <v>828</v>
      </c>
      <c r="I19" s="13">
        <v>42869.214456018519</v>
      </c>
      <c r="J19" s="7">
        <v>0</v>
      </c>
      <c r="K19" s="92" t="str">
        <f>IF(ISEVEN(B19),(B19-1)&amp;"/"&amp;B19,B19&amp;"/"&amp;(B19+1))</f>
        <v>4001/4002</v>
      </c>
      <c r="L19" s="21" t="str">
        <f>VLOOKUP(A19,'Trips&amp;Operators'!$C$1:$G$99999,5,FALSE)</f>
        <v>DAVIS WENDY</v>
      </c>
      <c r="M19" s="6">
        <f>I19-F19</f>
        <v>2.675925925723277E-2</v>
      </c>
      <c r="N19" s="7">
        <f>24*60*SUM($M19:$M19)</f>
        <v>38.533333330415189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-14T03:25:51-0600',mode:absolute,to:'2017-05-14T06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4.53E-2</v>
      </c>
      <c r="Z19" s="192">
        <f>RIGHT(H19,LEN(H19)-4)/10000</f>
        <v>23.329699999999999</v>
      </c>
      <c r="AA19" s="192">
        <f>ABS(Z19-Y19)</f>
        <v>23.284399999999998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0107-14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/stypes="app*4002*20170514*"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107-14 --locoid 4002 --swversion DE.1.0.9.0 --startMP 204:453 --initTime 2017-05-14T04:25:51 --startdatetime 2017-05-14T04:30:17 --delay 1 --endMP 204:233297 --enddatetime 2017-05-14T05:08:49 --enforcementcount 0 &gt;&gt;C:\Users\stu\Documents\GitHub\eaglep3-reporting\EC\2017-05-14-refined-times.txt</v>
      </c>
      <c r="AI1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{"issue":{"subject":"","project_id":79,"tracker_id":40,"status_id":1,"priority_id":2,"assigned_to_id":23,"start_date":"2017-05-14","description":"","custom_fields":[{"id":1,"name":"Subdivision","value":"EC"},{"id":4,"name":"Milepost","value":"23.3297"},{"id":17,"name":"Train ID","value":"107-14"},{"id":16,"name":"Locomotive ID","value":"4002"},{"id":130,"name":"Impact","value":""},{"id":150,"name":"Time of Event (Mountain Time)","value":"05:08:49"},{"id":151,"name":"Denver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4002 --day 2017-05-14</v>
      </c>
      <c r="AN1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659</v>
      </c>
      <c r="B20" s="7">
        <v>4001</v>
      </c>
      <c r="C20" s="21" t="s">
        <v>206</v>
      </c>
      <c r="D20" s="21" t="s">
        <v>392</v>
      </c>
      <c r="E20" s="13">
        <v>42869.223703703705</v>
      </c>
      <c r="F20" s="13">
        <v>42869.2265625</v>
      </c>
      <c r="G20" s="7">
        <v>1</v>
      </c>
      <c r="H20" s="21" t="s">
        <v>375</v>
      </c>
      <c r="I20" s="13">
        <v>42869.254641203705</v>
      </c>
      <c r="J20" s="7">
        <v>0</v>
      </c>
      <c r="K20" s="92" t="str">
        <f>IF(ISEVEN(B20),(B20-1)&amp;"/"&amp;B20,B20&amp;"/"&amp;(B20+1))</f>
        <v>4001/4002</v>
      </c>
      <c r="L20" s="21" t="str">
        <f>VLOOKUP(A20,'Trips&amp;Operators'!$C$1:$G$99999,5,FALSE)</f>
        <v>DAVIS WENDY</v>
      </c>
      <c r="M20" s="6">
        <f>I20-F20</f>
        <v>2.8078703704522923E-2</v>
      </c>
      <c r="N20" s="7">
        <f>24*60*SUM($M20:$M20)</f>
        <v>40.433333334513009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-14T04:22:08-0600',mode:absolute,to:'2017-05-14T07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23.299199999999999</v>
      </c>
      <c r="Z20" s="192">
        <f>RIGHT(H20,LEN(H20)-4)/10000</f>
        <v>1.47E-2</v>
      </c>
      <c r="AA20" s="192">
        <f>ABS(Z20-Y20)</f>
        <v>23.284499999999998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0108-14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/stypes="app*4001*20170514*"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108-14 --locoid 4001 --swversion DE.1.0.9.0 --startMP 204:232992 --initTime 2017-05-14T05:22:08 --startdatetime 2017-05-14T05:26:15 --delay 1 --endMP 204:147 --enddatetime 2017-05-14T06:06:41 --enforcementcount 0 &gt;&gt;C:\Users\stu\Documents\GitHub\eaglep3-reporting\EC\2017-05-14-refined-times.txt</v>
      </c>
      <c r="AI2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{"issue":{"subject":"","project_id":79,"tracker_id":40,"status_id":1,"priority_id":2,"assigned_to_id":23,"start_date":"2017-05-14","description":"","custom_fields":[{"id":1,"name":"Subdivision","value":"EC"},{"id":4,"name":"Milepost","value":"0.0147"},{"id":17,"name":"Train ID","value":"108-14"},{"id":16,"name":"Locomotive ID","value":"4001"},{"id":130,"name":"Impact","value":""},{"id":150,"name":"Time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4001 --day 2017-05-14</v>
      </c>
      <c r="AN2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653</v>
      </c>
      <c r="B21" s="7">
        <v>4032</v>
      </c>
      <c r="C21" s="21" t="s">
        <v>206</v>
      </c>
      <c r="D21" s="21" t="s">
        <v>377</v>
      </c>
      <c r="E21" s="13">
        <v>42869.194409722222</v>
      </c>
      <c r="F21" s="13">
        <v>42869.198194444441</v>
      </c>
      <c r="G21" s="7">
        <v>1</v>
      </c>
      <c r="H21" s="21" t="s">
        <v>480</v>
      </c>
      <c r="I21" s="13">
        <v>42869.224872685183</v>
      </c>
      <c r="J21" s="7">
        <v>0</v>
      </c>
      <c r="K21" s="92" t="str">
        <f>IF(ISEVEN(B21),(B21-1)&amp;"/"&amp;B21,B21&amp;"/"&amp;(B21+1))</f>
        <v>4031/4032</v>
      </c>
      <c r="L21" s="21" t="str">
        <f>VLOOKUP(A21,'Trips&amp;Operators'!$C$1:$G$99999,5,FALSE)</f>
        <v>NELSON ARIANE</v>
      </c>
      <c r="M21" s="6">
        <f>I21-F21</f>
        <v>2.6678240741603076E-2</v>
      </c>
      <c r="N21" s="7">
        <f>24*60*SUM($M21:$M21)</f>
        <v>38.41666666790843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-14T03:39:57-0600',mode:absolute,to:'2017-05-14T06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4.4200000000000003E-2</v>
      </c>
      <c r="Z21" s="192">
        <f>RIGHT(H21,LEN(H21)-4)/10000</f>
        <v>23.331700000000001</v>
      </c>
      <c r="AA21" s="192">
        <f>ABS(Z21-Y21)</f>
        <v>23.287500000000001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0109-14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/stypes="app*4032*20170514*"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109-14 --locoid 4032 --swversion DE.1.0.9.0 --startMP 204:442 --initTime 2017-05-14T04:39:57 --startdatetime 2017-05-14T04:45:24 --delay 1 --endMP 204:233317 --enddatetime 2017-05-14T05:23:49 --enforcementcount 0 &gt;&gt;C:\Users\stu\Documents\GitHub\eaglep3-reporting\EC\2017-05-14-refined-times.txt</v>
      </c>
      <c r="AI21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{"issue":{"subject":"","project_id":79,"tracker_id":40,"status_id":1,"priority_id":2,"assigned_to_id":23,"start_date":"2017-05-14","description":"","custom_fields":[{"id":1,"name":"Subdivision","value":"EC"},{"id":4,"name":"Milepost","value":"23.3317"},{"id":17,"name":"Train ID","value":"109-14"},{"id":16,"name":"Locomotive ID","value":"4032"},{"id":130,"name":"Impact","value":""},{"id":150,"name":"Time of Event (Mountain Time)","value":"05:23:49"},{"id":151,"name":"Denver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4032 --day 2017-05-14</v>
      </c>
      <c r="AN21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588</v>
      </c>
      <c r="B22" s="7">
        <v>4031</v>
      </c>
      <c r="C22" s="21" t="s">
        <v>206</v>
      </c>
      <c r="D22" s="21" t="s">
        <v>829</v>
      </c>
      <c r="E22" s="13">
        <v>42869.235092592593</v>
      </c>
      <c r="F22" s="13">
        <v>42869.23715277778</v>
      </c>
      <c r="G22" s="7">
        <v>1</v>
      </c>
      <c r="H22" s="21" t="s">
        <v>359</v>
      </c>
      <c r="I22" s="13">
        <v>42869.266574074078</v>
      </c>
      <c r="J22" s="7">
        <v>0</v>
      </c>
      <c r="K22" s="92" t="str">
        <f>IF(ISEVEN(B22),(B22-1)&amp;"/"&amp;B22,B22&amp;"/"&amp;(B22+1))</f>
        <v>4031/4032</v>
      </c>
      <c r="L22" s="21" t="str">
        <f>VLOOKUP(A22,'Trips&amp;Operators'!$C$1:$G$99999,5,FALSE)</f>
        <v>NELSON ARIANE</v>
      </c>
      <c r="M22" s="6">
        <f>I22-F22</f>
        <v>2.9421296298096422E-2</v>
      </c>
      <c r="N22" s="7">
        <f>24*60*SUM($M22:$M22)</f>
        <v>42.366666669258848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-14T04:38:32-0600',mode:absolute,to:'2017-05-14T07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23.298500000000001</v>
      </c>
      <c r="Z22" s="192">
        <f>RIGHT(H22,LEN(H22)-4)/10000</f>
        <v>1.49E-2</v>
      </c>
      <c r="AA22" s="192">
        <f>ABS(Z22-Y22)</f>
        <v>23.2836</v>
      </c>
      <c r="AB22" s="57" t="str">
        <f>VLOOKUP(A22,Enforcements!$C$7:$K$13,8,0)</f>
        <v>Bulletin (2)</v>
      </c>
      <c r="AC22" s="53" t="str">
        <f>VLOOKUP(A22,Enforcements!$C$7:$E$13,3,0)</f>
        <v>GRADE CROSSING</v>
      </c>
      <c r="AD22" s="54" t="str">
        <f>IF(LEN(A22)=6,"0"&amp;A22,A22)</f>
        <v>0110-14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/stypes="app*4031*20170514*"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110-14 --locoid 4031 --swversion DE.1.0.9.0 --startMP 204:232985 --initTime 2017-05-14T05:38:32 --startdatetime 2017-05-14T05:41:30 --delay 1 --endMP 204:149 --enddatetime 2017-05-14T06:23:52 --enforcementcount 0 &gt;&gt;C:\Users\stu\Documents\GitHub\eaglep3-reporting\EC\2017-05-14-refined-times.txt</v>
      </c>
      <c r="AI2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{"issue":{"subject":"","project_id":79,"tracker_id":40,"status_id":1,"priority_id":2,"assigned_to_id":23,"start_date":"2017-05-14","description":"","custom_fields":[{"id":1,"name":"Subdivision","value":"EC"},{"id":4,"name":"Milepost","value":"0.0149"},{"id":17,"name":"Train ID","value":"110-14"},{"id":16,"name":"Locomotive ID","value":"4031"},{"id":130,"name":"Impact","value":""},{"id":150,"name":"Time of Event (Mountain Time)","value":"06:23:52"},{"id":151,"name":"Denver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4031 --day 2017-05-14</v>
      </c>
      <c r="AN2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654</v>
      </c>
      <c r="B23" s="7">
        <v>4012</v>
      </c>
      <c r="C23" s="21" t="s">
        <v>206</v>
      </c>
      <c r="D23" s="21" t="s">
        <v>830</v>
      </c>
      <c r="E23" s="13">
        <v>42869.206111111111</v>
      </c>
      <c r="F23" s="13">
        <v>42869.20857638889</v>
      </c>
      <c r="G23" s="7">
        <v>2</v>
      </c>
      <c r="H23" s="21" t="s">
        <v>562</v>
      </c>
      <c r="I23" s="13">
        <v>42869.233275462961</v>
      </c>
      <c r="J23" s="7">
        <v>0</v>
      </c>
      <c r="K23" s="92" t="str">
        <f>IF(ISEVEN(B23),(B23-1)&amp;"/"&amp;B23,B23&amp;"/"&amp;(B23+1))</f>
        <v>4011/4012</v>
      </c>
      <c r="L23" s="21" t="str">
        <f>VLOOKUP(A23,'Trips&amp;Operators'!$C$1:$G$99999,5,FALSE)</f>
        <v>GEBRETEKLE DAGNEW</v>
      </c>
      <c r="M23" s="6">
        <f>I23-F23</f>
        <v>2.4699074070667848E-2</v>
      </c>
      <c r="N23" s="7">
        <f>24*60*SUM($M23:$M23)</f>
        <v>35.566666661761701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-14T03:56:48-0600',mode:absolute,to:'2017-05-14T06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8.0799999999999997E-2</v>
      </c>
      <c r="Z23" s="192">
        <f>RIGHT(H23,LEN(H23)-4)/10000</f>
        <v>23.331099999999999</v>
      </c>
      <c r="AA23" s="192">
        <f>ABS(Z23-Y23)</f>
        <v>23.250299999999999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0111-14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/stypes="app*4012*20170514*"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111-14 --locoid 4012 --swversion DE.1.0.9.0 --startMP 204:808 --initTime 2017-05-14T04:56:48 --startdatetime 2017-05-14T05:00:21 --delay 2 --endMP 204:233311 --enddatetime 2017-05-14T05:35:55 --enforcementcount 0 &gt;&gt;C:\Users\stu\Documents\GitHub\eaglep3-reporting\EC\2017-05-14-refined-times.txt</v>
      </c>
      <c r="AI2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{"issue":{"subject":"","project_id":79,"tracker_id":40,"status_id":1,"priority_id":2,"assigned_to_id":23,"start_date":"2017-05-14","description":"","custom_fields":[{"id":1,"name":"Subdivision","value":"EC"},{"id":4,"name":"Milepost","value":"23.3311"},{"id":17,"name":"Train ID","value":"111-14"},{"id":16,"name":"Locomotive ID","value":"4012"},{"id":130,"name":"Impact","value":""},{"id":150,"name":"Time of Event (Mountain Time)","value":"05:35:55"},{"id":151,"name":"Denver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4012 --day 2017-05-14</v>
      </c>
      <c r="AN2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586</v>
      </c>
      <c r="B24" s="7">
        <v>4011</v>
      </c>
      <c r="C24" s="21" t="s">
        <v>206</v>
      </c>
      <c r="D24" s="21" t="s">
        <v>831</v>
      </c>
      <c r="E24" s="13">
        <v>42869.243379629632</v>
      </c>
      <c r="F24" s="13">
        <v>42869.247395833336</v>
      </c>
      <c r="G24" s="7">
        <v>1</v>
      </c>
      <c r="H24" s="21" t="s">
        <v>197</v>
      </c>
      <c r="I24" s="13">
        <v>42869.274097222224</v>
      </c>
      <c r="J24" s="7">
        <v>0</v>
      </c>
      <c r="K24" s="92" t="str">
        <f>IF(ISEVEN(B24),(B24-1)&amp;"/"&amp;B24,B24&amp;"/"&amp;(B24+1))</f>
        <v>4011/4012</v>
      </c>
      <c r="L24" s="21" t="str">
        <f>VLOOKUP(A24,'Trips&amp;Operators'!$C$1:$G$99999,5,FALSE)</f>
        <v>GEBRETEKLE DAGNEW</v>
      </c>
      <c r="M24" s="6">
        <f>I24-F24</f>
        <v>2.6701388887886424E-2</v>
      </c>
      <c r="N24" s="7">
        <f>24*60*SUM($M24:$M24)</f>
        <v>38.44999999855645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-14T04:50:28-0600',mode:absolute,to:'2017-05-14T07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23.3</v>
      </c>
      <c r="Z24" s="192">
        <f>RIGHT(H24,LEN(H24)-4)/10000</f>
        <v>1.52E-2</v>
      </c>
      <c r="AA24" s="192">
        <f>ABS(Z24-Y24)</f>
        <v>23.284800000000001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0112-14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/stypes="app*4011*20170514*"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112-14 --locoid 4011 --swversion DE.1.0.9.0 --startMP 204:233000 --initTime 2017-05-14T05:50:28 --startdatetime 2017-05-14T05:56:15 --delay 1 --endMP 204:152 --enddatetime 2017-05-14T06:34:42 --enforcementcount 0 &gt;&gt;C:\Users\stu\Documents\GitHub\eaglep3-reporting\EC\2017-05-14-refined-times.txt</v>
      </c>
      <c r="AI2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ID","value":"112-14"},{"id":16,"name":"Locomotive ID","value":"4011"},{"id":130,"name":"Impact","value":""},{"id":150,"name":"Time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4011 --day 2017-05-14</v>
      </c>
      <c r="AN2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584</v>
      </c>
      <c r="B25" s="7">
        <v>4016</v>
      </c>
      <c r="C25" s="21" t="s">
        <v>206</v>
      </c>
      <c r="D25" s="21" t="s">
        <v>832</v>
      </c>
      <c r="E25" s="13">
        <v>42869.205682870372</v>
      </c>
      <c r="F25" s="13">
        <v>42869.2190625</v>
      </c>
      <c r="G25" s="7">
        <v>1</v>
      </c>
      <c r="H25" s="21" t="s">
        <v>833</v>
      </c>
      <c r="I25" s="13">
        <v>42869.243981481479</v>
      </c>
      <c r="J25" s="7">
        <v>0</v>
      </c>
      <c r="K25" s="92" t="str">
        <f>IF(ISEVEN(B25),(B25-1)&amp;"/"&amp;B25,B25&amp;"/"&amp;(B25+1))</f>
        <v>4015/4016</v>
      </c>
      <c r="L25" s="21" t="str">
        <f>VLOOKUP(A25,'Trips&amp;Operators'!$C$1:$G$99999,5,FALSE)</f>
        <v>SANTIZO D. EDY</v>
      </c>
      <c r="M25" s="6">
        <f>I25-F25</f>
        <v>2.491898147854954E-2</v>
      </c>
      <c r="N25" s="7">
        <f>24*60*SUM($M25:$M25)</f>
        <v>35.883333329111338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-14T03:56:11-0600',mode:absolute,to:'2017-05-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4.6699999999999998E-2</v>
      </c>
      <c r="Z25" s="192">
        <f>RIGHT(H25,LEN(H25)-4)/10000</f>
        <v>23.325900000000001</v>
      </c>
      <c r="AA25" s="192">
        <f>ABS(Z25-Y25)</f>
        <v>23.279199999999999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0113-14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/stypes="app*4016*20170514*"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113-14 --locoid 4016 --swversion DE.1.0.9.0 --startMP 204:467 --initTime 2017-05-14T04:56:11 --startdatetime 2017-05-14T05:15:27 --delay 1 --endMP 204:233259 --enddatetime 2017-05-14T05:51:20 --enforcementcount 0 &gt;&gt;C:\Users\stu\Documents\GitHub\eaglep3-reporting\EC\2017-05-14-refined-times.txt</v>
      </c>
      <c r="AI2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{"issue":{"subject":"","project_id":79,"tracker_id":40,"status_id":1,"priority_id":2,"assigned_to_id":23,"start_date":"2017-05-14","description":"","custom_fields":[{"id":1,"name":"Subdivision","value":"EC"},{"id":4,"name":"Milepost","value":"23.3259"},{"id":17,"name":"Train ID","value":"113-14"},{"id":16,"name":"Locomotive ID","value":"4016"},{"id":130,"name":"Impact","value":""},{"id":150,"name":"Time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4016 --day 2017-05-14</v>
      </c>
      <c r="AN2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662</v>
      </c>
      <c r="B26" s="7">
        <v>4015</v>
      </c>
      <c r="C26" s="21" t="s">
        <v>206</v>
      </c>
      <c r="D26" s="21" t="s">
        <v>561</v>
      </c>
      <c r="E26" s="13">
        <v>42869.245497685188</v>
      </c>
      <c r="F26" s="13">
        <v>42869.257824074077</v>
      </c>
      <c r="G26" s="7">
        <v>1</v>
      </c>
      <c r="H26" s="21" t="s">
        <v>354</v>
      </c>
      <c r="I26" s="13">
        <v>42869.284583333334</v>
      </c>
      <c r="J26" s="7">
        <v>0</v>
      </c>
      <c r="K26" s="92" t="str">
        <f>IF(ISEVEN(B26),(B26-1)&amp;"/"&amp;B26,B26&amp;"/"&amp;(B26+1))</f>
        <v>4015/4016</v>
      </c>
      <c r="L26" s="21" t="str">
        <f>VLOOKUP(A26,'Trips&amp;Operators'!$C$1:$G$99999,5,FALSE)</f>
        <v>SANTIZO D. EDY</v>
      </c>
      <c r="M26" s="6">
        <f>I26-F26</f>
        <v>2.675925925723277E-2</v>
      </c>
      <c r="N26" s="7">
        <f>24*60*SUM($M26:$M26)</f>
        <v>38.533333330415189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-14T04:53:31-0600',mode:absolute,to:'2017-05-14T07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23.2942</v>
      </c>
      <c r="Z26" s="192">
        <f>RIGHT(H26,LEN(H26)-4)/10000</f>
        <v>1.6E-2</v>
      </c>
      <c r="AA26" s="192">
        <f>ABS(Z26-Y26)</f>
        <v>23.278200000000002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0114-14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/stypes="app*4015*20170514*"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114-14 --locoid 4015 --swversion DE.1.0.9.0 --startMP 204:232942 --initTime 2017-05-14T05:53:31 --startdatetime 2017-05-14T06:11:16 --delay 1 --endMP 204:160 --enddatetime 2017-05-14T06:49:48 --enforcementcount 0 &gt;&gt;C:\Users\stu\Documents\GitHub\eaglep3-reporting\EC\2017-05-14-refined-times.txt</v>
      </c>
      <c r="AI2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{"issue":{"subject":"","project_id":79,"tracker_id":40,"status_id":1,"priority_id":2,"assigned_to_id":23,"start_date":"2017-05-14","description":"","custom_fields":[{"id":1,"name":"Subdivision","value":"EC"},{"id":4,"name":"Milepost","value":"0.016"},{"id":17,"name":"Train ID","value":"114-14"},{"id":16,"name":"Locomotive ID","value":"4015"},{"id":130,"name":"Impact","value":""},{"id":150,"name":"Time of Event (Mountain Time)","value":"06:49:48"},{"id":151,"name":"Denver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4015 --day 2017-05-14</v>
      </c>
      <c r="AN2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585</v>
      </c>
      <c r="B27" s="7">
        <v>4006</v>
      </c>
      <c r="C27" s="21" t="s">
        <v>206</v>
      </c>
      <c r="D27" s="21" t="s">
        <v>834</v>
      </c>
      <c r="E27" s="13">
        <v>42869.22556712963</v>
      </c>
      <c r="F27" s="13">
        <v>42869.229675925926</v>
      </c>
      <c r="G27" s="7">
        <v>1</v>
      </c>
      <c r="H27" s="21" t="s">
        <v>389</v>
      </c>
      <c r="I27" s="13">
        <v>42869.254027777781</v>
      </c>
      <c r="J27" s="7">
        <v>0</v>
      </c>
      <c r="K27" s="92" t="str">
        <f>IF(ISEVEN(B27),(B27-1)&amp;"/"&amp;B27,B27&amp;"/"&amp;(B27+1))</f>
        <v>4005/4006</v>
      </c>
      <c r="L27" s="21" t="str">
        <f>VLOOKUP(A27,'Trips&amp;Operators'!$C$1:$G$99999,5,FALSE)</f>
        <v>MACDONALD THOMAS</v>
      </c>
      <c r="M27" s="6">
        <f>I27-F27</f>
        <v>2.4351851854589768E-2</v>
      </c>
      <c r="N27" s="7">
        <f>24*60*SUM($M27:$M27)</f>
        <v>35.066666670609266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-14T04:24:49-0600',mode:absolute,to:'2017-05-14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192">
        <f>RIGHT(D27,LEN(D27)-4)/10000</f>
        <v>7.7200000000000005E-2</v>
      </c>
      <c r="Z27" s="192">
        <f>RIGHT(H27,LEN(H27)-4)/10000</f>
        <v>23.331199999999999</v>
      </c>
      <c r="AA27" s="192">
        <f>ABS(Z27-Y27)</f>
        <v>23.253999999999998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0115-14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/stypes="app*4006*20170514*"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115-14 --locoid 4006 --swversion DE.1.0.9.0 --startMP 204:772 --initTime 2017-05-14T05:24:49 --startdatetime 2017-05-14T05:30:44 --delay 1 --endMP 204:233312 --enddatetime 2017-05-14T06:05:48 --enforcementcount 0 &gt;&gt;C:\Users\stu\Documents\GitHub\eaglep3-reporting\EC\2017-05-14-refined-times.txt</v>
      </c>
      <c r="AI2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{"issue":{"subject":"","project_id":79,"tracker_id":40,"status_id":1,"priority_id":2,"assigned_to_id":23,"start_date":"2017-05-14","description":"","custom_fields":[{"id":1,"name":"Subdivision","value":"EC"},{"id":4,"name":"Milepost","value":"23.3312"},{"id":17,"name":"Train ID","value":"115-14"},{"id":16,"name":"Locomotive ID","value":"4006"},{"id":130,"name":"Impact","value":""},{"id":150,"name":"Time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4006 --day 2017-05-14</v>
      </c>
      <c r="AN2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591</v>
      </c>
      <c r="B28" s="7">
        <v>4005</v>
      </c>
      <c r="C28" s="21" t="s">
        <v>206</v>
      </c>
      <c r="D28" s="21" t="s">
        <v>835</v>
      </c>
      <c r="E28" s="13">
        <v>42869.264999999999</v>
      </c>
      <c r="F28" s="13">
        <v>42869.268287037034</v>
      </c>
      <c r="G28" s="7">
        <v>1</v>
      </c>
      <c r="H28" s="21" t="s">
        <v>197</v>
      </c>
      <c r="I28" s="13">
        <v>42869.295289351852</v>
      </c>
      <c r="J28" s="7">
        <v>0</v>
      </c>
      <c r="K28" s="92" t="str">
        <f>IF(ISEVEN(B28),(B28-1)&amp;"/"&amp;B28,B28&amp;"/"&amp;(B28+1))</f>
        <v>4005/4006</v>
      </c>
      <c r="L28" s="21" t="str">
        <f>VLOOKUP(A28,'Trips&amp;Operators'!$C$1:$G$99999,5,FALSE)</f>
        <v>MACDONALD THOMAS</v>
      </c>
      <c r="M28" s="6">
        <f>I28-F28</f>
        <v>2.7002314818673767E-2</v>
      </c>
      <c r="N28" s="7">
        <f>24*60*SUM($M28:$M28)</f>
        <v>38.883333338890225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-14T05:21:36-0600',mode:absolute,to:'2017-05-14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23.298999999999999</v>
      </c>
      <c r="Z28" s="192">
        <f>RIGHT(H28,LEN(H28)-4)/10000</f>
        <v>1.52E-2</v>
      </c>
      <c r="AA28" s="192">
        <f>ABS(Z28-Y28)</f>
        <v>23.283799999999999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0116-14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/stypes="app*4005*20170514*"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116-14 --locoid 4005 --swversion DE.1.0.9.0 --startMP 204:232990 --initTime 2017-05-14T06:21:36 --startdatetime 2017-05-14T06:26:20 --delay 1 --endMP 204:152 --enddatetime 2017-05-14T07:05:13 --enforcementcount 0 &gt;&gt;C:\Users\stu\Documents\GitHub\eaglep3-reporting\EC\2017-05-14-refined-times.txt</v>
      </c>
      <c r="AI2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ID","value":"116-14"},{"id":16,"name":"Locomotive ID","value":"4005"},{"id":130,"name":"Impact","value":""},{"id":150,"name":"Time of Event (Mountain Time)","value":"07:05:13"},{"id":151,"name":"Denver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4005 --day 2017-05-14</v>
      </c>
      <c r="AN2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4010</v>
      </c>
      <c r="C29" s="21" t="s">
        <v>206</v>
      </c>
      <c r="D29" s="21" t="s">
        <v>836</v>
      </c>
      <c r="E29" s="13">
        <v>42869.227187500001</v>
      </c>
      <c r="F29" s="13">
        <v>42869.239803240744</v>
      </c>
      <c r="G29" s="7">
        <v>1</v>
      </c>
      <c r="H29" s="21" t="s">
        <v>837</v>
      </c>
      <c r="I29" s="13">
        <v>42869.264918981484</v>
      </c>
      <c r="J29" s="7">
        <v>0</v>
      </c>
      <c r="K29" s="92" t="str">
        <f>IF(ISEVEN(B29),(B29-1)&amp;"/"&amp;B29,B29&amp;"/"&amp;(B29+1))</f>
        <v>4009/4010</v>
      </c>
      <c r="L29" s="21" t="str">
        <f>VLOOKUP(A29,'Trips&amp;Operators'!$C$1:$G$99999,5,FALSE)</f>
        <v>MAELZER KURT</v>
      </c>
      <c r="M29" s="6">
        <f>I29-F29</f>
        <v>2.5115740740147885E-2</v>
      </c>
      <c r="N29" s="7">
        <f>24*60*SUM($M29:$M29)</f>
        <v>36.166666665812954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-14T04:27:09-0600',mode:absolute,to:'2017-05-14T07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4.1799999999999997E-2</v>
      </c>
      <c r="Z29" s="192">
        <f>RIGHT(H29,LEN(H29)-4)/10000</f>
        <v>23.327200000000001</v>
      </c>
      <c r="AA29" s="192">
        <f>ABS(Z29-Y29)</f>
        <v>23.285400000000003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0117-14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s3://rtdc.mdm.uploadarchive.raw/RTDC4010/ "%USERPROFILE%\AppData\Local\Temp\OnboardLogs"\RTDC4010\2017-05-14 --exclude "*" --recursive --include "*20170514*" &amp; "%USERPROFILE%\Documents\GitHub\mrs-test-scripts\Headless Mode &amp; Sideloading\WalkAndUnGZ.bat" "%USERPROFILE%\AppData\Local\Temp\OnboardLogs"\RTDC4010\2017-05-14 &amp; 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/stypes="app*4010*20170514*"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117-14 --locoid 4010 --swversion DE.1.0.9.0 --startMP 204:418 --initTime 2017-05-14T05:27:09 --startdatetime 2017-05-14T05:45:19 --delay 1 --endMP 204:233272 --enddatetime 2017-05-14T06:21:29 --enforcementcount 0 &gt;&gt;C:\Users\stu\Documents\GitHub\eaglep3-reporting\EC\2017-05-14-refined-times.txt</v>
      </c>
      <c r="AI2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{"issue":{"subject":"","project_id":79,"tracker_id":40,"status_id":1,"priority_id":2,"assigned_to_id":23,"start_date":"2017-05-14","description":"","custom_fields":[{"id":1,"name":"Subdivision","value":"EC"},{"id":4,"name":"Milepost","value":"23.3272"},{"id":17,"name":"Train ID","value":"117-14"},{"id":16,"name":"Locomotive ID","value":"4010"},{"id":130,"name":"Impact","value":""},{"id":150,"name":"Time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4010 --day 2017-05-14</v>
      </c>
      <c r="AN2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667</v>
      </c>
      <c r="B30" s="7">
        <v>4009</v>
      </c>
      <c r="C30" s="21" t="s">
        <v>206</v>
      </c>
      <c r="D30" s="21" t="s">
        <v>838</v>
      </c>
      <c r="E30" s="13">
        <v>42869.273680555554</v>
      </c>
      <c r="F30" s="13">
        <v>42869.278738425928</v>
      </c>
      <c r="G30" s="7">
        <v>1</v>
      </c>
      <c r="H30" s="21" t="s">
        <v>560</v>
      </c>
      <c r="I30" s="13">
        <v>42869.305902777778</v>
      </c>
      <c r="J30" s="7">
        <v>0</v>
      </c>
      <c r="K30" s="92" t="str">
        <f>IF(ISEVEN(B30),(B30-1)&amp;"/"&amp;B30,B30&amp;"/"&amp;(B30+1))</f>
        <v>4009/4010</v>
      </c>
      <c r="L30" s="21" t="str">
        <f>VLOOKUP(A30,'Trips&amp;Operators'!$C$1:$G$99999,5,FALSE)</f>
        <v>MAELZER KURT</v>
      </c>
      <c r="M30" s="6">
        <f>I30-F30</f>
        <v>2.7164351849933155E-2</v>
      </c>
      <c r="N30" s="7">
        <f>24*60*SUM($M30:$M30)</f>
        <v>39.116666663903743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-14T05:34:06-0600',mode:absolute,to:'2017-05-14T08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23.3002</v>
      </c>
      <c r="Z30" s="192">
        <f>RIGHT(H30,LEN(H30)-4)/10000</f>
        <v>1.54E-2</v>
      </c>
      <c r="AA30" s="192">
        <f>ABS(Z30-Y30)</f>
        <v>23.284800000000001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0118-14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/stypes="app*4009*20170514*"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118-14 --locoid 4009 --swversion DE.1.0.9.0 --startMP 204:233002 --initTime 2017-05-14T06:34:06 --startdatetime 2017-05-14T06:41:23 --delay 1 --endMP 204:154 --enddatetime 2017-05-14T07:20:30 --enforcementcount 0 &gt;&gt;C:\Users\stu\Documents\GitHub\eaglep3-reporting\EC\2017-05-14-refined-times.txt</v>
      </c>
      <c r="AI3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{"issue":{"subject":"","project_id":79,"tracker_id":40,"status_id":1,"priority_id":2,"assigned_to_id":23,"start_date":"2017-05-14","description":"","custom_fields":[{"id":1,"name":"Subdivision","value":"EC"},{"id":4,"name":"Milepost","value":"0.0154"},{"id":17,"name":"Train ID","value":"118-14"},{"id":16,"name":"Locomotive ID","value":"4009"},{"id":130,"name":"Impact","value":""},{"id":150,"name":"Time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4009 --day 2017-05-14</v>
      </c>
      <c r="AN3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663</v>
      </c>
      <c r="B31" s="7">
        <v>4046</v>
      </c>
      <c r="C31" s="21" t="s">
        <v>206</v>
      </c>
      <c r="D31" s="21" t="s">
        <v>839</v>
      </c>
      <c r="E31" s="13">
        <v>42869.249791666669</v>
      </c>
      <c r="F31" s="13">
        <v>42869.251770833333</v>
      </c>
      <c r="G31" s="7">
        <v>1</v>
      </c>
      <c r="H31" s="21" t="s">
        <v>840</v>
      </c>
      <c r="I31" s="13">
        <v>42869.276273148149</v>
      </c>
      <c r="J31" s="7">
        <v>0</v>
      </c>
      <c r="K31" s="92" t="str">
        <f>IF(ISEVEN(B31),(B31-1)&amp;"/"&amp;B31,B31&amp;"/"&amp;(B31+1))</f>
        <v>4045/4046</v>
      </c>
      <c r="L31" s="21" t="str">
        <f>VLOOKUP(A31,'Trips&amp;Operators'!$C$1:$G$99999,5,FALSE)</f>
        <v>BADERTSCHER DIANE</v>
      </c>
      <c r="M31" s="6">
        <f>I31-F31</f>
        <v>2.4502314816345461E-2</v>
      </c>
      <c r="N31" s="7">
        <f>24*60*SUM($M31:$M31)</f>
        <v>35.283333335537463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-14T04:59:42-0600',mode:absolute,to:'2017-05-14T07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7.6999999999999999E-2</v>
      </c>
      <c r="Z31" s="192">
        <f>RIGHT(H31,LEN(H31)-4)/10000</f>
        <v>23.329499999999999</v>
      </c>
      <c r="AA31" s="192">
        <f>ABS(Z31-Y31)</f>
        <v>23.252499999999998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0119-14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/stypes="app*4046*20170514*"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119-14 --locoid 4046 --swversion DE.1.0.9.0 --startMP 204:770 --initTime 2017-05-14T05:59:42 --startdatetime 2017-05-14T06:02:33 --delay 1 --endMP 204:233295 --enddatetime 2017-05-14T06:37:50 --enforcementcount 0 &gt;&gt;C:\Users\stu\Documents\GitHub\eaglep3-reporting\EC\2017-05-14-refined-times.txt</v>
      </c>
      <c r="AI31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{"issue":{"subject":"","project_id":79,"tracker_id":40,"status_id":1,"priority_id":2,"assigned_to_id":23,"start_date":"2017-05-14","description":"","custom_fields":[{"id":1,"name":"Subdivision","value":"EC"},{"id":4,"name":"Milepost","value":"23.3295"},{"id":17,"name":"Train ID","value":"119-14"},{"id":16,"name":"Locomotive ID","value":"4046"},{"id":130,"name":"Impact","value":""},{"id":150,"name":"Time of Event (Mountain Time)","value":"06:37:50"},{"id":151,"name":"Denver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4046 --day 2017-05-14</v>
      </c>
      <c r="AN31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670</v>
      </c>
      <c r="B32" s="7">
        <v>4045</v>
      </c>
      <c r="C32" s="21" t="s">
        <v>206</v>
      </c>
      <c r="D32" s="21" t="s">
        <v>391</v>
      </c>
      <c r="E32" s="13">
        <v>42869.279189814813</v>
      </c>
      <c r="F32" s="13">
        <v>42869.2890625</v>
      </c>
      <c r="G32" s="7">
        <v>1</v>
      </c>
      <c r="H32" s="21" t="s">
        <v>198</v>
      </c>
      <c r="I32" s="13">
        <v>42869.318148148152</v>
      </c>
      <c r="J32" s="7">
        <v>0</v>
      </c>
      <c r="K32" s="92" t="str">
        <f>IF(ISEVEN(B32),(B32-1)&amp;"/"&amp;B32,B32&amp;"/"&amp;(B32+1))</f>
        <v>4045/4046</v>
      </c>
      <c r="L32" s="21" t="str">
        <f>VLOOKUP(A32,'Trips&amp;Operators'!$C$1:$G$99999,5,FALSE)</f>
        <v>BADERTSCHER DIANE</v>
      </c>
      <c r="M32" s="6">
        <f>I32-F32</f>
        <v>2.9085648151522037E-2</v>
      </c>
      <c r="N32" s="7">
        <f>24*60*SUM($M32:$M32)</f>
        <v>41.883333338191733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-14T05:42:02-0600',mode:absolute,to:'2017-05-14T08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23.299800000000001</v>
      </c>
      <c r="Z32" s="192">
        <f>RIGHT(H32,LEN(H32)-4)/10000</f>
        <v>1.5800000000000002E-2</v>
      </c>
      <c r="AA32" s="192">
        <f>ABS(Z32-Y32)</f>
        <v>23.284000000000002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0120-14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/stypes="app*4045*20170514*"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120-14 --locoid 4045 --swversion DE.1.0.9.0 --startMP 204:232998 --initTime 2017-05-14T06:42:02 --startdatetime 2017-05-14T06:56:15 --delay 1 --endMP 204:158 --enddatetime 2017-05-14T07:38:08 --enforcementcount 0 &gt;&gt;C:\Users\stu\Documents\GitHub\eaglep3-reporting\EC\2017-05-14-refined-times.txt</v>
      </c>
      <c r="AI3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ID","value":"120-14"},{"id":16,"name":"Locomotive ID","value":"4045"},{"id":130,"name":"Impact","value":""},{"id":150,"name":"Time of Event (Mountain Time)","value":"07:38:08"},{"id":151,"name":"Denver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4045 --day 2017-05-14</v>
      </c>
      <c r="AN3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665</v>
      </c>
      <c r="B33" s="7">
        <v>4002</v>
      </c>
      <c r="C33" s="21" t="s">
        <v>206</v>
      </c>
      <c r="D33" s="21" t="s">
        <v>203</v>
      </c>
      <c r="E33" s="13">
        <v>42869.25640046296</v>
      </c>
      <c r="F33" s="13">
        <v>42869.260555555556</v>
      </c>
      <c r="G33" s="7">
        <v>1</v>
      </c>
      <c r="H33" s="21" t="s">
        <v>841</v>
      </c>
      <c r="I33" s="13">
        <v>42869.287129629629</v>
      </c>
      <c r="J33" s="7">
        <v>0</v>
      </c>
      <c r="K33" s="92" t="str">
        <f>IF(ISEVEN(B33),(B33-1)&amp;"/"&amp;B33,B33&amp;"/"&amp;(B33+1))</f>
        <v>4001/4002</v>
      </c>
      <c r="L33" s="21" t="str">
        <f>VLOOKUP(A33,'Trips&amp;Operators'!$C$1:$G$99999,5,FALSE)</f>
        <v>DAVIS WENDY</v>
      </c>
      <c r="M33" s="6">
        <f>I33-F33</f>
        <v>2.6574074072414078E-2</v>
      </c>
      <c r="N33" s="7">
        <f>24*60*SUM($M33:$M33)</f>
        <v>38.266666664276272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-14T05:09:13-0600',mode:absolute,to:'2017-05-14T07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4.5999999999999999E-2</v>
      </c>
      <c r="Z33" s="192">
        <f>RIGHT(H33,LEN(H33)-4)/10000</f>
        <v>23.3323</v>
      </c>
      <c r="AA33" s="192">
        <f>ABS(Z33-Y33)</f>
        <v>23.286300000000001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0121-14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/stypes="app*4002*20170514*"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121-14 --locoid 4002 --swversion DE.1.0.9.0 --startMP 204:460 --initTime 2017-05-14T06:09:13 --startdatetime 2017-05-14T06:15:12 --delay 1 --endMP 204:233323 --enddatetime 2017-05-14T06:53:28 --enforcementcount 0 &gt;&gt;C:\Users\stu\Documents\GitHub\eaglep3-reporting\EC\2017-05-14-refined-times.txt</v>
      </c>
      <c r="AI3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{"issue":{"subject":"","project_id":79,"tracker_id":40,"status_id":1,"priority_id":2,"assigned_to_id":23,"start_date":"2017-05-14","description":"","custom_fields":[{"id":1,"name":"Subdivision","value":"EC"},{"id":4,"name":"Milepost","value":"23.3323"},{"id":17,"name":"Train ID","value":"121-14"},{"id":16,"name":"Locomotive ID","value":"4002"},{"id":130,"name":"Impact","value":""},{"id":150,"name":"Time of Event (Mountain Time)","value":"06:53:28"},{"id":151,"name":"Denver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4002 --day 2017-05-14</v>
      </c>
      <c r="AN3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672</v>
      </c>
      <c r="B34" s="7">
        <v>4001</v>
      </c>
      <c r="C34" s="21" t="s">
        <v>206</v>
      </c>
      <c r="D34" s="21" t="s">
        <v>842</v>
      </c>
      <c r="E34" s="13">
        <v>42869.296400462961</v>
      </c>
      <c r="F34" s="13">
        <v>42869.299490740741</v>
      </c>
      <c r="G34" s="7">
        <v>1</v>
      </c>
      <c r="H34" s="21" t="s">
        <v>198</v>
      </c>
      <c r="I34" s="13">
        <v>42869.326921296299</v>
      </c>
      <c r="J34" s="7">
        <v>0</v>
      </c>
      <c r="K34" s="92" t="str">
        <f>IF(ISEVEN(B34),(B34-1)&amp;"/"&amp;B34,B34&amp;"/"&amp;(B34+1))</f>
        <v>4001/4002</v>
      </c>
      <c r="L34" s="21" t="str">
        <f>VLOOKUP(A34,'Trips&amp;Operators'!$C$1:$G$99999,5,FALSE)</f>
        <v>DAVIS WENDY</v>
      </c>
      <c r="M34" s="6">
        <f>I34-F34</f>
        <v>2.7430555557657499E-2</v>
      </c>
      <c r="N34" s="7">
        <f>24*60*SUM($M34:$M34)</f>
        <v>39.500000003026798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-14T06:06:49-0600',mode:absolute,to:'2017-05-14T08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23.3017</v>
      </c>
      <c r="Z34" s="192">
        <f>RIGHT(H34,LEN(H34)-4)/10000</f>
        <v>1.5800000000000002E-2</v>
      </c>
      <c r="AA34" s="192">
        <f>ABS(Z34-Y34)</f>
        <v>23.285900000000002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0122-14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/stypes="app*4001*20170514*"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122-14 --locoid 4001 --swversion DE.1.0.9.0 --startMP 204:233017 --initTime 2017-05-14T07:06:49 --startdatetime 2017-05-14T07:11:16 --delay 1 --endMP 204:158 --enddatetime 2017-05-14T07:50:46 --enforcementcount 0 &gt;&gt;C:\Users\stu\Documents\GitHub\eaglep3-reporting\EC\2017-05-14-refined-times.txt</v>
      </c>
      <c r="AI3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ID","value":"122-14"},{"id":16,"name":"Locomotive ID","value":"4001"},{"id":130,"name":"Impact","value":""},{"id":150,"name":"Time of Event (Mountain Time)","value":"07:50:46"},{"id":151,"name":"Denver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4001 --day 2017-05-14</v>
      </c>
      <c r="AN3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666</v>
      </c>
      <c r="B35" s="7">
        <v>4032</v>
      </c>
      <c r="C35" s="21" t="s">
        <v>206</v>
      </c>
      <c r="D35" s="21" t="s">
        <v>361</v>
      </c>
      <c r="E35" s="13">
        <v>42869.271805555552</v>
      </c>
      <c r="F35" s="13">
        <v>42869.273206018515</v>
      </c>
      <c r="G35" s="7">
        <v>1</v>
      </c>
      <c r="H35" s="21" t="s">
        <v>843</v>
      </c>
      <c r="I35" s="13">
        <v>42869.29896990741</v>
      </c>
      <c r="J35" s="7">
        <v>0</v>
      </c>
      <c r="K35" s="92" t="str">
        <f>IF(ISEVEN(B35),(B35-1)&amp;"/"&amp;B35,B35&amp;"/"&amp;(B35+1))</f>
        <v>4031/4032</v>
      </c>
      <c r="L35" s="21" t="str">
        <f>VLOOKUP(A35,'Trips&amp;Operators'!$C$1:$G$99999,5,FALSE)</f>
        <v>NELSON ARIANE</v>
      </c>
      <c r="M35" s="6">
        <f>I35-F35</f>
        <v>2.5763888894289266E-2</v>
      </c>
      <c r="N35" s="7">
        <f>24*60*SUM($M35:$M35)</f>
        <v>37.100000007776543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-14T05:31:24-0600',mode:absolute,to:'2017-05-14T08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4.6600000000000003E-2</v>
      </c>
      <c r="Z35" s="192">
        <f>RIGHT(H35,LEN(H35)-4)/10000</f>
        <v>23.330500000000001</v>
      </c>
      <c r="AA35" s="192">
        <f>ABS(Z35-Y35)</f>
        <v>23.283899999999999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0123-14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/stypes="app*4032*20170514*"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123-14 --locoid 4032 --swversion DE.1.0.9.0 --startMP 204:466 --initTime 2017-05-14T06:31:24 --startdatetime 2017-05-14T06:33:25 --delay 1 --endMP 204:233305 --enddatetime 2017-05-14T07:10:31 --enforcementcount 0 &gt;&gt;C:\Users\stu\Documents\GitHub\eaglep3-reporting\EC\2017-05-14-refined-times.txt</v>
      </c>
      <c r="AI3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{"issue":{"subject":"","project_id":79,"tracker_id":40,"status_id":1,"priority_id":2,"assigned_to_id":23,"start_date":"2017-05-14","description":"","custom_fields":[{"id":1,"name":"Subdivision","value":"EC"},{"id":4,"name":"Milepost","value":"23.3305"},{"id":17,"name":"Train ID","value":"123-14"},{"id":16,"name":"Locomotive ID","value":"4032"},{"id":130,"name":"Impact","value":""},{"id":150,"name":"Time of Event (Mountain Time)","value":"07:10:31"},{"id":151,"name":"Denver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4032 --day 2017-05-14</v>
      </c>
      <c r="AN3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593</v>
      </c>
      <c r="B36" s="7">
        <v>4031</v>
      </c>
      <c r="C36" s="21" t="s">
        <v>206</v>
      </c>
      <c r="D36" s="21" t="s">
        <v>844</v>
      </c>
      <c r="E36" s="13">
        <v>42869.304189814815</v>
      </c>
      <c r="F36" s="13">
        <v>42869.306597222225</v>
      </c>
      <c r="G36" s="7">
        <v>3</v>
      </c>
      <c r="H36" s="21" t="s">
        <v>358</v>
      </c>
      <c r="I36" s="13">
        <v>42869.339571759258</v>
      </c>
      <c r="J36" s="7">
        <v>0</v>
      </c>
      <c r="K36" s="92" t="str">
        <f>IF(ISEVEN(B36),(B36-1)&amp;"/"&amp;B36,B36&amp;"/"&amp;(B36+1))</f>
        <v>4031/4032</v>
      </c>
      <c r="L36" s="21" t="str">
        <f>VLOOKUP(A36,'Trips&amp;Operators'!$C$1:$G$99999,5,FALSE)</f>
        <v>NELSON ARIANE</v>
      </c>
      <c r="M36" s="6">
        <f>I36-F36</f>
        <v>3.2974537032714579E-2</v>
      </c>
      <c r="N36" s="7">
        <f>24*60*SUM($M36:$M36)</f>
        <v>47.483333327108994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-14T06:18:02-0600',mode:absolute,to:'2017-05-14T09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23.297999999999998</v>
      </c>
      <c r="Z36" s="192">
        <f>RIGHT(H36,LEN(H36)-4)/10000</f>
        <v>1.4999999999999999E-2</v>
      </c>
      <c r="AA36" s="192">
        <f>ABS(Z36-Y36)</f>
        <v>23.282999999999998</v>
      </c>
      <c r="AB36" s="57" t="str">
        <f>VLOOKUP(A36,Enforcements!$C$7:$K$13,8,0)</f>
        <v>Bulletin (2)</v>
      </c>
      <c r="AC36" s="53" t="str">
        <f>VLOOKUP(A36,Enforcements!$C$7:$E$13,3,0)</f>
        <v>GRADE CROSSING</v>
      </c>
      <c r="AD36" s="54" t="str">
        <f>IF(LEN(A36)=6,"0"&amp;A36,A36)</f>
        <v>0124-14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/stypes="app*4031*20170514*"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124-14 --locoid 4031 --swversion DE.1.0.9.0 --startMP 204:232980 --initTime 2017-05-14T07:18:02 --startdatetime 2017-05-14T07:21:30 --delay 3 --endMP 204:150 --enddatetime 2017-05-14T08:08:59 --enforcementcount 0 &gt;&gt;C:\Users\stu\Documents\GitHub\eaglep3-reporting\EC\2017-05-14-refined-times.txt</v>
      </c>
      <c r="AI3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{"issue":{"subject":"","project_id":79,"tracker_id":40,"status_id":1,"priority_id":2,"assigned_to_id":23,"start_date":"2017-05-14","description":"","custom_fields":[{"id":1,"name":"Subdivision","value":"EC"},{"id":4,"name":"Milepost","value":"0.015"},{"id":17,"name":"Train ID","value":"124-14"},{"id":16,"name":"Locomotive ID","value":"4031"},{"id":130,"name":"Impact","value":""},{"id":150,"name":"Time of Event (Mountain Time)","value":"08:08:59"},{"id":151,"name":"Denver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4031 --day 2017-05-14</v>
      </c>
      <c r="AN3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668</v>
      </c>
      <c r="B37" s="7">
        <v>4012</v>
      </c>
      <c r="C37" s="21" t="s">
        <v>206</v>
      </c>
      <c r="D37" s="21" t="s">
        <v>832</v>
      </c>
      <c r="E37" s="13">
        <v>42869.276446759257</v>
      </c>
      <c r="F37" s="13">
        <v>42869.281412037039</v>
      </c>
      <c r="G37" s="7">
        <v>1</v>
      </c>
      <c r="H37" s="21" t="s">
        <v>845</v>
      </c>
      <c r="I37" s="13">
        <v>42869.306145833332</v>
      </c>
      <c r="J37" s="7">
        <v>0</v>
      </c>
      <c r="K37" s="92" t="str">
        <f>IF(ISEVEN(B37),(B37-1)&amp;"/"&amp;B37,B37&amp;"/"&amp;(B37+1))</f>
        <v>4011/4012</v>
      </c>
      <c r="L37" s="21" t="str">
        <f>VLOOKUP(A37,'Trips&amp;Operators'!$C$1:$G$99999,5,FALSE)</f>
        <v>GEBRETEKLE DAGNEW</v>
      </c>
      <c r="M37" s="6">
        <f>I37-F37</f>
        <v>2.4733796293730848E-2</v>
      </c>
      <c r="N37" s="7">
        <f>24*60*SUM($M37:$M37)</f>
        <v>35.61666666297242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-14T05:38:05-0600',mode:absolute,to:'2017-05-14T08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4.6699999999999998E-2</v>
      </c>
      <c r="Z37" s="192">
        <f>RIGHT(H37,LEN(H37)-4)/10000</f>
        <v>23.330200000000001</v>
      </c>
      <c r="AA37" s="192">
        <f>ABS(Z37-Y37)</f>
        <v>23.2835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0125-14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/stypes="app*4012*20170514*"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125-14 --locoid 4012 --swversion DE.1.0.9.0 --startMP 204:467 --initTime 2017-05-14T06:38:05 --startdatetime 2017-05-14T06:45:14 --delay 1 --endMP 204:233302 --enddatetime 2017-05-14T07:20:51 --enforcementcount 0 &gt;&gt;C:\Users\stu\Documents\GitHub\eaglep3-reporting\EC\2017-05-14-refined-times.txt</v>
      </c>
      <c r="AI3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{"issue":{"subject":"","project_id":79,"tracker_id":40,"status_id":1,"priority_id":2,"assigned_to_id":23,"start_date":"2017-05-14","description":"","custom_fields":[{"id":1,"name":"Subdivision","value":"EC"},{"id":4,"name":"Milepost","value":"23.3302"},{"id":17,"name":"Train ID","value":"125-14"},{"id":16,"name":"Locomotive ID","value":"4012"},{"id":130,"name":"Impact","value":""},{"id":150,"name":"Time of Event (Mountain Time)","value":"07:20:51"},{"id":151,"name":"Denver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4012 --day 2017-05-14</v>
      </c>
      <c r="AN3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674</v>
      </c>
      <c r="B38" s="7">
        <v>4011</v>
      </c>
      <c r="C38" s="21" t="s">
        <v>206</v>
      </c>
      <c r="D38" s="21" t="s">
        <v>846</v>
      </c>
      <c r="E38" s="13">
        <v>42869.316643518519</v>
      </c>
      <c r="F38" s="13">
        <v>42869.320324074077</v>
      </c>
      <c r="G38" s="7">
        <v>1</v>
      </c>
      <c r="H38" s="21" t="s">
        <v>847</v>
      </c>
      <c r="I38" s="13">
        <v>42869.346655092595</v>
      </c>
      <c r="J38" s="7">
        <v>0</v>
      </c>
      <c r="K38" s="92" t="str">
        <f>IF(ISEVEN(B38),(B38-1)&amp;"/"&amp;B38,B38&amp;"/"&amp;(B38+1))</f>
        <v>4011/4012</v>
      </c>
      <c r="L38" s="21" t="str">
        <f>VLOOKUP(A38,'Trips&amp;Operators'!$C$1:$G$99999,5,FALSE)</f>
        <v>GEBRETEKLE DAGNEW</v>
      </c>
      <c r="M38" s="6">
        <f>I38-F38</f>
        <v>2.6331018518249039E-2</v>
      </c>
      <c r="N38" s="7">
        <f>24*60*SUM($M38:$M38)</f>
        <v>37.916666666278616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-14T06:35:58-0600',mode:absolute,to:'2017-05-14T09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23.299099999999999</v>
      </c>
      <c r="Z38" s="192">
        <f>RIGHT(H38,LEN(H38)-4)/10000</f>
        <v>1.6500000000000001E-2</v>
      </c>
      <c r="AA38" s="192">
        <f>ABS(Z38-Y38)</f>
        <v>23.282599999999999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0126-14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/stypes="app*4011*20170514*"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126-14 --locoid 4011 --swversion DE.1.0.9.0 --startMP 204:232991 --initTime 2017-05-14T07:35:58 --startdatetime 2017-05-14T07:41:16 --delay 1 --endMP 204:165 --enddatetime 2017-05-14T08:19:11 --enforcementcount 0 &gt;&gt;C:\Users\stu\Documents\GitHub\eaglep3-reporting\EC\2017-05-14-refined-times.txt</v>
      </c>
      <c r="AI3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{"issue":{"subject":"","project_id":79,"tracker_id":40,"status_id":1,"priority_id":2,"assigned_to_id":23,"start_date":"2017-05-14","description":"","custom_fields":[{"id":1,"name":"Subdivision","value":"EC"},{"id":4,"name":"Milepost","value":"0.0165"},{"id":17,"name":"Train ID","value":"126-14"},{"id":16,"name":"Locomotive ID","value":"4011"},{"id":130,"name":"Impact","value":""},{"id":150,"name":"Time of Event (Mountain Time)","value":"08:19:11"},{"id":151,"name":"Denver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4011 --day 2017-05-14</v>
      </c>
      <c r="AN3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671</v>
      </c>
      <c r="B39" s="7">
        <v>4016</v>
      </c>
      <c r="C39" s="21" t="s">
        <v>206</v>
      </c>
      <c r="D39" s="21" t="s">
        <v>362</v>
      </c>
      <c r="E39" s="13">
        <v>42869.285497685189</v>
      </c>
      <c r="F39" s="13">
        <v>42869.292118055557</v>
      </c>
      <c r="G39" s="7">
        <v>1</v>
      </c>
      <c r="H39" s="21" t="s">
        <v>848</v>
      </c>
      <c r="I39" s="13">
        <v>42869.316527777781</v>
      </c>
      <c r="J39" s="7">
        <v>0</v>
      </c>
      <c r="K39" s="92" t="str">
        <f>IF(ISEVEN(B39),(B39-1)&amp;"/"&amp;B39,B39&amp;"/"&amp;(B39+1))</f>
        <v>4015/4016</v>
      </c>
      <c r="L39" s="21" t="str">
        <f>VLOOKUP(A39,'Trips&amp;Operators'!$C$1:$G$99999,5,FALSE)</f>
        <v>SANTIZO D. EDY</v>
      </c>
      <c r="M39" s="6">
        <f>I39-F39</f>
        <v>2.4409722223936114E-2</v>
      </c>
      <c r="N39" s="7">
        <f>24*60*SUM($M39:$M39)</f>
        <v>35.150000002468005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-14T05:51:07-0600',mode:absolute,to:'2017-05-14T08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4.5100000000000001E-2</v>
      </c>
      <c r="Z39" s="192">
        <f>RIGHT(H39,LEN(H39)-4)/10000</f>
        <v>23.328800000000001</v>
      </c>
      <c r="AA39" s="192">
        <f>ABS(Z39-Y39)</f>
        <v>23.2837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0127-14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/stypes="app*4016*20170514*"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127-14 --locoid 4016 --swversion DE.1.0.9.0 --startMP 204:451 --initTime 2017-05-14T06:51:07 --startdatetime 2017-05-14T07:00:39 --delay 1 --endMP 204:233288 --enddatetime 2017-05-14T07:35:48 --enforcementcount 0 &gt;&gt;C:\Users\stu\Documents\GitHub\eaglep3-reporting\EC\2017-05-14-refined-times.txt</v>
      </c>
      <c r="AI3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{"issue":{"subject":"","project_id":79,"tracker_id":40,"status_id":1,"priority_id":2,"assigned_to_id":23,"start_date":"2017-05-14","description":"","custom_fields":[{"id":1,"name":"Subdivision","value":"EC"},{"id":4,"name":"Milepost","value":"23.3288"},{"id":17,"name":"Train ID","value":"127-14"},{"id":16,"name":"Locomotive ID","value":"4016"},{"id":130,"name":"Impact","value":""},{"id":150,"name":"Time of Event (Mountain Time)","value":"07:35:48"},{"id":151,"name":"Denver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4016 --day 2017-05-14</v>
      </c>
      <c r="AN3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675</v>
      </c>
      <c r="B40" s="7">
        <v>4015</v>
      </c>
      <c r="C40" s="21" t="s">
        <v>206</v>
      </c>
      <c r="D40" s="21" t="s">
        <v>849</v>
      </c>
      <c r="E40" s="13">
        <v>42869.317546296297</v>
      </c>
      <c r="F40" s="13">
        <v>42869.330729166664</v>
      </c>
      <c r="G40" s="7">
        <v>1</v>
      </c>
      <c r="H40" s="21" t="s">
        <v>375</v>
      </c>
      <c r="I40" s="13">
        <v>42869.35701388889</v>
      </c>
      <c r="J40" s="7">
        <v>0</v>
      </c>
      <c r="K40" s="92" t="str">
        <f>IF(ISEVEN(B40),(B40-1)&amp;"/"&amp;B40,B40&amp;"/"&amp;(B40+1))</f>
        <v>4015/4016</v>
      </c>
      <c r="L40" s="21" t="str">
        <f>VLOOKUP(A40,'Trips&amp;Operators'!$C$1:$G$99999,5,FALSE)</f>
        <v>SANTIZO D. EDY</v>
      </c>
      <c r="M40" s="6">
        <f>I40-F40</f>
        <v>2.6284722225682344E-2</v>
      </c>
      <c r="N40" s="7">
        <f>24*60*SUM($M40:$M40)</f>
        <v>37.850000004982576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-14T06:37:16-0600',mode:absolute,to:'2017-05-14T09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23.297499999999999</v>
      </c>
      <c r="Z40" s="192">
        <f>RIGHT(H40,LEN(H40)-4)/10000</f>
        <v>1.47E-2</v>
      </c>
      <c r="AA40" s="192">
        <f>ABS(Z40-Y40)</f>
        <v>23.282799999999998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0128-14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/stypes="app*4015*20170514*"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128-14 --locoid 4015 --swversion DE.1.0.9.0 --startMP 204:232975 --initTime 2017-05-14T07:37:16 --startdatetime 2017-05-14T07:56:15 --delay 1 --endMP 204:147 --enddatetime 2017-05-14T08:34:06 --enforcementcount 0 &gt;&gt;C:\Users\stu\Documents\GitHub\eaglep3-reporting\EC\2017-05-14-refined-times.txt</v>
      </c>
      <c r="AI4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{"issue":{"subject":"","project_id":79,"tracker_id":40,"status_id":1,"priority_id":2,"assigned_to_id":23,"start_date":"2017-05-14","description":"","custom_fields":[{"id":1,"name":"Subdivision","value":"EC"},{"id":4,"name":"Milepost","value":"0.0147"},{"id":17,"name":"Train ID","value":"128-14"},{"id":16,"name":"Locomotive ID","value":"4015"},{"id":130,"name":"Impact","value":""},{"id":150,"name":"Time of Event (Mountain Time)","value":"08:34:06"},{"id":151,"name":"Denver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4015 --day 2017-05-14</v>
      </c>
      <c r="AN4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592</v>
      </c>
      <c r="B41" s="7">
        <v>4006</v>
      </c>
      <c r="C41" s="21" t="s">
        <v>206</v>
      </c>
      <c r="D41" s="21" t="s">
        <v>366</v>
      </c>
      <c r="E41" s="13">
        <v>42869.299432870372</v>
      </c>
      <c r="F41" s="13">
        <v>42869.302430555559</v>
      </c>
      <c r="G41" s="7">
        <v>1</v>
      </c>
      <c r="H41" s="21" t="s">
        <v>850</v>
      </c>
      <c r="I41" s="13">
        <v>42869.327013888891</v>
      </c>
      <c r="J41" s="7">
        <v>0</v>
      </c>
      <c r="K41" s="92" t="str">
        <f>IF(ISEVEN(B41),(B41-1)&amp;"/"&amp;B41,B41&amp;"/"&amp;(B41+1))</f>
        <v>4005/4006</v>
      </c>
      <c r="L41" s="21" t="str">
        <f>VLOOKUP(A41,'Trips&amp;Operators'!$C$1:$G$99999,5,FALSE)</f>
        <v>MACDONALD THOMAS</v>
      </c>
      <c r="M41" s="6">
        <f>I41-F41</f>
        <v>2.4583333331975155E-2</v>
      </c>
      <c r="N41" s="7">
        <f>24*60*SUM($M41:$M41)</f>
        <v>35.399999998044223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-14T06:11:11-0600',mode:absolute,to:'2017-05-14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2" t="str">
        <f>IF(AA41&lt;IF(AG41="EC",23,5.65),"Y","N")</f>
        <v>N</v>
      </c>
      <c r="X41" s="192">
        <f t="shared" ref="X41:X47" si="8">VALUE(LEFT(AD41,4))-VALUE(LEFT(AD40,4))</f>
        <v>1</v>
      </c>
      <c r="Y41" s="192">
        <f>RIGHT(D41,LEN(D41)-4)/10000</f>
        <v>4.6399999999999997E-2</v>
      </c>
      <c r="Z41" s="192">
        <f>RIGHT(H41,LEN(H41)-4)/10000</f>
        <v>23.3276</v>
      </c>
      <c r="AA41" s="192">
        <f>ABS(Z41-Y41)</f>
        <v>23.281200000000002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0129-14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/stypes="app*4006*20170514*"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129-14 --locoid 4006 --swversion DE.1.0.9.0 --startMP 204:464 --initTime 2017-05-14T07:11:11 --startdatetime 2017-05-14T07:15:30 --delay 1 --endMP 204:233276 --enddatetime 2017-05-14T07:50:54 --enforcementcount 0 &gt;&gt;C:\Users\stu\Documents\GitHub\eaglep3-reporting\EC\2017-05-14-refined-times.txt</v>
      </c>
      <c r="AI41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{"issue":{"subject":"","project_id":79,"tracker_id":40,"status_id":1,"priority_id":2,"assigned_to_id":23,"start_date":"2017-05-14","description":"","custom_fields":[{"id":1,"name":"Subdivision","value":"EC"},{"id":4,"name":"Milepost","value":"23.3276"},{"id":17,"name":"Train ID","value":"129-14"},{"id":16,"name":"Locomotive ID","value":"4006"},{"id":130,"name":"Impact","value":""},{"id":150,"name":"Time of Event (Mountain Time)","value":"07:50:54"},{"id":151,"name":"Denver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4006 --day 2017-05-14</v>
      </c>
      <c r="AN41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680</v>
      </c>
      <c r="B42" s="7">
        <v>4005</v>
      </c>
      <c r="C42" s="21" t="s">
        <v>206</v>
      </c>
      <c r="D42" s="21" t="s">
        <v>851</v>
      </c>
      <c r="E42" s="13">
        <v>42869.338391203702</v>
      </c>
      <c r="F42" s="13">
        <v>42869.341481481482</v>
      </c>
      <c r="G42" s="7">
        <v>1</v>
      </c>
      <c r="H42" s="21" t="s">
        <v>198</v>
      </c>
      <c r="I42" s="13">
        <v>42869.367893518516</v>
      </c>
      <c r="J42" s="7">
        <v>0</v>
      </c>
      <c r="K42" s="92" t="str">
        <f>IF(ISEVEN(B42),(B42-1)&amp;"/"&amp;B42,B42&amp;"/"&amp;(B42+1))</f>
        <v>4005/4006</v>
      </c>
      <c r="L42" s="21" t="str">
        <f>VLOOKUP(A42,'Trips&amp;Operators'!$C$1:$G$99999,5,FALSE)</f>
        <v>MACDONALD THOMAS</v>
      </c>
      <c r="M42" s="6">
        <f>I42-F42</f>
        <v>2.6412037033878732E-2</v>
      </c>
      <c r="N42" s="7">
        <f>24*60*SUM($M42:$M42)</f>
        <v>38.033333328785375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-14T07:07:17-0600',mode:absolute,to:'2017-05-14T09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2" t="str">
        <f>IF(AA42&lt;IF(AG42="EC",23,5.65),"Y","N")</f>
        <v>N</v>
      </c>
      <c r="X42" s="192">
        <f t="shared" si="8"/>
        <v>1</v>
      </c>
      <c r="Y42" s="192">
        <f>RIGHT(D42,LEN(D42)-4)/10000</f>
        <v>23.297000000000001</v>
      </c>
      <c r="Z42" s="192">
        <f>RIGHT(H42,LEN(H42)-4)/10000</f>
        <v>1.5800000000000002E-2</v>
      </c>
      <c r="AA42" s="192">
        <f>ABS(Z42-Y42)</f>
        <v>23.281200000000002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0130-14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/stypes="app*4005*20170514*"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130-14 --locoid 4005 --swversion DE.1.0.9.0 --startMP 204:232970 --initTime 2017-05-14T08:07:17 --startdatetime 2017-05-14T08:11:44 --delay 1 --endMP 204:158 --enddatetime 2017-05-14T08:49:46 --enforcementcount 0 &gt;&gt;C:\Users\stu\Documents\GitHub\eaglep3-reporting\EC\2017-05-14-refined-times.txt</v>
      </c>
      <c r="AI4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ID","value":"130-14"},{"id":16,"name":"Locomotive ID","value":"4005"},{"id":130,"name":"Impact","value":""},{"id":150,"name":"Time of Event (Mountain Time)","value":"08:49:46"},{"id":151,"name":"Denver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4005 --day 2017-05-14</v>
      </c>
      <c r="AN4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595</v>
      </c>
      <c r="B43" s="7">
        <v>4010</v>
      </c>
      <c r="C43" s="21" t="s">
        <v>206</v>
      </c>
      <c r="D43" s="21" t="s">
        <v>385</v>
      </c>
      <c r="E43" s="13">
        <v>42869.307939814818</v>
      </c>
      <c r="F43" s="13">
        <v>42869.312743055554</v>
      </c>
      <c r="G43" s="7">
        <v>1</v>
      </c>
      <c r="H43" s="21" t="s">
        <v>384</v>
      </c>
      <c r="I43" s="13">
        <v>42869.335462962961</v>
      </c>
      <c r="J43" s="7">
        <v>0</v>
      </c>
      <c r="K43" s="92" t="str">
        <f>IF(ISEVEN(B43),(B43-1)&amp;"/"&amp;B43,B43&amp;"/"&amp;(B43+1))</f>
        <v>4009/4010</v>
      </c>
      <c r="L43" s="21" t="str">
        <f>VLOOKUP(A43,'Trips&amp;Operators'!$C$1:$G$99999,5,FALSE)</f>
        <v>MAELZER KURT</v>
      </c>
      <c r="M43" s="6">
        <f>I43-F43</f>
        <v>2.2719907407008577E-2</v>
      </c>
      <c r="N43" s="7">
        <f>24*60*SUM($M43:$M43)</f>
        <v>32.716666666092351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-14T06:23:26-0600',mode:absolute,to:'2017-05-14T09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92" t="str">
        <f>IF(AA43&lt;IF(AG43="EC",23,5.65),"Y","N")</f>
        <v>N</v>
      </c>
      <c r="X43" s="192">
        <f t="shared" si="8"/>
        <v>1</v>
      </c>
      <c r="Y43" s="192">
        <f>RIGHT(D43,LEN(D43)-4)/10000</f>
        <v>4.5499999999999999E-2</v>
      </c>
      <c r="Z43" s="192">
        <f>RIGHT(H43,LEN(H43)-4)/10000</f>
        <v>23.330100000000002</v>
      </c>
      <c r="AA43" s="192">
        <f>ABS(Z43-Y43)</f>
        <v>23.284600000000001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0131-14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s3://rtdc.mdm.uploadarchive.raw/RTDC4010/ "%USERPROFILE%\AppData\Local\Temp\OnboardLogs"\RTDC4010\2017-05-14 --exclude "*" --recursive --include "*20170514*" &amp; "%USERPROFILE%\Documents\GitHub\mrs-test-scripts\Headless Mode &amp; Sideloading\WalkAndUnGZ.bat" "%USERPROFILE%\AppData\Local\Temp\OnboardLogs"\RTDC4010\2017-05-14 &amp; 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/stypes="app*4010*20170514*"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131-14 --locoid 4010 --swversion DE.1.0.9.0 --startMP 204:455 --initTime 2017-05-14T07:23:26 --startdatetime 2017-05-14T07:30:21 --delay 1 --endMP 204:233301 --enddatetime 2017-05-14T08:03:04 --enforcementcount 0 &gt;&gt;C:\Users\stu\Documents\GitHub\eaglep3-reporting\EC\2017-05-14-refined-times.txt</v>
      </c>
      <c r="AI4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{"issue":{"subject":"","project_id":79,"tracker_id":40,"status_id":1,"priority_id":2,"assigned_to_id":23,"start_date":"2017-05-14","description":"","custom_fields":[{"id":1,"name":"Subdivision","value":"EC"},{"id":4,"name":"Milepost","value":"23.3301"},{"id":17,"name":"Train ID","value":"131-14"},{"id":16,"name":"Locomotive ID","value":"4010"},{"id":130,"name":"Impact","value":""},{"id":150,"name":"Time of Event (Mountain Time)","value":"08:03:04"},{"id":151,"name":"Denver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4010 --day 2017-05-14</v>
      </c>
      <c r="AN4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596</v>
      </c>
      <c r="B44" s="7">
        <v>4009</v>
      </c>
      <c r="C44" s="21" t="s">
        <v>206</v>
      </c>
      <c r="D44" s="21" t="s">
        <v>853</v>
      </c>
      <c r="E44" s="13">
        <v>42869.348229166666</v>
      </c>
      <c r="F44" s="13">
        <v>42869.351631944446</v>
      </c>
      <c r="G44" s="7">
        <v>0</v>
      </c>
      <c r="H44" s="21" t="s">
        <v>390</v>
      </c>
      <c r="I44" s="13">
        <v>42869.379583333335</v>
      </c>
      <c r="J44" s="7">
        <v>0</v>
      </c>
      <c r="K44" s="92" t="str">
        <f>IF(ISEVEN(B44),(B44-1)&amp;"/"&amp;B44,B44&amp;"/"&amp;(B44+1))</f>
        <v>4009/4010</v>
      </c>
      <c r="L44" s="21" t="str">
        <f>VLOOKUP(A44,'Trips&amp;Operators'!$C$1:$G$99999,5,FALSE)</f>
        <v>MAELZER KURT</v>
      </c>
      <c r="M44" s="6">
        <f>I44-F44</f>
        <v>2.7951388889050577E-2</v>
      </c>
      <c r="N44" s="7">
        <f>24*60*SUM($M44:$M44)</f>
        <v>40.250000000232831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-14T07:21:27-0600',mode:absolute,to:'2017-05-14T10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192" t="str">
        <f>IF(AA44&lt;IF(AG44="EC",23,5.65),"Y","N")</f>
        <v>N</v>
      </c>
      <c r="X44" s="192">
        <f t="shared" si="8"/>
        <v>1</v>
      </c>
      <c r="Y44" s="192">
        <f>RIGHT(D44,LEN(D44)-4)/10000</f>
        <v>23.298200000000001</v>
      </c>
      <c r="Z44" s="192">
        <f>RIGHT(H44,LEN(H44)-4)/10000</f>
        <v>1.3599999999999999E-2</v>
      </c>
      <c r="AA44" s="192">
        <f>ABS(Z44-Y44)</f>
        <v>23.284600000000001</v>
      </c>
      <c r="AB44" s="57" t="str">
        <f>VLOOKUP(A44,Enforcements!$C$7:$K$13,8,0)</f>
        <v>Bulletin (2)</v>
      </c>
      <c r="AC44" s="53" t="str">
        <f>VLOOKUP(A44,Enforcements!$C$7:$E$13,3,0)</f>
        <v>GRADE CROSSING</v>
      </c>
      <c r="AD44" s="54" t="str">
        <f>IF(LEN(A44)=6,"0"&amp;A44,A44)</f>
        <v>0132-14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/stypes="app*4009*20170514*"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132-14 --locoid 4009 --swversion DE.1.0.9.0 --startMP 204:232982 --initTime 2017-05-14T08:21:27 --startdatetime 2017-05-14T08:26:21 --delay 0 --endMP 204:136 --enddatetime 2017-05-14T09:06:36 --enforcementcount 0 &gt;&gt;C:\Users\stu\Documents\GitHub\eaglep3-reporting\EC\2017-05-14-refined-times.txt</v>
      </c>
      <c r="AI4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{"issue":{"subject":"","project_id":79,"tracker_id":40,"status_id":1,"priority_id":2,"assigned_to_id":23,"start_date":"2017-05-14","description":"","custom_fields":[{"id":1,"name":"Subdivision","value":"EC"},{"id":4,"name":"Milepost","value":"0.0136"},{"id":17,"name":"Train ID","value":"132-14"},{"id":16,"name":"Locomotive ID","value":"4009"},{"id":130,"name":"Impact","value":""},{"id":150,"name":"Time of Event (Mountain Time)","value":"09:06:36"},{"id":151,"name":"Denver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4009 --day 2017-05-14</v>
      </c>
      <c r="AN4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677</v>
      </c>
      <c r="B45" s="7">
        <v>4046</v>
      </c>
      <c r="C45" s="21" t="s">
        <v>206</v>
      </c>
      <c r="D45" s="21" t="s">
        <v>476</v>
      </c>
      <c r="E45" s="13">
        <v>42869.319722222222</v>
      </c>
      <c r="F45" s="13">
        <v>42869.323194444441</v>
      </c>
      <c r="G45" s="7">
        <v>1</v>
      </c>
      <c r="H45" s="21" t="s">
        <v>854</v>
      </c>
      <c r="I45" s="13">
        <v>42869.347870370373</v>
      </c>
      <c r="J45" s="7">
        <v>0</v>
      </c>
      <c r="K45" s="92" t="str">
        <f>IF(ISEVEN(B45),(B45-1)&amp;"/"&amp;B45,B45&amp;"/"&amp;(B45+1))</f>
        <v>4045/4046</v>
      </c>
      <c r="L45" s="21" t="str">
        <f>VLOOKUP(A45,'Trips&amp;Operators'!$C$1:$G$99999,5,FALSE)</f>
        <v>WHITED DUSTIN</v>
      </c>
      <c r="M45" s="6">
        <f>I45-F45</f>
        <v>2.4675925931660458E-2</v>
      </c>
      <c r="N45" s="7">
        <f>24*60*SUM($M45:$M45)</f>
        <v>35.53333334159106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-14T06:40:24-0600',mode:absolute,to:'2017-05-14T09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192" t="str">
        <f>IF(AA45&lt;IF(AG45="EC",23,5.65),"Y","N")</f>
        <v>N</v>
      </c>
      <c r="X45" s="192">
        <f t="shared" si="8"/>
        <v>1</v>
      </c>
      <c r="Y45" s="192">
        <f>RIGHT(D45,LEN(D45)-4)/10000</f>
        <v>4.2700000000000002E-2</v>
      </c>
      <c r="Z45" s="192">
        <f>RIGHT(H45,LEN(H45)-4)/10000</f>
        <v>23.3353</v>
      </c>
      <c r="AA45" s="192">
        <f>ABS(Z45-Y45)</f>
        <v>23.2926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0133-14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/stypes="app*4046*20170514*"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133-14 --locoid 4046 --swversion DE.1.0.9.0 --startMP 204:427 --initTime 2017-05-14T07:40:24 --startdatetime 2017-05-14T07:45:24 --delay 1 --endMP 204:233353 --enddatetime 2017-05-14T08:20:56 --enforcementcount 0 &gt;&gt;C:\Users\stu\Documents\GitHub\eaglep3-reporting\EC\2017-05-14-refined-times.txt</v>
      </c>
      <c r="AI4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{"issue":{"subject":"","project_id":79,"tracker_id":40,"status_id":1,"priority_id":2,"assigned_to_id":23,"start_date":"2017-05-14","description":"","custom_fields":[{"id":1,"name":"Subdivision","value":"EC"},{"id":4,"name":"Milepost","value":"23.3353"},{"id":17,"name":"Train ID","value":"133-14"},{"id":16,"name":"Locomotive ID","value":"4046"},{"id":130,"name":"Impact","value":""},{"id":150,"name":"Time of Event (Mountain Time)","value":"08:20:56"},{"id":151,"name":"Denver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4046 --day 2017-05-14</v>
      </c>
      <c r="AN4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683</v>
      </c>
      <c r="B46" s="7">
        <v>4045</v>
      </c>
      <c r="C46" s="21" t="s">
        <v>206</v>
      </c>
      <c r="D46" s="21" t="s">
        <v>855</v>
      </c>
      <c r="E46" s="13">
        <v>42869.353622685187</v>
      </c>
      <c r="F46" s="13">
        <v>42869.361956018518</v>
      </c>
      <c r="G46" s="7">
        <v>1</v>
      </c>
      <c r="H46" s="21" t="s">
        <v>375</v>
      </c>
      <c r="I46" s="13">
        <v>42869.387546296297</v>
      </c>
      <c r="J46" s="7">
        <v>0</v>
      </c>
      <c r="K46" s="92" t="str">
        <f>IF(ISEVEN(B46),(B46-1)&amp;"/"&amp;B46,B46&amp;"/"&amp;(B46+1))</f>
        <v>4045/4046</v>
      </c>
      <c r="L46" s="21" t="str">
        <f>VLOOKUP(A46,'Trips&amp;Operators'!$C$1:$G$99999,5,FALSE)</f>
        <v>WHITED DUSTIN</v>
      </c>
      <c r="M46" s="6">
        <f>I46-F46</f>
        <v>2.5590277778974269E-2</v>
      </c>
      <c r="N46" s="7">
        <f>24*60*SUM($M46:$M46)</f>
        <v>36.850000001722947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-14T07:29:13-0600',mode:absolute,to:'2017-05-14T10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192" t="str">
        <f>IF(AA46&lt;IF(AG46="EC",23,5.65),"Y","N")</f>
        <v>N</v>
      </c>
      <c r="X46" s="192">
        <f t="shared" si="8"/>
        <v>1</v>
      </c>
      <c r="Y46" s="192">
        <f>RIGHT(D46,LEN(D46)-4)/10000</f>
        <v>23.303000000000001</v>
      </c>
      <c r="Z46" s="192">
        <f>RIGHT(H46,LEN(H46)-4)/10000</f>
        <v>1.47E-2</v>
      </c>
      <c r="AA46" s="192">
        <f>ABS(Z46-Y46)</f>
        <v>23.2883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0134-14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/stypes="app*4045*20170514*"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134-14 --locoid 4045 --swversion DE.1.0.9.0 --startMP 204:233030 --initTime 2017-05-14T08:29:13 --startdatetime 2017-05-14T08:41:13 --delay 1 --endMP 204:147 --enddatetime 2017-05-14T09:18:04 --enforcementcount 0 &gt;&gt;C:\Users\stu\Documents\GitHub\eaglep3-reporting\EC\2017-05-14-refined-times.txt</v>
      </c>
      <c r="AI4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{"issue":{"subject":"","project_id":79,"tracker_id":40,"status_id":1,"priority_id":2,"assigned_to_id":23,"start_date":"2017-05-14","description":"","custom_fields":[{"id":1,"name":"Subdivision","value":"EC"},{"id":4,"name":"Milepost","value":"0.0147"},{"id":17,"name":"Train ID","value":"134-14"},{"id":16,"name":"Locomotive ID","value":"4045"},{"id":130,"name":"Impact","value":""},{"id":150,"name":"Time of Event (Mountain Time)","value":"09:18:04"},{"id":151,"name":"Denver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4045 --day 2017-05-14</v>
      </c>
      <c r="AN4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15:18:04"},{"id":29,"name":"Sharepoint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678</v>
      </c>
      <c r="B47" s="7">
        <v>4002</v>
      </c>
      <c r="C47" s="21" t="s">
        <v>206</v>
      </c>
      <c r="D47" s="21" t="s">
        <v>369</v>
      </c>
      <c r="E47" s="13">
        <v>42869.328414351854</v>
      </c>
      <c r="F47" s="13">
        <v>42869.333541666667</v>
      </c>
      <c r="G47" s="7">
        <v>1</v>
      </c>
      <c r="H47" s="21" t="s">
        <v>856</v>
      </c>
      <c r="I47" s="13">
        <v>42869.361145833333</v>
      </c>
      <c r="J47" s="7">
        <v>0</v>
      </c>
      <c r="K47" s="92" t="str">
        <f>IF(ISEVEN(B47),(B47-1)&amp;"/"&amp;B47,B47&amp;"/"&amp;(B47+1))</f>
        <v>4001/4002</v>
      </c>
      <c r="L47" s="21" t="str">
        <f>VLOOKUP(A47,'Trips&amp;Operators'!$C$1:$G$99999,5,FALSE)</f>
        <v>DAVIS WENDY</v>
      </c>
      <c r="M47" s="6">
        <f>I47-F47</f>
        <v>2.7604166665696539E-2</v>
      </c>
      <c r="N47" s="7">
        <f>24*60*SUM($M47:$M47)</f>
        <v>39.749999998603016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-14T06:52:55-0600',mode:absolute,to:'2017-05-14T09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192" t="str">
        <f>IF(AA47&lt;IF(AG47="EC",23,5.65),"Y","N")</f>
        <v>N</v>
      </c>
      <c r="X47" s="192">
        <f t="shared" si="8"/>
        <v>1</v>
      </c>
      <c r="Y47" s="192">
        <f>RIGHT(D47,LEN(D47)-4)/10000</f>
        <v>4.53E-2</v>
      </c>
      <c r="Z47" s="192">
        <f>RIGHT(H47,LEN(H47)-4)/10000</f>
        <v>23.3324</v>
      </c>
      <c r="AA47" s="192">
        <f>ABS(Z47-Y47)</f>
        <v>23.287099999999999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0135-14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/stypes="app*4002*20170514*"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135-14 --locoid 4002 --swversion DE.1.0.9.0 --startMP 204:453 --initTime 2017-05-14T07:52:55 --startdatetime 2017-05-14T08:00:18 --delay 1 --endMP 204:233324 --enddatetime 2017-05-14T08:40:03 --enforcementcount 0 &gt;&gt;C:\Users\stu\Documents\GitHub\eaglep3-reporting\EC\2017-05-14-refined-times.txt</v>
      </c>
      <c r="AI4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{"issue":{"subject":"","project_id":79,"tracker_id":40,"status_id":1,"priority_id":2,"assigned_to_id":23,"start_date":"2017-05-14","description":"","custom_fields":[{"id":1,"name":"Subdivision","value":"EC"},{"id":4,"name":"Milepost","value":"23.3324"},{"id":17,"name":"Train ID","value":"135-14"},{"id":16,"name":"Locomotive ID","value":"4002"},{"id":130,"name":"Impact","value":""},{"id":150,"name":"Time of Event (Mountain Time)","value":"08:40:03"},{"id":151,"name":"Denver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4002 --day 2017-05-14</v>
      </c>
      <c r="AN4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686</v>
      </c>
      <c r="B48" s="7">
        <v>4001</v>
      </c>
      <c r="C48" s="21" t="s">
        <v>206</v>
      </c>
      <c r="D48" s="21" t="s">
        <v>857</v>
      </c>
      <c r="E48" s="13">
        <v>42869.369537037041</v>
      </c>
      <c r="F48" s="13">
        <v>42869.372372685182</v>
      </c>
      <c r="G48" s="7">
        <v>1</v>
      </c>
      <c r="H48" s="21" t="s">
        <v>198</v>
      </c>
      <c r="I48" s="13">
        <v>42869.400138888886</v>
      </c>
      <c r="J48" s="7">
        <v>0</v>
      </c>
      <c r="K48" s="92" t="str">
        <f>IF(ISEVEN(B48),(B48-1)&amp;"/"&amp;B48,B48&amp;"/"&amp;(B48+1))</f>
        <v>4001/4002</v>
      </c>
      <c r="L48" s="21" t="str">
        <f>VLOOKUP(A48,'Trips&amp;Operators'!$C$1:$G$99999,5,FALSE)</f>
        <v>DAVIS WENDY</v>
      </c>
      <c r="M48" s="6">
        <f>I48-F48</f>
        <v>2.7766203704231884E-2</v>
      </c>
      <c r="N48" s="7">
        <f>24*60*SUM($M48:$M48)</f>
        <v>39.983333334093913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-14T07:52:08-0600',mode:absolute,to:'2017-05-14T10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23.3005</v>
      </c>
      <c r="Z48" s="192">
        <f>RIGHT(H48,LEN(H48)-4)/10000</f>
        <v>1.5800000000000002E-2</v>
      </c>
      <c r="AA48" s="192">
        <f>ABS(Z48-Y48)</f>
        <v>23.284700000000001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0136-14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/stypes="app*4001*20170514*"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136-14 --locoid 4001 --swversion DE.1.0.9.0 --startMP 204:233005 --initTime 2017-05-14T08:52:08 --startdatetime 2017-05-14T08:56:13 --delay 1 --endMP 204:158 --enddatetime 2017-05-14T09:36:12 --enforcementcount 0 &gt;&gt;C:\Users\stu\Documents\GitHub\eaglep3-reporting\EC\2017-05-14-refined-times.txt</v>
      </c>
      <c r="AI4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ID","value":"136-14"},{"id":16,"name":"Locomotive ID","value":"4001"},{"id":130,"name":"Impact","value":""},{"id":150,"name":"Time of Event (Mountain Time)","value":"09:36:12"},{"id":151,"name":"Denver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4001 --day 2017-05-14</v>
      </c>
      <c r="AN4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681</v>
      </c>
      <c r="B49" s="7">
        <v>4032</v>
      </c>
      <c r="C49" s="21" t="s">
        <v>206</v>
      </c>
      <c r="D49" s="21" t="s">
        <v>347</v>
      </c>
      <c r="E49" s="13">
        <v>42869.341620370367</v>
      </c>
      <c r="F49" s="13">
        <v>42869.343923611108</v>
      </c>
      <c r="G49" s="7">
        <v>1</v>
      </c>
      <c r="H49" s="21" t="s">
        <v>480</v>
      </c>
      <c r="I49" s="13">
        <v>42869.368773148148</v>
      </c>
      <c r="J49" s="7">
        <v>0</v>
      </c>
      <c r="K49" s="92" t="str">
        <f>IF(ISEVEN(B49),(B49-1)&amp;"/"&amp;B49,B49&amp;"/"&amp;(B49+1))</f>
        <v>4031/4032</v>
      </c>
      <c r="L49" s="21" t="str">
        <f>VLOOKUP(A49,'Trips&amp;Operators'!$C$1:$G$99999,5,FALSE)</f>
        <v>LOPES KIMBERLY</v>
      </c>
      <c r="M49" s="6">
        <f>I49-F49</f>
        <v>2.4849537039699499E-2</v>
      </c>
      <c r="N49" s="7">
        <f>24*60*SUM($M49:$M49)</f>
        <v>35.783333337167278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-14T07:11:56-0600',mode:absolute,to:'2017-05-14T09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4.4900000000000002E-2</v>
      </c>
      <c r="Z49" s="192">
        <f>RIGHT(H49,LEN(H49)-4)/10000</f>
        <v>23.331700000000001</v>
      </c>
      <c r="AA49" s="192">
        <f>ABS(Z49-Y49)</f>
        <v>23.286800000000003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0137-14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/stypes="app*4032*20170514*"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137-14 --locoid 4032 --swversion DE.1.0.9.0 --startMP 204:449 --initTime 2017-05-14T08:11:56 --startdatetime 2017-05-14T08:15:15 --delay 1 --endMP 204:233317 --enddatetime 2017-05-14T08:51:02 --enforcementcount 0 &gt;&gt;C:\Users\stu\Documents\GitHub\eaglep3-reporting\EC\2017-05-14-refined-times.txt</v>
      </c>
      <c r="AI4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{"issue":{"subject":"","project_id":79,"tracker_id":40,"status_id":1,"priority_id":2,"assigned_to_id":23,"start_date":"2017-05-14","description":"","custom_fields":[{"id":1,"name":"Subdivision","value":"EC"},{"id":4,"name":"Milepost","value":"23.3317"},{"id":17,"name":"Train ID","value":"137-14"},{"id":16,"name":"Locomotive ID","value":"4032"},{"id":130,"name":"Impact","value":""},{"id":150,"name":"Time of Event (Mountain Time)","value":"08:51:02"},{"id":151,"name":"Denver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4032 --day 2017-05-14</v>
      </c>
      <c r="AN4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689</v>
      </c>
      <c r="B50" s="7">
        <v>4031</v>
      </c>
      <c r="C50" s="21" t="s">
        <v>206</v>
      </c>
      <c r="D50" s="21" t="s">
        <v>858</v>
      </c>
      <c r="E50" s="13">
        <v>42869.375636574077</v>
      </c>
      <c r="F50" s="13">
        <v>42869.382974537039</v>
      </c>
      <c r="G50" s="7">
        <v>1</v>
      </c>
      <c r="H50" s="21" t="s">
        <v>353</v>
      </c>
      <c r="I50" s="13">
        <v>42869.408888888887</v>
      </c>
      <c r="J50" s="7">
        <v>0</v>
      </c>
      <c r="K50" s="92" t="str">
        <f>IF(ISEVEN(B50),(B50-1)&amp;"/"&amp;B50,B50&amp;"/"&amp;(B50+1))</f>
        <v>4031/4032</v>
      </c>
      <c r="L50" s="21" t="str">
        <f>VLOOKUP(A50,'Trips&amp;Operators'!$C$1:$G$99999,5,FALSE)</f>
        <v>LOPES KIMBERLY</v>
      </c>
      <c r="M50" s="6">
        <f>I50-F50</f>
        <v>2.5914351848769002E-2</v>
      </c>
      <c r="N50" s="7">
        <f>24*60*SUM($M50:$M50)</f>
        <v>37.316666662227362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-14T08:00:55-0600',mode:absolute,to:'2017-05-14T10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23.298300000000001</v>
      </c>
      <c r="Z50" s="192">
        <f>RIGHT(H50,LEN(H50)-4)/10000</f>
        <v>1.4500000000000001E-2</v>
      </c>
      <c r="AA50" s="192">
        <f>ABS(Z50-Y50)</f>
        <v>23.283799999999999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0138-14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/stypes="app*4031*20170514*"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138-14 --locoid 4031 --swversion DE.1.0.9.0 --startMP 204:232983 --initTime 2017-05-14T09:00:55 --startdatetime 2017-05-14T09:11:29 --delay 1 --endMP 204:145 --enddatetime 2017-05-14T09:48:48 --enforcementcount 0 &gt;&gt;C:\Users\stu\Documents\GitHub\eaglep3-reporting\EC\2017-05-14-refined-times.txt</v>
      </c>
      <c r="AI5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{"issue":{"subject":"","project_id":79,"tracker_id":40,"status_id":1,"priority_id":2,"assigned_to_id":23,"start_date":"2017-05-14","description":"","custom_fields":[{"id":1,"name":"Subdivision","value":"EC"},{"id":4,"name":"Milepost","value":"0.0145"},{"id":17,"name":"Train ID","value":"138-14"},{"id":16,"name":"Locomotive ID","value":"4031"},{"id":130,"name":"Impact","value":""},{"id":150,"name":"Time of Event (Mountain Time)","value":"09:48:48"},{"id":151,"name":"Denver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4031 --day 2017-05-14</v>
      </c>
      <c r="AN5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682</v>
      </c>
      <c r="B51" s="7">
        <v>4012</v>
      </c>
      <c r="C51" s="21" t="s">
        <v>206</v>
      </c>
      <c r="D51" s="21" t="s">
        <v>427</v>
      </c>
      <c r="E51" s="13">
        <v>42869.349606481483</v>
      </c>
      <c r="F51" s="13">
        <v>42869.354328703703</v>
      </c>
      <c r="G51" s="7">
        <v>1</v>
      </c>
      <c r="H51" s="21" t="s">
        <v>566</v>
      </c>
      <c r="I51" s="13">
        <v>42869.37872685185</v>
      </c>
      <c r="J51" s="7">
        <v>0</v>
      </c>
      <c r="K51" s="92" t="str">
        <f>IF(ISEVEN(B51),(B51-1)&amp;"/"&amp;B51,B51&amp;"/"&amp;(B51+1))</f>
        <v>4011/4012</v>
      </c>
      <c r="L51" s="21" t="str">
        <f>VLOOKUP(A51,'Trips&amp;Operators'!$C$1:$G$99999,5,FALSE)</f>
        <v>GEBRETEKLE DAGNEW</v>
      </c>
      <c r="M51" s="6">
        <f>I51-F51</f>
        <v>2.4398148147156462E-2</v>
      </c>
      <c r="N51" s="7">
        <f>24*60*SUM($M51:$M51)</f>
        <v>35.133333331905305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-14T07:23:26-0600',mode:absolute,to:'2017-05-14T10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4.6199999999999998E-2</v>
      </c>
      <c r="Z51" s="192">
        <f>RIGHT(H51,LEN(H51)-4)/10000</f>
        <v>23.328399999999998</v>
      </c>
      <c r="AA51" s="192">
        <f>ABS(Z51-Y51)</f>
        <v>23.2822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0139-14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/stypes="app*4012*20170514*"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139-14 --locoid 4012 --swversion DE.1.0.9.0 --startMP 204:462 --initTime 2017-05-14T08:23:26 --startdatetime 2017-05-14T08:30:14 --delay 1 --endMP 204:233284 --enddatetime 2017-05-14T09:05:22 --enforcementcount 0 &gt;&gt;C:\Users\stu\Documents\GitHub\eaglep3-reporting\EC\2017-05-14-refined-times.txt</v>
      </c>
      <c r="AI51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{"issue":{"subject":"","project_id":79,"tracker_id":40,"status_id":1,"priority_id":2,"assigned_to_id":23,"start_date":"2017-05-14","description":"","custom_fields":[{"id":1,"name":"Subdivision","value":"EC"},{"id":4,"name":"Milepost","value":"23.3284"},{"id":17,"name":"Train ID","value":"139-14"},{"id":16,"name":"Locomotive ID","value":"4012"},{"id":130,"name":"Impact","value":""},{"id":150,"name":"Time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4012 --day 2017-05-14</v>
      </c>
      <c r="AN51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690</v>
      </c>
      <c r="B52" s="7">
        <v>4011</v>
      </c>
      <c r="C52" s="21" t="s">
        <v>206</v>
      </c>
      <c r="D52" s="21" t="s">
        <v>844</v>
      </c>
      <c r="E52" s="13">
        <v>42869.390277777777</v>
      </c>
      <c r="F52" s="13">
        <v>42869.39329861111</v>
      </c>
      <c r="G52" s="7">
        <v>1</v>
      </c>
      <c r="H52" s="21" t="s">
        <v>570</v>
      </c>
      <c r="I52" s="13">
        <v>42869.419259259259</v>
      </c>
      <c r="J52" s="7">
        <v>0</v>
      </c>
      <c r="K52" s="92" t="str">
        <f>IF(ISEVEN(B52),(B52-1)&amp;"/"&amp;B52,B52&amp;"/"&amp;(B52+1))</f>
        <v>4011/4012</v>
      </c>
      <c r="L52" s="21" t="str">
        <f>VLOOKUP(A52,'Trips&amp;Operators'!$C$1:$G$99999,5,FALSE)</f>
        <v>GEBRETEKLE DAGNEW</v>
      </c>
      <c r="M52" s="6">
        <f>I52-F52</f>
        <v>2.5960648148611654E-2</v>
      </c>
      <c r="N52" s="7">
        <f>24*60*SUM($M52:$M52)</f>
        <v>37.383333334000781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-14T08:22:00-0600',mode:absolute,to:'2017-05-14T11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23.297999999999998</v>
      </c>
      <c r="Z52" s="192">
        <f>RIGHT(H52,LEN(H52)-4)/10000</f>
        <v>1.7399999999999999E-2</v>
      </c>
      <c r="AA52" s="192">
        <f>ABS(Z52-Y52)</f>
        <v>23.2806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0140-14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/stypes="app*4011*20170514*"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140-14 --locoid 4011 --swversion DE.1.0.9.0 --startMP 204:232980 --initTime 2017-05-14T09:22:00 --startdatetime 2017-05-14T09:26:21 --delay 1 --endMP 204:174 --enddatetime 2017-05-14T10:03:44 --enforcementcount 0 &gt;&gt;C:\Users\stu\Documents\GitHub\eaglep3-reporting\EC\2017-05-14-refined-times.txt</v>
      </c>
      <c r="AI5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{"issue":{"subject":"","project_id":79,"tracker_id":40,"status_id":1,"priority_id":2,"assigned_to_id":23,"start_date":"2017-05-14","description":"","custom_fields":[{"id":1,"name":"Subdivision","value":"EC"},{"id":4,"name":"Milepost","value":"0.0174"},{"id":17,"name":"Train ID","value":"140-14"},{"id":16,"name":"Locomotive ID","value":"4011"},{"id":130,"name":"Impact","value":""},{"id":150,"name":"Time of Event (Mountain Time)","value":"10:03:44"},{"id":151,"name":"Denver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4011 --day 2017-05-14</v>
      </c>
      <c r="AN5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685</v>
      </c>
      <c r="B53" s="7">
        <v>4016</v>
      </c>
      <c r="C53" s="21" t="s">
        <v>206</v>
      </c>
      <c r="D53" s="21" t="s">
        <v>355</v>
      </c>
      <c r="E53" s="13">
        <v>42869.358090277776</v>
      </c>
      <c r="F53" s="13">
        <v>42869.364791666667</v>
      </c>
      <c r="G53" s="7">
        <v>1</v>
      </c>
      <c r="H53" s="21" t="s">
        <v>567</v>
      </c>
      <c r="I53" s="13">
        <v>42869.390162037038</v>
      </c>
      <c r="J53" s="7">
        <v>0</v>
      </c>
      <c r="K53" s="92" t="str">
        <f>IF(ISEVEN(B53),(B53-1)&amp;"/"&amp;B53,B53&amp;"/"&amp;(B53+1))</f>
        <v>4015/4016</v>
      </c>
      <c r="L53" s="21" t="str">
        <f>VLOOKUP(A53,'Trips&amp;Operators'!$C$1:$G$99999,5,FALSE)</f>
        <v>SANTIZO D. EDY</v>
      </c>
      <c r="M53" s="6">
        <f>I53-F53</f>
        <v>2.5370370371092577E-2</v>
      </c>
      <c r="N53" s="7">
        <f>24*60*SUM($M53:$M53)</f>
        <v>36.53333333437331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-14T07:35:39-0600',mode:absolute,to:'2017-05-14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4.58E-2</v>
      </c>
      <c r="Z53" s="192">
        <f>RIGHT(H53,LEN(H53)-4)/10000</f>
        <v>23.332699999999999</v>
      </c>
      <c r="AA53" s="192">
        <f>ABS(Z53-Y53)</f>
        <v>23.286899999999999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0141-14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/stypes="app*4016*20170514*"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141-14 --locoid 4016 --swversion DE.1.0.9.0 --startMP 204:458 --initTime 2017-05-14T08:35:39 --startdatetime 2017-05-14T08:45:18 --delay 1 --endMP 204:233327 --enddatetime 2017-05-14T09:21:50 --enforcementcount 0 &gt;&gt;C:\Users\stu\Documents\GitHub\eaglep3-reporting\EC\2017-05-14-refined-times.txt</v>
      </c>
      <c r="AI5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{"issue":{"subject":"","project_id":79,"tracker_id":40,"status_id":1,"priority_id":2,"assigned_to_id":23,"start_date":"2017-05-14","description":"","custom_fields":[{"id":1,"name":"Subdivision","value":"EC"},{"id":4,"name":"Milepost","value":"23.3327"},{"id":17,"name":"Train ID","value":"141-14"},{"id":16,"name":"Locomotive ID","value":"4016"},{"id":130,"name":"Impact","value":""},{"id":150,"name":"Time of Event (Mountain Time)","value":"09:21:50"},{"id":151,"name":"Denver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4016 --day 2017-05-14</v>
      </c>
      <c r="AN5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692</v>
      </c>
      <c r="B54" s="7">
        <v>4015</v>
      </c>
      <c r="C54" s="21" t="s">
        <v>206</v>
      </c>
      <c r="D54" s="21" t="s">
        <v>859</v>
      </c>
      <c r="E54" s="13">
        <v>42869.391493055555</v>
      </c>
      <c r="F54" s="13">
        <v>42869.403680555559</v>
      </c>
      <c r="G54" s="7">
        <v>0</v>
      </c>
      <c r="H54" s="21" t="s">
        <v>197</v>
      </c>
      <c r="I54" s="13">
        <v>42869.429328703707</v>
      </c>
      <c r="J54" s="7">
        <v>0</v>
      </c>
      <c r="K54" s="92" t="str">
        <f>IF(ISEVEN(B54),(B54-1)&amp;"/"&amp;B54,B54&amp;"/"&amp;(B54+1))</f>
        <v>4015/4016</v>
      </c>
      <c r="L54" s="21" t="str">
        <f>VLOOKUP(A54,'Trips&amp;Operators'!$C$1:$G$99999,5,FALSE)</f>
        <v>SANTIZO D. EDY</v>
      </c>
      <c r="M54" s="6">
        <f>I54-F54</f>
        <v>2.5648148148320615E-2</v>
      </c>
      <c r="N54" s="7">
        <f>24*60*SUM($M54:$M54)</f>
        <v>36.933333333581686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-14T08:23:45-0600',mode:absolute,to:'2017-05-14T11:18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23.301100000000002</v>
      </c>
      <c r="Z54" s="192">
        <f>RIGHT(H54,LEN(H54)-4)/10000</f>
        <v>1.52E-2</v>
      </c>
      <c r="AA54" s="192">
        <f>ABS(Z54-Y54)</f>
        <v>23.285900000000002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0142-14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/stypes="app*4015*20170514*"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142-14 --locoid 4015 --swversion DE.1.0.9.0 --startMP 204:233011 --initTime 2017-05-14T09:23:45 --startdatetime 2017-05-14T09:41:18 --delay 0 --endMP 204:152 --enddatetime 2017-05-14T10:18:14 --enforcementcount 0 &gt;&gt;C:\Users\stu\Documents\GitHub\eaglep3-reporting\EC\2017-05-14-refined-times.txt</v>
      </c>
      <c r="AI5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ID","value":"142-14"},{"id":16,"name":"Locomotive ID","value":"4015"},{"id":130,"name":"Impact","value":""},{"id":150,"name":"Time of Event (Mountain Time)","value":"10:18:14"},{"id":151,"name":"Denver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4015 --day 2017-05-14</v>
      </c>
      <c r="AN5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16:18:14"},{"id":29,"name":"Sharepoint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688</v>
      </c>
      <c r="B55" s="7">
        <v>4006</v>
      </c>
      <c r="C55" s="21" t="s">
        <v>206</v>
      </c>
      <c r="D55" s="21" t="s">
        <v>371</v>
      </c>
      <c r="E55" s="13">
        <v>42869.371562499997</v>
      </c>
      <c r="F55" s="13">
        <v>42869.375138888892</v>
      </c>
      <c r="G55" s="7">
        <v>2</v>
      </c>
      <c r="H55" s="21" t="s">
        <v>431</v>
      </c>
      <c r="I55" s="13">
        <v>42869.400034722225</v>
      </c>
      <c r="J55" s="7">
        <v>0</v>
      </c>
      <c r="K55" s="92" t="str">
        <f>IF(ISEVEN(B55),(B55-1)&amp;"/"&amp;B55,B55&amp;"/"&amp;(B55+1))</f>
        <v>4005/4006</v>
      </c>
      <c r="L55" s="21" t="str">
        <f>VLOOKUP(A55,'Trips&amp;Operators'!$C$1:$G$99999,5,FALSE)</f>
        <v>MACDONALD THOMAS</v>
      </c>
      <c r="M55" s="6">
        <f>I55-F55</f>
        <v>2.4895833332266193E-2</v>
      </c>
      <c r="N55" s="7">
        <f>24*60*SUM($M55:$M55)</f>
        <v>35.849999998463318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-14T07:55:03-0600',mode:absolute,to:'2017-05-14T10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4.4699999999999997E-2</v>
      </c>
      <c r="Z55" s="192">
        <f>RIGHT(H55,LEN(H55)-4)/10000</f>
        <v>23.327999999999999</v>
      </c>
      <c r="AA55" s="192">
        <f>ABS(Z55-Y55)</f>
        <v>23.283300000000001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0143-14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/stypes="app*4006*20170514*"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143-14 --locoid 4006 --swversion DE.1.0.9.0 --startMP 204:447 --initTime 2017-05-14T08:55:03 --startdatetime 2017-05-14T09:00:12 --delay 2 --endMP 204:233280 --enddatetime 2017-05-14T09:36:03 --enforcementcount 0 &gt;&gt;C:\Users\stu\Documents\GitHub\eaglep3-reporting\EC\2017-05-14-refined-times.txt</v>
      </c>
      <c r="AI5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{"issue":{"subject":"","project_id":79,"tracker_id":40,"status_id":1,"priority_id":2,"assigned_to_id":23,"start_date":"2017-05-14","description":"","custom_fields":[{"id":1,"name":"Subdivision","value":"EC"},{"id":4,"name":"Milepost","value":"23.328"},{"id":17,"name":"Train ID","value":"143-14"},{"id":16,"name":"Locomotive ID","value":"4006"},{"id":130,"name":"Impact","value":""},{"id":150,"name":"Time of Event (Mountain Time)","value":"09:36:03"},{"id":151,"name":"Denver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4006 --day 2017-05-14</v>
      </c>
      <c r="AN5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597</v>
      </c>
      <c r="B56" s="7">
        <v>4005</v>
      </c>
      <c r="C56" s="21" t="s">
        <v>206</v>
      </c>
      <c r="D56" s="21" t="s">
        <v>860</v>
      </c>
      <c r="E56" s="13">
        <v>42869.41101851852</v>
      </c>
      <c r="F56" s="13">
        <v>42869.414085648146</v>
      </c>
      <c r="G56" s="7">
        <v>1</v>
      </c>
      <c r="H56" s="21" t="s">
        <v>861</v>
      </c>
      <c r="I56" s="13">
        <v>42869.440069444441</v>
      </c>
      <c r="J56" s="7">
        <v>0</v>
      </c>
      <c r="K56" s="92" t="str">
        <f>IF(ISEVEN(B56),(B56-1)&amp;"/"&amp;B56,B56&amp;"/"&amp;(B56+1))</f>
        <v>4005/4006</v>
      </c>
      <c r="L56" s="21" t="str">
        <f>VLOOKUP(A56,'Trips&amp;Operators'!$C$1:$G$99999,5,FALSE)</f>
        <v>MACDONALD THOMAS</v>
      </c>
      <c r="M56" s="6">
        <f>I56-F56</f>
        <v>2.5983796294895001E-2</v>
      </c>
      <c r="N56" s="7">
        <f>24*60*SUM($M56:$M56)</f>
        <v>37.416666664648801</v>
      </c>
      <c r="O56" s="7"/>
      <c r="P56" s="7"/>
      <c r="Q56" s="22"/>
      <c r="R56" s="190"/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-14T08:51:52-0600',mode:absolute,to:'2017-05-14T11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192">
        <f>RIGHT(D56,LEN(D56)-4)/10000</f>
        <v>23.2957</v>
      </c>
      <c r="Z56" s="192">
        <f>RIGHT(H56,LEN(H56)-4)/10000</f>
        <v>2.4299999999999999E-2</v>
      </c>
      <c r="AA56" s="192">
        <f>ABS(Z56-Y56)</f>
        <v>23.2714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0144-14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/stypes="app*4005*20170514*"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144-14 --locoid 4005 --swversion DE.1.0.9.0 --startMP 204:232957 --initTime 2017-05-14T09:51:52 --startdatetime 2017-05-14T09:56:17 --delay 1 --endMP 204:243 --enddatetime 2017-05-14T10:33:42 --enforcementcount 0 &gt;&gt;C:\Users\stu\Documents\GitHub\eaglep3-reporting\EC\2017-05-14-refined-times.txt</v>
      </c>
      <c r="AI5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{"issue":{"subject":"","project_id":79,"tracker_id":40,"status_id":1,"priority_id":2,"assigned_to_id":23,"start_date":"2017-05-14","description":"","custom_fields":[{"id":1,"name":"Subdivision","value":"EC"},{"id":4,"name":"Milepost","value":"0.0243"},{"id":17,"name":"Train ID","value":"144-14"},{"id":16,"name":"Locomotive ID","value":"4005"},{"id":130,"name":"Impact","value":""},{"id":150,"name":"Time of Event (Mountain Time)","value":"10:33:42"},{"id":151,"name":"Denver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4005 --day 2017-05-14</v>
      </c>
      <c r="AN5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1019</v>
      </c>
      <c r="B57" s="7">
        <v>4010</v>
      </c>
      <c r="C57" s="21" t="s">
        <v>206</v>
      </c>
      <c r="D57" s="21" t="s">
        <v>860</v>
      </c>
      <c r="E57" s="13">
        <v>42869.41101851852</v>
      </c>
      <c r="F57" s="13">
        <v>42869.385416666664</v>
      </c>
      <c r="G57" s="7">
        <v>1</v>
      </c>
      <c r="H57" s="21" t="s">
        <v>861</v>
      </c>
      <c r="I57" s="13">
        <v>42869.386111111111</v>
      </c>
      <c r="J57" s="7">
        <v>0</v>
      </c>
      <c r="K57" s="92" t="str">
        <f>IF(ISEVEN(B57),(B57-1)&amp;"/"&amp;B57,B57&amp;"/"&amp;(B57+1))</f>
        <v>4009/4010</v>
      </c>
      <c r="L57" s="21" t="e">
        <f>VLOOKUP(A57,'Trips&amp;Operators'!$C$1:$G$99999,5,FALSE)</f>
        <v>#N/A</v>
      </c>
      <c r="M57" s="6">
        <f>I57-F57</f>
        <v>6.944444467080757E-4</v>
      </c>
      <c r="N57" s="7"/>
      <c r="O57" s="7"/>
      <c r="P57" s="7">
        <f>24*60*SUM($M57:$M57)</f>
        <v>1.000000003259629</v>
      </c>
      <c r="Q57" s="22"/>
      <c r="R57" s="190" t="s">
        <v>1020</v>
      </c>
      <c r="S57" s="196">
        <f>SUM(U57:U57)/IF(AG57="EC",12,1)</f>
        <v>0</v>
      </c>
      <c r="T57" s="190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-14T08:51:52-0600',mode:absolute,to:'2017-05-14T10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92" t="str">
        <f>IF(AA57&lt;IF(AG57="EC",23,5.65),"Y","N")</f>
        <v>Y</v>
      </c>
      <c r="X57" s="192">
        <f>VALUE(LEFT(AD57,4))-VALUE(LEFT(AD56,4))</f>
        <v>1</v>
      </c>
      <c r="Y57" s="192">
        <v>0</v>
      </c>
      <c r="Z57" s="192">
        <v>0</v>
      </c>
      <c r="AA57" s="192">
        <f>ABS(Z57-Y57)</f>
        <v>0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0145-14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s3://rtdc.mdm.uploadarchive.raw/RTDC4010/ "%USERPROFILE%\AppData\Local\Temp\OnboardLogs"\RTDC4010\2017-05-14 --exclude "*" --recursive --include "*20170514*" &amp; "%USERPROFILE%\Documents\GitHub\mrs-test-scripts\Headless Mode &amp; Sideloading\WalkAndUnGZ.bat" "%USERPROFILE%\AppData\Local\Temp\OnboardLogs"\RTDC4010\2017-05-14 &amp; 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/stypes="app*4010*20170514*"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ref="AH57" si="9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145-14 --locoid 4010 --swversion DE.1.0.9.0 --startMP 204:232957 --initTime 2017-05-14T09:51:52 --startdatetime 2017-05-14T09:15:00 --delay 1 --endMP 204:243 --enddatetime 2017-05-14T09:16:00 --enforcementcount 0 &gt;&gt;C:\Users\stu\Documents\GitHub\eaglep3-reporting\EC\2017-05-14-refined-times.txt</v>
      </c>
      <c r="AI57" s="99" t="str">
        <f t="shared" ref="AI57" si="10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{"issue":{"subject":"Extended Onboard Wi-MAX data drop","project_id":79,"tracker_id":40,"status_id":1,"priority_id":2,"assigned_to_id":23,"start_date":"2017-05-14","description":"","custom_fields":[{"id":1,"name":"Subdivision","value":"EC"},{"id":4,"name":"Milepost","value":"0"},{"id":17,"name":"Train ID","value":"145-14"},{"id":16,"name":"Locomotive ID","value":"4010"},{"id":130,"name":"Impact","value":""},{"id":150,"name":"Time of Event (Mountain Time)","value":"09:16:00"},{"id":151,"name":"Denver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ref="AM57" si="11">"start /low /b "&amp;dls3logs&amp;" --loco "&amp;B57&amp;" --day "&amp;TEXT(F57,"YYYY-MM-DD")</f>
        <v>start /low /b %USERPROFILE%\Documents\GitHub\eaglep3\Utilities\DownloadLogsFromS3.py --loco 4010 --day 2017-05-14</v>
      </c>
      <c r="AN57" s="154" t="str">
        <f t="shared" ref="AN57" si="12"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15:16:00"},{"id":29,"name":"Sharepoint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</row>
    <row r="58" spans="1:91" s="1" customFormat="1" x14ac:dyDescent="0.25">
      <c r="A58" s="32" t="s">
        <v>698</v>
      </c>
      <c r="B58" s="7">
        <v>4009</v>
      </c>
      <c r="C58" s="21" t="s">
        <v>206</v>
      </c>
      <c r="D58" s="21" t="s">
        <v>862</v>
      </c>
      <c r="E58" s="13">
        <v>42869.422789351855</v>
      </c>
      <c r="F58" s="13">
        <v>42869.426099537035</v>
      </c>
      <c r="G58" s="7">
        <v>0</v>
      </c>
      <c r="H58" s="21" t="s">
        <v>374</v>
      </c>
      <c r="I58" s="13">
        <v>42869.451817129629</v>
      </c>
      <c r="J58" s="7">
        <v>0</v>
      </c>
      <c r="K58" s="92" t="str">
        <f>IF(ISEVEN(B58),(B58-1)&amp;"/"&amp;B58,B58&amp;"/"&amp;(B58+1))</f>
        <v>4009/4010</v>
      </c>
      <c r="L58" s="21" t="str">
        <f>VLOOKUP(A58,'Trips&amp;Operators'!$C$1:$G$99999,5,FALSE)</f>
        <v>MAELZER KURT</v>
      </c>
      <c r="M58" s="6">
        <f>I58-F58</f>
        <v>2.5717592594446614E-2</v>
      </c>
      <c r="N58" s="7">
        <f>24*60*SUM($M58:$M58)</f>
        <v>37.033333336003125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-14T09:08:49-0600',mode:absolute,to:'2017-05-14T11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23.3019</v>
      </c>
      <c r="Z58" s="192">
        <f>RIGHT(H58,LEN(H58)-4)/10000</f>
        <v>1.41E-2</v>
      </c>
      <c r="AA58" s="192">
        <f>ABS(Z58-Y58)</f>
        <v>23.287800000000001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0146-14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/stypes="app*4009*20170514*"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146-14 --locoid 4009 --swversion DE.1.0.9.0 --startMP 204:233019 --initTime 2017-05-14T10:08:49 --startdatetime 2017-05-14T10:13:35 --delay 0 --endMP 204:141 --enddatetime 2017-05-14T10:50:37 --enforcementcount 0 &gt;&gt;C:\Users\stu\Documents\GitHub\eaglep3-reporting\EC\2017-05-14-refined-times.txt</v>
      </c>
      <c r="AI5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{"issue":{"subject":"","project_id":79,"tracker_id":40,"status_id":1,"priority_id":2,"assigned_to_id":23,"start_date":"2017-05-14","description":"","custom_fields":[{"id":1,"name":"Subdivision","value":"EC"},{"id":4,"name":"Milepost","value":"0.0141"},{"id":17,"name":"Train ID","value":"146-14"},{"id":16,"name":"Locomotive ID","value":"4009"},{"id":130,"name":"Impact","value":""},{"id":150,"name":"Time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4009 --day 2017-05-14</v>
      </c>
      <c r="AN5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691</v>
      </c>
      <c r="B59" s="7">
        <v>4046</v>
      </c>
      <c r="C59" s="21" t="s">
        <v>206</v>
      </c>
      <c r="D59" s="21" t="s">
        <v>371</v>
      </c>
      <c r="E59" s="13">
        <v>42869.390300925923</v>
      </c>
      <c r="F59" s="13">
        <v>42869.395995370367</v>
      </c>
      <c r="G59" s="7">
        <v>2</v>
      </c>
      <c r="H59" s="21" t="s">
        <v>365</v>
      </c>
      <c r="I59" s="13">
        <v>42869.422060185185</v>
      </c>
      <c r="J59" s="7">
        <v>0</v>
      </c>
      <c r="K59" s="92" t="str">
        <f>IF(ISEVEN(B59),(B59-1)&amp;"/"&amp;B59,B59&amp;"/"&amp;(B59+1))</f>
        <v>4045/4046</v>
      </c>
      <c r="L59" s="21" t="str">
        <f>VLOOKUP(A59,'Trips&amp;Operators'!$C$1:$G$99999,5,FALSE)</f>
        <v>BADERTSCHER DIANE</v>
      </c>
      <c r="M59" s="6">
        <f>I59-F59</f>
        <v>2.6064814817800652E-2</v>
      </c>
      <c r="N59" s="7">
        <f>24*60*SUM($M59:$M59)</f>
        <v>37.533333337632939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-14T08:22:02-0600',mode:absolute,to:'2017-05-14T11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4.4699999999999997E-2</v>
      </c>
      <c r="Z59" s="192">
        <f>RIGHT(H59,LEN(H59)-4)/10000</f>
        <v>23.331399999999999</v>
      </c>
      <c r="AA59" s="192">
        <f>ABS(Z59-Y59)</f>
        <v>23.2867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0147-14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/stypes="app*4046*20170514*"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147-14 --locoid 4046 --swversion DE.1.0.9.0 --startMP 204:447 --initTime 2017-05-14T09:22:02 --startdatetime 2017-05-14T09:30:14 --delay 2 --endMP 204:233314 --enddatetime 2017-05-14T10:07:46 --enforcementcount 0 &gt;&gt;C:\Users\stu\Documents\GitHub\eaglep3-reporting\EC\2017-05-14-refined-times.txt</v>
      </c>
      <c r="AI5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{"issue":{"subject":"","project_id":79,"tracker_id":40,"status_id":1,"priority_id":2,"assigned_to_id":23,"start_date":"2017-05-14","description":"","custom_fields":[{"id":1,"name":"Subdivision","value":"EC"},{"id":4,"name":"Milepost","value":"23.3314"},{"id":17,"name":"Train ID","value":"147-14"},{"id":16,"name":"Locomotive ID","value":"4046"},{"id":130,"name":"Impact","value":""},{"id":150,"name":"Time of Event (Mountain Time)","value":"10:07:46"},{"id":151,"name":"Denver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4046 --day 2017-05-14</v>
      </c>
      <c r="AN5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699</v>
      </c>
      <c r="B60" s="7">
        <v>4045</v>
      </c>
      <c r="C60" s="21" t="s">
        <v>206</v>
      </c>
      <c r="D60" s="21" t="s">
        <v>446</v>
      </c>
      <c r="E60" s="13">
        <v>42869.430150462962</v>
      </c>
      <c r="F60" s="13">
        <v>42869.435266203705</v>
      </c>
      <c r="G60" s="7">
        <v>1</v>
      </c>
      <c r="H60" s="21" t="s">
        <v>197</v>
      </c>
      <c r="I60" s="13">
        <v>42869.46162037037</v>
      </c>
      <c r="J60" s="7">
        <v>0</v>
      </c>
      <c r="K60" s="92" t="str">
        <f>IF(ISEVEN(B60),(B60-1)&amp;"/"&amp;B60,B60&amp;"/"&amp;(B60+1))</f>
        <v>4045/4046</v>
      </c>
      <c r="L60" s="21" t="str">
        <f>VLOOKUP(A60,'Trips&amp;Operators'!$C$1:$G$99999,5,FALSE)</f>
        <v>BADERTSCHER DIANE</v>
      </c>
      <c r="M60" s="6">
        <f>I60-F60</f>
        <v>2.6354166664532386E-2</v>
      </c>
      <c r="N60" s="7">
        <f>24*60*SUM($M60:$M60)</f>
        <v>37.949999996926636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-14T09:19:25-0600',mode:absolute,to:'2017-05-14T12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23.2988</v>
      </c>
      <c r="Z60" s="192">
        <f>RIGHT(H60,LEN(H60)-4)/10000</f>
        <v>1.52E-2</v>
      </c>
      <c r="AA60" s="192">
        <f>ABS(Z60-Y60)</f>
        <v>23.2836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0148-14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/stypes="app*4045*20170514*"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148-14 --locoid 4045 --swversion DE.1.0.9.0 --startMP 204:232988 --initTime 2017-05-14T10:19:25 --startdatetime 2017-05-14T10:26:47 --delay 1 --endMP 204:152 --enddatetime 2017-05-14T11:04:44 --enforcementcount 0 &gt;&gt;C:\Users\stu\Documents\GitHub\eaglep3-reporting\EC\2017-05-14-refined-times.txt</v>
      </c>
      <c r="AI6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ID","value":"148-14"},{"id":16,"name":"Locomotive ID","value":"4045"},{"id":130,"name":"Impact","value":""},{"id":150,"name":"Time of Event (Mountain Time)","value":"11:04:44"},{"id":151,"name":"Denver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4045 --day 2017-05-14</v>
      </c>
      <c r="AN6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4002</v>
      </c>
      <c r="C61" s="21" t="s">
        <v>206</v>
      </c>
      <c r="D61" s="21" t="s">
        <v>203</v>
      </c>
      <c r="E61" s="13">
        <v>42869.40185185185</v>
      </c>
      <c r="F61" s="13">
        <v>42869.406435185185</v>
      </c>
      <c r="G61" s="7">
        <v>1</v>
      </c>
      <c r="H61" s="21" t="s">
        <v>863</v>
      </c>
      <c r="I61" s="13">
        <v>42869.433738425927</v>
      </c>
      <c r="J61" s="7">
        <v>0</v>
      </c>
      <c r="K61" s="92" t="str">
        <f>IF(ISEVEN(B61),(B61-1)&amp;"/"&amp;B61,B61&amp;"/"&amp;(B61+1))</f>
        <v>4001/4002</v>
      </c>
      <c r="L61" s="21" t="str">
        <f>VLOOKUP(A61,'Trips&amp;Operators'!$C$1:$G$99999,5,FALSE)</f>
        <v>DAVIS WENDY</v>
      </c>
      <c r="M61" s="6">
        <f>I61-F61</f>
        <v>2.7303240742185153E-2</v>
      </c>
      <c r="N61" s="7">
        <f>24*60*SUM($M61:$M61)</f>
        <v>39.31666666874662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-14T08:38:40-0600',mode:absolute,to:'2017-05-14T11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4.5999999999999999E-2</v>
      </c>
      <c r="Z61" s="192">
        <f>RIGHT(H61,LEN(H61)-4)/10000</f>
        <v>23.33</v>
      </c>
      <c r="AA61" s="192">
        <f>ABS(Z61-Y61)</f>
        <v>23.283999999999999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0149-14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/stypes="app*4002*20170514*"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149-14 --locoid 4002 --swversion DE.1.0.9.0 --startMP 204:460 --initTime 2017-05-14T09:38:40 --startdatetime 2017-05-14T09:45:16 --delay 1 --endMP 204:233300 --enddatetime 2017-05-14T10:24:35 --enforcementcount 0 &gt;&gt;C:\Users\stu\Documents\GitHub\eaglep3-reporting\EC\2017-05-14-refined-times.txt</v>
      </c>
      <c r="AI61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{"issue":{"subject":"","project_id":79,"tracker_id":40,"status_id":1,"priority_id":2,"assigned_to_id":23,"start_date":"2017-05-14","description":"","custom_fields":[{"id":1,"name":"Subdivision","value":"EC"},{"id":4,"name":"Milepost","value":"23.33"},{"id":17,"name":"Train ID","value":"149-14"},{"id":16,"name":"Locomotive ID","value":"4002"},{"id":130,"name":"Impact","value":""},{"id":150,"name":"Time of Event (Mountain Time)","value":"10:24:35"},{"id":151,"name":"Denver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4002 --day 2017-05-14</v>
      </c>
      <c r="AN61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600</v>
      </c>
      <c r="B62" s="7">
        <v>4001</v>
      </c>
      <c r="C62" s="21" t="s">
        <v>206</v>
      </c>
      <c r="D62" s="21" t="s">
        <v>831</v>
      </c>
      <c r="E62" s="13">
        <v>42869.442314814813</v>
      </c>
      <c r="F62" s="13">
        <v>42869.445289351854</v>
      </c>
      <c r="G62" s="7">
        <v>1</v>
      </c>
      <c r="H62" s="21" t="s">
        <v>374</v>
      </c>
      <c r="I62" s="13">
        <v>42869.474270833336</v>
      </c>
      <c r="J62" s="7">
        <v>0</v>
      </c>
      <c r="K62" s="92" t="str">
        <f>IF(ISEVEN(B62),(B62-1)&amp;"/"&amp;B62,B62&amp;"/"&amp;(B62+1))</f>
        <v>4001/4002</v>
      </c>
      <c r="L62" s="21" t="str">
        <f>VLOOKUP(A62,'Trips&amp;Operators'!$C$1:$G$99999,5,FALSE)</f>
        <v>DAVIS WENDY</v>
      </c>
      <c r="M62" s="6">
        <f>I62-F62</f>
        <v>2.8981481482333038E-2</v>
      </c>
      <c r="N62" s="7">
        <f>24*60*SUM($M62:$M62)</f>
        <v>41.733333334559575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-14T09:36:56-0600',mode:absolute,to:'2017-05-14T12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23.3</v>
      </c>
      <c r="Z62" s="192">
        <f>RIGHT(H62,LEN(H62)-4)/10000</f>
        <v>1.41E-2</v>
      </c>
      <c r="AA62" s="192">
        <f>ABS(Z62-Y62)</f>
        <v>23.285900000000002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0150-14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/stypes="app*4001*20170514*"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150-14 --locoid 4001 --swversion DE.1.0.9.0 --startMP 204:233000 --initTime 2017-05-14T10:36:56 --startdatetime 2017-05-14T10:41:13 --delay 1 --endMP 204:141 --enddatetime 2017-05-14T11:22:57 --enforcementcount 0 &gt;&gt;C:\Users\stu\Documents\GitHub\eaglep3-reporting\EC\2017-05-14-refined-times.txt</v>
      </c>
      <c r="AI6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{"issue":{"subject":"","project_id":79,"tracker_id":40,"status_id":1,"priority_id":2,"assigned_to_id":23,"start_date":"2017-05-14","description":"","custom_fields":[{"id":1,"name":"Subdivision","value":"EC"},{"id":4,"name":"Milepost","value":"0.0141"},{"id":17,"name":"Train ID","value":"150-14"},{"id":16,"name":"Locomotive ID","value":"4001"},{"id":130,"name":"Impact","value":""},{"id":150,"name":"Time of Event (Mountain Time)","value":"11:22:57"},{"id":151,"name":"Denver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4001 --day 2017-05-14</v>
      </c>
      <c r="AN6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695</v>
      </c>
      <c r="B63" s="7">
        <v>4032</v>
      </c>
      <c r="C63" s="21" t="s">
        <v>206</v>
      </c>
      <c r="D63" s="21" t="s">
        <v>366</v>
      </c>
      <c r="E63" s="13">
        <v>42869.41064814815</v>
      </c>
      <c r="F63" s="13">
        <v>42869.41684027778</v>
      </c>
      <c r="G63" s="7">
        <v>1</v>
      </c>
      <c r="H63" s="21" t="s">
        <v>864</v>
      </c>
      <c r="I63" s="13">
        <v>42869.441168981481</v>
      </c>
      <c r="J63" s="7">
        <v>0</v>
      </c>
      <c r="K63" s="92" t="str">
        <f>IF(ISEVEN(B63),(B63-1)&amp;"/"&amp;B63,B63&amp;"/"&amp;(B63+1))</f>
        <v>4031/4032</v>
      </c>
      <c r="L63" s="21" t="str">
        <f>VLOOKUP(A63,'Trips&amp;Operators'!$C$1:$G$99999,5,FALSE)</f>
        <v>LOPES KIMBERLY</v>
      </c>
      <c r="M63" s="6">
        <f>I63-F63</f>
        <v>2.4328703701030463E-2</v>
      </c>
      <c r="N63" s="7">
        <f>24*60*SUM($M63:$M63)</f>
        <v>35.033333329483867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-14T08:51:20-0600',mode:absolute,to:'2017-05-14T11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4.6399999999999997E-2</v>
      </c>
      <c r="Z63" s="192">
        <f>RIGHT(H63,LEN(H63)-4)/10000</f>
        <v>23.328199999999999</v>
      </c>
      <c r="AA63" s="192">
        <f>ABS(Z63-Y63)</f>
        <v>23.2818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0151-14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/stypes="app*4032*20170514*"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151-14 --locoid 4032 --swversion DE.1.0.9.0 --startMP 204:464 --initTime 2017-05-14T09:51:20 --startdatetime 2017-05-14T10:00:15 --delay 1 --endMP 204:233282 --enddatetime 2017-05-14T10:35:17 --enforcementcount 0 &gt;&gt;C:\Users\stu\Documents\GitHub\eaglep3-reporting\EC\2017-05-14-refined-times.txt</v>
      </c>
      <c r="AI6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{"issue":{"subject":"","project_id":79,"tracker_id":40,"status_id":1,"priority_id":2,"assigned_to_id":23,"start_date":"2017-05-14","description":"","custom_fields":[{"id":1,"name":"Subdivision","value":"EC"},{"id":4,"name":"Milepost","value":"23.3282"},{"id":17,"name":"Train ID","value":"151-14"},{"id":16,"name":"Locomotive ID","value":"4032"},{"id":130,"name":"Impact","value":""},{"id":150,"name":"Time of Event (Mountain Time)","value":"10:35:17"},{"id":151,"name":"Denver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4032 --day 2017-05-14</v>
      </c>
      <c r="AN6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599</v>
      </c>
      <c r="B64" s="7">
        <v>4031</v>
      </c>
      <c r="C64" s="21" t="s">
        <v>206</v>
      </c>
      <c r="D64" s="21" t="s">
        <v>478</v>
      </c>
      <c r="E64" s="13">
        <v>42869.449386574073</v>
      </c>
      <c r="F64" s="13">
        <v>42869.455729166664</v>
      </c>
      <c r="G64" s="7">
        <v>1</v>
      </c>
      <c r="H64" s="21" t="s">
        <v>353</v>
      </c>
      <c r="I64" s="13">
        <v>42869.482812499999</v>
      </c>
      <c r="J64" s="7">
        <v>0</v>
      </c>
      <c r="K64" s="92" t="str">
        <f>IF(ISEVEN(B64),(B64-1)&amp;"/"&amp;B64,B64&amp;"/"&amp;(B64+1))</f>
        <v>4031/4032</v>
      </c>
      <c r="L64" s="21" t="str">
        <f>VLOOKUP(A64,'Trips&amp;Operators'!$C$1:$G$99999,5,FALSE)</f>
        <v>LOPES KIMBERLY</v>
      </c>
      <c r="M64" s="6">
        <f>I64-F64</f>
        <v>2.7083333334303461E-2</v>
      </c>
      <c r="N64" s="7">
        <f>24*60*SUM($M64:$M64)</f>
        <v>39.000000001396984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-14T09:47:07-0600',mode:absolute,to:'2017-05-14T12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23.295300000000001</v>
      </c>
      <c r="Z64" s="192">
        <f>RIGHT(H64,LEN(H64)-4)/10000</f>
        <v>1.4500000000000001E-2</v>
      </c>
      <c r="AA64" s="192">
        <f>ABS(Z64-Y64)</f>
        <v>23.280799999999999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0152-14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/stypes="app*4031*20170514*"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152-14 --locoid 4031 --swversion DE.1.0.9.0 --startMP 204:232953 --initTime 2017-05-14T10:47:07 --startdatetime 2017-05-14T10:56:15 --delay 1 --endMP 204:145 --enddatetime 2017-05-14T11:35:15 --enforcementcount 0 &gt;&gt;C:\Users\stu\Documents\GitHub\eaglep3-reporting\EC\2017-05-14-refined-times.txt</v>
      </c>
      <c r="AI6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{"issue":{"subject":"","project_id":79,"tracker_id":40,"status_id":1,"priority_id":2,"assigned_to_id":23,"start_date":"2017-05-14","description":"","custom_fields":[{"id":1,"name":"Subdivision","value":"EC"},{"id":4,"name":"Milepost","value":"0.0145"},{"id":17,"name":"Train ID","value":"152-14"},{"id":16,"name":"Locomotive ID","value":"4031"},{"id":130,"name":"Impact","value":""},{"id":150,"name":"Time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4031 --day 2017-05-14</v>
      </c>
      <c r="AN6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697</v>
      </c>
      <c r="B65" s="7">
        <v>4012</v>
      </c>
      <c r="C65" s="21" t="s">
        <v>206</v>
      </c>
      <c r="D65" s="21" t="s">
        <v>447</v>
      </c>
      <c r="E65" s="13">
        <v>42869.421226851853</v>
      </c>
      <c r="F65" s="13">
        <v>42869.427245370367</v>
      </c>
      <c r="G65" s="7">
        <v>1</v>
      </c>
      <c r="H65" s="21" t="s">
        <v>828</v>
      </c>
      <c r="I65" s="13">
        <v>42869.451956018522</v>
      </c>
      <c r="J65" s="7">
        <v>0</v>
      </c>
      <c r="K65" s="92" t="str">
        <f>IF(ISEVEN(B65),(B65-1)&amp;"/"&amp;B65,B65&amp;"/"&amp;(B65+1))</f>
        <v>4011/4012</v>
      </c>
      <c r="L65" s="21" t="str">
        <f>VLOOKUP(A65,'Trips&amp;Operators'!$C$1:$G$99999,5,FALSE)</f>
        <v>GEBRETEKLE DAGNEW</v>
      </c>
      <c r="M65" s="6">
        <f>I65-F65</f>
        <v>2.4710648154723458E-2</v>
      </c>
      <c r="N65" s="7">
        <f>24*60*SUM($M65:$M65)</f>
        <v>35.58333334280178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-14T09:06:34-0600',mode:absolute,to:'2017-05-14T11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4.7100000000000003E-2</v>
      </c>
      <c r="Z65" s="192">
        <f>RIGHT(H65,LEN(H65)-4)/10000</f>
        <v>23.329699999999999</v>
      </c>
      <c r="AA65" s="192">
        <f>ABS(Z65-Y65)</f>
        <v>23.282599999999999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0153-14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/stypes="app*4012*20170514*"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153-14 --locoid 4012 --swversion DE.1.0.9.0 --startMP 204:471 --initTime 2017-05-14T10:06:34 --startdatetime 2017-05-14T10:15:14 --delay 1 --endMP 204:233297 --enddatetime 2017-05-14T10:50:49 --enforcementcount 0 &gt;&gt;C:\Users\stu\Documents\GitHub\eaglep3-reporting\EC\2017-05-14-refined-times.txt</v>
      </c>
      <c r="AI6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{"issue":{"subject":"","project_id":79,"tracker_id":40,"status_id":1,"priority_id":2,"assigned_to_id":23,"start_date":"2017-05-14","description":"","custom_fields":[{"id":1,"name":"Subdivision","value":"EC"},{"id":4,"name":"Milepost","value":"23.3297"},{"id":17,"name":"Train ID","value":"153-14"},{"id":16,"name":"Locomotive ID","value":"4012"},{"id":130,"name":"Impact","value":""},{"id":150,"name":"Time of Event (Mountain Time)","value":"10:50:49"},{"id":151,"name":"Denver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4012 --day 2017-05-14</v>
      </c>
      <c r="AN6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705</v>
      </c>
      <c r="B66" s="7">
        <v>4011</v>
      </c>
      <c r="C66" s="21" t="s">
        <v>206</v>
      </c>
      <c r="D66" s="21" t="s">
        <v>852</v>
      </c>
      <c r="E66" s="13">
        <v>42869.460995370369</v>
      </c>
      <c r="F66" s="13">
        <v>42869.46634259259</v>
      </c>
      <c r="G66" s="7">
        <v>1</v>
      </c>
      <c r="H66" s="21" t="s">
        <v>354</v>
      </c>
      <c r="I66" s="13">
        <v>42869.493460648147</v>
      </c>
      <c r="J66" s="7">
        <v>0</v>
      </c>
      <c r="K66" s="92" t="str">
        <f>IF(ISEVEN(B66),(B66-1)&amp;"/"&amp;B66,B66&amp;"/"&amp;(B66+1))</f>
        <v>4011/4012</v>
      </c>
      <c r="L66" s="21" t="str">
        <f>VLOOKUP(A66,'Trips&amp;Operators'!$C$1:$G$99999,5,FALSE)</f>
        <v>GEBRETEKLE DAGNEW</v>
      </c>
      <c r="M66" s="6">
        <f>I66-F66</f>
        <v>2.7118055557366461E-2</v>
      </c>
      <c r="N66" s="7">
        <f>24*60*SUM($M66:$M66)</f>
        <v>39.050000002607703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-14T10:03:50-0600',mode:absolute,to:'2017-05-14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23.2974</v>
      </c>
      <c r="Z66" s="192">
        <f>RIGHT(H66,LEN(H66)-4)/10000</f>
        <v>1.6E-2</v>
      </c>
      <c r="AA66" s="192">
        <f>ABS(Z66-Y66)</f>
        <v>23.281400000000001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0154-14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/stypes="app*4011*20170514*"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154-14 --locoid 4011 --swversion DE.1.0.9.0 --startMP 204:232974 --initTime 2017-05-14T11:03:50 --startdatetime 2017-05-14T11:11:32 --delay 1 --endMP 204:160 --enddatetime 2017-05-14T11:50:35 --enforcementcount 0 &gt;&gt;C:\Users\stu\Documents\GitHub\eaglep3-reporting\EC\2017-05-14-refined-times.txt</v>
      </c>
      <c r="AI6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{"issue":{"subject":"","project_id":79,"tracker_id":40,"status_id":1,"priority_id":2,"assigned_to_id":23,"start_date":"2017-05-14","description":"","custom_fields":[{"id":1,"name":"Subdivision","value":"EC"},{"id":4,"name":"Milepost","value":"0.016"},{"id":17,"name":"Train ID","value":"154-14"},{"id":16,"name":"Locomotive ID","value":"4011"},{"id":130,"name":"Impact","value":""},{"id":150,"name":"Time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4011 --day 2017-05-14</v>
      </c>
      <c r="AN6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700</v>
      </c>
      <c r="B67" s="7">
        <v>4016</v>
      </c>
      <c r="C67" s="21" t="s">
        <v>206</v>
      </c>
      <c r="D67" s="21" t="s">
        <v>366</v>
      </c>
      <c r="E67" s="13">
        <v>42869.431898148148</v>
      </c>
      <c r="F67" s="13">
        <v>42869.437662037039</v>
      </c>
      <c r="G67" s="7">
        <v>2</v>
      </c>
      <c r="H67" s="21" t="s">
        <v>865</v>
      </c>
      <c r="I67" s="13">
        <v>42869.462222222224</v>
      </c>
      <c r="J67" s="7">
        <v>0</v>
      </c>
      <c r="K67" s="92" t="str">
        <f>IF(ISEVEN(B67),(B67-1)&amp;"/"&amp;B67,B67&amp;"/"&amp;(B67+1))</f>
        <v>4015/4016</v>
      </c>
      <c r="L67" s="21" t="str">
        <f>VLOOKUP(A67,'Trips&amp;Operators'!$C$1:$G$99999,5,FALSE)</f>
        <v>ROMERO CHAD</v>
      </c>
      <c r="M67" s="6">
        <f>I67-F67</f>
        <v>2.4560185185691807E-2</v>
      </c>
      <c r="N67" s="7">
        <f>24*60*SUM($M67:$M67)</f>
        <v>35.366666667396203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-14T09:21:56-0600',mode:absolute,to:'2017-05-14T12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4.6399999999999997E-2</v>
      </c>
      <c r="Z67" s="192">
        <f>RIGHT(H67,LEN(H67)-4)/10000</f>
        <v>23.339300000000001</v>
      </c>
      <c r="AA67" s="192">
        <f>ABS(Z67-Y67)</f>
        <v>23.292900000000003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0155-14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/stypes="app*4016*20170514*"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155-14 --locoid 4016 --swversion DE.1.0.9.0 --startMP 204:464 --initTime 2017-05-14T10:21:56 --startdatetime 2017-05-14T10:30:14 --delay 2 --endMP 204:233393 --enddatetime 2017-05-14T11:05:36 --enforcementcount 0 &gt;&gt;C:\Users\stu\Documents\GitHub\eaglep3-reporting\EC\2017-05-14-refined-times.txt</v>
      </c>
      <c r="AI6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{"issue":{"subject":"","project_id":79,"tracker_id":40,"status_id":1,"priority_id":2,"assigned_to_id":23,"start_date":"2017-05-14","description":"","custom_fields":[{"id":1,"name":"Subdivision","value":"EC"},{"id":4,"name":"Milepost","value":"23.3393"},{"id":17,"name":"Train ID","value":"155-14"},{"id":16,"name":"Locomotive ID","value":"4016"},{"id":130,"name":"Impact","value":""},{"id":150,"name":"Time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4016 --day 2017-05-14</v>
      </c>
      <c r="AN6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4015</v>
      </c>
      <c r="C68" s="21" t="s">
        <v>206</v>
      </c>
      <c r="D68" s="21" t="s">
        <v>866</v>
      </c>
      <c r="E68" s="13">
        <v>42869.463865740741</v>
      </c>
      <c r="F68" s="13">
        <v>42869.476539351854</v>
      </c>
      <c r="G68" s="7">
        <v>2</v>
      </c>
      <c r="H68" s="21" t="s">
        <v>867</v>
      </c>
      <c r="I68" s="13">
        <v>42869.502997685187</v>
      </c>
      <c r="J68" s="7">
        <v>0</v>
      </c>
      <c r="K68" s="92" t="str">
        <f>IF(ISEVEN(B68),(B68-1)&amp;"/"&amp;B68,B68&amp;"/"&amp;(B68+1))</f>
        <v>4015/4016</v>
      </c>
      <c r="L68" s="21" t="str">
        <f>VLOOKUP(A68,'Trips&amp;Operators'!$C$1:$G$99999,5,FALSE)</f>
        <v>ROMERO CHAD</v>
      </c>
      <c r="M68" s="6">
        <f>I68-F68</f>
        <v>2.6458333333721384E-2</v>
      </c>
      <c r="N68" s="7">
        <f>24*60*SUM($M68:$M68)</f>
        <v>38.100000000558794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-14T10:07:58-0600',mode:absolute,to:'2017-05-14T13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23.309200000000001</v>
      </c>
      <c r="Z68" s="192">
        <f>RIGHT(H68,LEN(H68)-4)/10000</f>
        <v>1.0699999999999999E-2</v>
      </c>
      <c r="AA68" s="192">
        <f>ABS(Z68-Y68)</f>
        <v>23.298500000000001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0156-14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/stypes="app*4015*20170514*"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156-14 --locoid 4015 --swversion DE.1.0.9.0 --startMP 204:233092 --initTime 2017-05-14T11:07:58 --startdatetime 2017-05-14T11:26:13 --delay 2 --endMP 204:107 --enddatetime 2017-05-14T12:04:19 --enforcementcount 0 &gt;&gt;C:\Users\stu\Documents\GitHub\eaglep3-reporting\EC\2017-05-14-refined-times.txt</v>
      </c>
      <c r="AI6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{"issue":{"subject":"","project_id":79,"tracker_id":40,"status_id":1,"priority_id":2,"assigned_to_id":23,"start_date":"2017-05-14","description":"","custom_fields":[{"id":1,"name":"Subdivision","value":"EC"},{"id":4,"name":"Milepost","value":"0.0107"},{"id":17,"name":"Train ID","value":"156-14"},{"id":16,"name":"Locomotive ID","value":"4015"},{"id":130,"name":"Impact","value":""},{"id":150,"name":"Time of Event (Mountain Time)","value":"12:04:19"},{"id":151,"name":"Denver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4015 --day 2017-05-14</v>
      </c>
      <c r="AN6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598</v>
      </c>
      <c r="B69" s="7">
        <v>4006</v>
      </c>
      <c r="C69" s="21" t="s">
        <v>206</v>
      </c>
      <c r="D69" s="21" t="s">
        <v>868</v>
      </c>
      <c r="E69" s="13">
        <v>42869.444236111114</v>
      </c>
      <c r="F69" s="13">
        <v>42869.44809027778</v>
      </c>
      <c r="G69" s="7">
        <v>1</v>
      </c>
      <c r="H69" s="21" t="s">
        <v>869</v>
      </c>
      <c r="I69" s="13">
        <v>42869.472800925927</v>
      </c>
      <c r="J69" s="7">
        <v>0</v>
      </c>
      <c r="K69" s="92" t="str">
        <f>IF(ISEVEN(B69),(B69-1)&amp;"/"&amp;B69,B69&amp;"/"&amp;(B69+1))</f>
        <v>4005/4006</v>
      </c>
      <c r="L69" s="21" t="str">
        <f>VLOOKUP(A69,'Trips&amp;Operators'!$C$1:$G$99999,5,FALSE)</f>
        <v>MACDONALD THOMAS</v>
      </c>
      <c r="M69" s="6">
        <f>I69-F69</f>
        <v>2.47106481474475E-2</v>
      </c>
      <c r="N69" s="7">
        <f>24*60*SUM($M69:$M69)</f>
        <v>35.583333332324401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-14T09:39:42-0600',mode:absolute,to:'2017-05-14T12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5.5300000000000002E-2</v>
      </c>
      <c r="Z69" s="192">
        <f>RIGHT(H69,LEN(H69)-4)/10000</f>
        <v>23.3306</v>
      </c>
      <c r="AA69" s="192">
        <f>ABS(Z69-Y69)</f>
        <v>23.275300000000001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>IF(LEN(A69)=6,"0"&amp;A69,A69)</f>
        <v>0157-14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/stypes="app*4006*20170514*"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157-14 --locoid 4006 --swversion DE.1.0.9.0 --startMP 204:553 --initTime 2017-05-14T10:39:42 --startdatetime 2017-05-14T10:45:15 --delay 1 --endMP 204:233306 --enddatetime 2017-05-14T11:20:50 --enforcementcount 0 &gt;&gt;C:\Users\stu\Documents\GitHub\eaglep3-reporting\EC\2017-05-14-refined-times.txt</v>
      </c>
      <c r="AI69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{"issue":{"subject":"","project_id":79,"tracker_id":40,"status_id":1,"priority_id":2,"assigned_to_id":23,"start_date":"2017-05-14","description":"","custom_fields":[{"id":1,"name":"Subdivision","value":"EC"},{"id":4,"name":"Milepost","value":"23.3306"},{"id":17,"name":"Train ID","value":"157-14"},{"id":16,"name":"Locomotive ID","value":"4006"},{"id":130,"name":"Impact","value":""},{"id":150,"name":"Time of Event (Mountain Time)","value":"11:20:50"},{"id":151,"name":"Denver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4006 --day 2017-05-14</v>
      </c>
      <c r="AN69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4005</v>
      </c>
      <c r="C70" s="21" t="s">
        <v>206</v>
      </c>
      <c r="D70" s="21" t="s">
        <v>858</v>
      </c>
      <c r="E70" s="13">
        <v>42869.484652777777</v>
      </c>
      <c r="F70" s="13">
        <v>42869.487025462964</v>
      </c>
      <c r="G70" s="7">
        <v>1</v>
      </c>
      <c r="H70" s="21" t="s">
        <v>870</v>
      </c>
      <c r="I70" s="13">
        <v>42869.512546296297</v>
      </c>
      <c r="J70" s="7">
        <v>0</v>
      </c>
      <c r="K70" s="92" t="str">
        <f>IF(ISEVEN(B70),(B70-1)&amp;"/"&amp;B70,B70&amp;"/"&amp;(B70+1))</f>
        <v>4005/4006</v>
      </c>
      <c r="L70" s="21" t="str">
        <f>VLOOKUP(A70,'Trips&amp;Operators'!$C$1:$G$99999,5,FALSE)</f>
        <v>MACDONALD THOMAS</v>
      </c>
      <c r="M70" s="6">
        <f>I70-F70</f>
        <v>2.5520833332848269E-2</v>
      </c>
      <c r="N70" s="7">
        <f>24*60*SUM($M70:$M70)</f>
        <v>36.749999999301508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-14T10:37:54-0600',mode:absolute,to:'2017-05-14T13:18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23.298300000000001</v>
      </c>
      <c r="Z70" s="192">
        <f>RIGHT(H70,LEN(H70)-4)/10000</f>
        <v>1.67E-2</v>
      </c>
      <c r="AA70" s="192">
        <f>ABS(Z70-Y70)</f>
        <v>23.281600000000001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0158-14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/stypes="app*4005*20170514*"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158-14 --locoid 4005 --swversion DE.1.0.9.0 --startMP 204:232983 --initTime 2017-05-14T11:37:54 --startdatetime 2017-05-14T11:41:19 --delay 1 --endMP 204:167 --enddatetime 2017-05-14T12:18:04 --enforcementcount 0 &gt;&gt;C:\Users\stu\Documents\GitHub\eaglep3-reporting\EC\2017-05-14-refined-times.txt</v>
      </c>
      <c r="AI70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{"issue":{"subject":"","project_id":79,"tracker_id":40,"status_id":1,"priority_id":2,"assigned_to_id":23,"start_date":"2017-05-14","description":"","custom_fields":[{"id":1,"name":"Subdivision","value":"EC"},{"id":4,"name":"Milepost","value":"0.0167"},{"id":17,"name":"Train ID","value":"158-14"},{"id":16,"name":"Locomotive ID","value":"4005"},{"id":130,"name":"Impact","value":""},{"id":150,"name":"Time of Event (Mountain Time)","value":"12:18:04"},{"id":151,"name":"Denver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4005 --day 2017-05-14</v>
      </c>
      <c r="AN70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18:18:04"},{"id":29,"name":"Sharepoint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1021</v>
      </c>
      <c r="B71" s="7">
        <v>4010</v>
      </c>
      <c r="C71" s="21" t="s">
        <v>206</v>
      </c>
      <c r="D71" s="21" t="s">
        <v>858</v>
      </c>
      <c r="E71" s="13">
        <v>42869.484652777777</v>
      </c>
      <c r="F71" s="13">
        <v>42869.5</v>
      </c>
      <c r="G71" s="7">
        <v>1</v>
      </c>
      <c r="H71" s="21" t="s">
        <v>870</v>
      </c>
      <c r="I71" s="13">
        <v>42869.500694444447</v>
      </c>
      <c r="J71" s="7">
        <v>0</v>
      </c>
      <c r="K71" s="92" t="str">
        <f>IF(ISEVEN(B71),(B71-1)&amp;"/"&amp;B71,B71&amp;"/"&amp;(B71+1))</f>
        <v>4009/4010</v>
      </c>
      <c r="L71" s="21" t="e">
        <f>VLOOKUP(A71,'Trips&amp;Operators'!$C$1:$G$99999,5,FALSE)</f>
        <v>#N/A</v>
      </c>
      <c r="M71" s="6">
        <f>I71-F71</f>
        <v>6.944444467080757E-4</v>
      </c>
      <c r="N71" s="7"/>
      <c r="O71" s="7"/>
      <c r="P71" s="7">
        <f>24*60*SUM($M71:$M71)</f>
        <v>1.000000003259629</v>
      </c>
      <c r="Q71" s="22"/>
      <c r="R71" s="190" t="s">
        <v>1020</v>
      </c>
      <c r="S71" s="196">
        <f>SUM(U71:U71)/IF(AG71="EC",12,1)</f>
        <v>0</v>
      </c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-14T10:37:54-0600',mode:absolute,to:'2017-05-14T13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92" t="str">
        <f>IF(AA71&lt;IF(AG71="EC",23,5.65),"Y","N")</f>
        <v>N</v>
      </c>
      <c r="X71" s="192">
        <f t="shared" ref="X71:X74" si="13">VALUE(LEFT(AD71,4))-VALUE(LEFT(AD70,4))</f>
        <v>1</v>
      </c>
      <c r="Y71" s="192">
        <f>RIGHT(D71,LEN(D71)-4)/10000</f>
        <v>23.298300000000001</v>
      </c>
      <c r="Z71" s="192">
        <f>RIGHT(H71,LEN(H71)-4)/10000</f>
        <v>1.67E-2</v>
      </c>
      <c r="AA71" s="192">
        <f>ABS(Z71-Y71)</f>
        <v>23.281600000000001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0159-14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s3://rtdc.mdm.uploadarchive.raw/RTDC4010/ "%USERPROFILE%\AppData\Local\Temp\OnboardLogs"\RTDC4010\2017-05-14 --exclude "*" --recursive --include "*20170514*" &amp; "%USERPROFILE%\Documents\GitHub\mrs-test-scripts\Headless Mode &amp; Sideloading\WalkAndUnGZ.bat" "%USERPROFILE%\AppData\Local\Temp\OnboardLogs"\RTDC4010\2017-05-14 &amp; 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/stypes="app*4010*20170514*" /stext=" 18:.+((SYSTEM_STATE.+slice.+state.+changed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ref="AH71" si="14"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159-14 --locoid 4010 --swversion DE.1.0.9.0 --startMP 204:232983 --initTime 2017-05-14T11:37:54 --startdatetime 2017-05-14T12:00:00 --delay 1 --endMP 204:167 --enddatetime 2017-05-14T12:01:00 --enforcementcount 0 &gt;&gt;C:\Users\stu\Documents\GitHub\eaglep3-reporting\EC\2017-05-14-refined-times.txt</v>
      </c>
      <c r="AI71" s="99" t="str">
        <f t="shared" ref="AI71" si="15"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{"issue":{"subject":"Extended Onboard Wi-MAX data drop","project_id":79,"tracker_id":40,"status_id":1,"priority_id":2,"assigned_to_id":23,"start_date":"2017-05-14","description":"","custom_fields":[{"id":1,"name":"Subdivision","value":"EC"},{"id":4,"name":"Milepost","value":"0.0167"},{"id":17,"name":"Train ID","value":"159-14"},{"id":16,"name":"Locomotive ID","value":"4010"},{"id":130,"name":"Impact","value":""},{"id":150,"name":"Time of Event (Mountain Time)","value":"12:01:00"},{"id":151,"name":"Denver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ref="AM71" si="16">"start /low /b "&amp;dls3logs&amp;" --loco "&amp;B71&amp;" --day "&amp;TEXT(F71,"YYYY-MM-DD")</f>
        <v>start /low /b %USERPROFILE%\Documents\GitHub\eaglep3\Utilities\DownloadLogsFromS3.py --loco 4010 --day 2017-05-14</v>
      </c>
      <c r="AN71" s="154" t="str">
        <f t="shared" ref="AN71" si="17">"echo {""issue"":{""subject"":"""&amp;R71&amp;""",""project_id"":30,""tracker_id"":4,""status_id"":"&amp;redmine_status_wcr&amp;",""priority_id"":"&amp;redmine_priority_wcr&amp;",""assigned_to_id"":"&amp;redmine_assignee_wcr&amp;",""start_date"":"""&amp;TEXT(I71-utc_offset/24,"YYYY-mm-dd")&amp;""",""description"":"""&amp;AJ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</row>
    <row r="72" spans="1:91" s="1" customFormat="1" x14ac:dyDescent="0.25">
      <c r="A72" s="32" t="s">
        <v>602</v>
      </c>
      <c r="B72" s="7">
        <v>4009</v>
      </c>
      <c r="C72" s="21" t="s">
        <v>206</v>
      </c>
      <c r="D72" s="21" t="s">
        <v>871</v>
      </c>
      <c r="E72" s="13">
        <v>42869.495856481481</v>
      </c>
      <c r="F72" s="13">
        <v>42869.50072916667</v>
      </c>
      <c r="G72" s="7">
        <v>6</v>
      </c>
      <c r="H72" s="21" t="s">
        <v>872</v>
      </c>
      <c r="I72" s="13">
        <v>42869.527789351851</v>
      </c>
      <c r="J72" s="7">
        <v>0</v>
      </c>
      <c r="K72" s="92" t="str">
        <f>IF(ISEVEN(B72),(B72-1)&amp;"/"&amp;B72,B72&amp;"/"&amp;(B72+1))</f>
        <v>4009/4010</v>
      </c>
      <c r="L72" s="21" t="str">
        <f>VLOOKUP(A72,'Trips&amp;Operators'!$C$1:$G$99999,5,FALSE)</f>
        <v>STEWART MICHAEL</v>
      </c>
      <c r="M72" s="6">
        <f>I72-F72</f>
        <v>2.7060185180744156E-2</v>
      </c>
      <c r="N72" s="7">
        <f>24*60*SUM($M72:$M72)</f>
        <v>38.966666660271585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-14T10:54:02-0600',mode:absolute,to:'2017-05-14T13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192" t="str">
        <f>IF(AA72&lt;IF(AG72="EC",23,5.65),"Y","N")</f>
        <v>N</v>
      </c>
      <c r="X72" s="192">
        <f t="shared" si="13"/>
        <v>1</v>
      </c>
      <c r="Y72" s="192">
        <f>RIGHT(D72,LEN(D72)-4)/10000</f>
        <v>23.296700000000001</v>
      </c>
      <c r="Z72" s="192">
        <f>RIGHT(H72,LEN(H72)-4)/10000</f>
        <v>0.13569999999999999</v>
      </c>
      <c r="AA72" s="192">
        <f>ABS(Z72-Y72)</f>
        <v>23.161000000000001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0160-14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/stypes="app*4009*20170514*"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160-14 --locoid 4009 --swversion DE.1.0.9.0 --startMP 204:232967 --initTime 2017-05-14T11:54:02 --startdatetime 2017-05-14T12:01:03 --delay 6 --endMP 204:1357 --enddatetime 2017-05-14T12:40:01 --enforcementcount 0 &gt;&gt;C:\Users\stu\Documents\GitHub\eaglep3-reporting\EC\2017-05-14-refined-times.txt</v>
      </c>
      <c r="AI72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{"issue":{"subject":"","project_id":79,"tracker_id":40,"status_id":1,"priority_id":2,"assigned_to_id":23,"start_date":"2017-05-14","description":"","custom_fields":[{"id":1,"name":"Subdivision","value":"EC"},{"id":4,"name":"Milepost","value":"0.1357"},{"id":17,"name":"Train ID","value":"160-14"},{"id":16,"name":"Locomotive ID","value":"4009"},{"id":130,"name":"Impact","value":""},{"id":150,"name":"Time of Event (Mountain Time)","value":"12:40:01"},{"id":151,"name":"Denver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4009 --day 2017-05-14</v>
      </c>
      <c r="AN72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18:40:01"},{"id":29,"name":"Sharepoint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707</v>
      </c>
      <c r="B73" s="7">
        <v>4046</v>
      </c>
      <c r="C73" s="21" t="s">
        <v>206</v>
      </c>
      <c r="D73" s="21" t="s">
        <v>352</v>
      </c>
      <c r="E73" s="13">
        <v>42869.464641203704</v>
      </c>
      <c r="F73" s="13">
        <v>42869.469085648147</v>
      </c>
      <c r="G73" s="7">
        <v>2</v>
      </c>
      <c r="H73" s="21" t="s">
        <v>873</v>
      </c>
      <c r="I73" s="13">
        <v>42869.494340277779</v>
      </c>
      <c r="J73" s="7">
        <v>0</v>
      </c>
      <c r="K73" s="92" t="str">
        <f>IF(ISEVEN(B73),(B73-1)&amp;"/"&amp;B73,B73&amp;"/"&amp;(B73+1))</f>
        <v>4045/4046</v>
      </c>
      <c r="L73" s="21" t="str">
        <f>VLOOKUP(A73,'Trips&amp;Operators'!$C$1:$G$99999,5,FALSE)</f>
        <v>DAVIS MICHAEL</v>
      </c>
      <c r="M73" s="6">
        <f>I73-F73</f>
        <v>2.5254629632399883E-2</v>
      </c>
      <c r="N73" s="7">
        <f>24*60*SUM($M73:$M73)</f>
        <v>36.366666670655832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-14T10:09:05-0600',mode:absolute,to:'2017-05-14T12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3" s="192" t="str">
        <f>IF(AA73&lt;IF(AG73="EC",23,5.65),"Y","N")</f>
        <v>N</v>
      </c>
      <c r="X73" s="192">
        <f t="shared" si="13"/>
        <v>1</v>
      </c>
      <c r="Y73" s="192">
        <f>RIGHT(D73,LEN(D73)-4)/10000</f>
        <v>4.4600000000000001E-2</v>
      </c>
      <c r="Z73" s="192">
        <f>RIGHT(H73,LEN(H73)-4)/10000</f>
        <v>23.3325</v>
      </c>
      <c r="AA73" s="192">
        <f>ABS(Z73-Y73)</f>
        <v>23.2879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0161-14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/stypes="app*4046*20170514*"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161-14 --locoid 4046 --swversion DE.1.0.9.0 --startMP 204:446 --initTime 2017-05-14T11:09:05 --startdatetime 2017-05-14T11:15:29 --delay 2 --endMP 204:233325 --enddatetime 2017-05-14T11:51:51 --enforcementcount 0 &gt;&gt;C:\Users\stu\Documents\GitHub\eaglep3-reporting\EC\2017-05-14-refined-times.txt</v>
      </c>
      <c r="AI73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{"issue":{"subject":"","project_id":79,"tracker_id":40,"status_id":1,"priority_id":2,"assigned_to_id":23,"start_date":"2017-05-14","description":"","custom_fields":[{"id":1,"name":"Subdivision","value":"EC"},{"id":4,"name":"Milepost","value":"23.3325"},{"id":17,"name":"Train ID","value":"161-14"},{"id":16,"name":"Locomotive ID","value":"4046"},{"id":130,"name":"Impact","value":""},{"id":150,"name":"Time of Event (Mountain Time)","value":"11:51:51"},{"id":151,"name":"Denver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4046 --day 2017-05-14</v>
      </c>
      <c r="AN73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720</v>
      </c>
      <c r="B74" s="7">
        <v>4045</v>
      </c>
      <c r="C74" s="21" t="s">
        <v>206</v>
      </c>
      <c r="D74" s="21" t="s">
        <v>477</v>
      </c>
      <c r="E74" s="13">
        <v>42869.506284722222</v>
      </c>
      <c r="F74" s="13">
        <v>42869.508090277777</v>
      </c>
      <c r="G74" s="7">
        <v>1</v>
      </c>
      <c r="H74" s="21" t="s">
        <v>198</v>
      </c>
      <c r="I74" s="13">
        <v>42869.535393518519</v>
      </c>
      <c r="J74" s="7">
        <v>0</v>
      </c>
      <c r="K74" s="92" t="str">
        <f>IF(ISEVEN(B74),(B74-1)&amp;"/"&amp;B74,B74&amp;"/"&amp;(B74+1))</f>
        <v>4045/4046</v>
      </c>
      <c r="L74" s="21" t="str">
        <f>VLOOKUP(A74,'Trips&amp;Operators'!$C$1:$G$99999,5,FALSE)</f>
        <v>DAVIS MICHAEL</v>
      </c>
      <c r="M74" s="6">
        <f>I74-F74</f>
        <v>2.7303240742185153E-2</v>
      </c>
      <c r="N74" s="7">
        <f>24*60*SUM($M74:$M74)</f>
        <v>39.31666666874662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-14T11:09:03-0600',mode:absolute,to:'2017-05-14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4" s="192" t="str">
        <f>IF(AA74&lt;IF(AG74="EC",23,5.65),"Y","N")</f>
        <v>N</v>
      </c>
      <c r="X74" s="192">
        <f t="shared" si="13"/>
        <v>1</v>
      </c>
      <c r="Y74" s="192">
        <f>RIGHT(D74,LEN(D74)-4)/10000</f>
        <v>23.300599999999999</v>
      </c>
      <c r="Z74" s="192">
        <f>RIGHT(H74,LEN(H74)-4)/10000</f>
        <v>1.5800000000000002E-2</v>
      </c>
      <c r="AA74" s="192">
        <f>ABS(Z74-Y74)</f>
        <v>23.284800000000001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0162-14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/stypes="app*4045*20170514*"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162-14 --locoid 4045 --swversion DE.1.0.9.0 --startMP 204:233006 --initTime 2017-05-14T12:09:03 --startdatetime 2017-05-14T12:11:39 --delay 1 --endMP 204:158 --enddatetime 2017-05-14T12:50:58 --enforcementcount 0 &gt;&gt;C:\Users\stu\Documents\GitHub\eaglep3-reporting\EC\2017-05-14-refined-times.txt</v>
      </c>
      <c r="AI74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{"issue":{"subject":"","project_id":79,"tracker_id":40,"status_id":1,"priority_id":2,"assigned_to_id":23,"start_date":"2017-05-14","description":"","custom_fields":[{"id":1,"name":"Subdivision","value":"EC"},{"id":4,"name":"Milepost","value":"0.0158"},{"id":17,"name":"Train ID","value":"162-14"},{"id":16,"name":"Locomotive ID","value":"4045"},{"id":130,"name":"Impact","value":""},{"id":150,"name":"Time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4045 --day 2017-05-14</v>
      </c>
      <c r="AN74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4002</v>
      </c>
      <c r="C75" s="21" t="s">
        <v>206</v>
      </c>
      <c r="D75" s="21" t="s">
        <v>371</v>
      </c>
      <c r="E75" s="13">
        <v>42869.476076388892</v>
      </c>
      <c r="F75" s="13">
        <v>42869.479317129626</v>
      </c>
      <c r="G75" s="7">
        <v>1</v>
      </c>
      <c r="H75" s="21" t="s">
        <v>874</v>
      </c>
      <c r="I75" s="13">
        <v>42869.504710648151</v>
      </c>
      <c r="J75" s="7">
        <v>0</v>
      </c>
      <c r="K75" s="92" t="str">
        <f>IF(ISEVEN(B75),(B75-1)&amp;"/"&amp;B75,B75&amp;"/"&amp;(B75+1))</f>
        <v>4001/4002</v>
      </c>
      <c r="L75" s="21" t="str">
        <f>VLOOKUP(A75,'Trips&amp;Operators'!$C$1:$G$99999,5,FALSE)</f>
        <v>LEVIN SCOTT</v>
      </c>
      <c r="M75" s="6">
        <f>I75-F75</f>
        <v>2.5393518524651881E-2</v>
      </c>
      <c r="N75" s="7">
        <f>24*60*SUM($M75:$M75)</f>
        <v>36.566666675498709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-14T10:25:33-0600',mode:absolute,to:'2017-05-14T13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4.4699999999999997E-2</v>
      </c>
      <c r="Z75" s="192">
        <f>RIGHT(H75,LEN(H75)-4)/10000</f>
        <v>23.331800000000001</v>
      </c>
      <c r="AA75" s="192">
        <f>ABS(Z75-Y75)</f>
        <v>23.287100000000002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0163-14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/stypes="app*4002*20170514*"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163-14 --locoid 4002 --swversion DE.1.0.9.0 --startMP 204:447 --initTime 2017-05-14T11:25:33 --startdatetime 2017-05-14T11:30:13 --delay 1 --endMP 204:233318 --enddatetime 2017-05-14T12:06:47 --enforcementcount 0 &gt;&gt;C:\Users\stu\Documents\GitHub\eaglep3-reporting\EC\2017-05-14-refined-times.txt</v>
      </c>
      <c r="AI75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{"issue":{"subject":"","project_id":79,"tracker_id":40,"status_id":1,"priority_id":2,"assigned_to_id":23,"start_date":"2017-05-14","description":"","custom_fields":[{"id":1,"name":"Subdivision","value":"EC"},{"id":4,"name":"Milepost","value":"23.3318"},{"id":17,"name":"Train ID","value":"163-14"},{"id":16,"name":"Locomotive ID","value":"4002"},{"id":130,"name":"Impact","value":""},{"id":150,"name":"Time of Event (Mountain Time)","value":"12:06:47"},{"id":151,"name":"Denver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4002 --day 2017-05-14</v>
      </c>
      <c r="AN75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724</v>
      </c>
      <c r="B76" s="7">
        <v>4001</v>
      </c>
      <c r="C76" s="21" t="s">
        <v>206</v>
      </c>
      <c r="D76" s="21" t="s">
        <v>875</v>
      </c>
      <c r="E76" s="13">
        <v>42869.516712962963</v>
      </c>
      <c r="F76" s="13">
        <v>42869.518229166664</v>
      </c>
      <c r="G76" s="7">
        <v>1</v>
      </c>
      <c r="H76" s="21" t="s">
        <v>876</v>
      </c>
      <c r="I76" s="13">
        <v>42869.544606481482</v>
      </c>
      <c r="J76" s="7">
        <v>0</v>
      </c>
      <c r="K76" s="92" t="str">
        <f>IF(ISEVEN(B76),(B76-1)&amp;"/"&amp;B76,B76&amp;"/"&amp;(B76+1))</f>
        <v>4001/4002</v>
      </c>
      <c r="L76" s="21" t="str">
        <f>VLOOKUP(A76,'Trips&amp;Operators'!$C$1:$G$99999,5,FALSE)</f>
        <v>LEVIN SCOTT</v>
      </c>
      <c r="M76" s="6">
        <f>I76-F76</f>
        <v>2.6377314818091691E-2</v>
      </c>
      <c r="N76" s="7">
        <f>24*60*SUM($M76:$M76)</f>
        <v>37.983333338052034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-14T11:24:04-0600',mode:absolute,to:'2017-05-14T14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23.309899999999999</v>
      </c>
      <c r="Z76" s="192">
        <f>RIGHT(H76,LEN(H76)-4)/10000</f>
        <v>1.14E-2</v>
      </c>
      <c r="AA76" s="192">
        <f>ABS(Z76-Y76)</f>
        <v>23.298500000000001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0164-14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/stypes="app*4001*20170514*"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164-14 --locoid 4001 --swversion DE.1.0.9.0 --startMP 204:233099 --initTime 2017-05-14T12:24:04 --startdatetime 2017-05-14T12:26:15 --delay 1 --endMP 204:114 --enddatetime 2017-05-14T13:04:14 --enforcementcount 0 &gt;&gt;C:\Users\stu\Documents\GitHub\eaglep3-reporting\EC\2017-05-14-refined-times.txt</v>
      </c>
      <c r="AI76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{"issue":{"subject":"","project_id":79,"tracker_id":40,"status_id":1,"priority_id":2,"assigned_to_id":23,"start_date":"2017-05-14","description":"","custom_fields":[{"id":1,"name":"Subdivision","value":"EC"},{"id":4,"name":"Milepost","value":"0.0114"},{"id":17,"name":"Train ID","value":"164-14"},{"id":16,"name":"Locomotive ID","value":"4001"},{"id":130,"name":"Impact","value":""},{"id":150,"name":"Time of Event (Mountain Time)","value":"13:04:14"},{"id":151,"name":"Denver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4001 --day 2017-05-14</v>
      </c>
      <c r="AN76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4032</v>
      </c>
      <c r="C77" s="21" t="s">
        <v>206</v>
      </c>
      <c r="D77" s="21" t="s">
        <v>355</v>
      </c>
      <c r="E77" s="13">
        <v>42869.484560185185</v>
      </c>
      <c r="F77" s="13">
        <v>42869.489791666667</v>
      </c>
      <c r="G77" s="7">
        <v>2</v>
      </c>
      <c r="H77" s="21" t="s">
        <v>877</v>
      </c>
      <c r="I77" s="13">
        <v>42869.515717592592</v>
      </c>
      <c r="J77" s="7">
        <v>0</v>
      </c>
      <c r="K77" s="92" t="str">
        <f>IF(ISEVEN(B77),(B77-1)&amp;"/"&amp;B77,B77&amp;"/"&amp;(B77+1))</f>
        <v>4031/4032</v>
      </c>
      <c r="L77" s="21" t="str">
        <f>VLOOKUP(A77,'Trips&amp;Operators'!$C$1:$G$99999,5,FALSE)</f>
        <v>SAFIEF AEIMEN</v>
      </c>
      <c r="M77" s="6">
        <f>I77-F77</f>
        <v>2.5925925925548654E-2</v>
      </c>
      <c r="N77" s="7">
        <f>24*60*SUM($M77:$M77)</f>
        <v>37.333333332790062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-14T10:37:46-0600',mode:absolute,to:'2017-05-14T13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4.58E-2</v>
      </c>
      <c r="Z77" s="192">
        <f>RIGHT(H77,LEN(H77)-4)/10000</f>
        <v>23.336300000000001</v>
      </c>
      <c r="AA77" s="192">
        <f>ABS(Z77-Y77)</f>
        <v>23.290500000000002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0165-14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/stypes="app*4032*20170514*"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si="4"/>
        <v>"%USERPROFILE%\Documents\GitHub\eaglep3\Utilities\RefineRTDCRunTimes.py" --tripid 165-14 --locoid 4032 --swversion DE.1.0.9.0 --startMP 204:458 --initTime 2017-05-14T11:37:46 --startdatetime 2017-05-14T11:45:18 --delay 2 --endMP 204:233363 --enddatetime 2017-05-14T12:22:38 --enforcementcount 0 &gt;&gt;C:\Users\stu\Documents\GitHub\eaglep3-reporting\EC\2017-05-14-refined-times.txt</v>
      </c>
      <c r="AI77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{"issue":{"subject":"","project_id":79,"tracker_id":40,"status_id":1,"priority_id":2,"assigned_to_id":23,"start_date":"2017-05-14","description":"","custom_fields":[{"id":1,"name":"Subdivision","value":"EC"},{"id":4,"name":"Milepost","value":"23.3363"},{"id":17,"name":"Train ID","value":"165-14"},{"id":16,"name":"Locomotive ID","value":"4032"},{"id":130,"name":"Impact","value":""},{"id":150,"name":"Time of Event (Mountain Time)","value":"12:22:38"},{"id":151,"name":"Denver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6"/>
        <v>start /low /b %USERPROFILE%\Documents\GitHub\eaglep3\Utilities\DownloadLogsFromS3.py --loco 4032 --day 2017-05-14</v>
      </c>
      <c r="AN77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726</v>
      </c>
      <c r="B78" s="7">
        <v>4031</v>
      </c>
      <c r="C78" s="21" t="s">
        <v>206</v>
      </c>
      <c r="D78" s="21" t="s">
        <v>878</v>
      </c>
      <c r="E78" s="13">
        <v>42869.521041666667</v>
      </c>
      <c r="F78" s="13">
        <v>42869.528715277775</v>
      </c>
      <c r="G78" s="7">
        <v>1</v>
      </c>
      <c r="H78" s="21" t="s">
        <v>475</v>
      </c>
      <c r="I78" s="13">
        <v>42869.555138888885</v>
      </c>
      <c r="J78" s="7">
        <v>0</v>
      </c>
      <c r="K78" s="92" t="str">
        <f>IF(ISEVEN(B78),(B78-1)&amp;"/"&amp;B78,B78&amp;"/"&amp;(B78+1))</f>
        <v>4031/4032</v>
      </c>
      <c r="L78" s="21" t="str">
        <f>VLOOKUP(A78,'Trips&amp;Operators'!$C$1:$G$99999,5,FALSE)</f>
        <v>SAFIEF AEIMEN</v>
      </c>
      <c r="M78" s="6">
        <f>I78-F78</f>
        <v>2.6423611110658385E-2</v>
      </c>
      <c r="N78" s="7">
        <f>24*60*SUM($M78:$M78)</f>
        <v>38.049999999348074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-14T11:30:18-0600',mode:absolute,to:'2017-05-14T14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23.303599999999999</v>
      </c>
      <c r="Z78" s="192">
        <f>RIGHT(H78,LEN(H78)-4)/10000</f>
        <v>1.34E-2</v>
      </c>
      <c r="AA78" s="192">
        <f>ABS(Z78-Y78)</f>
        <v>23.290199999999999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0166-14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/stypes="app*4031*20170514*"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4"/>
        <v>"%USERPROFILE%\Documents\GitHub\eaglep3\Utilities\RefineRTDCRunTimes.py" --tripid 166-14 --locoid 4031 --swversion DE.1.0.9.0 --startMP 204:233036 --initTime 2017-05-14T12:30:18 --startdatetime 2017-05-14T12:41:21 --delay 1 --endMP 204:134 --enddatetime 2017-05-14T13:19:24 --enforcementcount 0 &gt;&gt;C:\Users\stu\Documents\GitHub\eaglep3-reporting\EC\2017-05-14-refined-times.txt</v>
      </c>
      <c r="AI78" s="99" t="str">
        <f t="shared" si="5"/>
        <v>echo {"issue":{"subject":"","project_id":79,"tracker_id":40,"status_id":1,"priority_id":2,"assigned_to_id":23,"start_date":"2017-05-14","description":"","custom_fields":[{"id":1,"name":"Subdivision","value":"EC"},{"id":4,"name":"Milepost","value":"0.0134"},{"id":17,"name":"Train ID","value":"166-14"},{"id":16,"name":"Locomotive ID","value":"4031"},{"id":130,"name":"Impact","value":""},{"id":150,"name":"Time of Event (Mountain Time)","value":"13:19:24"},{"id":151,"name":"Denver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6"/>
        <v>start /low /b %USERPROFILE%\Documents\GitHub\eaglep3\Utilities\DownloadLogsFromS3.py --loco 4031 --day 2017-05-14</v>
      </c>
      <c r="AN78" s="154" t="str">
        <f t="shared" si="7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716</v>
      </c>
      <c r="B79" s="7">
        <v>4012</v>
      </c>
      <c r="C79" s="21" t="s">
        <v>206</v>
      </c>
      <c r="D79" s="21" t="s">
        <v>879</v>
      </c>
      <c r="E79" s="13">
        <v>42869.496111111112</v>
      </c>
      <c r="F79" s="13">
        <v>42869.500254629631</v>
      </c>
      <c r="G79" s="7">
        <v>1</v>
      </c>
      <c r="H79" s="21" t="s">
        <v>880</v>
      </c>
      <c r="I79" s="13">
        <v>42869.524270833332</v>
      </c>
      <c r="J79" s="7">
        <v>0</v>
      </c>
      <c r="K79" s="92" t="str">
        <f>IF(ISEVEN(B79),(B79-1)&amp;"/"&amp;B79,B79&amp;"/"&amp;(B79+1))</f>
        <v>4011/4012</v>
      </c>
      <c r="L79" s="21" t="str">
        <f>VLOOKUP(A79,'Trips&amp;Operators'!$C$1:$G$99999,5,FALSE)</f>
        <v>LALONDE GREGORY</v>
      </c>
      <c r="M79" s="6">
        <f>I79-F79</f>
        <v>2.4016203700739425E-2</v>
      </c>
      <c r="N79" s="7">
        <f>24*60*SUM($M79:$M79)</f>
        <v>34.583333329064772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-14T10:54:24-0600',mode:absolute,to:'2017-05-14T13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4.7300000000000002E-2</v>
      </c>
      <c r="Z79" s="192">
        <f>RIGHT(H79,LEN(H79)-4)/10000</f>
        <v>23.334700000000002</v>
      </c>
      <c r="AA79" s="192">
        <f>ABS(Z79-Y79)</f>
        <v>23.287400000000002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0167-14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/stypes="app*4012*20170514*"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ref="AH79:AH142" si="1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167-14 --locoid 4012 --swversion DE.1.0.9.0 --startMP 204:473 --initTime 2017-05-14T11:54:24 --startdatetime 2017-05-14T12:00:22 --delay 1 --endMP 204:233347 --enddatetime 2017-05-14T12:34:57 --enforcementcount 0 &gt;&gt;C:\Users\stu\Documents\GitHub\eaglep3-reporting\EC\2017-05-14-refined-times.txt</v>
      </c>
      <c r="AI79" s="99" t="str">
        <f t="shared" ref="AI79:AI142" si="1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{"issue":{"subject":"","project_id":79,"tracker_id":40,"status_id":1,"priority_id":2,"assigned_to_id":23,"start_date":"2017-05-14","description":"","custom_fields":[{"id":1,"name":"Subdivision","value":"EC"},{"id":4,"name":"Milepost","value":"23.3347"},{"id":17,"name":"Train ID","value":"167-14"},{"id":16,"name":"Locomotive ID","value":"4012"},{"id":130,"name":"Impact","value":""},{"id":150,"name":"Time of Event (Mountain Time)","value":"12:34:57"},{"id":151,"name":"Denver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2" si="20">"start /low /b "&amp;dls3logs&amp;" --loco "&amp;B79&amp;" --day "&amp;TEXT(F79,"YYYY-MM-DD")</f>
        <v>start /low /b %USERPROFILE%\Documents\GitHub\eaglep3\Utilities\DownloadLogsFromS3.py --loco 4012 --day 2017-05-14</v>
      </c>
      <c r="AN79" s="154" t="str">
        <f t="shared" ref="AN79:AN142" si="21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728</v>
      </c>
      <c r="B80" s="7">
        <v>4011</v>
      </c>
      <c r="C80" s="21" t="s">
        <v>206</v>
      </c>
      <c r="D80" s="21" t="s">
        <v>881</v>
      </c>
      <c r="E80" s="13">
        <v>42869.528738425928</v>
      </c>
      <c r="F80" s="13">
        <v>42869.539050925923</v>
      </c>
      <c r="G80" s="7">
        <v>1</v>
      </c>
      <c r="H80" s="21" t="s">
        <v>197</v>
      </c>
      <c r="I80" s="13">
        <v>42869.564814814818</v>
      </c>
      <c r="J80" s="7">
        <v>0</v>
      </c>
      <c r="K80" s="92" t="str">
        <f>IF(ISEVEN(B80),(B80-1)&amp;"/"&amp;B80,B80&amp;"/"&amp;(B80+1))</f>
        <v>4011/4012</v>
      </c>
      <c r="L80" s="21" t="str">
        <f>VLOOKUP(A80,'Trips&amp;Operators'!$C$1:$G$99999,5,FALSE)</f>
        <v>LALONDE GREGORY</v>
      </c>
      <c r="M80" s="6">
        <f>I80-F80</f>
        <v>2.5763888894289266E-2</v>
      </c>
      <c r="N80" s="7">
        <f>24*60*SUM($M80:$M80)</f>
        <v>37.100000007776543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-14T11:41:23-0600',mode:absolute,to:'2017-05-14T14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23.3034</v>
      </c>
      <c r="Z80" s="192">
        <f>RIGHT(H80,LEN(H80)-4)/10000</f>
        <v>1.52E-2</v>
      </c>
      <c r="AA80" s="192">
        <f>ABS(Z80-Y80)</f>
        <v>23.2882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0168-14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/stypes="app*4011*20170514*"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18"/>
        <v>"%USERPROFILE%\Documents\GitHub\eaglep3\Utilities\RefineRTDCRunTimes.py" --tripid 168-14 --locoid 4011 --swversion DE.1.0.9.0 --startMP 204:233034 --initTime 2017-05-14T12:41:23 --startdatetime 2017-05-14T12:56:14 --delay 1 --endMP 204:152 --enddatetime 2017-05-14T13:33:20 --enforcementcount 0 &gt;&gt;C:\Users\stu\Documents\GitHub\eaglep3-reporting\EC\2017-05-14-refined-times.txt</v>
      </c>
      <c r="AI8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ID","value":"168-14"},{"id":16,"name":"Locomotive ID","value":"4011"},{"id":130,"name":"Impact","value":""},{"id":150,"name":"Time of Event (Mountain Time)","value":"13:33:20"},{"id":151,"name":"Denver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20"/>
        <v>start /low /b %USERPROFILE%\Documents\GitHub\eaglep3\Utilities\DownloadLogsFromS3.py --loco 4011 --day 2017-05-14</v>
      </c>
      <c r="AN80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603</v>
      </c>
      <c r="B81" s="7">
        <v>4016</v>
      </c>
      <c r="C81" s="21" t="s">
        <v>206</v>
      </c>
      <c r="D81" s="21" t="s">
        <v>882</v>
      </c>
      <c r="E81" s="13">
        <v>42869.505972222221</v>
      </c>
      <c r="F81" s="13">
        <v>42869.510625000003</v>
      </c>
      <c r="G81" s="7">
        <v>1</v>
      </c>
      <c r="H81" s="21" t="s">
        <v>883</v>
      </c>
      <c r="I81" s="13">
        <v>42869.535115740742</v>
      </c>
      <c r="J81" s="7">
        <v>0</v>
      </c>
      <c r="K81" s="92" t="str">
        <f>IF(ISEVEN(B81),(B81-1)&amp;"/"&amp;B81,B81&amp;"/"&amp;(B81+1))</f>
        <v>4015/4016</v>
      </c>
      <c r="L81" s="21" t="str">
        <f>VLOOKUP(A81,'Trips&amp;Operators'!$C$1:$G$99999,5,FALSE)</f>
        <v>ROMERO CHAD</v>
      </c>
      <c r="M81" s="6">
        <f>I81-F81</f>
        <v>2.4490740739565808E-2</v>
      </c>
      <c r="N81" s="7">
        <f>24*60*SUM($M81:$M81)</f>
        <v>35.266666664974764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-14T11:08:36-0600',mode:absolute,to:'2017-05-14T13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4.1099999999999998E-2</v>
      </c>
      <c r="Z81" s="192">
        <f>RIGHT(H81,LEN(H81)-4)/10000</f>
        <v>23.340199999999999</v>
      </c>
      <c r="AA81" s="192">
        <f>ABS(Z81-Y81)</f>
        <v>23.299099999999999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0169-14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/stypes="app*4016*20170514*"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18"/>
        <v>"%USERPROFILE%\Documents\GitHub\eaglep3\Utilities\RefineRTDCRunTimes.py" --tripid 169-14 --locoid 4016 --swversion DE.1.0.9.0 --startMP 204:411 --initTime 2017-05-14T12:08:36 --startdatetime 2017-05-14T12:15:18 --delay 1 --endMP 204:233402 --enddatetime 2017-05-14T12:50:34 --enforcementcount 0 &gt;&gt;C:\Users\stu\Documents\GitHub\eaglep3-reporting\EC\2017-05-14-refined-times.txt</v>
      </c>
      <c r="AI8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{"issue":{"subject":"","project_id":79,"tracker_id":40,"status_id":1,"priority_id":2,"assigned_to_id":23,"start_date":"2017-05-14","description":"","custom_fields":[{"id":1,"name":"Subdivision","value":"EC"},{"id":4,"name":"Milepost","value":"23.3402"},{"id":17,"name":"Train ID","value":"169-14"},{"id":16,"name":"Locomotive ID","value":"4016"},{"id":130,"name":"Impact","value":""},{"id":150,"name":"Time of Event (Mountain Time)","value":"12:50:34"},{"id":151,"name":"Denver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20"/>
        <v>start /low /b %USERPROFILE%\Documents\GitHub\eaglep3\Utilities\DownloadLogsFromS3.py --loco 4016 --day 2017-05-14</v>
      </c>
      <c r="AN81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605</v>
      </c>
      <c r="B82" s="7">
        <v>4015</v>
      </c>
      <c r="C82" s="21" t="s">
        <v>206</v>
      </c>
      <c r="D82" s="21" t="s">
        <v>884</v>
      </c>
      <c r="E82" s="13">
        <v>42869.562407407408</v>
      </c>
      <c r="F82" s="13">
        <v>42869.56318287037</v>
      </c>
      <c r="G82" s="7">
        <v>1</v>
      </c>
      <c r="H82" s="21" t="s">
        <v>885</v>
      </c>
      <c r="I82" s="13">
        <v>42869.578923611109</v>
      </c>
      <c r="J82" s="7">
        <v>0</v>
      </c>
      <c r="K82" s="92" t="str">
        <f>IF(ISEVEN(B82),(B82-1)&amp;"/"&amp;B82,B82&amp;"/"&amp;(B82+1))</f>
        <v>4015/4016</v>
      </c>
      <c r="L82" s="21" t="str">
        <f>VLOOKUP(A82,'Trips&amp;Operators'!$C$1:$G$99999,5,FALSE)</f>
        <v>ROMERO CHAD</v>
      </c>
      <c r="M82" s="6">
        <f>I82-F82</f>
        <v>1.5740740738692693E-2</v>
      </c>
      <c r="N82" s="7">
        <f>24*60*SUM($M82:$M83)</f>
        <v>54.46666665840894</v>
      </c>
      <c r="O82" s="7"/>
      <c r="P82" s="7"/>
      <c r="Q82" s="22"/>
      <c r="R82" s="190" t="s">
        <v>1017</v>
      </c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-14T12:29:52-0600',mode:absolute,to:'2017-05-14T14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92" t="str">
        <f>IF(AA82&lt;IF(AG82="EC",23,5.65),"Y","N")</f>
        <v>Y</v>
      </c>
      <c r="X82" s="192">
        <f>VALUE(LEFT(AD82,4))-VALUE(LEFT(AD81,4))</f>
        <v>1</v>
      </c>
      <c r="Y82" s="192">
        <f>RIGHT(D82,LEN(D82)-4)/10000</f>
        <v>11.074299999999999</v>
      </c>
      <c r="Z82" s="192">
        <f>RIGHT(H82,LEN(H82)-4)/10000</f>
        <v>1.12E-2</v>
      </c>
      <c r="AA82" s="192">
        <f>ABS(Z82-Y82)</f>
        <v>11.063099999999999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0170-14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/stypes="app*4015*20170514*"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18"/>
        <v>"%USERPROFILE%\Documents\GitHub\eaglep3\Utilities\RefineRTDCRunTimes.py" --tripid 170-14 --locoid 4015 --swversion DE.1.0.9.0 --startMP 204:110743 --initTime 2017-05-14T13:29:52 --startdatetime 2017-05-14T13:30:59 --delay 1 --endMP 204:112 --enddatetime 2017-05-14T13:53:39 --enforcementcount 0 &gt;&gt;C:\Users\stu\Documents\GitHub\eaglep3-reporting\EC\2017-05-14-refined-times.txt</v>
      </c>
      <c r="AI82" s="99" t="str">
        <f t="shared" si="19"/>
        <v>echo {"issue":{"subject":"Wi-MAX data drop, re-initialized without issue","project_id":79,"tracker_id":40,"status_id":1,"priority_id":2,"assigned_to_id":23,"start_date":"2017-05-14","description":"","custom_fields":[{"id":1,"name":"Subdivision","value":"EC"},{"id":4,"name":"Milepost","value":"0.0112"},{"id":17,"name":"Train ID","value":"170-14"},{"id":16,"name":"Locomotive ID","value":"4015"},{"id":130,"name":"Impact","value":""},{"id":150,"name":"Time of Event (Mountain Time)","value":"13:53:39"},{"id":151,"name":"Denver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20"/>
        <v>start /low /b %USERPROFILE%\Documents\GitHub\eaglep3\Utilities\DownloadLogsFromS3.py --loco 4015 --day 2017-05-14</v>
      </c>
      <c r="AN82" s="154" t="str">
        <f t="shared" si="21"/>
        <v>echo {"issue":{"subject":"Wi-MAX data drop, re-initialized without issue","project_id":30,"tracker_id":4,"status_id":1,"priority_id":1,"assigned_to_id":10,"start_date":"2017-05-14","description":"","custom_fields":[{"id":30,"name":"Category","value":"Issue"},{"id":3,"name":"Functional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605</v>
      </c>
      <c r="B83" s="7">
        <v>4015</v>
      </c>
      <c r="C83" s="21" t="s">
        <v>206</v>
      </c>
      <c r="D83" s="21" t="s">
        <v>564</v>
      </c>
      <c r="E83" s="13">
        <v>42869.539293981485</v>
      </c>
      <c r="F83" s="13">
        <v>42869.540185185186</v>
      </c>
      <c r="G83" s="7">
        <v>1</v>
      </c>
      <c r="H83" s="21" t="s">
        <v>886</v>
      </c>
      <c r="I83" s="13">
        <v>42869.562268518515</v>
      </c>
      <c r="J83" s="7">
        <v>1</v>
      </c>
      <c r="K83" s="92" t="str">
        <f>IF(ISEVEN(B83),(B83-1)&amp;"/"&amp;B83,B83&amp;"/"&amp;(B83+1))</f>
        <v>4015/4016</v>
      </c>
      <c r="L83" s="21" t="str">
        <f>VLOOKUP(A83,'Trips&amp;Operators'!$C$1:$G$99999,5,FALSE)</f>
        <v>ROMERO CHAD</v>
      </c>
      <c r="M83" s="6">
        <f>I83-F83</f>
        <v>2.2083333329646848E-2</v>
      </c>
      <c r="N83" s="7"/>
      <c r="O83" s="7"/>
      <c r="P83" s="7"/>
      <c r="Q83" s="22"/>
      <c r="R83" s="190"/>
      <c r="S83" s="196"/>
      <c r="T83" s="190" t="str">
        <f>IF(ISEVEN(LEFT(AD83,4)),"Southbound","NorthBound")</f>
        <v>Southbound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-14T11:56:35-0600',mode:absolute,to:'2017-05-14T14:29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192" t="str">
        <f>IF(AA83&lt;IF(AG83="EC",23,5.65),"Y","N")</f>
        <v>Y</v>
      </c>
      <c r="X83" s="192">
        <f>VALUE(LEFT(AD83,4))-VALUE(LEFT(AD82,4))</f>
        <v>0</v>
      </c>
      <c r="Y83" s="192">
        <f>RIGHT(D83,LEN(D83)-4)/10000</f>
        <v>23.308299999999999</v>
      </c>
      <c r="Z83" s="192">
        <f>RIGHT(H83,LEN(H83)-4)/10000</f>
        <v>11.073499999999999</v>
      </c>
      <c r="AA83" s="192">
        <f>ABS(Z83-Y83)</f>
        <v>12.2348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0170-14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/stypes="app*4015*20170514*"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18"/>
        <v>"%USERPROFILE%\Documents\GitHub\eaglep3\Utilities\RefineRTDCRunTimes.py" --tripid 170-14 --locoid 4015 --swversion DE.1.0.9.0 --startMP 204:233083 --initTime 2017-05-14T12:56:35 --startdatetime 2017-05-14T12:57:52 --delay 1 --endMP 204:110735 --enddatetime 2017-05-14T13:29:40 --enforcementcount 1 &gt;&gt;C:\Users\stu\Documents\GitHub\eaglep3-reporting\EC\2017-05-14-refined-times.txt</v>
      </c>
      <c r="AI8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{"issue":{"subject":"","project_id":79,"tracker_id":40,"status_id":1,"priority_id":2,"assigned_to_id":23,"start_date":"2017-05-14","description":"","custom_fields":[{"id":1,"name":"Subdivision","value":"EC"},{"id":4,"name":"Milepost","value":"11.0735"},{"id":17,"name":"Train ID","value":"170-14"},{"id":16,"name":"Locomotive ID","value":"4015"},{"id":130,"name":"Impact","value":""},{"id":150,"name":"Time of Event (Mountain Time)","value":"13:29:40"},{"id":151,"name":"Denver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20"/>
        <v>start /low /b %USERPROFILE%\Documents\GitHub\eaglep3\Utilities\DownloadLogsFromS3.py --loco 4015 --day 2017-05-14</v>
      </c>
      <c r="AN83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19:29:40"},{"id":29,"name":"Sharepoint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604</v>
      </c>
      <c r="B84" s="7">
        <v>4006</v>
      </c>
      <c r="C84" s="21" t="s">
        <v>206</v>
      </c>
      <c r="D84" s="21" t="s">
        <v>202</v>
      </c>
      <c r="E84" s="13">
        <v>42869.515636574077</v>
      </c>
      <c r="F84" s="13">
        <v>42869.521041666667</v>
      </c>
      <c r="G84" s="7">
        <v>2</v>
      </c>
      <c r="H84" s="21" t="s">
        <v>887</v>
      </c>
      <c r="I84" s="13">
        <v>42869.546099537038</v>
      </c>
      <c r="J84" s="7">
        <v>0</v>
      </c>
      <c r="K84" s="92" t="str">
        <f>IF(ISEVEN(B84),(B84-1)&amp;"/"&amp;B84,B84&amp;"/"&amp;(B84+1))</f>
        <v>4005/4006</v>
      </c>
      <c r="L84" s="21" t="str">
        <f>VLOOKUP(A84,'Trips&amp;Operators'!$C$1:$G$99999,5,FALSE)</f>
        <v>BRANDNER MELINDA</v>
      </c>
      <c r="M84" s="6">
        <f>I84-F84</f>
        <v>2.5057870370801538E-2</v>
      </c>
      <c r="N84" s="7">
        <f>24*60*SUM($M84:$M84)</f>
        <v>36.083333333954215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NorthBound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-14T11:22:31-0600',mode:absolute,to:'2017-05-14T14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4.5699999999999998E-2</v>
      </c>
      <c r="Z84" s="192">
        <f>RIGHT(H84,LEN(H84)-4)/10000</f>
        <v>23.3399</v>
      </c>
      <c r="AA84" s="192">
        <f>ABS(Z84-Y84)</f>
        <v>23.2942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0171-14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/stypes="app*4006*20170514*" /stext=" 19:.+((SYSTEM_STATE.+slice.+state.+changed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18"/>
        <v>"%USERPROFILE%\Documents\GitHub\eaglep3\Utilities\RefineRTDCRunTimes.py" --tripid 171-14 --locoid 4006 --swversion DE.1.0.9.0 --startMP 204:457 --initTime 2017-05-14T12:22:31 --startdatetime 2017-05-14T12:30:18 --delay 2 --endMP 204:233399 --enddatetime 2017-05-14T13:06:23 --enforcementcount 0 &gt;&gt;C:\Users\stu\Documents\GitHub\eaglep3-reporting\EC\2017-05-14-refined-times.txt</v>
      </c>
      <c r="AI84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{"issue":{"subject":"","project_id":79,"tracker_id":40,"status_id":1,"priority_id":2,"assigned_to_id":23,"start_date":"2017-05-14","description":"","custom_fields":[{"id":1,"name":"Subdivision","value":"EC"},{"id":4,"name":"Milepost","value":"23.3399"},{"id":17,"name":"Train ID","value":"171-14"},{"id":16,"name":"Locomotive ID","value":"4006"},{"id":130,"name":"Impact","value":""},{"id":150,"name":"Time of Event (Mountain Time)","value":"13:06:23"},{"id":151,"name":"Denver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20"/>
        <v>start /low /b %USERPROFILE%\Documents\GitHub\eaglep3\Utilities\DownloadLogsFromS3.py --loco 4006 --day 2017-05-14</v>
      </c>
      <c r="AN84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606</v>
      </c>
      <c r="B85" s="7">
        <v>4005</v>
      </c>
      <c r="C85" s="21" t="s">
        <v>206</v>
      </c>
      <c r="D85" s="21" t="s">
        <v>888</v>
      </c>
      <c r="E85" s="13">
        <v>42869.553402777776</v>
      </c>
      <c r="F85" s="13">
        <v>42869.559942129628</v>
      </c>
      <c r="G85" s="7">
        <v>1</v>
      </c>
      <c r="H85" s="21" t="s">
        <v>390</v>
      </c>
      <c r="I85" s="13">
        <v>42869.588240740741</v>
      </c>
      <c r="J85" s="7">
        <v>0</v>
      </c>
      <c r="K85" s="92" t="str">
        <f>IF(ISEVEN(B85),(B85-1)&amp;"/"&amp;B85,B85&amp;"/"&amp;(B85+1))</f>
        <v>4005/4006</v>
      </c>
      <c r="L85" s="21" t="str">
        <f>VLOOKUP(A85,'Trips&amp;Operators'!$C$1:$G$99999,5,FALSE)</f>
        <v>BRANDNER MELINDA</v>
      </c>
      <c r="M85" s="6">
        <f>I85-F85</f>
        <v>2.8298611112404615E-2</v>
      </c>
      <c r="N85" s="7">
        <f>24*60*SUM($M85:$M85)</f>
        <v>40.750000001862645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Southbound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-14T12:16:54-0600',mode:absolute,to:'2017-05-14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23.309000000000001</v>
      </c>
      <c r="Z85" s="192">
        <f>RIGHT(H85,LEN(H85)-4)/10000</f>
        <v>1.3599999999999999E-2</v>
      </c>
      <c r="AA85" s="192">
        <f>ABS(Z85-Y85)</f>
        <v>23.295400000000001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0172-14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/stypes="app*4005*20170514*" /stext=" 20:.+((SYSTEM_STATE.+slice.+state.+changed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18"/>
        <v>"%USERPROFILE%\Documents\GitHub\eaglep3\Utilities\RefineRTDCRunTimes.py" --tripid 172-14 --locoid 4005 --swversion DE.1.0.9.0 --startMP 204:233090 --initTime 2017-05-14T13:16:54 --startdatetime 2017-05-14T13:26:19 --delay 1 --endMP 204:136 --enddatetime 2017-05-14T14:07:04 --enforcementcount 0 &gt;&gt;C:\Users\stu\Documents\GitHub\eaglep3-reporting\EC\2017-05-14-refined-times.txt</v>
      </c>
      <c r="AI8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{"issue":{"subject":"","project_id":79,"tracker_id":40,"status_id":1,"priority_id":2,"assigned_to_id":23,"start_date":"2017-05-14","description":"","custom_fields":[{"id":1,"name":"Subdivision","value":"EC"},{"id":4,"name":"Milepost","value":"0.0136"},{"id":17,"name":"Train ID","value":"172-14"},{"id":16,"name":"Locomotive ID","value":"4005"},{"id":130,"name":"Impact","value":""},{"id":150,"name":"Time of Event (Mountain Time)","value":"14:07:04"},{"id":151,"name":"Denver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20"/>
        <v>start /low /b %USERPROFILE%\Documents\GitHub\eaglep3\Utilities\DownloadLogsFromS3.py --loco 4005 --day 2017-05-14</v>
      </c>
      <c r="AN85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725</v>
      </c>
      <c r="B86" s="7">
        <v>4018</v>
      </c>
      <c r="C86" s="21" t="s">
        <v>206</v>
      </c>
      <c r="D86" s="21" t="s">
        <v>203</v>
      </c>
      <c r="E86" s="13">
        <v>42869.52144675926</v>
      </c>
      <c r="F86" s="13">
        <v>42869.532418981478</v>
      </c>
      <c r="G86" s="7">
        <v>1</v>
      </c>
      <c r="H86" s="21" t="s">
        <v>828</v>
      </c>
      <c r="I86" s="13">
        <v>42869.557858796295</v>
      </c>
      <c r="J86" s="7">
        <v>0</v>
      </c>
      <c r="K86" s="92" t="str">
        <f>IF(ISEVEN(B86),(B86-1)&amp;"/"&amp;B86,B86&amp;"/"&amp;(B86+1))</f>
        <v>4017/4018</v>
      </c>
      <c r="L86" s="21" t="str">
        <f>VLOOKUP(A86,'Trips&amp;Operators'!$C$1:$G$99999,5,FALSE)</f>
        <v>DAVIDSON DAVID</v>
      </c>
      <c r="M86" s="6">
        <f>I86-F86</f>
        <v>2.5439814817218576E-2</v>
      </c>
      <c r="N86" s="7">
        <f>24*60*SUM($M86:$M86)</f>
        <v>36.633333336794749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NorthBound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-14T11:30:53-0600',mode:absolute,to:'2017-05-14T14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4.5999999999999999E-2</v>
      </c>
      <c r="Z86" s="192">
        <f>RIGHT(H86,LEN(H86)-4)/10000</f>
        <v>23.329699999999999</v>
      </c>
      <c r="AA86" s="192">
        <f>ABS(Z86-Y86)</f>
        <v>23.2837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0173-14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/stypes="app*4018*20170514*" /stext=" 19:.+((SYSTEM_STATE.+slice.+state.+changed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18"/>
        <v>"%USERPROFILE%\Documents\GitHub\eaglep3\Utilities\RefineRTDCRunTimes.py" --tripid 173-14 --locoid 4018 --swversion DE.1.0.9.0 --startMP 204:460 --initTime 2017-05-14T12:30:53 --startdatetime 2017-05-14T12:46:41 --delay 1 --endMP 204:233297 --enddatetime 2017-05-14T13:23:19 --enforcementcount 0 &gt;&gt;C:\Users\stu\Documents\GitHub\eaglep3-reporting\EC\2017-05-14-refined-times.txt</v>
      </c>
      <c r="AI8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{"issue":{"subject":"","project_id":79,"tracker_id":40,"status_id":1,"priority_id":2,"assigned_to_id":23,"start_date":"2017-05-14","description":"","custom_fields":[{"id":1,"name":"Subdivision","value":"EC"},{"id":4,"name":"Milepost","value":"23.3297"},{"id":17,"name":"Train ID","value":"173-14"},{"id":16,"name":"Locomotive ID","value":"4018"},{"id":130,"name":"Impact","value":""},{"id":150,"name":"Time of Event (Mountain Time)","value":"13:23:19"},{"id":151,"name":"Denver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20"/>
        <v>start /low /b %USERPROFILE%\Documents\GitHub\eaglep3\Utilities\DownloadLogsFromS3.py --loco 4018 --day 2017-05-14</v>
      </c>
      <c r="AN86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733</v>
      </c>
      <c r="B87" s="7">
        <v>4017</v>
      </c>
      <c r="C87" s="21" t="s">
        <v>206</v>
      </c>
      <c r="D87" s="21" t="s">
        <v>568</v>
      </c>
      <c r="E87" s="13">
        <v>42869.562743055554</v>
      </c>
      <c r="F87" s="13">
        <v>42869.570416666669</v>
      </c>
      <c r="G87" s="7">
        <v>1</v>
      </c>
      <c r="H87" s="21" t="s">
        <v>870</v>
      </c>
      <c r="I87" s="13">
        <v>42869.597592592596</v>
      </c>
      <c r="J87" s="7">
        <v>0</v>
      </c>
      <c r="K87" s="92" t="str">
        <f>IF(ISEVEN(B87),(B87-1)&amp;"/"&amp;B87,B87&amp;"/"&amp;(B87+1))</f>
        <v>4017/4018</v>
      </c>
      <c r="L87" s="21" t="str">
        <f>VLOOKUP(A87,'Trips&amp;Operators'!$C$1:$G$99999,5,FALSE)</f>
        <v>DAVIDSON DAVID</v>
      </c>
      <c r="M87" s="6">
        <f>I87-F87</f>
        <v>2.7175925926712807E-2</v>
      </c>
      <c r="N87" s="7">
        <f>24*60*SUM($M87:$M87)</f>
        <v>39.133333334466442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Southbound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-14T12:30:21-0600',mode:absolute,to:'2017-05-14T15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23.2989</v>
      </c>
      <c r="Z87" s="192">
        <f>RIGHT(H87,LEN(H87)-4)/10000</f>
        <v>1.67E-2</v>
      </c>
      <c r="AA87" s="192">
        <f>ABS(Z87-Y87)</f>
        <v>23.2822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0174-14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/stypes="app*4017*20170514*" /stext=" 20:.+((SYSTEM_STATE.+slice.+state.+changed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18"/>
        <v>"%USERPROFILE%\Documents\GitHub\eaglep3\Utilities\RefineRTDCRunTimes.py" --tripid 174-14 --locoid 4017 --swversion DE.1.0.9.0 --startMP 204:232989 --initTime 2017-05-14T13:30:21 --startdatetime 2017-05-14T13:41:24 --delay 1 --endMP 204:167 --enddatetime 2017-05-14T14:20:32 --enforcementcount 0 &gt;&gt;C:\Users\stu\Documents\GitHub\eaglep3-reporting\EC\2017-05-14-refined-times.txt</v>
      </c>
      <c r="AI8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{"issue":{"subject":"","project_id":79,"tracker_id":40,"status_id":1,"priority_id":2,"assigned_to_id":23,"start_date":"2017-05-14","description":"","custom_fields":[{"id":1,"name":"Subdivision","value":"EC"},{"id":4,"name":"Milepost","value":"0.0167"},{"id":17,"name":"Train ID","value":"174-14"},{"id":16,"name":"Locomotive ID","value":"4017"},{"id":130,"name":"Impact","value":""},{"id":150,"name":"Time of Event (Mountain Time)","value":"14:20:32"},{"id":151,"name":"Denver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20"/>
        <v>start /low /b %USERPROFILE%\Documents\GitHub\eaglep3\Utilities\DownloadLogsFromS3.py --loco 4017 --day 2017-05-14</v>
      </c>
      <c r="AN87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730</v>
      </c>
      <c r="B88" s="7">
        <v>4046</v>
      </c>
      <c r="C88" s="21" t="s">
        <v>206</v>
      </c>
      <c r="D88" s="21" t="s">
        <v>202</v>
      </c>
      <c r="E88" s="13">
        <v>42869.540196759262</v>
      </c>
      <c r="F88" s="13">
        <v>42869.542071759257</v>
      </c>
      <c r="G88" s="7">
        <v>1</v>
      </c>
      <c r="H88" s="21" t="s">
        <v>430</v>
      </c>
      <c r="I88" s="13">
        <v>42869.567013888889</v>
      </c>
      <c r="J88" s="7">
        <v>0</v>
      </c>
      <c r="K88" s="92" t="str">
        <f>IF(ISEVEN(B88),(B88-1)&amp;"/"&amp;B88,B88&amp;"/"&amp;(B88+1))</f>
        <v>4045/4046</v>
      </c>
      <c r="L88" s="21" t="str">
        <f>VLOOKUP(A88,'Trips&amp;Operators'!$C$1:$G$99999,5,FALSE)</f>
        <v>DAVIS MICHAEL</v>
      </c>
      <c r="M88" s="6">
        <f>I88-F88</f>
        <v>2.4942129632108845E-2</v>
      </c>
      <c r="N88" s="7">
        <f>24*60*SUM($M88:$M88)</f>
        <v>35.916666670236737</v>
      </c>
      <c r="O88" s="7"/>
      <c r="P88" s="7"/>
      <c r="Q88" s="22"/>
      <c r="R88" s="190"/>
      <c r="S88" s="196">
        <f>SUM(U88:U88)/IF(AG88="EC",12,1)</f>
        <v>1</v>
      </c>
      <c r="T88" s="190" t="str">
        <f>IF(ISEVEN(LEFT(AD88,4)),"Southbound","NorthBound")</f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-14T11:57:53-0600',mode:absolute,to:'2017-05-14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4.5699999999999998E-2</v>
      </c>
      <c r="Z88" s="192">
        <f>RIGHT(H88,LEN(H88)-4)/10000</f>
        <v>23.3293</v>
      </c>
      <c r="AA88" s="192">
        <f>ABS(Z88-Y88)</f>
        <v>23.2836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0175-14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/stypes="app*4046*20170514*" /stext=" 19:.+((SYSTEM_STATE.+slice.+state.+changed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18"/>
        <v>"%USERPROFILE%\Documents\GitHub\eaglep3\Utilities\RefineRTDCRunTimes.py" --tripid 175-14 --locoid 4046 --swversion DE.1.0.9.0 --startMP 204:457 --initTime 2017-05-14T12:57:53 --startdatetime 2017-05-14T13:00:35 --delay 1 --endMP 204:233293 --enddatetime 2017-05-14T13:36:30 --enforcementcount 0 &gt;&gt;C:\Users\stu\Documents\GitHub\eaglep3-reporting\EC\2017-05-14-refined-times.txt</v>
      </c>
      <c r="AI8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{"issue":{"subject":"","project_id":79,"tracker_id":40,"status_id":1,"priority_id":2,"assigned_to_id":23,"start_date":"2017-05-14","description":"","custom_fields":[{"id":1,"name":"Subdivision","value":"EC"},{"id":4,"name":"Milepost","value":"23.3293"},{"id":17,"name":"Train ID","value":"175-14"},{"id":16,"name":"Locomotive ID","value":"4046"},{"id":130,"name":"Impact","value":""},{"id":150,"name":"Time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20"/>
        <v>start /low /b %USERPROFILE%\Documents\GitHub\eaglep3\Utilities\DownloadLogsFromS3.py --loco 4046 --day 2017-05-14</v>
      </c>
      <c r="AN88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736</v>
      </c>
      <c r="B89" s="7">
        <v>4045</v>
      </c>
      <c r="C89" s="21" t="s">
        <v>206</v>
      </c>
      <c r="D89" s="21" t="s">
        <v>889</v>
      </c>
      <c r="E89" s="13">
        <v>42869.579375000001</v>
      </c>
      <c r="F89" s="13">
        <v>42869.581076388888</v>
      </c>
      <c r="G89" s="7">
        <v>1</v>
      </c>
      <c r="H89" s="21" t="s">
        <v>348</v>
      </c>
      <c r="I89" s="13">
        <v>42869.608993055554</v>
      </c>
      <c r="J89" s="7">
        <v>0</v>
      </c>
      <c r="K89" s="92" t="str">
        <f>IF(ISEVEN(B89),(B89-1)&amp;"/"&amp;B89,B89&amp;"/"&amp;(B89+1))</f>
        <v>4045/4046</v>
      </c>
      <c r="L89" s="21" t="str">
        <f>VLOOKUP(A89,'Trips&amp;Operators'!$C$1:$G$99999,5,FALSE)</f>
        <v>DAVIS MICHAEL</v>
      </c>
      <c r="M89" s="6">
        <f>I89-F89</f>
        <v>2.7916666665987577E-2</v>
      </c>
      <c r="N89" s="7">
        <f>24*60*SUM($M89:$M89)</f>
        <v>40.199999999022111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Southbound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-14T12:54:18-0600',mode:absolute,to:'2017-05-14T15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23.3001</v>
      </c>
      <c r="Z89" s="192">
        <f>RIGHT(H89,LEN(H89)-4)/10000</f>
        <v>1.38E-2</v>
      </c>
      <c r="AA89" s="192">
        <f>ABS(Z89-Y89)</f>
        <v>23.286300000000001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0176-14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/stypes="app*4045*20170514*" /stext=" 20:.+((SYSTEM_STATE.+slice.+state.+changed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18"/>
        <v>"%USERPROFILE%\Documents\GitHub\eaglep3\Utilities\RefineRTDCRunTimes.py" --tripid 176-14 --locoid 4045 --swversion DE.1.0.9.0 --startMP 204:233001 --initTime 2017-05-14T13:54:18 --startdatetime 2017-05-14T13:56:45 --delay 1 --endMP 204:138 --enddatetime 2017-05-14T14:36:57 --enforcementcount 0 &gt;&gt;C:\Users\stu\Documents\GitHub\eaglep3-reporting\EC\2017-05-14-refined-times.txt</v>
      </c>
      <c r="AI8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{"issue":{"subject":"","project_id":79,"tracker_id":40,"status_id":1,"priority_id":2,"assigned_to_id":23,"start_date":"2017-05-14","description":"","custom_fields":[{"id":1,"name":"Subdivision","value":"EC"},{"id":4,"name":"Milepost","value":"0.0138"},{"id":17,"name":"Train ID","value":"176-14"},{"id":16,"name":"Locomotive ID","value":"4045"},{"id":130,"name":"Impact","value":""},{"id":150,"name":"Time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20"/>
        <v>start /low /b %USERPROFILE%\Documents\GitHub\eaglep3\Utilities\DownloadLogsFromS3.py --loco 4045 --day 2017-05-14</v>
      </c>
      <c r="AN89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731</v>
      </c>
      <c r="B90" s="7">
        <v>4002</v>
      </c>
      <c r="C90" s="21" t="s">
        <v>206</v>
      </c>
      <c r="D90" s="21" t="s">
        <v>890</v>
      </c>
      <c r="E90" s="13">
        <v>42869.549837962964</v>
      </c>
      <c r="F90" s="13">
        <v>42869.552245370367</v>
      </c>
      <c r="G90" s="7">
        <v>1</v>
      </c>
      <c r="H90" s="21" t="s">
        <v>891</v>
      </c>
      <c r="I90" s="13">
        <v>42869.578726851854</v>
      </c>
      <c r="J90" s="7">
        <v>0</v>
      </c>
      <c r="K90" s="92" t="str">
        <f>IF(ISEVEN(B90),(B90-1)&amp;"/"&amp;B90,B90&amp;"/"&amp;(B90+1))</f>
        <v>4001/4002</v>
      </c>
      <c r="L90" s="21" t="str">
        <f>VLOOKUP(A90,'Trips&amp;Operators'!$C$1:$G$99999,5,FALSE)</f>
        <v>LEVIN SCOTT</v>
      </c>
      <c r="M90" s="6">
        <f>I90-F90</f>
        <v>2.6481481487280689E-2</v>
      </c>
      <c r="N90" s="7">
        <f>24*60*SUM($M90:$M90)</f>
        <v>38.133333341684192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NorthBound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-14T12:11:46-0600',mode:absolute,to:'2017-05-14T14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4.0899999999999999E-2</v>
      </c>
      <c r="Z90" s="192">
        <f>RIGHT(H90,LEN(H90)-4)/10000</f>
        <v>23.339500000000001</v>
      </c>
      <c r="AA90" s="192">
        <f>ABS(Z90-Y90)</f>
        <v>23.2986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0177-14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/stypes="app*4002*20170514*" /stext=" 19:.+((SYSTEM_STATE.+slice.+state.+changed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18"/>
        <v>"%USERPROFILE%\Documents\GitHub\eaglep3\Utilities\RefineRTDCRunTimes.py" --tripid 177-14 --locoid 4002 --swversion DE.1.0.9.0 --startMP 204:409 --initTime 2017-05-14T13:11:46 --startdatetime 2017-05-14T13:15:14 --delay 1 --endMP 204:233395 --enddatetime 2017-05-14T13:53:22 --enforcementcount 0 &gt;&gt;C:\Users\stu\Documents\GitHub\eaglep3-reporting\EC\2017-05-14-refined-times.txt</v>
      </c>
      <c r="AI9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{"issue":{"subject":"","project_id":79,"tracker_id":40,"status_id":1,"priority_id":2,"assigned_to_id":23,"start_date":"2017-05-14","description":"","custom_fields":[{"id":1,"name":"Subdivision","value":"EC"},{"id":4,"name":"Milepost","value":"23.3395"},{"id":17,"name":"Train ID","value":"177-14"},{"id":16,"name":"Locomotive ID","value":"4002"},{"id":130,"name":"Impact","value":""},{"id":150,"name":"Time of Event (Mountain Time)","value":"13:53:22"},{"id":151,"name":"Denver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20"/>
        <v>start /low /b %USERPROFILE%\Documents\GitHub\eaglep3\Utilities\DownloadLogsFromS3.py --loco 4002 --day 2017-05-14</v>
      </c>
      <c r="AN90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737</v>
      </c>
      <c r="B91" s="7">
        <v>4001</v>
      </c>
      <c r="C91" s="21" t="s">
        <v>206</v>
      </c>
      <c r="D91" s="21" t="s">
        <v>892</v>
      </c>
      <c r="E91" s="13">
        <v>42869.588807870372</v>
      </c>
      <c r="F91" s="13">
        <v>42869.591157407405</v>
      </c>
      <c r="G91" s="7">
        <v>1</v>
      </c>
      <c r="H91" s="21" t="s">
        <v>893</v>
      </c>
      <c r="I91" s="13">
        <v>42869.617534722223</v>
      </c>
      <c r="J91" s="7">
        <v>0</v>
      </c>
      <c r="K91" s="92" t="str">
        <f>IF(ISEVEN(B91),(B91-1)&amp;"/"&amp;B91,B91&amp;"/"&amp;(B91+1))</f>
        <v>4001/4002</v>
      </c>
      <c r="L91" s="21" t="str">
        <f>VLOOKUP(A91,'Trips&amp;Operators'!$C$1:$G$99999,5,FALSE)</f>
        <v>LEVIN SCOTT</v>
      </c>
      <c r="M91" s="6">
        <f>I91-F91</f>
        <v>2.6377314818091691E-2</v>
      </c>
      <c r="N91" s="7">
        <f>24*60*SUM($M91:$M91)</f>
        <v>37.983333338052034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Southbound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-14T13:07:53-0600',mode:absolute,to:'2017-05-14T15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23.308900000000001</v>
      </c>
      <c r="Z91" s="192">
        <f>RIGHT(H91,LEN(H91)-4)/10000</f>
        <v>1.32E-2</v>
      </c>
      <c r="AA91" s="192">
        <f>ABS(Z91-Y91)</f>
        <v>23.2957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0178-14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/stypes="app*4001*20170514*"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18"/>
        <v>"%USERPROFILE%\Documents\GitHub\eaglep3\Utilities\RefineRTDCRunTimes.py" --tripid 178-14 --locoid 4001 --swversion DE.1.0.9.0 --startMP 204:233089 --initTime 2017-05-14T14:07:53 --startdatetime 2017-05-14T14:11:16 --delay 1 --endMP 204:132 --enddatetime 2017-05-14T14:49:15 --enforcementcount 0 &gt;&gt;C:\Users\stu\Documents\GitHub\eaglep3-reporting\EC\2017-05-14-refined-times.txt</v>
      </c>
      <c r="AI9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{"issue":{"subject":"","project_id":79,"tracker_id":40,"status_id":1,"priority_id":2,"assigned_to_id":23,"start_date":"2017-05-14","description":"","custom_fields":[{"id":1,"name":"Subdivision","value":"EC"},{"id":4,"name":"Milepost","value":"0.0132"},{"id":17,"name":"Train ID","value":"178-14"},{"id":16,"name":"Locomotive ID","value":"4001"},{"id":130,"name":"Impact","value":""},{"id":150,"name":"Time of Event (Mountain Time)","value":"14:49:15"},{"id":151,"name":"Denver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20"/>
        <v>start /low /b %USERPROFILE%\Documents\GitHub\eaglep3\Utilities\DownloadLogsFromS3.py --loco 4001 --day 2017-05-14</v>
      </c>
      <c r="AN91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732</v>
      </c>
      <c r="B92" s="7">
        <v>4032</v>
      </c>
      <c r="C92" s="21" t="s">
        <v>206</v>
      </c>
      <c r="D92" s="21" t="s">
        <v>370</v>
      </c>
      <c r="E92" s="13">
        <v>42869.557685185187</v>
      </c>
      <c r="F92" s="13">
        <v>42869.562777777777</v>
      </c>
      <c r="G92" s="7">
        <v>1</v>
      </c>
      <c r="H92" s="21" t="s">
        <v>894</v>
      </c>
      <c r="I92" s="13">
        <v>42869.587465277778</v>
      </c>
      <c r="J92" s="7">
        <v>0</v>
      </c>
      <c r="K92" s="92" t="str">
        <f>IF(ISEVEN(B92),(B92-1)&amp;"/"&amp;B92,B92&amp;"/"&amp;(B92+1))</f>
        <v>4031/4032</v>
      </c>
      <c r="L92" s="21" t="str">
        <f>VLOOKUP(A92,'Trips&amp;Operators'!$C$1:$G$99999,5,FALSE)</f>
        <v>SAFIEF AEIMEN</v>
      </c>
      <c r="M92" s="6">
        <f>I92-F92</f>
        <v>2.4687500001164153E-2</v>
      </c>
      <c r="N92" s="7">
        <f>24*60*SUM($M92:$M92)</f>
        <v>35.550000001676381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NorthBound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-14T12:23:04-0600',mode:absolute,to:'2017-05-14T15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4.4400000000000002E-2</v>
      </c>
      <c r="Z92" s="192">
        <f>RIGHT(H92,LEN(H92)-4)/10000</f>
        <v>23.332599999999999</v>
      </c>
      <c r="AA92" s="192">
        <f>ABS(Z92-Y92)</f>
        <v>23.2882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0179-14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/stypes="app*4032*20170514*" /stext=" 20:.+((SYSTEM_STATE.+slice.+state.+changed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18"/>
        <v>"%USERPROFILE%\Documents\GitHub\eaglep3\Utilities\RefineRTDCRunTimes.py" --tripid 179-14 --locoid 4032 --swversion DE.1.0.9.0 --startMP 204:444 --initTime 2017-05-14T13:23:04 --startdatetime 2017-05-14T13:30:24 --delay 1 --endMP 204:233326 --enddatetime 2017-05-14T14:05:57 --enforcementcount 0 &gt;&gt;C:\Users\stu\Documents\GitHub\eaglep3-reporting\EC\2017-05-14-refined-times.txt</v>
      </c>
      <c r="AI9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{"issue":{"subject":"","project_id":79,"tracker_id":40,"status_id":1,"priority_id":2,"assigned_to_id":23,"start_date":"2017-05-14","description":"","custom_fields":[{"id":1,"name":"Subdivision","value":"EC"},{"id":4,"name":"Milepost","value":"23.3326"},{"id":17,"name":"Train ID","value":"179-14"},{"id":16,"name":"Locomotive ID","value":"4032"},{"id":130,"name":"Impact","value":""},{"id":150,"name":"Time of Event (Mountain Time)","value":"14:05:57"},{"id":151,"name":"Denver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20"/>
        <v>start /low /b %USERPROFILE%\Documents\GitHub\eaglep3\Utilities\DownloadLogsFromS3.py --loco 4032 --day 2017-05-14</v>
      </c>
      <c r="AN92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608</v>
      </c>
      <c r="B93" s="7">
        <v>4031</v>
      </c>
      <c r="C93" s="21" t="s">
        <v>206</v>
      </c>
      <c r="D93" s="21" t="s">
        <v>428</v>
      </c>
      <c r="E93" s="13">
        <v>42869.591087962966</v>
      </c>
      <c r="F93" s="13">
        <v>42869.601666666669</v>
      </c>
      <c r="G93" s="7">
        <v>1</v>
      </c>
      <c r="H93" s="21" t="s">
        <v>197</v>
      </c>
      <c r="I93" s="13">
        <v>42869.628958333335</v>
      </c>
      <c r="J93" s="7">
        <v>0</v>
      </c>
      <c r="K93" s="92" t="str">
        <f>IF(ISEVEN(B93),(B93-1)&amp;"/"&amp;B93,B93&amp;"/"&amp;(B93+1))</f>
        <v>4031/4032</v>
      </c>
      <c r="L93" s="21" t="str">
        <f>VLOOKUP(A93,'Trips&amp;Operators'!$C$1:$G$99999,5,FALSE)</f>
        <v>SAFIEF AEIMEN</v>
      </c>
      <c r="M93" s="6">
        <f>I93-F93</f>
        <v>2.7291666665405501E-2</v>
      </c>
      <c r="N93" s="7">
        <f>24*60*SUM($M93:$M93)</f>
        <v>39.299999998183921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Southbound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-14T13:11:10-0600',mode:absolute,to:'2017-05-14T16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23.299399999999999</v>
      </c>
      <c r="Z93" s="192">
        <f>RIGHT(H93,LEN(H93)-4)/10000</f>
        <v>1.52E-2</v>
      </c>
      <c r="AA93" s="192">
        <f>ABS(Z93-Y93)</f>
        <v>23.284199999999998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0180-14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/stypes="app*4031*20170514*" /stext=" 21:.+((SYSTEM_STATE.+slice.+state.+changed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18"/>
        <v>"%USERPROFILE%\Documents\GitHub\eaglep3\Utilities\RefineRTDCRunTimes.py" --tripid 180-14 --locoid 4031 --swversion DE.1.0.9.0 --startMP 204:232994 --initTime 2017-05-14T14:11:10 --startdatetime 2017-05-14T14:26:24 --delay 1 --endMP 204:152 --enddatetime 2017-05-14T15:05:42 --enforcementcount 0 &gt;&gt;C:\Users\stu\Documents\GitHub\eaglep3-reporting\EC\2017-05-14-refined-times.txt</v>
      </c>
      <c r="AI9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ID","value":"180-14"},{"id":16,"name":"Locomotive ID","value":"4031"},{"id":130,"name":"Impact","value":""},{"id":150,"name":"Time of Event (Mountain Time)","value":"15:05:42"},{"id":151,"name":"Denver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20"/>
        <v>start /low /b %USERPROFILE%\Documents\GitHub\eaglep3\Utilities\DownloadLogsFromS3.py --loco 4031 --day 2017-05-14</v>
      </c>
      <c r="AN93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735</v>
      </c>
      <c r="B94" s="7">
        <v>4012</v>
      </c>
      <c r="C94" s="21" t="s">
        <v>206</v>
      </c>
      <c r="D94" s="21" t="s">
        <v>377</v>
      </c>
      <c r="E94" s="13">
        <v>42869.567199074074</v>
      </c>
      <c r="F94" s="13">
        <v>42869.573067129626</v>
      </c>
      <c r="G94" s="7">
        <v>1</v>
      </c>
      <c r="H94" s="21" t="s">
        <v>877</v>
      </c>
      <c r="I94" s="13">
        <v>42869.598344907405</v>
      </c>
      <c r="J94" s="7">
        <v>0</v>
      </c>
      <c r="K94" s="92" t="str">
        <f>IF(ISEVEN(B94),(B94-1)&amp;"/"&amp;B94,B94&amp;"/"&amp;(B94+1))</f>
        <v>4011/4012</v>
      </c>
      <c r="L94" s="21" t="str">
        <f>VLOOKUP(A94,'Trips&amp;Operators'!$C$1:$G$99999,5,FALSE)</f>
        <v>LALONDE GREGORY</v>
      </c>
      <c r="M94" s="6">
        <f>I94-F94</f>
        <v>2.527777777868323E-2</v>
      </c>
      <c r="N94" s="7">
        <f>24*60*SUM($M94:$M94)</f>
        <v>36.400000001303852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NorthBound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-14T12:36:46-0600',mode:absolute,to:'2017-05-14T15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4.4200000000000003E-2</v>
      </c>
      <c r="Z94" s="192">
        <f>RIGHT(H94,LEN(H94)-4)/10000</f>
        <v>23.336300000000001</v>
      </c>
      <c r="AA94" s="192">
        <f>ABS(Z94-Y94)</f>
        <v>23.292100000000001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0181-14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/stypes="app*4012*20170514*" /stext=" 20:.+((SYSTEM_STATE.+slice.+state.+changed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18"/>
        <v>"%USERPROFILE%\Documents\GitHub\eaglep3\Utilities\RefineRTDCRunTimes.py" --tripid 181-14 --locoid 4012 --swversion DE.1.0.9.0 --startMP 204:442 --initTime 2017-05-14T13:36:46 --startdatetime 2017-05-14T13:45:13 --delay 1 --endMP 204:233363 --enddatetime 2017-05-14T14:21:37 --enforcementcount 0 &gt;&gt;C:\Users\stu\Documents\GitHub\eaglep3-reporting\EC\2017-05-14-refined-times.txt</v>
      </c>
      <c r="AI94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{"issue":{"subject":"","project_id":79,"tracker_id":40,"status_id":1,"priority_id":2,"assigned_to_id":23,"start_date":"2017-05-14","description":"","custom_fields":[{"id":1,"name":"Subdivision","value":"EC"},{"id":4,"name":"Milepost","value":"23.3363"},{"id":17,"name":"Train ID","value":"181-14"},{"id":16,"name":"Locomotive ID","value":"4012"},{"id":130,"name":"Impact","value":""},{"id":150,"name":"Time of Event (Mountain Time)","value":"14:21:37"},{"id":151,"name":"Denver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20"/>
        <v>start /low /b %USERPROFILE%\Documents\GitHub\eaglep3\Utilities\DownloadLogsFromS3.py --loco 4012 --day 2017-05-14</v>
      </c>
      <c r="AN94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740</v>
      </c>
      <c r="B95" s="7">
        <v>4011</v>
      </c>
      <c r="C95" s="21" t="s">
        <v>206</v>
      </c>
      <c r="D95" s="21" t="s">
        <v>855</v>
      </c>
      <c r="E95" s="13">
        <v>42869.599907407406</v>
      </c>
      <c r="F95" s="13">
        <v>42869.611944444441</v>
      </c>
      <c r="G95" s="7">
        <v>0</v>
      </c>
      <c r="H95" s="21" t="s">
        <v>367</v>
      </c>
      <c r="I95" s="13">
        <v>42869.637303240743</v>
      </c>
      <c r="J95" s="7">
        <v>0</v>
      </c>
      <c r="K95" s="92" t="str">
        <f>IF(ISEVEN(B95),(B95-1)&amp;"/"&amp;B95,B95&amp;"/"&amp;(B95+1))</f>
        <v>4011/4012</v>
      </c>
      <c r="L95" s="21" t="str">
        <f>VLOOKUP(A95,'Trips&amp;Operators'!$C$1:$G$99999,5,FALSE)</f>
        <v>LALONDE GREGORY</v>
      </c>
      <c r="M95" s="6">
        <f>I95-F95</f>
        <v>2.5358796301588882E-2</v>
      </c>
      <c r="N95" s="7">
        <f>24*60*SUM($M95:$M95)</f>
        <v>36.51666667428799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Southbound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-14T13:23:52-0600',mode:absolute,to:'2017-05-14T16:17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23.303000000000001</v>
      </c>
      <c r="Z95" s="192">
        <f>RIGHT(H95,LEN(H95)-4)/10000</f>
        <v>1.5599999999999999E-2</v>
      </c>
      <c r="AA95" s="192">
        <f>ABS(Z95-Y95)</f>
        <v>23.287400000000002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0182-14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/stypes="app*4011*20170514*" /stext=" 21:.+((SYSTEM_STATE.+slice.+state.+changed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18"/>
        <v>"%USERPROFILE%\Documents\GitHub\eaglep3\Utilities\RefineRTDCRunTimes.py" --tripid 182-14 --locoid 4011 --swversion DE.1.0.9.0 --startMP 204:233030 --initTime 2017-05-14T14:23:52 --startdatetime 2017-05-14T14:41:12 --delay 0 --endMP 204:156 --enddatetime 2017-05-14T15:17:43 --enforcementcount 0 &gt;&gt;C:\Users\stu\Documents\GitHub\eaglep3-reporting\EC\2017-05-14-refined-times.txt</v>
      </c>
      <c r="AI9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{"issue":{"subject":"","project_id":79,"tracker_id":40,"status_id":1,"priority_id":2,"assigned_to_id":23,"start_date":"2017-05-14","description":"","custom_fields":[{"id":1,"name":"Subdivision","value":"EC"},{"id":4,"name":"Milepost","value":"0.0156"},{"id":17,"name":"Train ID","value":"182-14"},{"id":16,"name":"Locomotive ID","value":"4011"},{"id":130,"name":"Impact","value":""},{"id":150,"name":"Time of Event (Mountain Time)","value":"15:17:43"},{"id":151,"name":"Denver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20"/>
        <v>start /low /b %USERPROFILE%\Documents\GitHub\eaglep3\Utilities\DownloadLogsFromS3.py --loco 4011 --day 2017-05-14</v>
      </c>
      <c r="AN95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21:17:43"},{"id":29,"name":"Sharepoint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607</v>
      </c>
      <c r="B96" s="7">
        <v>4016</v>
      </c>
      <c r="C96" s="21" t="s">
        <v>206</v>
      </c>
      <c r="D96" s="21" t="s">
        <v>474</v>
      </c>
      <c r="E96" s="13">
        <v>42869.581122685187</v>
      </c>
      <c r="F96" s="13">
        <v>42869.583495370367</v>
      </c>
      <c r="G96" s="7">
        <v>1</v>
      </c>
      <c r="H96" s="21" t="s">
        <v>929</v>
      </c>
      <c r="I96" s="13">
        <v>42869.608807870369</v>
      </c>
      <c r="J96" s="7">
        <v>0</v>
      </c>
      <c r="K96" s="92" t="str">
        <f>IF(ISEVEN(B96),(B96-1)&amp;"/"&amp;B96,B96&amp;"/"&amp;(B96+1))</f>
        <v>4015/4016</v>
      </c>
      <c r="L96" s="21" t="str">
        <f>VLOOKUP(A96,'Trips&amp;Operators'!$C$1:$G$99999,5,FALSE)</f>
        <v>ROMERO CHAD</v>
      </c>
      <c r="M96" s="6">
        <f>I96-F96</f>
        <v>2.531250000174623E-2</v>
      </c>
      <c r="N96" s="7">
        <f>24*60*SUM($M96:$M96)</f>
        <v>36.450000002514571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NorthBound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-14T12:56:49-0600',mode:absolute,to:'2017-05-14T15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4.24E-2</v>
      </c>
      <c r="Z96" s="192">
        <f>RIGHT(H96,LEN(H96)-4)/10000</f>
        <v>23.344899999999999</v>
      </c>
      <c r="AA96" s="192">
        <f>ABS(Z96-Y96)</f>
        <v>23.302499999999998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0183-14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/stypes="app*4016*20170514*" /stext=" 20:.+((SYSTEM_STATE.+slice.+state.+changed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18"/>
        <v>"%USERPROFILE%\Documents\GitHub\eaglep3\Utilities\RefineRTDCRunTimes.py" --tripid 183-14 --locoid 4016 --swversion DE.1.0.9.0 --startMP 204:424 --initTime 2017-05-14T13:56:49 --startdatetime 2017-05-14T14:00:14 --delay 1 --endMP 204:233449 --enddatetime 2017-05-14T14:36:41 --enforcementcount 0 &gt;&gt;C:\Users\stu\Documents\GitHub\eaglep3-reporting\EC\2017-05-14-refined-times.txt</v>
      </c>
      <c r="AI9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{"issue":{"subject":"","project_id":79,"tracker_id":40,"status_id":1,"priority_id":2,"assigned_to_id":23,"start_date":"2017-05-14","description":"","custom_fields":[{"id":1,"name":"Subdivision","value":"EC"},{"id":4,"name":"Milepost","value":"23.3449"},{"id":17,"name":"Train ID","value":"183-14"},{"id":16,"name":"Locomotive ID","value":"4016"},{"id":130,"name":"Impact","value":""},{"id":150,"name":"Time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20"/>
        <v>start /low /b %USERPROFILE%\Documents\GitHub\eaglep3\Utilities\DownloadLogsFromS3.py --loco 4016 --day 2017-05-14</v>
      </c>
      <c r="AN96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742</v>
      </c>
      <c r="B97" s="7">
        <v>4015</v>
      </c>
      <c r="C97" s="21" t="s">
        <v>206</v>
      </c>
      <c r="D97" s="21" t="s">
        <v>932</v>
      </c>
      <c r="E97" s="13">
        <v>42869.614004629628</v>
      </c>
      <c r="F97" s="13">
        <v>42869.622708333336</v>
      </c>
      <c r="G97" s="7">
        <v>1</v>
      </c>
      <c r="H97" s="21" t="s">
        <v>479</v>
      </c>
      <c r="I97" s="13">
        <v>42869.648043981484</v>
      </c>
      <c r="J97" s="7">
        <v>0</v>
      </c>
      <c r="K97" s="92" t="str">
        <f>IF(ISEVEN(B97),(B97-1)&amp;"/"&amp;B97,B97&amp;"/"&amp;(B97+1))</f>
        <v>4015/4016</v>
      </c>
      <c r="L97" s="21" t="str">
        <f>VLOOKUP(A97,'Trips&amp;Operators'!$C$1:$G$99999,5,FALSE)</f>
        <v>ROMERO CHAD</v>
      </c>
      <c r="M97" s="6">
        <f>I97-F97</f>
        <v>2.5335648148029577E-2</v>
      </c>
      <c r="N97" s="7">
        <f>24*60*SUM($M97:$M97)</f>
        <v>36.483333333162591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Southbound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-14T13:44:10-0600',mode:absolute,to:'2017-05-14T16:33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23.3142</v>
      </c>
      <c r="Z97" s="192">
        <f>RIGHT(H97,LEN(H97)-4)/10000</f>
        <v>1.2999999999999999E-2</v>
      </c>
      <c r="AA97" s="192">
        <f>ABS(Z97-Y97)</f>
        <v>23.301199999999998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0184-14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/stypes="app*4015*20170514*" /stext=" 21:.+((SYSTEM_STATE.+slice.+state.+changed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18"/>
        <v>"%USERPROFILE%\Documents\GitHub\eaglep3\Utilities\RefineRTDCRunTimes.py" --tripid 184-14 --locoid 4015 --swversion DE.1.0.9.0 --startMP 204:233142 --initTime 2017-05-14T14:44:10 --startdatetime 2017-05-14T14:56:42 --delay 1 --endMP 204:130 --enddatetime 2017-05-14T15:33:11 --enforcementcount 0 &gt;&gt;C:\Users\stu\Documents\GitHub\eaglep3-reporting\EC\2017-05-14-refined-times.txt</v>
      </c>
      <c r="AI9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{"issue":{"subject":"","project_id":79,"tracker_id":40,"status_id":1,"priority_id":2,"assigned_to_id":23,"start_date":"2017-05-14","description":"","custom_fields":[{"id":1,"name":"Subdivision","value":"EC"},{"id":4,"name":"Milepost","value":"0.013"},{"id":17,"name":"Train ID","value":"184-14"},{"id":16,"name":"Locomotive ID","value":"4015"},{"id":130,"name":"Impact","value":""},{"id":150,"name":"Time of Event (Mountain Time)","value":"15:33:11"},{"id":151,"name":"Denver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20"/>
        <v>start /low /b %USERPROFILE%\Documents\GitHub\eaglep3\Utilities\DownloadLogsFromS3.py --loco 4015 --day 2017-05-14</v>
      </c>
      <c r="AN97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21:33:11"},{"id":29,"name":"Sharepoint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609</v>
      </c>
      <c r="B98" s="7">
        <v>4006</v>
      </c>
      <c r="C98" s="21" t="s">
        <v>206</v>
      </c>
      <c r="D98" s="21" t="s">
        <v>429</v>
      </c>
      <c r="E98" s="13">
        <v>42869.59101851852</v>
      </c>
      <c r="F98" s="13">
        <v>42869.593923611108</v>
      </c>
      <c r="G98" s="7">
        <v>1</v>
      </c>
      <c r="H98" s="21" t="s">
        <v>933</v>
      </c>
      <c r="I98" s="13">
        <v>42869.619375000002</v>
      </c>
      <c r="J98" s="7">
        <v>0</v>
      </c>
      <c r="K98" s="92" t="str">
        <f>IF(ISEVEN(B98),(B98-1)&amp;"/"&amp;B98,B98&amp;"/"&amp;(B98+1))</f>
        <v>4005/4006</v>
      </c>
      <c r="L98" s="21" t="str">
        <f>VLOOKUP(A98,'Trips&amp;Operators'!$C$1:$G$99999,5,FALSE)</f>
        <v>BRANDNER MELINDA</v>
      </c>
      <c r="M98" s="6">
        <f>I98-F98</f>
        <v>2.5451388893998228E-2</v>
      </c>
      <c r="N98" s="7">
        <f>24*60*SUM($M98:$M98)</f>
        <v>36.650000007357448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NorthBound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-14T13:11:04-0600',mode:absolute,to:'2017-05-14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4.3299999999999998E-2</v>
      </c>
      <c r="Z98" s="192">
        <f>RIGHT(H98,LEN(H98)-4)/10000</f>
        <v>23.333200000000001</v>
      </c>
      <c r="AA98" s="192">
        <f>ABS(Z98-Y98)</f>
        <v>23.289900000000003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0185-14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/stypes="app*4006*20170514*" /stext=" 20:.+((SYSTEM_STATE.+slice.+state.+changed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18"/>
        <v>"%USERPROFILE%\Documents\GitHub\eaglep3\Utilities\RefineRTDCRunTimes.py" --tripid 185-14 --locoid 4006 --swversion DE.1.0.9.0 --startMP 204:433 --initTime 2017-05-14T14:11:04 --startdatetime 2017-05-14T14:15:15 --delay 1 --endMP 204:233332 --enddatetime 2017-05-14T14:51:54 --enforcementcount 0 &gt;&gt;C:\Users\stu\Documents\GitHub\eaglep3-reporting\EC\2017-05-14-refined-times.txt</v>
      </c>
      <c r="AI9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{"issue":{"subject":"","project_id":79,"tracker_id":40,"status_id":1,"priority_id":2,"assigned_to_id":23,"start_date":"2017-05-14","description":"","custom_fields":[{"id":1,"name":"Subdivision","value":"EC"},{"id":4,"name":"Milepost","value":"23.3332"},{"id":17,"name":"Train ID","value":"185-14"},{"id":16,"name":"Locomotive ID","value":"4006"},{"id":130,"name":"Impact","value":""},{"id":150,"name":"Time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20"/>
        <v>start /low /b %USERPROFILE%\Documents\GitHub\eaglep3\Utilities\DownloadLogsFromS3.py --loco 4006 --day 2017-05-14</v>
      </c>
      <c r="AN98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612</v>
      </c>
      <c r="B99" s="7">
        <v>4005</v>
      </c>
      <c r="C99" s="21" t="s">
        <v>206</v>
      </c>
      <c r="D99" s="21" t="s">
        <v>862</v>
      </c>
      <c r="E99" s="13">
        <v>42869.630069444444</v>
      </c>
      <c r="F99" s="13">
        <v>42869.632835648146</v>
      </c>
      <c r="G99" s="7">
        <v>1</v>
      </c>
      <c r="H99" s="21" t="s">
        <v>885</v>
      </c>
      <c r="I99" s="13">
        <v>42869.661006944443</v>
      </c>
      <c r="J99" s="7">
        <v>0</v>
      </c>
      <c r="K99" s="92" t="str">
        <f>IF(ISEVEN(B99),(B99-1)&amp;"/"&amp;B99,B99&amp;"/"&amp;(B99+1))</f>
        <v>4005/4006</v>
      </c>
      <c r="L99" s="21" t="str">
        <f>VLOOKUP(A99,'Trips&amp;Operators'!$C$1:$G$99999,5,FALSE)</f>
        <v>BRANDNER MELINDA</v>
      </c>
      <c r="M99" s="6">
        <f>I99-F99</f>
        <v>2.8171296296932269E-2</v>
      </c>
      <c r="N99" s="7">
        <f>24*60*SUM($M99:$M99)</f>
        <v>40.566666667582467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Southbound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-14T14:07:18-0600',mode:absolute,to:'2017-05-14T16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23.3019</v>
      </c>
      <c r="Z99" s="192">
        <f>RIGHT(H99,LEN(H99)-4)/10000</f>
        <v>1.12E-2</v>
      </c>
      <c r="AA99" s="192">
        <f>ABS(Z99-Y99)</f>
        <v>23.290700000000001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0186-14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/stypes="app*4005*20170514*"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18"/>
        <v>"%USERPROFILE%\Documents\GitHub\eaglep3\Utilities\RefineRTDCRunTimes.py" --tripid 186-14 --locoid 4005 --swversion DE.1.0.9.0 --startMP 204:233019 --initTime 2017-05-14T15:07:18 --startdatetime 2017-05-14T15:11:17 --delay 1 --endMP 204:112 --enddatetime 2017-05-14T15:51:51 --enforcementcount 0 &gt;&gt;C:\Users\stu\Documents\GitHub\eaglep3-reporting\EC\2017-05-14-refined-times.txt</v>
      </c>
      <c r="AI9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{"issue":{"subject":"","project_id":79,"tracker_id":40,"status_id":1,"priority_id":2,"assigned_to_id":23,"start_date":"2017-05-14","description":"","custom_fields":[{"id":1,"name":"Subdivision","value":"EC"},{"id":4,"name":"Milepost","value":"0.0112"},{"id":17,"name":"Train ID","value":"186-14"},{"id":16,"name":"Locomotive ID","value":"4005"},{"id":130,"name":"Impact","value":""},{"id":150,"name":"Time of Event (Mountain Time)","value":"15:51:51"},{"id":151,"name":"Denver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20"/>
        <v>start /low /b %USERPROFILE%\Documents\GitHub\eaglep3\Utilities\DownloadLogsFromS3.py --loco 4005 --day 2017-05-14</v>
      </c>
      <c r="AN99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739</v>
      </c>
      <c r="B100" s="7">
        <v>4018</v>
      </c>
      <c r="C100" s="21" t="s">
        <v>206</v>
      </c>
      <c r="D100" s="21" t="s">
        <v>355</v>
      </c>
      <c r="E100" s="13">
        <v>42869.599212962959</v>
      </c>
      <c r="F100" s="13">
        <v>42869.604710648149</v>
      </c>
      <c r="G100" s="7">
        <v>1</v>
      </c>
      <c r="H100" s="21" t="s">
        <v>843</v>
      </c>
      <c r="I100" s="13">
        <v>42869.630243055559</v>
      </c>
      <c r="J100" s="7">
        <v>0</v>
      </c>
      <c r="K100" s="92" t="str">
        <f>IF(ISEVEN(B100),(B100-1)&amp;"/"&amp;B100,B100&amp;"/"&amp;(B100+1))</f>
        <v>4017/4018</v>
      </c>
      <c r="L100" s="21" t="str">
        <f>VLOOKUP(A100,'Trips&amp;Operators'!$C$1:$G$99999,5,FALSE)</f>
        <v>DAVIDSON DAVID</v>
      </c>
      <c r="M100" s="6">
        <f>I100-F100</f>
        <v>2.5532407409627922E-2</v>
      </c>
      <c r="N100" s="7">
        <f>24*60*SUM($M100:$M100)</f>
        <v>36.766666669864208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NorthBound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-14T13:22:52-0600',mode:absolute,to:'2017-05-14T16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4.58E-2</v>
      </c>
      <c r="Z100" s="192">
        <f>RIGHT(H100,LEN(H100)-4)/10000</f>
        <v>23.330500000000001</v>
      </c>
      <c r="AA100" s="192">
        <f>ABS(Z100-Y100)</f>
        <v>23.284700000000001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0187-14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/stypes="app*4018*20170514*" /stext=" 21:.+((SYSTEM_STATE.+slice.+state.+changed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18"/>
        <v>"%USERPROFILE%\Documents\GitHub\eaglep3\Utilities\RefineRTDCRunTimes.py" --tripid 187-14 --locoid 4018 --swversion DE.1.0.9.0 --startMP 204:458 --initTime 2017-05-14T14:22:52 --startdatetime 2017-05-14T14:30:47 --delay 1 --endMP 204:233305 --enddatetime 2017-05-14T15:07:33 --enforcementcount 0 &gt;&gt;C:\Users\stu\Documents\GitHub\eaglep3-reporting\EC\2017-05-14-refined-times.txt</v>
      </c>
      <c r="AI10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{"issue":{"subject":"","project_id":79,"tracker_id":40,"status_id":1,"priority_id":2,"assigned_to_id":23,"start_date":"2017-05-14","description":"","custom_fields":[{"id":1,"name":"Subdivision","value":"EC"},{"id":4,"name":"Milepost","value":"23.3305"},{"id":17,"name":"Train ID","value":"187-14"},{"id":16,"name":"Locomotive ID","value":"4018"},{"id":130,"name":"Impact","value":""},{"id":150,"name":"Time of Event (Mountain Time)","value":"15:07:33"},{"id":151,"name":"Denver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20"/>
        <v>start /low /b %USERPROFILE%\Documents\GitHub\eaglep3\Utilities\DownloadLogsFromS3.py --loco 4018 --day 2017-05-14</v>
      </c>
      <c r="AN100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745</v>
      </c>
      <c r="B101" s="7">
        <v>4017</v>
      </c>
      <c r="C101" s="21" t="s">
        <v>206</v>
      </c>
      <c r="D101" s="21" t="s">
        <v>853</v>
      </c>
      <c r="E101" s="13">
        <v>42869.636296296296</v>
      </c>
      <c r="F101" s="13">
        <v>42869.643252314818</v>
      </c>
      <c r="G101" s="7">
        <v>1</v>
      </c>
      <c r="H101" s="21" t="s">
        <v>934</v>
      </c>
      <c r="I101" s="13">
        <v>42869.668761574074</v>
      </c>
      <c r="J101" s="7">
        <v>0</v>
      </c>
      <c r="K101" s="92" t="str">
        <f>IF(ISEVEN(B101),(B101-1)&amp;"/"&amp;B101,B101&amp;"/"&amp;(B101+1))</f>
        <v>4017/4018</v>
      </c>
      <c r="L101" s="21" t="str">
        <f>VLOOKUP(A101,'Trips&amp;Operators'!$C$1:$G$99999,5,FALSE)</f>
        <v>DAVIDSON DAVID</v>
      </c>
      <c r="M101" s="6">
        <f>I101-F101</f>
        <v>2.5509259256068617E-2</v>
      </c>
      <c r="N101" s="7">
        <f>24*60*SUM($M101:$M101)</f>
        <v>36.733333328738809</v>
      </c>
      <c r="O101" s="7"/>
      <c r="P101" s="7"/>
      <c r="Q101" s="22"/>
      <c r="R101" s="190" t="s">
        <v>1018</v>
      </c>
      <c r="S101" s="196">
        <f>SUM(U101:U101)/IF(AG101="EC",12,1)</f>
        <v>1</v>
      </c>
      <c r="T101" s="190" t="str">
        <f>IF(ISEVEN(LEFT(AD101,4)),"Southbound","NorthBound")</f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-14T14:16:16-0600',mode:absolute,to:'2017-05-14T17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192" t="str">
        <f>IF(AA101&lt;IF(AG101="EC",23,5.65),"Y","N")</f>
        <v>Y</v>
      </c>
      <c r="X101" s="192">
        <f>VALUE(LEFT(AD101,4))-VALUE(LEFT(AD100,4))</f>
        <v>1</v>
      </c>
      <c r="Y101" s="192">
        <f>RIGHT(D101,LEN(D101)-4)/10000</f>
        <v>23.298200000000001</v>
      </c>
      <c r="Z101" s="192">
        <f>RIGHT(H101,LEN(H101)-4)/10000</f>
        <v>0.80479999999999996</v>
      </c>
      <c r="AA101" s="192">
        <f>ABS(Z101-Y101)</f>
        <v>22.493400000000001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0188-14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/stypes="app*4017*20170514*" /stext=" 22:.+((SYSTEM_STATE.+slice.+state.+changed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18"/>
        <v>"%USERPROFILE%\Documents\GitHub\eaglep3\Utilities\RefineRTDCRunTimes.py" --tripid 188-14 --locoid 4017 --swversion DE.1.0.9.0 --startMP 204:232982 --initTime 2017-05-14T15:16:16 --startdatetime 2017-05-14T15:26:17 --delay 1 --endMP 204:8048 --enddatetime 2017-05-14T16:03:01 --enforcementcount 0 &gt;&gt;C:\Users\stu\Documents\GitHub\eaglep3-reporting\EC\2017-05-14-refined-times.txt</v>
      </c>
      <c r="AI101" s="99" t="str">
        <f t="shared" si="19"/>
        <v>echo {"issue":{"subject":"Stuck in phase break","project_id":79,"tracker_id":40,"status_id":1,"priority_id":2,"assigned_to_id":23,"start_date":"2017-05-14","description":"","custom_fields":[{"id":1,"name":"Subdivision","value":"EC"},{"id":4,"name":"Milepost","value":"0.8048"},{"id":17,"name":"Train ID","value":"188-14"},{"id":16,"name":"Locomotive ID","value":"4017"},{"id":130,"name":"Impact","value":""},{"id":150,"name":"Time of Event (Mountain Time)","value":"16:03:01"},{"id":151,"name":"Denver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20"/>
        <v>start /low /b %USERPROFILE%\Documents\GitHub\eaglep3\Utilities\DownloadLogsFromS3.py --loco 4017 --day 2017-05-14</v>
      </c>
      <c r="AN101" s="154" t="str">
        <f t="shared" si="21"/>
        <v>echo {"issue":{"subject":"Stuck in phase break","project_id":30,"tracker_id":4,"status_id":1,"priority_id":1,"assigned_to_id":10,"start_date":"2017-05-14","description":"","custom_fields":[{"id":30,"name":"Category","value":"Issue"},{"id":3,"name":"Functional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611</v>
      </c>
      <c r="B102" s="7">
        <v>4046</v>
      </c>
      <c r="C102" s="21" t="s">
        <v>206</v>
      </c>
      <c r="D102" s="21" t="s">
        <v>361</v>
      </c>
      <c r="E102" s="13">
        <v>42869.61341435185</v>
      </c>
      <c r="F102" s="13">
        <v>42869.615162037036</v>
      </c>
      <c r="G102" s="7">
        <v>1</v>
      </c>
      <c r="H102" s="21" t="s">
        <v>935</v>
      </c>
      <c r="I102" s="13">
        <v>42869.6405787037</v>
      </c>
      <c r="J102" s="7">
        <v>0</v>
      </c>
      <c r="K102" s="92" t="str">
        <f>IF(ISEVEN(B102),(B102-1)&amp;"/"&amp;B102,B102&amp;"/"&amp;(B102+1))</f>
        <v>4045/4046</v>
      </c>
      <c r="L102" s="21" t="str">
        <f>VLOOKUP(A102,'Trips&amp;Operators'!$C$1:$G$99999,5,FALSE)</f>
        <v>DAVIS MICHAEL</v>
      </c>
      <c r="M102" s="6">
        <f>I102-F102</f>
        <v>2.5416666663659271E-2</v>
      </c>
      <c r="N102" s="7">
        <f>24*60*SUM($M102:$M102)</f>
        <v>36.59999999566935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-14T13:43:19-0600',mode:absolute,to:'2017-05-14T16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4.6600000000000003E-2</v>
      </c>
      <c r="Z102" s="192">
        <f>RIGHT(H102,LEN(H102)-4)/10000</f>
        <v>23.316800000000001</v>
      </c>
      <c r="AA102" s="192">
        <f>ABS(Z102-Y102)</f>
        <v>23.270199999999999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0189-14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/stypes="app*4046*20170514*" /stext=" 21:.+((SYSTEM_STATE.+slice.+state.+changed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18"/>
        <v>"%USERPROFILE%\Documents\GitHub\eaglep3\Utilities\RefineRTDCRunTimes.py" --tripid 189-14 --locoid 4046 --swversion DE.1.0.9.0 --startMP 204:466 --initTime 2017-05-14T14:43:19 --startdatetime 2017-05-14T14:45:50 --delay 1 --endMP 204:233168 --enddatetime 2017-05-14T15:22:26 --enforcementcount 0 &gt;&gt;C:\Users\stu\Documents\GitHub\eaglep3-reporting\EC\2017-05-14-refined-times.txt</v>
      </c>
      <c r="AI10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{"issue":{"subject":"","project_id":79,"tracker_id":40,"status_id":1,"priority_id":2,"assigned_to_id":23,"start_date":"2017-05-14","description":"","custom_fields":[{"id":1,"name":"Subdivision","value":"EC"},{"id":4,"name":"Milepost","value":"23.3168"},{"id":17,"name":"Train ID","value":"189-14"},{"id":16,"name":"Locomotive ID","value":"4046"},{"id":130,"name":"Impact","value":""},{"id":150,"name":"Time of Event (Mountain Time)","value":"15:22:26"},{"id":151,"name":"Denver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20"/>
        <v>start /low /b %USERPROFILE%\Documents\GitHub\eaglep3\Utilities\DownloadLogsFromS3.py --loco 4046 --day 2017-05-14</v>
      </c>
      <c r="AN102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749</v>
      </c>
      <c r="B103" s="7">
        <v>4045</v>
      </c>
      <c r="C103" s="21" t="s">
        <v>206</v>
      </c>
      <c r="D103" s="21" t="s">
        <v>936</v>
      </c>
      <c r="E103" s="13">
        <v>42869.651608796295</v>
      </c>
      <c r="F103" s="13">
        <v>42869.653784722221</v>
      </c>
      <c r="G103" s="7">
        <v>1</v>
      </c>
      <c r="H103" s="21" t="s">
        <v>375</v>
      </c>
      <c r="I103" s="13">
        <v>42869.681203703702</v>
      </c>
      <c r="J103" s="7">
        <v>0</v>
      </c>
      <c r="K103" s="92" t="str">
        <f>IF(ISEVEN(B103),(B103-1)&amp;"/"&amp;B103,B103&amp;"/"&amp;(B103+1))</f>
        <v>4045/4046</v>
      </c>
      <c r="L103" s="21" t="str">
        <f>VLOOKUP(A103,'Trips&amp;Operators'!$C$1:$G$99999,5,FALSE)</f>
        <v>DAVIS MICHAEL</v>
      </c>
      <c r="M103" s="6">
        <f>I103-F103</f>
        <v>2.7418981480877846E-2</v>
      </c>
      <c r="N103" s="7">
        <f>24*60*SUM($M103:$M103)</f>
        <v>39.483333332464099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-14T14:38:19-0600',mode:absolute,to:'2017-05-14T17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23.2913</v>
      </c>
      <c r="Z103" s="192">
        <f>RIGHT(H103,LEN(H103)-4)/10000</f>
        <v>1.47E-2</v>
      </c>
      <c r="AA103" s="192">
        <f>ABS(Z103-Y103)</f>
        <v>23.276599999999998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0190-14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/stypes="app*4045*20170514*" /stext=" 22:.+((SYSTEM_STATE.+slice.+state.+changed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18"/>
        <v>"%USERPROFILE%\Documents\GitHub\eaglep3\Utilities\RefineRTDCRunTimes.py" --tripid 190-14 --locoid 4045 --swversion DE.1.0.9.0 --startMP 204:232913 --initTime 2017-05-14T15:38:19 --startdatetime 2017-05-14T15:41:27 --delay 1 --endMP 204:147 --enddatetime 2017-05-14T16:20:56 --enforcementcount 0 &gt;&gt;C:\Users\stu\Documents\GitHub\eaglep3-reporting\EC\2017-05-14-refined-times.txt</v>
      </c>
      <c r="AI10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{"issue":{"subject":"","project_id":79,"tracker_id":40,"status_id":1,"priority_id":2,"assigned_to_id":23,"start_date":"2017-05-14","description":"","custom_fields":[{"id":1,"name":"Subdivision","value":"EC"},{"id":4,"name":"Milepost","value":"0.0147"},{"id":17,"name":"Train ID","value":"190-14"},{"id":16,"name":"Locomotive ID","value":"4045"},{"id":130,"name":"Impact","value":""},{"id":150,"name":"Time of Event (Mountain Time)","value":"16:20:56"},{"id":151,"name":"Denver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20"/>
        <v>start /low /b %USERPROFILE%\Documents\GitHub\eaglep3\Utilities\DownloadLogsFromS3.py --loco 4045 --day 2017-05-14</v>
      </c>
      <c r="AN103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743</v>
      </c>
      <c r="B104" s="7">
        <v>4002</v>
      </c>
      <c r="C104" s="21" t="s">
        <v>206</v>
      </c>
      <c r="D104" s="21" t="s">
        <v>352</v>
      </c>
      <c r="E104" s="13">
        <v>42869.623553240737</v>
      </c>
      <c r="F104" s="13">
        <v>42869.625150462962</v>
      </c>
      <c r="G104" s="7">
        <v>1</v>
      </c>
      <c r="H104" s="21" t="s">
        <v>887</v>
      </c>
      <c r="I104" s="13">
        <v>42869.650555555556</v>
      </c>
      <c r="J104" s="7">
        <v>0</v>
      </c>
      <c r="K104" s="92" t="str">
        <f>IF(ISEVEN(B104),(B104-1)&amp;"/"&amp;B104,B104&amp;"/"&amp;(B104+1))</f>
        <v>4001/4002</v>
      </c>
      <c r="L104" s="21" t="str">
        <f>VLOOKUP(A104,'Trips&amp;Operators'!$C$1:$G$99999,5,FALSE)</f>
        <v>LEVIN SCOTT</v>
      </c>
      <c r="M104" s="6">
        <f>I104-F104</f>
        <v>2.5405092594155576E-2</v>
      </c>
      <c r="N104" s="7">
        <f>24*60*SUM($M104:$M104)</f>
        <v>36.58333333558403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-14T13:57:55-0600',mode:absolute,to:'2017-05-14T16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4.4600000000000001E-2</v>
      </c>
      <c r="Z104" s="192">
        <f>RIGHT(H104,LEN(H104)-4)/10000</f>
        <v>23.3399</v>
      </c>
      <c r="AA104" s="192">
        <f>ABS(Z104-Y104)</f>
        <v>23.295300000000001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0191-14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/stypes="app*4002*20170514*" /stext=" 21:.+((SYSTEM_STATE.+slice.+state.+changed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18"/>
        <v>"%USERPROFILE%\Documents\GitHub\eaglep3\Utilities\RefineRTDCRunTimes.py" --tripid 191-14 --locoid 4002 --swversion DE.1.0.9.0 --startMP 204:446 --initTime 2017-05-14T14:57:55 --startdatetime 2017-05-14T15:00:13 --delay 1 --endMP 204:233399 --enddatetime 2017-05-14T15:36:48 --enforcementcount 0 &gt;&gt;C:\Users\stu\Documents\GitHub\eaglep3-reporting\EC\2017-05-14-refined-times.txt</v>
      </c>
      <c r="AI104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{"issue":{"subject":"","project_id":79,"tracker_id":40,"status_id":1,"priority_id":2,"assigned_to_id":23,"start_date":"2017-05-14","description":"","custom_fields":[{"id":1,"name":"Subdivision","value":"EC"},{"id":4,"name":"Milepost","value":"23.3399"},{"id":17,"name":"Train ID","value":"191-14"},{"id":16,"name":"Locomotive ID","value":"4002"},{"id":130,"name":"Impact","value":""},{"id":150,"name":"Time of Event (Mountain Time)","value":"15:36:48"},{"id":151,"name":"Denver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20"/>
        <v>start /low /b %USERPROFILE%\Documents\GitHub\eaglep3\Utilities\DownloadLogsFromS3.py --loco 4002 --day 2017-05-14</v>
      </c>
      <c r="AN104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614</v>
      </c>
      <c r="B105" s="7">
        <v>4001</v>
      </c>
      <c r="C105" s="21" t="s">
        <v>206</v>
      </c>
      <c r="D105" s="21" t="s">
        <v>940</v>
      </c>
      <c r="E105" s="13">
        <v>42869.661608796298</v>
      </c>
      <c r="F105" s="13">
        <v>42869.664050925923</v>
      </c>
      <c r="G105" s="7">
        <v>1</v>
      </c>
      <c r="H105" s="21" t="s">
        <v>374</v>
      </c>
      <c r="I105" s="13">
        <v>42869.69458333333</v>
      </c>
      <c r="J105" s="7">
        <v>0</v>
      </c>
      <c r="K105" s="92" t="str">
        <f>IF(ISEVEN(B105),(B105-1)&amp;"/"&amp;B105,B105&amp;"/"&amp;(B105+1))</f>
        <v>4001/4002</v>
      </c>
      <c r="L105" s="21" t="str">
        <f>VLOOKUP(A105,'Trips&amp;Operators'!$C$1:$G$99999,5,FALSE)</f>
        <v>LEVIN SCOTT</v>
      </c>
      <c r="M105" s="6">
        <f>I105-F105</f>
        <v>3.0532407407008577E-2</v>
      </c>
      <c r="N105" s="7">
        <f>24*60*SUM($M105:$M105)</f>
        <v>43.966666666092351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-14T14:52:43-0600',mode:absolute,to:'2017-05-14T17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23.304600000000001</v>
      </c>
      <c r="Z105" s="192">
        <f>RIGHT(H105,LEN(H105)-4)/10000</f>
        <v>1.41E-2</v>
      </c>
      <c r="AA105" s="192">
        <f>ABS(Z105-Y105)</f>
        <v>23.290500000000002</v>
      </c>
      <c r="AB105" s="57" t="str">
        <f>VLOOKUP(A105,Enforcements!$C$7:$K$13,8,0)</f>
        <v>Bulletin (2)</v>
      </c>
      <c r="AC105" s="53" t="str">
        <f>VLOOKUP(A105,Enforcements!$C$7:$E$13,3,0)</f>
        <v>GRADE CROSSING</v>
      </c>
      <c r="AD105" s="54" t="str">
        <f>IF(LEN(A105)=6,"0"&amp;A105,A105)</f>
        <v>0192-14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/stypes="app*4001*20170514*" /stext=" 22:.+((SYSTEM_STATE.+slice.+state.+changed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18"/>
        <v>"%USERPROFILE%\Documents\GitHub\eaglep3\Utilities\RefineRTDCRunTimes.py" --tripid 192-14 --locoid 4001 --swversion DE.1.0.9.0 --startMP 204:233046 --initTime 2017-05-14T15:52:43 --startdatetime 2017-05-14T15:56:14 --delay 1 --endMP 204:141 --enddatetime 2017-05-14T16:40:12 --enforcementcount 0 &gt;&gt;C:\Users\stu\Documents\GitHub\eaglep3-reporting\EC\2017-05-14-refined-times.txt</v>
      </c>
      <c r="AI10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{"issue":{"subject":"","project_id":79,"tracker_id":40,"status_id":1,"priority_id":2,"assigned_to_id":23,"start_date":"2017-05-14","description":"","custom_fields":[{"id":1,"name":"Subdivision","value":"EC"},{"id":4,"name":"Milepost","value":"0.0141"},{"id":17,"name":"Train ID","value":"192-14"},{"id":16,"name":"Locomotive ID","value":"4001"},{"id":130,"name":"Impact","value":""},{"id":150,"name":"Time of Event (Mountain Time)","value":"16:40:12"},{"id":151,"name":"Denver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20"/>
        <v>start /low /b %USERPROFILE%\Documents\GitHub\eaglep3\Utilities\DownloadLogsFromS3.py --loco 4001 --day 2017-05-14</v>
      </c>
      <c r="AN105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744</v>
      </c>
      <c r="B106" s="7">
        <v>4032</v>
      </c>
      <c r="C106" s="21" t="s">
        <v>206</v>
      </c>
      <c r="D106" s="21" t="s">
        <v>202</v>
      </c>
      <c r="E106" s="13">
        <v>42869.631365740737</v>
      </c>
      <c r="F106" s="13">
        <v>42869.635625000003</v>
      </c>
      <c r="G106" s="7">
        <v>2</v>
      </c>
      <c r="H106" s="21" t="s">
        <v>941</v>
      </c>
      <c r="I106" s="13">
        <v>42869.660532407404</v>
      </c>
      <c r="J106" s="7">
        <v>0</v>
      </c>
      <c r="K106" s="92" t="str">
        <f>IF(ISEVEN(B106),(B106-1)&amp;"/"&amp;B106,B106&amp;"/"&amp;(B106+1))</f>
        <v>4031/4032</v>
      </c>
      <c r="L106" s="21" t="str">
        <f>VLOOKUP(A106,'Trips&amp;Operators'!$C$1:$G$99999,5,FALSE)</f>
        <v>SAFIEF AEIMEN</v>
      </c>
      <c r="M106" s="6">
        <f>I106-F106</f>
        <v>2.4907407401769888E-2</v>
      </c>
      <c r="N106" s="7">
        <f>24*60*SUM($M106:$M106)</f>
        <v>35.866666658548638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-14T14:09:10-0600',mode:absolute,to:'2017-05-14T16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4.5699999999999998E-2</v>
      </c>
      <c r="Z106" s="192">
        <f>RIGHT(H106,LEN(H106)-4)/10000</f>
        <v>23.338899999999999</v>
      </c>
      <c r="AA106" s="192">
        <f>ABS(Z106-Y106)</f>
        <v>23.293199999999999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0193-14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/stypes="app*4032*20170514*" /stext=" 21:.+((SYSTEM_STATE.+slice.+state.+changed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18"/>
        <v>"%USERPROFILE%\Documents\GitHub\eaglep3\Utilities\RefineRTDCRunTimes.py" --tripid 193-14 --locoid 4032 --swversion DE.1.0.9.0 --startMP 204:457 --initTime 2017-05-14T15:09:10 --startdatetime 2017-05-14T15:15:18 --delay 2 --endMP 204:233389 --enddatetime 2017-05-14T15:51:10 --enforcementcount 0 &gt;&gt;C:\Users\stu\Documents\GitHub\eaglep3-reporting\EC\2017-05-14-refined-times.txt</v>
      </c>
      <c r="AI10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{"issue":{"subject":"","project_id":79,"tracker_id":40,"status_id":1,"priority_id":2,"assigned_to_id":23,"start_date":"2017-05-14","description":"","custom_fields":[{"id":1,"name":"Subdivision","value":"EC"},{"id":4,"name":"Milepost","value":"23.3389"},{"id":17,"name":"Train ID","value":"193-14"},{"id":16,"name":"Locomotive ID","value":"4032"},{"id":130,"name":"Impact","value":""},{"id":150,"name":"Time of Event (Mountain Time)","value":"15:51:10"},{"id":151,"name":"Denver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20"/>
        <v>start /low /b %USERPROFILE%\Documents\GitHub\eaglep3\Utilities\DownloadLogsFromS3.py --loco 4032 --day 2017-05-14</v>
      </c>
      <c r="AN106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751</v>
      </c>
      <c r="B107" s="7">
        <v>4031</v>
      </c>
      <c r="C107" s="21" t="s">
        <v>206</v>
      </c>
      <c r="D107" s="21" t="s">
        <v>942</v>
      </c>
      <c r="E107" s="13">
        <v>42869.664722222224</v>
      </c>
      <c r="F107" s="13">
        <v>42869.674895833334</v>
      </c>
      <c r="G107" s="7">
        <v>1</v>
      </c>
      <c r="H107" s="21" t="s">
        <v>390</v>
      </c>
      <c r="I107" s="13">
        <v>42869.70208333333</v>
      </c>
      <c r="J107" s="7">
        <v>0</v>
      </c>
      <c r="K107" s="92" t="str">
        <f>IF(ISEVEN(B107),(B107-1)&amp;"/"&amp;B107,B107&amp;"/"&amp;(B107+1))</f>
        <v>4031/4032</v>
      </c>
      <c r="L107" s="21" t="str">
        <f>VLOOKUP(A107,'Trips&amp;Operators'!$C$1:$G$99999,5,FALSE)</f>
        <v>SAFIEF AEIMEN</v>
      </c>
      <c r="M107" s="6">
        <f>I107-F107</f>
        <v>2.7187499996216502E-2</v>
      </c>
      <c r="N107" s="7">
        <f>24*60*SUM($M107:$M107)</f>
        <v>39.149999994551763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-14T14:57:12-0600',mode:absolute,to:'2017-05-14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23.306799999999999</v>
      </c>
      <c r="Z107" s="192">
        <f>RIGHT(H107,LEN(H107)-4)/10000</f>
        <v>1.3599999999999999E-2</v>
      </c>
      <c r="AA107" s="192">
        <f>ABS(Z107-Y107)</f>
        <v>23.293199999999999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0194-14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/stypes="app*4031*20170514*"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18"/>
        <v>"%USERPROFILE%\Documents\GitHub\eaglep3\Utilities\RefineRTDCRunTimes.py" --tripid 194-14 --locoid 4031 --swversion DE.1.0.9.0 --startMP 204:233068 --initTime 2017-05-14T15:57:12 --startdatetime 2017-05-14T16:11:51 --delay 1 --endMP 204:136 --enddatetime 2017-05-14T16:51:00 --enforcementcount 0 &gt;&gt;C:\Users\stu\Documents\GitHub\eaglep3-reporting\EC\2017-05-14-refined-times.txt</v>
      </c>
      <c r="AI10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{"issue":{"subject":"","project_id":79,"tracker_id":40,"status_id":1,"priority_id":2,"assigned_to_id":23,"start_date":"2017-05-14","description":"","custom_fields":[{"id":1,"name":"Subdivision","value":"EC"},{"id":4,"name":"Milepost","value":"0.0136"},{"id":17,"name":"Train ID","value":"194-14"},{"id":16,"name":"Locomotive ID","value":"4031"},{"id":130,"name":"Impact","value":""},{"id":150,"name":"Time of Event (Mountain Time)","value":"16:51:00"},{"id":151,"name":"Denver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20"/>
        <v>start /low /b %USERPROFILE%\Documents\GitHub\eaglep3\Utilities\DownloadLogsFromS3.py --loco 4031 --day 2017-05-14</v>
      </c>
      <c r="AN107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747</v>
      </c>
      <c r="B108" s="7">
        <v>4012</v>
      </c>
      <c r="C108" s="21" t="s">
        <v>206</v>
      </c>
      <c r="D108" s="21" t="s">
        <v>369</v>
      </c>
      <c r="E108" s="13">
        <v>42869.638935185183</v>
      </c>
      <c r="F108" s="13">
        <v>42869.645983796298</v>
      </c>
      <c r="G108" s="7">
        <v>1</v>
      </c>
      <c r="H108" s="21" t="s">
        <v>943</v>
      </c>
      <c r="I108" s="13">
        <v>42869.670902777776</v>
      </c>
      <c r="J108" s="7">
        <v>0</v>
      </c>
      <c r="K108" s="92" t="str">
        <f>IF(ISEVEN(B108),(B108-1)&amp;"/"&amp;B108,B108&amp;"/"&amp;(B108+1))</f>
        <v>4011/4012</v>
      </c>
      <c r="L108" s="21" t="str">
        <f>VLOOKUP(A108,'Trips&amp;Operators'!$C$1:$G$99999,5,FALSE)</f>
        <v>LALONDE GREGORY</v>
      </c>
      <c r="M108" s="6">
        <f>I108-F108</f>
        <v>2.491898147854954E-2</v>
      </c>
      <c r="N108" s="7">
        <f>24*60*SUM($M108:$M108)</f>
        <v>35.883333329111338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-14T14:20:04-0600',mode:absolute,to:'2017-05-14T17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4.53E-2</v>
      </c>
      <c r="Z108" s="192">
        <f>RIGHT(H108,LEN(H108)-4)/10000</f>
        <v>23.336200000000002</v>
      </c>
      <c r="AA108" s="192">
        <f>ABS(Z108-Y108)</f>
        <v>23.290900000000001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0195-14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/stypes="app*4012*20170514*" /stext=" 22:.+((SYSTEM_STATE.+slice.+state.+changed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18"/>
        <v>"%USERPROFILE%\Documents\GitHub\eaglep3\Utilities\RefineRTDCRunTimes.py" --tripid 195-14 --locoid 4012 --swversion DE.1.0.9.0 --startMP 204:453 --initTime 2017-05-14T15:20:04 --startdatetime 2017-05-14T15:30:13 --delay 1 --endMP 204:233362 --enddatetime 2017-05-14T16:06:06 --enforcementcount 0 &gt;&gt;C:\Users\stu\Documents\GitHub\eaglep3-reporting\EC\2017-05-14-refined-times.txt</v>
      </c>
      <c r="AI10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{"issue":{"subject":"","project_id":79,"tracker_id":40,"status_id":1,"priority_id":2,"assigned_to_id":23,"start_date":"2017-05-14","description":"","custom_fields":[{"id":1,"name":"Subdivision","value":"EC"},{"id":4,"name":"Milepost","value":"23.3362"},{"id":17,"name":"Train ID","value":"195-14"},{"id":16,"name":"Locomotive ID","value":"4012"},{"id":130,"name":"Impact","value":""},{"id":150,"name":"Time of Event (Mountain Time)","value":"16:06:06"},{"id":151,"name":"Denver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20"/>
        <v>start /low /b %USERPROFILE%\Documents\GitHub\eaglep3\Utilities\DownloadLogsFromS3.py --loco 4012 --day 2017-05-14</v>
      </c>
      <c r="AN108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752</v>
      </c>
      <c r="B109" s="7">
        <v>4011</v>
      </c>
      <c r="C109" s="21" t="s">
        <v>206</v>
      </c>
      <c r="D109" s="21" t="s">
        <v>944</v>
      </c>
      <c r="E109" s="13">
        <v>42869.675104166665</v>
      </c>
      <c r="F109" s="13">
        <v>42869.684884259259</v>
      </c>
      <c r="G109" s="7">
        <v>0</v>
      </c>
      <c r="H109" s="21" t="s">
        <v>360</v>
      </c>
      <c r="I109" s="13">
        <v>42869.71261574074</v>
      </c>
      <c r="J109" s="7">
        <v>0</v>
      </c>
      <c r="K109" s="92" t="str">
        <f>IF(ISEVEN(B109),(B109-1)&amp;"/"&amp;B109,B109&amp;"/"&amp;(B109+1))</f>
        <v>4011/4012</v>
      </c>
      <c r="L109" s="21" t="str">
        <f>VLOOKUP(A109,'Trips&amp;Operators'!$C$1:$G$99999,5,FALSE)</f>
        <v>LALONDE GREGORY</v>
      </c>
      <c r="M109" s="6">
        <f>I109-F109</f>
        <v>2.7731481481168885E-2</v>
      </c>
      <c r="N109" s="7">
        <f>24*60*SUM($M109:$M109)</f>
        <v>39.933333332883194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-14T15:12:09-0600',mode:absolute,to:'2017-05-14T18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23.305299999999999</v>
      </c>
      <c r="Z109" s="192">
        <f>RIGHT(H109,LEN(H109)-4)/10000</f>
        <v>1.43E-2</v>
      </c>
      <c r="AA109" s="192">
        <f>ABS(Z109-Y109)</f>
        <v>23.291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0196-14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/stypes="app*4011*20170514*" /stext=" 23:.+((SYSTEM_STATE.+slice.+state.+changed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18"/>
        <v>"%USERPROFILE%\Documents\GitHub\eaglep3\Utilities\RefineRTDCRunTimes.py" --tripid 196-14 --locoid 4011 --swversion DE.1.0.9.0 --startMP 204:233053 --initTime 2017-05-14T16:12:09 --startdatetime 2017-05-14T16:26:14 --delay 0 --endMP 204:143 --enddatetime 2017-05-14T17:06:10 --enforcementcount 0 &gt;&gt;C:\Users\stu\Documents\GitHub\eaglep3-reporting\EC\2017-05-14-refined-times.txt</v>
      </c>
      <c r="AI10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{"issue":{"subject":"","project_id":79,"tracker_id":40,"status_id":1,"priority_id":2,"assigned_to_id":23,"start_date":"2017-05-14","description":"","custom_fields":[{"id":1,"name":"Subdivision","value":"EC"},{"id":4,"name":"Milepost","value":"0.0143"},{"id":17,"name":"Train ID","value":"196-14"},{"id":16,"name":"Locomotive ID","value":"4011"},{"id":130,"name":"Impact","value":""},{"id":150,"name":"Time of Event (Mountain Time)","value":"17:06:10"},{"id":151,"name":"Denver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20"/>
        <v>start /low /b %USERPROFILE%\Documents\GitHub\eaglep3\Utilities\DownloadLogsFromS3.py --loco 4011 --day 2017-05-14</v>
      </c>
      <c r="AN109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750</v>
      </c>
      <c r="B110" s="7">
        <v>4016</v>
      </c>
      <c r="C110" s="21" t="s">
        <v>206</v>
      </c>
      <c r="D110" s="21" t="s">
        <v>445</v>
      </c>
      <c r="E110" s="13">
        <v>42869.651504629626</v>
      </c>
      <c r="F110" s="13">
        <v>42869.6565625</v>
      </c>
      <c r="G110" s="7">
        <v>2</v>
      </c>
      <c r="H110" s="21" t="s">
        <v>945</v>
      </c>
      <c r="I110" s="13">
        <v>42869.681354166663</v>
      </c>
      <c r="J110" s="7">
        <v>0</v>
      </c>
      <c r="K110" s="92" t="str">
        <f>IF(ISEVEN(B110),(B110-1)&amp;"/"&amp;B110,B110&amp;"/"&amp;(B110+1))</f>
        <v>4015/4016</v>
      </c>
      <c r="L110" s="21" t="str">
        <f>VLOOKUP(A110,'Trips&amp;Operators'!$C$1:$G$99999,5,FALSE)</f>
        <v>ROMERO CHAD</v>
      </c>
      <c r="M110" s="6">
        <f>I110-F110</f>
        <v>2.4791666663077194E-2</v>
      </c>
      <c r="N110" s="7">
        <f>24*60*SUM($M110:$M110)</f>
        <v>35.69999999483116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-14T14:38:10-0600',mode:absolute,to:'2017-05-14T17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4.3799999999999999E-2</v>
      </c>
      <c r="Z110" s="192">
        <f>RIGHT(H110,LEN(H110)-4)/10000</f>
        <v>23.336099999999998</v>
      </c>
      <c r="AA110" s="192">
        <f>ABS(Z110-Y110)</f>
        <v>23.292299999999997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0197-14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/stypes="app*4016*20170514*"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18"/>
        <v>"%USERPROFILE%\Documents\GitHub\eaglep3\Utilities\RefineRTDCRunTimes.py" --tripid 197-14 --locoid 4016 --swversion DE.1.0.9.0 --startMP 204:438 --initTime 2017-05-14T15:38:10 --startdatetime 2017-05-14T15:45:27 --delay 2 --endMP 204:233361 --enddatetime 2017-05-14T16:21:09 --enforcementcount 0 &gt;&gt;C:\Users\stu\Documents\GitHub\eaglep3-reporting\EC\2017-05-14-refined-times.txt</v>
      </c>
      <c r="AI11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{"issue":{"subject":"","project_id":79,"tracker_id":40,"status_id":1,"priority_id":2,"assigned_to_id":23,"start_date":"2017-05-14","description":"","custom_fields":[{"id":1,"name":"Subdivision","value":"EC"},{"id":4,"name":"Milepost","value":"23.3361"},{"id":17,"name":"Train ID","value":"197-14"},{"id":16,"name":"Locomotive ID","value":"4016"},{"id":130,"name":"Impact","value":""},{"id":150,"name":"Time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20"/>
        <v>start /low /b %USERPROFILE%\Documents\GitHub\eaglep3\Utilities\DownloadLogsFromS3.py --loco 4016 --day 2017-05-14</v>
      </c>
      <c r="AN110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755</v>
      </c>
      <c r="B111" s="7">
        <v>4015</v>
      </c>
      <c r="C111" s="21" t="s">
        <v>206</v>
      </c>
      <c r="D111" s="21" t="s">
        <v>946</v>
      </c>
      <c r="E111" s="13">
        <v>42869.689131944448</v>
      </c>
      <c r="F111" s="13">
        <v>42869.695428240739</v>
      </c>
      <c r="G111" s="7">
        <v>1</v>
      </c>
      <c r="H111" s="21" t="s">
        <v>893</v>
      </c>
      <c r="I111" s="13">
        <v>42869.721087962964</v>
      </c>
      <c r="J111" s="7">
        <v>0</v>
      </c>
      <c r="K111" s="92" t="str">
        <f>IF(ISEVEN(B111),(B111-1)&amp;"/"&amp;B111,B111&amp;"/"&amp;(B111+1))</f>
        <v>4015/4016</v>
      </c>
      <c r="L111" s="21" t="str">
        <f>VLOOKUP(A111,'Trips&amp;Operators'!$C$1:$G$99999,5,FALSE)</f>
        <v>ROMERO CHAD</v>
      </c>
      <c r="M111" s="6">
        <f>I111-F111</f>
        <v>2.5659722225100268E-2</v>
      </c>
      <c r="N111" s="7">
        <f>24*60*SUM($M111:$M111)</f>
        <v>36.950000004144385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-14T15:32:21-0600',mode:absolute,to:'2017-05-14T18:18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23.3049</v>
      </c>
      <c r="Z111" s="192">
        <f>RIGHT(H111,LEN(H111)-4)/10000</f>
        <v>1.32E-2</v>
      </c>
      <c r="AA111" s="192">
        <f>ABS(Z111-Y111)</f>
        <v>23.291699999999999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0198-14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/stypes="app*4015*20170514*"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18"/>
        <v>"%USERPROFILE%\Documents\GitHub\eaglep3\Utilities\RefineRTDCRunTimes.py" --tripid 198-14 --locoid 4015 --swversion DE.1.0.9.0 --startMP 204:233049 --initTime 2017-05-14T16:32:21 --startdatetime 2017-05-14T16:41:25 --delay 1 --endMP 204:132 --enddatetime 2017-05-14T17:18:22 --enforcementcount 0 &gt;&gt;C:\Users\stu\Documents\GitHub\eaglep3-reporting\EC\2017-05-14-refined-times.txt</v>
      </c>
      <c r="AI11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{"issue":{"subject":"","project_id":79,"tracker_id":40,"status_id":1,"priority_id":2,"assigned_to_id":23,"start_date":"2017-05-14","description":"","custom_fields":[{"id":1,"name":"Subdivision","value":"EC"},{"id":4,"name":"Milepost","value":"0.0132"},{"id":17,"name":"Train ID","value":"198-14"},{"id":16,"name":"Locomotive ID","value":"4015"},{"id":130,"name":"Impact","value":""},{"id":150,"name":"Time of Event (Mountain Time)","value":"17:18:22"},{"id":151,"name":"Denver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20"/>
        <v>start /low /b %USERPROFILE%\Documents\GitHub\eaglep3\Utilities\DownloadLogsFromS3.py --loco 4015 --day 2017-05-14</v>
      </c>
      <c r="AN111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613</v>
      </c>
      <c r="B112" s="7">
        <v>4006</v>
      </c>
      <c r="C112" s="21" t="s">
        <v>206</v>
      </c>
      <c r="D112" s="21" t="s">
        <v>947</v>
      </c>
      <c r="E112" s="13">
        <v>42869.663599537038</v>
      </c>
      <c r="F112" s="13">
        <v>42869.668321759258</v>
      </c>
      <c r="G112" s="7">
        <v>1</v>
      </c>
      <c r="H112" s="21" t="s">
        <v>557</v>
      </c>
      <c r="I112" s="13">
        <v>42869.694745370369</v>
      </c>
      <c r="J112" s="7">
        <v>0</v>
      </c>
      <c r="K112" s="92" t="str">
        <f>IF(ISEVEN(B112),(B112-1)&amp;"/"&amp;B112,B112&amp;"/"&amp;(B112+1))</f>
        <v>4005/4006</v>
      </c>
      <c r="L112" s="21" t="str">
        <f>VLOOKUP(A112,'Trips&amp;Operators'!$C$1:$G$99999,5,FALSE)</f>
        <v>BRANDNER MELINDA</v>
      </c>
      <c r="M112" s="6">
        <f>I112-F112</f>
        <v>2.6423611110658385E-2</v>
      </c>
      <c r="N112" s="7">
        <f>24*60*SUM($M112:$M112)</f>
        <v>38.049999999348074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-14T14:55:35-0600',mode:absolute,to:'2017-05-14T17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4.1599999999999998E-2</v>
      </c>
      <c r="Z112" s="192">
        <f>RIGHT(H112,LEN(H112)-4)/10000</f>
        <v>23.325700000000001</v>
      </c>
      <c r="AA112" s="192">
        <f>ABS(Z112-Y112)</f>
        <v>23.284100000000002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0199-14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/stypes="app*4006*20170514*"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18"/>
        <v>"%USERPROFILE%\Documents\GitHub\eaglep3\Utilities\RefineRTDCRunTimes.py" --tripid 199-14 --locoid 4006 --swversion DE.1.0.9.0 --startMP 204:416 --initTime 2017-05-14T15:55:35 --startdatetime 2017-05-14T16:02:23 --delay 1 --endMP 204:233257 --enddatetime 2017-05-14T16:40:26 --enforcementcount 0 &gt;&gt;C:\Users\stu\Documents\GitHub\eaglep3-reporting\EC\2017-05-14-refined-times.txt</v>
      </c>
      <c r="AI11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{"issue":{"subject":"","project_id":79,"tracker_id":40,"status_id":1,"priority_id":2,"assigned_to_id":23,"start_date":"2017-05-14","description":"","custom_fields":[{"id":1,"name":"Subdivision","value":"EC"},{"id":4,"name":"Milepost","value":"23.3257"},{"id":17,"name":"Train ID","value":"199-14"},{"id":16,"name":"Locomotive ID","value":"4006"},{"id":130,"name":"Impact","value":""},{"id":150,"name":"Time of Event (Mountain Time)","value":"16:40:26"},{"id":151,"name":"Denver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20"/>
        <v>start /low /b %USERPROFILE%\Documents\GitHub\eaglep3\Utilities\DownloadLogsFromS3.py --loco 4006 --day 2017-05-14</v>
      </c>
      <c r="AN112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615</v>
      </c>
      <c r="B113" s="7">
        <v>4005</v>
      </c>
      <c r="C113" s="21" t="s">
        <v>206</v>
      </c>
      <c r="D113" s="21" t="s">
        <v>948</v>
      </c>
      <c r="E113" s="13">
        <v>42869.702592592592</v>
      </c>
      <c r="F113" s="13">
        <v>42869.705729166664</v>
      </c>
      <c r="G113" s="7">
        <v>1</v>
      </c>
      <c r="H113" s="21" t="s">
        <v>847</v>
      </c>
      <c r="I113" s="13">
        <v>42869.734456018516</v>
      </c>
      <c r="J113" s="7">
        <v>0</v>
      </c>
      <c r="K113" s="92" t="str">
        <f>IF(ISEVEN(B113),(B113-1)&amp;"/"&amp;B113,B113&amp;"/"&amp;(B113+1))</f>
        <v>4005/4006</v>
      </c>
      <c r="L113" s="21" t="str">
        <f>VLOOKUP(A113,'Trips&amp;Operators'!$C$1:$G$99999,5,FALSE)</f>
        <v>BRANDNER MELINDA</v>
      </c>
      <c r="M113" s="6">
        <f>I113-F113</f>
        <v>2.8726851851388346E-2</v>
      </c>
      <c r="N113" s="7">
        <f>24*60*SUM($M113:$M113)</f>
        <v>41.366666665999219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-14T15:51:44-0600',mode:absolute,to:'2017-05-14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23.2927</v>
      </c>
      <c r="Z113" s="192">
        <f>RIGHT(H113,LEN(H113)-4)/10000</f>
        <v>1.6500000000000001E-2</v>
      </c>
      <c r="AA113" s="192">
        <f>ABS(Z113-Y113)</f>
        <v>23.276199999999999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0200-14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/stypes="app*4005*20170514*"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18"/>
        <v>"%USERPROFILE%\Documents\GitHub\eaglep3\Utilities\RefineRTDCRunTimes.py" --tripid 200-14 --locoid 4005 --swversion DE.1.0.9.0 --startMP 204:232927 --initTime 2017-05-14T16:51:44 --startdatetime 2017-05-14T16:56:15 --delay 1 --endMP 204:165 --enddatetime 2017-05-14T17:37:37 --enforcementcount 0 &gt;&gt;C:\Users\stu\Documents\GitHub\eaglep3-reporting\EC\2017-05-14-refined-times.txt</v>
      </c>
      <c r="AI11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{"issue":{"subject":"","project_id":79,"tracker_id":40,"status_id":1,"priority_id":2,"assigned_to_id":23,"start_date":"2017-05-14","description":"","custom_fields":[{"id":1,"name":"Subdivision","value":"EC"},{"id":4,"name":"Milepost","value":"0.0165"},{"id":17,"name":"Train ID","value":"200-14"},{"id":16,"name":"Locomotive ID","value":"4005"},{"id":130,"name":"Impact","value":""},{"id":150,"name":"Time of Event (Mountain Time)","value":"17:37:37"},{"id":151,"name":"Denver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20"/>
        <v>start /low /b %USERPROFILE%\Documents\GitHub\eaglep3\Utilities\DownloadLogsFromS3.py --loco 4005 --day 2017-05-14</v>
      </c>
      <c r="AN113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754</v>
      </c>
      <c r="B114" s="7">
        <v>4046</v>
      </c>
      <c r="C114" s="21" t="s">
        <v>206</v>
      </c>
      <c r="D114" s="21" t="s">
        <v>203</v>
      </c>
      <c r="E114" s="13">
        <v>42869.685289351852</v>
      </c>
      <c r="F114" s="13">
        <v>42869.687939814816</v>
      </c>
      <c r="G114" s="7">
        <v>1</v>
      </c>
      <c r="H114" s="21" t="s">
        <v>949</v>
      </c>
      <c r="I114" s="13">
        <v>42869.714363425926</v>
      </c>
      <c r="J114" s="7">
        <v>0</v>
      </c>
      <c r="K114" s="92" t="str">
        <f>IF(ISEVEN(B114),(B114-1)&amp;"/"&amp;B114,B114&amp;"/"&amp;(B114+1))</f>
        <v>4045/4046</v>
      </c>
      <c r="L114" s="21" t="str">
        <f>VLOOKUP(A114,'Trips&amp;Operators'!$C$1:$G$99999,5,FALSE)</f>
        <v>DAVIS MICHAEL</v>
      </c>
      <c r="M114" s="6">
        <f>I114-F114</f>
        <v>2.6423611110658385E-2</v>
      </c>
      <c r="N114" s="7">
        <f>24*60*SUM($M114:$M114)</f>
        <v>38.049999999348074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-14T15:26:49-0600',mode:absolute,to:'2017-05-14T18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92" t="str">
        <f>IF(AA114&lt;IF(AG114="EC",23,5.65),"Y","N")</f>
        <v>N</v>
      </c>
      <c r="X114" s="192">
        <f>VALUE(LEFT(AD114,4))-VALUE(LEFT(AD113,4))</f>
        <v>3</v>
      </c>
      <c r="Y114" s="192">
        <f>RIGHT(D114,LEN(D114)-4)/10000</f>
        <v>4.5999999999999999E-2</v>
      </c>
      <c r="Z114" s="192">
        <f>RIGHT(H114,LEN(H114)-4)/10000</f>
        <v>23.332100000000001</v>
      </c>
      <c r="AA114" s="192">
        <f>ABS(Z114-Y114)</f>
        <v>23.286100000000001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0203-14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/stypes="app*4046*20170514*" /stext=" 23:.+((SYSTEM_STATE.+slice.+state.+changed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18"/>
        <v>"%USERPROFILE%\Documents\GitHub\eaglep3\Utilities\RefineRTDCRunTimes.py" --tripid 203-14 --locoid 4046 --swversion DE.1.0.9.0 --startMP 204:460 --initTime 2017-05-14T16:26:49 --startdatetime 2017-05-14T16:30:38 --delay 1 --endMP 204:233321 --enddatetime 2017-05-14T17:08:41 --enforcementcount 0 &gt;&gt;C:\Users\stu\Documents\GitHub\eaglep3-reporting\EC\2017-05-14-refined-times.txt</v>
      </c>
      <c r="AI114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{"issue":{"subject":"","project_id":79,"tracker_id":40,"status_id":1,"priority_id":2,"assigned_to_id":23,"start_date":"2017-05-14","description":"","custom_fields":[{"id":1,"name":"Subdivision","value":"EC"},{"id":4,"name":"Milepost","value":"23.3321"},{"id":17,"name":"Train ID","value":"203-14"},{"id":16,"name":"Locomotive ID","value":"4046"},{"id":130,"name":"Impact","value":""},{"id":150,"name":"Time of Event (Mountain Time)","value":"17:08:41"},{"id":151,"name":"Denver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20"/>
        <v>start /low /b %USERPROFILE%\Documents\GitHub\eaglep3\Utilities\DownloadLogsFromS3.py --loco 4046 --day 2017-05-14</v>
      </c>
      <c r="AN114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765</v>
      </c>
      <c r="B115" s="7">
        <v>4045</v>
      </c>
      <c r="C115" s="21" t="s">
        <v>206</v>
      </c>
      <c r="D115" s="21" t="s">
        <v>838</v>
      </c>
      <c r="E115" s="13">
        <v>42869.724166666667</v>
      </c>
      <c r="F115" s="13">
        <v>42869.726689814815</v>
      </c>
      <c r="G115" s="7">
        <v>0</v>
      </c>
      <c r="H115" s="21" t="s">
        <v>893</v>
      </c>
      <c r="I115" s="13">
        <v>42869.754652777781</v>
      </c>
      <c r="J115" s="7">
        <v>0</v>
      </c>
      <c r="K115" s="92" t="str">
        <f>IF(ISEVEN(B115),(B115-1)&amp;"/"&amp;B115,B115&amp;"/"&amp;(B115+1))</f>
        <v>4045/4046</v>
      </c>
      <c r="L115" s="21" t="str">
        <f>VLOOKUP(A115,'Trips&amp;Operators'!$C$1:$G$99999,5,FALSE)</f>
        <v>DAVIS MICHAEL</v>
      </c>
      <c r="M115" s="6">
        <f>I115-F115</f>
        <v>2.7962962965830229E-2</v>
      </c>
      <c r="N115" s="7">
        <f>24*60*SUM($M115:$M115)</f>
        <v>40.26666667079553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-14T16:22:48-0600',mode:absolute,to:'2017-05-14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23.3002</v>
      </c>
      <c r="Z115" s="192">
        <f>RIGHT(H115,LEN(H115)-4)/10000</f>
        <v>1.32E-2</v>
      </c>
      <c r="AA115" s="192">
        <f>ABS(Z115-Y115)</f>
        <v>23.286999999999999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0204-14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/stypes="app*4045*20170515*" /stext=" 00:.+((SYSTEM_STATE.+slice.+state.+changed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18"/>
        <v>"%USERPROFILE%\Documents\GitHub\eaglep3\Utilities\RefineRTDCRunTimes.py" --tripid 204-14 --locoid 4045 --swversion DE.1.0.9.0 --startMP 204:233002 --initTime 2017-05-14T17:22:48 --startdatetime 2017-05-14T17:26:26 --delay 0 --endMP 204:132 --enddatetime 2017-05-14T18:06:42 --enforcementcount 0 &gt;&gt;C:\Users\stu\Documents\GitHub\eaglep3-reporting\EC\2017-05-14-refined-times.txt</v>
      </c>
      <c r="AI11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{"issue":{"subject":"","project_id":79,"tracker_id":40,"status_id":1,"priority_id":2,"assigned_to_id":23,"start_date":"2017-05-14","description":"","custom_fields":[{"id":1,"name":"Subdivision","value":"EC"},{"id":4,"name":"Milepost","value":"0.0132"},{"id":17,"name":"Train ID","value":"204-14"},{"id":16,"name":"Locomotive ID","value":"4045"},{"id":130,"name":"Impact","value":""},{"id":150,"name":"Time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20"/>
        <v>start /low /b %USERPROFILE%\Documents\GitHub\eaglep3\Utilities\DownloadLogsFromS3.py --loco 4045 --day 2017-05-14</v>
      </c>
      <c r="AN115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757</v>
      </c>
      <c r="B116" s="7">
        <v>4002</v>
      </c>
      <c r="C116" s="21" t="s">
        <v>206</v>
      </c>
      <c r="D116" s="21" t="s">
        <v>347</v>
      </c>
      <c r="E116" s="13">
        <v>42869.695891203701</v>
      </c>
      <c r="F116" s="13">
        <v>42869.698101851849</v>
      </c>
      <c r="G116" s="7">
        <v>1</v>
      </c>
      <c r="H116" s="21" t="s">
        <v>950</v>
      </c>
      <c r="I116" s="13">
        <v>42869.722592592596</v>
      </c>
      <c r="J116" s="7">
        <v>0</v>
      </c>
      <c r="K116" s="92" t="str">
        <f>IF(ISEVEN(B116),(B116-1)&amp;"/"&amp;B116,B116&amp;"/"&amp;(B116+1))</f>
        <v>4001/4002</v>
      </c>
      <c r="L116" s="21" t="str">
        <f>VLOOKUP(A116,'Trips&amp;Operators'!$C$1:$G$99999,5,FALSE)</f>
        <v>LEVIN SCOTT</v>
      </c>
      <c r="M116" s="6">
        <f>I116-F116</f>
        <v>2.4490740746841766E-2</v>
      </c>
      <c r="N116" s="7">
        <f>24*60*SUM($M116:$M116)</f>
        <v>35.266666675452143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-14T15:42:05-0600',mode:absolute,to:'2017-05-14T18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4.4900000000000002E-2</v>
      </c>
      <c r="Z116" s="192">
        <f>RIGHT(H116,LEN(H116)-4)/10000</f>
        <v>23.337</v>
      </c>
      <c r="AA116" s="192">
        <f>ABS(Z116-Y116)</f>
        <v>23.292100000000001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0205-14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/stypes="app*4002*20170514*" /stext=" 23:.+((SYSTEM_STATE.+slice.+state.+changed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18"/>
        <v>"%USERPROFILE%\Documents\GitHub\eaglep3\Utilities\RefineRTDCRunTimes.py" --tripid 205-14 --locoid 4002 --swversion DE.1.0.9.0 --startMP 204:449 --initTime 2017-05-14T16:42:05 --startdatetime 2017-05-14T16:45:16 --delay 1 --endMP 204:233370 --enddatetime 2017-05-14T17:20:32 --enforcementcount 0 &gt;&gt;C:\Users\stu\Documents\GitHub\eaglep3-reporting\EC\2017-05-14-refined-times.txt</v>
      </c>
      <c r="AI11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{"issue":{"subject":"","project_id":79,"tracker_id":40,"status_id":1,"priority_id":2,"assigned_to_id":23,"start_date":"2017-05-14","description":"","custom_fields":[{"id":1,"name":"Subdivision","value":"EC"},{"id":4,"name":"Milepost","value":"23.337"},{"id":17,"name":"Train ID","value":"205-14"},{"id":16,"name":"Locomotive ID","value":"4002"},{"id":130,"name":"Impact","value":""},{"id":150,"name":"Time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20"/>
        <v>start /low /b %USERPROFILE%\Documents\GitHub\eaglep3\Utilities\DownloadLogsFromS3.py --loco 4002 --day 2017-05-14</v>
      </c>
      <c r="AN116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768</v>
      </c>
      <c r="B117" s="7">
        <v>4001</v>
      </c>
      <c r="C117" s="21" t="s">
        <v>206</v>
      </c>
      <c r="D117" s="21" t="s">
        <v>881</v>
      </c>
      <c r="E117" s="13">
        <v>42869.734826388885</v>
      </c>
      <c r="F117" s="13">
        <v>42869.73710648148</v>
      </c>
      <c r="G117" s="7">
        <v>1</v>
      </c>
      <c r="H117" s="21" t="s">
        <v>372</v>
      </c>
      <c r="I117" s="13">
        <v>42869.76295138889</v>
      </c>
      <c r="J117" s="7">
        <v>0</v>
      </c>
      <c r="K117" s="92" t="str">
        <f>IF(ISEVEN(B117),(B117-1)&amp;"/"&amp;B117,B117&amp;"/"&amp;(B117+1))</f>
        <v>4001/4002</v>
      </c>
      <c r="L117" s="21" t="str">
        <f>VLOOKUP(A117,'Trips&amp;Operators'!$C$1:$G$99999,5,FALSE)</f>
        <v>LEVIN SCOTT</v>
      </c>
      <c r="M117" s="6">
        <f>I117-F117</f>
        <v>2.584490740991896E-2</v>
      </c>
      <c r="N117" s="7">
        <f>24*60*SUM($M117:$M117)</f>
        <v>37.216666670283303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-14T16:38:09-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23.3034</v>
      </c>
      <c r="Z117" s="192">
        <f>RIGHT(H117,LEN(H117)-4)/10000</f>
        <v>1.3899999999999999E-2</v>
      </c>
      <c r="AA117" s="192">
        <f>ABS(Z117-Y117)</f>
        <v>23.2895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0206-14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/stypes="app*4001*20170515*" /stext=" 00:.+((SYSTEM_STATE.+slice.+state.+changed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18"/>
        <v>"%USERPROFILE%\Documents\GitHub\eaglep3\Utilities\RefineRTDCRunTimes.py" --tripid 206-14 --locoid 4001 --swversion DE.1.0.9.0 --startMP 204:233034 --initTime 2017-05-14T17:38:09 --startdatetime 2017-05-14T17:41:26 --delay 1 --endMP 204:139 --enddatetime 2017-05-14T18:18:39 --enforcementcount 0 &gt;&gt;C:\Users\stu\Documents\GitHub\eaglep3-reporting\EC\2017-05-14-refined-times.txt</v>
      </c>
      <c r="AI11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{"issue":{"subject":"","project_id":79,"tracker_id":40,"status_id":1,"priority_id":2,"assigned_to_id":23,"start_date":"2017-05-14","description":"","custom_fields":[{"id":1,"name":"Subdivision","value":"EC"},{"id":4,"name":"Milepost","value":"0.0139"},{"id":17,"name":"Train ID","value":"206-14"},{"id":16,"name":"Locomotive ID","value":"4001"},{"id":130,"name":"Impact","value":""},{"id":150,"name":"Time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20"/>
        <v>start /low /b %USERPROFILE%\Documents\GitHub\eaglep3\Utilities\DownloadLogsFromS3.py --loco 4001 --day 2017-05-14</v>
      </c>
      <c r="AN117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761</v>
      </c>
      <c r="B118" s="7">
        <v>4032</v>
      </c>
      <c r="C118" s="21" t="s">
        <v>206</v>
      </c>
      <c r="D118" s="21" t="s">
        <v>429</v>
      </c>
      <c r="E118" s="13">
        <v>42869.705428240741</v>
      </c>
      <c r="F118" s="13">
        <v>42869.708668981482</v>
      </c>
      <c r="G118" s="7">
        <v>1</v>
      </c>
      <c r="H118" s="21" t="s">
        <v>951</v>
      </c>
      <c r="I118" s="13">
        <v>42869.733680555553</v>
      </c>
      <c r="J118" s="7">
        <v>0</v>
      </c>
      <c r="K118" s="92" t="str">
        <f>IF(ISEVEN(B118),(B118-1)&amp;"/"&amp;B118,B118&amp;"/"&amp;(B118+1))</f>
        <v>4031/4032</v>
      </c>
      <c r="L118" s="21" t="str">
        <f>VLOOKUP(A118,'Trips&amp;Operators'!$C$1:$G$99999,5,FALSE)</f>
        <v>SAFIEF AEIMEN</v>
      </c>
      <c r="M118" s="6">
        <f>I118-F118</f>
        <v>2.5011574070958886E-2</v>
      </c>
      <c r="N118" s="7">
        <f>24*60*SUM($M118:$M118)</f>
        <v>36.016666662180796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-14T15:55:49-0600',mode:absolute,to:'2017-05-14T18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4.3299999999999998E-2</v>
      </c>
      <c r="Z118" s="192">
        <f>RIGHT(H118,LEN(H118)-4)/10000</f>
        <v>23.339700000000001</v>
      </c>
      <c r="AA118" s="192">
        <f>ABS(Z118-Y118)</f>
        <v>23.296400000000002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0207-14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/stypes="app*4032*20170514*"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18"/>
        <v>"%USERPROFILE%\Documents\GitHub\eaglep3\Utilities\RefineRTDCRunTimes.py" --tripid 207-14 --locoid 4032 --swversion DE.1.0.9.0 --startMP 204:433 --initTime 2017-05-14T16:55:49 --startdatetime 2017-05-14T17:00:29 --delay 1 --endMP 204:233397 --enddatetime 2017-05-14T17:36:30 --enforcementcount 0 &gt;&gt;C:\Users\stu\Documents\GitHub\eaglep3-reporting\EC\2017-05-14-refined-times.txt</v>
      </c>
      <c r="AI11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{"issue":{"subject":"","project_id":79,"tracker_id":40,"status_id":1,"priority_id":2,"assigned_to_id":23,"start_date":"2017-05-14","description":"","custom_fields":[{"id":1,"name":"Subdivision","value":"EC"},{"id":4,"name":"Milepost","value":"23.3397"},{"id":17,"name":"Train ID","value":"207-14"},{"id":16,"name":"Locomotive ID","value":"4032"},{"id":130,"name":"Impact","value":""},{"id":150,"name":"Time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20"/>
        <v>start /low /b %USERPROFILE%\Documents\GitHub\eaglep3\Utilities\DownloadLogsFromS3.py --loco 4032 --day 2017-05-14</v>
      </c>
      <c r="AN118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769</v>
      </c>
      <c r="B119" s="7">
        <v>4031</v>
      </c>
      <c r="C119" s="21" t="s">
        <v>206</v>
      </c>
      <c r="D119" s="21" t="s">
        <v>881</v>
      </c>
      <c r="E119" s="13">
        <v>42869.736481481479</v>
      </c>
      <c r="F119" s="13">
        <v>42869.747407407405</v>
      </c>
      <c r="G119" s="7">
        <v>1</v>
      </c>
      <c r="H119" s="21" t="s">
        <v>197</v>
      </c>
      <c r="I119" s="13">
        <v>42869.773831018516</v>
      </c>
      <c r="J119" s="7">
        <v>0</v>
      </c>
      <c r="K119" s="92" t="str">
        <f>IF(ISEVEN(B119),(B119-1)&amp;"/"&amp;B119,B119&amp;"/"&amp;(B119+1))</f>
        <v>4031/4032</v>
      </c>
      <c r="L119" s="21" t="str">
        <f>VLOOKUP(A119,'Trips&amp;Operators'!$C$1:$G$99999,5,FALSE)</f>
        <v>SAFIEF AEIMEN</v>
      </c>
      <c r="M119" s="6">
        <f>I119-F119</f>
        <v>2.6423611110658385E-2</v>
      </c>
      <c r="N119" s="7">
        <f>24*60*SUM($M119:$M119)</f>
        <v>38.049999999348074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-14T16:40:32-0600',mode:absolute,to:'2017-05-14T19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23.3034</v>
      </c>
      <c r="Z119" s="192">
        <f>RIGHT(H119,LEN(H119)-4)/10000</f>
        <v>1.52E-2</v>
      </c>
      <c r="AA119" s="192">
        <f>ABS(Z119-Y119)</f>
        <v>23.2882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0208-14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/stypes="app*4031*20170515*"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18"/>
        <v>"%USERPROFILE%\Documents\GitHub\eaglep3\Utilities\RefineRTDCRunTimes.py" --tripid 208-14 --locoid 4031 --swversion DE.1.0.9.0 --startMP 204:233034 --initTime 2017-05-14T17:40:32 --startdatetime 2017-05-14T17:56:16 --delay 1 --endMP 204:152 --enddatetime 2017-05-14T18:34:19 --enforcementcount 0 &gt;&gt;C:\Users\stu\Documents\GitHub\eaglep3-reporting\EC\2017-05-14-refined-times.txt</v>
      </c>
      <c r="AI11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ID","value":"208-14"},{"id":16,"name":"Locomotive ID","value":"4031"},{"id":130,"name":"Impact","value":""},{"id":150,"name":"Time of Event (Mountain Time)","value":"18:34:19"},{"id":151,"name":"Denver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20"/>
        <v>start /low /b %USERPROFILE%\Documents\GitHub\eaglep3\Utilities\DownloadLogsFromS3.py --loco 4031 --day 2017-05-14</v>
      </c>
      <c r="AN119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762</v>
      </c>
      <c r="B120" s="7">
        <v>4012</v>
      </c>
      <c r="C120" s="21" t="s">
        <v>206</v>
      </c>
      <c r="D120" s="21" t="s">
        <v>371</v>
      </c>
      <c r="E120" s="13">
        <v>42869.717361111114</v>
      </c>
      <c r="F120" s="13">
        <v>42869.718958333331</v>
      </c>
      <c r="G120" s="7">
        <v>1</v>
      </c>
      <c r="H120" s="21" t="s">
        <v>384</v>
      </c>
      <c r="I120" s="13">
        <v>42869.744768518518</v>
      </c>
      <c r="J120" s="7">
        <v>0</v>
      </c>
      <c r="K120" s="92" t="str">
        <f>IF(ISEVEN(B120),(B120-1)&amp;"/"&amp;B120,B120&amp;"/"&amp;(B120+1))</f>
        <v>4011/4012</v>
      </c>
      <c r="L120" s="21" t="str">
        <f>VLOOKUP(A120,'Trips&amp;Operators'!$C$1:$G$99999,5,FALSE)</f>
        <v>CHANDLER KELVIN</v>
      </c>
      <c r="M120" s="6">
        <f>I120-F120</f>
        <v>2.5810185186855961E-2</v>
      </c>
      <c r="N120" s="7">
        <f>24*60*SUM($M120:$M120)</f>
        <v>37.166666669072583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-14T16:13:00-0600',mode:absolute,to:'2017-05-14T18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4.4699999999999997E-2</v>
      </c>
      <c r="Z120" s="192">
        <f>RIGHT(H120,LEN(H120)-4)/10000</f>
        <v>23.330100000000002</v>
      </c>
      <c r="AA120" s="192">
        <f>ABS(Z120-Y120)</f>
        <v>23.285400000000003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0209-14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/stypes="app*4012*20170514*" /stext=" 23:.+((SYSTEM_STATE.+slice.+state.+changed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18"/>
        <v>"%USERPROFILE%\Documents\GitHub\eaglep3\Utilities\RefineRTDCRunTimes.py" --tripid 209-14 --locoid 4012 --swversion DE.1.0.9.0 --startMP 204:447 --initTime 2017-05-14T17:13:00 --startdatetime 2017-05-14T17:15:18 --delay 1 --endMP 204:233301 --enddatetime 2017-05-14T17:52:28 --enforcementcount 0 &gt;&gt;C:\Users\stu\Documents\GitHub\eaglep3-reporting\EC\2017-05-14-refined-times.txt</v>
      </c>
      <c r="AI12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{"issue":{"subject":"","project_id":79,"tracker_id":40,"status_id":1,"priority_id":2,"assigned_to_id":23,"start_date":"2017-05-14","description":"","custom_fields":[{"id":1,"name":"Subdivision","value":"EC"},{"id":4,"name":"Milepost","value":"23.3301"},{"id":17,"name":"Train ID","value":"209-14"},{"id":16,"name":"Locomotive ID","value":"4012"},{"id":130,"name":"Impact","value":""},{"id":150,"name":"Time of Event (Mountain Time)","value":"17:52:28"},{"id":151,"name":"Denver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20"/>
        <v>start /low /b %USERPROFILE%\Documents\GitHub\eaglep3\Utilities\DownloadLogsFromS3.py --loco 4012 --day 2017-05-14</v>
      </c>
      <c r="AN120" s="154" t="str">
        <f t="shared" si="21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772</v>
      </c>
      <c r="B121" s="7">
        <v>4011</v>
      </c>
      <c r="C121" s="21" t="s">
        <v>206</v>
      </c>
      <c r="D121" s="21" t="s">
        <v>853</v>
      </c>
      <c r="E121" s="13">
        <v>42869.756168981483</v>
      </c>
      <c r="F121" s="13">
        <v>42869.757893518516</v>
      </c>
      <c r="G121" s="7">
        <v>1</v>
      </c>
      <c r="H121" s="21" t="s">
        <v>359</v>
      </c>
      <c r="I121" s="13">
        <v>42869.786030092589</v>
      </c>
      <c r="J121" s="7">
        <v>0</v>
      </c>
      <c r="K121" s="92" t="str">
        <f>IF(ISEVEN(B121),(B121-1)&amp;"/"&amp;B121,B121&amp;"/"&amp;(B121+1))</f>
        <v>4011/4012</v>
      </c>
      <c r="L121" s="21" t="str">
        <f>VLOOKUP(A121,'Trips&amp;Operators'!$C$1:$G$99999,5,FALSE)</f>
        <v>CHANDLER KELVIN</v>
      </c>
      <c r="M121" s="6">
        <f>I121-F121</f>
        <v>2.8136574073869269E-2</v>
      </c>
      <c r="N121" s="7">
        <f>24*60*SUM($M121:$M121)</f>
        <v>40.516666666371748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-14T17:08:53-0600',mode:absolute,to:'2017-05-14T19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23.298200000000001</v>
      </c>
      <c r="Z121" s="192">
        <f>RIGHT(H121,LEN(H121)-4)/10000</f>
        <v>1.49E-2</v>
      </c>
      <c r="AA121" s="192">
        <f>ABS(Z121-Y121)</f>
        <v>23.283300000000001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0210-14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/stypes="app*4011*20170515*"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18"/>
        <v>"%USERPROFILE%\Documents\GitHub\eaglep3\Utilities\RefineRTDCRunTimes.py" --tripid 210-14 --locoid 4011 --swversion DE.1.0.9.0 --startMP 204:232982 --initTime 2017-05-14T18:08:53 --startdatetime 2017-05-14T18:11:22 --delay 1 --endMP 204:149 --enddatetime 2017-05-14T18:51:53 --enforcementcount 0 &gt;&gt;C:\Users\stu\Documents\GitHub\eaglep3-reporting\EC\2017-05-14-refined-times.txt</v>
      </c>
      <c r="AI12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{"issue":{"subject":"","project_id":79,"tracker_id":40,"status_id":1,"priority_id":2,"assigned_to_id":23,"start_date":"2017-05-14","description":"","custom_fields":[{"id":1,"name":"Subdivision","value":"EC"},{"id":4,"name":"Milepost","value":"0.0149"},{"id":17,"name":"Train ID","value":"210-14"},{"id":16,"name":"Locomotive ID","value":"4011"},{"id":130,"name":"Impact","value":""},{"id":150,"name":"Time of Event (Mountain Time)","value":"18:51:53"},{"id":151,"name":"Denver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20"/>
        <v>start /low /b %USERPROFILE%\Documents\GitHub\eaglep3\Utilities\DownloadLogsFromS3.py --loco 4011 --day 2017-05-14</v>
      </c>
      <c r="AN121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764</v>
      </c>
      <c r="B122" s="7">
        <v>4016</v>
      </c>
      <c r="C122" s="21" t="s">
        <v>206</v>
      </c>
      <c r="D122" s="21" t="s">
        <v>476</v>
      </c>
      <c r="E122" s="13">
        <v>42869.723009259258</v>
      </c>
      <c r="F122" s="13">
        <v>42869.729317129626</v>
      </c>
      <c r="G122" s="7">
        <v>1</v>
      </c>
      <c r="H122" s="21" t="s">
        <v>950</v>
      </c>
      <c r="I122" s="13">
        <v>42869.753692129627</v>
      </c>
      <c r="J122" s="7">
        <v>0</v>
      </c>
      <c r="K122" s="92" t="str">
        <f>IF(ISEVEN(B122),(B122-1)&amp;"/"&amp;B122,B122&amp;"/"&amp;(B122+1))</f>
        <v>4015/4016</v>
      </c>
      <c r="L122" s="21" t="str">
        <f>VLOOKUP(A122,'Trips&amp;Operators'!$C$1:$G$99999,5,FALSE)</f>
        <v>LALONDE GREGORY</v>
      </c>
      <c r="M122" s="6">
        <f>I122-F122</f>
        <v>2.4375000000873115E-2</v>
      </c>
      <c r="N122" s="7">
        <f>24*60*SUM($M122:$M122)</f>
        <v>35.100000001257285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-14T16:21:08-0600',mode:absolute,to:'2017-05-14T19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4.2700000000000002E-2</v>
      </c>
      <c r="Z122" s="192">
        <f>RIGHT(H122,LEN(H122)-4)/10000</f>
        <v>23.337</v>
      </c>
      <c r="AA122" s="192">
        <f>ABS(Z122-Y122)</f>
        <v>23.2943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0211-14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/stypes="app*4016*20170515*" /stext=" 00:.+((SYSTEM_STATE.+slice.+state.+changed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18"/>
        <v>"%USERPROFILE%\Documents\GitHub\eaglep3\Utilities\RefineRTDCRunTimes.py" --tripid 211-14 --locoid 4016 --swversion DE.1.0.9.0 --startMP 204:427 --initTime 2017-05-14T17:21:08 --startdatetime 2017-05-14T17:30:13 --delay 1 --endMP 204:233370 --enddatetime 2017-05-14T18:05:19 --enforcementcount 0 &gt;&gt;C:\Users\stu\Documents\GitHub\eaglep3-reporting\EC\2017-05-14-refined-times.txt</v>
      </c>
      <c r="AI12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{"issue":{"subject":"","project_id":79,"tracker_id":40,"status_id":1,"priority_id":2,"assigned_to_id":23,"start_date":"2017-05-14","description":"","custom_fields":[{"id":1,"name":"Subdivision","value":"EC"},{"id":4,"name":"Milepost","value":"23.337"},{"id":17,"name":"Train ID","value":"211-14"},{"id":16,"name":"Locomotive ID","value":"4016"},{"id":130,"name":"Impact","value":""},{"id":150,"name":"Time of Event (Mountain Time)","value":"18:05:19"},{"id":151,"name":"Denver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20"/>
        <v>start /low /b %USERPROFILE%\Documents\GitHub\eaglep3\Utilities\DownloadLogsFromS3.py --loco 4016 --day 2017-05-14</v>
      </c>
      <c r="AN122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773</v>
      </c>
      <c r="B123" s="7">
        <v>4015</v>
      </c>
      <c r="C123" s="21" t="s">
        <v>206</v>
      </c>
      <c r="D123" s="21" t="s">
        <v>952</v>
      </c>
      <c r="E123" s="13">
        <v>42869.756851851853</v>
      </c>
      <c r="F123" s="13">
        <v>42869.768252314818</v>
      </c>
      <c r="G123" s="7">
        <v>1</v>
      </c>
      <c r="H123" s="21" t="s">
        <v>197</v>
      </c>
      <c r="I123" s="13">
        <v>42869.793645833335</v>
      </c>
      <c r="J123" s="7">
        <v>0</v>
      </c>
      <c r="K123" s="92" t="str">
        <f>IF(ISEVEN(B123),(B123-1)&amp;"/"&amp;B123,B123&amp;"/"&amp;(B123+1))</f>
        <v>4015/4016</v>
      </c>
      <c r="L123" s="21" t="str">
        <f>VLOOKUP(A123,'Trips&amp;Operators'!$C$1:$G$99999,5,FALSE)</f>
        <v>LALONDE GREGORY</v>
      </c>
      <c r="M123" s="6">
        <f>I123-F123</f>
        <v>2.5393518517375924E-2</v>
      </c>
      <c r="N123" s="7">
        <f>24*60*SUM($M123:$M123)</f>
        <v>36.56666666502133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-14T17:09:52-0600',mode:absolute,to:'2017-05-14T20:02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23.307200000000002</v>
      </c>
      <c r="Z123" s="192">
        <f>RIGHT(H123,LEN(H123)-4)/10000</f>
        <v>1.52E-2</v>
      </c>
      <c r="AA123" s="192">
        <f>ABS(Z123-Y123)</f>
        <v>23.292000000000002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0212-14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/stypes="app*4015*20170515*" /stext=" 01:.+((SYSTEM_STATE.+slice.+state.+changed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18"/>
        <v>"%USERPROFILE%\Documents\GitHub\eaglep3\Utilities\RefineRTDCRunTimes.py" --tripid 212-14 --locoid 4015 --swversion DE.1.0.9.0 --startMP 204:233072 --initTime 2017-05-14T18:09:52 --startdatetime 2017-05-14T18:26:17 --delay 1 --endMP 204:152 --enddatetime 2017-05-14T19:02:51 --enforcementcount 0 &gt;&gt;C:\Users\stu\Documents\GitHub\eaglep3-reporting\EC\2017-05-14-refined-times.txt</v>
      </c>
      <c r="AI12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{"issue":{"subject":"","project_id":79,"tracker_id":40,"status_id":1,"priority_id":2,"assigned_to_id":23,"start_date":"2017-05-14","description":"","custom_fields":[{"id":1,"name":"Subdivision","value":"EC"},{"id":4,"name":"Milepost","value":"0.0152"},{"id":17,"name":"Train ID","value":"212-14"},{"id":16,"name":"Locomotive ID","value":"4015"},{"id":130,"name":"Impact","value":""},{"id":150,"name":"Time of Event (Mountain Time)","value":"19:02:51"},{"id":151,"name":"Denver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20"/>
        <v>start /low /b %USERPROFILE%\Documents\GitHub\eaglep3\Utilities\DownloadLogsFromS3.py --loco 4015 --day 2017-05-14</v>
      </c>
      <c r="AN123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01:02:51"},{"id":29,"name":"Sharepoint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770</v>
      </c>
      <c r="B124" s="7">
        <v>4006</v>
      </c>
      <c r="C124" s="21" t="s">
        <v>206</v>
      </c>
      <c r="D124" s="21" t="s">
        <v>432</v>
      </c>
      <c r="E124" s="13">
        <v>42869.736990740741</v>
      </c>
      <c r="F124" s="13">
        <v>42869.739733796298</v>
      </c>
      <c r="G124" s="7">
        <v>1</v>
      </c>
      <c r="H124" s="21" t="s">
        <v>430</v>
      </c>
      <c r="I124" s="13">
        <v>42869.76462962963</v>
      </c>
      <c r="J124" s="7">
        <v>0</v>
      </c>
      <c r="K124" s="92" t="str">
        <f>IF(ISEVEN(B124),(B124-1)&amp;"/"&amp;B124,B124&amp;"/"&amp;(B124+1))</f>
        <v>4005/4006</v>
      </c>
      <c r="L124" s="21" t="str">
        <f>VLOOKUP(A124,'Trips&amp;Operators'!$C$1:$G$99999,5,FALSE)</f>
        <v>NEWELL JAMES</v>
      </c>
      <c r="M124" s="6">
        <f>I124-F124</f>
        <v>2.4895833332266193E-2</v>
      </c>
      <c r="N124" s="7">
        <f>24*60*SUM($M124:$M124)</f>
        <v>35.849999998463318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-14T16:41:16-0600',mode:absolute,to:'2017-05-14T19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4.7699999999999999E-2</v>
      </c>
      <c r="Z124" s="192">
        <f>RIGHT(H124,LEN(H124)-4)/10000</f>
        <v>23.3293</v>
      </c>
      <c r="AA124" s="192">
        <f>ABS(Z124-Y124)</f>
        <v>23.281600000000001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0213-14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/stypes="app*4006*20170515*" /stext=" 00:.+((SYSTEM_STATE.+slice.+state.+changed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18"/>
        <v>"%USERPROFILE%\Documents\GitHub\eaglep3\Utilities\RefineRTDCRunTimes.py" --tripid 213-14 --locoid 4006 --swversion DE.1.0.9.0 --startMP 204:477 --initTime 2017-05-14T17:41:16 --startdatetime 2017-05-14T17:45:13 --delay 1 --endMP 204:233293 --enddatetime 2017-05-14T18:21:04 --enforcementcount 0 &gt;&gt;C:\Users\stu\Documents\GitHub\eaglep3-reporting\EC\2017-05-14-refined-times.txt</v>
      </c>
      <c r="AI124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{"issue":{"subject":"","project_id":79,"tracker_id":40,"status_id":1,"priority_id":2,"assigned_to_id":23,"start_date":"2017-05-14","description":"","custom_fields":[{"id":1,"name":"Subdivision","value":"EC"},{"id":4,"name":"Milepost","value":"23.3293"},{"id":17,"name":"Train ID","value":"213-14"},{"id":16,"name":"Locomotive ID","value":"4006"},{"id":130,"name":"Impact","value":""},{"id":150,"name":"Time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20"/>
        <v>start /low /b %USERPROFILE%\Documents\GitHub\eaglep3\Utilities\DownloadLogsFromS3.py --loco 4006 --day 2017-05-14</v>
      </c>
      <c r="AN124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778</v>
      </c>
      <c r="B125" s="7">
        <v>4005</v>
      </c>
      <c r="C125" s="21" t="s">
        <v>206</v>
      </c>
      <c r="D125" s="21" t="s">
        <v>448</v>
      </c>
      <c r="E125" s="13">
        <v>42869.770567129628</v>
      </c>
      <c r="F125" s="13">
        <v>42869.778622685182</v>
      </c>
      <c r="G125" s="7">
        <v>1</v>
      </c>
      <c r="H125" s="21" t="s">
        <v>360</v>
      </c>
      <c r="I125" s="13">
        <v>42869.804467592592</v>
      </c>
      <c r="J125" s="7">
        <v>0</v>
      </c>
      <c r="K125" s="92" t="str">
        <f>IF(ISEVEN(B125),(B125-1)&amp;"/"&amp;B125,B125&amp;"/"&amp;(B125+1))</f>
        <v>4005/4006</v>
      </c>
      <c r="L125" s="21" t="str">
        <f>VLOOKUP(A125,'Trips&amp;Operators'!$C$1:$G$99999,5,FALSE)</f>
        <v>NEWELL JAMES</v>
      </c>
      <c r="M125" s="6">
        <f>I125-F125</f>
        <v>2.584490740991896E-2</v>
      </c>
      <c r="N125" s="7">
        <f>24*60*SUM($M125:$M125)</f>
        <v>37.216666670283303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-14T17:29:37-0600',mode:absolute,to:'2017-05-14T20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23.2973</v>
      </c>
      <c r="Z125" s="192">
        <f>RIGHT(H125,LEN(H125)-4)/10000</f>
        <v>1.43E-2</v>
      </c>
      <c r="AA125" s="192">
        <f>ABS(Z125-Y125)</f>
        <v>23.283000000000001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0214-14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/stypes="app*4005*20170515*" /stext=" 01:.+((SYSTEM_STATE.+slice.+state.+changed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18"/>
        <v>"%USERPROFILE%\Documents\GitHub\eaglep3\Utilities\RefineRTDCRunTimes.py" --tripid 214-14 --locoid 4005 --swversion DE.1.0.9.0 --startMP 204:232973 --initTime 2017-05-14T18:29:37 --startdatetime 2017-05-14T18:41:13 --delay 1 --endMP 204:143 --enddatetime 2017-05-14T19:18:26 --enforcementcount 0 &gt;&gt;C:\Users\stu\Documents\GitHub\eaglep3-reporting\EC\2017-05-14-refined-times.txt</v>
      </c>
      <c r="AI12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{"issue":{"subject":"","project_id":79,"tracker_id":40,"status_id":1,"priority_id":2,"assigned_to_id":23,"start_date":"2017-05-14","description":"","custom_fields":[{"id":1,"name":"Subdivision","value":"EC"},{"id":4,"name":"Milepost","value":"0.0143"},{"id":17,"name":"Train ID","value":"214-14"},{"id":16,"name":"Locomotive ID","value":"4005"},{"id":130,"name":"Impact","value":""},{"id":150,"name":"Time of Event (Mountain Time)","value":"19:18:26"},{"id":151,"name":"Denver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20"/>
        <v>start /low /b %USERPROFILE%\Documents\GitHub\eaglep3\Utilities\DownloadLogsFromS3.py --loco 4005 --day 2017-05-14</v>
      </c>
      <c r="AN125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771</v>
      </c>
      <c r="B126" s="7">
        <v>4018</v>
      </c>
      <c r="C126" s="21" t="s">
        <v>206</v>
      </c>
      <c r="D126" s="21" t="s">
        <v>366</v>
      </c>
      <c r="E126" s="13">
        <v>42869.742326388892</v>
      </c>
      <c r="F126" s="13">
        <v>42869.750185185185</v>
      </c>
      <c r="G126" s="7">
        <v>1</v>
      </c>
      <c r="H126" s="21" t="s">
        <v>840</v>
      </c>
      <c r="I126" s="13">
        <v>42869.776041666664</v>
      </c>
      <c r="J126" s="7">
        <v>0</v>
      </c>
      <c r="K126" s="92" t="str">
        <f>IF(ISEVEN(B126),(B126-1)&amp;"/"&amp;B126,B126&amp;"/"&amp;(B126+1))</f>
        <v>4017/4018</v>
      </c>
      <c r="L126" s="21" t="str">
        <f>VLOOKUP(A126,'Trips&amp;Operators'!$C$1:$G$99999,5,FALSE)</f>
        <v>BRANDNER MELINDA</v>
      </c>
      <c r="M126" s="6">
        <f>I126-F126</f>
        <v>2.5856481479422655E-2</v>
      </c>
      <c r="N126" s="7">
        <f>24*60*SUM($M126:$M126)</f>
        <v>37.233333330368623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-14T16:48:57-0600',mode:absolute,to:'2017-05-14T19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4.6399999999999997E-2</v>
      </c>
      <c r="Z126" s="192">
        <f>RIGHT(H126,LEN(H126)-4)/10000</f>
        <v>23.329499999999999</v>
      </c>
      <c r="AA126" s="192">
        <f>ABS(Z126-Y126)</f>
        <v>23.283100000000001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0215-14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/stypes="app*4018*20170515*"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18"/>
        <v>"%USERPROFILE%\Documents\GitHub\eaglep3\Utilities\RefineRTDCRunTimes.py" --tripid 215-14 --locoid 4018 --swversion DE.1.0.9.0 --startMP 204:464 --initTime 2017-05-14T17:48:57 --startdatetime 2017-05-14T18:00:16 --delay 1 --endMP 204:233295 --enddatetime 2017-05-14T18:37:30 --enforcementcount 0 &gt;&gt;C:\Users\stu\Documents\GitHub\eaglep3-reporting\EC\2017-05-14-refined-times.txt</v>
      </c>
      <c r="AI12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{"issue":{"subject":"","project_id":79,"tracker_id":40,"status_id":1,"priority_id":2,"assigned_to_id":23,"start_date":"2017-05-14","description":"","custom_fields":[{"id":1,"name":"Subdivision","value":"EC"},{"id":4,"name":"Milepost","value":"23.3295"},{"id":17,"name":"Train ID","value":"215-14"},{"id":16,"name":"Locomotive ID","value":"4018"},{"id":130,"name":"Impact","value":""},{"id":150,"name":"Time of Event (Mountain Time)","value":"18:37:30"},{"id":151,"name":"Denver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20"/>
        <v>start /low /b %USERPROFILE%\Documents\GitHub\eaglep3\Utilities\DownloadLogsFromS3.py --loco 4018 --day 2017-05-14</v>
      </c>
      <c r="AN126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617</v>
      </c>
      <c r="B127" s="7">
        <v>4017</v>
      </c>
      <c r="C127" s="21" t="s">
        <v>206</v>
      </c>
      <c r="D127" s="21" t="s">
        <v>858</v>
      </c>
      <c r="E127" s="13">
        <v>42869.785995370374</v>
      </c>
      <c r="F127" s="13">
        <v>42869.7891087963</v>
      </c>
      <c r="G127" s="7">
        <v>1</v>
      </c>
      <c r="H127" s="21" t="s">
        <v>372</v>
      </c>
      <c r="I127" s="13">
        <v>42869.816851851851</v>
      </c>
      <c r="J127" s="7">
        <v>0</v>
      </c>
      <c r="K127" s="92" t="str">
        <f>IF(ISEVEN(B127),(B127-1)&amp;"/"&amp;B127,B127&amp;"/"&amp;(B127+1))</f>
        <v>4017/4018</v>
      </c>
      <c r="L127" s="21" t="str">
        <f>VLOOKUP(A127,'Trips&amp;Operators'!$C$1:$G$99999,5,FALSE)</f>
        <v>BRANDNER MELINDA</v>
      </c>
      <c r="M127" s="6">
        <f>I127-F127</f>
        <v>2.774305555067258E-2</v>
      </c>
      <c r="N127" s="7">
        <f>24*60*SUM($M127:$M127)</f>
        <v>39.949999992968515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-14T17:51:50-0600',mode:absolute,to:'2017-05-14T20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23.298300000000001</v>
      </c>
      <c r="Z127" s="192">
        <f>RIGHT(H127,LEN(H127)-4)/10000</f>
        <v>1.3899999999999999E-2</v>
      </c>
      <c r="AA127" s="192">
        <f>ABS(Z127-Y127)</f>
        <v>23.284400000000002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0216-14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/stypes="app*4017*20170515*"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18"/>
        <v>"%USERPROFILE%\Documents\GitHub\eaglep3\Utilities\RefineRTDCRunTimes.py" --tripid 216-14 --locoid 4017 --swversion DE.1.0.9.0 --startMP 204:232983 --initTime 2017-05-14T18:51:50 --startdatetime 2017-05-14T18:56:19 --delay 1 --endMP 204:139 --enddatetime 2017-05-14T19:36:16 --enforcementcount 0 &gt;&gt;C:\Users\stu\Documents\GitHub\eaglep3-reporting\EC\2017-05-14-refined-times.txt</v>
      </c>
      <c r="AI12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{"issue":{"subject":"","project_id":79,"tracker_id":40,"status_id":1,"priority_id":2,"assigned_to_id":23,"start_date":"2017-05-14","description":"","custom_fields":[{"id":1,"name":"Subdivision","value":"EC"},{"id":4,"name":"Milepost","value":"0.0139"},{"id":17,"name":"Train ID","value":"216-14"},{"id":16,"name":"Locomotive ID","value":"4017"},{"id":130,"name":"Impact","value":""},{"id":150,"name":"Time of Event (Mountain Time)","value":"19:36:16"},{"id":151,"name":"Denver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20"/>
        <v>start /low /b %USERPROFILE%\Documents\GitHub\eaglep3\Utilities\DownloadLogsFromS3.py --loco 4017 --day 2017-05-14</v>
      </c>
      <c r="AN127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774</v>
      </c>
      <c r="B128" s="7">
        <v>4046</v>
      </c>
      <c r="C128" s="21" t="s">
        <v>206</v>
      </c>
      <c r="D128" s="21" t="s">
        <v>366</v>
      </c>
      <c r="E128" s="13">
        <v>42869.757418981484</v>
      </c>
      <c r="F128" s="13">
        <v>42869.760682870372</v>
      </c>
      <c r="G128" s="7">
        <v>2</v>
      </c>
      <c r="H128" s="21" t="s">
        <v>556</v>
      </c>
      <c r="I128" s="13">
        <v>42869.787291666667</v>
      </c>
      <c r="J128" s="7">
        <v>0</v>
      </c>
      <c r="K128" s="92" t="str">
        <f>IF(ISEVEN(B128),(B128-1)&amp;"/"&amp;B128,B128&amp;"/"&amp;(B128+1))</f>
        <v>4045/4046</v>
      </c>
      <c r="L128" s="21" t="str">
        <f>VLOOKUP(A128,'Trips&amp;Operators'!$C$1:$G$99999,5,FALSE)</f>
        <v>SMITH MICHAEL</v>
      </c>
      <c r="M128" s="6">
        <f>I128-F128</f>
        <v>2.6608796295477077E-2</v>
      </c>
      <c r="N128" s="7">
        <f>24*60*SUM($M128:$M128)</f>
        <v>38.316666665486991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-14T17:10:41-0600',mode:absolute,to:'2017-05-14T19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4.6399999999999997E-2</v>
      </c>
      <c r="Z128" s="192">
        <f>RIGHT(H128,LEN(H128)-4)/10000</f>
        <v>23.3291</v>
      </c>
      <c r="AA128" s="192">
        <f>ABS(Z128-Y128)</f>
        <v>23.282700000000002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0217-14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/stypes="app*4046*20170515*" /stext=" 00:.+((SYSTEM_STATE.+slice.+state.+changed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18"/>
        <v>"%USERPROFILE%\Documents\GitHub\eaglep3\Utilities\RefineRTDCRunTimes.py" --tripid 217-14 --locoid 4046 --swversion DE.1.0.9.0 --startMP 204:464 --initTime 2017-05-14T18:10:41 --startdatetime 2017-05-14T18:15:23 --delay 2 --endMP 204:233291 --enddatetime 2017-05-14T18:53:42 --enforcementcount 0 &gt;&gt;C:\Users\stu\Documents\GitHub\eaglep3-reporting\EC\2017-05-14-refined-times.txt</v>
      </c>
      <c r="AI12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{"issue":{"subject":"","project_id":79,"tracker_id":40,"status_id":1,"priority_id":2,"assigned_to_id":23,"start_date":"2017-05-14","description":"","custom_fields":[{"id":1,"name":"Subdivision","value":"EC"},{"id":4,"name":"Milepost","value":"23.3291"},{"id":17,"name":"Train ID","value":"217-14"},{"id":16,"name":"Locomotive ID","value":"4046"},{"id":130,"name":"Impact","value":""},{"id":150,"name":"Time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20"/>
        <v>start /low /b %USERPROFILE%\Documents\GitHub\eaglep3\Utilities\DownloadLogsFromS3.py --loco 4046 --day 2017-05-14</v>
      </c>
      <c r="AN128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782</v>
      </c>
      <c r="B129" s="7">
        <v>4045</v>
      </c>
      <c r="C129" s="21" t="s">
        <v>206</v>
      </c>
      <c r="D129" s="21" t="s">
        <v>448</v>
      </c>
      <c r="E129" s="13">
        <v>42869.792627314811</v>
      </c>
      <c r="F129" s="13">
        <v>42869.799629629626</v>
      </c>
      <c r="G129" s="7">
        <v>1</v>
      </c>
      <c r="H129" s="21" t="s">
        <v>475</v>
      </c>
      <c r="I129" s="13">
        <v>42869.826909722222</v>
      </c>
      <c r="J129" s="7">
        <v>0</v>
      </c>
      <c r="K129" s="92" t="str">
        <f>IF(ISEVEN(B129),(B129-1)&amp;"/"&amp;B129,B129&amp;"/"&amp;(B129+1))</f>
        <v>4045/4046</v>
      </c>
      <c r="L129" s="21" t="str">
        <f>VLOOKUP(A129,'Trips&amp;Operators'!$C$1:$G$99999,5,FALSE)</f>
        <v>SMITH MICHAEL</v>
      </c>
      <c r="M129" s="6">
        <f>I129-F129</f>
        <v>2.7280092595901806E-2</v>
      </c>
      <c r="N129" s="7">
        <f>24*60*SUM($M129:$M129)</f>
        <v>39.283333338098601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-14T18:01:23-0600',mode:absolute,to:'2017-05-14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23.2973</v>
      </c>
      <c r="Z129" s="192">
        <f>RIGHT(H129,LEN(H129)-4)/10000</f>
        <v>1.34E-2</v>
      </c>
      <c r="AA129" s="192">
        <f>ABS(Z129-Y129)</f>
        <v>23.283899999999999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0218-14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/stypes="app*4045*20170515*" /stext=" 01:.+((SYSTEM_STATE.+slice.+state.+changed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18"/>
        <v>"%USERPROFILE%\Documents\GitHub\eaglep3\Utilities\RefineRTDCRunTimes.py" --tripid 218-14 --locoid 4045 --swversion DE.1.0.9.0 --startMP 204:232973 --initTime 2017-05-14T19:01:23 --startdatetime 2017-05-14T19:11:28 --delay 1 --endMP 204:134 --enddatetime 2017-05-14T19:50:45 --enforcementcount 0 &gt;&gt;C:\Users\stu\Documents\GitHub\eaglep3-reporting\EC\2017-05-14-refined-times.txt</v>
      </c>
      <c r="AI12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{"issue":{"subject":"","project_id":79,"tracker_id":40,"status_id":1,"priority_id":2,"assigned_to_id":23,"start_date":"2017-05-14","description":"","custom_fields":[{"id":1,"name":"Subdivision","value":"EC"},{"id":4,"name":"Milepost","value":"0.0134"},{"id":17,"name":"Train ID","value":"218-14"},{"id":16,"name":"Locomotive ID","value":"4045"},{"id":130,"name":"Impact","value":""},{"id":150,"name":"Time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20"/>
        <v>start /low /b %USERPROFILE%\Documents\GitHub\eaglep3\Utilities\DownloadLogsFromS3.py --loco 4045 --day 2017-05-14</v>
      </c>
      <c r="AN129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776</v>
      </c>
      <c r="B130" s="7">
        <v>4002</v>
      </c>
      <c r="C130" s="21" t="s">
        <v>206</v>
      </c>
      <c r="D130" s="21" t="s">
        <v>953</v>
      </c>
      <c r="E130" s="13">
        <v>42869.765613425923</v>
      </c>
      <c r="F130" s="13">
        <v>42869.771145833336</v>
      </c>
      <c r="G130" s="7">
        <v>1</v>
      </c>
      <c r="H130" s="21" t="s">
        <v>954</v>
      </c>
      <c r="I130" s="13">
        <v>42869.795960648145</v>
      </c>
      <c r="J130" s="7">
        <v>0</v>
      </c>
      <c r="K130" s="92" t="str">
        <f>IF(ISEVEN(B130),(B130-1)&amp;"/"&amp;B130,B130&amp;"/"&amp;(B130+1))</f>
        <v>4001/4002</v>
      </c>
      <c r="L130" s="21" t="str">
        <f>VLOOKUP(A130,'Trips&amp;Operators'!$C$1:$G$99999,5,FALSE)</f>
        <v>STAMBAUGH JAMES</v>
      </c>
      <c r="M130" s="6">
        <f>I130-F130</f>
        <v>2.4814814809360541E-2</v>
      </c>
      <c r="N130" s="7">
        <f>24*60*SUM($M130:$M130)</f>
        <v>35.73333332547918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-14T17:22:29-0600',mode:absolute,to:'2017-05-14T20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4.2000000000000003E-2</v>
      </c>
      <c r="Z130" s="192">
        <f>RIGHT(H130,LEN(H130)-4)/10000</f>
        <v>23.344200000000001</v>
      </c>
      <c r="AA130" s="192">
        <f>ABS(Z130-Y130)</f>
        <v>23.302199999999999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0219-14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/stypes="app*4002*20170515*"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18"/>
        <v>"%USERPROFILE%\Documents\GitHub\eaglep3\Utilities\RefineRTDCRunTimes.py" --tripid 219-14 --locoid 4002 --swversion DE.1.0.9.0 --startMP 204:420 --initTime 2017-05-14T18:22:29 --startdatetime 2017-05-14T18:30:27 --delay 1 --endMP 204:233442 --enddatetime 2017-05-14T19:06:11 --enforcementcount 0 &gt;&gt;C:\Users\stu\Documents\GitHub\eaglep3-reporting\EC\2017-05-14-refined-times.txt</v>
      </c>
      <c r="AI13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{"issue":{"subject":"","project_id":79,"tracker_id":40,"status_id":1,"priority_id":2,"assigned_to_id":23,"start_date":"2017-05-14","description":"","custom_fields":[{"id":1,"name":"Subdivision","value":"EC"},{"id":4,"name":"Milepost","value":"23.3442"},{"id":17,"name":"Train ID","value":"219-14"},{"id":16,"name":"Locomotive ID","value":"4002"},{"id":130,"name":"Impact","value":""},{"id":150,"name":"Time of Event (Mountain Time)","value":"19:06:11"},{"id":151,"name":"Denver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20"/>
        <v>start /low /b %USERPROFILE%\Documents\GitHub\eaglep3\Utilities\DownloadLogsFromS3.py --loco 4002 --day 2017-05-14</v>
      </c>
      <c r="AN130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785</v>
      </c>
      <c r="B131" s="7">
        <v>4001</v>
      </c>
      <c r="C131" s="21" t="s">
        <v>206</v>
      </c>
      <c r="D131" s="21" t="s">
        <v>565</v>
      </c>
      <c r="E131" s="13">
        <v>42869.80777777778</v>
      </c>
      <c r="F131" s="13">
        <v>42869.81050925926</v>
      </c>
      <c r="G131" s="7">
        <v>2</v>
      </c>
      <c r="H131" s="21">
        <v>8.5347222222222232</v>
      </c>
      <c r="I131" s="13">
        <v>42869.835949074077</v>
      </c>
      <c r="J131" s="7">
        <v>0</v>
      </c>
      <c r="K131" s="92" t="str">
        <f>IF(ISEVEN(B131),(B131-1)&amp;"/"&amp;B131,B131&amp;"/"&amp;(B131+1))</f>
        <v>4001/4002</v>
      </c>
      <c r="L131" s="21" t="str">
        <f>VLOOKUP(A131,'Trips&amp;Operators'!$C$1:$G$99999,5,FALSE)</f>
        <v>STAMBAUGH JAMES</v>
      </c>
      <c r="M131" s="6">
        <f>I131-F131</f>
        <v>2.5439814817218576E-2</v>
      </c>
      <c r="N131" s="7">
        <f>24*60*SUM($M131:$M131)</f>
        <v>36.633333336794749</v>
      </c>
      <c r="O131" s="7"/>
      <c r="P131" s="7"/>
      <c r="Q131" s="22"/>
      <c r="R131" s="190"/>
      <c r="S131" s="196">
        <f>SUM(U131:U131)/IF(AG131="EC",12,1)</f>
        <v>0</v>
      </c>
      <c r="T131" s="190" t="str">
        <f>IF(ISEVEN(LEFT(AD131,4)),"Southbound","NorthBound")</f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0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-14T18:23:12-0600',mode:absolute,to:'2017-05-14T21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23.3125</v>
      </c>
      <c r="Z131" s="192">
        <f>RIGHT(H131,LEN(H131)-4)/10000</f>
        <v>47222222.222199999</v>
      </c>
      <c r="AA131" s="192">
        <f>ABS(Z131-Y131)</f>
        <v>47222198.909699999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0220-14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/stypes="app*4001*20170515*" /stext=" 02:.+((SYSTEM_STATE.+slice.+state.+changed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18"/>
        <v>"%USERPROFILE%\Documents\GitHub\eaglep3\Utilities\RefineRTDCRunTimes.py" --tripid 220-14 --locoid 4001 --swversion DE.1.0.9.0 --startMP 204:233125 --initTime 2017-05-14T19:23:12 --startdatetime 2017-05-14T19:27:08 --delay 2 --endMP 8.53472222222222 --enddatetime 2017-05-14T20:03:46 --enforcementcount 0 &gt;&gt;C:\Users\stu\Documents\GitHub\eaglep3-reporting\EC\2017-05-14-refined-times.txt</v>
      </c>
      <c r="AI13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47222222.2222"},{"id":17,"name":"Train ID","value":"220-14"},{"id":16,"name":"Locomotive ID","value":"4001"},{"id":130,"name":"Impact","value":""},{"id":150,"name":"Time of Event (Mountain Time)","value":"20:03:46"},{"id":151,"name":"Denver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20"/>
        <v>start /low /b %USERPROFILE%\Documents\GitHub\eaglep3\Utilities\DownloadLogsFromS3.py --loco 4001 --day 2017-05-14</v>
      </c>
      <c r="AN131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781</v>
      </c>
      <c r="B132" s="7">
        <v>4012</v>
      </c>
      <c r="C132" s="21" t="s">
        <v>206</v>
      </c>
      <c r="D132" s="21" t="s">
        <v>482</v>
      </c>
      <c r="E132" s="13">
        <v>42869.790289351855</v>
      </c>
      <c r="F132" s="13">
        <v>42869.791921296295</v>
      </c>
      <c r="G132" s="7">
        <v>1</v>
      </c>
      <c r="H132" s="21" t="s">
        <v>828</v>
      </c>
      <c r="I132" s="13">
        <v>42869.817546296297</v>
      </c>
      <c r="J132" s="7">
        <v>0</v>
      </c>
      <c r="K132" s="92" t="str">
        <f>IF(ISEVEN(B132),(B132-1)&amp;"/"&amp;B132,B132&amp;"/"&amp;(B132+1))</f>
        <v>4011/4012</v>
      </c>
      <c r="L132" s="21" t="str">
        <f>VLOOKUP(A132,'Trips&amp;Operators'!$C$1:$G$99999,5,FALSE)</f>
        <v>GUZMAN DANNY</v>
      </c>
      <c r="M132" s="6">
        <f>I132-F132</f>
        <v>2.5625000002037268E-2</v>
      </c>
      <c r="N132" s="7">
        <f>24*60*SUM($M132:$M132)</f>
        <v>36.900000002933666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-14T17:58:01-0600',mode:absolute,to:'2017-05-14T20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4.7500000000000001E-2</v>
      </c>
      <c r="Z132" s="192">
        <f>RIGHT(H132,LEN(H132)-4)/10000</f>
        <v>23.329699999999999</v>
      </c>
      <c r="AA132" s="192">
        <f>ABS(Z132-Y132)</f>
        <v>23.2822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0221-14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/stypes="app*4012*20170515*" /stext=" 01:.+((SYSTEM_STATE.+slice.+state.+changed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18"/>
        <v>"%USERPROFILE%\Documents\GitHub\eaglep3\Utilities\RefineRTDCRunTimes.py" --tripid 221-14 --locoid 4012 --swversion DE.1.0.9.0 --startMP 204:475 --initTime 2017-05-14T18:58:01 --startdatetime 2017-05-14T19:00:22 --delay 1 --endMP 204:233297 --enddatetime 2017-05-14T19:37:16 --enforcementcount 0 &gt;&gt;C:\Users\stu\Documents\GitHub\eaglep3-reporting\EC\2017-05-14-refined-times.txt</v>
      </c>
      <c r="AI13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{"issue":{"subject":"","project_id":79,"tracker_id":40,"status_id":1,"priority_id":2,"assigned_to_id":23,"start_date":"2017-05-14","description":"","custom_fields":[{"id":1,"name":"Subdivision","value":"EC"},{"id":4,"name":"Milepost","value":"23.3297"},{"id":17,"name":"Train ID","value":"221-14"},{"id":16,"name":"Locomotive ID","value":"4012"},{"id":130,"name":"Impact","value":""},{"id":150,"name":"Time of Event (Mountain Time)","value":"19:37:16"},{"id":151,"name":"Denver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20"/>
        <v>start /low /b %USERPROFILE%\Documents\GitHub\eaglep3\Utilities\DownloadLogsFromS3.py --loco 4012 --day 2017-05-14</v>
      </c>
      <c r="AN132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788</v>
      </c>
      <c r="B133" s="7">
        <v>4011</v>
      </c>
      <c r="C133" s="21" t="s">
        <v>206</v>
      </c>
      <c r="D133" s="21" t="s">
        <v>955</v>
      </c>
      <c r="E133" s="13">
        <v>42869.819282407407</v>
      </c>
      <c r="F133" s="13">
        <v>42869.830706018518</v>
      </c>
      <c r="G133" s="7">
        <v>1</v>
      </c>
      <c r="H133" s="21" t="s">
        <v>367</v>
      </c>
      <c r="I133" s="13">
        <v>42869.858148148145</v>
      </c>
      <c r="J133" s="7">
        <v>0</v>
      </c>
      <c r="K133" s="92" t="str">
        <f>IF(ISEVEN(B133),(B133-1)&amp;"/"&amp;B133,B133&amp;"/"&amp;(B133+1))</f>
        <v>4011/4012</v>
      </c>
      <c r="L133" s="21" t="str">
        <f>VLOOKUP(A133,'Trips&amp;Operators'!$C$1:$G$99999,5,FALSE)</f>
        <v>GUZMAN DANNY</v>
      </c>
      <c r="M133" s="6">
        <f>I133-F133</f>
        <v>2.7442129627161194E-2</v>
      </c>
      <c r="N133" s="7">
        <f>24*60*SUM($M133:$M133)</f>
        <v>39.516666663112119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-14T18:39:46-0600',mode:absolute,to:'2017-05-14T21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23.2971</v>
      </c>
      <c r="Z133" s="192">
        <f>RIGHT(H133,LEN(H133)-4)/10000</f>
        <v>1.5599999999999999E-2</v>
      </c>
      <c r="AA133" s="192">
        <f>ABS(Z133-Y133)</f>
        <v>23.281500000000001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0222-14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/stypes="app*4011*20170515*" /stext=" 02:.+((SYSTEM_STATE.+slice.+state.+changed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18"/>
        <v>"%USERPROFILE%\Documents\GitHub\eaglep3\Utilities\RefineRTDCRunTimes.py" --tripid 222-14 --locoid 4011 --swversion DE.1.0.9.0 --startMP 204:232971 --initTime 2017-05-14T19:39:46 --startdatetime 2017-05-14T19:56:13 --delay 1 --endMP 204:156 --enddatetime 2017-05-14T20:35:44 --enforcementcount 0 &gt;&gt;C:\Users\stu\Documents\GitHub\eaglep3-reporting\EC\2017-05-14-refined-times.txt</v>
      </c>
      <c r="AI133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{"issue":{"subject":"","project_id":79,"tracker_id":40,"status_id":1,"priority_id":2,"assigned_to_id":23,"start_date":"2017-05-14","description":"","custom_fields":[{"id":1,"name":"Subdivision","value":"EC"},{"id":4,"name":"Milepost","value":"0.0156"},{"id":17,"name":"Train ID","value":"222-14"},{"id":16,"name":"Locomotive ID","value":"4011"},{"id":130,"name":"Impact","value":""},{"id":150,"name":"Time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20"/>
        <v>start /low /b %USERPROFILE%\Documents\GitHub\eaglep3\Utilities\DownloadLogsFromS3.py --loco 4011 --day 2017-05-14</v>
      </c>
      <c r="AN133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786</v>
      </c>
      <c r="B134" s="7">
        <v>4006</v>
      </c>
      <c r="C134" s="21" t="s">
        <v>206</v>
      </c>
      <c r="D134" s="21" t="s">
        <v>956</v>
      </c>
      <c r="E134" s="13">
        <v>42869.815868055557</v>
      </c>
      <c r="F134" s="13">
        <v>42869.816747685189</v>
      </c>
      <c r="G134" s="7">
        <v>1</v>
      </c>
      <c r="H134" s="21" t="s">
        <v>556</v>
      </c>
      <c r="I134" s="13">
        <v>42869.83803240741</v>
      </c>
      <c r="J134" s="7">
        <v>0</v>
      </c>
      <c r="K134" s="92" t="str">
        <f>IF(ISEVEN(B134),(B134-1)&amp;"/"&amp;B134,B134&amp;"/"&amp;(B134+1))</f>
        <v>4005/4006</v>
      </c>
      <c r="L134" s="21" t="str">
        <f>VLOOKUP(A134,'Trips&amp;Operators'!$C$1:$G$99999,5,FALSE)</f>
        <v>NEWELL JAMES</v>
      </c>
      <c r="M134" s="6">
        <f>I134-F134</f>
        <v>2.1284722221025731E-2</v>
      </c>
      <c r="N134" s="7"/>
      <c r="O134" s="7"/>
      <c r="P134" s="7">
        <f>24*60*SUM($M134:$M134)</f>
        <v>30.649999998277053</v>
      </c>
      <c r="Q134" s="22"/>
      <c r="R134" s="190" t="s">
        <v>581</v>
      </c>
      <c r="S134" s="196">
        <f>SUM(U134:U134)/IF(AG134="EC",12,1)</f>
        <v>1</v>
      </c>
      <c r="T134" s="190" t="str">
        <f>IF(ISEVEN(LEFT(AD134,4)),"Southbound","NorthBound")</f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-14T18:34:51-0600',mode:absolute,to:'2017-05-14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4" s="192" t="str">
        <f>IF(AA134&lt;IF(AG134="EC",23,5.65),"Y","N")</f>
        <v>Y</v>
      </c>
      <c r="X134" s="192">
        <f>VALUE(LEFT(AD134,4))-VALUE(LEFT(AD133,4))</f>
        <v>1</v>
      </c>
      <c r="Y134" s="192">
        <f>RIGHT(D134,LEN(D134)-4)/10000</f>
        <v>1.9126000000000001</v>
      </c>
      <c r="Z134" s="192">
        <f>RIGHT(H134,LEN(H134)-4)/10000</f>
        <v>23.3291</v>
      </c>
      <c r="AA134" s="192">
        <f>ABS(Z134-Y134)</f>
        <v>21.416499999999999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0223-14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/stypes="app*4006*20170515*"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18"/>
        <v>"%USERPROFILE%\Documents\GitHub\eaglep3\Utilities\RefineRTDCRunTimes.py" --tripid 223-14 --locoid 4006 --swversion DE.1.0.9.0 --startMP 204:19126 --initTime 2017-05-14T19:34:51 --startdatetime 2017-05-14T19:36:07 --delay 1 --endMP 204:233291 --enddatetime 2017-05-14T20:06:46 --enforcementcount 0 &gt;&gt;C:\Users\stu\Documents\GitHub\eaglep3-reporting\EC\2017-05-14-refined-times.txt</v>
      </c>
      <c r="AI134" s="99" t="str">
        <f t="shared" si="19"/>
        <v>echo {"issue":{"subject":"Selected wrong track","project_id":79,"tracker_id":40,"status_id":1,"priority_id":2,"assigned_to_id":23,"start_date":"2017-05-14","description":"","custom_fields":[{"id":1,"name":"Subdivision","value":"EC"},{"id":4,"name":"Milepost","value":"23.3291"},{"id":17,"name":"Train ID","value":"223-14"},{"id":16,"name":"Locomotive ID","value":"4006"},{"id":130,"name":"Impact","value":""},{"id":150,"name":"Time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20"/>
        <v>start /low /b %USERPROFILE%\Documents\GitHub\eaglep3\Utilities\DownloadLogsFromS3.py --loco 4006 --day 2017-05-14</v>
      </c>
      <c r="AN134" s="154" t="str">
        <f t="shared" si="21"/>
        <v>echo {"issue":{"subject":"Selected wrong track","project_id":30,"tracker_id":4,"status_id":1,"priority_id":1,"assigned_to_id":10,"start_date":"2017-05-15","description":"","custom_fields":[{"id":30,"name":"Category","value":"Issue"},{"id":3,"name":"Functional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786</v>
      </c>
      <c r="B135" s="7">
        <v>4006</v>
      </c>
      <c r="C135" s="21" t="s">
        <v>206</v>
      </c>
      <c r="D135" s="21" t="s">
        <v>957</v>
      </c>
      <c r="E135" s="13">
        <v>42869.809108796297</v>
      </c>
      <c r="F135" s="13">
        <v>42869.816747685189</v>
      </c>
      <c r="G135" s="7">
        <v>1</v>
      </c>
      <c r="H135" s="21" t="s">
        <v>958</v>
      </c>
      <c r="I135" s="13">
        <v>42869.83803240741</v>
      </c>
      <c r="J135" s="7">
        <v>0</v>
      </c>
      <c r="K135" s="92" t="str">
        <f>IF(ISEVEN(B135),(B135-1)&amp;"/"&amp;B135,B135&amp;"/"&amp;(B135+1))</f>
        <v>4005/4006</v>
      </c>
      <c r="L135" s="21" t="str">
        <f>VLOOKUP(A135,'Trips&amp;Operators'!$C$1:$G$99999,5,FALSE)</f>
        <v>NEWELL JAMES</v>
      </c>
      <c r="M135" s="6">
        <f>I135-F135</f>
        <v>2.1284722221025731E-2</v>
      </c>
      <c r="N135" s="7"/>
      <c r="O135" s="7"/>
      <c r="P135" s="7"/>
      <c r="Q135" s="22"/>
      <c r="R135" s="190"/>
      <c r="S135" s="196">
        <f>SUM(U135:U135)/IF(AG135="EC",12,1)</f>
        <v>0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-14T18:25:07-0600',mode:absolute,to:'2017-05-14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5" s="192" t="str">
        <f>IF(AA135&lt;IF(AG135="EC",23,5.65),"Y","N")</f>
        <v>Y</v>
      </c>
      <c r="X135" s="192">
        <f>VALUE(LEFT(AD135,4))-VALUE(LEFT(AD134,4))</f>
        <v>0</v>
      </c>
      <c r="Y135" s="192">
        <f>RIGHT(D135,LEN(D135)-4)/10000</f>
        <v>4.3999999999999997E-2</v>
      </c>
      <c r="Z135" s="192">
        <f>RIGHT(H135,LEN(H135)-4)/10000</f>
        <v>0.1236</v>
      </c>
      <c r="AA135" s="192">
        <f>ABS(Z135-Y135)</f>
        <v>7.9600000000000004E-2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0223-14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/stypes="app*4006*20170515*"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18"/>
        <v>"%USERPROFILE%\Documents\GitHub\eaglep3\Utilities\RefineRTDCRunTimes.py" --tripid 223-14 --locoid 4006 --swversion DE.1.0.9.0 --startMP 204:440 --initTime 2017-05-14T19:25:07 --startdatetime 2017-05-14T19:36:07 --delay 1 --endMP 204:1236 --enddatetime 2017-05-14T20:06:46 --enforcementcount 0 &gt;&gt;C:\Users\stu\Documents\GitHub\eaglep3-reporting\EC\2017-05-14-refined-times.txt</v>
      </c>
      <c r="AI135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{"issue":{"subject":"","project_id":79,"tracker_id":40,"status_id":1,"priority_id":2,"assigned_to_id":23,"start_date":"2017-05-14","description":"","custom_fields":[{"id":1,"name":"Subdivision","value":"EC"},{"id":4,"name":"Milepost","value":"0.1236"},{"id":17,"name":"Train ID","value":"223-14"},{"id":16,"name":"Locomotive ID","value":"4006"},{"id":130,"name":"Impact","value":""},{"id":150,"name":"Time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20"/>
        <v>start /low /b %USERPROFILE%\Documents\GitHub\eaglep3\Utilities\DownloadLogsFromS3.py --loco 4006 --day 2017-05-14</v>
      </c>
      <c r="AN135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792</v>
      </c>
      <c r="B136" s="7">
        <v>4005</v>
      </c>
      <c r="C136" s="21" t="s">
        <v>206</v>
      </c>
      <c r="D136" s="21" t="s">
        <v>959</v>
      </c>
      <c r="E136" s="13">
        <v>42869.839571759258</v>
      </c>
      <c r="F136" s="13">
        <v>42869.851539351854</v>
      </c>
      <c r="G136" s="7">
        <v>1</v>
      </c>
      <c r="H136" s="21" t="s">
        <v>358</v>
      </c>
      <c r="I136" s="13">
        <v>42869.877384259256</v>
      </c>
      <c r="J136" s="7">
        <v>0</v>
      </c>
      <c r="K136" s="92" t="str">
        <f>IF(ISEVEN(B136),(B136-1)&amp;"/"&amp;B136,B136&amp;"/"&amp;(B136+1))</f>
        <v>4005/4006</v>
      </c>
      <c r="L136" s="21" t="str">
        <f>VLOOKUP(A136,'Trips&amp;Operators'!$C$1:$G$99999,5,FALSE)</f>
        <v>NEWELL JAMES</v>
      </c>
      <c r="M136" s="6">
        <f>I136-F136</f>
        <v>2.5844907402643003E-2</v>
      </c>
      <c r="N136" s="7">
        <f>24*60*SUM($M136:$M136)</f>
        <v>37.216666659805924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-14T19:08:59-0600',mode:absolute,to:'2017-05-14T22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23.298400000000001</v>
      </c>
      <c r="Z136" s="192">
        <f>RIGHT(H136,LEN(H136)-4)/10000</f>
        <v>1.4999999999999999E-2</v>
      </c>
      <c r="AA136" s="192">
        <f>ABS(Z136-Y136)</f>
        <v>23.2834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0224-14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/stypes="app*4005*20170515*" /stext=" 03:.+((SYSTEM_STATE.+slice.+state.+changed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18"/>
        <v>"%USERPROFILE%\Documents\GitHub\eaglep3\Utilities\RefineRTDCRunTimes.py" --tripid 224-14 --locoid 4005 --swversion DE.1.0.9.0 --startMP 204:232984 --initTime 2017-05-14T20:08:59 --startdatetime 2017-05-14T20:26:13 --delay 1 --endMP 204:150 --enddatetime 2017-05-14T21:03:26 --enforcementcount 0 &gt;&gt;C:\Users\stu\Documents\GitHub\eaglep3-reporting\EC\2017-05-14-refined-times.txt</v>
      </c>
      <c r="AI136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{"issue":{"subject":"","project_id":79,"tracker_id":40,"status_id":1,"priority_id":2,"assigned_to_id":23,"start_date":"2017-05-14","description":"","custom_fields":[{"id":1,"name":"Subdivision","value":"EC"},{"id":4,"name":"Milepost","value":"0.015"},{"id":17,"name":"Train ID","value":"224-14"},{"id":16,"name":"Locomotive ID","value":"4005"},{"id":130,"name":"Impact","value":""},{"id":150,"name":"Time of Event (Mountain Time)","value":"21:03:26"},{"id":151,"name":"Denver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20"/>
        <v>start /low /b %USERPROFILE%\Documents\GitHub\eaglep3\Utilities\DownloadLogsFromS3.py --loco 4005 --day 2017-05-14</v>
      </c>
      <c r="AN136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4046</v>
      </c>
      <c r="C137" s="21" t="s">
        <v>206</v>
      </c>
      <c r="D137" s="21" t="s">
        <v>362</v>
      </c>
      <c r="E137" s="13">
        <v>42869.828923611109</v>
      </c>
      <c r="F137" s="13">
        <v>42869.872442129628</v>
      </c>
      <c r="G137" s="7">
        <v>1</v>
      </c>
      <c r="H137" s="21" t="s">
        <v>960</v>
      </c>
      <c r="I137" s="13">
        <v>42869.899236111109</v>
      </c>
      <c r="J137" s="7">
        <v>0</v>
      </c>
      <c r="K137" s="92" t="str">
        <f>IF(ISEVEN(B137),(B137-1)&amp;"/"&amp;B137,B137&amp;"/"&amp;(B137+1))</f>
        <v>4045/4046</v>
      </c>
      <c r="L137" s="21" t="str">
        <f>VLOOKUP(A137,'Trips&amp;Operators'!$C$1:$G$99999,5,FALSE)</f>
        <v>SMITH MICHAEL</v>
      </c>
      <c r="M137" s="6">
        <f>I137-F137</f>
        <v>2.679398148029577E-2</v>
      </c>
      <c r="N137" s="7">
        <f>24*60*SUM($M137:$M137)</f>
        <v>38.583333331625909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-14T18:53:39-0600',mode:absolute,to:'2017-05-14T22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4.5100000000000001E-2</v>
      </c>
      <c r="Z137" s="192">
        <f>RIGHT(H137,LEN(H137)-4)/10000</f>
        <v>23.340499999999999</v>
      </c>
      <c r="AA137" s="192">
        <f>ABS(Z137-Y137)</f>
        <v>23.295399999999997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0225-14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/stypes="app*4046*20170515*" /stext=" 03:.+((SYSTEM_STATE.+slice.+state.+changed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18"/>
        <v>"%USERPROFILE%\Documents\GitHub\eaglep3\Utilities\RefineRTDCRunTimes.py" --tripid 225-14 --locoid 4046 --swversion DE.1.0.9.0 --startMP 204:451 --initTime 2017-05-14T19:53:39 --startdatetime 2017-05-14T20:56:19 --delay 1 --endMP 204:233405 --enddatetime 2017-05-14T21:34:54 --enforcementcount 0 &gt;&gt;C:\Users\stu\Documents\GitHub\eaglep3-reporting\EC\2017-05-14-refined-times.txt</v>
      </c>
      <c r="AI137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{"issue":{"subject":"","project_id":79,"tracker_id":40,"status_id":1,"priority_id":2,"assigned_to_id":23,"start_date":"2017-05-14","description":"","custom_fields":[{"id":1,"name":"Subdivision","value":"EC"},{"id":4,"name":"Milepost","value":"23.3405"},{"id":17,"name":"Train ID","value":"225-14"},{"id":16,"name":"Locomotive ID","value":"4046"},{"id":130,"name":"Impact","value":""},{"id":150,"name":"Time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20"/>
        <v>start /low /b %USERPROFILE%\Documents\GitHub\eaglep3\Utilities\DownloadLogsFromS3.py --loco 4046 --day 2017-05-14</v>
      </c>
      <c r="AN137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795</v>
      </c>
      <c r="B138" s="7">
        <v>4045</v>
      </c>
      <c r="C138" s="21" t="s">
        <v>206</v>
      </c>
      <c r="D138" s="21" t="s">
        <v>961</v>
      </c>
      <c r="E138" s="13">
        <v>42869.862002314818</v>
      </c>
      <c r="F138" s="13">
        <v>42869.872442129628</v>
      </c>
      <c r="G138" s="7">
        <v>1</v>
      </c>
      <c r="H138" s="21" t="s">
        <v>375</v>
      </c>
      <c r="I138" s="13">
        <v>42869.899236111109</v>
      </c>
      <c r="J138" s="7">
        <v>0</v>
      </c>
      <c r="K138" s="92" t="str">
        <f>IF(ISEVEN(B138),(B138-1)&amp;"/"&amp;B138,B138&amp;"/"&amp;(B138+1))</f>
        <v>4045/4046</v>
      </c>
      <c r="L138" s="21" t="str">
        <f>VLOOKUP(A138,'Trips&amp;Operators'!$C$1:$G$99999,5,FALSE)</f>
        <v>SMITH MICHAEL</v>
      </c>
      <c r="M138" s="6">
        <f>I138-F138</f>
        <v>2.679398148029577E-2</v>
      </c>
      <c r="N138" s="7">
        <f>24*60*SUM($M138:$M138)</f>
        <v>38.583333331625909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-14T19:41:17-0600',mode:absolute,to:'2017-05-14T22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23.3111</v>
      </c>
      <c r="Z138" s="192">
        <f>RIGHT(H138,LEN(H138)-4)/10000</f>
        <v>1.47E-2</v>
      </c>
      <c r="AA138" s="192">
        <f>ABS(Z138-Y138)</f>
        <v>23.296399999999998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0226-14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/stypes="app*4045*20170515*"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18"/>
        <v>"%USERPROFILE%\Documents\GitHub\eaglep3\Utilities\RefineRTDCRunTimes.py" --tripid 226-14 --locoid 4045 --swversion DE.1.0.9.0 --startMP 204:233111 --initTime 2017-05-14T20:41:17 --startdatetime 2017-05-14T20:56:19 --delay 1 --endMP 204:147 --enddatetime 2017-05-14T21:34:54 --enforcementcount 0 &gt;&gt;C:\Users\stu\Documents\GitHub\eaglep3-reporting\EC\2017-05-14-refined-times.txt</v>
      </c>
      <c r="AI138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{"issue":{"subject":"","project_id":79,"tracker_id":40,"status_id":1,"priority_id":2,"assigned_to_id":23,"start_date":"2017-05-14","description":"","custom_fields":[{"id":1,"name":"Subdivision","value":"EC"},{"id":4,"name":"Milepost","value":"0.0147"},{"id":17,"name":"Train ID","value":"226-14"},{"id":16,"name":"Locomotive ID","value":"4045"},{"id":130,"name":"Impact","value":""},{"id":150,"name":"Time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20"/>
        <v>start /low /b %USERPROFILE%\Documents\GitHub\eaglep3\Utilities\DownloadLogsFromS3.py --loco 4045 --day 2017-05-14</v>
      </c>
      <c r="AN138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791</v>
      </c>
      <c r="B139" s="7">
        <v>4002</v>
      </c>
      <c r="C139" s="21" t="s">
        <v>206</v>
      </c>
      <c r="D139" s="21" t="s">
        <v>962</v>
      </c>
      <c r="E139" s="13">
        <v>42869.837118055555</v>
      </c>
      <c r="F139" s="13">
        <v>42869.855023148149</v>
      </c>
      <c r="G139" s="7">
        <v>1</v>
      </c>
      <c r="H139" s="21" t="s">
        <v>963</v>
      </c>
      <c r="I139" s="13">
        <v>42869.879699074074</v>
      </c>
      <c r="J139" s="7">
        <v>0</v>
      </c>
      <c r="K139" s="92" t="str">
        <f>IF(ISEVEN(B139),(B139-1)&amp;"/"&amp;B139,B139&amp;"/"&amp;(B139+1))</f>
        <v>4001/4002</v>
      </c>
      <c r="L139" s="21" t="str">
        <f>VLOOKUP(A139,'Trips&amp;Operators'!$C$1:$G$99999,5,FALSE)</f>
        <v>STAMBAUGH JAMES</v>
      </c>
      <c r="M139" s="6">
        <f>I139-F139</f>
        <v>2.4675925924384501E-2</v>
      </c>
      <c r="N139" s="7">
        <f>24*60*SUM($M139:$M139)</f>
        <v>35.533333331113681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-14T19:05:27-0600',mode:absolute,to:'2017-05-14T22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3.6200000000000003E-2</v>
      </c>
      <c r="Z139" s="192">
        <f>RIGHT(H139,LEN(H139)-4)/10000</f>
        <v>23.3428</v>
      </c>
      <c r="AA139" s="192">
        <f>ABS(Z139-Y139)</f>
        <v>23.3066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0227-14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/stypes="app*4002*20170515*"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18"/>
        <v>"%USERPROFILE%\Documents\GitHub\eaglep3\Utilities\RefineRTDCRunTimes.py" --tripid 227-14 --locoid 4002 --swversion DE.1.0.9.0 --startMP 204:362 --initTime 2017-05-14T20:05:27 --startdatetime 2017-05-14T20:31:14 --delay 1 --endMP 204:233428 --enddatetime 2017-05-14T21:06:46 --enforcementcount 0 &gt;&gt;C:\Users\stu\Documents\GitHub\eaglep3-reporting\EC\2017-05-14-refined-times.txt</v>
      </c>
      <c r="AI139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{"issue":{"subject":"","project_id":79,"tracker_id":40,"status_id":1,"priority_id":2,"assigned_to_id":23,"start_date":"2017-05-14","description":"","custom_fields":[{"id":1,"name":"Subdivision","value":"EC"},{"id":4,"name":"Milepost","value":"23.3428"},{"id":17,"name":"Train ID","value":"227-14"},{"id":16,"name":"Locomotive ID","value":"4002"},{"id":130,"name":"Impact","value":""},{"id":150,"name":"Time of Event (Mountain Time)","value":"21:06:46"},{"id":151,"name":"Denver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20"/>
        <v>start /low /b %USERPROFILE%\Documents\GitHub\eaglep3\Utilities\DownloadLogsFromS3.py --loco 4002 --day 2017-05-14</v>
      </c>
      <c r="AN139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798</v>
      </c>
      <c r="B140" s="7">
        <v>4001</v>
      </c>
      <c r="C140" s="21" t="s">
        <v>206</v>
      </c>
      <c r="D140" s="21" t="s">
        <v>964</v>
      </c>
      <c r="E140" s="13">
        <v>42869.889513888891</v>
      </c>
      <c r="F140" s="13">
        <v>42869.893657407411</v>
      </c>
      <c r="G140" s="7">
        <v>2</v>
      </c>
      <c r="H140" s="21" t="s">
        <v>965</v>
      </c>
      <c r="I140" s="13">
        <v>42869.919537037036</v>
      </c>
      <c r="J140" s="7">
        <v>0</v>
      </c>
      <c r="K140" s="92" t="str">
        <f>IF(ISEVEN(B140),(B140-1)&amp;"/"&amp;B140,B140&amp;"/"&amp;(B140+1))</f>
        <v>4001/4002</v>
      </c>
      <c r="L140" s="21" t="str">
        <f>VLOOKUP(A140,'Trips&amp;Operators'!$C$1:$G$99999,5,FALSE)</f>
        <v>STAMBAUGH JAMES</v>
      </c>
      <c r="M140" s="6">
        <f>I140-F140</f>
        <v>2.5879629625706002E-2</v>
      </c>
      <c r="N140" s="7">
        <f>24*60*SUM($M140:$M140)</f>
        <v>37.266666661016643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-14T20:20:54-0600',mode:absolute,to:'2017-05-14T23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23.315300000000001</v>
      </c>
      <c r="Z140" s="192">
        <f>RIGHT(H140,LEN(H140)-4)/10000</f>
        <v>6.7999999999999996E-3</v>
      </c>
      <c r="AA140" s="192">
        <f>ABS(Z140-Y140)</f>
        <v>23.308500000000002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0228-14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/stypes="app*4001*20170515*" /stext=" 04:.+((SYSTEM_STATE.+slice.+state.+changed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18"/>
        <v>"%USERPROFILE%\Documents\GitHub\eaglep3\Utilities\RefineRTDCRunTimes.py" --tripid 228-14 --locoid 4001 --swversion DE.1.0.9.0 --startMP 204:233153 --initTime 2017-05-14T21:20:54 --startdatetime 2017-05-14T21:26:52 --delay 2 --endMP 204:68 --enddatetime 2017-05-14T22:04:08 --enforcementcount 0 &gt;&gt;C:\Users\stu\Documents\GitHub\eaglep3-reporting\EC\2017-05-14-refined-times.txt</v>
      </c>
      <c r="AI140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{"issue":{"subject":"","project_id":79,"tracker_id":40,"status_id":1,"priority_id":2,"assigned_to_id":23,"start_date":"2017-05-14","description":"","custom_fields":[{"id":1,"name":"Subdivision","value":"EC"},{"id":4,"name":"Milepost","value":"0.0068"},{"id":17,"name":"Train ID","value":"228-14"},{"id":16,"name":"Locomotive ID","value":"4001"},{"id":130,"name":"Impact","value":""},{"id":150,"name":"Time of Event (Mountain Time)","value":"22:04:08"},{"id":151,"name":"Denver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20"/>
        <v>start /low /b %USERPROFILE%\Documents\GitHub\eaglep3\Utilities\DownloadLogsFromS3.py --loco 4001 --day 2017-05-14</v>
      </c>
      <c r="AN140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796</v>
      </c>
      <c r="B141" s="7">
        <v>4012</v>
      </c>
      <c r="C141" s="21" t="s">
        <v>206</v>
      </c>
      <c r="D141" s="21" t="s">
        <v>832</v>
      </c>
      <c r="E141" s="13">
        <v>42869.868946759256</v>
      </c>
      <c r="F141" s="13">
        <v>42869.875347222223</v>
      </c>
      <c r="G141" s="7">
        <v>1</v>
      </c>
      <c r="H141" s="21" t="s">
        <v>874</v>
      </c>
      <c r="I141" s="13">
        <v>42869.900925925926</v>
      </c>
      <c r="J141" s="7">
        <v>0</v>
      </c>
      <c r="K141" s="92" t="str">
        <f>IF(ISEVEN(B141),(B141-1)&amp;"/"&amp;B141,B141&amp;"/"&amp;(B141+1))</f>
        <v>4011/4012</v>
      </c>
      <c r="L141" s="21" t="str">
        <f>VLOOKUP(A141,'Trips&amp;Operators'!$C$1:$G$99999,5,FALSE)</f>
        <v>CHANDLER KELVIN</v>
      </c>
      <c r="M141" s="6">
        <f>I141-F141</f>
        <v>2.5578703702194616E-2</v>
      </c>
      <c r="N141" s="7">
        <f>24*60*SUM($M141:$M141)</f>
        <v>36.833333331160247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-14T19:51:17-0600',mode:absolute,to:'2017-05-14T22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4.6699999999999998E-2</v>
      </c>
      <c r="Z141" s="192">
        <f>RIGHT(H141,LEN(H141)-4)/10000</f>
        <v>23.331800000000001</v>
      </c>
      <c r="AA141" s="192">
        <f>ABS(Z141-Y141)</f>
        <v>23.2851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0229-14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/stypes="app*4012*20170515*"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si="18"/>
        <v>"%USERPROFILE%\Documents\GitHub\eaglep3\Utilities\RefineRTDCRunTimes.py" --tripid 229-14 --locoid 4012 --swversion DE.1.0.9.0 --startMP 204:467 --initTime 2017-05-14T20:51:17 --startdatetime 2017-05-14T21:00:30 --delay 1 --endMP 204:233318 --enddatetime 2017-05-14T21:37:20 --enforcementcount 0 &gt;&gt;C:\Users\stu\Documents\GitHub\eaglep3-reporting\EC\2017-05-14-refined-times.txt</v>
      </c>
      <c r="AI141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{"issue":{"subject":"","project_id":79,"tracker_id":40,"status_id":1,"priority_id":2,"assigned_to_id":23,"start_date":"2017-05-14","description":"","custom_fields":[{"id":1,"name":"Subdivision","value":"EC"},{"id":4,"name":"Milepost","value":"23.3318"},{"id":17,"name":"Train ID","value":"229-14"},{"id":16,"name":"Locomotive ID","value":"4012"},{"id":130,"name":"Impact","value":""},{"id":150,"name":"Time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20"/>
        <v>start /low /b %USERPROFILE%\Documents\GitHub\eaglep3\Utilities\DownloadLogsFromS3.py --loco 4012 --day 2017-05-14</v>
      </c>
      <c r="AN141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801</v>
      </c>
      <c r="B142" s="7">
        <v>4011</v>
      </c>
      <c r="C142" s="21" t="s">
        <v>206</v>
      </c>
      <c r="D142" s="21" t="s">
        <v>959</v>
      </c>
      <c r="E142" s="13">
        <v>42869.912048611113</v>
      </c>
      <c r="F142" s="13">
        <v>42869.914224537039</v>
      </c>
      <c r="G142" s="7">
        <v>1</v>
      </c>
      <c r="H142" s="21" t="s">
        <v>367</v>
      </c>
      <c r="I142" s="13">
        <v>42869.941562499997</v>
      </c>
      <c r="J142" s="7">
        <v>0</v>
      </c>
      <c r="K142" s="92" t="str">
        <f>IF(ISEVEN(B142),(B142-1)&amp;"/"&amp;B142,B142&amp;"/"&amp;(B142+1))</f>
        <v>4011/4012</v>
      </c>
      <c r="L142" s="21" t="str">
        <f>VLOOKUP(A142,'Trips&amp;Operators'!$C$1:$G$99999,5,FALSE)</f>
        <v>CHANDLER KELVIN</v>
      </c>
      <c r="M142" s="6">
        <f>I142-F142</f>
        <v>2.7337962957972195E-2</v>
      </c>
      <c r="N142" s="7">
        <f>24*60*SUM($M142:$M142)</f>
        <v>39.366666659479961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-14T20:53:21-0600',mode:absolute,to:'2017-05-14T23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23.298400000000001</v>
      </c>
      <c r="Z142" s="192">
        <f>RIGHT(H142,LEN(H142)-4)/10000</f>
        <v>1.5599999999999999E-2</v>
      </c>
      <c r="AA142" s="192">
        <f>ABS(Z142-Y142)</f>
        <v>23.282800000000002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0230-14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/stypes="app*4011*20170515*"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8"/>
        <v>"%USERPROFILE%\Documents\GitHub\eaglep3\Utilities\RefineRTDCRunTimes.py" --tripid 230-14 --locoid 4011 --swversion DE.1.0.9.0 --startMP 204:232984 --initTime 2017-05-14T21:53:21 --startdatetime 2017-05-14T21:56:29 --delay 1 --endMP 204:156 --enddatetime 2017-05-14T22:35:51 --enforcementcount 0 &gt;&gt;C:\Users\stu\Documents\GitHub\eaglep3-reporting\EC\2017-05-14-refined-times.txt</v>
      </c>
      <c r="AI142" s="99" t="str">
        <f t="shared" si="19"/>
        <v>echo {"issue":{"subject":"","project_id":79,"tracker_id":40,"status_id":1,"priority_id":2,"assigned_to_id":23,"start_date":"2017-05-14","description":"","custom_fields":[{"id":1,"name":"Subdivision","value":"EC"},{"id":4,"name":"Milepost","value":"0.0156"},{"id":17,"name":"Train ID","value":"230-14"},{"id":16,"name":"Locomotive ID","value":"4011"},{"id":130,"name":"Impact","value":""},{"id":150,"name":"Time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20"/>
        <v>start /low /b %USERPROFILE%\Documents\GitHub\eaglep3\Utilities\DownloadLogsFromS3.py --loco 4011 --day 2017-05-14</v>
      </c>
      <c r="AN142" s="154" t="str">
        <f t="shared" si="21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799</v>
      </c>
      <c r="B143" s="7">
        <v>4006</v>
      </c>
      <c r="C143" s="21" t="s">
        <v>206</v>
      </c>
      <c r="D143" s="21" t="s">
        <v>366</v>
      </c>
      <c r="E143" s="13">
        <v>42869.892800925925</v>
      </c>
      <c r="F143" s="13">
        <v>42869.895983796298</v>
      </c>
      <c r="G143" s="7">
        <v>1</v>
      </c>
      <c r="H143" s="21" t="s">
        <v>843</v>
      </c>
      <c r="I143" s="13">
        <v>42869.920925925922</v>
      </c>
      <c r="J143" s="7">
        <v>0</v>
      </c>
      <c r="K143" s="92" t="str">
        <f>IF(ISEVEN(B143),(B143-1)&amp;"/"&amp;B143,B143&amp;"/"&amp;(B143+1))</f>
        <v>4005/4006</v>
      </c>
      <c r="L143" s="21" t="str">
        <f>VLOOKUP(A143,'Trips&amp;Operators'!$C$1:$G$99999,5,FALSE)</f>
        <v>NEWELL JAMES</v>
      </c>
      <c r="M143" s="6">
        <f>I143-F143</f>
        <v>2.4942129624832887E-2</v>
      </c>
      <c r="N143" s="7">
        <f>24*60*SUM($M143:$M143)</f>
        <v>35.916666659759358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-14T20:25:38-0600',mode:absolute,to:'2017-05-14T23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4.6399999999999997E-2</v>
      </c>
      <c r="Z143" s="192">
        <f>RIGHT(H143,LEN(H143)-4)/10000</f>
        <v>23.330500000000001</v>
      </c>
      <c r="AA143" s="192">
        <f>ABS(Z143-Y143)</f>
        <v>23.284100000000002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0231-14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/stypes="app*4006*20170515*"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ref="AH143:AH205" si="2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231-14 --locoid 4006 --swversion DE.1.0.9.0 --startMP 204:464 --initTime 2017-05-14T21:25:38 --startdatetime 2017-05-14T21:30:13 --delay 1 --endMP 204:233305 --enddatetime 2017-05-14T22:06:08 --enforcementcount 0 &gt;&gt;C:\Users\stu\Documents\GitHub\eaglep3-reporting\EC\2017-05-14-refined-times.txt</v>
      </c>
      <c r="AI143" s="99" t="str">
        <f t="shared" ref="AI143:AI205" si="2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{"issue":{"subject":"","project_id":79,"tracker_id":40,"status_id":1,"priority_id":2,"assigned_to_id":23,"start_date":"2017-05-14","description":"","custom_fields":[{"id":1,"name":"Subdivision","value":"EC"},{"id":4,"name":"Milepost","value":"23.3305"},{"id":17,"name":"Train ID","value":"231-14"},{"id":16,"name":"Locomotive ID","value":"4006"},{"id":130,"name":"Impact","value":""},{"id":150,"name":"Time of Event (Mountain Time)","value":"22:06:08"},{"id":151,"name":"Denver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5" si="24">"start /low /b "&amp;dls3logs&amp;" --loco "&amp;B143&amp;" --day "&amp;TEXT(F143,"YYYY-MM-DD")</f>
        <v>start /low /b %USERPROFILE%\Documents\GitHub\eaglep3\Utilities\DownloadLogsFromS3.py --loco 4006 --day 2017-05-14</v>
      </c>
      <c r="AN143" s="154" t="str">
        <f t="shared" ref="AN143:AN205" si="2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803</v>
      </c>
      <c r="B144" s="7">
        <v>4005</v>
      </c>
      <c r="C144" s="21" t="s">
        <v>206</v>
      </c>
      <c r="D144" s="21" t="s">
        <v>849</v>
      </c>
      <c r="E144" s="13">
        <v>42869.931666666664</v>
      </c>
      <c r="F144" s="13">
        <v>42869.934872685182</v>
      </c>
      <c r="G144" s="7">
        <v>1</v>
      </c>
      <c r="H144" s="21" t="s">
        <v>353</v>
      </c>
      <c r="I144" s="13">
        <v>42869.960543981484</v>
      </c>
      <c r="J144" s="7">
        <v>0</v>
      </c>
      <c r="K144" s="92" t="str">
        <f>IF(ISEVEN(B144),(B144-1)&amp;"/"&amp;B144,B144&amp;"/"&amp;(B144+1))</f>
        <v>4005/4006</v>
      </c>
      <c r="L144" s="21" t="str">
        <f>VLOOKUP(A144,'Trips&amp;Operators'!$C$1:$G$99999,5,FALSE)</f>
        <v>NEWELL JAMES</v>
      </c>
      <c r="M144" s="6">
        <f>I144-F144</f>
        <v>2.567129630187992E-2</v>
      </c>
      <c r="N144" s="7">
        <f>24*60*SUM($M144:$M144)</f>
        <v>36.966666674707085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-14T21:21:36-0600',mode:absolute,to:'2017-05-15T00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23.297499999999999</v>
      </c>
      <c r="Z144" s="192">
        <f>RIGHT(H144,LEN(H144)-4)/10000</f>
        <v>1.4500000000000001E-2</v>
      </c>
      <c r="AA144" s="192">
        <f>ABS(Z144-Y144)</f>
        <v>23.282999999999998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0232-14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/stypes="app*4005*20170515*" /stext=" 05:.+((SYSTEM_STATE.+slice.+state.+changed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22"/>
        <v>"%USERPROFILE%\Documents\GitHub\eaglep3\Utilities\RefineRTDCRunTimes.py" --tripid 232-14 --locoid 4005 --swversion DE.1.0.9.0 --startMP 204:232975 --initTime 2017-05-14T22:21:36 --startdatetime 2017-05-14T22:26:13 --delay 1 --endMP 204:145 --enddatetime 2017-05-14T23:03:11 --enforcementcount 0 &gt;&gt;C:\Users\stu\Documents\GitHub\eaglep3-reporting\EC\2017-05-14-refined-times.txt</v>
      </c>
      <c r="AI144" s="99" t="str">
        <f t="shared" si="23"/>
        <v>echo {"issue":{"subject":"","project_id":79,"tracker_id":40,"status_id":1,"priority_id":2,"assigned_to_id":23,"start_date":"2017-05-14","description":"","custom_fields":[{"id":1,"name":"Subdivision","value":"EC"},{"id":4,"name":"Milepost","value":"0.0145"},{"id":17,"name":"Train ID","value":"232-14"},{"id":16,"name":"Locomotive ID","value":"4005"},{"id":130,"name":"Impact","value":""},{"id":150,"name":"Time of Event (Mountain Time)","value":"23:03:11"},{"id":151,"name":"Denver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24"/>
        <v>start /low /b %USERPROFILE%\Documents\GitHub\eaglep3\Utilities\DownloadLogsFromS3.py --loco 4005 --day 2017-05-14</v>
      </c>
      <c r="AN144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05:03:11"},{"id":29,"name":"Sharepoint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618</v>
      </c>
      <c r="B145" s="7">
        <v>4046</v>
      </c>
      <c r="C145" s="21" t="s">
        <v>206</v>
      </c>
      <c r="D145" s="21" t="s">
        <v>447</v>
      </c>
      <c r="E145" s="13">
        <v>42869.906284722223</v>
      </c>
      <c r="F145" s="13">
        <v>42869.916875000003</v>
      </c>
      <c r="G145" s="7">
        <v>1</v>
      </c>
      <c r="H145" s="21" t="s">
        <v>966</v>
      </c>
      <c r="I145" s="13">
        <v>42869.942083333335</v>
      </c>
      <c r="J145" s="7">
        <v>0</v>
      </c>
      <c r="K145" s="92" t="str">
        <f>IF(ISEVEN(B145),(B145-1)&amp;"/"&amp;B145,B145&amp;"/"&amp;(B145+1))</f>
        <v>4045/4046</v>
      </c>
      <c r="L145" s="21" t="str">
        <f>VLOOKUP(A145,'Trips&amp;Operators'!$C$1:$G$99999,5,FALSE)</f>
        <v>SMITH MICHAEL</v>
      </c>
      <c r="M145" s="6">
        <f>I145-F145</f>
        <v>2.5208333332557231E-2</v>
      </c>
      <c r="N145" s="7">
        <f>24*60*SUM($M145:$M145)</f>
        <v>36.299999998882413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-14T20:45:03-0600',mode:absolute,to:'2017-05-14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4.7100000000000003E-2</v>
      </c>
      <c r="Z145" s="192">
        <f>RIGHT(H145,LEN(H145)-4)/10000</f>
        <v>23.3491</v>
      </c>
      <c r="AA145" s="192">
        <f>ABS(Z145-Y145)</f>
        <v>23.302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0233-14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s3://rtdc.mdm.uploadarchive.raw/RTDC4046/ "%USERPROFILE%\AppData\Local\Temp\OnboardLogs"\RTDC4046\2017-05-14 --exclude "*" --recursive --include "*20170514*" &amp; "%USERPROFILE%\Documents\GitHub\mrs-test-scripts\Headless Mode &amp; Sideloading\WalkAndUnGZ.bat" "%USERPROFILE%\AppData\Local\Temp\OnboardLogs"\RTDC4046\2017-05-14 &amp; 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/stypes="app*4046*20170515*"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22"/>
        <v>"%USERPROFILE%\Documents\GitHub\eaglep3\Utilities\RefineRTDCRunTimes.py" --tripid 233-14 --locoid 4046 --swversion DE.1.0.9.0 --startMP 204:471 --initTime 2017-05-14T21:45:03 --startdatetime 2017-05-14T22:00:18 --delay 1 --endMP 204:233491 --enddatetime 2017-05-14T22:36:36 --enforcementcount 0 &gt;&gt;C:\Users\stu\Documents\GitHub\eaglep3-reporting\EC\2017-05-14-refined-times.txt</v>
      </c>
      <c r="AI145" s="99" t="str">
        <f t="shared" si="23"/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ID","value":"233-14"},{"id":16,"name":"Locomotive ID","value":"4046"},{"id":130,"name":"Impact","value":""},{"id":150,"name":"Time of Event (Mountain Time)","value":"22:36:36"},{"id":151,"name":"Denver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24"/>
        <v>start /low /b %USERPROFILE%\Documents\GitHub\eaglep3\Utilities\DownloadLogsFromS3.py --loco 4046 --day 2017-05-14</v>
      </c>
      <c r="AN145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805</v>
      </c>
      <c r="B146" s="7">
        <v>4045</v>
      </c>
      <c r="C146" s="21" t="s">
        <v>206</v>
      </c>
      <c r="D146" s="21" t="s">
        <v>967</v>
      </c>
      <c r="E146" s="13">
        <v>42869.947974537034</v>
      </c>
      <c r="F146" s="13">
        <v>42869.955752314818</v>
      </c>
      <c r="G146" s="7">
        <v>1</v>
      </c>
      <c r="H146" s="21" t="s">
        <v>372</v>
      </c>
      <c r="I146" s="13">
        <v>42869.982627314814</v>
      </c>
      <c r="J146" s="7">
        <v>0</v>
      </c>
      <c r="K146" s="92" t="str">
        <f>IF(ISEVEN(B146),(B146-1)&amp;"/"&amp;B146,B146&amp;"/"&amp;(B146+1))</f>
        <v>4045/4046</v>
      </c>
      <c r="L146" s="21" t="str">
        <f>VLOOKUP(A146,'Trips&amp;Operators'!$C$1:$G$99999,5,FALSE)</f>
        <v>SMITH MICHAEL</v>
      </c>
      <c r="M146" s="6">
        <f>I146-F146</f>
        <v>2.6874999995925464E-2</v>
      </c>
      <c r="N146" s="7">
        <f>24*60*SUM($M146:$M146)</f>
        <v>38.699999994132668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-14T21:45:05-0600',mode:absolute,to:'2017-05-15T00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23.310400000000001</v>
      </c>
      <c r="Z146" s="192">
        <f>RIGHT(H146,LEN(H146)-4)/10000</f>
        <v>1.3899999999999999E-2</v>
      </c>
      <c r="AA146" s="192">
        <f>ABS(Z146-Y146)</f>
        <v>23.296500000000002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0234-14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s3://rtdc.mdm.uploadarchive.raw/RTDC4045/ "%USERPROFILE%\AppData\Local\Temp\OnboardLogs"\RTDC4045\2017-05-14 --exclude "*" --recursive --include "*20170514*" &amp; "%USERPROFILE%\Documents\GitHub\mrs-test-scripts\Headless Mode &amp; Sideloading\WalkAndUnGZ.bat" "%USERPROFILE%\AppData\Local\Temp\OnboardLogs"\RTDC4045\2017-05-14 &amp; 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/stypes="app*4045*20170515*"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22"/>
        <v>"%USERPROFILE%\Documents\GitHub\eaglep3\Utilities\RefineRTDCRunTimes.py" --tripid 234-14 --locoid 4045 --swversion DE.1.0.9.0 --startMP 204:233104 --initTime 2017-05-14T22:45:05 --startdatetime 2017-05-14T22:56:17 --delay 1 --endMP 204:139 --enddatetime 2017-05-14T23:34:59 --enforcementcount 0 &gt;&gt;C:\Users\stu\Documents\GitHub\eaglep3-reporting\EC\2017-05-14-refined-times.txt</v>
      </c>
      <c r="AI146" s="99" t="str">
        <f t="shared" si="23"/>
        <v>echo {"issue":{"subject":"","project_id":79,"tracker_id":40,"status_id":1,"priority_id":2,"assigned_to_id":23,"start_date":"2017-05-14","description":"","custom_fields":[{"id":1,"name":"Subdivision","value":"EC"},{"id":4,"name":"Milepost","value":"0.0139"},{"id":17,"name":"Train ID","value":"234-14"},{"id":16,"name":"Locomotive ID","value":"4045"},{"id":130,"name":"Impact","value":""},{"id":150,"name":"Time of Event (Mountain Time)","value":"23:34:59"},{"id":151,"name":"Denver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24"/>
        <v>start /low /b %USERPROFILE%\Documents\GitHub\eaglep3\Utilities\DownloadLogsFromS3.py --loco 4045 --day 2017-05-14</v>
      </c>
      <c r="AN146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05:34:59"},{"id":29,"name":"Sharepoint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619</v>
      </c>
      <c r="B147" s="7">
        <v>4002</v>
      </c>
      <c r="C147" s="21" t="s">
        <v>206</v>
      </c>
      <c r="D147" s="21" t="s">
        <v>968</v>
      </c>
      <c r="E147" s="13">
        <v>42869.934432870374</v>
      </c>
      <c r="F147" s="13">
        <v>42869.937928240739</v>
      </c>
      <c r="G147" s="7">
        <v>1</v>
      </c>
      <c r="H147" s="21" t="s">
        <v>969</v>
      </c>
      <c r="I147" s="13">
        <v>42869.962650462963</v>
      </c>
      <c r="J147" s="7">
        <v>0</v>
      </c>
      <c r="K147" s="92" t="str">
        <f>IF(ISEVEN(B147),(B147-1)&amp;"/"&amp;B147,B147&amp;"/"&amp;(B147+1))</f>
        <v>4001/4002</v>
      </c>
      <c r="L147" s="21" t="str">
        <f>VLOOKUP(A147,'Trips&amp;Operators'!$C$1:$G$99999,5,FALSE)</f>
        <v>STAMBAUGH JAMES</v>
      </c>
      <c r="M147" s="6">
        <f>I147-F147</f>
        <v>2.4722222224227153E-2</v>
      </c>
      <c r="N147" s="7">
        <f>24*60*SUM($M147:$M147)</f>
        <v>35.6000000028871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-14T21:25:35-0600',mode:absolute,to:'2017-05-15T00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3.6499999999999998E-2</v>
      </c>
      <c r="Z147" s="192">
        <f>RIGHT(H147,LEN(H147)-4)/10000</f>
        <v>23.345800000000001</v>
      </c>
      <c r="AA147" s="192">
        <f>ABS(Z147-Y147)</f>
        <v>23.3093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0235-14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s3://rtdc.mdm.uploadarchive.raw/RTDC4002/ "%USERPROFILE%\AppData\Local\Temp\OnboardLogs"\RTDC4002\2017-05-14 --exclude "*" --recursive --include "*20170514*" &amp; "%USERPROFILE%\Documents\GitHub\mrs-test-scripts\Headless Mode &amp; Sideloading\WalkAndUnGZ.bat" "%USERPROFILE%\AppData\Local\Temp\OnboardLogs"\RTDC4002\2017-05-14 &amp; 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/stypes="app*4002*20170515*"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22"/>
        <v>"%USERPROFILE%\Documents\GitHub\eaglep3\Utilities\RefineRTDCRunTimes.py" --tripid 235-14 --locoid 4002 --swversion DE.1.0.9.0 --startMP 204:365 --initTime 2017-05-14T22:25:35 --startdatetime 2017-05-14T22:30:37 --delay 1 --endMP 204:233458 --enddatetime 2017-05-14T23:06:13 --enforcementcount 0 &gt;&gt;C:\Users\stu\Documents\GitHub\eaglep3-reporting\EC\2017-05-14-refined-times.txt</v>
      </c>
      <c r="AI147" s="99" t="str">
        <f t="shared" si="23"/>
        <v>echo {"issue":{"subject":"","project_id":79,"tracker_id":40,"status_id":1,"priority_id":2,"assigned_to_id":23,"start_date":"2017-05-14","description":"","custom_fields":[{"id":1,"name":"Subdivision","value":"EC"},{"id":4,"name":"Milepost","value":"23.3458"},{"id":17,"name":"Train ID","value":"235-14"},{"id":16,"name":"Locomotive ID","value":"4002"},{"id":130,"name":"Impact","value":""},{"id":150,"name":"Time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24"/>
        <v>start /low /b %USERPROFILE%\Documents\GitHub\eaglep3\Utilities\DownloadLogsFromS3.py --loco 4002 --day 2017-05-14</v>
      </c>
      <c r="AN147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05:06:13"},{"id":29,"name":"Sharepoint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620</v>
      </c>
      <c r="B148" s="7">
        <v>4001</v>
      </c>
      <c r="C148" s="21" t="s">
        <v>206</v>
      </c>
      <c r="D148" s="21" t="s">
        <v>970</v>
      </c>
      <c r="E148" s="13">
        <v>42869.972442129627</v>
      </c>
      <c r="F148" s="13">
        <v>42869.976805555554</v>
      </c>
      <c r="G148" s="7">
        <v>1</v>
      </c>
      <c r="H148" s="21" t="s">
        <v>965</v>
      </c>
      <c r="I148" s="13">
        <v>42870.002951388888</v>
      </c>
      <c r="J148" s="7">
        <v>0</v>
      </c>
      <c r="K148" s="92" t="str">
        <f>IF(ISEVEN(B148),(B148-1)&amp;"/"&amp;B148,B148&amp;"/"&amp;(B148+1))</f>
        <v>4001/4002</v>
      </c>
      <c r="L148" s="21" t="str">
        <f>VLOOKUP(A148,'Trips&amp;Operators'!$C$1:$G$99999,5,FALSE)</f>
        <v>STAMBAUGH JAMES</v>
      </c>
      <c r="M148" s="6">
        <f>I148-F148</f>
        <v>2.6145833333430346E-2</v>
      </c>
      <c r="N148" s="7">
        <f>24*60*SUM($M148:$M148)</f>
        <v>37.650000000139698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-14T22:20:19-0600',mode:absolute,to:'2017-05-15T01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23.315100000000001</v>
      </c>
      <c r="Z148" s="192">
        <f>RIGHT(H148,LEN(H148)-4)/10000</f>
        <v>6.7999999999999996E-3</v>
      </c>
      <c r="AA148" s="192">
        <f>ABS(Z148-Y148)</f>
        <v>23.308300000000003</v>
      </c>
      <c r="AB148" s="57" t="str">
        <f>VLOOKUP(A148,Enforcements!$C$7:$K$13,8,0)</f>
        <v>Bulletin (2)</v>
      </c>
      <c r="AC148" s="53" t="str">
        <f>VLOOKUP(A148,Enforcements!$C$7:$E$13,3,0)</f>
        <v>GRADE CROSSING</v>
      </c>
      <c r="AD148" s="54" t="str">
        <f>IF(LEN(A148)=6,"0"&amp;A148,A148)</f>
        <v>0236-14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/stypes="app*4001*20170515*" /stext=" 06:.+((SYSTEM_STATE.+slice.+state.+changed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22"/>
        <v>"%USERPROFILE%\Documents\GitHub\eaglep3\Utilities\RefineRTDCRunTimes.py" --tripid 236-14 --locoid 4001 --swversion DE.1.0.9.0 --startMP 204:233151 --initTime 2017-05-14T23:20:19 --startdatetime 2017-05-14T23:26:36 --delay 1 --endMP 204:68 --enddatetime 2017-05-15T00:04:15 --enforcementcount 0 &gt;&gt;C:\Users\stu\Documents\GitHub\eaglep3-reporting\EC\2017-05-14-refined-times.txt</v>
      </c>
      <c r="AI148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{"issue":{"subject":"","project_id":79,"tracker_id":40,"status_id":1,"priority_id":2,"assigned_to_id":23,"start_date":"2017-05-15","description":"","custom_fields":[{"id":1,"name":"Subdivision","value":"EC"},{"id":4,"name":"Milepost","value":"0.0068"},{"id":17,"name":"Train ID","value":"236-14"},{"id":16,"name":"Locomotive ID","value":"4001"},{"id":130,"name":"Impact","value":""},{"id":150,"name":"Time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24"/>
        <v>start /low /b %USERPROFILE%\Documents\GitHub\eaglep3\Utilities\DownloadLogsFromS3.py --loco 4001 --day 2017-05-14</v>
      </c>
      <c r="AN148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06:04:15"},{"id":29,"name":"Sharepoint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806</v>
      </c>
      <c r="B149" s="7">
        <v>4012</v>
      </c>
      <c r="C149" s="21" t="s">
        <v>206</v>
      </c>
      <c r="D149" s="21" t="s">
        <v>203</v>
      </c>
      <c r="E149" s="13">
        <v>42869.955243055556</v>
      </c>
      <c r="F149" s="13">
        <v>42869.958923611113</v>
      </c>
      <c r="G149" s="7">
        <v>1</v>
      </c>
      <c r="H149" s="21" t="s">
        <v>556</v>
      </c>
      <c r="I149" s="13">
        <v>42869.983981481484</v>
      </c>
      <c r="J149" s="7">
        <v>0</v>
      </c>
      <c r="K149" s="92" t="str">
        <f>IF(ISEVEN(B149),(B149-1)&amp;"/"&amp;B149,B149&amp;"/"&amp;(B149+1))</f>
        <v>4011/4012</v>
      </c>
      <c r="L149" s="21" t="str">
        <f>VLOOKUP(A149,'Trips&amp;Operators'!$C$1:$G$99999,5,FALSE)</f>
        <v>CHANDLER KELVIN</v>
      </c>
      <c r="M149" s="6">
        <f>I149-F149</f>
        <v>2.5057870370801538E-2</v>
      </c>
      <c r="N149" s="7">
        <f>24*60*SUM($M149:$M149)</f>
        <v>36.083333333954215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-14T21:55:33-0600',mode:absolute,to:'2017-05-15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4.5999999999999999E-2</v>
      </c>
      <c r="Z149" s="192">
        <f>RIGHT(H149,LEN(H149)-4)/10000</f>
        <v>23.3291</v>
      </c>
      <c r="AA149" s="192">
        <f>ABS(Z149-Y149)</f>
        <v>23.283100000000001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0237-14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s3://rtdc.mdm.uploadarchive.raw/RTDC4012/ "%USERPROFILE%\AppData\Local\Temp\OnboardLogs"\RTDC4012\2017-05-14 --exclude "*" --recursive --include "*20170514*" &amp; "%USERPROFILE%\Documents\GitHub\mrs-test-scripts\Headless Mode &amp; Sideloading\WalkAndUnGZ.bat" "%USERPROFILE%\AppData\Local\Temp\OnboardLogs"\RTDC4012\2017-05-14 &amp; 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/stypes="app*4012*20170515*"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22"/>
        <v>"%USERPROFILE%\Documents\GitHub\eaglep3\Utilities\RefineRTDCRunTimes.py" --tripid 237-14 --locoid 4012 --swversion DE.1.0.9.0 --startMP 204:460 --initTime 2017-05-14T22:55:33 --startdatetime 2017-05-14T23:00:51 --delay 1 --endMP 204:233291 --enddatetime 2017-05-14T23:36:56 --enforcementcount 0 &gt;&gt;C:\Users\stu\Documents\GitHub\eaglep3-reporting\EC\2017-05-14-refined-times.txt</v>
      </c>
      <c r="AI149" s="99" t="str">
        <f t="shared" si="23"/>
        <v>echo {"issue":{"subject":"","project_id":79,"tracker_id":40,"status_id":1,"priority_id":2,"assigned_to_id":23,"start_date":"2017-05-14","description":"","custom_fields":[{"id":1,"name":"Subdivision","value":"EC"},{"id":4,"name":"Milepost","value":"23.3291"},{"id":17,"name":"Train ID","value":"237-14"},{"id":16,"name":"Locomotive ID","value":"4012"},{"id":130,"name":"Impact","value":""},{"id":150,"name":"Time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24"/>
        <v>start /low /b %USERPROFILE%\Documents\GitHub\eaglep3\Utilities\DownloadLogsFromS3.py --loco 4012 --day 2017-05-14</v>
      </c>
      <c r="AN149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809</v>
      </c>
      <c r="B150" s="7">
        <v>4011</v>
      </c>
      <c r="C150" s="21" t="s">
        <v>206</v>
      </c>
      <c r="D150" s="21" t="s">
        <v>559</v>
      </c>
      <c r="E150" s="13">
        <v>42869.995196759257</v>
      </c>
      <c r="F150" s="13">
        <v>42869.997604166667</v>
      </c>
      <c r="G150" s="7">
        <v>1</v>
      </c>
      <c r="H150" s="21" t="s">
        <v>571</v>
      </c>
      <c r="I150" s="13">
        <v>42870.025555555556</v>
      </c>
      <c r="J150" s="7">
        <v>0</v>
      </c>
      <c r="K150" s="92" t="str">
        <f>IF(ISEVEN(B150),(B150-1)&amp;"/"&amp;B150,B150&amp;"/"&amp;(B150+1))</f>
        <v>4011/4012</v>
      </c>
      <c r="L150" s="21" t="str">
        <f>VLOOKUP(A150,'Trips&amp;Operators'!$C$1:$G$99999,5,FALSE)</f>
        <v>CHANDLER KELVIN</v>
      </c>
      <c r="M150" s="6">
        <f>I150-F150</f>
        <v>2.7951388889050577E-2</v>
      </c>
      <c r="N150" s="7">
        <f>24*60*SUM($M150:$M150)</f>
        <v>40.250000000232831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-14T22:53:05-0600',mode:absolute,to:'2017-05-15T01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23.297599999999999</v>
      </c>
      <c r="Z150" s="192">
        <f>RIGHT(H150,LEN(H150)-4)/10000</f>
        <v>1.61E-2</v>
      </c>
      <c r="AA150" s="192">
        <f>ABS(Z150-Y150)</f>
        <v>23.281499999999998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0238-14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/stypes="app*4011*20170515*"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22"/>
        <v>"%USERPROFILE%\Documents\GitHub\eaglep3\Utilities\RefineRTDCRunTimes.py" --tripid 238-14 --locoid 4011 --swversion DE.1.0.9.0 --startMP 204:232976 --initTime 2017-05-14T23:53:05 --startdatetime 2017-05-14T23:56:33 --delay 1 --endMP 204:161 --enddatetime 2017-05-15T00:36:48 --enforcementcount 0 &gt;&gt;C:\Users\stu\Documents\GitHub\eaglep3-reporting\EC\2017-05-14-refined-times.txt</v>
      </c>
      <c r="AI150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{"issue":{"subject":"","project_id":79,"tracker_id":40,"status_id":1,"priority_id":2,"assigned_to_id":23,"start_date":"2017-05-15","description":"","custom_fields":[{"id":1,"name":"Subdivision","value":"EC"},{"id":4,"name":"Milepost","value":"0.0161"},{"id":17,"name":"Train ID","value":"238-14"},{"id":16,"name":"Locomotive ID","value":"4011"},{"id":130,"name":"Impact","value":""},{"id":150,"name":"Time of Event (Mountain Time)","value":"00:36:48"},{"id":151,"name":"Denver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24"/>
        <v>start /low /b %USERPROFILE%\Documents\GitHub\eaglep3\Utilities\DownloadLogsFromS3.py --loco 4011 --day 2017-05-14</v>
      </c>
      <c r="AN150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807</v>
      </c>
      <c r="B151" s="7">
        <v>4006</v>
      </c>
      <c r="C151" s="21" t="s">
        <v>206</v>
      </c>
      <c r="D151" s="21" t="s">
        <v>371</v>
      </c>
      <c r="E151" s="13">
        <v>42869.962395833332</v>
      </c>
      <c r="F151" s="13">
        <v>42869.97934027778</v>
      </c>
      <c r="G151" s="7">
        <v>1</v>
      </c>
      <c r="H151" s="21" t="s">
        <v>430</v>
      </c>
      <c r="I151" s="13">
        <v>42870.003541666665</v>
      </c>
      <c r="J151" s="7">
        <v>0</v>
      </c>
      <c r="K151" s="92" t="str">
        <f>IF(ISEVEN(B151),(B151-1)&amp;"/"&amp;B151,B151&amp;"/"&amp;(B151+1))</f>
        <v>4005/4006</v>
      </c>
      <c r="L151" s="21" t="str">
        <f>VLOOKUP(A151,'Trips&amp;Operators'!$C$1:$G$99999,5,FALSE)</f>
        <v>NEWELL JAMES</v>
      </c>
      <c r="M151" s="6">
        <f>I151-F151</f>
        <v>2.4201388885558117E-2</v>
      </c>
      <c r="N151" s="7">
        <f>24*60*SUM($M151:$M151)</f>
        <v>34.849999995203689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-14T22:05:51-0600',mode:absolute,to:'2017-05-15T01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4.4699999999999997E-2</v>
      </c>
      <c r="Z151" s="192">
        <f>RIGHT(H151,LEN(H151)-4)/10000</f>
        <v>23.3293</v>
      </c>
      <c r="AA151" s="192">
        <f>ABS(Z151-Y151)</f>
        <v>23.284600000000001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0239-14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/stypes="app*4006*20170515*"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22"/>
        <v>"%USERPROFILE%\Documents\GitHub\eaglep3\Utilities\RefineRTDCRunTimes.py" --tripid 239-14 --locoid 4006 --swversion DE.1.0.9.0 --startMP 204:447 --initTime 2017-05-14T23:05:51 --startdatetime 2017-05-14T23:30:15 --delay 1 --endMP 204:233293 --enddatetime 2017-05-15T00:05:06 --enforcementcount 0 &gt;&gt;C:\Users\stu\Documents\GitHub\eaglep3-reporting\EC\2017-05-14-refined-times.txt</v>
      </c>
      <c r="AI151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{"issue":{"subject":"","project_id":79,"tracker_id":40,"status_id":1,"priority_id":2,"assigned_to_id":23,"start_date":"2017-05-15","description":"","custom_fields":[{"id":1,"name":"Subdivision","value":"EC"},{"id":4,"name":"Milepost","value":"23.3293"},{"id":17,"name":"Train ID","value":"239-14"},{"id":16,"name":"Locomotive ID","value":"4006"},{"id":130,"name":"Impact","value":""},{"id":150,"name":"Time of Event (Mountain Time)","value":"00:05:06"},{"id":151,"name":"Denver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24"/>
        <v>start /low /b %USERPROFILE%\Documents\GitHub\eaglep3\Utilities\DownloadLogsFromS3.py --loco 4006 --day 2017-05-14</v>
      </c>
      <c r="AN151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06:05:06"},{"id":29,"name":"Sharepoint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810</v>
      </c>
      <c r="B152" s="7">
        <v>4005</v>
      </c>
      <c r="C152" s="21" t="s">
        <v>206</v>
      </c>
      <c r="D152" s="21" t="s">
        <v>955</v>
      </c>
      <c r="E152" s="13">
        <v>42870.01158564815</v>
      </c>
      <c r="F152" s="13">
        <v>42870.018206018518</v>
      </c>
      <c r="G152" s="7">
        <v>1</v>
      </c>
      <c r="H152" s="21" t="s">
        <v>560</v>
      </c>
      <c r="I152" s="13">
        <v>42870.044039351851</v>
      </c>
      <c r="J152" s="7">
        <v>0</v>
      </c>
      <c r="K152" s="92" t="str">
        <f>IF(ISEVEN(B152),(B152-1)&amp;"/"&amp;B152,B152&amp;"/"&amp;(B152+1))</f>
        <v>4005/4006</v>
      </c>
      <c r="L152" s="21" t="str">
        <f>VLOOKUP(A152,'Trips&amp;Operators'!$C$1:$G$99999,5,FALSE)</f>
        <v>NEWELL JAMES</v>
      </c>
      <c r="M152" s="6">
        <f>I152-F152</f>
        <v>2.5833333333139308E-2</v>
      </c>
      <c r="N152" s="7">
        <f>24*60*SUM($M152:$M152)</f>
        <v>37.199999999720603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-14T23:16:41-0600',mode:absolute,to:'2017-05-15T02:03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23.2971</v>
      </c>
      <c r="Z152" s="192">
        <f>RIGHT(H152,LEN(H152)-4)/10000</f>
        <v>1.54E-2</v>
      </c>
      <c r="AA152" s="192">
        <f>ABS(Z152-Y152)</f>
        <v>23.281700000000001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0240-14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 &amp; aws s3 cp s3://rtdc.mdm.uploadarchive.raw/RTDC4005/ "%USERPROFILE%\AppData\Local\Temp\OnboardLogs"\RTDC4005\2017-05-16 --exclude "*" --recursive --include "*20170516*" &amp; "%USERPROFILE%\Documents\GitHub\mrs-test-scripts\Headless Mode &amp; Sideloading\WalkAndUnGZ.bat" "%USERPROFILE%\AppData\Local\Temp\OnboardLogs"\RTDC4005\2017-05-16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/stypes="app*4005*20170515*" /stext=" 07:.+((SYSTEM_STATE.+slice.+state.+changed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22"/>
        <v>"%USERPROFILE%\Documents\GitHub\eaglep3\Utilities\RefineRTDCRunTimes.py" --tripid 240-14 --locoid 4005 --swversion DE.1.0.9.0 --startMP 204:232971 --initTime 2017-05-15T00:16:41 --startdatetime 2017-05-15T00:26:13 --delay 1 --endMP 204:154 --enddatetime 2017-05-15T01:03:25 --enforcementcount 0 &gt;&gt;C:\Users\stu\Documents\GitHub\eaglep3-reporting\EC\2017-05-14-refined-times.txt</v>
      </c>
      <c r="AI152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{"issue":{"subject":"","project_id":79,"tracker_id":40,"status_id":1,"priority_id":2,"assigned_to_id":23,"start_date":"2017-05-15","description":"","custom_fields":[{"id":1,"name":"Subdivision","value":"EC"},{"id":4,"name":"Milepost","value":"0.0154"},{"id":17,"name":"Train ID","value":"240-14"},{"id":16,"name":"Locomotive ID","value":"4005"},{"id":130,"name":"Impact","value":""},{"id":150,"name":"Time of Event (Mountain Time)","value":"01:03:25"},{"id":151,"name":"Denver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24"/>
        <v>start /low /b %USERPROFILE%\Documents\GitHub\eaglep3\Utilities\DownloadLogsFromS3.py --loco 4005 --day 2017-05-15</v>
      </c>
      <c r="AN152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07:03:25"},{"id":29,"name":"Sharepoint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808</v>
      </c>
      <c r="B153" s="7">
        <v>4046</v>
      </c>
      <c r="C153" s="21" t="s">
        <v>206</v>
      </c>
      <c r="D153" s="21" t="s">
        <v>432</v>
      </c>
      <c r="E153" s="13">
        <v>42869.984942129631</v>
      </c>
      <c r="F153" s="13">
        <v>42870.0002662037</v>
      </c>
      <c r="G153" s="7">
        <v>1</v>
      </c>
      <c r="H153" s="21" t="s">
        <v>563</v>
      </c>
      <c r="I153" s="13">
        <v>42870.025254629632</v>
      </c>
      <c r="J153" s="7">
        <v>0</v>
      </c>
      <c r="K153" s="92" t="str">
        <f>IF(ISEVEN(B153),(B153-1)&amp;"/"&amp;B153,B153&amp;"/"&amp;(B153+1))</f>
        <v>4045/4046</v>
      </c>
      <c r="L153" s="21" t="str">
        <f>VLOOKUP(A153,'Trips&amp;Operators'!$C$1:$G$99999,5,FALSE)</f>
        <v>SMITH MICHAEL</v>
      </c>
      <c r="M153" s="6">
        <f>I153-F153</f>
        <v>2.4988425931951497E-2</v>
      </c>
      <c r="N153" s="7">
        <f>24*60*SUM($M153:$M153)</f>
        <v>35.983333342010155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-14T22:38:19-0600',mode:absolute,to:'2017-05-15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4.7699999999999999E-2</v>
      </c>
      <c r="Z153" s="192">
        <f>RIGHT(H153,LEN(H153)-4)/10000</f>
        <v>23.338000000000001</v>
      </c>
      <c r="AA153" s="192">
        <f>ABS(Z153-Y153)</f>
        <v>23.290300000000002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0241-14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 &amp; aws s3 cp s3://rtdc.mdm.uploadarchive.raw/RTDC4046/ "%USERPROFILE%\AppData\Local\Temp\OnboardLogs"\RTDC4046\2017-05-16 --exclude "*" --recursive --include "*20170516*" &amp; "%USERPROFILE%\Documents\GitHub\mrs-test-scripts\Headless Mode &amp; Sideloading\WalkAndUnGZ.bat" "%USERPROFILE%\AppData\Local\Temp\OnboardLogs"\RTDC4046\2017-05-16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/stypes="app*4046*20170515*"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22"/>
        <v>"%USERPROFILE%\Documents\GitHub\eaglep3\Utilities\RefineRTDCRunTimes.py" --tripid 241-14 --locoid 4046 --swversion DE.1.0.9.0 --startMP 204:477 --initTime 2017-05-14T23:38:19 --startdatetime 2017-05-15T00:00:23 --delay 1 --endMP 204:233380 --enddatetime 2017-05-15T00:36:22 --enforcementcount 0 &gt;&gt;C:\Users\stu\Documents\GitHub\eaglep3-reporting\EC\2017-05-14-refined-times.txt</v>
      </c>
      <c r="AI153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{"issue":{"subject":"","project_id":79,"tracker_id":40,"status_id":1,"priority_id":2,"assigned_to_id":23,"start_date":"2017-05-15","description":"","custom_fields":[{"id":1,"name":"Subdivision","value":"EC"},{"id":4,"name":"Milepost","value":"23.338"},{"id":17,"name":"Train ID","value":"241-14"},{"id":16,"name":"Locomotive ID","value":"4046"},{"id":130,"name":"Impact","value":""},{"id":150,"name":"Time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24"/>
        <v>start /low /b %USERPROFILE%\Documents\GitHub\eaglep3\Utilities\DownloadLogsFromS3.py --loco 4046 --day 2017-05-15</v>
      </c>
      <c r="AN153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812</v>
      </c>
      <c r="B154" s="7">
        <v>4045</v>
      </c>
      <c r="C154" s="21" t="s">
        <v>206</v>
      </c>
      <c r="D154" s="21" t="s">
        <v>565</v>
      </c>
      <c r="E154" s="13">
        <v>42870.033078703702</v>
      </c>
      <c r="F154" s="13">
        <v>42870.0393287037</v>
      </c>
      <c r="G154" s="7">
        <v>1</v>
      </c>
      <c r="H154" s="21" t="s">
        <v>847</v>
      </c>
      <c r="I154" s="13">
        <v>42870.065555555557</v>
      </c>
      <c r="J154" s="7">
        <v>0</v>
      </c>
      <c r="K154" s="92" t="str">
        <f>IF(ISEVEN(B154),(B154-1)&amp;"/"&amp;B154,B154&amp;"/"&amp;(B154+1))</f>
        <v>4045/4046</v>
      </c>
      <c r="L154" s="21" t="str">
        <f>VLOOKUP(A154,'Trips&amp;Operators'!$C$1:$G$99999,5,FALSE)</f>
        <v>SMITH MICHAEL</v>
      </c>
      <c r="M154" s="6">
        <f>I154-F154</f>
        <v>2.6226851856335998E-2</v>
      </c>
      <c r="N154" s="7">
        <f>24*60*SUM($M154:$M154)</f>
        <v>37.766666673123837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-14T23:47:38-0600',mode:absolute,to:'2017-05-15T02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92" t="str">
        <f>IF(AA154&lt;IF(AG154="EC",23,5.65),"Y","N")</f>
        <v>N</v>
      </c>
      <c r="X154" s="192">
        <f>VALUE(LEFT(AD154,4))-VALUE(LEFT(AD153,4))</f>
        <v>1</v>
      </c>
      <c r="Y154" s="192">
        <f>RIGHT(D154,LEN(D154)-4)/10000</f>
        <v>23.3125</v>
      </c>
      <c r="Z154" s="192">
        <f>RIGHT(H154,LEN(H154)-4)/10000</f>
        <v>1.6500000000000001E-2</v>
      </c>
      <c r="AA154" s="192">
        <f>ABS(Z154-Y154)</f>
        <v>23.295999999999999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0242-14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 &amp; aws s3 cp s3://rtdc.mdm.uploadarchive.raw/RTDC4045/ "%USERPROFILE%\AppData\Local\Temp\OnboardLogs"\RTDC4045\2017-05-16 --exclude "*" --recursive --include "*20170516*" &amp; "%USERPROFILE%\Documents\GitHub\mrs-test-scripts\Headless Mode &amp; Sideloading\WalkAndUnGZ.bat" "%USERPROFILE%\AppData\Local\Temp\OnboardLogs"\RTDC4045\2017-05-16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/stypes="app*4045*20170515*"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22"/>
        <v>"%USERPROFILE%\Documents\GitHub\eaglep3\Utilities\RefineRTDCRunTimes.py" --tripid 242-14 --locoid 4045 --swversion DE.1.0.9.0 --startMP 204:233125 --initTime 2017-05-15T00:47:38 --startdatetime 2017-05-15T00:56:38 --delay 1 --endMP 204:165 --enddatetime 2017-05-15T01:34:24 --enforcementcount 0 &gt;&gt;C:\Users\stu\Documents\GitHub\eaglep3-reporting\EC\2017-05-14-refined-times.txt</v>
      </c>
      <c r="AI154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{"issue":{"subject":"","project_id":79,"tracker_id":40,"status_id":1,"priority_id":2,"assigned_to_id":23,"start_date":"2017-05-15","description":"","custom_fields":[{"id":1,"name":"Subdivision","value":"EC"},{"id":4,"name":"Milepost","value":"0.0165"},{"id":17,"name":"Train ID","value":"242-14"},{"id":16,"name":"Locomotive ID","value":"4045"},{"id":130,"name":"Impact","value":""},{"id":150,"name":"Time of Event (Mountain Time)","value":"01:34:24"},{"id":151,"name":"Denver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24"/>
        <v>start /low /b %USERPROFILE%\Documents\GitHub\eaglep3\Utilities\DownloadLogsFromS3.py --loco 4045 --day 2017-05-15</v>
      </c>
      <c r="AN154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07:34:24"},{"id":29,"name":"Sharepoint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621</v>
      </c>
      <c r="B155" s="7">
        <v>4002</v>
      </c>
      <c r="C155" s="21" t="s">
        <v>206</v>
      </c>
      <c r="D155" s="21" t="s">
        <v>971</v>
      </c>
      <c r="E155" s="13">
        <v>42870.00503472222</v>
      </c>
      <c r="F155" s="13">
        <v>42870.021145833336</v>
      </c>
      <c r="G155" s="7">
        <v>1</v>
      </c>
      <c r="H155" s="21" t="s">
        <v>972</v>
      </c>
      <c r="I155" s="13">
        <v>42870.046701388892</v>
      </c>
      <c r="J155" s="7">
        <v>0</v>
      </c>
      <c r="K155" s="92" t="str">
        <f>IF(ISEVEN(B155),(B155-1)&amp;"/"&amp;B155,B155&amp;"/"&amp;(B155+1))</f>
        <v>4001/4002</v>
      </c>
      <c r="L155" s="21" t="str">
        <f>VLOOKUP(A155,'Trips&amp;Operators'!$C$1:$G$99999,5,FALSE)</f>
        <v>STAMBAUGH JAMES</v>
      </c>
      <c r="M155" s="6">
        <f>I155-F155</f>
        <v>2.5555555555911269E-2</v>
      </c>
      <c r="N155" s="7">
        <f>24*60*SUM($M155:$M155)</f>
        <v>36.800000000512227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-14T23:07:15-0600',mode:absolute,to:'2017-05-15T02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5" s="192" t="str">
        <f>IF(AA155&lt;IF(AG155="EC",23,5.65),"Y","N")</f>
        <v>N</v>
      </c>
      <c r="X155" s="192">
        <f t="shared" ref="X155:X163" si="26">VALUE(LEFT(AD155,4))-VALUE(LEFT(AD154,4))</f>
        <v>1</v>
      </c>
      <c r="Y155" s="192">
        <f>RIGHT(D155,LEN(D155)-4)/10000</f>
        <v>3.7100000000000001E-2</v>
      </c>
      <c r="Z155" s="192">
        <f>RIGHT(H155,LEN(H155)-4)/10000</f>
        <v>23.337599999999998</v>
      </c>
      <c r="AA155" s="192">
        <f>ABS(Z155-Y155)</f>
        <v>23.3005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0243-14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 &amp; 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/stypes="app*4002*20170515*"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22"/>
        <v>"%USERPROFILE%\Documents\GitHub\eaglep3\Utilities\RefineRTDCRunTimes.py" --tripid 243-14 --locoid 4002 --swversion DE.1.0.9.0 --startMP 204:371 --initTime 2017-05-15T00:07:15 --startdatetime 2017-05-15T00:30:27 --delay 1 --endMP 204:233376 --enddatetime 2017-05-15T01:07:15 --enforcementcount 0 &gt;&gt;C:\Users\stu\Documents\GitHub\eaglep3-reporting\EC\2017-05-14-refined-times.txt</v>
      </c>
      <c r="AI155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{"issue":{"subject":"","project_id":79,"tracker_id":40,"status_id":1,"priority_id":2,"assigned_to_id":23,"start_date":"2017-05-15","description":"","custom_fields":[{"id":1,"name":"Subdivision","value":"EC"},{"id":4,"name":"Milepost","value":"23.3376"},{"id":17,"name":"Train ID","value":"243-14"},{"id":16,"name":"Locomotive ID","value":"4002"},{"id":130,"name":"Impact","value":""},{"id":150,"name":"Time of Event (Mountain Time)","value":"01:07:15"},{"id":151,"name":"Denver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24"/>
        <v>start /low /b %USERPROFILE%\Documents\GitHub\eaglep3\Utilities\DownloadLogsFromS3.py --loco 4002 --day 2017-05-15</v>
      </c>
      <c r="AN155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07:07:15"},{"id":29,"name":"Sharepoint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814</v>
      </c>
      <c r="B156" s="7">
        <v>4001</v>
      </c>
      <c r="C156" s="21" t="s">
        <v>206</v>
      </c>
      <c r="D156" s="21" t="s">
        <v>866</v>
      </c>
      <c r="E156" s="13">
        <v>42870.057511574072</v>
      </c>
      <c r="F156" s="13">
        <v>42870.060069444444</v>
      </c>
      <c r="G156" s="7">
        <v>1</v>
      </c>
      <c r="H156" s="21" t="s">
        <v>359</v>
      </c>
      <c r="I156" s="13">
        <v>42870.086006944446</v>
      </c>
      <c r="J156" s="7">
        <v>0</v>
      </c>
      <c r="K156" s="92" t="str">
        <f>IF(ISEVEN(B156),(B156-1)&amp;"/"&amp;B156,B156&amp;"/"&amp;(B156+1))</f>
        <v>4001/4002</v>
      </c>
      <c r="L156" s="21" t="str">
        <f>VLOOKUP(A156,'Trips&amp;Operators'!$C$1:$G$99999,5,FALSE)</f>
        <v>STAMBAUGH JAMES</v>
      </c>
      <c r="M156" s="6">
        <f>I156-F156</f>
        <v>2.5937500002328306E-2</v>
      </c>
      <c r="N156" s="7">
        <f>24*60*SUM($M156:$M156)</f>
        <v>37.350000003352761</v>
      </c>
      <c r="O156" s="7"/>
      <c r="P156" s="7"/>
      <c r="Q156" s="22"/>
      <c r="R156" s="190"/>
      <c r="S156" s="196">
        <f>SUM(U156:U156)/IF(AG156="EC",12,1)</f>
        <v>1</v>
      </c>
      <c r="T156" s="190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-15T00:22:49-0600',mode:absolute,to:'2017-05-15T03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6" s="192" t="str">
        <f>IF(AA156&lt;IF(AG156="EC",23,5.65),"Y","N")</f>
        <v>N</v>
      </c>
      <c r="X156" s="192">
        <f t="shared" si="26"/>
        <v>1</v>
      </c>
      <c r="Y156" s="192">
        <f>RIGHT(D156,LEN(D156)-4)/10000</f>
        <v>23.309200000000001</v>
      </c>
      <c r="Z156" s="192">
        <f>RIGHT(H156,LEN(H156)-4)/10000</f>
        <v>1.49E-2</v>
      </c>
      <c r="AA156" s="192">
        <f>ABS(Z156-Y156)</f>
        <v>23.2943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0244-14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 &amp; aws s3 cp s3://rtdc.mdm.uploadarchive.raw/RTDC4001/ "%USERPROFILE%\AppData\Local\Temp\OnboardLogs"\RTDC4001\2017-05-16 --exclude "*" --recursive --include "*20170516*" &amp; "%USERPROFILE%\Documents\GitHub\mrs-test-scripts\Headless Mode &amp; Sideloading\WalkAndUnGZ.bat" "%USERPROFILE%\AppData\Local\Temp\OnboardLogs"\RTDC4001\2017-05-16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/stypes="app*4001*20170515*" /stext=" 08:.+((SYSTEM_STATE.+slice.+state.+changed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22"/>
        <v>"%USERPROFILE%\Documents\GitHub\eaglep3\Utilities\RefineRTDCRunTimes.py" --tripid 244-14 --locoid 4001 --swversion DE.1.0.9.0 --startMP 204:233092 --initTime 2017-05-15T01:22:49 --startdatetime 2017-05-15T01:26:30 --delay 1 --endMP 204:149 --enddatetime 2017-05-15T02:03:51 --enforcementcount 0 &gt;&gt;C:\Users\stu\Documents\GitHub\eaglep3-reporting\EC\2017-05-14-refined-times.txt</v>
      </c>
      <c r="AI156" s="99" t="str">
        <f t="shared" si="23"/>
        <v>echo {"issue":{"subject":"","project_id":79,"tracker_id":40,"status_id":1,"priority_id":2,"assigned_to_id":23,"start_date":"2017-05-15","description":"","custom_fields":[{"id":1,"name":"Subdivision","value":"EC"},{"id":4,"name":"Milepost","value":"0.0149"},{"id":17,"name":"Train ID","value":"244-14"},{"id":16,"name":"Locomotive ID","value":"4001"},{"id":130,"name":"Impact","value":""},{"id":150,"name":"Time of Event (Mountain Time)","value":"02:03:51"},{"id":151,"name":"Denver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24"/>
        <v>start /low /b %USERPROFILE%\Documents\GitHub\eaglep3\Utilities\DownloadLogsFromS3.py --loco 4001 --day 2017-05-15</v>
      </c>
      <c r="AN156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08:03:51"},{"id":29,"name":"Sharepoint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661</v>
      </c>
      <c r="B157" s="7">
        <v>4025</v>
      </c>
      <c r="C157" s="21" t="s">
        <v>206</v>
      </c>
      <c r="D157" s="21" t="s">
        <v>484</v>
      </c>
      <c r="E157" s="13">
        <v>42869.231909722221</v>
      </c>
      <c r="F157" s="13">
        <v>42869.237395833334</v>
      </c>
      <c r="G157" s="7">
        <v>1</v>
      </c>
      <c r="H157" s="21" t="s">
        <v>895</v>
      </c>
      <c r="I157" s="13">
        <v>42869.245995370373</v>
      </c>
      <c r="J157" s="7">
        <v>0</v>
      </c>
      <c r="K157" s="92" t="str">
        <f>IF(ISEVEN(B157),(B157-1)&amp;"/"&amp;B157,B157&amp;"/"&amp;(B157+1))</f>
        <v>4025/4026</v>
      </c>
      <c r="L157" s="21" t="str">
        <f>VLOOKUP(A157,'Trips&amp;Operators'!$C$1:$G$99999,5,FALSE)</f>
        <v>YORK EDGAR</v>
      </c>
      <c r="M157" s="6">
        <f>I157-F157</f>
        <v>8.599537039117422E-3</v>
      </c>
      <c r="N157" s="7">
        <f>24*60*SUM($M157:$M157)</f>
        <v>12.383333336329088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-14T04:33:57-0600',mode:absolute,to:'2017-05-14T06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192" t="str">
        <f>IF(AA157&lt;IF(AG157="EC",23,5.65),"Y","N")</f>
        <v>N</v>
      </c>
      <c r="X157" s="192">
        <f t="shared" si="26"/>
        <v>1556</v>
      </c>
      <c r="Y157" s="192">
        <f>RIGHT(D157,LEN(D157)-4)/10000</f>
        <v>5.8609</v>
      </c>
      <c r="Z157" s="192">
        <f>RIGHT(H157,LEN(H157)-4)/10000</f>
        <v>7.3999999999999996E-2</v>
      </c>
      <c r="AA157" s="192">
        <f>ABS(Z157-Y157)</f>
        <v>5.7869000000000002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1800-14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/stypes="app*4025*20170514*" /stext=" 11:.+((SYSTEM_STATE.+slice.+state.+changed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NW</v>
      </c>
      <c r="AH157" s="81" t="str">
        <f t="shared" si="22"/>
        <v>"%USERPROFILE%\Documents\GitHub\eaglep3\Utilities\RefineRTDCRunTimes.py" --tripid 1800-14 --locoid 4025 --swversion DE.1.0.9.0 --startMP 300:58609 --initTime 2017-05-14T05:33:57 --startdatetime 2017-05-14T05:41:51 --delay 1 --endMP 204:740 --enddatetime 2017-05-14T05:54:14 --enforcementcount 0 &gt;&gt;C:\Users\stu\Documents\GitHub\eaglep3-reporting\EC\2017-05-14-refined-times.txt</v>
      </c>
      <c r="AI157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{"issue":{"subject":"","project_id":79,"tracker_id":40,"status_id":1,"priority_id":2,"assigned_to_id":23,"start_date":"2017-05-14","description":"","custom_fields":[{"id":1,"name":"Subdivision","value":"NW"},{"id":4,"name":"Milepost","value":"0.074"},{"id":17,"name":"Train ID","value":"1800-14"},{"id":16,"name":"Locomotive ID","value":"4025"},{"id":130,"name":"Impact","value":""},{"id":150,"name":"Time of Event (Mountain Time)","value":"05:54:14"},{"id":151,"name":"Denver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24"/>
        <v>start /low /b %USERPROFILE%\Documents\GitHub\eaglep3\Utilities\DownloadLogsFromS3.py --loco 4025 --day 2017-05-14</v>
      </c>
      <c r="AN157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589</v>
      </c>
      <c r="B158" s="7">
        <v>4026</v>
      </c>
      <c r="C158" s="21" t="s">
        <v>206</v>
      </c>
      <c r="D158" s="21" t="s">
        <v>896</v>
      </c>
      <c r="E158" s="13">
        <v>42869.248449074075</v>
      </c>
      <c r="F158" s="13">
        <v>42869.265057870369</v>
      </c>
      <c r="G158" s="7">
        <v>0</v>
      </c>
      <c r="H158" s="21" t="s">
        <v>897</v>
      </c>
      <c r="I158" s="13">
        <v>42869.265856481485</v>
      </c>
      <c r="J158" s="7">
        <v>0</v>
      </c>
      <c r="K158" s="92" t="str">
        <f>IF(ISEVEN(B158),(B158-1)&amp;"/"&amp;B158,B158&amp;"/"&amp;(B158+1))</f>
        <v>4025/4026</v>
      </c>
      <c r="L158" s="21" t="str">
        <f>VLOOKUP(A158,'Trips&amp;Operators'!$C$1:$G$99999,5,FALSE)</f>
        <v>YORK EDGAR</v>
      </c>
      <c r="M158" s="6">
        <f>I158-F158</f>
        <v>7.9861111589707434E-4</v>
      </c>
      <c r="N158" s="7"/>
      <c r="O158" s="7"/>
      <c r="P158" s="7">
        <f>24*60*SUM($M158:$M158)</f>
        <v>1.1500000068917871</v>
      </c>
      <c r="Q158" s="22"/>
      <c r="R158" s="190" t="s">
        <v>579</v>
      </c>
      <c r="S158" s="196">
        <f>SUM(U158:U158)/IF(AG158="EC",12,1)</f>
        <v>0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-14T04:57:46-0600',mode:absolute,to:'2017-05-14T07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192" t="str">
        <f>IF(AA158&lt;IF(AG158="EC",23,5.65),"Y","N")</f>
        <v>Y</v>
      </c>
      <c r="X158" s="192">
        <f t="shared" si="26"/>
        <v>1</v>
      </c>
      <c r="Y158" s="192">
        <f>RIGHT(D158,LEN(D158)-4)/10000</f>
        <v>0.1028</v>
      </c>
      <c r="Z158" s="192">
        <f>RIGHT(H158,LEN(H158)-4)/10000</f>
        <v>0.37659999999999999</v>
      </c>
      <c r="AA158" s="192">
        <f>ABS(Z158-Y158)</f>
        <v>0.27379999999999999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1801-14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/stypes="app*4026*20170514*" /stext=" 12:.+((SYSTEM_STATE.+slice.+state.+changed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22"/>
        <v>"%USERPROFILE%\Documents\GitHub\eaglep3\Utilities\RefineRTDCRunTimes.py" --tripid 1801-14 --locoid 4026 --swversion DE.1.0.9.0 --startMP 204:1028 --initTime 2017-05-14T05:57:46 --startdatetime 2017-05-14T06:21:41 --delay 0 --endMP 204:3766 --enddatetime 2017-05-14T06:22:50 --enforcementcount 0 &gt;&gt;C:\Users\stu\Documents\GitHub\eaglep3-reporting\EC\2017-05-14-refined-times.txt</v>
      </c>
      <c r="AI158" s="99" t="str">
        <f t="shared" si="23"/>
        <v>echo {"issue":{"subject":"Wi-MAX data drop","project_id":79,"tracker_id":40,"status_id":1,"priority_id":2,"assigned_to_id":23,"start_date":"2017-05-14","description":"","custom_fields":[{"id":1,"name":"Subdivision","value":"NW"},{"id":4,"name":"Milepost","value":"0.3766"},{"id":17,"name":"Train ID","value":"1801-14"},{"id":16,"name":"Locomotive ID","value":"4026"},{"id":130,"name":"Impact","value":""},{"id":150,"name":"Time of Event (Mountain Time)","value":"06:22:50"},{"id":151,"name":"Denver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24"/>
        <v>start /low /b %USERPROFILE%\Documents\GitHub\eaglep3\Utilities\DownloadLogsFromS3.py --loco 4026 --day 2017-05-14</v>
      </c>
      <c r="AN158" s="154" t="str">
        <f t="shared" si="25"/>
        <v>echo {"issue":{"subject":"Wi-MAX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590</v>
      </c>
      <c r="B159" s="7">
        <v>4025</v>
      </c>
      <c r="C159" s="21" t="s">
        <v>206</v>
      </c>
      <c r="D159" s="21" t="s">
        <v>578</v>
      </c>
      <c r="E159" s="13">
        <v>42869.275324074071</v>
      </c>
      <c r="F159" s="13">
        <v>42869.279421296298</v>
      </c>
      <c r="G159" s="7">
        <v>0</v>
      </c>
      <c r="H159" s="21" t="s">
        <v>898</v>
      </c>
      <c r="I159" s="13">
        <v>42869.284375000003</v>
      </c>
      <c r="J159" s="7">
        <v>0</v>
      </c>
      <c r="K159" s="92" t="str">
        <f>IF(ISEVEN(B159),(B159-1)&amp;"/"&amp;B159,B159&amp;"/"&amp;(B159+1))</f>
        <v>4025/4026</v>
      </c>
      <c r="L159" s="21" t="str">
        <f>VLOOKUP(A159,'Trips&amp;Operators'!$C$1:$G$99999,5,FALSE)</f>
        <v>YORK EDGAR</v>
      </c>
      <c r="M159" s="6">
        <f>I159-F159</f>
        <v>4.9537037048139609E-3</v>
      </c>
      <c r="N159" s="7"/>
      <c r="O159" s="7"/>
      <c r="P159" s="7">
        <f>24*60*SUM($M159:$M159)</f>
        <v>7.1333333349321038</v>
      </c>
      <c r="Q159" s="22"/>
      <c r="R159" s="190" t="s">
        <v>579</v>
      </c>
      <c r="S159" s="196">
        <f>SUM(U159:U159)/IF(AG159="EC",12,1)</f>
        <v>0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-14T05:36:28-0600',mode:absolute,to:'2017-05-14T07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192" t="str">
        <f>IF(AA159&lt;IF(AG159="EC",23,5.65),"Y","N")</f>
        <v>Y</v>
      </c>
      <c r="X159" s="192">
        <f t="shared" si="26"/>
        <v>1</v>
      </c>
      <c r="Y159" s="192">
        <f>RIGHT(D159,LEN(D159)-4)/10000</f>
        <v>5.8615000000000004</v>
      </c>
      <c r="Z159" s="192">
        <f>RIGHT(H159,LEN(H159)-4)/10000</f>
        <v>1.8479000000000001</v>
      </c>
      <c r="AA159" s="192">
        <f>ABS(Z159-Y159)</f>
        <v>4.0136000000000003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1802-14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/stypes="app*4025*20170514*" /stext=" 12:.+((SYSTEM_STATE.+slice.+state.+changed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22"/>
        <v>"%USERPROFILE%\Documents\GitHub\eaglep3\Utilities\RefineRTDCRunTimes.py" --tripid 1802-14 --locoid 4025 --swversion DE.1.0.9.0 --startMP 300:58615 --initTime 2017-05-14T06:36:28 --startdatetime 2017-05-14T06:42:22 --delay 0 --endMP 300:18479 --enddatetime 2017-05-14T06:49:30 --enforcementcount 0 &gt;&gt;C:\Users\stu\Documents\GitHub\eaglep3-reporting\EC\2017-05-14-refined-times.txt</v>
      </c>
      <c r="AI159" s="99" t="str">
        <f t="shared" si="23"/>
        <v>echo {"issue":{"subject":"Wi-MAX data drop","project_id":79,"tracker_id":40,"status_id":1,"priority_id":2,"assigned_to_id":23,"start_date":"2017-05-14","description":"","custom_fields":[{"id":1,"name":"Subdivision","value":"NW"},{"id":4,"name":"Milepost","value":"1.8479"},{"id":17,"name":"Train ID","value":"1802-14"},{"id":16,"name":"Locomotive ID","value":"4025"},{"id":130,"name":"Impact","value":""},{"id":150,"name":"Time of Event (Mountain Time)","value":"06:49:30"},{"id":151,"name":"Denver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24"/>
        <v>start /low /b %USERPROFILE%\Documents\GitHub\eaglep3\Utilities\DownloadLogsFromS3.py --loco 4025 --day 2017-05-14</v>
      </c>
      <c r="AN159" s="154" t="str">
        <f t="shared" si="25"/>
        <v>echo {"issue":{"subject":"Wi-MAX data drop","project_id":30,"tracker_id":4,"status_id":1,"priority_id":1,"assigned_to_id":10,"start_date":"2017-05-14","description":"","custom_fields":[{"id":30,"name":"Category","value":"Issue"},{"id":3,"name":"Functional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673</v>
      </c>
      <c r="B160" s="7">
        <v>4026</v>
      </c>
      <c r="C160" s="21" t="s">
        <v>206</v>
      </c>
      <c r="D160" s="21" t="s">
        <v>899</v>
      </c>
      <c r="E160" s="13">
        <v>42869.304583333331</v>
      </c>
      <c r="F160" s="13">
        <v>42869.307546296295</v>
      </c>
      <c r="G160" s="7">
        <v>3</v>
      </c>
      <c r="H160" s="21" t="s">
        <v>900</v>
      </c>
      <c r="I160" s="13">
        <v>42869.315555555557</v>
      </c>
      <c r="J160" s="7">
        <v>0</v>
      </c>
      <c r="K160" s="92" t="str">
        <f>IF(ISEVEN(B160),(B160-1)&amp;"/"&amp;B160,B160&amp;"/"&amp;(B160+1))</f>
        <v>4025/4026</v>
      </c>
      <c r="L160" s="21" t="str">
        <f>VLOOKUP(A160,'Trips&amp;Operators'!$C$1:$G$99999,5,FALSE)</f>
        <v>YORK EDGAR</v>
      </c>
      <c r="M160" s="6">
        <f>I160-F160</f>
        <v>8.0092592615983449E-3</v>
      </c>
      <c r="N160" s="7">
        <f>24*60*SUM($M160:$M160)</f>
        <v>11.533333336701617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-14T06:18:36-0600',mode:absolute,to:'2017-05-14T08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0" s="192" t="str">
        <f>IF(AA160&lt;IF(AG160="EC",23,5.65),"Y","N")</f>
        <v>N</v>
      </c>
      <c r="X160" s="192">
        <f t="shared" si="26"/>
        <v>1</v>
      </c>
      <c r="Y160" s="192">
        <f>RIGHT(D160,LEN(D160)-4)/10000</f>
        <v>9.9900000000000003E-2</v>
      </c>
      <c r="Z160" s="192">
        <f>RIGHT(H160,LEN(H160)-4)/10000</f>
        <v>5.8940999999999999</v>
      </c>
      <c r="AA160" s="192">
        <f>ABS(Z160-Y160)</f>
        <v>5.7942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1803-14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/stypes="app*4026*20170514*" /stext=" 13:.+((SYSTEM_STATE.+slice.+state.+changed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22"/>
        <v>"%USERPROFILE%\Documents\GitHub\eaglep3\Utilities\RefineRTDCRunTimes.py" --tripid 1803-14 --locoid 4026 --swversion DE.1.0.9.0 --startMP 204:999 --initTime 2017-05-14T07:18:36 --startdatetime 2017-05-14T07:22:52 --delay 3 --endMP 300:58941 --enddatetime 2017-05-14T07:34:24 --enforcementcount 0 &gt;&gt;C:\Users\stu\Documents\GitHub\eaglep3-reporting\EC\2017-05-14-refined-times.txt</v>
      </c>
      <c r="AI160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{"issue":{"subject":"","project_id":79,"tracker_id":40,"status_id":1,"priority_id":2,"assigned_to_id":23,"start_date":"2017-05-14","description":"","custom_fields":[{"id":1,"name":"Subdivision","value":"NW"},{"id":4,"name":"Milepost","value":"5.8941"},{"id":17,"name":"Train ID","value":"1803-14"},{"id":16,"name":"Locomotive ID","value":"4026"},{"id":130,"name":"Impact","value":""},{"id":150,"name":"Time of Event (Mountain Time)","value":"07:34:24"},{"id":151,"name":"Denver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24"/>
        <v>start /low /b %USERPROFILE%\Documents\GitHub\eaglep3\Utilities\DownloadLogsFromS3.py --loco 4026 --day 2017-05-14</v>
      </c>
      <c r="AN160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676</v>
      </c>
      <c r="B161" s="7">
        <v>4025</v>
      </c>
      <c r="C161" s="21" t="s">
        <v>206</v>
      </c>
      <c r="D161" s="21" t="s">
        <v>901</v>
      </c>
      <c r="E161" s="13">
        <v>42869.318703703706</v>
      </c>
      <c r="F161" s="13">
        <v>42869.320671296293</v>
      </c>
      <c r="G161" s="7">
        <v>1</v>
      </c>
      <c r="H161" s="21" t="s">
        <v>902</v>
      </c>
      <c r="I161" s="13">
        <v>42869.329305555555</v>
      </c>
      <c r="J161" s="7">
        <v>0</v>
      </c>
      <c r="K161" s="92" t="str">
        <f>IF(ISEVEN(B161),(B161-1)&amp;"/"&amp;B161,B161&amp;"/"&amp;(B161+1))</f>
        <v>4025/4026</v>
      </c>
      <c r="L161" s="21" t="str">
        <f>VLOOKUP(A161,'Trips&amp;Operators'!$C$1:$G$99999,5,FALSE)</f>
        <v>YORK EDGAR</v>
      </c>
      <c r="M161" s="6">
        <f>I161-F161</f>
        <v>8.6342592621804215E-3</v>
      </c>
      <c r="N161" s="7">
        <f>24*60*SUM($M161:$M161)</f>
        <v>12.433333337539807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-14T06:38:56-0600',mode:absolute,to:'2017-05-14T08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92" t="str">
        <f>IF(AA161&lt;IF(AG161="EC",23,5.65),"Y","N")</f>
        <v>N</v>
      </c>
      <c r="X161" s="192">
        <f t="shared" si="26"/>
        <v>1</v>
      </c>
      <c r="Y161" s="192">
        <f>RIGHT(D161,LEN(D161)-4)/10000</f>
        <v>5.8632</v>
      </c>
      <c r="Z161" s="192">
        <f>RIGHT(H161,LEN(H161)-4)/10000</f>
        <v>7.0599999999999996E-2</v>
      </c>
      <c r="AA161" s="192">
        <f>ABS(Z161-Y161)</f>
        <v>5.7926000000000002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1804-14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/stypes="app*4025*20170514*" /stext=" 13:.+((SYSTEM_STATE.+slice.+state.+changed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22"/>
        <v>"%USERPROFILE%\Documents\GitHub\eaglep3\Utilities\RefineRTDCRunTimes.py" --tripid 1804-14 --locoid 4025 --swversion DE.1.0.9.0 --startMP 300:58632 --initTime 2017-05-14T07:38:56 --startdatetime 2017-05-14T07:41:46 --delay 1 --endMP 204:706 --enddatetime 2017-05-14T07:54:12 --enforcementcount 0 &gt;&gt;C:\Users\stu\Documents\GitHub\eaglep3-reporting\EC\2017-05-14-refined-times.txt</v>
      </c>
      <c r="AI161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{"issue":{"subject":"","project_id":79,"tracker_id":40,"status_id":1,"priority_id":2,"assigned_to_id":23,"start_date":"2017-05-14","description":"","custom_fields":[{"id":1,"name":"Subdivision","value":"NW"},{"id":4,"name":"Milepost","value":"0.0706"},{"id":17,"name":"Train ID","value":"1804-14"},{"id":16,"name":"Locomotive ID","value":"4025"},{"id":130,"name":"Impact","value":""},{"id":150,"name":"Time of Event (Mountain Time)","value":"07:54:12"},{"id":151,"name":"Denver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24"/>
        <v>start /low /b %USERPROFILE%\Documents\GitHub\eaglep3\Utilities\DownloadLogsFromS3.py --loco 4025 --day 2017-05-14</v>
      </c>
      <c r="AN161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679</v>
      </c>
      <c r="B162" s="7">
        <v>4026</v>
      </c>
      <c r="C162" s="21" t="s">
        <v>206</v>
      </c>
      <c r="D162" s="21" t="s">
        <v>574</v>
      </c>
      <c r="E162" s="13">
        <v>42869.331053240741</v>
      </c>
      <c r="F162" s="13">
        <v>42869.34815972222</v>
      </c>
      <c r="G162" s="7">
        <v>2</v>
      </c>
      <c r="H162" s="21" t="s">
        <v>577</v>
      </c>
      <c r="I162" s="13">
        <v>42869.356516203705</v>
      </c>
      <c r="J162" s="7">
        <v>0</v>
      </c>
      <c r="K162" s="92" t="str">
        <f>IF(ISEVEN(B162),(B162-1)&amp;"/"&amp;B162,B162&amp;"/"&amp;(B162+1))</f>
        <v>4025/4026</v>
      </c>
      <c r="L162" s="21" t="str">
        <f>VLOOKUP(A162,'Trips&amp;Operators'!$C$1:$G$99999,5,FALSE)</f>
        <v>YORK EDGAR</v>
      </c>
      <c r="M162" s="6">
        <f>I162-F162</f>
        <v>8.3564814849523827E-3</v>
      </c>
      <c r="N162" s="7">
        <f>24*60*SUM($M162:$M162)</f>
        <v>12.033333338331431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-14T06:56:43-0600',mode:absolute,to:'2017-05-14T09:33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92" t="str">
        <f>IF(AA162&lt;IF(AG162="EC",23,5.65),"Y","N")</f>
        <v>N</v>
      </c>
      <c r="X162" s="192">
        <f t="shared" si="26"/>
        <v>1</v>
      </c>
      <c r="Y162" s="192">
        <f>RIGHT(D162,LEN(D162)-4)/10000</f>
        <v>9.8799999999999999E-2</v>
      </c>
      <c r="Z162" s="192">
        <f>RIGHT(H162,LEN(H162)-4)/10000</f>
        <v>5.8935000000000004</v>
      </c>
      <c r="AA162" s="192">
        <f>ABS(Z162-Y162)</f>
        <v>5.7947000000000006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1805-14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/stypes="app*4026*20170514*" /stext=" 14:.+((SYSTEM_STATE.+slice.+state.+changed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22"/>
        <v>"%USERPROFILE%\Documents\GitHub\eaglep3\Utilities\RefineRTDCRunTimes.py" --tripid 1805-14 --locoid 4026 --swversion DE.1.0.9.0 --startMP 204:988 --initTime 2017-05-14T07:56:43 --startdatetime 2017-05-14T08:21:21 --delay 2 --endMP 300:58935 --enddatetime 2017-05-14T08:33:23 --enforcementcount 0 &gt;&gt;C:\Users\stu\Documents\GitHub\eaglep3-reporting\EC\2017-05-14-refined-times.txt</v>
      </c>
      <c r="AI162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{"issue":{"subject":"","project_id":79,"tracker_id":40,"status_id":1,"priority_id":2,"assigned_to_id":23,"start_date":"2017-05-14","description":"","custom_fields":[{"id":1,"name":"Subdivision","value":"NW"},{"id":4,"name":"Milepost","value":"5.8935"},{"id":17,"name":"Train ID","value":"1805-14"},{"id":16,"name":"Locomotive ID","value":"4026"},{"id":130,"name":"Impact","value":""},{"id":150,"name":"Time of Event (Mountain Time)","value":"08:33:23"},{"id":151,"name":"Denver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24"/>
        <v>start /low /b %USERPROFILE%\Documents\GitHub\eaglep3\Utilities\DownloadLogsFromS3.py --loco 4026 --day 2017-05-14</v>
      </c>
      <c r="AN162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684</v>
      </c>
      <c r="B163" s="7">
        <v>4025</v>
      </c>
      <c r="C163" s="21" t="s">
        <v>206</v>
      </c>
      <c r="D163" s="21" t="s">
        <v>449</v>
      </c>
      <c r="E163" s="13">
        <v>42869.357835648145</v>
      </c>
      <c r="F163" s="13">
        <v>42869.362303240741</v>
      </c>
      <c r="G163" s="7">
        <v>1</v>
      </c>
      <c r="H163" s="21" t="s">
        <v>903</v>
      </c>
      <c r="I163" s="13">
        <v>42869.370810185188</v>
      </c>
      <c r="J163" s="7">
        <v>0</v>
      </c>
      <c r="K163" s="92" t="str">
        <f>IF(ISEVEN(B163),(B163-1)&amp;"/"&amp;B163,B163&amp;"/"&amp;(B163+1))</f>
        <v>4025/4026</v>
      </c>
      <c r="L163" s="21" t="str">
        <f>VLOOKUP(A163,'Trips&amp;Operators'!$C$1:$G$99999,5,FALSE)</f>
        <v>YORK EDGAR</v>
      </c>
      <c r="M163" s="6">
        <f>I163-F163</f>
        <v>8.5069444467080757E-3</v>
      </c>
      <c r="N163" s="7">
        <f>24*60*SUM($M163:$M163)</f>
        <v>12.250000003259629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-14T07:35:17-0600',mode:absolute,to:'2017-05-14T09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192" t="str">
        <f>IF(AA163&lt;IF(AG163="EC",23,5.65),"Y","N")</f>
        <v>N</v>
      </c>
      <c r="X163" s="192">
        <f t="shared" si="26"/>
        <v>1</v>
      </c>
      <c r="Y163" s="192">
        <f>RIGHT(D163,LEN(D163)-4)/10000</f>
        <v>5.8624000000000001</v>
      </c>
      <c r="Z163" s="192">
        <f>RIGHT(H163,LEN(H163)-4)/10000</f>
        <v>7.3099999999999998E-2</v>
      </c>
      <c r="AA163" s="192">
        <f>ABS(Z163-Y163)</f>
        <v>5.7892999999999999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1806-14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/stypes="app*4025*20170514*" /stext=" 14:.+((SYSTEM_STATE.+slice.+state.+changed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22"/>
        <v>"%USERPROFILE%\Documents\GitHub\eaglep3\Utilities\RefineRTDCRunTimes.py" --tripid 1806-14 --locoid 4025 --swversion DE.1.0.9.0 --startMP 300:58624 --initTime 2017-05-14T08:35:17 --startdatetime 2017-05-14T08:41:43 --delay 1 --endMP 204:731 --enddatetime 2017-05-14T08:53:58 --enforcementcount 0 &gt;&gt;C:\Users\stu\Documents\GitHub\eaglep3-reporting\EC\2017-05-14-refined-times.txt</v>
      </c>
      <c r="AI163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{"issue":{"subject":"","project_id":79,"tracker_id":40,"status_id":1,"priority_id":2,"assigned_to_id":23,"start_date":"2017-05-14","description":"","custom_fields":[{"id":1,"name":"Subdivision","value":"NW"},{"id":4,"name":"Milepost","value":"0.0731"},{"id":17,"name":"Train ID","value":"1806-14"},{"id":16,"name":"Locomotive ID","value":"4025"},{"id":130,"name":"Impact","value":""},{"id":150,"name":"Time of Event (Mountain Time)","value":"08:53:58"},{"id":151,"name":"Denver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24"/>
        <v>start /low /b %USERPROFILE%\Documents\GitHub\eaglep3\Utilities\DownloadLogsFromS3.py --loco 4025 --day 2017-05-14</v>
      </c>
      <c r="AN163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14:53:58"},{"id":29,"name":"Sharepoint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687</v>
      </c>
      <c r="B164" s="7">
        <v>4026</v>
      </c>
      <c r="C164" s="21" t="s">
        <v>206</v>
      </c>
      <c r="D164" s="21" t="s">
        <v>904</v>
      </c>
      <c r="E164" s="13">
        <v>42869.371712962966</v>
      </c>
      <c r="F164" s="13">
        <v>42869.389872685184</v>
      </c>
      <c r="G164" s="7">
        <v>0</v>
      </c>
      <c r="H164" s="21" t="s">
        <v>483</v>
      </c>
      <c r="I164" s="13">
        <v>42869.398136574076</v>
      </c>
      <c r="J164" s="7">
        <v>0</v>
      </c>
      <c r="K164" s="92" t="str">
        <f>IF(ISEVEN(B164),(B164-1)&amp;"/"&amp;B164,B164&amp;"/"&amp;(B164+1))</f>
        <v>4025/4026</v>
      </c>
      <c r="L164" s="21" t="str">
        <f>VLOOKUP(A164,'Trips&amp;Operators'!$C$1:$G$99999,5,FALSE)</f>
        <v>YORK EDGAR</v>
      </c>
      <c r="M164" s="6">
        <f>I164-F164</f>
        <v>8.2638888925430365E-3</v>
      </c>
      <c r="N164" s="7">
        <f>24*60*SUM($M164:$M164)</f>
        <v>11.900000005261973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-14T07:55:16-0600',mode:absolute,to:'2017-05-14T10:33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0.1021</v>
      </c>
      <c r="Z164" s="192">
        <f>RIGHT(H164,LEN(H164)-4)/10000</f>
        <v>5.8929</v>
      </c>
      <c r="AA164" s="192">
        <f>ABS(Z164-Y164)</f>
        <v>5.7907999999999999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1807-14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/stypes="app*4026*20170514*" /stext=" 15:.+((SYSTEM_STATE.+slice.+state.+changed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22"/>
        <v>"%USERPROFILE%\Documents\GitHub\eaglep3\Utilities\RefineRTDCRunTimes.py" --tripid 1807-14 --locoid 4026 --swversion DE.1.0.9.0 --startMP 204:1021 --initTime 2017-05-14T08:55:16 --startdatetime 2017-05-14T09:21:25 --delay 0 --endMP 300:58929 --enddatetime 2017-05-14T09:33:19 --enforcementcount 0 &gt;&gt;C:\Users\stu\Documents\GitHub\eaglep3-reporting\EC\2017-05-14-refined-times.txt</v>
      </c>
      <c r="AI164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{"issue":{"subject":"","project_id":79,"tracker_id":40,"status_id":1,"priority_id":2,"assigned_to_id":23,"start_date":"2017-05-14","description":"","custom_fields":[{"id":1,"name":"Subdivision","value":"NW"},{"id":4,"name":"Milepost","value":"5.8929"},{"id":17,"name":"Train ID","value":"1807-14"},{"id":16,"name":"Locomotive ID","value":"4026"},{"id":130,"name":"Impact","value":""},{"id":150,"name":"Time of Event (Mountain Time)","value":"09:33:19"},{"id":151,"name":"Denver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24"/>
        <v>start /low /b %USERPROFILE%\Documents\GitHub\eaglep3\Utilities\DownloadLogsFromS3.py --loco 4026 --day 2017-05-14</v>
      </c>
      <c r="AN164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15:33:19"},{"id":29,"name":"Sharepoint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693</v>
      </c>
      <c r="B165" s="7">
        <v>4025</v>
      </c>
      <c r="C165" s="21" t="s">
        <v>206</v>
      </c>
      <c r="D165" s="21" t="s">
        <v>905</v>
      </c>
      <c r="E165" s="13">
        <v>42869.399062500001</v>
      </c>
      <c r="F165" s="13">
        <v>42869.403275462966</v>
      </c>
      <c r="G165" s="7">
        <v>1</v>
      </c>
      <c r="H165" s="21" t="s">
        <v>906</v>
      </c>
      <c r="I165" s="13">
        <v>42869.412557870368</v>
      </c>
      <c r="J165" s="7">
        <v>0</v>
      </c>
      <c r="K165" s="92" t="str">
        <f>IF(ISEVEN(B165),(B165-1)&amp;"/"&amp;B165,B165&amp;"/"&amp;(B165+1))</f>
        <v>4025/4026</v>
      </c>
      <c r="L165" s="21" t="str">
        <f>VLOOKUP(A165,'Trips&amp;Operators'!$C$1:$G$99999,5,FALSE)</f>
        <v>YORK EDGAR</v>
      </c>
      <c r="M165" s="6">
        <f>I165-F165</f>
        <v>9.2824074017698877E-3</v>
      </c>
      <c r="N165" s="7">
        <f>24*60*SUM($M165:$M165)</f>
        <v>13.366666658548638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-14T08:34:39-0600',mode:absolute,to:'2017-05-14T10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5.8620999999999999</v>
      </c>
      <c r="Z165" s="192">
        <f>RIGHT(H165,LEN(H165)-4)/10000</f>
        <v>7.4499999999999997E-2</v>
      </c>
      <c r="AA165" s="192">
        <f>ABS(Z165-Y165)</f>
        <v>5.7876000000000003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1808-14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/stypes="app*4025*20170514*" /stext=" 15:.+((SYSTEM_STATE.+slice.+state.+changed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22"/>
        <v>"%USERPROFILE%\Documents\GitHub\eaglep3\Utilities\RefineRTDCRunTimes.py" --tripid 1808-14 --locoid 4025 --swversion DE.1.0.9.0 --startMP 300:58621 --initTime 2017-05-14T09:34:39 --startdatetime 2017-05-14T09:40:43 --delay 1 --endMP 204:745 --enddatetime 2017-05-14T09:54:05 --enforcementcount 0 &gt;&gt;C:\Users\stu\Documents\GitHub\eaglep3-reporting\EC\2017-05-14-refined-times.txt</v>
      </c>
      <c r="AI165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{"issue":{"subject":"","project_id":79,"tracker_id":40,"status_id":1,"priority_id":2,"assigned_to_id":23,"start_date":"2017-05-14","description":"","custom_fields":[{"id":1,"name":"Subdivision","value":"NW"},{"id":4,"name":"Milepost","value":"0.0745"},{"id":17,"name":"Train ID","value":"1808-14"},{"id":16,"name":"Locomotive ID","value":"4025"},{"id":130,"name":"Impact","value":""},{"id":150,"name":"Time of Event (Mountain Time)","value":"09:54:05"},{"id":151,"name":"Denver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24"/>
        <v>start /low /b %USERPROFILE%\Documents\GitHub\eaglep3\Utilities\DownloadLogsFromS3.py --loco 4025 --day 2017-05-14</v>
      </c>
      <c r="AN165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15:54:05"},{"id":29,"name":"Sharepoint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696</v>
      </c>
      <c r="B166" s="7">
        <v>4026</v>
      </c>
      <c r="C166" s="21" t="s">
        <v>206</v>
      </c>
      <c r="D166" s="21" t="s">
        <v>907</v>
      </c>
      <c r="E166" s="13">
        <v>42869.413495370369</v>
      </c>
      <c r="F166" s="13">
        <v>42869.431435185186</v>
      </c>
      <c r="G166" s="7">
        <v>1</v>
      </c>
      <c r="H166" s="21" t="s">
        <v>576</v>
      </c>
      <c r="I166" s="13">
        <v>42869.439988425926</v>
      </c>
      <c r="J166" s="7">
        <v>0</v>
      </c>
      <c r="K166" s="92" t="str">
        <f>IF(ISEVEN(B166),(B166-1)&amp;"/"&amp;B166,B166&amp;"/"&amp;(B166+1))</f>
        <v>4025/4026</v>
      </c>
      <c r="L166" s="21" t="str">
        <f>VLOOKUP(A166,'Trips&amp;Operators'!$C$1:$G$99999,5,FALSE)</f>
        <v>YORK EDGAR</v>
      </c>
      <c r="M166" s="6">
        <f>I166-F166</f>
        <v>8.55324073927477E-3</v>
      </c>
      <c r="N166" s="7">
        <f>24*60*SUM($M166:$M166)</f>
        <v>12.316666664555669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-14T08:55:26-0600',mode:absolute,to:'2017-05-14T11:33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0.1023</v>
      </c>
      <c r="Z166" s="192">
        <f>RIGHT(H166,LEN(H166)-4)/10000</f>
        <v>5.8930999999999996</v>
      </c>
      <c r="AA166" s="192">
        <f>ABS(Z166-Y166)</f>
        <v>5.7907999999999999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1809-14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/stypes="app*4026*20170514*" /stext=" 16:.+((SYSTEM_STATE.+slice.+state.+changed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22"/>
        <v>"%USERPROFILE%\Documents\GitHub\eaglep3\Utilities\RefineRTDCRunTimes.py" --tripid 1809-14 --locoid 4026 --swversion DE.1.0.9.0 --startMP 204:1023 --initTime 2017-05-14T09:55:26 --startdatetime 2017-05-14T10:21:16 --delay 1 --endMP 300:58931 --enddatetime 2017-05-14T10:33:35 --enforcementcount 0 &gt;&gt;C:\Users\stu\Documents\GitHub\eaglep3-reporting\EC\2017-05-14-refined-times.txt</v>
      </c>
      <c r="AI166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{"issue":{"subject":"","project_id":79,"tracker_id":40,"status_id":1,"priority_id":2,"assigned_to_id":23,"start_date":"2017-05-14","description":"","custom_fields":[{"id":1,"name":"Subdivision","value":"NW"},{"id":4,"name":"Milepost","value":"5.8931"},{"id":17,"name":"Train ID","value":"1809-14"},{"id":16,"name":"Locomotive ID","value":"4026"},{"id":130,"name":"Impact","value":""},{"id":150,"name":"Time of Event (Mountain Time)","value":"10:33:35"},{"id":151,"name":"Denver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24"/>
        <v>start /low /b %USERPROFILE%\Documents\GitHub\eaglep3\Utilities\DownloadLogsFromS3.py --loco 4026 --day 2017-05-14</v>
      </c>
      <c r="AN166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16:33:35"},{"id":29,"name":"Sharepoint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703</v>
      </c>
      <c r="B167" s="7">
        <v>4025</v>
      </c>
      <c r="C167" s="21" t="s">
        <v>206</v>
      </c>
      <c r="D167" s="21" t="s">
        <v>433</v>
      </c>
      <c r="E167" s="13">
        <v>42869.441018518519</v>
      </c>
      <c r="F167" s="13">
        <v>42869.445844907408</v>
      </c>
      <c r="G167" s="7">
        <v>1</v>
      </c>
      <c r="H167" s="21" t="s">
        <v>908</v>
      </c>
      <c r="I167" s="13">
        <v>42869.454722222225</v>
      </c>
      <c r="J167" s="7">
        <v>0</v>
      </c>
      <c r="K167" s="92" t="str">
        <f>IF(ISEVEN(B167),(B167-1)&amp;"/"&amp;B167,B167&amp;"/"&amp;(B167+1))</f>
        <v>4025/4026</v>
      </c>
      <c r="L167" s="21" t="str">
        <f>VLOOKUP(A167,'Trips&amp;Operators'!$C$1:$G$99999,5,FALSE)</f>
        <v>YORK EDGAR</v>
      </c>
      <c r="M167" s="6">
        <f>I167-F167</f>
        <v>8.8773148163454607E-3</v>
      </c>
      <c r="N167" s="7">
        <f>24*60*SUM($M167:$M167)</f>
        <v>12.783333335537463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-14T09:35:04-0600',mode:absolute,to:'2017-05-14T11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5.8616999999999999</v>
      </c>
      <c r="Z167" s="192">
        <f>RIGHT(H167,LEN(H167)-4)/10000</f>
        <v>7.3599999999999999E-2</v>
      </c>
      <c r="AA167" s="192">
        <f>ABS(Z167-Y167)</f>
        <v>5.7881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1810-14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/stypes="app*4025*20170514*" /stext=" 16:.+((SYSTEM_STATE.+slice.+state.+changed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22"/>
        <v>"%USERPROFILE%\Documents\GitHub\eaglep3\Utilities\RefineRTDCRunTimes.py" --tripid 1810-14 --locoid 4025 --swversion DE.1.0.9.0 --startMP 300:58617 --initTime 2017-05-14T10:35:04 --startdatetime 2017-05-14T10:42:01 --delay 1 --endMP 204:736 --enddatetime 2017-05-14T10:54:48 --enforcementcount 0 &gt;&gt;C:\Users\stu\Documents\GitHub\eaglep3-reporting\EC\2017-05-14-refined-times.txt</v>
      </c>
      <c r="AI167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{"issue":{"subject":"","project_id":79,"tracker_id":40,"status_id":1,"priority_id":2,"assigned_to_id":23,"start_date":"2017-05-14","description":"","custom_fields":[{"id":1,"name":"Subdivision","value":"NW"},{"id":4,"name":"Milepost","value":"0.0736"},{"id":17,"name":"Train ID","value":"1810-14"},{"id":16,"name":"Locomotive ID","value":"4025"},{"id":130,"name":"Impact","value":""},{"id":150,"name":"Time of Event (Mountain Time)","value":"10:54:48"},{"id":151,"name":"Denver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24"/>
        <v>start /low /b %USERPROFILE%\Documents\GitHub\eaglep3\Utilities\DownloadLogsFromS3.py --loco 4025 --day 2017-05-14</v>
      </c>
      <c r="AN167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16:54:48"},{"id":29,"name":"Sharepoint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704</v>
      </c>
      <c r="B168" s="7">
        <v>4026</v>
      </c>
      <c r="C168" s="21" t="s">
        <v>206</v>
      </c>
      <c r="D168" s="21" t="s">
        <v>909</v>
      </c>
      <c r="E168" s="13">
        <v>42869.455763888887</v>
      </c>
      <c r="F168" s="13">
        <v>42869.47315972222</v>
      </c>
      <c r="G168" s="7">
        <v>0</v>
      </c>
      <c r="H168" s="21" t="s">
        <v>435</v>
      </c>
      <c r="I168" s="13">
        <v>42869.481574074074</v>
      </c>
      <c r="J168" s="7">
        <v>0</v>
      </c>
      <c r="K168" s="92" t="str">
        <f>IF(ISEVEN(B168),(B168-1)&amp;"/"&amp;B168,B168&amp;"/"&amp;(B168+1))</f>
        <v>4025/4026</v>
      </c>
      <c r="L168" s="21" t="str">
        <f>VLOOKUP(A168,'Trips&amp;Operators'!$C$1:$G$99999,5,FALSE)</f>
        <v>YORK EDGAR</v>
      </c>
      <c r="M168" s="6">
        <f>I168-F168</f>
        <v>8.4143518542987294E-3</v>
      </c>
      <c r="N168" s="7">
        <f>24*60*SUM($M168:$M168)</f>
        <v>12.11666667019017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-14T09:56:18-0600',mode:absolute,to:'2017-05-14T12:33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0.1018</v>
      </c>
      <c r="Z168" s="192">
        <f>RIGHT(H168,LEN(H168)-4)/10000</f>
        <v>5.8925999999999998</v>
      </c>
      <c r="AA168" s="192">
        <f>ABS(Z168-Y168)</f>
        <v>5.7907999999999999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1811-14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/stypes="app*4026*20170514*" /stext=" 17:.+((SYSTEM_STATE.+slice.+state.+changed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22"/>
        <v>"%USERPROFILE%\Documents\GitHub\eaglep3\Utilities\RefineRTDCRunTimes.py" --tripid 1811-14 --locoid 4026 --swversion DE.1.0.9.0 --startMP 204:1018 --initTime 2017-05-14T10:56:18 --startdatetime 2017-05-14T11:21:21 --delay 0 --endMP 300:58926 --enddatetime 2017-05-14T11:33:28 --enforcementcount 0 &gt;&gt;C:\Users\stu\Documents\GitHub\eaglep3-reporting\EC\2017-05-14-refined-times.txt</v>
      </c>
      <c r="AI168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{"issue":{"subject":"","project_id":79,"tracker_id":40,"status_id":1,"priority_id":2,"assigned_to_id":23,"start_date":"2017-05-14","description":"","custom_fields":[{"id":1,"name":"Subdivision","value":"NW"},{"id":4,"name":"Milepost","value":"5.8926"},{"id":17,"name":"Train ID","value":"1811-14"},{"id":16,"name":"Locomotive ID","value":"4026"},{"id":130,"name":"Impact","value":""},{"id":150,"name":"Time of Event (Mountain Time)","value":"11:33:28"},{"id":151,"name":"Denver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24"/>
        <v>start /low /b %USERPROFILE%\Documents\GitHub\eaglep3\Utilities\DownloadLogsFromS3.py --loco 4026 --day 2017-05-14</v>
      </c>
      <c r="AN168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17:33:28"},{"id":29,"name":"Sharepoint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601</v>
      </c>
      <c r="B169" s="7">
        <v>4025</v>
      </c>
      <c r="C169" s="21" t="s">
        <v>206</v>
      </c>
      <c r="D169" s="21" t="s">
        <v>910</v>
      </c>
      <c r="E169" s="13">
        <v>42869.483159722222</v>
      </c>
      <c r="F169" s="13">
        <v>42869.487233796295</v>
      </c>
      <c r="G169" s="7">
        <v>1</v>
      </c>
      <c r="H169" s="21" t="s">
        <v>903</v>
      </c>
      <c r="I169" s="13">
        <v>42869.496192129627</v>
      </c>
      <c r="J169" s="7">
        <v>0</v>
      </c>
      <c r="K169" s="92" t="str">
        <f>IF(ISEVEN(B169),(B169-1)&amp;"/"&amp;B169,B169&amp;"/"&amp;(B169+1))</f>
        <v>4025/4026</v>
      </c>
      <c r="L169" s="21" t="str">
        <f>VLOOKUP(A169,'Trips&amp;Operators'!$C$1:$G$99999,5,FALSE)</f>
        <v>YORK EDGAR</v>
      </c>
      <c r="M169" s="6">
        <f>I169-F169</f>
        <v>8.9583333319751546E-3</v>
      </c>
      <c r="N169" s="7">
        <f>24*60*SUM($M169:$M169)</f>
        <v>12.899999998044223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-14T10:35:45-0600',mode:absolute,to:'2017-05-14T12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5.8613</v>
      </c>
      <c r="Z169" s="192">
        <f>RIGHT(H169,LEN(H169)-4)/10000</f>
        <v>7.3099999999999998E-2</v>
      </c>
      <c r="AA169" s="192">
        <f>ABS(Z169-Y169)</f>
        <v>5.7881999999999998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1812-14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/stypes="app*4025*20170514*" /stext=" 17:.+((SYSTEM_STATE.+slice.+state.+changed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22"/>
        <v>"%USERPROFILE%\Documents\GitHub\eaglep3\Utilities\RefineRTDCRunTimes.py" --tripid 1812-14 --locoid 4025 --swversion DE.1.0.9.0 --startMP 300:58613 --initTime 2017-05-14T11:35:45 --startdatetime 2017-05-14T11:41:37 --delay 1 --endMP 204:731 --enddatetime 2017-05-14T11:54:31 --enforcementcount 0 &gt;&gt;C:\Users\stu\Documents\GitHub\eaglep3-reporting\EC\2017-05-14-refined-times.txt</v>
      </c>
      <c r="AI169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{"issue":{"subject":"","project_id":79,"tracker_id":40,"status_id":1,"priority_id":2,"assigned_to_id":23,"start_date":"2017-05-14","description":"","custom_fields":[{"id":1,"name":"Subdivision","value":"NW"},{"id":4,"name":"Milepost","value":"0.0731"},{"id":17,"name":"Train ID","value":"1812-14"},{"id":16,"name":"Locomotive ID","value":"4025"},{"id":130,"name":"Impact","value":""},{"id":150,"name":"Time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24"/>
        <v>start /low /b %USERPROFILE%\Documents\GitHub\eaglep3\Utilities\DownloadLogsFromS3.py --loco 4025 --day 2017-05-14</v>
      </c>
      <c r="AN169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17:54:31"},{"id":29,"name":"Sharepoint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719</v>
      </c>
      <c r="B170" s="7">
        <v>4026</v>
      </c>
      <c r="C170" s="21" t="s">
        <v>206</v>
      </c>
      <c r="D170" s="21" t="s">
        <v>904</v>
      </c>
      <c r="E170" s="13">
        <v>42869.497164351851</v>
      </c>
      <c r="F170" s="13">
        <v>42869.514988425923</v>
      </c>
      <c r="G170" s="7">
        <v>1</v>
      </c>
      <c r="H170" s="21" t="s">
        <v>435</v>
      </c>
      <c r="I170" s="13">
        <v>42869.523599537039</v>
      </c>
      <c r="J170" s="7">
        <v>0</v>
      </c>
      <c r="K170" s="92" t="str">
        <f>IF(ISEVEN(B170),(B170-1)&amp;"/"&amp;B170,B170&amp;"/"&amp;(B170+1))</f>
        <v>4025/4026</v>
      </c>
      <c r="L170" s="21" t="str">
        <f>VLOOKUP(A170,'Trips&amp;Operators'!$C$1:$G$99999,5,FALSE)</f>
        <v>YORK EDGAR</v>
      </c>
      <c r="M170" s="6">
        <f>I170-F170</f>
        <v>8.6111111158970743E-3</v>
      </c>
      <c r="N170" s="7">
        <f>24*60*SUM($M170:$M170)</f>
        <v>12.400000006891787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-14T10:55:55-0600',mode:absolute,to:'2017-05-14T13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0.1021</v>
      </c>
      <c r="Z170" s="192">
        <f>RIGHT(H170,LEN(H170)-4)/10000</f>
        <v>5.8925999999999998</v>
      </c>
      <c r="AA170" s="192">
        <f>ABS(Z170-Y170)</f>
        <v>5.7904999999999998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1813-14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/stypes="app*4026*20170514*" /stext=" 18:.+((SYSTEM_STATE.+slice.+state.+changed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22"/>
        <v>"%USERPROFILE%\Documents\GitHub\eaglep3\Utilities\RefineRTDCRunTimes.py" --tripid 1813-14 --locoid 4026 --swversion DE.1.0.9.0 --startMP 204:1021 --initTime 2017-05-14T11:55:55 --startdatetime 2017-05-14T12:21:35 --delay 1 --endMP 300:58926 --enddatetime 2017-05-14T12:33:59 --enforcementcount 0 &gt;&gt;C:\Users\stu\Documents\GitHub\eaglep3-reporting\EC\2017-05-14-refined-times.txt</v>
      </c>
      <c r="AI170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{"issue":{"subject":"","project_id":79,"tracker_id":40,"status_id":1,"priority_id":2,"assigned_to_id":23,"start_date":"2017-05-14","description":"","custom_fields":[{"id":1,"name":"Subdivision","value":"NW"},{"id":4,"name":"Milepost","value":"5.8926"},{"id":17,"name":"Train ID","value":"1813-14"},{"id":16,"name":"Locomotive ID","value":"4026"},{"id":130,"name":"Impact","value":""},{"id":150,"name":"Time of Event (Mountain Time)","value":"12:33:59"},{"id":151,"name":"Denver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24"/>
        <v>start /low /b %USERPROFILE%\Documents\GitHub\eaglep3\Utilities\DownloadLogsFromS3.py --loco 4026 --day 2017-05-14</v>
      </c>
      <c r="AN170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727</v>
      </c>
      <c r="B171" s="7">
        <v>4025</v>
      </c>
      <c r="C171" s="21" t="s">
        <v>206</v>
      </c>
      <c r="D171" s="21" t="s">
        <v>911</v>
      </c>
      <c r="E171" s="13">
        <v>42869.524548611109</v>
      </c>
      <c r="F171" s="13">
        <v>42869.528680555559</v>
      </c>
      <c r="G171" s="7">
        <v>1</v>
      </c>
      <c r="H171" s="21" t="s">
        <v>912</v>
      </c>
      <c r="I171" s="13">
        <v>42869.538310185184</v>
      </c>
      <c r="J171" s="7">
        <v>0</v>
      </c>
      <c r="K171" s="92" t="str">
        <f>IF(ISEVEN(B171),(B171-1)&amp;"/"&amp;B171,B171&amp;"/"&amp;(B171+1))</f>
        <v>4025/4026</v>
      </c>
      <c r="L171" s="21" t="str">
        <f>VLOOKUP(A171,'Trips&amp;Operators'!$C$1:$G$99999,5,FALSE)</f>
        <v>YORK EDGAR</v>
      </c>
      <c r="M171" s="6">
        <f>I171-F171</f>
        <v>9.6296296251239255E-3</v>
      </c>
      <c r="N171" s="7">
        <f>24*60*SUM($M171:$M171)</f>
        <v>13.866666660178453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-14T11:35:21-0600',mode:absolute,to:'2017-05-14T13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5.8605999999999998</v>
      </c>
      <c r="Z171" s="192">
        <f>RIGHT(H171,LEN(H171)-4)/10000</f>
        <v>7.3800000000000004E-2</v>
      </c>
      <c r="AA171" s="192">
        <f>ABS(Z171-Y171)</f>
        <v>5.7867999999999995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1814-14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/stypes="app*4025*20170514*" /stext=" 18:.+((SYSTEM_STATE.+slice.+state.+changed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22"/>
        <v>"%USERPROFILE%\Documents\GitHub\eaglep3\Utilities\RefineRTDCRunTimes.py" --tripid 1814-14 --locoid 4025 --swversion DE.1.0.9.0 --startMP 300:58606 --initTime 2017-05-14T12:35:21 --startdatetime 2017-05-14T12:41:18 --delay 1 --endMP 204:738 --enddatetime 2017-05-14T12:55:10 --enforcementcount 0 &gt;&gt;C:\Users\stu\Documents\GitHub\eaglep3-reporting\EC\2017-05-14-refined-times.txt</v>
      </c>
      <c r="AI171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{"issue":{"subject":"","project_id":79,"tracker_id":40,"status_id":1,"priority_id":2,"assigned_to_id":23,"start_date":"2017-05-14","description":"","custom_fields":[{"id":1,"name":"Subdivision","value":"NW"},{"id":4,"name":"Milepost","value":"0.0738"},{"id":17,"name":"Train ID","value":"1814-14"},{"id":16,"name":"Locomotive ID","value":"4025"},{"id":130,"name":"Impact","value":""},{"id":150,"name":"Time of Event (Mountain Time)","value":"12:55:10"},{"id":151,"name":"Denver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24"/>
        <v>start /low /b %USERPROFILE%\Documents\GitHub\eaglep3\Utilities\DownloadLogsFromS3.py --loco 4025 --day 2017-05-14</v>
      </c>
      <c r="AN171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729</v>
      </c>
      <c r="B172" s="7">
        <v>4026</v>
      </c>
      <c r="C172" s="21" t="s">
        <v>206</v>
      </c>
      <c r="D172" s="21" t="s">
        <v>913</v>
      </c>
      <c r="E172" s="13">
        <v>42869.539236111108</v>
      </c>
      <c r="F172" s="13">
        <v>42869.556504629632</v>
      </c>
      <c r="G172" s="7">
        <v>1</v>
      </c>
      <c r="H172" s="21" t="s">
        <v>914</v>
      </c>
      <c r="I172" s="13">
        <v>42869.56486111111</v>
      </c>
      <c r="J172" s="7">
        <v>0</v>
      </c>
      <c r="K172" s="92" t="str">
        <f>IF(ISEVEN(B172),(B172-1)&amp;"/"&amp;B172,B172&amp;"/"&amp;(B172+1))</f>
        <v>4025/4026</v>
      </c>
      <c r="L172" s="21" t="str">
        <f>VLOOKUP(A172,'Trips&amp;Operators'!$C$1:$G$99999,5,FALSE)</f>
        <v>YORK EDGAR</v>
      </c>
      <c r="M172" s="6">
        <f>I172-F172</f>
        <v>8.3564814776764251E-3</v>
      </c>
      <c r="N172" s="7">
        <f>24*60*SUM($M172:$M172)</f>
        <v>12.033333327854052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-14T11:56:30-0600',mode:absolute,to:'2017-05-14T14:33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0.1027</v>
      </c>
      <c r="Z172" s="192">
        <f>RIGHT(H172,LEN(H172)-4)/10000</f>
        <v>5.8939000000000004</v>
      </c>
      <c r="AA172" s="192">
        <f>ABS(Z172-Y172)</f>
        <v>5.7912000000000008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1815-14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/stypes="app*4026*20170514*" /stext=" 19:.+((SYSTEM_STATE.+slice.+state.+changed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22"/>
        <v>"%USERPROFILE%\Documents\GitHub\eaglep3\Utilities\RefineRTDCRunTimes.py" --tripid 1815-14 --locoid 4026 --swversion DE.1.0.9.0 --startMP 204:1027 --initTime 2017-05-14T12:56:30 --startdatetime 2017-05-14T13:21:22 --delay 1 --endMP 300:58939 --enddatetime 2017-05-14T13:33:24 --enforcementcount 0 &gt;&gt;C:\Users\stu\Documents\GitHub\eaglep3-reporting\EC\2017-05-14-refined-times.txt</v>
      </c>
      <c r="AI172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{"issue":{"subject":"","project_id":79,"tracker_id":40,"status_id":1,"priority_id":2,"assigned_to_id":23,"start_date":"2017-05-14","description":"","custom_fields":[{"id":1,"name":"Subdivision","value":"NW"},{"id":4,"name":"Milepost","value":"5.8939"},{"id":17,"name":"Train ID","value":"1815-14"},{"id":16,"name":"Locomotive ID","value":"4026"},{"id":130,"name":"Impact","value":""},{"id":150,"name":"Time of Event (Mountain Time)","value":"13:33:24"},{"id":151,"name":"Denver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24"/>
        <v>start /low /b %USERPROFILE%\Documents\GitHub\eaglep3\Utilities\DownloadLogsFromS3.py --loco 4026 --day 2017-05-14</v>
      </c>
      <c r="AN172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734</v>
      </c>
      <c r="B173" s="7">
        <v>4025</v>
      </c>
      <c r="C173" s="21" t="s">
        <v>206</v>
      </c>
      <c r="D173" s="21" t="s">
        <v>915</v>
      </c>
      <c r="E173" s="13">
        <v>42869.565659722219</v>
      </c>
      <c r="F173" s="13">
        <v>42869.570752314816</v>
      </c>
      <c r="G173" s="7">
        <v>1</v>
      </c>
      <c r="H173" s="21" t="s">
        <v>555</v>
      </c>
      <c r="I173" s="13">
        <v>42869.579097222224</v>
      </c>
      <c r="J173" s="7">
        <v>0</v>
      </c>
      <c r="K173" s="92" t="str">
        <f>IF(ISEVEN(B173),(B173-1)&amp;"/"&amp;B173,B173&amp;"/"&amp;(B173+1))</f>
        <v>4025/4026</v>
      </c>
      <c r="L173" s="21" t="str">
        <f>VLOOKUP(A173,'Trips&amp;Operators'!$C$1:$G$99999,5,FALSE)</f>
        <v>YORK EDGAR</v>
      </c>
      <c r="M173" s="6">
        <f>I173-F173</f>
        <v>8.3449074081727304E-3</v>
      </c>
      <c r="N173" s="7">
        <f>24*60*SUM($M173:$M173)</f>
        <v>12.016666667768732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-14T12:34:33-0600',mode:absolute,to:'2017-05-14T14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5.8611000000000004</v>
      </c>
      <c r="Z173" s="192">
        <f>RIGHT(H173,LEN(H173)-4)/10000</f>
        <v>7.6100000000000001E-2</v>
      </c>
      <c r="AA173" s="192">
        <f>ABS(Z173-Y173)</f>
        <v>5.7850000000000001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1816-14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/stypes="app*4025*20170514*" /stext=" 19:.+((SYSTEM_STATE.+slice.+state.+changed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22"/>
        <v>"%USERPROFILE%\Documents\GitHub\eaglep3\Utilities\RefineRTDCRunTimes.py" --tripid 1816-14 --locoid 4025 --swversion DE.1.0.9.0 --startMP 300:58611 --initTime 2017-05-14T13:34:33 --startdatetime 2017-05-14T13:41:53 --delay 1 --endMP 204:761 --enddatetime 2017-05-14T13:53:54 --enforcementcount 0 &gt;&gt;C:\Users\stu\Documents\GitHub\eaglep3-reporting\EC\2017-05-14-refined-times.txt</v>
      </c>
      <c r="AI173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{"issue":{"subject":"","project_id":79,"tracker_id":40,"status_id":1,"priority_id":2,"assigned_to_id":23,"start_date":"2017-05-14","description":"","custom_fields":[{"id":1,"name":"Subdivision","value":"NW"},{"id":4,"name":"Milepost","value":"0.0761"},{"id":17,"name":"Train ID","value":"1816-14"},{"id":16,"name":"Locomotive ID","value":"4025"},{"id":130,"name":"Impact","value":""},{"id":150,"name":"Time of Event (Mountain Time)","value":"13:53:54"},{"id":151,"name":"Denver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24"/>
        <v>start /low /b %USERPROFILE%\Documents\GitHub\eaglep3\Utilities\DownloadLogsFromS3.py --loco 4025 --day 2017-05-14</v>
      </c>
      <c r="AN173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19:53:54"},{"id":29,"name":"Sharepoint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738</v>
      </c>
      <c r="B174" s="7">
        <v>4026</v>
      </c>
      <c r="C174" s="21" t="s">
        <v>206</v>
      </c>
      <c r="D174" s="21" t="s">
        <v>916</v>
      </c>
      <c r="E174" s="13">
        <v>42869.594814814816</v>
      </c>
      <c r="F174" s="13">
        <v>42869.598101851851</v>
      </c>
      <c r="G174" s="7">
        <v>1</v>
      </c>
      <c r="H174" s="21" t="s">
        <v>917</v>
      </c>
      <c r="I174" s="13">
        <v>42869.607048611113</v>
      </c>
      <c r="J174" s="7">
        <v>0</v>
      </c>
      <c r="K174" s="92" t="str">
        <f>IF(ISEVEN(B174),(B174-1)&amp;"/"&amp;B174,B174&amp;"/"&amp;(B174+1))</f>
        <v>4025/4026</v>
      </c>
      <c r="L174" s="21" t="str">
        <f>VLOOKUP(A174,'Trips&amp;Operators'!$C$1:$G$99999,5,FALSE)</f>
        <v>HELVIE ADAM</v>
      </c>
      <c r="M174" s="6">
        <f>I174-F174</f>
        <v>8.9467592624714598E-3</v>
      </c>
      <c r="N174" s="7">
        <f>24*60*SUM($M174:$M174)</f>
        <v>12.883333337958902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-14T13:16:32-0600',mode:absolute,to:'2017-05-14T15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0.10440000000000001</v>
      </c>
      <c r="Z174" s="192">
        <f>RIGHT(H174,LEN(H174)-4)/10000</f>
        <v>5.8936999999999999</v>
      </c>
      <c r="AA174" s="192">
        <f>ABS(Z174-Y174)</f>
        <v>5.7892999999999999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1817-14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/stypes="app*4026*20170514*" /stext=" 20:.+((SYSTEM_STATE.+slice.+state.+changed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22"/>
        <v>"%USERPROFILE%\Documents\GitHub\eaglep3\Utilities\RefineRTDCRunTimes.py" --tripid 1817-14 --locoid 4026 --swversion DE.1.0.9.0 --startMP 204:1044 --initTime 2017-05-14T14:16:32 --startdatetime 2017-05-14T14:21:16 --delay 1 --endMP 300:58937 --enddatetime 2017-05-14T14:34:09 --enforcementcount 0 &gt;&gt;C:\Users\stu\Documents\GitHub\eaglep3-reporting\EC\2017-05-14-refined-times.txt</v>
      </c>
      <c r="AI174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{"issue":{"subject":"","project_id":79,"tracker_id":40,"status_id":1,"priority_id":2,"assigned_to_id":23,"start_date":"2017-05-14","description":"","custom_fields":[{"id":1,"name":"Subdivision","value":"NW"},{"id":4,"name":"Milepost","value":"5.8937"},{"id":17,"name":"Train ID","value":"1817-14"},{"id":16,"name":"Locomotive ID","value":"4026"},{"id":130,"name":"Impact","value":""},{"id":150,"name":"Time of Event (Mountain Time)","value":"14:34:09"},{"id":151,"name":"Denver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24"/>
        <v>start /low /b %USERPROFILE%\Documents\GitHub\eaglep3\Utilities\DownloadLogsFromS3.py --loco 4026 --day 2017-05-14</v>
      </c>
      <c r="AN174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741</v>
      </c>
      <c r="B175" s="7">
        <v>4025</v>
      </c>
      <c r="C175" s="21" t="s">
        <v>206</v>
      </c>
      <c r="D175" s="21" t="s">
        <v>433</v>
      </c>
      <c r="E175" s="13">
        <v>42869.610092592593</v>
      </c>
      <c r="F175" s="13">
        <v>42869.611608796295</v>
      </c>
      <c r="G175" s="7">
        <v>1</v>
      </c>
      <c r="H175" s="21" t="s">
        <v>918</v>
      </c>
      <c r="I175" s="13">
        <v>42869.620868055557</v>
      </c>
      <c r="J175" s="7">
        <v>0</v>
      </c>
      <c r="K175" s="92" t="str">
        <f>IF(ISEVEN(B175),(B175-1)&amp;"/"&amp;B175,B175&amp;"/"&amp;(B175+1))</f>
        <v>4025/4026</v>
      </c>
      <c r="L175" s="21" t="str">
        <f>VLOOKUP(A175,'Trips&amp;Operators'!$C$1:$G$99999,5,FALSE)</f>
        <v>HELVIE ADAM</v>
      </c>
      <c r="M175" s="6">
        <f>I175-F175</f>
        <v>9.2592592627624981E-3</v>
      </c>
      <c r="N175" s="7">
        <f>24*60*SUM($M175:$M175)</f>
        <v>13.333333338377997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-14T13:38:32-0600',mode:absolute,to:'2017-05-14T15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5.8616999999999999</v>
      </c>
      <c r="Z175" s="192">
        <f>RIGHT(H175,LEN(H175)-4)/10000</f>
        <v>7.5200000000000003E-2</v>
      </c>
      <c r="AA175" s="192">
        <f>ABS(Z175-Y175)</f>
        <v>5.7865000000000002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1818-14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/stypes="app*4025*20170514*" /stext=" 20:.+((SYSTEM_STATE.+slice.+state.+changed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22"/>
        <v>"%USERPROFILE%\Documents\GitHub\eaglep3\Utilities\RefineRTDCRunTimes.py" --tripid 1818-14 --locoid 4025 --swversion DE.1.0.9.0 --startMP 300:58617 --initTime 2017-05-14T14:38:32 --startdatetime 2017-05-14T14:40:43 --delay 1 --endMP 204:752 --enddatetime 2017-05-14T14:54:03 --enforcementcount 0 &gt;&gt;C:\Users\stu\Documents\GitHub\eaglep3-reporting\EC\2017-05-14-refined-times.txt</v>
      </c>
      <c r="AI175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{"issue":{"subject":"","project_id":79,"tracker_id":40,"status_id":1,"priority_id":2,"assigned_to_id":23,"start_date":"2017-05-14","description":"","custom_fields":[{"id":1,"name":"Subdivision","value":"NW"},{"id":4,"name":"Milepost","value":"0.0752"},{"id":17,"name":"Train ID","value":"1818-14"},{"id":16,"name":"Locomotive ID","value":"4025"},{"id":130,"name":"Impact","value":""},{"id":150,"name":"Time of Event (Mountain Time)","value":"14:54:03"},{"id":151,"name":"Denver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24"/>
        <v>start /low /b %USERPROFILE%\Documents\GitHub\eaglep3\Utilities\DownloadLogsFromS3.py --loco 4025 --day 2017-05-14</v>
      </c>
      <c r="AN175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746</v>
      </c>
      <c r="B176" s="7">
        <v>4026</v>
      </c>
      <c r="C176" s="21" t="s">
        <v>206</v>
      </c>
      <c r="D176" s="21" t="s">
        <v>919</v>
      </c>
      <c r="E176" s="13">
        <v>42869.638680555552</v>
      </c>
      <c r="F176" s="13">
        <v>42869.639918981484</v>
      </c>
      <c r="G176" s="7">
        <v>1</v>
      </c>
      <c r="H176" s="21" t="s">
        <v>917</v>
      </c>
      <c r="I176" s="13">
        <v>42869.648796296293</v>
      </c>
      <c r="J176" s="7">
        <v>0</v>
      </c>
      <c r="K176" s="92" t="str">
        <f>IF(ISEVEN(B176),(B176-1)&amp;"/"&amp;B176,B176&amp;"/"&amp;(B176+1))</f>
        <v>4025/4026</v>
      </c>
      <c r="L176" s="21" t="str">
        <f>VLOOKUP(A176,'Trips&amp;Operators'!$C$1:$G$99999,5,FALSE)</f>
        <v>HELVIE ADAM</v>
      </c>
      <c r="M176" s="6">
        <f>I176-F176</f>
        <v>8.8773148090695031E-3</v>
      </c>
      <c r="N176" s="7">
        <f>24*60*SUM($M176:$M176)</f>
        <v>12.783333325060084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-14T14:19:42-0600',mode:absolute,to:'2017-05-14T16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0.1042</v>
      </c>
      <c r="Z176" s="192">
        <f>RIGHT(H176,LEN(H176)-4)/10000</f>
        <v>5.8936999999999999</v>
      </c>
      <c r="AA176" s="192">
        <f>ABS(Z176-Y176)</f>
        <v>5.7895000000000003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1819-14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/stypes="app*4026*20170514*" /stext=" 21:.+((SYSTEM_STATE.+slice.+state.+changed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22"/>
        <v>"%USERPROFILE%\Documents\GitHub\eaglep3\Utilities\RefineRTDCRunTimes.py" --tripid 1819-14 --locoid 4026 --swversion DE.1.0.9.0 --startMP 204:1042 --initTime 2017-05-14T15:19:42 --startdatetime 2017-05-14T15:21:29 --delay 1 --endMP 300:58937 --enddatetime 2017-05-14T15:34:16 --enforcementcount 0 &gt;&gt;C:\Users\stu\Documents\GitHub\eaglep3-reporting\EC\2017-05-14-refined-times.txt</v>
      </c>
      <c r="AI176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{"issue":{"subject":"","project_id":79,"tracker_id":40,"status_id":1,"priority_id":2,"assigned_to_id":23,"start_date":"2017-05-14","description":"","custom_fields":[{"id":1,"name":"Subdivision","value":"NW"},{"id":4,"name":"Milepost","value":"5.8937"},{"id":17,"name":"Train ID","value":"1819-14"},{"id":16,"name":"Locomotive ID","value":"4026"},{"id":130,"name":"Impact","value":""},{"id":150,"name":"Time of Event (Mountain Time)","value":"15:34:16"},{"id":151,"name":"Denver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24"/>
        <v>start /low /b %USERPROFILE%\Documents\GitHub\eaglep3\Utilities\DownloadLogsFromS3.py --loco 4026 --day 2017-05-14</v>
      </c>
      <c r="AN176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748</v>
      </c>
      <c r="B177" s="7">
        <v>4025</v>
      </c>
      <c r="C177" s="21" t="s">
        <v>206</v>
      </c>
      <c r="D177" s="21" t="s">
        <v>901</v>
      </c>
      <c r="E177" s="13">
        <v>42869.651435185187</v>
      </c>
      <c r="F177" s="13">
        <v>42869.652962962966</v>
      </c>
      <c r="G177" s="7">
        <v>1</v>
      </c>
      <c r="H177" s="21" t="s">
        <v>920</v>
      </c>
      <c r="I177" s="13">
        <v>42869.662523148145</v>
      </c>
      <c r="J177" s="7">
        <v>0</v>
      </c>
      <c r="K177" s="92" t="str">
        <f>IF(ISEVEN(B177),(B177-1)&amp;"/"&amp;B177,B177&amp;"/"&amp;(B177+1))</f>
        <v>4025/4026</v>
      </c>
      <c r="L177" s="21" t="str">
        <f>VLOOKUP(A177,'Trips&amp;Operators'!$C$1:$G$99999,5,FALSE)</f>
        <v>HELVIE ADAM</v>
      </c>
      <c r="M177" s="6">
        <f>I177-F177</f>
        <v>9.5601851789979264E-3</v>
      </c>
      <c r="N177" s="7">
        <f>24*60*SUM($M177:$M177)</f>
        <v>13.766666657757014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-14T14:38:04-0600',mode:absolute,to:'2017-05-14T16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5.8632</v>
      </c>
      <c r="Z177" s="192">
        <f>RIGHT(H177,LEN(H177)-4)/10000</f>
        <v>7.3400000000000007E-2</v>
      </c>
      <c r="AA177" s="192">
        <f>ABS(Z177-Y177)</f>
        <v>5.7897999999999996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1820-14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/stypes="app*4025*20170514*" /stext=" 21:.+((SYSTEM_STATE.+slice.+state.+changed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22"/>
        <v>"%USERPROFILE%\Documents\GitHub\eaglep3\Utilities\RefineRTDCRunTimes.py" --tripid 1820-14 --locoid 4025 --swversion DE.1.0.9.0 --startMP 300:58632 --initTime 2017-05-14T15:38:04 --startdatetime 2017-05-14T15:40:16 --delay 1 --endMP 204:734 --enddatetime 2017-05-14T15:54:02 --enforcementcount 0 &gt;&gt;C:\Users\stu\Documents\GitHub\eaglep3-reporting\EC\2017-05-14-refined-times.txt</v>
      </c>
      <c r="AI177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{"issue":{"subject":"","project_id":79,"tracker_id":40,"status_id":1,"priority_id":2,"assigned_to_id":23,"start_date":"2017-05-14","description":"","custom_fields":[{"id":1,"name":"Subdivision","value":"NW"},{"id":4,"name":"Milepost","value":"0.0734"},{"id":17,"name":"Train ID","value":"1820-14"},{"id":16,"name":"Locomotive ID","value":"4025"},{"id":130,"name":"Impact","value":""},{"id":150,"name":"Time of Event (Mountain Time)","value":"15:54:02"},{"id":151,"name":"Denver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24"/>
        <v>start /low /b %USERPROFILE%\Documents\GitHub\eaglep3\Utilities\DownloadLogsFromS3.py --loco 4025 --day 2017-05-14</v>
      </c>
      <c r="AN177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753</v>
      </c>
      <c r="B178" s="7">
        <v>4026</v>
      </c>
      <c r="C178" s="21" t="s">
        <v>206</v>
      </c>
      <c r="D178" s="21" t="s">
        <v>921</v>
      </c>
      <c r="E178" s="13">
        <v>42869.680694444447</v>
      </c>
      <c r="F178" s="13">
        <v>42869.681863425925</v>
      </c>
      <c r="G178" s="7">
        <v>1</v>
      </c>
      <c r="H178" s="21" t="s">
        <v>922</v>
      </c>
      <c r="I178" s="13">
        <v>42869.690775462965</v>
      </c>
      <c r="J178" s="7">
        <v>0</v>
      </c>
      <c r="K178" s="92" t="str">
        <f>IF(ISEVEN(B178),(B178-1)&amp;"/"&amp;B178,B178&amp;"/"&amp;(B178+1))</f>
        <v>4025/4026</v>
      </c>
      <c r="L178" s="21" t="str">
        <f>VLOOKUP(A178,'Trips&amp;Operators'!$C$1:$G$99999,5,FALSE)</f>
        <v>HELVIE ADAM</v>
      </c>
      <c r="M178" s="6">
        <f>I178-F178</f>
        <v>8.9120370394084603E-3</v>
      </c>
      <c r="N178" s="7">
        <f>24*60*SUM($M178:$M178)</f>
        <v>12.833333336748183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-14T15:20:12-0600',mode:absolute,to:'2017-05-14T17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0.1032</v>
      </c>
      <c r="Z178" s="192">
        <f>RIGHT(H178,LEN(H178)-4)/10000</f>
        <v>5.8928000000000003</v>
      </c>
      <c r="AA178" s="192">
        <f>ABS(Z178-Y178)</f>
        <v>5.7896000000000001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1821-14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/stypes="app*4026*20170514*" /stext=" 22:.+((SYSTEM_STATE.+slice.+state.+changed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22"/>
        <v>"%USERPROFILE%\Documents\GitHub\eaglep3\Utilities\RefineRTDCRunTimes.py" --tripid 1821-14 --locoid 4026 --swversion DE.1.0.9.0 --startMP 204:1032 --initTime 2017-05-14T16:20:12 --startdatetime 2017-05-14T16:21:53 --delay 1 --endMP 300:58928 --enddatetime 2017-05-14T16:34:43 --enforcementcount 0 &gt;&gt;C:\Users\stu\Documents\GitHub\eaglep3-reporting\EC\2017-05-14-refined-times.txt</v>
      </c>
      <c r="AI178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{"issue":{"subject":"","project_id":79,"tracker_id":40,"status_id":1,"priority_id":2,"assigned_to_id":23,"start_date":"2017-05-14","description":"","custom_fields":[{"id":1,"name":"Subdivision","value":"NW"},{"id":4,"name":"Milepost","value":"5.8928"},{"id":17,"name":"Train ID","value":"1821-14"},{"id":16,"name":"Locomotive ID","value":"4026"},{"id":130,"name":"Impact","value":""},{"id":150,"name":"Time of Event (Mountain Time)","value":"16:34:43"},{"id":151,"name":"Denver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24"/>
        <v>start /low /b %USERPROFILE%\Documents\GitHub\eaglep3\Utilities\DownloadLogsFromS3.py --loco 4026 --day 2017-05-14</v>
      </c>
      <c r="AN178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756</v>
      </c>
      <c r="B179" s="7">
        <v>4025</v>
      </c>
      <c r="C179" s="21" t="s">
        <v>206</v>
      </c>
      <c r="D179" s="21" t="s">
        <v>905</v>
      </c>
      <c r="E179" s="13">
        <v>42869.691620370373</v>
      </c>
      <c r="F179" s="13">
        <v>42869.694930555554</v>
      </c>
      <c r="G179" s="7">
        <v>1</v>
      </c>
      <c r="H179" s="21" t="s">
        <v>923</v>
      </c>
      <c r="I179" s="13">
        <v>42869.704189814816</v>
      </c>
      <c r="J179" s="7">
        <v>0</v>
      </c>
      <c r="K179" s="92" t="str">
        <f>IF(ISEVEN(B179),(B179-1)&amp;"/"&amp;B179,B179&amp;"/"&amp;(B179+1))</f>
        <v>4025/4026</v>
      </c>
      <c r="L179" s="21" t="str">
        <f>VLOOKUP(A179,'Trips&amp;Operators'!$C$1:$G$99999,5,FALSE)</f>
        <v>HELVIE ADAM</v>
      </c>
      <c r="M179" s="6">
        <f>I179-F179</f>
        <v>9.2592592627624981E-3</v>
      </c>
      <c r="N179" s="7">
        <f>24*60*SUM($M179:$M179)</f>
        <v>13.333333338377997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-14T15:35:56-0600',mode:absolute,to:'2017-05-14T17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5.8620999999999999</v>
      </c>
      <c r="Z179" s="192">
        <f>RIGHT(H179,LEN(H179)-4)/10000</f>
        <v>7.7600000000000002E-2</v>
      </c>
      <c r="AA179" s="192">
        <f>ABS(Z179-Y179)</f>
        <v>5.7844999999999995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1822-14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/stypes="app*4025*20170514*" /stext=" 22:.+((SYSTEM_STATE.+slice.+state.+changed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22"/>
        <v>"%USERPROFILE%\Documents\GitHub\eaglep3\Utilities\RefineRTDCRunTimes.py" --tripid 1822-14 --locoid 4025 --swversion DE.1.0.9.0 --startMP 300:58621 --initTime 2017-05-14T16:35:56 --startdatetime 2017-05-14T16:40:42 --delay 1 --endMP 204:776 --enddatetime 2017-05-14T16:54:02 --enforcementcount 0 &gt;&gt;C:\Users\stu\Documents\GitHub\eaglep3-reporting\EC\2017-05-14-refined-times.txt</v>
      </c>
      <c r="AI179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{"issue":{"subject":"","project_id":79,"tracker_id":40,"status_id":1,"priority_id":2,"assigned_to_id":23,"start_date":"2017-05-14","description":"","custom_fields":[{"id":1,"name":"Subdivision","value":"NW"},{"id":4,"name":"Milepost","value":"0.0776"},{"id":17,"name":"Train ID","value":"1822-14"},{"id":16,"name":"Locomotive ID","value":"4025"},{"id":130,"name":"Impact","value":""},{"id":150,"name":"Time of Event (Mountain Time)","value":"16:54:02"},{"id":151,"name":"Denver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24"/>
        <v>start /low /b %USERPROFILE%\Documents\GitHub\eaglep3\Utilities\DownloadLogsFromS3.py --loco 4025 --day 2017-05-14</v>
      </c>
      <c r="AN179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22:54:02"},{"id":29,"name":"Sharepoint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763</v>
      </c>
      <c r="B180" s="7">
        <v>4026</v>
      </c>
      <c r="C180" s="21" t="s">
        <v>206</v>
      </c>
      <c r="D180" s="21" t="s">
        <v>924</v>
      </c>
      <c r="E180" s="13">
        <v>42869.721597222226</v>
      </c>
      <c r="F180" s="13">
        <v>42869.723113425927</v>
      </c>
      <c r="G180" s="7">
        <v>1</v>
      </c>
      <c r="H180" s="21" t="s">
        <v>577</v>
      </c>
      <c r="I180" s="13">
        <v>42869.732314814813</v>
      </c>
      <c r="J180" s="7">
        <v>0</v>
      </c>
      <c r="K180" s="92" t="str">
        <f>IF(ISEVEN(B180),(B180-1)&amp;"/"&amp;B180,B180&amp;"/"&amp;(B180+1))</f>
        <v>4025/4026</v>
      </c>
      <c r="L180" s="21" t="str">
        <f>VLOOKUP(A180,'Trips&amp;Operators'!$C$1:$G$99999,5,FALSE)</f>
        <v>HELVIE ADAM</v>
      </c>
      <c r="M180" s="6">
        <f>I180-F180</f>
        <v>9.2013888861401938E-3</v>
      </c>
      <c r="N180" s="7">
        <f>24*60*SUM($M180:$M180)</f>
        <v>13.249999996041879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-14T16:19:06-0600',mode:absolute,to:'2017-05-14T18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0.10489999999999999</v>
      </c>
      <c r="Z180" s="192">
        <f>RIGHT(H180,LEN(H180)-4)/10000</f>
        <v>5.8935000000000004</v>
      </c>
      <c r="AA180" s="192">
        <f>ABS(Z180-Y180)</f>
        <v>5.7886000000000006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1823-14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/stypes="app*4026*20170514*" /stext=" 23:.+((SYSTEM_STATE.+slice.+state.+changed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22"/>
        <v>"%USERPROFILE%\Documents\GitHub\eaglep3\Utilities\RefineRTDCRunTimes.py" --tripid 1823-14 --locoid 4026 --swversion DE.1.0.9.0 --startMP 204:1049 --initTime 2017-05-14T17:19:06 --startdatetime 2017-05-14T17:21:17 --delay 1 --endMP 300:58935 --enddatetime 2017-05-14T17:34:32 --enforcementcount 0 &gt;&gt;C:\Users\stu\Documents\GitHub\eaglep3-reporting\EC\2017-05-14-refined-times.txt</v>
      </c>
      <c r="AI180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{"issue":{"subject":"","project_id":79,"tracker_id":40,"status_id":1,"priority_id":2,"assigned_to_id":23,"start_date":"2017-05-14","description":"","custom_fields":[{"id":1,"name":"Subdivision","value":"NW"},{"id":4,"name":"Milepost","value":"5.8935"},{"id":17,"name":"Train ID","value":"1823-14"},{"id":16,"name":"Locomotive ID","value":"4026"},{"id":130,"name":"Impact","value":""},{"id":150,"name":"Time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24"/>
        <v>start /low /b %USERPROFILE%\Documents\GitHub\eaglep3\Utilities\DownloadLogsFromS3.py --loco 4026 --day 2017-05-14</v>
      </c>
      <c r="AN180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767</v>
      </c>
      <c r="B181" s="7">
        <v>4025</v>
      </c>
      <c r="C181" s="21" t="s">
        <v>206</v>
      </c>
      <c r="D181" s="21" t="s">
        <v>433</v>
      </c>
      <c r="E181" s="13">
        <v>42869.733229166668</v>
      </c>
      <c r="F181" s="13">
        <v>42869.736631944441</v>
      </c>
      <c r="G181" s="7">
        <v>1</v>
      </c>
      <c r="H181" s="21" t="s">
        <v>558</v>
      </c>
      <c r="I181" s="13">
        <v>42869.745821759258</v>
      </c>
      <c r="J181" s="7">
        <v>0</v>
      </c>
      <c r="K181" s="92" t="str">
        <f>IF(ISEVEN(B181),(B181-1)&amp;"/"&amp;B181,B181&amp;"/"&amp;(B181+1))</f>
        <v>4025/4026</v>
      </c>
      <c r="L181" s="21" t="str">
        <f>VLOOKUP(A181,'Trips&amp;Operators'!$C$1:$G$99999,5,FALSE)</f>
        <v>HELVIE ADAM</v>
      </c>
      <c r="M181" s="6">
        <f>I181-F181</f>
        <v>9.189814816636499E-3</v>
      </c>
      <c r="N181" s="7">
        <f>24*60*SUM($M181:$M181)</f>
        <v>13.233333335956559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-14T16:35:51-0600',mode:absolute,to:'2017-05-14T18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5.8616999999999999</v>
      </c>
      <c r="Z181" s="192">
        <f>RIGHT(H181,LEN(H181)-4)/10000</f>
        <v>7.6799999999999993E-2</v>
      </c>
      <c r="AA181" s="192">
        <f>ABS(Z181-Y181)</f>
        <v>5.7848999999999995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1824-14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/stypes="app*4025*20170514*" /stext=" 23:.+((SYSTEM_STATE.+slice.+state.+changed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22"/>
        <v>"%USERPROFILE%\Documents\GitHub\eaglep3\Utilities\RefineRTDCRunTimes.py" --tripid 1824-14 --locoid 4025 --swversion DE.1.0.9.0 --startMP 300:58617 --initTime 2017-05-14T17:35:51 --startdatetime 2017-05-14T17:40:45 --delay 1 --endMP 204:768 --enddatetime 2017-05-14T17:53:59 --enforcementcount 0 &gt;&gt;C:\Users\stu\Documents\GitHub\eaglep3-reporting\EC\2017-05-14-refined-times.txt</v>
      </c>
      <c r="AI181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{"issue":{"subject":"","project_id":79,"tracker_id":40,"status_id":1,"priority_id":2,"assigned_to_id":23,"start_date":"2017-05-14","description":"","custom_fields":[{"id":1,"name":"Subdivision","value":"NW"},{"id":4,"name":"Milepost","value":"0.0768"},{"id":17,"name":"Train ID","value":"1824-14"},{"id":16,"name":"Locomotive ID","value":"4025"},{"id":130,"name":"Impact","value":""},{"id":150,"name":"Time of Event (Mountain Time)","value":"17:53:59"},{"id":151,"name":"Denver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24"/>
        <v>start /low /b %USERPROFILE%\Documents\GitHub\eaglep3\Utilities\DownloadLogsFromS3.py --loco 4025 --day 2017-05-14</v>
      </c>
      <c r="AN181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23:53:59"},{"id":29,"name":"Sharepoint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775</v>
      </c>
      <c r="B182" s="7">
        <v>4026</v>
      </c>
      <c r="C182" s="21" t="s">
        <v>206</v>
      </c>
      <c r="D182" s="21" t="s">
        <v>916</v>
      </c>
      <c r="E182" s="13">
        <v>42869.763622685183</v>
      </c>
      <c r="F182" s="13">
        <v>42869.764861111114</v>
      </c>
      <c r="G182" s="7">
        <v>1</v>
      </c>
      <c r="H182" s="21" t="s">
        <v>576</v>
      </c>
      <c r="I182" s="13">
        <v>42869.773842592593</v>
      </c>
      <c r="J182" s="7">
        <v>0</v>
      </c>
      <c r="K182" s="92" t="str">
        <f>IF(ISEVEN(B182),(B182-1)&amp;"/"&amp;B182,B182&amp;"/"&amp;(B182+1))</f>
        <v>4025/4026</v>
      </c>
      <c r="L182" s="21" t="str">
        <f>VLOOKUP(A182,'Trips&amp;Operators'!$C$1:$G$99999,5,FALSE)</f>
        <v>HELVIE ADAM</v>
      </c>
      <c r="M182" s="6">
        <f>I182-F182</f>
        <v>8.9814814782585017E-3</v>
      </c>
      <c r="N182" s="7">
        <f>24*60*SUM($M182:$M182)</f>
        <v>12.933333328692243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-14T17:19:37-0600',mode:absolute,to:'2017-05-14T19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0.10440000000000001</v>
      </c>
      <c r="Z182" s="192">
        <f>RIGHT(H182,LEN(H182)-4)/10000</f>
        <v>5.8930999999999996</v>
      </c>
      <c r="AA182" s="192">
        <f>ABS(Z182-Y182)</f>
        <v>5.7886999999999995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1825-14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/stypes="app*4026*20170515*" /stext=" 00:.+((SYSTEM_STATE.+slice.+state.+changed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22"/>
        <v>"%USERPROFILE%\Documents\GitHub\eaglep3\Utilities\RefineRTDCRunTimes.py" --tripid 1825-14 --locoid 4026 --swversion DE.1.0.9.0 --startMP 204:1044 --initTime 2017-05-14T18:19:37 --startdatetime 2017-05-14T18:21:24 --delay 1 --endMP 300:58931 --enddatetime 2017-05-14T18:34:20 --enforcementcount 0 &gt;&gt;C:\Users\stu\Documents\GitHub\eaglep3-reporting\EC\2017-05-14-refined-times.txt</v>
      </c>
      <c r="AI182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{"issue":{"subject":"","project_id":79,"tracker_id":40,"status_id":1,"priority_id":2,"assigned_to_id":23,"start_date":"2017-05-14","description":"","custom_fields":[{"id":1,"name":"Subdivision","value":"NW"},{"id":4,"name":"Milepost","value":"5.8931"},{"id":17,"name":"Train ID","value":"1825-14"},{"id":16,"name":"Locomotive ID","value":"4026"},{"id":130,"name":"Impact","value":""},{"id":150,"name":"Time of Event (Mountain Time)","value":"18:34:20"},{"id":151,"name":"Denver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24"/>
        <v>start /low /b %USERPROFILE%\Documents\GitHub\eaglep3\Utilities\DownloadLogsFromS3.py --loco 4026 --day 2017-05-14</v>
      </c>
      <c r="AN182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779</v>
      </c>
      <c r="B183" s="7">
        <v>4025</v>
      </c>
      <c r="C183" s="21" t="s">
        <v>206</v>
      </c>
      <c r="D183" s="21" t="s">
        <v>449</v>
      </c>
      <c r="E183" s="13">
        <v>42869.774791666663</v>
      </c>
      <c r="F183" s="13">
        <v>42869.778368055559</v>
      </c>
      <c r="G183" s="7">
        <v>1</v>
      </c>
      <c r="H183" s="21" t="s">
        <v>925</v>
      </c>
      <c r="I183" s="13">
        <v>42869.789421296293</v>
      </c>
      <c r="J183" s="7">
        <v>0</v>
      </c>
      <c r="K183" s="92" t="str">
        <f>IF(ISEVEN(B183),(B183-1)&amp;"/"&amp;B183,B183&amp;"/"&amp;(B183+1))</f>
        <v>4025/4026</v>
      </c>
      <c r="L183" s="21" t="str">
        <f>VLOOKUP(A183,'Trips&amp;Operators'!$C$1:$G$99999,5,FALSE)</f>
        <v>HELVIE ADAM</v>
      </c>
      <c r="M183" s="6">
        <f>I183-F183</f>
        <v>1.1053240734327119E-2</v>
      </c>
      <c r="N183" s="7">
        <f>24*60*SUM($M183:$M183)</f>
        <v>15.916666657431051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-14T17:35:42-0600',mode:absolute,to:'2017-05-14T19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5.8624000000000001</v>
      </c>
      <c r="Z183" s="192">
        <f>RIGHT(H183,LEN(H183)-4)/10000</f>
        <v>7.6600000000000001E-2</v>
      </c>
      <c r="AA183" s="192">
        <f>ABS(Z183-Y183)</f>
        <v>5.7858000000000001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1826-14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/stypes="app*4025*20170515*" /stext=" 00:.+((SYSTEM_STATE.+slice.+state.+changed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22"/>
        <v>"%USERPROFILE%\Documents\GitHub\eaglep3\Utilities\RefineRTDCRunTimes.py" --tripid 1826-14 --locoid 4025 --swversion DE.1.0.9.0 --startMP 300:58624 --initTime 2017-05-14T18:35:42 --startdatetime 2017-05-14T18:40:51 --delay 1 --endMP 204:766 --enddatetime 2017-05-14T18:56:46 --enforcementcount 0 &gt;&gt;C:\Users\stu\Documents\GitHub\eaglep3-reporting\EC\2017-05-14-refined-times.txt</v>
      </c>
      <c r="AI183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{"issue":{"subject":"","project_id":79,"tracker_id":40,"status_id":1,"priority_id":2,"assigned_to_id":23,"start_date":"2017-05-14","description":"","custom_fields":[{"id":1,"name":"Subdivision","value":"NW"},{"id":4,"name":"Milepost","value":"0.0766"},{"id":17,"name":"Train ID","value":"1826-14"},{"id":16,"name":"Locomotive ID","value":"4025"},{"id":130,"name":"Impact","value":""},{"id":150,"name":"Time of Event (Mountain Time)","value":"18:56:46"},{"id":151,"name":"Denver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24"/>
        <v>start /low /b %USERPROFILE%\Documents\GitHub\eaglep3\Utilities\DownloadLogsFromS3.py --loco 4025 --day 2017-05-14</v>
      </c>
      <c r="AN183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784</v>
      </c>
      <c r="B184" s="7">
        <v>4026</v>
      </c>
      <c r="C184" s="21" t="s">
        <v>206</v>
      </c>
      <c r="D184" s="21" t="s">
        <v>926</v>
      </c>
      <c r="E184" s="13">
        <v>42869.805462962962</v>
      </c>
      <c r="F184" s="13">
        <v>42869.806527777779</v>
      </c>
      <c r="G184" s="7">
        <v>1</v>
      </c>
      <c r="H184" s="21" t="s">
        <v>576</v>
      </c>
      <c r="I184" s="13">
        <v>42869.815613425926</v>
      </c>
      <c r="J184" s="7">
        <v>0</v>
      </c>
      <c r="K184" s="92" t="str">
        <f>IF(ISEVEN(B184),(B184-1)&amp;"/"&amp;B184,B184&amp;"/"&amp;(B184+1))</f>
        <v>4025/4026</v>
      </c>
      <c r="L184" s="21" t="str">
        <f>VLOOKUP(A184,'Trips&amp;Operators'!$C$1:$G$99999,5,FALSE)</f>
        <v>HELVIE ADAM</v>
      </c>
      <c r="M184" s="6">
        <f>I184-F184</f>
        <v>9.0856481474475004E-3</v>
      </c>
      <c r="N184" s="7">
        <f>24*60*SUM($M184:$M184)</f>
        <v>13.083333332324401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-14T18:19:52-0600',mode:absolute,to:'2017-05-14T20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0.1065</v>
      </c>
      <c r="Z184" s="192">
        <f>RIGHT(H184,LEN(H184)-4)/10000</f>
        <v>5.8930999999999996</v>
      </c>
      <c r="AA184" s="192">
        <f>ABS(Z184-Y184)</f>
        <v>5.7866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1827-14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/stypes="app*4026*20170515*" /stext=" 01:.+((SYSTEM_STATE.+slice.+state.+changed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22"/>
        <v>"%USERPROFILE%\Documents\GitHub\eaglep3\Utilities\RefineRTDCRunTimes.py" --tripid 1827-14 --locoid 4026 --swversion DE.1.0.9.0 --startMP 204:1065 --initTime 2017-05-14T19:19:52 --startdatetime 2017-05-14T19:21:24 --delay 1 --endMP 300:58931 --enddatetime 2017-05-14T19:34:29 --enforcementcount 0 &gt;&gt;C:\Users\stu\Documents\GitHub\eaglep3-reporting\EC\2017-05-14-refined-times.txt</v>
      </c>
      <c r="AI184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{"issue":{"subject":"","project_id":79,"tracker_id":40,"status_id":1,"priority_id":2,"assigned_to_id":23,"start_date":"2017-05-14","description":"","custom_fields":[{"id":1,"name":"Subdivision","value":"NW"},{"id":4,"name":"Milepost","value":"5.8931"},{"id":17,"name":"Train ID","value":"1827-14"},{"id":16,"name":"Locomotive ID","value":"4026"},{"id":130,"name":"Impact","value":""},{"id":150,"name":"Time of Event (Mountain Time)","value":"19:34:29"},{"id":151,"name":"Denver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24"/>
        <v>start /low /b %USERPROFILE%\Documents\GitHub\eaglep3\Utilities\DownloadLogsFromS3.py --loco 4026 --day 2017-05-14</v>
      </c>
      <c r="AN184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787</v>
      </c>
      <c r="B185" s="7">
        <v>4025</v>
      </c>
      <c r="C185" s="21" t="s">
        <v>206</v>
      </c>
      <c r="D185" s="21" t="s">
        <v>449</v>
      </c>
      <c r="E185" s="13">
        <v>42869.816550925927</v>
      </c>
      <c r="F185" s="13">
        <v>42869.820069444446</v>
      </c>
      <c r="G185" s="7">
        <v>1</v>
      </c>
      <c r="H185" s="21" t="s">
        <v>927</v>
      </c>
      <c r="I185" s="13">
        <v>42869.830833333333</v>
      </c>
      <c r="J185" s="7">
        <v>0</v>
      </c>
      <c r="K185" s="92" t="str">
        <f>IF(ISEVEN(B185),(B185-1)&amp;"/"&amp;B185,B185&amp;"/"&amp;(B185+1))</f>
        <v>4025/4026</v>
      </c>
      <c r="L185" s="21" t="str">
        <f>VLOOKUP(A185,'Trips&amp;Operators'!$C$1:$G$99999,5,FALSE)</f>
        <v>HELVIE ADAM</v>
      </c>
      <c r="M185" s="6">
        <f>I185-F185</f>
        <v>1.0763888887595385E-2</v>
      </c>
      <c r="N185" s="7">
        <f>24*60*SUM($M185:$M185)</f>
        <v>15.499999998137355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-14T18:35:50-0600',mode:absolute,to:'2017-05-14T20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5.8624000000000001</v>
      </c>
      <c r="Z185" s="192">
        <f>RIGHT(H185,LEN(H185)-4)/10000</f>
        <v>7.7799999999999994E-2</v>
      </c>
      <c r="AA185" s="192">
        <f>ABS(Z185-Y185)</f>
        <v>5.7846000000000002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1828-14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/stypes="app*4025*20170515*" /stext=" 01:.+((SYSTEM_STATE.+slice.+state.+changed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22"/>
        <v>"%USERPROFILE%\Documents\GitHub\eaglep3\Utilities\RefineRTDCRunTimes.py" --tripid 1828-14 --locoid 4025 --swversion DE.1.0.9.0 --startMP 300:58624 --initTime 2017-05-14T19:35:50 --startdatetime 2017-05-14T19:40:54 --delay 1 --endMP 204:778 --enddatetime 2017-05-14T19:56:24 --enforcementcount 0 &gt;&gt;C:\Users\stu\Documents\GitHub\eaglep3-reporting\EC\2017-05-14-refined-times.txt</v>
      </c>
      <c r="AI185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{"issue":{"subject":"","project_id":79,"tracker_id":40,"status_id":1,"priority_id":2,"assigned_to_id":23,"start_date":"2017-05-14","description":"","custom_fields":[{"id":1,"name":"Subdivision","value":"NW"},{"id":4,"name":"Milepost","value":"0.0778"},{"id":17,"name":"Train ID","value":"1828-14"},{"id":16,"name":"Locomotive ID","value":"4025"},{"id":130,"name":"Impact","value":""},{"id":150,"name":"Time of Event (Mountain Time)","value":"19:56:24"},{"id":151,"name":"Denver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24"/>
        <v>start /low /b %USERPROFILE%\Documents\GitHub\eaglep3\Utilities\DownloadLogsFromS3.py --loco 4025 --day 2017-05-14</v>
      </c>
      <c r="AN185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793</v>
      </c>
      <c r="B186" s="7">
        <v>4026</v>
      </c>
      <c r="C186" s="21" t="s">
        <v>206</v>
      </c>
      <c r="D186" s="21" t="s">
        <v>928</v>
      </c>
      <c r="E186" s="13">
        <v>42869.847013888888</v>
      </c>
      <c r="F186" s="13">
        <v>42869.848611111112</v>
      </c>
      <c r="G186" s="7">
        <v>0</v>
      </c>
      <c r="H186" s="21" t="s">
        <v>483</v>
      </c>
      <c r="I186" s="13">
        <v>42869.85728009259</v>
      </c>
      <c r="J186" s="7">
        <v>0</v>
      </c>
      <c r="K186" s="92" t="str">
        <f>IF(ISEVEN(B186),(B186-1)&amp;"/"&amp;B186,B186&amp;"/"&amp;(B186+1))</f>
        <v>4025/4026</v>
      </c>
      <c r="L186" s="21" t="str">
        <f>VLOOKUP(A186,'Trips&amp;Operators'!$C$1:$G$99999,5,FALSE)</f>
        <v>HELVIE ADAM</v>
      </c>
      <c r="M186" s="6">
        <f>I186-F186</f>
        <v>8.6689814779674634E-3</v>
      </c>
      <c r="N186" s="7">
        <f>24*60*SUM($M186:$M186)</f>
        <v>12.483333328273147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-14T19:19:42-0600',mode:absolute,to:'2017-05-14T21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0.10630000000000001</v>
      </c>
      <c r="Z186" s="192">
        <f>RIGHT(H186,LEN(H186)-4)/10000</f>
        <v>5.8929</v>
      </c>
      <c r="AA186" s="192">
        <f>ABS(Z186-Y186)</f>
        <v>5.7866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1829-14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/stypes="app*4026*20170515*" /stext=" 02:.+((SYSTEM_STATE.+slice.+state.+changed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22"/>
        <v>"%USERPROFILE%\Documents\GitHub\eaglep3\Utilities\RefineRTDCRunTimes.py" --tripid 1829-14 --locoid 4026 --swversion DE.1.0.9.0 --startMP 204:1063 --initTime 2017-05-14T20:19:42 --startdatetime 2017-05-14T20:22:00 --delay 0 --endMP 300:58929 --enddatetime 2017-05-14T20:34:29 --enforcementcount 0 &gt;&gt;C:\Users\stu\Documents\GitHub\eaglep3-reporting\EC\2017-05-14-refined-times.txt</v>
      </c>
      <c r="AI186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{"issue":{"subject":"","project_id":79,"tracker_id":40,"status_id":1,"priority_id":2,"assigned_to_id":23,"start_date":"2017-05-14","description":"","custom_fields":[{"id":1,"name":"Subdivision","value":"NW"},{"id":4,"name":"Milepost","value":"5.8929"},{"id":17,"name":"Train ID","value":"1829-14"},{"id":16,"name":"Locomotive ID","value":"4026"},{"id":130,"name":"Impact","value":""},{"id":150,"name":"Time of Event (Mountain Time)","value":"20:34:29"},{"id":151,"name":"Denver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24"/>
        <v>start /low /b %USERPROFILE%\Documents\GitHub\eaglep3\Utilities\DownloadLogsFromS3.py --loco 4026 --day 2017-05-14</v>
      </c>
      <c r="AN186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794</v>
      </c>
      <c r="B187" s="7">
        <v>4025</v>
      </c>
      <c r="C187" s="21" t="s">
        <v>206</v>
      </c>
      <c r="D187" s="21" t="s">
        <v>905</v>
      </c>
      <c r="E187" s="13">
        <v>42869.858611111114</v>
      </c>
      <c r="F187" s="13">
        <v>42869.860092592593</v>
      </c>
      <c r="G187" s="7">
        <v>1</v>
      </c>
      <c r="H187" s="21" t="s">
        <v>930</v>
      </c>
      <c r="I187" s="13">
        <v>42869.870856481481</v>
      </c>
      <c r="J187" s="7">
        <v>0</v>
      </c>
      <c r="K187" s="92" t="str">
        <f>IF(ISEVEN(B187),(B187-1)&amp;"/"&amp;B187,B187&amp;"/"&amp;(B187+1))</f>
        <v>4025/4026</v>
      </c>
      <c r="L187" s="21" t="str">
        <f>VLOOKUP(A187,'Trips&amp;Operators'!$C$1:$G$99999,5,FALSE)</f>
        <v>HELVIE ADAM</v>
      </c>
      <c r="M187" s="6">
        <f>I187-F187</f>
        <v>1.0763888887595385E-2</v>
      </c>
      <c r="N187" s="7">
        <f>24*60*SUM($M187:$M187)</f>
        <v>15.499999998137355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-14T19:36:24-0600',mode:absolute,to:'2017-05-14T21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5.8620999999999999</v>
      </c>
      <c r="Z187" s="192">
        <f>RIGHT(H187,LEN(H187)-4)/10000</f>
        <v>1.0200000000000001E-2</v>
      </c>
      <c r="AA187" s="192">
        <f>ABS(Z187-Y187)</f>
        <v>5.8518999999999997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1830-14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/stypes="app*4025*20170515*" /stext=" 02:.+((SYSTEM_STATE.+slice.+state.+changed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22"/>
        <v>"%USERPROFILE%\Documents\GitHub\eaglep3\Utilities\RefineRTDCRunTimes.py" --tripid 1830-14 --locoid 4025 --swversion DE.1.0.9.0 --startMP 300:58621 --initTime 2017-05-14T20:36:24 --startdatetime 2017-05-14T20:38:32 --delay 1 --endMP 204:102 --enddatetime 2017-05-14T20:54:02 --enforcementcount 0 &gt;&gt;C:\Users\stu\Documents\GitHub\eaglep3-reporting\EC\2017-05-14-refined-times.txt</v>
      </c>
      <c r="AI187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{"issue":{"subject":"","project_id":79,"tracker_id":40,"status_id":1,"priority_id":2,"assigned_to_id":23,"start_date":"2017-05-14","description":"","custom_fields":[{"id":1,"name":"Subdivision","value":"NW"},{"id":4,"name":"Milepost","value":"0.0102"},{"id":17,"name":"Train ID","value":"1830-14"},{"id":16,"name":"Locomotive ID","value":"4025"},{"id":130,"name":"Impact","value":""},{"id":150,"name":"Time of Event (Mountain Time)","value":"20:54:02"},{"id":151,"name":"Denver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24"/>
        <v>start /low /b %USERPROFILE%\Documents\GitHub\eaglep3\Utilities\DownloadLogsFromS3.py --loco 4025 --day 2017-05-14</v>
      </c>
      <c r="AN187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02:54:02"},{"id":29,"name":"Sharepoint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797</v>
      </c>
      <c r="B188" s="7">
        <v>4026</v>
      </c>
      <c r="C188" s="21" t="s">
        <v>206</v>
      </c>
      <c r="D188" s="21" t="s">
        <v>931</v>
      </c>
      <c r="E188" s="13">
        <v>42869.87427083333</v>
      </c>
      <c r="F188" s="13">
        <v>42869.889849537038</v>
      </c>
      <c r="G188" s="7">
        <v>2</v>
      </c>
      <c r="H188" s="21" t="s">
        <v>576</v>
      </c>
      <c r="I188" s="13">
        <v>42869.900578703702</v>
      </c>
      <c r="J188" s="7">
        <v>0</v>
      </c>
      <c r="K188" s="92" t="str">
        <f>IF(ISEVEN(B188),(B188-1)&amp;"/"&amp;B188,B188&amp;"/"&amp;(B188+1))</f>
        <v>4025/4026</v>
      </c>
      <c r="L188" s="21" t="str">
        <f>VLOOKUP(A188,'Trips&amp;Operators'!$C$1:$G$99999,5,FALSE)</f>
        <v>SULLIVAN BRANDON</v>
      </c>
      <c r="M188" s="6">
        <f>I188-F188</f>
        <v>1.0729166664532386E-2</v>
      </c>
      <c r="N188" s="7">
        <f>24*60*SUM($M188:$M188)</f>
        <v>15.449999996926636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-14T19:58:57-0600',mode:absolute,to:'2017-05-14T22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192">
        <f>RIGHT(D188,LEN(D188)-4)/10000</f>
        <v>4.0399999999999998E-2</v>
      </c>
      <c r="Z188" s="192">
        <f>RIGHT(H188,LEN(H188)-4)/10000</f>
        <v>5.8930999999999996</v>
      </c>
      <c r="AA188" s="192">
        <f>ABS(Z188-Y188)</f>
        <v>5.8526999999999996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1831-14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/stypes="app*4026*20170515*" /stext=" 03:.+((SYSTEM_STATE.+slice.+state.+changed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22"/>
        <v>"%USERPROFILE%\Documents\GitHub\eaglep3\Utilities\RefineRTDCRunTimes.py" --tripid 1831-14 --locoid 4026 --swversion DE.1.0.9.0 --startMP 204:404 --initTime 2017-05-14T20:58:57 --startdatetime 2017-05-14T21:21:23 --delay 2 --endMP 300:58931 --enddatetime 2017-05-14T21:36:50 --enforcementcount 0 &gt;&gt;C:\Users\stu\Documents\GitHub\eaglep3-reporting\EC\2017-05-14-refined-times.txt</v>
      </c>
      <c r="AI188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{"issue":{"subject":"","project_id":79,"tracker_id":40,"status_id":1,"priority_id":2,"assigned_to_id":23,"start_date":"2017-05-14","description":"","custom_fields":[{"id":1,"name":"Subdivision","value":"NW"},{"id":4,"name":"Milepost","value":"5.8931"},{"id":17,"name":"Train ID","value":"1831-14"},{"id":16,"name":"Locomotive ID","value":"4026"},{"id":130,"name":"Impact","value":""},{"id":150,"name":"Time of Event (Mountain Time)","value":"21:36:50"},{"id":151,"name":"Denver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24"/>
        <v>start /low /b %USERPROFILE%\Documents\GitHub\eaglep3\Utilities\DownloadLogsFromS3.py --loco 4026 --day 2017-05-14</v>
      </c>
      <c r="AN188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s="20" customFormat="1" x14ac:dyDescent="0.25">
      <c r="A189" s="32" t="s">
        <v>800</v>
      </c>
      <c r="B189" s="7">
        <v>4025</v>
      </c>
      <c r="C189" s="21" t="s">
        <v>206</v>
      </c>
      <c r="D189" s="21" t="s">
        <v>484</v>
      </c>
      <c r="E189" s="13">
        <v>42869.901712962965</v>
      </c>
      <c r="F189" s="13">
        <v>42869.903252314813</v>
      </c>
      <c r="G189" s="7">
        <v>1</v>
      </c>
      <c r="H189" s="21" t="s">
        <v>450</v>
      </c>
      <c r="I189" s="13">
        <v>42869.913831018515</v>
      </c>
      <c r="J189" s="7">
        <v>0</v>
      </c>
      <c r="K189" s="92" t="str">
        <f>IF(ISEVEN(B189),(B189-1)&amp;"/"&amp;B189,B189&amp;"/"&amp;(B189+1))</f>
        <v>4025/4026</v>
      </c>
      <c r="L189" s="21" t="str">
        <f>VLOOKUP(A189,'Trips&amp;Operators'!$C$1:$G$99999,5,FALSE)</f>
        <v>SULLIVAN BRANDON</v>
      </c>
      <c r="M189" s="6">
        <f>I189-F189</f>
        <v>1.0578703702776693E-2</v>
      </c>
      <c r="N189" s="7">
        <f>24*60*SUM($M189:$M189)</f>
        <v>15.233333331998438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-14T20:38:28-0600',mode:absolute,to:'2017-05-14T22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5.8609</v>
      </c>
      <c r="Z189" s="192">
        <f>RIGHT(H189,LEN(H189)-4)/10000</f>
        <v>6.8000000000000005E-2</v>
      </c>
      <c r="AA189" s="192">
        <f>ABS(Z189-Y189)</f>
        <v>5.7929000000000004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1832-14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/stypes="app*4025*20170515*" /stext=" 03:.+((SYSTEM_STATE.+slice.+state.+changed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22"/>
        <v>"%USERPROFILE%\Documents\GitHub\eaglep3\Utilities\RefineRTDCRunTimes.py" --tripid 1832-14 --locoid 4025 --swversion DE.1.0.9.0 --startMP 300:58609 --initTime 2017-05-14T21:38:28 --startdatetime 2017-05-14T21:40:41 --delay 1 --endMP 204:680 --enddatetime 2017-05-14T21:55:55 --enforcementcount 0 &gt;&gt;C:\Users\stu\Documents\GitHub\eaglep3-reporting\EC\2017-05-14-refined-times.txt</v>
      </c>
      <c r="AI189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{"issue":{"subject":"","project_id":79,"tracker_id":40,"status_id":1,"priority_id":2,"assigned_to_id":23,"start_date":"2017-05-14","description":"","custom_fields":[{"id":1,"name":"Subdivision","value":"NW"},{"id":4,"name":"Milepost","value":"0.068"},{"id":17,"name":"Train ID","value":"1832-14"},{"id":16,"name":"Locomotive ID","value":"4025"},{"id":130,"name":"Impact","value":""},{"id":150,"name":"Time of Event (Mountain Time)","value":"21:55:55"},{"id":151,"name":"Denver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5" t="str">
        <f t="shared" si="24"/>
        <v>start /low /b %USERPROFILE%\Documents\GitHub\eaglep3\Utilities\DownloadLogsFromS3.py --loco 4025 --day 2017-05-14</v>
      </c>
      <c r="AN189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03:55:55"},{"id":29,"name":"Sharepoint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802</v>
      </c>
      <c r="B190" s="7">
        <v>4026</v>
      </c>
      <c r="C190" s="21" t="s">
        <v>206</v>
      </c>
      <c r="D190" s="21" t="s">
        <v>434</v>
      </c>
      <c r="E190" s="13">
        <v>42869.930543981478</v>
      </c>
      <c r="F190" s="13">
        <v>42869.931967592594</v>
      </c>
      <c r="G190" s="7">
        <v>1</v>
      </c>
      <c r="H190" s="21" t="s">
        <v>573</v>
      </c>
      <c r="I190" s="13">
        <v>42869.940960648149</v>
      </c>
      <c r="J190" s="7">
        <v>0</v>
      </c>
      <c r="K190" s="92" t="str">
        <f>IF(ISEVEN(B190),(B190-1)&amp;"/"&amp;B190,B190&amp;"/"&amp;(B190+1))</f>
        <v>4025/4026</v>
      </c>
      <c r="L190" s="21" t="str">
        <f>VLOOKUP(A190,'Trips&amp;Operators'!$C$1:$G$99999,5,FALSE)</f>
        <v>HELVIE ADAM</v>
      </c>
      <c r="M190" s="6">
        <f>I190-F190</f>
        <v>8.9930555550381541E-3</v>
      </c>
      <c r="N190" s="7">
        <f>24*60*SUM($M190:$M190)</f>
        <v>12.949999999254942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-14T21:19:59-0600',mode:absolute,to:'2017-05-14T23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9.7900000000000001E-2</v>
      </c>
      <c r="Z190" s="192">
        <f>RIGHT(H190,LEN(H190)-4)/10000</f>
        <v>5.8944000000000001</v>
      </c>
      <c r="AA190" s="192">
        <f>ABS(Z190-Y190)</f>
        <v>5.7965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1833-14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/stypes="app*4026*20170515*" /stext=" 04:.+((SYSTEM_STATE.+slice.+state.+changed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22"/>
        <v>"%USERPROFILE%\Documents\GitHub\eaglep3\Utilities\RefineRTDCRunTimes.py" --tripid 1833-14 --locoid 4026 --swversion DE.1.0.9.0 --startMP 204:979 --initTime 2017-05-14T22:19:59 --startdatetime 2017-05-14T22:22:02 --delay 1 --endMP 300:58944 --enddatetime 2017-05-14T22:34:59 --enforcementcount 0 &gt;&gt;C:\Users\stu\Documents\GitHub\eaglep3-reporting\EC\2017-05-14-refined-times.txt</v>
      </c>
      <c r="AI190" s="99" t="str">
        <f t="shared" si="23"/>
        <v>echo {"issue":{"subject":"","project_id":79,"tracker_id":40,"status_id":1,"priority_id":2,"assigned_to_id":23,"start_date":"2017-05-14","description":"","custom_fields":[{"id":1,"name":"Subdivision","value":"NW"},{"id":4,"name":"Milepost","value":"5.8944"},{"id":17,"name":"Train ID","value":"1833-14"},{"id":16,"name":"Locomotive ID","value":"4026"},{"id":130,"name":"Impact","value":""},{"id":150,"name":"Time of Event (Mountain Time)","value":"22:34:59"},{"id":151,"name":"Denver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24"/>
        <v>start /low /b %USERPROFILE%\Documents\GitHub\eaglep3\Utilities\DownloadLogsFromS3.py --loco 4026 --day 2017-05-14</v>
      </c>
      <c r="AN190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635</v>
      </c>
      <c r="B191" s="7">
        <v>4015</v>
      </c>
      <c r="C191" s="21" t="s">
        <v>206</v>
      </c>
      <c r="D191" s="21" t="s">
        <v>973</v>
      </c>
      <c r="E191" s="13">
        <v>42869.116643518515</v>
      </c>
      <c r="F191" s="13">
        <v>42869.122974537036</v>
      </c>
      <c r="G191" s="7">
        <v>9</v>
      </c>
      <c r="H191" s="21" t="s">
        <v>974</v>
      </c>
      <c r="I191" s="13">
        <v>42869.127418981479</v>
      </c>
      <c r="J191" s="7">
        <v>0</v>
      </c>
      <c r="K191" s="92" t="str">
        <f>IF(ISEVEN(B191),(B191-1)&amp;"/"&amp;B191,B191&amp;"/"&amp;(B191+1))</f>
        <v>4015/4016</v>
      </c>
      <c r="L191" s="21" t="str">
        <f>VLOOKUP(A191,'Trips&amp;Operators'!$C$1:$G$99999,5,FALSE)</f>
        <v>SANTIZO D. EDY</v>
      </c>
      <c r="M191" s="6">
        <f>I191-F191</f>
        <v>4.4444444429245777E-3</v>
      </c>
      <c r="N191" s="7">
        <f>24*60*SUM($M191:$M191)</f>
        <v>6.3999999978113919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-14T01:47:58-0600',mode:absolute,to:'2017-05-14T04:03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192" t="str">
        <f>IF(AA191&lt;IF(AG191="EC",23,5.65),"Y","N")</f>
        <v>Y</v>
      </c>
      <c r="X191" s="192">
        <f>VALUE(LEFT(AD191,4))-VALUE(LEFT(AD190,4))</f>
        <v>-1531</v>
      </c>
      <c r="Y191" s="192">
        <f>RIGHT(D191,LEN(D191)-4)/10000</f>
        <v>1.9517</v>
      </c>
      <c r="Z191" s="192">
        <f>RIGHT(H191,LEN(H191)-4)/10000</f>
        <v>1.01E-2</v>
      </c>
      <c r="AA191" s="192">
        <f>ABS(Z191-Y191)</f>
        <v>1.9416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0302-14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/stypes="app*4015*20170514*" /stext=" 09:.+((SYSTEM_STATE.+slice.+state.+changed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Other</v>
      </c>
      <c r="AH191" s="81" t="str">
        <f t="shared" si="22"/>
        <v>"%USERPROFILE%\Documents\GitHub\eaglep3\Utilities\RefineRTDCRunTimes.py" --tripid 302-14 --locoid 4015 --swversion DE.1.0.9.0 --startMP 300:19517 --initTime 2017-05-14T02:47:58 --startdatetime 2017-05-14T02:57:05 --delay 9 --endMP 204:101 --enddatetime 2017-05-14T03:03:29 --enforcementcount 0 &gt;&gt;C:\Users\stu\Documents\GitHub\eaglep3-reporting\EC\2017-05-14-refined-times.txt</v>
      </c>
      <c r="AI191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{"issue":{"subject":"","project_id":79,"tracker_id":40,"status_id":1,"priority_id":2,"assigned_to_id":23,"start_date":"2017-05-14","description":"","custom_fields":[{"id":1,"name":"Subdivision","value":"Other"},{"id":4,"name":"Milepost","value":"0.0101"},{"id":17,"name":"Train ID","value":"302-14"},{"id":16,"name":"Locomotive ID","value":"4015"},{"id":130,"name":"Impact","value":""},{"id":150,"name":"Time of Event (Mountain Time)","value":"03:03:29"},{"id":151,"name":"Denver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24"/>
        <v>start /low /b %USERPROFILE%\Documents\GitHub\eaglep3\Utilities\DownloadLogsFromS3.py --loco 4015 --day 2017-05-14</v>
      </c>
      <c r="AN191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09:03:29"},{"id":29,"name":"Sharepoint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780</v>
      </c>
      <c r="B192" s="7">
        <v>4032</v>
      </c>
      <c r="C192" s="21" t="s">
        <v>206</v>
      </c>
      <c r="D192" s="21" t="s">
        <v>202</v>
      </c>
      <c r="E192" s="13">
        <v>42869.776562500003</v>
      </c>
      <c r="F192" s="13">
        <v>42869.778414351851</v>
      </c>
      <c r="G192" s="7">
        <v>1</v>
      </c>
      <c r="H192" s="21" t="s">
        <v>975</v>
      </c>
      <c r="I192" s="13">
        <v>42869.784618055557</v>
      </c>
      <c r="J192" s="7">
        <v>0</v>
      </c>
      <c r="K192" s="92" t="str">
        <f>IF(ISEVEN(B192),(B192-1)&amp;"/"&amp;B192,B192&amp;"/"&amp;(B192+1))</f>
        <v>4031/4032</v>
      </c>
      <c r="L192" s="21" t="str">
        <f>VLOOKUP(A192,'Trips&amp;Operators'!$C$1:$G$99999,5,FALSE)</f>
        <v>SAFIEF AEIMEN</v>
      </c>
      <c r="M192" s="6">
        <f>I192-F192</f>
        <v>6.2037037059781142E-3</v>
      </c>
      <c r="N192" s="7">
        <f>24*60*SUM($M192:$M192)</f>
        <v>8.9333333366084844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-14T17:38:15-0600',mode:absolute,to:'2017-05-14T19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192" t="str">
        <f>IF(AA192&lt;IF(AG192="EC",23,5.65),"Y","N")</f>
        <v>Y</v>
      </c>
      <c r="X192" s="192">
        <f>VALUE(LEFT(AD192,4))-VALUE(LEFT(AD191,4))</f>
        <v>1</v>
      </c>
      <c r="Y192" s="192">
        <f>RIGHT(D192,LEN(D192)-4)/10000</f>
        <v>4.5699999999999998E-2</v>
      </c>
      <c r="Z192" s="192">
        <f>RIGHT(H192,LEN(H192)-4)/10000</f>
        <v>2.3106</v>
      </c>
      <c r="AA192" s="192">
        <f>ABS(Z192-Y192)</f>
        <v>2.2648999999999999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0303-14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s3://rtdc.mdm.uploadarchive.raw/RTDC4032/ "%USERPROFILE%\AppData\Local\Temp\OnboardLogs"\RTDC4032\2017-05-14 --exclude "*" --recursive --include "*20170514*" &amp; "%USERPROFILE%\Documents\GitHub\mrs-test-scripts\Headless Mode &amp; Sideloading\WalkAndUnGZ.bat" "%USERPROFILE%\AppData\Local\Temp\OnboardLogs"\RTDC4032\2017-05-14 &amp; 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/stypes="app*4032*20170515*" /stext=" 00:.+((SYSTEM_STATE.+slice.+state.+changed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Other</v>
      </c>
      <c r="AH192" s="81" t="str">
        <f t="shared" si="22"/>
        <v>"%USERPROFILE%\Documents\GitHub\eaglep3\Utilities\RefineRTDCRunTimes.py" --tripid 303-14 --locoid 4032 --swversion DE.1.0.9.0 --startMP 204:457 --initTime 2017-05-14T18:38:15 --startdatetime 2017-05-14T18:40:55 --delay 1 --endMP 300:23106 --enddatetime 2017-05-14T18:49:51 --enforcementcount 0 &gt;&gt;C:\Users\stu\Documents\GitHub\eaglep3-reporting\EC\2017-05-14-refined-times.txt</v>
      </c>
      <c r="AI192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{"issue":{"subject":"","project_id":79,"tracker_id":40,"status_id":1,"priority_id":2,"assigned_to_id":23,"start_date":"2017-05-14","description":"","custom_fields":[{"id":1,"name":"Subdivision","value":"Other"},{"id":4,"name":"Milepost","value":"2.3106"},{"id":17,"name":"Train ID","value":"303-14"},{"id":16,"name":"Locomotive ID","value":"4032"},{"id":130,"name":"Impact","value":""},{"id":150,"name":"Time of Event (Mountain Time)","value":"18:49:51"},{"id":151,"name":"Denver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24"/>
        <v>start /low /b %USERPROFILE%\Documents\GitHub\eaglep3\Utilities\DownloadLogsFromS3.py --loco 4032 --day 2017-05-14</v>
      </c>
      <c r="AN192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639</v>
      </c>
      <c r="B193" s="7">
        <v>4009</v>
      </c>
      <c r="C193" s="21" t="s">
        <v>206</v>
      </c>
      <c r="D193" s="21" t="s">
        <v>976</v>
      </c>
      <c r="E193" s="13">
        <v>42869.137789351851</v>
      </c>
      <c r="F193" s="13">
        <v>42869.141412037039</v>
      </c>
      <c r="G193" s="7">
        <v>5</v>
      </c>
      <c r="H193" s="21" t="s">
        <v>198</v>
      </c>
      <c r="I193" s="13">
        <v>42869.147118055553</v>
      </c>
      <c r="J193" s="7">
        <v>0</v>
      </c>
      <c r="K193" s="92" t="str">
        <f>IF(ISEVEN(B193),(B193-1)&amp;"/"&amp;B193,B193&amp;"/"&amp;(B193+1))</f>
        <v>4009/4010</v>
      </c>
      <c r="L193" s="21" t="str">
        <f>VLOOKUP(A193,'Trips&amp;Operators'!$C$1:$G$99999,5,FALSE)</f>
        <v>MAELZER KURT</v>
      </c>
      <c r="M193" s="6">
        <f>I193-F193</f>
        <v>5.7060185135924257E-3</v>
      </c>
      <c r="N193" s="7">
        <f>24*60*SUM($M193:$M193)</f>
        <v>8.2166666595730931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-14T02:18:25-0600',mode:absolute,to:'2017-05-14T04:31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92" t="str">
        <f>IF(AA193&lt;IF(AG193="EC",23,5.65),"Y","N")</f>
        <v>Y</v>
      </c>
      <c r="X193" s="192">
        <f>VALUE(LEFT(AD193,4))-VALUE(LEFT(AD192,4))</f>
        <v>1</v>
      </c>
      <c r="Y193" s="192">
        <f>RIGHT(D193,LEN(D193)-4)/10000</f>
        <v>2.29</v>
      </c>
      <c r="Z193" s="192">
        <f>RIGHT(H193,LEN(H193)-4)/10000</f>
        <v>1.5800000000000002E-2</v>
      </c>
      <c r="AA193" s="192">
        <f>ABS(Z193-Y193)</f>
        <v>2.2742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0304-14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/stypes="app*4009*20170514*" /stext=" 09:.+((SYSTEM_STATE.+slice.+state.+changed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Other</v>
      </c>
      <c r="AH193" s="81" t="str">
        <f t="shared" si="22"/>
        <v>"%USERPROFILE%\Documents\GitHub\eaglep3\Utilities\RefineRTDCRunTimes.py" --tripid 304-14 --locoid 4009 --swversion DE.1.0.9.0 --startMP 300:22900 --initTime 2017-05-14T03:18:25 --startdatetime 2017-05-14T03:23:38 --delay 5 --endMP 204:158 --enddatetime 2017-05-14T03:31:51 --enforcementcount 0 &gt;&gt;C:\Users\stu\Documents\GitHub\eaglep3-reporting\EC\2017-05-14-refined-times.txt</v>
      </c>
      <c r="AI193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{"issue":{"subject":"","project_id":79,"tracker_id":40,"status_id":1,"priority_id":2,"assigned_to_id":23,"start_date":"2017-05-14","description":"","custom_fields":[{"id":1,"name":"Subdivision","value":"Other"},{"id":4,"name":"Milepost","value":"0.0158"},{"id":17,"name":"Train ID","value":"304-14"},{"id":16,"name":"Locomotive ID","value":"4009"},{"id":130,"name":"Impact","value":""},{"id":150,"name":"Time of Event (Mountain Time)","value":"03:31:51"},{"id":151,"name":"Denver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24"/>
        <v>start /low /b %USERPROFILE%\Documents\GitHub\eaglep3\Utilities\DownloadLogsFromS3.py --loco 4009 --day 2017-05-14</v>
      </c>
      <c r="AN193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09:31:51"},{"id":29,"name":"Sharepoint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783</v>
      </c>
      <c r="B194" s="7">
        <v>4016</v>
      </c>
      <c r="C194" s="21" t="s">
        <v>206</v>
      </c>
      <c r="D194" s="21" t="s">
        <v>432</v>
      </c>
      <c r="E194" s="13">
        <v>42869.796435185184</v>
      </c>
      <c r="F194" s="13">
        <v>42869.797256944446</v>
      </c>
      <c r="G194" s="7">
        <v>0</v>
      </c>
      <c r="H194" s="21" t="s">
        <v>481</v>
      </c>
      <c r="I194" s="13">
        <v>42869.803240740737</v>
      </c>
      <c r="J194" s="7">
        <v>0</v>
      </c>
      <c r="K194" s="92" t="str">
        <f>IF(ISEVEN(B194),(B194-1)&amp;"/"&amp;B194,B194&amp;"/"&amp;(B194+1))</f>
        <v>4015/4016</v>
      </c>
      <c r="L194" s="21" t="str">
        <f>VLOOKUP(A194,'Trips&amp;Operators'!$C$1:$G$99999,5,FALSE)</f>
        <v>LALONDE GREGORY</v>
      </c>
      <c r="M194" s="6">
        <f>I194-F194</f>
        <v>5.9837962908204645E-3</v>
      </c>
      <c r="N194" s="7">
        <f>24*60*SUM($M194:$M194)</f>
        <v>8.6166666587814689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-14T18:06:52-0600',mode:absolute,to:'2017-05-14T20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192" t="str">
        <f>IF(AA194&lt;IF(AG194="EC",23,5.65),"Y","N")</f>
        <v>Y</v>
      </c>
      <c r="X194" s="192">
        <f>VALUE(LEFT(AD194,4))-VALUE(LEFT(AD193,4))</f>
        <v>1</v>
      </c>
      <c r="Y194" s="192">
        <f>RIGHT(D194,LEN(D194)-4)/10000</f>
        <v>4.7699999999999999E-2</v>
      </c>
      <c r="Z194" s="192">
        <f>RIGHT(H194,LEN(H194)-4)/10000</f>
        <v>2.3304</v>
      </c>
      <c r="AA194" s="192">
        <f>ABS(Z194-Y194)</f>
        <v>2.2827000000000002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0305-14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/stypes="app*4016*20170515*" /stext=" 01:.+((SYSTEM_STATE.+slice.+state.+changed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Other</v>
      </c>
      <c r="AH194" s="81" t="str">
        <f t="shared" si="22"/>
        <v>"%USERPROFILE%\Documents\GitHub\eaglep3\Utilities\RefineRTDCRunTimes.py" --tripid 305-14 --locoid 4016 --swversion DE.1.0.9.0 --startMP 204:477 --initTime 2017-05-14T19:06:52 --startdatetime 2017-05-14T19:08:03 --delay 0 --endMP 300:23304 --enddatetime 2017-05-14T19:16:40 --enforcementcount 0 &gt;&gt;C:\Users\stu\Documents\GitHub\eaglep3-reporting\EC\2017-05-14-refined-times.txt</v>
      </c>
      <c r="AI194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{"issue":{"subject":"","project_id":79,"tracker_id":40,"status_id":1,"priority_id":2,"assigned_to_id":23,"start_date":"2017-05-14","description":"","custom_fields":[{"id":1,"name":"Subdivision","value":"Other"},{"id":4,"name":"Milepost","value":"2.3304"},{"id":17,"name":"Train ID","value":"305-14"},{"id":16,"name":"Locomotive ID","value":"4016"},{"id":130,"name":"Impact","value":""},{"id":150,"name":"Time of Event (Mountain Time)","value":"19:16:40"},{"id":151,"name":"Denver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24"/>
        <v>start /low /b %USERPROFILE%\Documents\GitHub\eaglep3\Utilities\DownloadLogsFromS3.py --loco 4016 --day 2017-05-14</v>
      </c>
      <c r="AN194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644</v>
      </c>
      <c r="B195" s="7">
        <v>4017</v>
      </c>
      <c r="C195" s="21" t="s">
        <v>206</v>
      </c>
      <c r="D195" s="21" t="s">
        <v>977</v>
      </c>
      <c r="E195" s="13">
        <v>42869.163344907407</v>
      </c>
      <c r="F195" s="13">
        <v>42869.167175925926</v>
      </c>
      <c r="G195" s="7">
        <v>5</v>
      </c>
      <c r="H195" s="21" t="s">
        <v>374</v>
      </c>
      <c r="I195" s="13">
        <v>42869.173530092594</v>
      </c>
      <c r="J195" s="7">
        <v>0</v>
      </c>
      <c r="K195" s="92" t="str">
        <f>IF(ISEVEN(B195),(B195-1)&amp;"/"&amp;B195,B195&amp;"/"&amp;(B195+1))</f>
        <v>4017/4018</v>
      </c>
      <c r="L195" s="21" t="str">
        <f>VLOOKUP(A195,'Trips&amp;Operators'!$C$1:$G$99999,5,FALSE)</f>
        <v>BADERTSCHER DIANE</v>
      </c>
      <c r="M195" s="6">
        <f>I195-F195</f>
        <v>6.3541666677338071E-3</v>
      </c>
      <c r="N195" s="7">
        <f>24*60*SUM($M195:$M195)</f>
        <v>9.1500000015366822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-14T02:55:13-0600',mode:absolute,to:'2017-05-14T05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92" t="str">
        <f>IF(AA195&lt;IF(AG195="EC",23,5.65),"Y","N")</f>
        <v>Y</v>
      </c>
      <c r="X195" s="192">
        <f>VALUE(LEFT(AD195,4))-VALUE(LEFT(AD194,4))</f>
        <v>1</v>
      </c>
      <c r="Y195" s="192">
        <f>RIGHT(D195,LEN(D195)-4)/10000</f>
        <v>2.2864</v>
      </c>
      <c r="Z195" s="192">
        <f>RIGHT(H195,LEN(H195)-4)/10000</f>
        <v>1.41E-2</v>
      </c>
      <c r="AA195" s="192">
        <f>ABS(Z195-Y195)</f>
        <v>2.2723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0306-14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/stypes="app*4017*20170514*" /stext=" 10:.+((SYSTEM_STATE.+slice.+state.+changed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Other</v>
      </c>
      <c r="AH195" s="81" t="str">
        <f t="shared" si="22"/>
        <v>"%USERPROFILE%\Documents\GitHub\eaglep3\Utilities\RefineRTDCRunTimes.py" --tripid 306-14 --locoid 4017 --swversion DE.1.0.9.0 --startMP 300:22864 --initTime 2017-05-14T03:55:13 --startdatetime 2017-05-14T04:00:44 --delay 5 --endMP 204:141 --enddatetime 2017-05-14T04:09:53 --enforcementcount 0 &gt;&gt;C:\Users\stu\Documents\GitHub\eaglep3-reporting\EC\2017-05-14-refined-times.txt</v>
      </c>
      <c r="AI195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{"issue":{"subject":"","project_id":79,"tracker_id":40,"status_id":1,"priority_id":2,"assigned_to_id":23,"start_date":"2017-05-14","description":"","custom_fields":[{"id":1,"name":"Subdivision","value":"Other"},{"id":4,"name":"Milepost","value":"0.0141"},{"id":17,"name":"Train ID","value":"306-14"},{"id":16,"name":"Locomotive ID","value":"4017"},{"id":130,"name":"Impact","value":""},{"id":150,"name":"Time of Event (Mountain Time)","value":"04:09:53"},{"id":151,"name":"Denver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24"/>
        <v>start /low /b %USERPROFILE%\Documents\GitHub\eaglep3\Utilities\DownloadLogsFromS3.py --loco 4017 --day 2017-05-14</v>
      </c>
      <c r="AN195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789</v>
      </c>
      <c r="B196" s="7">
        <v>4018</v>
      </c>
      <c r="C196" s="21" t="s">
        <v>206</v>
      </c>
      <c r="D196" s="21" t="s">
        <v>371</v>
      </c>
      <c r="E196" s="13">
        <v>42869.820162037038</v>
      </c>
      <c r="F196" s="13">
        <v>42869.822199074071</v>
      </c>
      <c r="G196" s="7">
        <v>2</v>
      </c>
      <c r="H196" s="21" t="s">
        <v>569</v>
      </c>
      <c r="I196" s="13">
        <v>42869.827835648146</v>
      </c>
      <c r="J196" s="7">
        <v>0</v>
      </c>
      <c r="K196" s="92" t="str">
        <f>IF(ISEVEN(B196),(B196-1)&amp;"/"&amp;B196,B196&amp;"/"&amp;(B196+1))</f>
        <v>4017/4018</v>
      </c>
      <c r="L196" s="21" t="str">
        <f>VLOOKUP(A196,'Trips&amp;Operators'!$C$1:$G$99999,5,FALSE)</f>
        <v>BRANDNER MELINDA</v>
      </c>
      <c r="M196" s="6">
        <f>I196-F196</f>
        <v>5.6365740747423843E-3</v>
      </c>
      <c r="N196" s="7">
        <f>24*60*SUM($M196:$M196)</f>
        <v>8.1166666676290333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-14T18:41:02-0600',mode:absolute,to:'2017-05-14T20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92" t="str">
        <f>IF(AA196&lt;IF(AG196="EC",23,5.65),"Y","N")</f>
        <v>Y</v>
      </c>
      <c r="X196" s="192">
        <f>VALUE(LEFT(AD196,4))-VALUE(LEFT(AD195,4))</f>
        <v>1</v>
      </c>
      <c r="Y196" s="192">
        <f>RIGHT(D196,LEN(D196)-4)/10000</f>
        <v>4.4699999999999997E-2</v>
      </c>
      <c r="Z196" s="192">
        <f>RIGHT(H196,LEN(H196)-4)/10000</f>
        <v>2.3016999999999999</v>
      </c>
      <c r="AA196" s="192">
        <f>ABS(Z196-Y196)</f>
        <v>2.2569999999999997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0307-14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/stypes="app*4018*20170515*" /stext=" 01:.+((SYSTEM_STATE.+slice.+state.+changed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Other</v>
      </c>
      <c r="AH196" s="81" t="str">
        <f t="shared" si="22"/>
        <v>"%USERPROFILE%\Documents\GitHub\eaglep3\Utilities\RefineRTDCRunTimes.py" --tripid 307-14 --locoid 4018 --swversion DE.1.0.9.0 --startMP 204:447 --initTime 2017-05-14T19:41:02 --startdatetime 2017-05-14T19:43:58 --delay 2 --endMP 300:23017 --enddatetime 2017-05-14T19:52:05 --enforcementcount 0 &gt;&gt;C:\Users\stu\Documents\GitHub\eaglep3-reporting\EC\2017-05-14-refined-times.txt</v>
      </c>
      <c r="AI196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{"issue":{"subject":"","project_id":79,"tracker_id":40,"status_id":1,"priority_id":2,"assigned_to_id":23,"start_date":"2017-05-14","description":"","custom_fields":[{"id":1,"name":"Subdivision","value":"Other"},{"id":4,"name":"Milepost","value":"2.3017"},{"id":17,"name":"Train ID","value":"307-14"},{"id":16,"name":"Locomotive ID","value":"4018"},{"id":130,"name":"Impact","value":""},{"id":150,"name":"Time of Event (Mountain Time)","value":"19:52:05"},{"id":151,"name":"Denver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24"/>
        <v>start /low /b %USERPROFILE%\Documents\GitHub\eaglep3\Utilities\DownloadLogsFromS3.py --loco 4018 --day 2017-05-14</v>
      </c>
      <c r="AN196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645</v>
      </c>
      <c r="B197" s="7">
        <v>4001</v>
      </c>
      <c r="C197" s="21" t="s">
        <v>206</v>
      </c>
      <c r="D197" s="21" t="s">
        <v>978</v>
      </c>
      <c r="E197" s="13">
        <v>42869.173587962963</v>
      </c>
      <c r="F197" s="13">
        <v>42869.177037037036</v>
      </c>
      <c r="G197" s="7">
        <v>4</v>
      </c>
      <c r="H197" s="21" t="s">
        <v>372</v>
      </c>
      <c r="I197" s="13">
        <v>42869.18236111111</v>
      </c>
      <c r="J197" s="7">
        <v>0</v>
      </c>
      <c r="K197" s="92" t="str">
        <f>IF(ISEVEN(B197),(B197-1)&amp;"/"&amp;B197,B197&amp;"/"&amp;(B197+1))</f>
        <v>4001/4002</v>
      </c>
      <c r="L197" s="21" t="str">
        <f>VLOOKUP(A197,'Trips&amp;Operators'!$C$1:$G$99999,5,FALSE)</f>
        <v>DAVIS WENDY</v>
      </c>
      <c r="M197" s="6">
        <f>I197-F197</f>
        <v>5.324074074451346E-3</v>
      </c>
      <c r="N197" s="7">
        <f>24*60*SUM($M197:$M197)</f>
        <v>7.6666666672099382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-14T03:09:58-0600',mode:absolute,to:'2017-05-14T05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7" s="192" t="str">
        <f>IF(AA197&lt;IF(AG197="EC",23,5.65),"Y","N")</f>
        <v>Y</v>
      </c>
      <c r="X197" s="192">
        <f>VALUE(LEFT(AD197,4))-VALUE(LEFT(AD196,4))</f>
        <v>1</v>
      </c>
      <c r="Y197" s="192">
        <f>RIGHT(D197,LEN(D197)-4)/10000</f>
        <v>2.2002999999999999</v>
      </c>
      <c r="Z197" s="192">
        <f>RIGHT(H197,LEN(H197)-4)/10000</f>
        <v>1.3899999999999999E-2</v>
      </c>
      <c r="AA197" s="192">
        <f>ABS(Z197-Y197)</f>
        <v>2.1863999999999999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0308-14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/stypes="app*4001*20170514*" /stext=" 10:.+((SYSTEM_STATE.+slice.+state.+changed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Other</v>
      </c>
      <c r="AH197" s="81" t="str">
        <f t="shared" si="22"/>
        <v>"%USERPROFILE%\Documents\GitHub\eaglep3\Utilities\RefineRTDCRunTimes.py" --tripid 308-14 --locoid 4001 --swversion DE.1.0.9.0 --startMP 300:22003 --initTime 2017-05-14T04:09:58 --startdatetime 2017-05-14T04:14:56 --delay 4 --endMP 204:139 --enddatetime 2017-05-14T04:22:36 --enforcementcount 0 &gt;&gt;C:\Users\stu\Documents\GitHub\eaglep3-reporting\EC\2017-05-14-refined-times.txt</v>
      </c>
      <c r="AI197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{"issue":{"subject":"","project_id":79,"tracker_id":40,"status_id":1,"priority_id":2,"assigned_to_id":23,"start_date":"2017-05-14","description":"","custom_fields":[{"id":1,"name":"Subdivision","value":"Other"},{"id":4,"name":"Milepost","value":"0.0139"},{"id":17,"name":"Train ID","value":"308-14"},{"id":16,"name":"Locomotive ID","value":"4001"},{"id":130,"name":"Impact","value":""},{"id":150,"name":"Time of Event (Mountain Time)","value":"04:22:36"},{"id":151,"name":"Denver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5" t="str">
        <f t="shared" si="24"/>
        <v>start /low /b %USERPROFILE%\Documents\GitHub\eaglep3\Utilities\DownloadLogsFromS3.py --loco 4001 --day 2017-05-14</v>
      </c>
      <c r="AN197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813</v>
      </c>
      <c r="B198" s="7">
        <v>4006</v>
      </c>
      <c r="C198" s="21" t="s">
        <v>206</v>
      </c>
      <c r="D198" s="21" t="s">
        <v>957</v>
      </c>
      <c r="E198" s="13">
        <v>42870.046932870369</v>
      </c>
      <c r="F198" s="13">
        <v>42870.048356481479</v>
      </c>
      <c r="G198" s="7">
        <v>1</v>
      </c>
      <c r="H198" s="21" t="s">
        <v>979</v>
      </c>
      <c r="I198" s="13">
        <v>42870.056006944447</v>
      </c>
      <c r="J198" s="7">
        <v>0</v>
      </c>
      <c r="K198" s="92" t="str">
        <f>IF(ISEVEN(B198),(B198-1)&amp;"/"&amp;B198,B198&amp;"/"&amp;(B198+1))</f>
        <v>4005/4006</v>
      </c>
      <c r="L198" s="21" t="str">
        <f>VLOOKUP(A198,'Trips&amp;Operators'!$C$1:$G$99999,5,FALSE)</f>
        <v>NEWELL JAMES</v>
      </c>
      <c r="M198" s="6">
        <f>I198-F198</f>
        <v>7.6504629687406123E-3</v>
      </c>
      <c r="N198" s="7">
        <f>24*60*SUM($M198:$M198)</f>
        <v>11.016666674986482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-15T00:07:35-0600',mode:absolute,to:'2017-05-15T02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192" t="str">
        <f>IF(AA198&lt;IF(AG198="EC",23,5.65),"Y","N")</f>
        <v>Y</v>
      </c>
      <c r="X198" s="192">
        <f>VALUE(LEFT(AD198,4))-VALUE(LEFT(AD197,4))</f>
        <v>1</v>
      </c>
      <c r="Y198" s="192">
        <f>RIGHT(D198,LEN(D198)-4)/10000</f>
        <v>4.3999999999999997E-2</v>
      </c>
      <c r="Z198" s="192">
        <f>RIGHT(H198,LEN(H198)-4)/10000</f>
        <v>2.3306</v>
      </c>
      <c r="AA198" s="192">
        <f>ABS(Z198-Y198)</f>
        <v>2.2866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0309-14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 &amp; aws s3 cp s3://rtdc.mdm.uploadarchive.raw/RTDC4006/ "%USERPROFILE%\AppData\Local\Temp\OnboardLogs"\RTDC4006\2017-05-16 --exclude "*" --recursive --include "*20170516*" &amp; "%USERPROFILE%\Documents\GitHub\mrs-test-scripts\Headless Mode &amp; Sideloading\WalkAndUnGZ.bat" "%USERPROFILE%\AppData\Local\Temp\OnboardLogs"\RTDC4006\2017-05-16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/stypes="app*4006*20170515*" /stext=" 07:.+((SYSTEM_STATE.+slice.+state.+changed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Other</v>
      </c>
      <c r="AH198" s="81" t="str">
        <f t="shared" si="22"/>
        <v>"%USERPROFILE%\Documents\GitHub\eaglep3\Utilities\RefineRTDCRunTimes.py" --tripid 309-14 --locoid 4006 --swversion DE.1.0.9.0 --startMP 204:440 --initTime 2017-05-15T01:07:35 --startdatetime 2017-05-15T01:09:38 --delay 1 --endMP 300:23306 --enddatetime 2017-05-15T01:20:39 --enforcementcount 0 &gt;&gt;C:\Users\stu\Documents\GitHub\eaglep3-reporting\EC\2017-05-14-refined-times.txt</v>
      </c>
      <c r="AI198" s="99" t="str">
        <f t="shared" si="23"/>
        <v>echo {"issue":{"subject":"","project_id":79,"tracker_id":40,"status_id":1,"priority_id":2,"assigned_to_id":23,"start_date":"2017-05-15","description":"","custom_fields":[{"id":1,"name":"Subdivision","value":"Other"},{"id":4,"name":"Milepost","value":"2.3306"},{"id":17,"name":"Train ID","value":"309-14"},{"id":16,"name":"Locomotive ID","value":"4006"},{"id":130,"name":"Impact","value":""},{"id":150,"name":"Time of Event (Mountain Time)","value":"01:20:39"},{"id":151,"name":"Denver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24"/>
        <v>start /low /b %USERPROFILE%\Documents\GitHub\eaglep3\Utilities\DownloadLogsFromS3.py --loco 4006 --day 2017-05-15</v>
      </c>
      <c r="AN198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07:20:39"},{"id":29,"name":"Sharepoint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649</v>
      </c>
      <c r="B199" s="7">
        <v>4031</v>
      </c>
      <c r="C199" s="21" t="s">
        <v>206</v>
      </c>
      <c r="D199" s="21" t="s">
        <v>980</v>
      </c>
      <c r="E199" s="13">
        <v>42869.179305555554</v>
      </c>
      <c r="F199" s="13">
        <v>42869.184432870374</v>
      </c>
      <c r="G199" s="7">
        <v>7</v>
      </c>
      <c r="H199" s="21" t="s">
        <v>367</v>
      </c>
      <c r="I199" s="13">
        <v>42869.191469907404</v>
      </c>
      <c r="J199" s="7">
        <v>0</v>
      </c>
      <c r="K199" s="92" t="str">
        <f>IF(ISEVEN(B199),(B199-1)&amp;"/"&amp;B199,B199&amp;"/"&amp;(B199+1))</f>
        <v>4031/4032</v>
      </c>
      <c r="L199" s="21" t="str">
        <f>VLOOKUP(A199,'Trips&amp;Operators'!$C$1:$G$99999,5,FALSE)</f>
        <v>NELSON ARIANE</v>
      </c>
      <c r="M199" s="6">
        <f>I199-F199</f>
        <v>7.0370370303862728E-3</v>
      </c>
      <c r="N199" s="7">
        <f>24*60*SUM($M199:$M199)</f>
        <v>10.133333323756233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-14T03:18:12-0600',mode:absolute,to:'2017-05-14T05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192" t="str">
        <f>IF(AA199&lt;IF(AG199="EC",23,5.65),"Y","N")</f>
        <v>Y</v>
      </c>
      <c r="X199" s="192">
        <f>VALUE(LEFT(AD199,4))-VALUE(LEFT(AD198,4))</f>
        <v>1</v>
      </c>
      <c r="Y199" s="192">
        <f>RIGHT(D199,LEN(D199)-4)/10000</f>
        <v>2.2641</v>
      </c>
      <c r="Z199" s="192">
        <f>RIGHT(H199,LEN(H199)-4)/10000</f>
        <v>1.5599999999999999E-2</v>
      </c>
      <c r="AA199" s="192">
        <f>ABS(Z199-Y199)</f>
        <v>2.2484999999999999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0310-14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/stypes="app*4031*20170514*" /stext=" 10:.+((SYSTEM_STATE.+slice.+state.+changed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Other</v>
      </c>
      <c r="AH199" s="81" t="str">
        <f t="shared" si="22"/>
        <v>"%USERPROFILE%\Documents\GitHub\eaglep3\Utilities\RefineRTDCRunTimes.py" --tripid 310-14 --locoid 4031 --swversion DE.1.0.9.0 --startMP 300:22641 --initTime 2017-05-14T04:18:12 --startdatetime 2017-05-14T04:25:35 --delay 7 --endMP 204:156 --enddatetime 2017-05-14T04:35:43 --enforcementcount 0 &gt;&gt;C:\Users\stu\Documents\GitHub\eaglep3-reporting\EC\2017-05-14-refined-times.txt</v>
      </c>
      <c r="AI199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{"issue":{"subject":"","project_id":79,"tracker_id":40,"status_id":1,"priority_id":2,"assigned_to_id":23,"start_date":"2017-05-14","description":"","custom_fields":[{"id":1,"name":"Subdivision","value":"Other"},{"id":4,"name":"Milepost","value":"0.0156"},{"id":17,"name":"Train ID","value":"310-14"},{"id":16,"name":"Locomotive ID","value":"4031"},{"id":130,"name":"Impact","value":""},{"id":150,"name":"Time of Event (Mountain Time)","value":"04:35:43"},{"id":151,"name":"Denver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24"/>
        <v>start /low /b %USERPROFILE%\Documents\GitHub\eaglep3\Utilities\DownloadLogsFromS3.py --loco 4031 --day 2017-05-14</v>
      </c>
      <c r="AN199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10:35:43"},{"id":29,"name":"Sharepoint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815</v>
      </c>
      <c r="B200" s="7">
        <v>4046</v>
      </c>
      <c r="C200" s="21" t="s">
        <v>206</v>
      </c>
      <c r="D200" s="21" t="s">
        <v>203</v>
      </c>
      <c r="E200" s="13">
        <v>42870.067696759259</v>
      </c>
      <c r="F200" s="13">
        <v>42870.069155092591</v>
      </c>
      <c r="G200" s="7">
        <v>1</v>
      </c>
      <c r="H200" s="21" t="s">
        <v>981</v>
      </c>
      <c r="I200" s="13">
        <v>42870.078032407408</v>
      </c>
      <c r="J200" s="7">
        <v>0</v>
      </c>
      <c r="K200" s="92" t="str">
        <f>IF(ISEVEN(B200),(B200-1)&amp;"/"&amp;B200,B200&amp;"/"&amp;(B200+1))</f>
        <v>4045/4046</v>
      </c>
      <c r="L200" s="21" t="str">
        <f>VLOOKUP(A200,'Trips&amp;Operators'!$C$1:$G$99999,5,FALSE)</f>
        <v>SMITH MICHAEL</v>
      </c>
      <c r="M200" s="6">
        <f>I200-F200</f>
        <v>8.8773148163454607E-3</v>
      </c>
      <c r="N200" s="7">
        <f>24*60*SUM($M200:$M200)</f>
        <v>12.783333335537463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-15T00:37:29-0600',mode:absolute,to:'2017-05-15T02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192" t="str">
        <f>IF(AA200&lt;IF(AG200="EC",23,5.65),"Y","N")</f>
        <v>Y</v>
      </c>
      <c r="X200" s="192">
        <f>VALUE(LEFT(AD200,4))-VALUE(LEFT(AD199,4))</f>
        <v>1</v>
      </c>
      <c r="Y200" s="192">
        <f>RIGHT(D200,LEN(D200)-4)/10000</f>
        <v>4.5999999999999999E-2</v>
      </c>
      <c r="Z200" s="192">
        <f>RIGHT(H200,LEN(H200)-4)/10000</f>
        <v>2.3298999999999999</v>
      </c>
      <c r="AA200" s="192">
        <f>ABS(Z200-Y200)</f>
        <v>2.2839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0311-14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s3://rtdc.mdm.uploadarchive.raw/RTDC4046/ "%USERPROFILE%\AppData\Local\Temp\OnboardLogs"\RTDC4046\2017-05-15 --exclude "*" --recursive --include "*20170515*" &amp; "%USERPROFILE%\Documents\GitHub\mrs-test-scripts\Headless Mode &amp; Sideloading\WalkAndUnGZ.bat" "%USERPROFILE%\AppData\Local\Temp\OnboardLogs"\RTDC4046\2017-05-15 &amp; aws s3 cp s3://rtdc.mdm.uploadarchive.raw/RTDC4046/ "%USERPROFILE%\AppData\Local\Temp\OnboardLogs"\RTDC4046\2017-05-16 --exclude "*" --recursive --include "*20170516*" &amp; "%USERPROFILE%\Documents\GitHub\mrs-test-scripts\Headless Mode &amp; Sideloading\WalkAndUnGZ.bat" "%USERPROFILE%\AppData\Local\Temp\OnboardLogs"\RTDC4046\2017-05-16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/stypes="app*4046*20170515*" /stext=" 07:.+((SYSTEM_STATE.+slice.+state.+changed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Other</v>
      </c>
      <c r="AH200" s="81" t="str">
        <f t="shared" si="22"/>
        <v>"%USERPROFILE%\Documents\GitHub\eaglep3\Utilities\RefineRTDCRunTimes.py" --tripid 311-14 --locoid 4046 --swversion DE.1.0.9.0 --startMP 204:460 --initTime 2017-05-15T01:37:29 --startdatetime 2017-05-15T01:39:35 --delay 1 --endMP 300:23299 --enddatetime 2017-05-15T01:52:22 --enforcementcount 0 &gt;&gt;C:\Users\stu\Documents\GitHub\eaglep3-reporting\EC\2017-05-14-refined-times.txt</v>
      </c>
      <c r="AI200" s="99" t="str">
        <f t="shared" si="23"/>
        <v>echo {"issue":{"subject":"","project_id":79,"tracker_id":40,"status_id":1,"priority_id":2,"assigned_to_id":23,"start_date":"2017-05-15","description":"","custom_fields":[{"id":1,"name":"Subdivision","value":"Other"},{"id":4,"name":"Milepost","value":"2.3299"},{"id":17,"name":"Train ID","value":"311-14"},{"id":16,"name":"Locomotive ID","value":"4046"},{"id":130,"name":"Impact","value":""},{"id":150,"name":"Time of Event (Mountain Time)","value":"01:52:22"},{"id":151,"name":"Denver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5" t="str">
        <f t="shared" si="24"/>
        <v>start /low /b %USERPROFILE%\Documents\GitHub\eaglep3\Utilities\DownloadLogsFromS3.py --loco 4046 --day 2017-05-15</v>
      </c>
      <c r="AN200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07:52:22"},{"id":29,"name":"Sharepoint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633</v>
      </c>
      <c r="B201" s="7">
        <v>4014</v>
      </c>
      <c r="C201" s="21" t="s">
        <v>206</v>
      </c>
      <c r="D201" s="21" t="s">
        <v>447</v>
      </c>
      <c r="E201" s="13">
        <v>42869.090752314813</v>
      </c>
      <c r="F201" s="13">
        <v>42869.095393518517</v>
      </c>
      <c r="G201" s="7">
        <v>1</v>
      </c>
      <c r="H201" s="21" t="s">
        <v>363</v>
      </c>
      <c r="I201" s="13">
        <v>42869.10328703704</v>
      </c>
      <c r="J201" s="7">
        <v>0</v>
      </c>
      <c r="K201" s="92" t="str">
        <f>IF(ISEVEN(B201),(B201-1)&amp;"/"&amp;B201,B201&amp;"/"&amp;(B201+1))</f>
        <v>4013/4014</v>
      </c>
      <c r="L201" s="21" t="str">
        <f>VLOOKUP(A201,'Trips&amp;Operators'!$C$1:$G$99999,5,FALSE)</f>
        <v>SWANSON BRYCE</v>
      </c>
      <c r="M201" s="6">
        <f>I201-F201</f>
        <v>7.8935185229056515E-3</v>
      </c>
      <c r="N201" s="7">
        <f>24*60*SUM($M201:$M201)</f>
        <v>11.366666672984138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-14T01:10:41-0600',mode:absolute,to:'2017-05-14T03:28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1" s="192" t="str">
        <f>IF(AA201&lt;IF(AG201="EC",23,5.65),"Y","N")</f>
        <v>Y</v>
      </c>
      <c r="X201" s="192">
        <f>VALUE(LEFT(AD201,4))-VALUE(LEFT(AD200,4))</f>
        <v>2</v>
      </c>
      <c r="Y201" s="192">
        <f>RIGHT(D201,LEN(D201)-4)/10000</f>
        <v>4.7100000000000003E-2</v>
      </c>
      <c r="Z201" s="192">
        <f>RIGHT(H201,LEN(H201)-4)/10000</f>
        <v>2.3346</v>
      </c>
      <c r="AA201" s="192">
        <f>ABS(Z201-Y201)</f>
        <v>2.2875000000000001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0313-13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s3://rtdc.mdm.uploadarchive.raw/RTDC4014/ "%USERPROFILE%\AppData\Local\Temp\OnboardLogs"\RTDC4014\2017-05-14 --exclude "*" --recursive --include "*20170514*" &amp; "%USERPROFILE%\Documents\GitHub\mrs-test-scripts\Headless Mode &amp; Sideloading\WalkAndUnGZ.bat" "%USERPROFILE%\AppData\Local\Temp\OnboardLogs"\RTDC4014\2017-05-14 &amp; 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/stypes="app*4014*20170514*" /stext=" 08:.+((SYSTEM_STATE.+slice.+state.+changed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Other</v>
      </c>
      <c r="AH201" s="81" t="str">
        <f t="shared" si="22"/>
        <v>"%USERPROFILE%\Documents\GitHub\eaglep3\Utilities\RefineRTDCRunTimes.py" --tripid 313-13 --locoid 4014 --swversion DE.1.0.9.0 --startMP 204:471 --initTime 2017-05-14T02:10:41 --startdatetime 2017-05-14T02:17:22 --delay 1 --endMP 300:23346 --enddatetime 2017-05-14T02:28:44 --enforcementcount 0 &gt;&gt;C:\Users\stu\Documents\GitHub\eaglep3-reporting\EC\2017-05-14-refined-times.txt</v>
      </c>
      <c r="AI201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{"issue":{"subject":"","project_id":79,"tracker_id":40,"status_id":1,"priority_id":2,"assigned_to_id":23,"start_date":"2017-05-14","description":"","custom_fields":[{"id":1,"name":"Subdivision","value":"Other"},{"id":4,"name":"Milepost","value":"2.3346"},{"id":17,"name":"Train ID","value":"313-13"},{"id":16,"name":"Locomotive ID","value":"4014"},{"id":130,"name":"Impact","value":""},{"id":150,"name":"Time of Event (Mountain Time)","value":"02:28:44"},{"id":151,"name":"Denver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24"/>
        <v>start /low /b %USERPROFILE%\Documents\GitHub\eaglep3\Utilities\DownloadLogsFromS3.py --loco 4014 --day 2017-05-14</v>
      </c>
      <c r="AN201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08:28:44"},{"id":29,"name":"Sharepoint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816</v>
      </c>
      <c r="B202" s="7">
        <v>4002</v>
      </c>
      <c r="C202" s="21" t="s">
        <v>206</v>
      </c>
      <c r="D202" s="21" t="s">
        <v>385</v>
      </c>
      <c r="E202" s="13">
        <v>42870.087511574071</v>
      </c>
      <c r="F202" s="13">
        <v>42870.088564814818</v>
      </c>
      <c r="G202" s="7">
        <v>1</v>
      </c>
      <c r="H202" s="21" t="s">
        <v>363</v>
      </c>
      <c r="I202" s="13">
        <v>42870.095023148147</v>
      </c>
      <c r="J202" s="7">
        <v>0</v>
      </c>
      <c r="K202" s="92" t="str">
        <f>IF(ISEVEN(B202),(B202-1)&amp;"/"&amp;B202,B202&amp;"/"&amp;(B202+1))</f>
        <v>4001/4002</v>
      </c>
      <c r="L202" s="21" t="str">
        <f>VLOOKUP(A202,'Trips&amp;Operators'!$C$1:$G$99999,5,FALSE)</f>
        <v>STAMBAUGH JAMES</v>
      </c>
      <c r="M202" s="6">
        <f>I202-F202</f>
        <v>6.4583333296468481E-3</v>
      </c>
      <c r="N202" s="7">
        <f>24*60*SUM($M202:$M202)</f>
        <v>9.2999999946914613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-15T01:06:01-0600',mode:absolute,to:'2017-05-15T03:16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92" t="str">
        <f>IF(AA202&lt;IF(AG202="EC",23,5.65),"Y","N")</f>
        <v>Y</v>
      </c>
      <c r="X202" s="192">
        <f>VALUE(LEFT(AD202,4))-VALUE(LEFT(AD201,4))</f>
        <v>0</v>
      </c>
      <c r="Y202" s="192">
        <f>RIGHT(D202,LEN(D202)-4)/10000</f>
        <v>4.5499999999999999E-2</v>
      </c>
      <c r="Z202" s="192">
        <f>RIGHT(H202,LEN(H202)-4)/10000</f>
        <v>2.3346</v>
      </c>
      <c r="AA202" s="192">
        <f>ABS(Z202-Y202)</f>
        <v>2.2890999999999999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0313-14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 &amp; 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/stypes="app*4002*20170515*" /stext=" 08:.+((SYSTEM_STATE.+slice.+state.+changed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Other</v>
      </c>
      <c r="AH202" s="81" t="str">
        <f t="shared" si="22"/>
        <v>"%USERPROFILE%\Documents\GitHub\eaglep3\Utilities\RefineRTDCRunTimes.py" --tripid 313-14 --locoid 4002 --swversion DE.1.0.9.0 --startMP 204:455 --initTime 2017-05-15T02:06:01 --startdatetime 2017-05-15T02:07:32 --delay 1 --endMP 300:23346 --enddatetime 2017-05-15T02:16:50 --enforcementcount 0 &gt;&gt;C:\Users\stu\Documents\GitHub\eaglep3-reporting\EC\2017-05-14-refined-times.txt</v>
      </c>
      <c r="AI202" s="99" t="str">
        <f t="shared" si="23"/>
        <v>echo {"issue":{"subject":"","project_id":79,"tracker_id":40,"status_id":1,"priority_id":2,"assigned_to_id":23,"start_date":"2017-05-15","description":"","custom_fields":[{"id":1,"name":"Subdivision","value":"Other"},{"id":4,"name":"Milepost","value":"2.3346"},{"id":17,"name":"Train ID","value":"313-14"},{"id":16,"name":"Locomotive ID","value":"4002"},{"id":130,"name":"Impact","value":""},{"id":150,"name":"Time of Event (Mountain Time)","value":"02:16:50"},{"id":151,"name":"Denver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24"/>
        <v>start /low /b %USERPROFILE%\Documents\GitHub\eaglep3\Utilities\DownloadLogsFromS3.py --loco 4002 --day 2017-05-15</v>
      </c>
      <c r="AN202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08:16:50"},{"id":29,"name":"Sharepoint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634</v>
      </c>
      <c r="B203" s="7">
        <v>4042</v>
      </c>
      <c r="C203" s="21" t="s">
        <v>206</v>
      </c>
      <c r="D203" s="21" t="s">
        <v>203</v>
      </c>
      <c r="E203" s="13">
        <v>42869.110590277778</v>
      </c>
      <c r="F203" s="13">
        <v>42869.115034722221</v>
      </c>
      <c r="G203" s="7">
        <v>2</v>
      </c>
      <c r="H203" s="21" t="s">
        <v>982</v>
      </c>
      <c r="I203" s="13">
        <v>42869.122581018521</v>
      </c>
      <c r="J203" s="7">
        <v>0</v>
      </c>
      <c r="K203" s="92" t="str">
        <f>IF(ISEVEN(B203),(B203-1)&amp;"/"&amp;B203,B203&amp;"/"&amp;(B203+1))</f>
        <v>4041/4042</v>
      </c>
      <c r="L203" s="21" t="str">
        <f>VLOOKUP(A203,'Trips&amp;Operators'!$C$1:$G$99999,5,FALSE)</f>
        <v>BROWN JACOB</v>
      </c>
      <c r="M203" s="6">
        <f>I203-F203</f>
        <v>7.5462962995516136E-3</v>
      </c>
      <c r="N203" s="7">
        <f>24*60*SUM($M203:$M203)</f>
        <v>10.866666671354324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-14T01:39:15-0600',mode:absolute,to:'2017-05-14T03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3" s="192" t="str">
        <f>IF(AA203&lt;IF(AG203="EC",23,5.65),"Y","N")</f>
        <v>Y</v>
      </c>
      <c r="X203" s="192">
        <f>VALUE(LEFT(AD203,4))-VALUE(LEFT(AD202,4))</f>
        <v>2</v>
      </c>
      <c r="Y203" s="192">
        <f>RIGHT(D203,LEN(D203)-4)/10000</f>
        <v>4.5999999999999999E-2</v>
      </c>
      <c r="Z203" s="192">
        <f>RIGHT(H203,LEN(H203)-4)/10000</f>
        <v>2.3315999999999999</v>
      </c>
      <c r="AA203" s="192">
        <f>ABS(Z203-Y203)</f>
        <v>2.2856000000000001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0315-13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s3://rtdc.mdm.uploadarchive.raw/RTDC4042/ "%USERPROFILE%\AppData\Local\Temp\OnboardLogs"\RTDC4042\2017-05-14 --exclude "*" --recursive --include "*20170514*" &amp; "%USERPROFILE%\Documents\GitHub\mrs-test-scripts\Headless Mode &amp; Sideloading\WalkAndUnGZ.bat" "%USERPROFILE%\AppData\Local\Temp\OnboardLogs"\RTDC4042\2017-05-14 &amp; 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/stypes="app*4042*20170514*" /stext=" 08:.+((SYSTEM_STATE.+slice.+state.+changed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Other</v>
      </c>
      <c r="AH203" s="81" t="str">
        <f t="shared" si="22"/>
        <v>"%USERPROFILE%\Documents\GitHub\eaglep3\Utilities\RefineRTDCRunTimes.py" --tripid 315-13 --locoid 4042 --swversion DE.1.0.9.0 --startMP 204:460 --initTime 2017-05-14T02:39:15 --startdatetime 2017-05-14T02:45:39 --delay 2 --endMP 300:23316 --enddatetime 2017-05-14T02:56:31 --enforcementcount 0 &gt;&gt;C:\Users\stu\Documents\GitHub\eaglep3-reporting\EC\2017-05-14-refined-times.txt</v>
      </c>
      <c r="AI203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{"issue":{"subject":"","project_id":79,"tracker_id":40,"status_id":1,"priority_id":2,"assigned_to_id":23,"start_date":"2017-05-14","description":"","custom_fields":[{"id":1,"name":"Subdivision","value":"Other"},{"id":4,"name":"Milepost","value":"2.3316"},{"id":17,"name":"Train ID","value":"315-13"},{"id":16,"name":"Locomotive ID","value":"4042"},{"id":130,"name":"Impact","value":""},{"id":150,"name":"Time of Event (Mountain Time)","value":"02:56:31"},{"id":151,"name":"Denver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24"/>
        <v>start /low /b %USERPROFILE%\Documents\GitHub\eaglep3\Utilities\DownloadLogsFromS3.py --loco 4042 --day 2017-05-14</v>
      </c>
      <c r="AN203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08:56:31"},{"id":29,"name":"Sharepoint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811</v>
      </c>
      <c r="B204" s="7">
        <v>4012</v>
      </c>
      <c r="C204" s="21" t="s">
        <v>206</v>
      </c>
      <c r="D204" s="21" t="s">
        <v>366</v>
      </c>
      <c r="E204" s="13">
        <v>42870.029004629629</v>
      </c>
      <c r="F204" s="13">
        <v>42870.029988425929</v>
      </c>
      <c r="G204" s="7">
        <v>1</v>
      </c>
      <c r="H204" s="21" t="s">
        <v>981</v>
      </c>
      <c r="I204" s="13">
        <v>42870.036423611113</v>
      </c>
      <c r="J204" s="7">
        <v>0</v>
      </c>
      <c r="K204" s="92" t="str">
        <f>IF(ISEVEN(B204),(B204-1)&amp;"/"&amp;B204,B204&amp;"/"&amp;(B204+1))</f>
        <v>4011/4012</v>
      </c>
      <c r="L204" s="21" t="str">
        <f>VLOOKUP(A204,'Trips&amp;Operators'!$C$1:$G$99999,5,FALSE)</f>
        <v>CHANDLER KELVIN</v>
      </c>
      <c r="M204" s="6">
        <f>I204-F204</f>
        <v>6.435185183363501E-3</v>
      </c>
      <c r="N204" s="7">
        <f>24*60*SUM($M204:$M204)</f>
        <v>9.2666666640434414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-14T23:41:46-0600',mode:absolute,to:'2017-05-15T01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92" t="str">
        <f>IF(AA204&lt;IF(AG204="EC",23,5.65),"Y","N")</f>
        <v>Y</v>
      </c>
      <c r="X204" s="192">
        <f>VALUE(LEFT(AD204,4))-VALUE(LEFT(AD203,4))</f>
        <v>0</v>
      </c>
      <c r="Y204" s="192">
        <f>RIGHT(D204,LEN(D204)-4)/10000</f>
        <v>4.6399999999999997E-2</v>
      </c>
      <c r="Z204" s="192">
        <f>RIGHT(H204,LEN(H204)-4)/10000</f>
        <v>2.3298999999999999</v>
      </c>
      <c r="AA204" s="192">
        <f>ABS(Z204-Y204)</f>
        <v>2.2835000000000001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0315-14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s3://rtdc.mdm.uploadarchive.raw/RTDC4012/ "%USERPROFILE%\AppData\Local\Temp\OnboardLogs"\RTDC4012\2017-05-15 --exclude "*" --recursive --include "*20170515*" &amp; "%USERPROFILE%\Documents\GitHub\mrs-test-scripts\Headless Mode &amp; Sideloading\WalkAndUnGZ.bat" "%USERPROFILE%\AppData\Local\Temp\OnboardLogs"\RTDC4012\2017-05-15 &amp; aws s3 cp s3://rtdc.mdm.uploadarchive.raw/RTDC4012/ "%USERPROFILE%\AppData\Local\Temp\OnboardLogs"\RTDC4012\2017-05-16 --exclude "*" --recursive --include "*20170516*" &amp; "%USERPROFILE%\Documents\GitHub\mrs-test-scripts\Headless Mode &amp; Sideloading\WalkAndUnGZ.bat" "%USERPROFILE%\AppData\Local\Temp\OnboardLogs"\RTDC4012\2017-05-16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/stypes="app*4012*20170515*" /stext=" 06:.+((SYSTEM_STATE.+slice.+state.+changed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Other</v>
      </c>
      <c r="AH204" s="81" t="str">
        <f t="shared" si="22"/>
        <v>"%USERPROFILE%\Documents\GitHub\eaglep3\Utilities\RefineRTDCRunTimes.py" --tripid 315-14 --locoid 4012 --swversion DE.1.0.9.0 --startMP 204:464 --initTime 2017-05-15T00:41:46 --startdatetime 2017-05-15T00:43:11 --delay 1 --endMP 300:23299 --enddatetime 2017-05-15T00:52:27 --enforcementcount 0 &gt;&gt;C:\Users\stu\Documents\GitHub\eaglep3-reporting\EC\2017-05-14-refined-times.txt</v>
      </c>
      <c r="AI204" s="99" t="str">
        <f t="shared" si="23"/>
        <v>echo {"issue":{"subject":"","project_id":79,"tracker_id":40,"status_id":1,"priority_id":2,"assigned_to_id":23,"start_date":"2017-05-15","description":"","custom_fields":[{"id":1,"name":"Subdivision","value":"Other"},{"id":4,"name":"Milepost","value":"2.3299"},{"id":17,"name":"Train ID","value":"315-14"},{"id":16,"name":"Locomotive ID","value":"4012"},{"id":130,"name":"Impact","value":""},{"id":150,"name":"Time of Event (Mountain Time)","value":"00:52:27"},{"id":151,"name":"Denver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24"/>
        <v>start /low /b %USERPROFILE%\Documents\GitHub\eaglep3\Utilities\DownloadLogsFromS3.py --loco 4012 --day 2017-05-15</v>
      </c>
      <c r="AN204" s="154" t="str">
        <f t="shared" si="25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06:52:27"},{"id":29,"name":"Sharepoint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658</v>
      </c>
      <c r="B205" s="7">
        <v>4026</v>
      </c>
      <c r="C205" s="21" t="s">
        <v>206</v>
      </c>
      <c r="D205" s="21" t="s">
        <v>937</v>
      </c>
      <c r="E205" s="13">
        <v>42869.223321759258</v>
      </c>
      <c r="F205" s="13">
        <v>42869.226145833331</v>
      </c>
      <c r="G205" s="7">
        <v>3</v>
      </c>
      <c r="H205" s="21" t="s">
        <v>576</v>
      </c>
      <c r="I205" s="13">
        <v>42869.231134259258</v>
      </c>
      <c r="J205" s="7">
        <v>0</v>
      </c>
      <c r="K205" s="92" t="str">
        <f>IF(ISEVEN(B205),(B205-1)&amp;"/"&amp;B205,B205&amp;"/"&amp;(B205+1))</f>
        <v>4025/4026</v>
      </c>
      <c r="L205" s="21" t="str">
        <f>VLOOKUP(A205,'Trips&amp;Operators'!$C$1:$G$99999,5,FALSE)</f>
        <v>YORK EDGAR</v>
      </c>
      <c r="M205" s="6">
        <f>I205-F205</f>
        <v>4.9884259278769605E-3</v>
      </c>
      <c r="N205" s="7">
        <f>24*60*SUM($M205:$M205)</f>
        <v>7.1833333361428231</v>
      </c>
      <c r="O205" s="7"/>
      <c r="P205" s="7"/>
      <c r="Q205" s="22"/>
      <c r="R205" s="190"/>
      <c r="S205" s="196">
        <f>SUM(U205:U205)/IF(AG205="EC",12,1)</f>
        <v>0</v>
      </c>
      <c r="T205" s="190" t="str">
        <f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-14T04:21:35-0600',mode:absolute,to:'2017-05-14T06:32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192" t="str">
        <f>IF(AA205&lt;IF(AG205="EC",23,5.65),"Y","N")</f>
        <v>Y</v>
      </c>
      <c r="X205" s="192">
        <f>VALUE(LEFT(AD205,4))-VALUE(LEFT(AD204,4))</f>
        <v>1586</v>
      </c>
      <c r="Y205" s="192">
        <f>RIGHT(D205,LEN(D205)-4)/10000</f>
        <v>2.9956999999999998</v>
      </c>
      <c r="Z205" s="192">
        <f>RIGHT(H205,LEN(H205)-4)/10000</f>
        <v>5.8930999999999996</v>
      </c>
      <c r="AA205" s="192">
        <f>ABS(Z205-Y205)</f>
        <v>2.8973999999999998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1901-14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"%USERPROFILE%\AppData\Local\Temp\OnboardLogs"\RTDC4026\2017-05-14 --exclude "*" --recursive --include "*20170514*" &amp; "%USERPROFILE%\Documents\GitHub\mrs-test-scripts\Headless Mode &amp; Sideloading\WalkAndUnGZ.bat" "%USERPROFILE%\AppData\Local\Temp\OnboardLogs"\RTDC4026\2017-05-14 &amp; 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/stypes="app*4026*20170514*" /stext=" 11:.+((SYSTEM_STATE.+slice.+state.+changed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22"/>
        <v>"%USERPROFILE%\Documents\GitHub\eaglep3\Utilities\RefineRTDCRunTimes.py" --tripid 1901-14 --locoid 4026 --swversion DE.1.0.9.0 --startMP 300:29957 --initTime 2017-05-14T05:21:35 --startdatetime 2017-05-14T05:25:39 --delay 3 --endMP 300:58931 --enddatetime 2017-05-14T05:32:50 --enforcementcount 0 &gt;&gt;C:\Users\stu\Documents\GitHub\eaglep3-reporting\EC\2017-05-14-refined-times.txt</v>
      </c>
      <c r="AI205" s="99" t="str">
        <f t="shared" si="23"/>
        <v>echo {"issue":{"subject":"","project_id":79,"tracker_id":40,"status_id":1,"priority_id":2,"assigned_to_id":23,"start_date":"2017-05-14","description":"","custom_fields":[{"id":1,"name":"Subdivision","value":"Other"},{"id":4,"name":"Milepost","value":"5.8931"},{"id":17,"name":"Train ID","value":"1901-14"},{"id":16,"name":"Locomotive ID","value":"4026"},{"id":130,"name":"Impact","value":""},{"id":150,"name":"Time of Event (Mountain Time)","value":"05:32:50"},{"id":151,"name":"Denver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24"/>
        <v>start /low /b %USERPROFILE%\Documents\GitHub\eaglep3\Utilities\DownloadLogsFromS3.py --loco 4026 --day 2017-05-14</v>
      </c>
      <c r="AN205" s="154" t="str">
        <f t="shared" si="25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11:32:50"},{"id":29,"name":"Sharepoint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804</v>
      </c>
      <c r="B206" s="7">
        <v>4025</v>
      </c>
      <c r="C206" s="21" t="s">
        <v>206</v>
      </c>
      <c r="D206" s="21" t="s">
        <v>938</v>
      </c>
      <c r="E206" s="13">
        <v>42869.942013888889</v>
      </c>
      <c r="F206" s="13">
        <v>42869.943969907406</v>
      </c>
      <c r="G206" s="7">
        <v>1</v>
      </c>
      <c r="H206" s="21" t="s">
        <v>939</v>
      </c>
      <c r="I206" s="13">
        <v>42869.948391203703</v>
      </c>
      <c r="J206" s="7">
        <v>0</v>
      </c>
      <c r="K206" s="92" t="str">
        <f>IF(ISEVEN(B206),(B206-1)&amp;"/"&amp;B206,B206&amp;"/"&amp;(B206+1))</f>
        <v>4025/4026</v>
      </c>
      <c r="L206" s="21" t="str">
        <f>VLOOKUP(A206,'Trips&amp;Operators'!$C$1:$G$99999,5,FALSE)</f>
        <v>HELVIE ADAM</v>
      </c>
      <c r="M206" s="6">
        <f>I206-F206</f>
        <v>4.4212962966412306E-3</v>
      </c>
      <c r="N206" s="7">
        <f>24*60*SUM($M206:$M206)</f>
        <v>6.366666667163372</v>
      </c>
      <c r="O206" s="7"/>
      <c r="P206" s="7"/>
      <c r="Q206" s="22"/>
      <c r="R206" s="190"/>
      <c r="S206" s="196">
        <f>SUM(U206:U206)/IF(AG206="EC",12,1)</f>
        <v>0</v>
      </c>
      <c r="T206" s="190" t="str">
        <f>IF(ISEVEN(LEFT(AD206,4)),"Southbound","NorthBound")</f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-14T21:36:30-0600',mode:absolute,to:'2017-05-14T23:45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92" t="str">
        <f>IF(AA206&lt;IF(AG206="EC",23,5.65),"Y","N")</f>
        <v>Y</v>
      </c>
      <c r="X206" s="192">
        <f>VALUE(LEFT(AD206,4))-VALUE(LEFT(AD205,4))</f>
        <v>1</v>
      </c>
      <c r="Y206" s="192">
        <f>RIGHT(D206,LEN(D206)-4)/10000</f>
        <v>5.8623000000000003</v>
      </c>
      <c r="Z206" s="192">
        <f>RIGHT(H206,LEN(H206)-4)/10000</f>
        <v>2.1755</v>
      </c>
      <c r="AA206" s="192">
        <f>ABS(Z206-Y206)</f>
        <v>3.6868000000000003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1902-14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/stypes="app*4025*20170515*" /stext=" 04:.+((SYSTEM_STATE.+slice.+state.+changed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ref="AH206:AH219" si="2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1902-14 --locoid 4025 --swversion DE.1.0.9.0 --startMP 300:58623 --initTime 2017-05-14T22:36:30 --startdatetime 2017-05-14T22:39:19 --delay 1 --endMP 300:21755 --enddatetime 2017-05-14T22:45:41 --enforcementcount 0 &gt;&gt;C:\Users\stu\Documents\GitHub\eaglep3-reporting\EC\2017-05-14-refined-times.txt</v>
      </c>
      <c r="AI206" s="99" t="str">
        <f t="shared" ref="AI206:AI219" si="2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{"issue":{"subject":"","project_id":79,"tracker_id":40,"status_id":1,"priority_id":2,"assigned_to_id":23,"start_date":"2017-05-14","description":"","custom_fields":[{"id":1,"name":"Subdivision","value":"Other"},{"id":4,"name":"Milepost","value":"2.1755"},{"id":17,"name":"Train ID","value":"1902-14"},{"id":16,"name":"Locomotive ID","value":"4025"},{"id":130,"name":"Impact","value":""},{"id":150,"name":"Time of Event (Mountain Time)","value":"22:45:41"},{"id":151,"name":"Denver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19" si="29">"start /low /b "&amp;dls3logs&amp;" --loco "&amp;B206&amp;" --day "&amp;TEXT(F206,"YYYY-MM-DD")</f>
        <v>start /low /b %USERPROFILE%\Documents\GitHub\eaglep3\Utilities\DownloadLogsFromS3.py --loco 4025 --day 2017-05-14</v>
      </c>
      <c r="AN206" s="154" t="str">
        <f t="shared" ref="AN206:AN219" si="3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04:45:41"},{"id":29,"name":"Sharepoint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664</v>
      </c>
      <c r="B207" s="7">
        <v>4017</v>
      </c>
      <c r="C207" s="21" t="s">
        <v>206</v>
      </c>
      <c r="D207" s="21" t="s">
        <v>983</v>
      </c>
      <c r="E207" s="13">
        <v>42869.256562499999</v>
      </c>
      <c r="F207" s="13">
        <v>42869.259085648147</v>
      </c>
      <c r="G207" s="7">
        <v>1</v>
      </c>
      <c r="H207" s="21" t="s">
        <v>984</v>
      </c>
      <c r="I207" s="13">
        <v>42869.260462962964</v>
      </c>
      <c r="J207" s="7">
        <v>0</v>
      </c>
      <c r="K207" s="92" t="str">
        <f>IF(ISEVEN(B207),(B207-1)&amp;"/"&amp;B207,B207&amp;"/"&amp;(B207+1))</f>
        <v>4017/4018</v>
      </c>
      <c r="L207" s="21" t="str">
        <f>VLOOKUP(A207,'Trips&amp;Operators'!$C$1:$G$99999,5,FALSE)</f>
        <v>ARVIDSON DANIEL</v>
      </c>
      <c r="M207" s="6">
        <f>I207-F207</f>
        <v>1.377314816636499E-3</v>
      </c>
      <c r="N207" s="7">
        <f>24*60*SUM($M207:$M207)</f>
        <v>1.9833333359565586</v>
      </c>
      <c r="O207" s="7"/>
      <c r="P207" s="7"/>
      <c r="Q207" s="22"/>
      <c r="R207" s="190"/>
      <c r="S207" s="196">
        <f>SUM(U207:U207)/IF(AG207="EC",12,1)</f>
        <v>0</v>
      </c>
      <c r="T207" s="190" t="e">
        <f>IF(ISEVEN(LEFT(AD207,4)),"Southbound","NorthBound")</f>
        <v>#VALUE!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-14T05:09:27-0600',mode:absolute,to:'2017-05-14T07:15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7" s="192" t="str">
        <f>IF(AA207&lt;IF(AG207="EC",23,5.65),"Y","N")</f>
        <v>Y</v>
      </c>
      <c r="X207" s="192" t="e">
        <f>VALUE(LEFT(AD207,4))-VALUE(LEFT(AD206,4))</f>
        <v>#VALUE!</v>
      </c>
      <c r="Y207" s="192">
        <f>RIGHT(D207,LEN(D207)-4)/10000</f>
        <v>0.3352</v>
      </c>
      <c r="Z207" s="192">
        <f>RIGHT(H207,LEN(H207)-4)/10000</f>
        <v>0.11600000000000001</v>
      </c>
      <c r="AA207" s="192">
        <f>ABS(Z207-Y207)</f>
        <v>0.21920000000000001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51-14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/stypes="app*4017*20170514*" /stext=" 12:.+((SYSTEM_STATE.+slice.+state.+changed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7"/>
        <v>"%USERPROFILE%\Documents\GitHub\eaglep3\Utilities\RefineRTDCRunTimes.py" --tripid 51-14 --locoid 4017 --swversion DE.1.0.9.0 --startMP 204:3352 --initTime 2017-05-14T06:09:27 --startdatetime 2017-05-14T06:13:05 --delay 1 --endMP 204:1160 --enddatetime 2017-05-14T06:15:04 --enforcementcount 0 &gt;&gt;C:\Users\stu\Documents\GitHub\eaglep3-reporting\EC\2017-05-14-refined-times.txt</v>
      </c>
      <c r="AI207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{"issue":{"subject":"","project_id":79,"tracker_id":40,"status_id":1,"priority_id":2,"assigned_to_id":23,"start_date":"2017-05-14","description":"","custom_fields":[{"id":1,"name":"Subdivision","value":"Other"},{"id":4,"name":"Milepost","value":"0.116"},{"id":17,"name":"Train ID","value":"51-14"},{"id":16,"name":"Locomotive ID","value":"4017"},{"id":130,"name":"Impact","value":""},{"id":150,"name":"Time of Event (Mountain Time)","value":"06:15:04"},{"id":151,"name":"Denver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9"/>
        <v>start /low /b %USERPROFILE%\Documents\GitHub\eaglep3\Utilities\DownloadLogsFromS3.py --loco 4017 --day 2017-05-14</v>
      </c>
      <c r="AN207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12:15:04"},{"id":29,"name":"Sharepoint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664</v>
      </c>
      <c r="B208" s="7">
        <v>4018</v>
      </c>
      <c r="C208" s="21" t="s">
        <v>206</v>
      </c>
      <c r="D208" s="21" t="s">
        <v>355</v>
      </c>
      <c r="E208" s="13">
        <v>42869.252812500003</v>
      </c>
      <c r="F208" s="13">
        <v>42869.259085648147</v>
      </c>
      <c r="G208" s="7">
        <v>1</v>
      </c>
      <c r="H208" s="21" t="s">
        <v>985</v>
      </c>
      <c r="I208" s="13">
        <v>42869.260462962964</v>
      </c>
      <c r="J208" s="7">
        <v>0</v>
      </c>
      <c r="K208" s="92" t="str">
        <f>IF(ISEVEN(B208),(B208-1)&amp;"/"&amp;B208,B208&amp;"/"&amp;(B208+1))</f>
        <v>4017/4018</v>
      </c>
      <c r="L208" s="21" t="str">
        <f>VLOOKUP(A208,'Trips&amp;Operators'!$C$1:$G$99999,5,FALSE)</f>
        <v>ARVIDSON DANIEL</v>
      </c>
      <c r="M208" s="6">
        <f>I208-F208</f>
        <v>1.377314816636499E-3</v>
      </c>
      <c r="N208" s="7">
        <f>24*60*SUM($M208:$M208)</f>
        <v>1.9833333359565586</v>
      </c>
      <c r="O208" s="7"/>
      <c r="P208" s="7"/>
      <c r="Q208" s="22"/>
      <c r="R208" s="190"/>
      <c r="S208" s="196">
        <f>SUM(U208:U208)/IF(AG208="EC",12,1)</f>
        <v>0</v>
      </c>
      <c r="T208" s="190" t="e">
        <f>IF(ISEVEN(LEFT(AD208,4)),"Southbound","NorthBound")</f>
        <v>#VALUE!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-14T05:04:03-0600',mode:absolute,to:'2017-05-14T07:15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92" t="str">
        <f>IF(AA208&lt;IF(AG208="EC",23,5.65),"Y","N")</f>
        <v>Y</v>
      </c>
      <c r="X208" s="192" t="e">
        <f>VALUE(LEFT(AD208,4))-VALUE(LEFT(AD207,4))</f>
        <v>#VALUE!</v>
      </c>
      <c r="Y208" s="192">
        <f>RIGHT(D208,LEN(D208)-4)/10000</f>
        <v>4.58E-2</v>
      </c>
      <c r="Z208" s="192">
        <f>RIGHT(H208,LEN(H208)-4)/10000</f>
        <v>0.36649999999999999</v>
      </c>
      <c r="AA208" s="192">
        <f>ABS(Z208-Y208)</f>
        <v>0.32069999999999999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51-14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/stypes="app*4018*20170514*" /stext=" 12:.+((SYSTEM_STATE.+slice.+state.+changed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7"/>
        <v>"%USERPROFILE%\Documents\GitHub\eaglep3\Utilities\RefineRTDCRunTimes.py" --tripid 51-14 --locoid 4018 --swversion DE.1.0.9.0 --startMP 204:458 --initTime 2017-05-14T06:04:03 --startdatetime 2017-05-14T06:13:05 --delay 1 --endMP 204:3665 --enddatetime 2017-05-14T06:15:04 --enforcementcount 0 &gt;&gt;C:\Users\stu\Documents\GitHub\eaglep3-reporting\EC\2017-05-14-refined-times.txt</v>
      </c>
      <c r="AI208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{"issue":{"subject":"","project_id":79,"tracker_id":40,"status_id":1,"priority_id":2,"assigned_to_id":23,"start_date":"2017-05-14","description":"","custom_fields":[{"id":1,"name":"Subdivision","value":"Other"},{"id":4,"name":"Milepost","value":"0.3665"},{"id":17,"name":"Train ID","value":"51-14"},{"id":16,"name":"Locomotive ID","value":"4018"},{"id":130,"name":"Impact","value":""},{"id":150,"name":"Time of Event (Mountain Time)","value":"06:15:04"},{"id":151,"name":"Denver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9"/>
        <v>start /low /b %USERPROFILE%\Documents\GitHub\eaglep3\Utilities\DownloadLogsFromS3.py --loco 4018 --day 2017-05-14</v>
      </c>
      <c r="AN208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12:15:04"},{"id":29,"name":"Sharepoint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721</v>
      </c>
      <c r="B209" s="7">
        <v>4017</v>
      </c>
      <c r="C209" s="21" t="s">
        <v>206</v>
      </c>
      <c r="D209" s="21" t="s">
        <v>986</v>
      </c>
      <c r="E209" s="13">
        <v>42869.51494212963</v>
      </c>
      <c r="F209" s="13">
        <v>42869.516631944447</v>
      </c>
      <c r="G209" s="7">
        <v>1</v>
      </c>
      <c r="H209" s="21" t="s">
        <v>358</v>
      </c>
      <c r="I209" s="13">
        <v>42869.518240740741</v>
      </c>
      <c r="J209" s="7">
        <v>0</v>
      </c>
      <c r="K209" s="92" t="str">
        <f>IF(ISEVEN(B209),(B209-1)&amp;"/"&amp;B209,B209&amp;"/"&amp;(B209+1))</f>
        <v>4017/4018</v>
      </c>
      <c r="L209" s="21" t="str">
        <f>VLOOKUP(A209,'Trips&amp;Operators'!$C$1:$G$99999,5,FALSE)</f>
        <v>DAVIDSON DAVID</v>
      </c>
      <c r="M209" s="6">
        <f>I209-F209</f>
        <v>1.6087962940218858E-3</v>
      </c>
      <c r="N209" s="7">
        <f>24*60*SUM($M209:$M209)</f>
        <v>2.3166666633915156</v>
      </c>
      <c r="O209" s="7"/>
      <c r="P209" s="7"/>
      <c r="Q209" s="22"/>
      <c r="R209" s="190"/>
      <c r="S209" s="196">
        <f>SUM(U209:U209)/IF(AG209="EC",12,1)</f>
        <v>0</v>
      </c>
      <c r="T209" s="190" t="e">
        <f>IF(ISEVEN(LEFT(AD209,4)),"Southbound","NorthBound")</f>
        <v>#VALUE!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-14T11:21:31-0600',mode:absolute,to:'2017-05-14T13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2" t="str">
        <f>IF(AA209&lt;IF(AG209="EC",23,5.65),"Y","N")</f>
        <v>Y</v>
      </c>
      <c r="X209" s="192" t="e">
        <f>VALUE(LEFT(AD209,4))-VALUE(LEFT(AD208,4))</f>
        <v>#VALUE!</v>
      </c>
      <c r="Y209" s="192">
        <f>RIGHT(D209,LEN(D209)-4)/10000</f>
        <v>0.311</v>
      </c>
      <c r="Z209" s="192">
        <f>RIGHT(H209,LEN(H209)-4)/10000</f>
        <v>1.4999999999999999E-2</v>
      </c>
      <c r="AA209" s="192">
        <f>ABS(Z209-Y209)</f>
        <v>0.29599999999999999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53-14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/stypes="app*4017*20170514*" /stext=" 18:.+((SYSTEM_STATE.+slice.+state.+changed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7"/>
        <v>"%USERPROFILE%\Documents\GitHub\eaglep3\Utilities\RefineRTDCRunTimes.py" --tripid 53-14 --locoid 4017 --swversion DE.1.0.9.0 --startMP 204:3110 --initTime 2017-05-14T12:21:31 --startdatetime 2017-05-14T12:23:57 --delay 1 --endMP 204:150 --enddatetime 2017-05-14T12:26:16 --enforcementcount 0 &gt;&gt;C:\Users\stu\Documents\GitHub\eaglep3-reporting\EC\2017-05-14-refined-times.txt</v>
      </c>
      <c r="AI209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{"issue":{"subject":"","project_id":79,"tracker_id":40,"status_id":1,"priority_id":2,"assigned_to_id":23,"start_date":"2017-05-14","description":"","custom_fields":[{"id":1,"name":"Subdivision","value":"Other"},{"id":4,"name":"Milepost","value":"0.015"},{"id":17,"name":"Train ID","value":"53-14"},{"id":16,"name":"Locomotive ID","value":"4017"},{"id":130,"name":"Impact","value":""},{"id":150,"name":"Time of Event (Mountain Time)","value":"12:26:16"},{"id":151,"name":"Denver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9"/>
        <v>start /low /b %USERPROFILE%\Documents\GitHub\eaglep3\Utilities\DownloadLogsFromS3.py --loco 4017 --day 2017-05-14</v>
      </c>
      <c r="AN209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721</v>
      </c>
      <c r="B210" s="7">
        <v>4018</v>
      </c>
      <c r="C210" s="21" t="s">
        <v>206</v>
      </c>
      <c r="D210" s="21" t="s">
        <v>987</v>
      </c>
      <c r="E210" s="13">
        <v>42869.509560185186</v>
      </c>
      <c r="F210" s="13">
        <v>42869.516631944447</v>
      </c>
      <c r="G210" s="7">
        <v>1</v>
      </c>
      <c r="H210" s="21" t="s">
        <v>988</v>
      </c>
      <c r="I210" s="13">
        <v>42869.518240740741</v>
      </c>
      <c r="J210" s="7">
        <v>0</v>
      </c>
      <c r="K210" s="92" t="str">
        <f>IF(ISEVEN(B210),(B210-1)&amp;"/"&amp;B210,B210&amp;"/"&amp;(B210+1))</f>
        <v>4017/4018</v>
      </c>
      <c r="L210" s="21" t="str">
        <f>VLOOKUP(A210,'Trips&amp;Operators'!$C$1:$G$99999,5,FALSE)</f>
        <v>DAVIDSON DAVID</v>
      </c>
      <c r="M210" s="6">
        <f>I210-F210</f>
        <v>1.6087962940218858E-3</v>
      </c>
      <c r="N210" s="7">
        <f>24*60*SUM($M210:$M210)</f>
        <v>2.3166666633915156</v>
      </c>
      <c r="O210" s="7"/>
      <c r="P210" s="7"/>
      <c r="Q210" s="22"/>
      <c r="R210" s="190"/>
      <c r="S210" s="196">
        <f>SUM(U210:U210)/IF(AG210="EC",12,1)</f>
        <v>0</v>
      </c>
      <c r="T210" s="190" t="e">
        <f>IF(ISEVEN(LEFT(AD210,4)),"Southbound","NorthBound")</f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-14T11:13:46-0600',mode:absolute,to:'2017-05-14T13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92" t="str">
        <f>IF(AA210&lt;IF(AG210="EC",23,5.65),"Y","N")</f>
        <v>Y</v>
      </c>
      <c r="X210" s="192" t="e">
        <f>VALUE(LEFT(AD210,4))-VALUE(LEFT(AD209,4))</f>
        <v>#VALUE!</v>
      </c>
      <c r="Y210" s="192">
        <f>RIGHT(D210,LEN(D210)-4)/10000</f>
        <v>0.14810000000000001</v>
      </c>
      <c r="Z210" s="192">
        <f>RIGHT(H210,LEN(H210)-4)/10000</f>
        <v>0.34449999999999997</v>
      </c>
      <c r="AA210" s="192">
        <f>ABS(Z210-Y210)</f>
        <v>0.19639999999999996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53-14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/stypes="app*4018*20170514*" /stext=" 18:.+((SYSTEM_STATE.+slice.+state.+changed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7"/>
        <v>"%USERPROFILE%\Documents\GitHub\eaglep3\Utilities\RefineRTDCRunTimes.py" --tripid 53-14 --locoid 4018 --swversion DE.1.0.9.0 --startMP 204:1481 --initTime 2017-05-14T12:13:46 --startdatetime 2017-05-14T12:23:57 --delay 1 --endMP 204:3445 --enddatetime 2017-05-14T12:26:16 --enforcementcount 0 &gt;&gt;C:\Users\stu\Documents\GitHub\eaglep3-reporting\EC\2017-05-14-refined-times.txt</v>
      </c>
      <c r="AI210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{"issue":{"subject":"","project_id":79,"tracker_id":40,"status_id":1,"priority_id":2,"assigned_to_id":23,"start_date":"2017-05-14","description":"","custom_fields":[{"id":1,"name":"Subdivision","value":"Other"},{"id":4,"name":"Milepost","value":"0.3445"},{"id":17,"name":"Train ID","value":"53-14"},{"id":16,"name":"Locomotive ID","value":"4018"},{"id":130,"name":"Impact","value":""},{"id":150,"name":"Time of Event (Mountain Time)","value":"12:26:16"},{"id":151,"name":"Denver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9"/>
        <v>start /low /b %USERPROFILE%\Documents\GitHub\eaglep3\Utilities\DownloadLogsFromS3.py --loco 4018 --day 2017-05-14</v>
      </c>
      <c r="AN210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18:26:16"},{"id":29,"name":"Sharepoint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766</v>
      </c>
      <c r="B211" s="7">
        <v>4053</v>
      </c>
      <c r="C211" s="21" t="s">
        <v>206</v>
      </c>
      <c r="D211" s="21" t="s">
        <v>989</v>
      </c>
      <c r="E211" s="13">
        <v>42869.731319444443</v>
      </c>
      <c r="F211" s="13">
        <v>42869.73369212963</v>
      </c>
      <c r="G211" s="7">
        <v>3</v>
      </c>
      <c r="H211" s="21" t="s">
        <v>990</v>
      </c>
      <c r="I211" s="13">
        <v>42869.775717592594</v>
      </c>
      <c r="J211" s="7">
        <v>0</v>
      </c>
      <c r="K211" s="92" t="str">
        <f>IF(ISEVEN(B211),(B211-1)&amp;"/"&amp;B211,B211&amp;"/"&amp;(B211+1))</f>
        <v>4053/4054</v>
      </c>
      <c r="L211" s="21" t="str">
        <f>VLOOKUP(A211,'Trips&amp;Operators'!$C$1:$G$99999,5,FALSE)</f>
        <v>SULLIVAN BRANDON</v>
      </c>
      <c r="M211" s="6">
        <f>I211-F211</f>
        <v>4.2025462964375038E-2</v>
      </c>
      <c r="N211" s="7">
        <f>24*60*SUM($M211:$M211)</f>
        <v>60.516666668700054</v>
      </c>
      <c r="O211" s="7"/>
      <c r="P211" s="7"/>
      <c r="Q211" s="22"/>
      <c r="R211" s="190"/>
      <c r="S211" s="196">
        <f>SUM(U211:U211)/IF(AG211="EC",12,1)</f>
        <v>0</v>
      </c>
      <c r="T211" s="190" t="e">
        <f>IF(ISEVEN(LEFT(AD211,4)),"Southbound","NorthBound")</f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-14T16:33:06-0600',mode:absolute,to:'2017-05-14T19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92" t="str">
        <f>IF(AA211&lt;IF(AG211="EC",23,5.65),"Y","N")</f>
        <v>Y</v>
      </c>
      <c r="X211" s="192" t="e">
        <f>VALUE(LEFT(AD211,4))-VALUE(LEFT(AD210,4))</f>
        <v>#VALUE!</v>
      </c>
      <c r="Y211" s="192">
        <f>RIGHT(D211,LEN(D211)-4)/10000</f>
        <v>2.3708999999999998</v>
      </c>
      <c r="Z211" s="192">
        <f>RIGHT(H211,LEN(H211)-4)/10000</f>
        <v>8.9200000000000002E-2</v>
      </c>
      <c r="AA211" s="192">
        <f>ABS(Z211-Y211)</f>
        <v>2.2816999999999998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60-14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s3://rtdc.mdm.uploadarchive.raw/RTDC4053/ "%USERPROFILE%\AppData\Local\Temp\OnboardLogs"\RTDC4053\2017-05-14 --exclude "*" --recursive --include "*20170514*" &amp; "%USERPROFILE%\Documents\GitHub\mrs-test-scripts\Headless Mode &amp; Sideloading\WalkAndUnGZ.bat" "%USERPROFILE%\AppData\Local\Temp\OnboardLogs"\RTDC4053\2017-05-14 &amp; aws s3 cp s3://rtdc.mdm.uploadarchive.raw/RTDC4053/ "%USERPROFILE%\AppData\Local\Temp\OnboardLogs"\RTDC4053\2017-05-15 --exclude "*" --recursive --include "*20170515*" &amp; "%USERPROFILE%\Documents\GitHub\mrs-test-scripts\Headless Mode &amp; Sideloading\WalkAndUnGZ.bat" "%USERPROFILE%\AppData\Local\Temp\OnboardLogs"\RTDC4053\2017-05-15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/stypes="app*4053*20170515*" /stext=" 00:.+((SYSTEM_STATE.+slice.+state.+changed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7"/>
        <v>"%USERPROFILE%\Documents\GitHub\eaglep3\Utilities\RefineRTDCRunTimes.py" --tripid 60-14 --locoid 4053 --swversion DE.1.0.9.0 --startMP 300:23709 --initTime 2017-05-14T17:33:06 --startdatetime 2017-05-14T17:36:31 --delay 3 --endMP 204:892 --enddatetime 2017-05-14T18:37:02 --enforcementcount 0 &gt;&gt;C:\Users\stu\Documents\GitHub\eaglep3-reporting\EC\2017-05-14-refined-times.txt</v>
      </c>
      <c r="AI211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{"issue":{"subject":"","project_id":79,"tracker_id":40,"status_id":1,"priority_id":2,"assigned_to_id":23,"start_date":"2017-05-14","description":"","custom_fields":[{"id":1,"name":"Subdivision","value":"Other"},{"id":4,"name":"Milepost","value":"0.0892"},{"id":17,"name":"Train ID","value":"60-14"},{"id":16,"name":"Locomotive ID","value":"4053"},{"id":130,"name":"Impact","value":""},{"id":150,"name":"Time of Event (Mountain Time)","value":"18:37:02"},{"id":151,"name":"Denver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9"/>
        <v>start /low /b %USERPROFILE%\Documents\GitHub\eaglep3\Utilities\DownloadLogsFromS3.py --loco 4053 --day 2017-05-14</v>
      </c>
      <c r="AN211" s="154" t="str">
        <f t="shared" si="3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616</v>
      </c>
      <c r="B212" s="7">
        <v>4017</v>
      </c>
      <c r="C212" s="21" t="s">
        <v>206</v>
      </c>
      <c r="D212" s="21" t="s">
        <v>991</v>
      </c>
      <c r="E212" s="13">
        <v>42869.737083333333</v>
      </c>
      <c r="F212" s="13">
        <v>42869.754884259259</v>
      </c>
      <c r="G212" s="7">
        <v>2</v>
      </c>
      <c r="H212" s="21" t="s">
        <v>360</v>
      </c>
      <c r="I212" s="13">
        <v>42869.76295138889</v>
      </c>
      <c r="J212" s="7">
        <v>0</v>
      </c>
      <c r="K212" s="92" t="str">
        <f>IF(ISEVEN(B212),(B212-1)&amp;"/"&amp;B212,B212&amp;"/"&amp;(B212+1))</f>
        <v>4017/4018</v>
      </c>
      <c r="L212" s="21" t="str">
        <f>VLOOKUP(A212,'Trips&amp;Operators'!$C$1:$G$99999,5,FALSE)</f>
        <v>PERKINS DARREN</v>
      </c>
      <c r="M212" s="6">
        <f>I212-F212</f>
        <v>8.0671296309446916E-3</v>
      </c>
      <c r="N212" s="7">
        <f>24*60*SUM($M212:$M212)</f>
        <v>11.616666668560356</v>
      </c>
      <c r="O212" s="7"/>
      <c r="P212" s="7"/>
      <c r="Q212" s="22"/>
      <c r="R212" s="190"/>
      <c r="S212" s="196">
        <f>SUM(U212:U212)/IF(AG212="EC",12,1)</f>
        <v>0</v>
      </c>
      <c r="T212" s="190" t="e">
        <f>IF(ISEVEN(LEFT(AD212,4)),"Southbound","NorthBound")</f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-14T16:41:24-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192" t="str">
        <f>IF(AA212&lt;IF(AG212="EC",23,5.65),"Y","N")</f>
        <v>Y</v>
      </c>
      <c r="X212" s="192" t="e">
        <f>VALUE(LEFT(AD212,4))-VALUE(LEFT(AD211,4))</f>
        <v>#VALUE!</v>
      </c>
      <c r="Y212" s="192">
        <f>RIGHT(D212,LEN(D212)-4)/10000</f>
        <v>0.3574</v>
      </c>
      <c r="Z212" s="192">
        <f>RIGHT(H212,LEN(H212)-4)/10000</f>
        <v>1.43E-2</v>
      </c>
      <c r="AA212" s="192">
        <f>ABS(Z212-Y212)</f>
        <v>0.34310000000000002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65-14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s3://rtdc.mdm.uploadarchive.raw/RTDC4017/ "%USERPROFILE%\AppData\Local\Temp\OnboardLogs"\RTDC4017\2017-05-14 --exclude "*" --recursive --include "*20170514*" &amp; "%USERPROFILE%\Documents\GitHub\mrs-test-scripts\Headless Mode &amp; Sideloading\WalkAndUnGZ.bat" "%USERPROFILE%\AppData\Local\Temp\OnboardLogs"\RTDC4017\2017-05-14 &amp; aws s3 cp s3://rtdc.mdm.uploadarchive.raw/RTDC4017/ "%USERPROFILE%\AppData\Local\Temp\OnboardLogs"\RTDC4017\2017-05-15 --exclude "*" --recursive --include "*20170515*" &amp; "%USERPROFILE%\Documents\GitHub\mrs-test-scripts\Headless Mode &amp; Sideloading\WalkAndUnGZ.bat" "%USERPROFILE%\AppData\Local\Temp\OnboardLogs"\RTDC4017\2017-05-15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/stypes="app*4017*20170515*" /stext=" 00:.+((SYSTEM_STATE.+slice.+state.+changed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7"/>
        <v>"%USERPROFILE%\Documents\GitHub\eaglep3\Utilities\RefineRTDCRunTimes.py" --tripid 65-14 --locoid 4017 --swversion DE.1.0.9.0 --startMP 204:3574 --initTime 2017-05-14T17:41:24 --startdatetime 2017-05-14T18:07:02 --delay 2 --endMP 204:143 --enddatetime 2017-05-14T18:18:39 --enforcementcount 0 &gt;&gt;C:\Users\stu\Documents\GitHub\eaglep3-reporting\EC\2017-05-14-refined-times.txt</v>
      </c>
      <c r="AI212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{"issue":{"subject":"","project_id":79,"tracker_id":40,"status_id":1,"priority_id":2,"assigned_to_id":23,"start_date":"2017-05-14","description":"","custom_fields":[{"id":1,"name":"Subdivision","value":"Other"},{"id":4,"name":"Milepost","value":"0.0143"},{"id":17,"name":"Train ID","value":"65-14"},{"id":16,"name":"Locomotive ID","value":"4017"},{"id":130,"name":"Impact","value":""},{"id":150,"name":"Time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9"/>
        <v>start /low /b %USERPROFILE%\Documents\GitHub\eaglep3\Utilities\DownloadLogsFromS3.py --loco 4017 --day 2017-05-14</v>
      </c>
      <c r="AN212" s="154" t="str">
        <f t="shared" si="3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616</v>
      </c>
      <c r="B213" s="7">
        <v>4018</v>
      </c>
      <c r="C213" s="21" t="s">
        <v>206</v>
      </c>
      <c r="D213" s="21" t="s">
        <v>572</v>
      </c>
      <c r="E213" s="13">
        <v>42869.718043981484</v>
      </c>
      <c r="F213" s="13">
        <v>42869.754884259259</v>
      </c>
      <c r="G213" s="7">
        <v>1</v>
      </c>
      <c r="H213" s="21" t="s">
        <v>992</v>
      </c>
      <c r="I213" s="13">
        <v>42869.76295138889</v>
      </c>
      <c r="J213" s="7">
        <v>0</v>
      </c>
      <c r="K213" s="92" t="str">
        <f>IF(ISEVEN(B213),(B213-1)&amp;"/"&amp;B213,B213&amp;"/"&amp;(B213+1))</f>
        <v>4017/4018</v>
      </c>
      <c r="L213" s="21" t="str">
        <f>VLOOKUP(A213,'Trips&amp;Operators'!$C$1:$G$99999,5,FALSE)</f>
        <v>PERKINS DARREN</v>
      </c>
      <c r="M213" s="6">
        <f>I213-F213</f>
        <v>8.0671296309446916E-3</v>
      </c>
      <c r="N213" s="7">
        <f>24*60*SUM($M213:$M213)</f>
        <v>11.616666668560356</v>
      </c>
      <c r="O213" s="7"/>
      <c r="P213" s="7"/>
      <c r="Q213" s="22"/>
      <c r="R213" s="190"/>
      <c r="S213" s="196">
        <f>SUM(U213:U213)/IF(AG213="EC",12,1)</f>
        <v>0</v>
      </c>
      <c r="T213" s="190" t="e">
        <f>IF(ISEVEN(LEFT(AD213,4)),"Southbound","NorthBound")</f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-14T16:13:59-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192" t="str">
        <f>IF(AA213&lt;IF(AG213="EC",23,5.65),"Y","N")</f>
        <v>Y</v>
      </c>
      <c r="X213" s="192" t="e">
        <f>VALUE(LEFT(AD213,4))-VALUE(LEFT(AD212,4))</f>
        <v>#VALUE!</v>
      </c>
      <c r="Y213" s="192">
        <f>RIGHT(D213,LEN(D213)-4)/10000</f>
        <v>0.14879999999999999</v>
      </c>
      <c r="Z213" s="192">
        <f>RIGHT(H213,LEN(H213)-4)/10000</f>
        <v>0.38700000000000001</v>
      </c>
      <c r="AA213" s="192">
        <f>ABS(Z213-Y213)</f>
        <v>0.23820000000000002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65-14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s3://rtdc.mdm.uploadarchive.raw/RTDC4018/ "%USERPROFILE%\AppData\Local\Temp\OnboardLogs"\RTDC4018\2017-05-14 --exclude "*" --recursive --include "*20170514*" &amp; "%USERPROFILE%\Documents\GitHub\mrs-test-scripts\Headless Mode &amp; Sideloading\WalkAndUnGZ.bat" "%USERPROFILE%\AppData\Local\Temp\OnboardLogs"\RTDC4018\2017-05-14 &amp; aws s3 cp s3://rtdc.mdm.uploadarchive.raw/RTDC4018/ "%USERPROFILE%\AppData\Local\Temp\OnboardLogs"\RTDC4018\2017-05-15 --exclude "*" --recursive --include "*20170515*" &amp; "%USERPROFILE%\Documents\GitHub\mrs-test-scripts\Headless Mode &amp; Sideloading\WalkAndUnGZ.bat" "%USERPROFILE%\AppData\Local\Temp\OnboardLogs"\RTDC4018\2017-05-15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/stypes="app*4018*20170515*" /stext=" 00:.+((SYSTEM_STATE.+slice.+state.+changed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7"/>
        <v>"%USERPROFILE%\Documents\GitHub\eaglep3\Utilities\RefineRTDCRunTimes.py" --tripid 65-14 --locoid 4018 --swversion DE.1.0.9.0 --startMP 204:1488 --initTime 2017-05-14T17:13:59 --startdatetime 2017-05-14T18:07:02 --delay 1 --endMP 204:3870 --enddatetime 2017-05-14T18:18:39 --enforcementcount 0 &gt;&gt;C:\Users\stu\Documents\GitHub\eaglep3-reporting\EC\2017-05-14-refined-times.txt</v>
      </c>
      <c r="AI213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{"issue":{"subject":"","project_id":79,"tracker_id":40,"status_id":1,"priority_id":2,"assigned_to_id":23,"start_date":"2017-05-14","description":"","custom_fields":[{"id":1,"name":"Subdivision","value":"Other"},{"id":4,"name":"Milepost","value":"0.387"},{"id":17,"name":"Train ID","value":"65-14"},{"id":16,"name":"Locomotive ID","value":"4018"},{"id":130,"name":"Impact","value":""},{"id":150,"name":"Time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9"/>
        <v>start /low /b %USERPROFILE%\Documents\GitHub\eaglep3\Utilities\DownloadLogsFromS3.py --loco 4018 --day 2017-05-14</v>
      </c>
      <c r="AN213" s="154" t="str">
        <f t="shared" si="3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616</v>
      </c>
      <c r="B214" s="7">
        <v>4022</v>
      </c>
      <c r="C214" s="21" t="s">
        <v>206</v>
      </c>
      <c r="D214" s="21" t="s">
        <v>993</v>
      </c>
      <c r="E214" s="13">
        <v>42869.747060185182</v>
      </c>
      <c r="F214" s="13">
        <v>42869.754884259259</v>
      </c>
      <c r="G214" s="7">
        <v>1</v>
      </c>
      <c r="H214" s="21" t="s">
        <v>363</v>
      </c>
      <c r="I214" s="13">
        <v>42869.76295138889</v>
      </c>
      <c r="J214" s="7">
        <v>0</v>
      </c>
      <c r="K214" s="92" t="str">
        <f>IF(ISEVEN(B214),(B214-1)&amp;"/"&amp;B214,B214&amp;"/"&amp;(B214+1))</f>
        <v>4021/4022</v>
      </c>
      <c r="L214" s="21" t="str">
        <f>VLOOKUP(A214,'Trips&amp;Operators'!$C$1:$G$99999,5,FALSE)</f>
        <v>PERKINS DARREN</v>
      </c>
      <c r="M214" s="6">
        <f>I214-F214</f>
        <v>8.0671296309446916E-3</v>
      </c>
      <c r="N214" s="7">
        <f>24*60*SUM($M214:$M214)</f>
        <v>11.616666668560356</v>
      </c>
      <c r="O214" s="7"/>
      <c r="P214" s="7"/>
      <c r="Q214" s="22"/>
      <c r="R214" s="190"/>
      <c r="S214" s="196">
        <f>SUM(U214:U214)/IF(AG214="EC",12,1)</f>
        <v>0</v>
      </c>
      <c r="T214" s="190" t="e">
        <f>IF(ISEVEN(LEFT(AD214,4)),"Southbound","NorthBound")</f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-14T16:55:46-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4" s="192" t="str">
        <f>IF(AA214&lt;IF(AG214="EC",23,5.65),"Y","N")</f>
        <v>Y</v>
      </c>
      <c r="X214" s="192" t="e">
        <f>VALUE(LEFT(AD214,4))-VALUE(LEFT(AD213,4))</f>
        <v>#VALUE!</v>
      </c>
      <c r="Y214" s="192">
        <f>RIGHT(D214,LEN(D214)-4)/10000</f>
        <v>0.1167</v>
      </c>
      <c r="Z214" s="192">
        <f>RIGHT(H214,LEN(H214)-4)/10000</f>
        <v>2.3346</v>
      </c>
      <c r="AA214" s="192">
        <f>ABS(Z214-Y214)</f>
        <v>2.2179000000000002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65-14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s3://rtdc.mdm.uploadarchive.raw/RTDC4022/ "%USERPROFILE%\AppData\Local\Temp\OnboardLogs"\RTDC4022\2017-05-14 --exclude "*" --recursive --include "*20170514*" &amp; "%USERPROFILE%\Documents\GitHub\mrs-test-scripts\Headless Mode &amp; Sideloading\WalkAndUnGZ.bat" "%USERPROFILE%\AppData\Local\Temp\OnboardLogs"\RTDC4022\2017-05-14 &amp; 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/stypes="app*4022*20170515*" /stext=" 00:.+((SYSTEM_STATE.+slice.+state.+changed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7"/>
        <v>"%USERPROFILE%\Documents\GitHub\eaglep3\Utilities\RefineRTDCRunTimes.py" --tripid 65-14 --locoid 4022 --swversion DE.1.0.9.0 --startMP 204:1167 --initTime 2017-05-14T17:55:46 --startdatetime 2017-05-14T18:07:02 --delay 1 --endMP 300:23346 --enddatetime 2017-05-14T18:18:39 --enforcementcount 0 &gt;&gt;C:\Users\stu\Documents\GitHub\eaglep3-reporting\EC\2017-05-14-refined-times.txt</v>
      </c>
      <c r="AI214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{"issue":{"subject":"","project_id":79,"tracker_id":40,"status_id":1,"priority_id":2,"assigned_to_id":23,"start_date":"2017-05-14","description":"","custom_fields":[{"id":1,"name":"Subdivision","value":"Other"},{"id":4,"name":"Milepost","value":"2.3346"},{"id":17,"name":"Train ID","value":"65-14"},{"id":16,"name":"Locomotive ID","value":"4022"},{"id":130,"name":"Impact","value":""},{"id":150,"name":"Time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9"/>
        <v>start /low /b %USERPROFILE%\Documents\GitHub\eaglep3\Utilities\DownloadLogsFromS3.py --loco 4022 --day 2017-05-14</v>
      </c>
      <c r="AN214" s="154" t="str">
        <f t="shared" si="3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616</v>
      </c>
      <c r="B215" s="7">
        <v>4022</v>
      </c>
      <c r="C215" s="21" t="s">
        <v>206</v>
      </c>
      <c r="D215" s="21" t="s">
        <v>363</v>
      </c>
      <c r="E215" s="13">
        <v>42869.747060185182</v>
      </c>
      <c r="F215" s="13">
        <v>42869.754884259259</v>
      </c>
      <c r="G215" s="7">
        <v>20</v>
      </c>
      <c r="H215" s="21" t="s">
        <v>363</v>
      </c>
      <c r="I215" s="13">
        <v>42869.76295138889</v>
      </c>
      <c r="J215" s="7">
        <v>0</v>
      </c>
      <c r="K215" s="92" t="str">
        <f>IF(ISEVEN(B215),(B215-1)&amp;"/"&amp;B215,B215&amp;"/"&amp;(B215+1))</f>
        <v>4021/4022</v>
      </c>
      <c r="L215" s="21" t="str">
        <f>VLOOKUP(A215,'Trips&amp;Operators'!$C$1:$G$99999,5,FALSE)</f>
        <v>PERKINS DARREN</v>
      </c>
      <c r="M215" s="6">
        <f>I215-F215</f>
        <v>8.0671296309446916E-3</v>
      </c>
      <c r="N215" s="7">
        <f>24*60*SUM($M215:$M215)</f>
        <v>11.616666668560356</v>
      </c>
      <c r="O215" s="7"/>
      <c r="P215" s="7"/>
      <c r="Q215" s="22"/>
      <c r="R215" s="190"/>
      <c r="S215" s="196">
        <f>SUM(U215:U215)/IF(AG215="EC",12,1)</f>
        <v>0</v>
      </c>
      <c r="T215" s="190" t="e">
        <f>IF(ISEVEN(LEFT(AD215,4)),"Southbound","NorthBound")</f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-14T16:55:46-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>IF(AA215&lt;IF(AG215="EC",23,5.65),"Y","N")</f>
        <v>Y</v>
      </c>
      <c r="X215" s="192" t="e">
        <f>VALUE(LEFT(AD215,4))-VALUE(LEFT(AD214,4))</f>
        <v>#VALUE!</v>
      </c>
      <c r="Y215" s="192">
        <f>RIGHT(D215,LEN(D215)-4)/10000</f>
        <v>2.3346</v>
      </c>
      <c r="Z215" s="192">
        <f>RIGHT(H215,LEN(H215)-4)/10000</f>
        <v>2.3346</v>
      </c>
      <c r="AA215" s="192">
        <f>ABS(Z215-Y215)</f>
        <v>0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65-14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s3://rtdc.mdm.uploadarchive.raw/RTDC4022/ "%USERPROFILE%\AppData\Local\Temp\OnboardLogs"\RTDC4022\2017-05-14 --exclude "*" --recursive --include "*20170514*" &amp; "%USERPROFILE%\Documents\GitHub\mrs-test-scripts\Headless Mode &amp; Sideloading\WalkAndUnGZ.bat" "%USERPROFILE%\AppData\Local\Temp\OnboardLogs"\RTDC4022\2017-05-14 &amp; 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/stypes="app*4022*20170515*" /stext=" 00:.+((SYSTEM_STATE.+slice.+state.+changed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7"/>
        <v>"%USERPROFILE%\Documents\GitHub\eaglep3\Utilities\RefineRTDCRunTimes.py" --tripid 65-14 --locoid 4022 --swversion DE.1.0.9.0 --startMP 300:23346 --initTime 2017-05-14T17:55:46 --startdatetime 2017-05-14T18:07:02 --delay 20 --endMP 300:23346 --enddatetime 2017-05-14T18:18:39 --enforcementcount 0 &gt;&gt;C:\Users\stu\Documents\GitHub\eaglep3-reporting\EC\2017-05-14-refined-times.txt</v>
      </c>
      <c r="AI215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{"issue":{"subject":"","project_id":79,"tracker_id":40,"status_id":1,"priority_id":2,"assigned_to_id":23,"start_date":"2017-05-14","description":"","custom_fields":[{"id":1,"name":"Subdivision","value":"Other"},{"id":4,"name":"Milepost","value":"2.3346"},{"id":17,"name":"Train ID","value":"65-14"},{"id":16,"name":"Locomotive ID","value":"4022"},{"id":130,"name":"Impact","value":""},{"id":150,"name":"Time of Event (Mountain Time)","value":"18:18:39"},{"id":151,"name":"Denver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9"/>
        <v>start /low /b %USERPROFILE%\Documents\GitHub\eaglep3\Utilities\DownloadLogsFromS3.py --loco 4022 --day 2017-05-14</v>
      </c>
      <c r="AN215" s="154" t="str">
        <f t="shared" si="3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00:18:39"},{"id":29,"name":"Sharepoint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625</v>
      </c>
      <c r="B216" s="7">
        <v>4061</v>
      </c>
      <c r="C216" s="21" t="s">
        <v>206</v>
      </c>
      <c r="D216" s="21" t="s">
        <v>575</v>
      </c>
      <c r="E216" s="13">
        <v>42869.082037037035</v>
      </c>
      <c r="F216" s="13">
        <v>42869.115578703706</v>
      </c>
      <c r="G216" s="7">
        <v>2</v>
      </c>
      <c r="H216" s="21" t="s">
        <v>994</v>
      </c>
      <c r="I216" s="13">
        <v>42869.129201388889</v>
      </c>
      <c r="J216" s="7">
        <v>0</v>
      </c>
      <c r="K216" s="92" t="str">
        <f>IF(ISEVEN(B216),(B216-1)&amp;"/"&amp;B216,B216&amp;"/"&amp;(B216+1))</f>
        <v>4061/4062</v>
      </c>
      <c r="L216" s="21" t="str">
        <f>VLOOKUP(A216,'Trips&amp;Operators'!$C$1:$G$99999,5,FALSE)</f>
        <v>WILLIAMS DONTE</v>
      </c>
      <c r="M216" s="6">
        <f>I216-F216</f>
        <v>1.3622685182781424E-2</v>
      </c>
      <c r="N216" s="7">
        <f>24*60*SUM($M216:$M216)</f>
        <v>19.616666663205251</v>
      </c>
      <c r="O216" s="7"/>
      <c r="P216" s="7"/>
      <c r="Q216" s="22"/>
      <c r="R216" s="190"/>
      <c r="S216" s="196">
        <f>SUM(U216:U216)/IF(AG216="EC",12,1)</f>
        <v>0</v>
      </c>
      <c r="T216" s="190" t="e">
        <f>IF(ISEVEN(LEFT(AD216,4)),"Southbound","NorthBound")</f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-14T00:58:08-0600',mode:absolute,to:'2017-05-14T04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192" t="str">
        <f>IF(AA216&lt;IF(AG216="EC",23,5.65),"Y","N")</f>
        <v>N</v>
      </c>
      <c r="X216" s="192" t="e">
        <f>VALUE(LEFT(AD216,4))-VALUE(LEFT(AD215,4))</f>
        <v>#VALUE!</v>
      </c>
      <c r="Y216" s="192">
        <f>RIGHT(D216,LEN(D216)-4)/10000</f>
        <v>5.8638000000000003</v>
      </c>
      <c r="Z216" s="192">
        <f>RIGHT(H216,LEN(H216)-4)/10000</f>
        <v>9.1000000000000004E-3</v>
      </c>
      <c r="AA216" s="192">
        <f>ABS(Z216-Y216)</f>
        <v>5.8547000000000002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89-13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/stypes="app*4061*20170514*" /stext=" 09:.+((SYSTEM_STATE.+slice.+state.+changed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7"/>
        <v>"%USERPROFILE%\Documents\GitHub\eaglep3\Utilities\RefineRTDCRunTimes.py" --tripid 89-13 --locoid 4061 --swversion DE.1.0.9.0 --startMP 300:58638 --initTime 2017-05-14T01:58:08 --startdatetime 2017-05-14T02:46:26 --delay 2 --endMP 204:91 --enddatetime 2017-05-14T03:06:03 --enforcementcount 0 &gt;&gt;C:\Users\stu\Documents\GitHub\eaglep3-reporting\EC\2017-05-14-refined-times.txt</v>
      </c>
      <c r="AI216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{"issue":{"subject":"","project_id":79,"tracker_id":40,"status_id":1,"priority_id":2,"assigned_to_id":23,"start_date":"2017-05-14","description":"","custom_fields":[{"id":1,"name":"Subdivision","value":"Other"},{"id":4,"name":"Milepost","value":"0.0091"},{"id":17,"name":"Train ID","value":"89-13"},{"id":16,"name":"Locomotive ID","value":"4061"},{"id":130,"name":"Impact","value":""},{"id":150,"name":"Time of Event (Mountain Time)","value":"03:06:03"},{"id":151,"name":"Denver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9"/>
        <v>start /low /b %USERPROFILE%\Documents\GitHub\eaglep3\Utilities\DownloadLogsFromS3.py --loco 4061 --day 2017-05-14</v>
      </c>
      <c r="AN216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625</v>
      </c>
      <c r="B217" s="7">
        <v>4061</v>
      </c>
      <c r="C217" s="21" t="s">
        <v>206</v>
      </c>
      <c r="D217" s="21" t="s">
        <v>575</v>
      </c>
      <c r="E217" s="13">
        <v>42869.113946759258</v>
      </c>
      <c r="F217" s="13">
        <v>42869.132708333331</v>
      </c>
      <c r="G217" s="7">
        <v>1</v>
      </c>
      <c r="H217" s="21" t="s">
        <v>995</v>
      </c>
      <c r="I217" s="13">
        <v>42869.140752314815</v>
      </c>
      <c r="J217" s="7">
        <v>0</v>
      </c>
      <c r="K217" s="92" t="str">
        <f>IF(ISEVEN(B217),(B217-1)&amp;"/"&amp;B217,B217&amp;"/"&amp;(B217+1))</f>
        <v>4061/4062</v>
      </c>
      <c r="L217" s="21" t="str">
        <f>VLOOKUP(A217,'Trips&amp;Operators'!$C$1:$G$99999,5,FALSE)</f>
        <v>WILLIAMS DONTE</v>
      </c>
      <c r="M217" s="6">
        <f>I217-F217</f>
        <v>8.0439814846613444E-3</v>
      </c>
      <c r="N217" s="7">
        <f>24*60*SUM($M217:$M217)</f>
        <v>11.583333337912336</v>
      </c>
      <c r="O217" s="7"/>
      <c r="P217" s="7"/>
      <c r="Q217" s="22"/>
      <c r="R217" s="190"/>
      <c r="S217" s="196">
        <f>SUM(U217:U217)/IF(AG217="EC",12,1)</f>
        <v>0</v>
      </c>
      <c r="T217" s="190" t="e">
        <f>IF(ISEVEN(LEFT(AD217,4)),"Southbound","NorthBound")</f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-14T01:44:05-0600',mode:absolute,to:'2017-05-14T04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7" s="192" t="str">
        <f>IF(AA217&lt;IF(AG217="EC",23,5.65),"Y","N")</f>
        <v>N</v>
      </c>
      <c r="X217" s="192" t="e">
        <f>VALUE(LEFT(AD217,4))-VALUE(LEFT(AD216,4))</f>
        <v>#VALUE!</v>
      </c>
      <c r="Y217" s="192">
        <f>RIGHT(D217,LEN(D217)-4)/10000</f>
        <v>5.8638000000000003</v>
      </c>
      <c r="Z217" s="192">
        <f>RIGHT(H217,LEN(H217)-4)/10000</f>
        <v>0.13020000000000001</v>
      </c>
      <c r="AA217" s="192">
        <f>ABS(Z217-Y217)</f>
        <v>5.7336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89-13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s3://rtdc.mdm.uploadarchive.raw/RTDC4061/ "%USERPROFILE%\AppData\Local\Temp\OnboardLogs"\RTDC4061\2017-05-14 --exclude "*" --recursive --include "*20170514*" &amp; "%USERPROFILE%\Documents\GitHub\mrs-test-scripts\Headless Mode &amp; Sideloading\WalkAndUnGZ.bat" "%USERPROFILE%\AppData\Local\Temp\OnboardLogs"\RTDC4061\2017-05-14 &amp; aws s3 cp s3://rtdc.mdm.uploadarchive.raw/RTDC4061/ "%USERPROFILE%\AppData\Local\Temp\OnboardLogs"\RTDC4061\2017-05-15 --exclude "*" --recursive --include "*20170515*" &amp; "%USERPROFILE%\Documents\GitHub\mrs-test-scripts\Headless Mode &amp; Sideloading\WalkAndUnGZ.bat" "%USERPROFILE%\AppData\Local\Temp\OnboardLogs"\RTDC4061\2017-05-15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/stypes="app*4061*20170514*" /stext=" 09:.+((SYSTEM_STATE.+slice.+state.+changed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7"/>
        <v>"%USERPROFILE%\Documents\GitHub\eaglep3\Utilities\RefineRTDCRunTimes.py" --tripid 89-13 --locoid 4061 --swversion DE.1.0.9.0 --startMP 300:58638 --initTime 2017-05-14T02:44:05 --startdatetime 2017-05-14T03:11:06 --delay 1 --endMP 204:1302 --enddatetime 2017-05-14T03:22:41 --enforcementcount 0 &gt;&gt;C:\Users\stu\Documents\GitHub\eaglep3-reporting\EC\2017-05-14-refined-times.txt</v>
      </c>
      <c r="AI217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{"issue":{"subject":"","project_id":79,"tracker_id":40,"status_id":1,"priority_id":2,"assigned_to_id":23,"start_date":"2017-05-14","description":"","custom_fields":[{"id":1,"name":"Subdivision","value":"Other"},{"id":4,"name":"Milepost","value":"0.1302"},{"id":17,"name":"Train ID","value":"89-13"},{"id":16,"name":"Locomotive ID","value":"4061"},{"id":130,"name":"Impact","value":""},{"id":150,"name":"Time of Event (Mountain Time)","value":"03:22:41"},{"id":151,"name":"Denver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9"/>
        <v>start /low /b %USERPROFILE%\Documents\GitHub\eaglep3\Utilities\DownloadLogsFromS3.py --loco 4061 --day 2017-05-14</v>
      </c>
      <c r="AN217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625</v>
      </c>
      <c r="B218" s="7">
        <v>4062</v>
      </c>
      <c r="C218" s="21" t="s">
        <v>206</v>
      </c>
      <c r="D218" s="21" t="s">
        <v>996</v>
      </c>
      <c r="E218" s="13">
        <v>42869.130844907406</v>
      </c>
      <c r="F218" s="13">
        <v>42869.132708333331</v>
      </c>
      <c r="G218" s="7">
        <v>1</v>
      </c>
      <c r="H218" s="21" t="s">
        <v>997</v>
      </c>
      <c r="I218" s="13">
        <v>42869.140752314815</v>
      </c>
      <c r="J218" s="7">
        <v>0</v>
      </c>
      <c r="K218" s="92" t="str">
        <f>IF(ISEVEN(B218),(B218-1)&amp;"/"&amp;B218,B218&amp;"/"&amp;(B218+1))</f>
        <v>4061/4062</v>
      </c>
      <c r="L218" s="21" t="str">
        <f>VLOOKUP(A218,'Trips&amp;Operators'!$C$1:$G$99999,5,FALSE)</f>
        <v>WILLIAMS DONTE</v>
      </c>
      <c r="M218" s="6">
        <f>I218-F218</f>
        <v>8.0439814846613444E-3</v>
      </c>
      <c r="N218" s="7">
        <f>24*60*SUM($M218:$M218)</f>
        <v>11.583333337912336</v>
      </c>
      <c r="O218" s="7"/>
      <c r="P218" s="7"/>
      <c r="Q218" s="22"/>
      <c r="R218" s="190"/>
      <c r="S218" s="196">
        <f>SUM(U218:U218)/IF(AG218="EC",12,1)</f>
        <v>0</v>
      </c>
      <c r="T218" s="190" t="e">
        <f>IF(ISEVEN(LEFT(AD218,4)),"Southbound","NorthBound")</f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-14T02:08:25-0600',mode:absolute,to:'2017-05-14T04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8" s="192" t="str">
        <f>IF(AA218&lt;IF(AG218="EC",23,5.65),"Y","N")</f>
        <v>Y</v>
      </c>
      <c r="X218" s="192" t="e">
        <f>VALUE(LEFT(AD218,4))-VALUE(LEFT(AD217,4))</f>
        <v>#VALUE!</v>
      </c>
      <c r="Y218" s="192">
        <f>RIGHT(D218,LEN(D218)-4)/10000</f>
        <v>0.16089999999999999</v>
      </c>
      <c r="Z218" s="192">
        <f>RIGHT(H218,LEN(H218)-4)/10000</f>
        <v>2.3311999999999999</v>
      </c>
      <c r="AA218" s="192">
        <f>ABS(Z218-Y218)</f>
        <v>2.1703000000000001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89-13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/stypes="app*4062*20170514*" /stext=" 09:.+((SYSTEM_STATE.+slice.+state.+changed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7"/>
        <v>"%USERPROFILE%\Documents\GitHub\eaglep3\Utilities\RefineRTDCRunTimes.py" --tripid 89-13 --locoid 4062 --swversion DE.1.0.9.0 --startMP 204:1609 --initTime 2017-05-14T03:08:25 --startdatetime 2017-05-14T03:11:06 --delay 1 --endMP 300:23312 --enddatetime 2017-05-14T03:22:41 --enforcementcount 0 &gt;&gt;C:\Users\stu\Documents\GitHub\eaglep3-reporting\EC\2017-05-14-refined-times.txt</v>
      </c>
      <c r="AI218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{"issue":{"subject":"","project_id":79,"tracker_id":40,"status_id":1,"priority_id":2,"assigned_to_id":23,"start_date":"2017-05-14","description":"","custom_fields":[{"id":1,"name":"Subdivision","value":"Other"},{"id":4,"name":"Milepost","value":"2.3312"},{"id":17,"name":"Train ID","value":"89-13"},{"id":16,"name":"Locomotive ID","value":"4062"},{"id":130,"name":"Impact","value":""},{"id":150,"name":"Time of Event (Mountain Time)","value":"03:22:41"},{"id":151,"name":"Denver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9"/>
        <v>start /low /b %USERPROFILE%\Documents\GitHub\eaglep3\Utilities\DownloadLogsFromS3.py --loco 4062 --day 2017-05-14</v>
      </c>
      <c r="AN218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s="20" customFormat="1" x14ac:dyDescent="0.25">
      <c r="A219" s="32" t="s">
        <v>625</v>
      </c>
      <c r="B219" s="7">
        <v>4062</v>
      </c>
      <c r="C219" s="21" t="s">
        <v>206</v>
      </c>
      <c r="D219" s="21" t="s">
        <v>998</v>
      </c>
      <c r="E219" s="13">
        <v>42869.100277777776</v>
      </c>
      <c r="F219" s="13">
        <v>42869.132708333331</v>
      </c>
      <c r="G219" s="7">
        <v>1</v>
      </c>
      <c r="H219" s="21" t="s">
        <v>999</v>
      </c>
      <c r="I219" s="13">
        <v>42869.140752314815</v>
      </c>
      <c r="J219" s="7">
        <v>0</v>
      </c>
      <c r="K219" s="92" t="str">
        <f>IF(ISEVEN(B219),(B219-1)&amp;"/"&amp;B219,B219&amp;"/"&amp;(B219+1))</f>
        <v>4061/4062</v>
      </c>
      <c r="L219" s="21" t="str">
        <f>VLOOKUP(A219,'Trips&amp;Operators'!$C$1:$G$99999,5,FALSE)</f>
        <v>WILLIAMS DONTE</v>
      </c>
      <c r="M219" s="6">
        <f>I219-F219</f>
        <v>8.0439814846613444E-3</v>
      </c>
      <c r="N219" s="7">
        <f>24*60*SUM($M219:$M219)</f>
        <v>11.583333337912336</v>
      </c>
      <c r="O219" s="7"/>
      <c r="P219" s="7"/>
      <c r="Q219" s="22"/>
      <c r="R219" s="190"/>
      <c r="S219" s="196">
        <f>SUM(U219:U219)/IF(AG219="EC",12,1)</f>
        <v>0</v>
      </c>
      <c r="T219" s="190" t="e">
        <f>IF(ISEVEN(LEFT(AD219,4)),"Southbound","NorthBound")</f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-14T01:24:24-0600',mode:absolute,to:'2017-05-14T04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9" s="192" t="str">
        <f>IF(AA219&lt;IF(AG219="EC",23,5.65),"Y","N")</f>
        <v>N</v>
      </c>
      <c r="X219" s="192" t="e">
        <f>VALUE(LEFT(AD219,4))-VALUE(LEFT(AD218,4))</f>
        <v>#VALUE!</v>
      </c>
      <c r="Y219" s="192">
        <f>RIGHT(D219,LEN(D219)-4)/10000</f>
        <v>4.0800000000000003E-2</v>
      </c>
      <c r="Z219" s="192">
        <f>RIGHT(H219,LEN(H219)-4)/10000</f>
        <v>5.8949999999999996</v>
      </c>
      <c r="AA219" s="192">
        <f>ABS(Z219-Y219)</f>
        <v>5.8541999999999996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89-13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s3://rtdc.mdm.uploadarchive.raw/RTDC4062/ "%USERPROFILE%\AppData\Local\Temp\OnboardLogs"\RTDC4062\2017-05-14 --exclude "*" --recursive --include "*20170514*" &amp; "%USERPROFILE%\Documents\GitHub\mrs-test-scripts\Headless Mode &amp; Sideloading\WalkAndUnGZ.bat" "%USERPROFILE%\AppData\Local\Temp\OnboardLogs"\RTDC4062\2017-05-14 &amp; aws s3 cp s3://rtdc.mdm.uploadarchive.raw/RTDC4062/ "%USERPROFILE%\AppData\Local\Temp\OnboardLogs"\RTDC4062\2017-05-15 --exclude "*" --recursive --include "*20170515*" &amp; "%USERPROFILE%\Documents\GitHub\mrs-test-scripts\Headless Mode &amp; Sideloading\WalkAndUnGZ.bat" "%USERPROFILE%\AppData\Local\Temp\OnboardLogs"\RTDC4062\2017-05-15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/stypes="app*4062*20170514*" /stext=" 09:.+((SYSTEM_STATE.+slice.+state.+changed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7"/>
        <v>"%USERPROFILE%\Documents\GitHub\eaglep3\Utilities\RefineRTDCRunTimes.py" --tripid 89-13 --locoid 4062 --swversion DE.1.0.9.0 --startMP 204:408 --initTime 2017-05-14T02:24:24 --startdatetime 2017-05-14T03:11:06 --delay 1 --endMP 300:58950 --enddatetime 2017-05-14T03:22:41 --enforcementcount 0 &gt;&gt;C:\Users\stu\Documents\GitHub\eaglep3-reporting\EC\2017-05-14-refined-times.txt</v>
      </c>
      <c r="AI219" s="99" t="str">
        <f t="shared" si="28"/>
        <v>echo {"issue":{"subject":"","project_id":79,"tracker_id":40,"status_id":1,"priority_id":2,"assigned_to_id":23,"start_date":"2017-05-14","description":"","custom_fields":[{"id":1,"name":"Subdivision","value":"Other"},{"id":4,"name":"Milepost","value":"5.895"},{"id":17,"name":"Train ID","value":"89-13"},{"id":16,"name":"Locomotive ID","value":"4062"},{"id":130,"name":"Impact","value":""},{"id":150,"name":"Time of Event (Mountain Time)","value":"03:22:41"},{"id":151,"name":"Denver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9" s="47"/>
      <c r="AL219" s="47"/>
      <c r="AM219" s="145" t="str">
        <f t="shared" si="29"/>
        <v>start /low /b %USERPROFILE%\Documents\GitHub\eaglep3\Utilities\DownloadLogsFromS3.py --loco 4062 --day 2017-05-14</v>
      </c>
      <c r="AN219" s="154" t="str">
        <f t="shared" si="30"/>
        <v>echo {"issue":{"subject":"","project_id":30,"tracker_id":4,"status_id":1,"priority_id":1,"assigned_to_id":10,"start_date":"2017-05-14","description":"","custom_fields":[{"id":30,"name":"Category","value":"Issue"},{"id":3,"name":"Functional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UTC","value":"2017-05-14 09:22:41"},{"id":29,"name":"Sharepoint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71"/>
  <sortState ref="A13:AH200">
    <sortCondition ref="AG13:AG200"/>
    <sortCondition ref="AD13:AD200"/>
  </sortState>
  <mergeCells count="1">
    <mergeCell ref="A11:P11"/>
  </mergeCells>
  <conditionalFormatting sqref="W11:W12 W272:X1048576 W13:X219">
    <cfRule type="cellIs" dxfId="10" priority="401" operator="equal">
      <formula>"Y"</formula>
    </cfRule>
  </conditionalFormatting>
  <conditionalFormatting sqref="X272:X1048576 X13:X219">
    <cfRule type="cellIs" dxfId="9" priority="384" operator="greaterThan">
      <formula>1</formula>
    </cfRule>
  </conditionalFormatting>
  <conditionalFormatting sqref="X272:X1048576 X12:X219">
    <cfRule type="cellIs" dxfId="8" priority="381" operator="equal">
      <formula>0</formula>
    </cfRule>
  </conditionalFormatting>
  <conditionalFormatting sqref="A13:S21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COUNTIF($O$7:$O$289,"=Y")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COUNTA($O$7:$O$289)-O2</f>
        <v>34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- 2017-05-14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42869.452152777776</v>
      </c>
      <c r="B7" s="30" t="s">
        <v>437</v>
      </c>
      <c r="C7" s="30" t="s">
        <v>598</v>
      </c>
      <c r="D7" s="30" t="s">
        <v>49</v>
      </c>
      <c r="E7" s="30" t="s">
        <v>191</v>
      </c>
      <c r="F7" s="42">
        <v>150</v>
      </c>
      <c r="G7" s="42">
        <v>205</v>
      </c>
      <c r="H7" s="42">
        <v>26844</v>
      </c>
      <c r="I7" s="42">
        <v>27137</v>
      </c>
      <c r="J7" s="30" t="s">
        <v>192</v>
      </c>
      <c r="K7" s="42">
        <v>27053</v>
      </c>
      <c r="L7" s="134" t="s">
        <v>50</v>
      </c>
      <c r="M7" s="135">
        <f>CONVERT((I7-K7)/10000,"mi","ft")*IF(L7="Increasing Mileposts (1)",-1,1)</f>
        <v>-44.351999999999997</v>
      </c>
      <c r="N7" s="136" t="str">
        <f>VLOOKUP(C7,'Trips&amp;Operators'!$C$1:$G$99999,5,FALSE)</f>
        <v>MACDONALD THOMAS</v>
      </c>
      <c r="O7" s="207" t="s">
        <v>184</v>
      </c>
      <c r="P7" s="137" t="s">
        <v>580</v>
      </c>
      <c r="Q7" s="30"/>
      <c r="R7" s="84" t="str">
        <f>IF(VLOOKUP(C7,'Train Runs'!$A$13:$AE$9930,1,1)=C7,VLOOKUP(C7,'Train Runs'!$A$13:$AE$9930,31,1),NA())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S7" s="87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-05-14T09:39:42-0600',mode:absolute,to:'2017-05-14T12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/stypes="*4006*201705141*" /stext=" 16:.+((SYSTEM_STATE.+slice.+state.+changed )|(ment ac)|(multiple cpu faults)|(system.+state.+changed )|(\[timeout)|(PRM\|1\|D)|(kpr)|(kdp)|(train st.+moving)|(\|lc)|(penalty))"</v>
      </c>
      <c r="U7" s="9" t="str">
        <f>MID(B7,13,4)</f>
        <v>4006</v>
      </c>
      <c r="V7" s="31">
        <f>A7-utc_offset/24</f>
        <v>42869.702152777776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arrival","project_id":79,"tracker_id":40,"status_id":1,"priority_id":2,"assigned_to_id":23,"start_date":"2017-05-14","description":"","custom_fields":[{"id":1,"name":"Subdivision","value":"EC"},{"id":4,"name":"Milepost","value":"2.7053"},{"id":17,"name":"Train ID","value":"157-14"},{"id":16,"name":"Locomotive ID","value":"4006"},{"id":130,"name":"Impact","value":""},{"id":150,"name":"Time of Event (Mountain Time)","value":"10:51:06"},{"id":151,"name":"Denver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/cygdrive/c/Users/stu/AppData/Local/Temp/OnboardLogs/RTDC4006 --include="*4006*201705141*"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"%USERPROFILE%\AppData\Local\Temp\OnboardLogs"\RTDC4006\*4006*201705141* &gt;&gt; 2017-05-14-SliceDisagreementCheck.txt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4006 --day 2017-05-14</v>
      </c>
    </row>
    <row r="8" spans="1:32" s="1" customFormat="1" x14ac:dyDescent="0.25">
      <c r="A8" s="31">
        <v>42869.259768518517</v>
      </c>
      <c r="B8" s="30" t="s">
        <v>587</v>
      </c>
      <c r="C8" s="30" t="s">
        <v>588</v>
      </c>
      <c r="D8" s="30" t="s">
        <v>98</v>
      </c>
      <c r="E8" s="30" t="s">
        <v>191</v>
      </c>
      <c r="F8" s="42">
        <v>190</v>
      </c>
      <c r="G8" s="42">
        <v>245</v>
      </c>
      <c r="H8" s="42">
        <v>27015</v>
      </c>
      <c r="I8" s="42">
        <v>26558</v>
      </c>
      <c r="J8" s="30" t="s">
        <v>192</v>
      </c>
      <c r="K8" s="42">
        <v>27350</v>
      </c>
      <c r="L8" s="134" t="s">
        <v>51</v>
      </c>
      <c r="M8" s="135">
        <f>CONVERT((I8-K8)/10000,"mi","ft")*IF(L8="Increasing Mileposts (1)",-1,1)</f>
        <v>-418.17599999999999</v>
      </c>
      <c r="N8" s="136" t="str">
        <f>VLOOKUP(C8,'Trips&amp;Operators'!$C$1:$G$99999,5,FALSE)</f>
        <v>NELSON ARIANE</v>
      </c>
      <c r="O8" s="207" t="s">
        <v>184</v>
      </c>
      <c r="P8" s="137" t="s">
        <v>580</v>
      </c>
      <c r="Q8" s="30"/>
      <c r="R8" s="84" t="str">
        <f>IF(VLOOKUP(C8,'Train Runs'!$A$13:$AE$9930,1,1)=C8,VLOOKUP(C8,'Train Runs'!$A$13:$AE$9930,31,1),NA())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S8" s="87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-05-14T04:38:32-0600',mode:absolute,to:'2017-05-14T07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/stypes="*4031*201705141*" /stext=" 12:.+((SYSTEM_STATE.+slice.+state.+changed )|(ment ac)|(multiple cpu faults)|(system.+state.+changed )|(\[timeout)|(PRM\|1\|D)|(kpr)|(kdp)|(train st.+moving)|(\|lc)|(penalty))"</v>
      </c>
      <c r="U8" s="9" t="str">
        <f>MID(B8,13,4)</f>
        <v>4031</v>
      </c>
      <c r="V8" s="31">
        <f>A8-utc_offset/24</f>
        <v>42869.509768518517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arrival","project_id":79,"tracker_id":40,"status_id":1,"priority_id":2,"assigned_to_id":23,"start_date":"2017-05-14","description":"","custom_fields":[{"id":1,"name":"Subdivision","value":"EC"},{"id":4,"name":"Milepost","value":"2.735"},{"id":17,"name":"Train ID","value":"110-14"},{"id":16,"name":"Locomotive ID","value":"4031"},{"id":130,"name":"Impact","value":""},{"id":150,"name":"Time of Event (Mountain Time)","value":"06:14:04"},{"id":151,"name":"Denver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-hrE -A400 ""Enforcement Action"" "&amp;"/cygdrive/c/Users/stu/AppData/Local/Temp/OnboardLogs"&amp;"/RTDC"&amp;U8&amp;"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/cygdrive/c/Users/stu/AppData/Local/Temp/OnboardLogs/RTDC4031 --include="*4031*201705141*"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"%USERPROFILE%\AppData\Local\Temp\OnboardLogs"\RTDC4031\*4031*201705141* &gt;&gt; 2017-05-14-SliceDisagreementCheck.txt</v>
      </c>
      <c r="AE8" s="148" t="str">
        <f t="shared" ref="AE8:AE45" si="1">"start /low /b "&amp;dls3logs&amp;" --loco "&amp;U8&amp;" --day "&amp;TEXT(V8,"YYYY-MM-DD")</f>
        <v>start /low /b %USERPROFILE%\Documents\GitHub\eaglep3\Utilities\DownloadLogsFromS3.py --loco 4031 --day 2017-05-14</v>
      </c>
    </row>
    <row r="9" spans="1:32" s="1" customFormat="1" x14ac:dyDescent="0.25">
      <c r="A9" s="31">
        <v>42869.37358796296</v>
      </c>
      <c r="B9" s="30" t="s">
        <v>582</v>
      </c>
      <c r="C9" s="30" t="s">
        <v>596</v>
      </c>
      <c r="D9" s="30" t="s">
        <v>49</v>
      </c>
      <c r="E9" s="30" t="s">
        <v>191</v>
      </c>
      <c r="F9" s="42">
        <v>0</v>
      </c>
      <c r="G9" s="42">
        <v>159</v>
      </c>
      <c r="H9" s="42">
        <v>31001</v>
      </c>
      <c r="I9" s="42">
        <v>30899</v>
      </c>
      <c r="J9" s="30" t="s">
        <v>192</v>
      </c>
      <c r="K9" s="42">
        <v>30970</v>
      </c>
      <c r="L9" s="134" t="s">
        <v>51</v>
      </c>
      <c r="M9" s="135">
        <f>CONVERT((I9-K9)/10000,"mi","ft")*IF(L9="Increasing Mileposts (1)",-1,1)</f>
        <v>-37.488</v>
      </c>
      <c r="N9" s="136" t="str">
        <f>VLOOKUP(C9,'Trips&amp;Operators'!$C$1:$G$99999,5,FALSE)</f>
        <v>MAELZER KURT</v>
      </c>
      <c r="O9" s="207" t="s">
        <v>184</v>
      </c>
      <c r="P9" s="137" t="s">
        <v>580</v>
      </c>
      <c r="Q9" s="30"/>
      <c r="R9" s="84" t="str">
        <f>IF(VLOOKUP(C9,'Train Runs'!$A$13:$AE$9930,1,1)=C9,VLOOKUP(C9,'Train Runs'!$A$13:$AE$9930,31,1),NA())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S9" s="87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-05-14T07:21:27-0600',mode:absolute,to:'2017-05-14T10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/stypes="*4009*201705141*" /stext=" 14:.+((SYSTEM_STATE.+slice.+state.+changed )|(ment ac)|(multiple cpu faults)|(system.+state.+changed )|(\[timeout)|(PRM\|1\|D)|(kpr)|(kdp)|(train st.+moving)|(\|lc)|(penalty))"</v>
      </c>
      <c r="U9" s="9" t="str">
        <f>MID(B9,13,4)</f>
        <v>4009</v>
      </c>
      <c r="V9" s="31">
        <f>A9-utc_offset/24</f>
        <v>42869.62358796296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arrival","project_id":79,"tracker_id":40,"status_id":1,"priority_id":2,"assigned_to_id":23,"start_date":"2017-05-14","description":"","custom_fields":[{"id":1,"name":"Subdivision","value":"EC"},{"id":4,"name":"Milepost","value":"3.097"},{"id":17,"name":"Train ID","value":"132-14"},{"id":16,"name":"Locomotive ID","value":"4009"},{"id":130,"name":"Impact","value":""},{"id":150,"name":"Time of Event (Mountain Time)","value":"08:57:58"},{"id":151,"name":"Denver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-hrE -A400 ""Enforcement Action"" "&amp;"/cygdrive/c/Users/stu/AppData/Local/Temp/OnboardLogs"&amp;"/RTDC"&amp;U9&amp;"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/cygdrive/c/Users/stu/AppData/Local/Temp/OnboardLogs/RTDC4009 --include="*4009*201705141*"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"%USERPROFILE%\AppData\Local\Temp\OnboardLogs"\RTDC4009\*4009*201705141* &gt;&gt; 2017-05-14-SliceDisagreementCheck.txt</v>
      </c>
      <c r="AE9" s="148" t="str">
        <f t="shared" si="1"/>
        <v>start /low /b %USERPROFILE%\Documents\GitHub\eaglep3\Utilities\DownloadLogsFromS3.py --loco 4009 --day 2017-05-14</v>
      </c>
    </row>
    <row r="10" spans="1:32" s="1" customFormat="1" x14ac:dyDescent="0.25">
      <c r="A10" s="31">
        <v>42869.331365740742</v>
      </c>
      <c r="B10" s="30" t="s">
        <v>587</v>
      </c>
      <c r="C10" s="30" t="s">
        <v>593</v>
      </c>
      <c r="D10" s="30" t="s">
        <v>49</v>
      </c>
      <c r="E10" s="30" t="s">
        <v>191</v>
      </c>
      <c r="F10" s="42">
        <v>200</v>
      </c>
      <c r="G10" s="42">
        <v>250</v>
      </c>
      <c r="H10" s="42">
        <v>33537</v>
      </c>
      <c r="I10" s="42">
        <v>33158</v>
      </c>
      <c r="J10" s="30" t="s">
        <v>192</v>
      </c>
      <c r="K10" s="42">
        <v>33257</v>
      </c>
      <c r="L10" s="134" t="s">
        <v>51</v>
      </c>
      <c r="M10" s="135">
        <f>CONVERT((I10-K10)/10000,"mi","ft")*IF(L10="Increasing Mileposts (1)",-1,1)</f>
        <v>-52.271999999999998</v>
      </c>
      <c r="N10" s="136" t="str">
        <f>VLOOKUP(C10,'Trips&amp;Operators'!$C$1:$G$99999,5,FALSE)</f>
        <v>NELSON ARIANE</v>
      </c>
      <c r="O10" s="207" t="s">
        <v>184</v>
      </c>
      <c r="P10" s="137" t="s">
        <v>580</v>
      </c>
      <c r="Q10" s="30"/>
      <c r="R10" s="84" t="str">
        <f>IF(VLOOKUP(C10,'Train Runs'!$A$13:$AE$9930,1,1)=C10,VLOOKUP(C10,'Train Runs'!$A$13:$AE$9930,31,1),NA())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S10" s="87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-05-14T06:18:02-0600',mode:absolute,to:'2017-05-14T09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/stypes="*4031*201705141*" /stext=" 13:.+((SYSTEM_STATE.+slice.+state.+changed )|(ment ac)|(multiple cpu faults)|(system.+state.+changed )|(\[timeout)|(PRM\|1\|D)|(kpr)|(kdp)|(train st.+moving)|(\|lc)|(penalty))"</v>
      </c>
      <c r="U10" s="9" t="str">
        <f>MID(B10,13,4)</f>
        <v>4031</v>
      </c>
      <c r="V10" s="31">
        <f>A10-utc_offset/24</f>
        <v>42869.581365740742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arrival","project_id":79,"tracker_id":40,"status_id":1,"priority_id":2,"assigned_to_id":23,"start_date":"2017-05-14","description":"","custom_fields":[{"id":1,"name":"Subdivision","value":"EC"},{"id":4,"name":"Milepost","value":"3.3257"},{"id":17,"name":"Train ID","value":"124-14"},{"id":16,"name":"Locomotive ID","value":"4031"},{"id":130,"name":"Impact","value":""},{"id":150,"name":"Time of Event (Mountain Time)","value":"07:57:10"},{"id":151,"name":"Denver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-hrE -A400 ""Enforcement Action"" "&amp;"/cygdrive/c/Users/stu/AppData/Local/Temp/OnboardLogs"&amp;"/RTDC"&amp;U10&amp;"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/cygdrive/c/Users/stu/AppData/Local/Temp/OnboardLogs/RTDC4031 --include="*4031*201705141*"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"%USERPROFILE%\AppData\Local\Temp\OnboardLogs"\RTDC4031\*4031*201705141* &gt;&gt; 2017-05-14-SliceDisagreementCheck.txt</v>
      </c>
      <c r="AE10" s="148" t="str">
        <f t="shared" si="1"/>
        <v>start /low /b %USERPROFILE%\Documents\GitHub\eaglep3\Utilities\DownloadLogsFromS3.py --loco 4031 --day 2017-05-14</v>
      </c>
    </row>
    <row r="11" spans="1:32" s="1" customFormat="1" x14ac:dyDescent="0.25">
      <c r="A11" s="31">
        <v>42869.214004629626</v>
      </c>
      <c r="B11" s="30" t="s">
        <v>582</v>
      </c>
      <c r="C11" s="30" t="s">
        <v>583</v>
      </c>
      <c r="D11" s="30" t="s">
        <v>49</v>
      </c>
      <c r="E11" s="30" t="s">
        <v>191</v>
      </c>
      <c r="F11" s="42">
        <v>480</v>
      </c>
      <c r="G11" s="42">
        <v>546</v>
      </c>
      <c r="H11" s="42">
        <v>49450</v>
      </c>
      <c r="I11" s="42">
        <v>47278</v>
      </c>
      <c r="J11" s="30" t="s">
        <v>192</v>
      </c>
      <c r="K11" s="42">
        <v>48048</v>
      </c>
      <c r="L11" s="134" t="s">
        <v>51</v>
      </c>
      <c r="M11" s="135">
        <f>CONVERT((I11-K11)/10000,"mi","ft")*IF(L11="Increasing Mileposts (1)",-1,1)</f>
        <v>-406.56</v>
      </c>
      <c r="N11" s="136" t="str">
        <f>VLOOKUP(C11,'Trips&amp;Operators'!$C$1:$G$99999,5,FALSE)</f>
        <v>MAELZER KURT</v>
      </c>
      <c r="O11" s="207" t="s">
        <v>184</v>
      </c>
      <c r="P11" s="137" t="s">
        <v>580</v>
      </c>
      <c r="Q11" s="30"/>
      <c r="R11" s="84" t="str">
        <f>IF(VLOOKUP(C11,'Train Runs'!$A$13:$AE$9930,1,1)=C11,VLOOKUP(C11,'Train Runs'!$A$13:$AE$9930,31,1),NA())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S11" s="87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-05-14T03:30:18-0600',mode:absolute,to:'2017-05-14T06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/stypes="*4009*201705141*" /stext=" 11:.+((SYSTEM_STATE.+slice.+state.+changed )|(ment ac)|(multiple cpu faults)|(system.+state.+changed )|(\[timeout)|(PRM\|1\|D)|(kpr)|(kdp)|(train st.+moving)|(\|lc)|(penalty))"</v>
      </c>
      <c r="U11" s="9" t="str">
        <f>MID(B11,13,4)</f>
        <v>4009</v>
      </c>
      <c r="V11" s="31">
        <f>A11-utc_offset/24</f>
        <v>42869.464004629626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arrival","project_id":79,"tracker_id":40,"status_id":1,"priority_id":2,"assigned_to_id":23,"start_date":"2017-05-14","description":"","custom_fields":[{"id":1,"name":"Subdivision","value":"EC"},{"id":4,"name":"Milepost","value":"4.8048"},{"id":17,"name":"Train ID","value":"104-14"},{"id":16,"name":"Locomotive ID","value":"4009"},{"id":130,"name":"Impact","value":""},{"id":150,"name":"Time of Event (Mountain Time)","value":"05:08:10"},{"id":151,"name":"Denver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-hrE -A400 ""Enforcement Action"" "&amp;"/cygdrive/c/Users/stu/AppData/Local/Temp/OnboardLogs"&amp;"/RTDC"&amp;U11&amp;"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/cygdrive/c/Users/stu/AppData/Local/Temp/OnboardLogs/RTDC4009 --include="*4009*201705141*"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"%USERPROFILE%\AppData\Local\Temp\OnboardLogs"\RTDC4009\*4009*201705141* &gt;&gt; 2017-05-14-SliceDisagreementCheck.txt</v>
      </c>
      <c r="AE11" s="148" t="str">
        <f t="shared" si="1"/>
        <v>start /low /b %USERPROFILE%\Documents\GitHub\eaglep3\Utilities\DownloadLogsFromS3.py --loco 4009 --day 2017-05-14</v>
      </c>
    </row>
    <row r="12" spans="1:32" s="1" customFormat="1" x14ac:dyDescent="0.25">
      <c r="A12" s="31">
        <v>42869.68136574074</v>
      </c>
      <c r="B12" s="30" t="s">
        <v>454</v>
      </c>
      <c r="C12" s="30" t="s">
        <v>614</v>
      </c>
      <c r="D12" s="30" t="s">
        <v>98</v>
      </c>
      <c r="E12" s="30" t="s">
        <v>191</v>
      </c>
      <c r="F12" s="42">
        <v>290</v>
      </c>
      <c r="G12" s="42">
        <v>349</v>
      </c>
      <c r="H12" s="42">
        <v>58257</v>
      </c>
      <c r="I12" s="42">
        <v>57274</v>
      </c>
      <c r="J12" s="30" t="s">
        <v>192</v>
      </c>
      <c r="K12" s="42">
        <v>58301</v>
      </c>
      <c r="L12" s="134" t="s">
        <v>51</v>
      </c>
      <c r="M12" s="135">
        <f>CONVERT((I12-K12)/10000,"mi","ft")*IF(L12="Increasing Mileposts (1)",-1,1)</f>
        <v>-542.25599999999997</v>
      </c>
      <c r="N12" s="136" t="str">
        <f>VLOOKUP(C12,'Trips&amp;Operators'!$C$1:$G$99999,5,FALSE)</f>
        <v>LEVIN SCOTT</v>
      </c>
      <c r="O12" s="207" t="s">
        <v>184</v>
      </c>
      <c r="P12" s="137" t="s">
        <v>580</v>
      </c>
      <c r="Q12" s="30"/>
      <c r="R12" s="84" t="e">
        <f>IF(VLOOKUP(C12,'Train Runs'!$A$13:$AE$9930,1,1)=C12,VLOOKUP(C12,'Train Runs'!$A$13:$AE$9930,31,1),NA())</f>
        <v>#N/A</v>
      </c>
      <c r="S12" s="87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-05-14T14:52:43-0600',mode:absolute,to:'2017-05-14T17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/stypes="*4001*201705142*" /stext=" 22:.+((SYSTEM_STATE.+slice.+state.+changed )|(ment ac)|(multiple cpu faults)|(system.+state.+changed )|(\[timeout)|(PRM\|1\|D)|(kpr)|(kdp)|(train st.+moving)|(\|lc)|(penalty))"</v>
      </c>
      <c r="U12" s="9" t="str">
        <f>MID(B12,13,4)</f>
        <v>4001</v>
      </c>
      <c r="V12" s="31">
        <f>A12-utc_offset/24</f>
        <v>42869.93136574074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arrival","project_id":79,"tracker_id":40,"status_id":1,"priority_id":2,"assigned_to_id":23,"start_date":"2017-05-14","description":"","custom_fields":[{"id":1,"name":"Subdivision","value":"EC"},{"id":4,"name":"Milepost","value":"5.8301"},{"id":17,"name":"Train ID","value":"192-14"},{"id":16,"name":"Locomotive ID","value":"4001"},{"id":130,"name":"Impact","value":""},{"id":150,"name":"Time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-hrE -A400 ""Enforcement Action"" "&amp;"/cygdrive/c/Users/stu/AppData/Local/Temp/OnboardLogs"&amp;"/RTDC"&amp;U12&amp;"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/cygdrive/c/Users/stu/AppData/Local/Temp/OnboardLogs/RTDC4001 --include="*4001*201705142*"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"%USERPROFILE%\AppData\Local\Temp\OnboardLogs"\RTDC4001\*4001*201705142* &gt;&gt; 2017-05-14-SliceDisagreementCheck.txt</v>
      </c>
      <c r="AE12" s="148" t="str">
        <f t="shared" si="1"/>
        <v>start /low /b %USERPROFILE%\Documents\GitHub\eaglep3\Utilities\DownloadLogsFromS3.py --loco 4001 --day 2017-05-14</v>
      </c>
    </row>
    <row r="13" spans="1:32" s="1" customFormat="1" x14ac:dyDescent="0.25">
      <c r="A13" s="31">
        <v>42869.993530092594</v>
      </c>
      <c r="B13" s="30" t="s">
        <v>454</v>
      </c>
      <c r="C13" s="30" t="s">
        <v>620</v>
      </c>
      <c r="D13" s="30" t="s">
        <v>49</v>
      </c>
      <c r="E13" s="30" t="s">
        <v>191</v>
      </c>
      <c r="F13" s="42">
        <v>360</v>
      </c>
      <c r="G13" s="42">
        <v>466</v>
      </c>
      <c r="H13" s="42">
        <v>59697</v>
      </c>
      <c r="I13" s="42">
        <v>58214</v>
      </c>
      <c r="J13" s="30" t="s">
        <v>192</v>
      </c>
      <c r="K13" s="42">
        <v>58301</v>
      </c>
      <c r="L13" s="134" t="s">
        <v>51</v>
      </c>
      <c r="M13" s="135">
        <f>CONVERT((I13-K13)/10000,"mi","ft")*IF(L13="Increasing Mileposts (1)",-1,1)</f>
        <v>-45.936</v>
      </c>
      <c r="N13" s="136" t="str">
        <f>VLOOKUP(C13,'Trips&amp;Operators'!$C$1:$G$99999,5,FALSE)</f>
        <v>STAMBAUGH JAMES</v>
      </c>
      <c r="O13" s="207" t="s">
        <v>184</v>
      </c>
      <c r="P13" s="137" t="s">
        <v>580</v>
      </c>
      <c r="Q13" s="30"/>
      <c r="R13" s="84" t="e">
        <f>IF(VLOOKUP(C13,'Train Runs'!$A$13:$AE$9930,1,1)=C13,VLOOKUP(C13,'Train Runs'!$A$13:$AE$9930,31,1),NA())</f>
        <v>#N/A</v>
      </c>
      <c r="S13" s="87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-05-14T22:20:19-0600',mode:absolute,to:'2017-05-15T01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/stypes="*4001*201705150*" /stext=" 05:.+((SYSTEM_STATE.+slice.+state.+changed )|(ment ac)|(multiple cpu faults)|(system.+state.+changed )|(\[timeout)|(PRM\|1\|D)|(kpr)|(kdp)|(train st.+moving)|(\|lc)|(penalty))"</v>
      </c>
      <c r="U13" s="9" t="str">
        <f>MID(B13,13,4)</f>
        <v>4001</v>
      </c>
      <c r="V13" s="31">
        <f>A13-utc_offset/24</f>
        <v>42870.243530092594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arrival","project_id":79,"tracker_id":40,"status_id":1,"priority_id":2,"assigned_to_id":23,"start_date":"2017-05-14","description":"","custom_fields":[{"id":1,"name":"Subdivision","value":"EC"},{"id":4,"name":"Milepost","value":"5.8301"},{"id":17,"name":"Train ID","value":"236-14"},{"id":16,"name":"Locomotive ID","value":"4001"},{"id":130,"name":"Impact","value":""},{"id":150,"name":"Time of Event (Mountain Time)","value":"23:50:41"},{"id":151,"name":"Denver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-hrE -A400 ""Enforcement Action"" "&amp;"/cygdrive/c/Users/stu/AppData/Local/Temp/OnboardLogs"&amp;"/RTDC"&amp;U13&amp;"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/cygdrive/c/Users/stu/AppData/Local/Temp/OnboardLogs/RTDC4001 --include="*4001*201705150*"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"%USERPROFILE%\AppData\Local\Temp\OnboardLogs"\RTDC4001\*4001*201705150* &gt;&gt; 2017-05-14-SliceDisagreementCheck.txt</v>
      </c>
      <c r="AE13" s="148" t="str">
        <f t="shared" si="1"/>
        <v>start /low /b %USERPROFILE%\Documents\GitHub\eaglep3\Utilities\DownloadLogsFromS3.py --loco 4001 --day 2017-05-15</v>
      </c>
    </row>
    <row r="14" spans="1:32" x14ac:dyDescent="0.25">
      <c r="A14" s="31">
        <v>42869.947094907409</v>
      </c>
      <c r="B14" s="30" t="s">
        <v>498</v>
      </c>
      <c r="C14" s="30" t="s">
        <v>619</v>
      </c>
      <c r="D14" s="30" t="s">
        <v>49</v>
      </c>
      <c r="E14" s="30" t="s">
        <v>191</v>
      </c>
      <c r="F14" s="42">
        <v>320</v>
      </c>
      <c r="G14" s="42">
        <v>499</v>
      </c>
      <c r="H14" s="42">
        <v>61760</v>
      </c>
      <c r="I14" s="42">
        <v>63220</v>
      </c>
      <c r="J14" s="30" t="s">
        <v>192</v>
      </c>
      <c r="K14" s="42">
        <v>63069</v>
      </c>
      <c r="L14" s="134" t="s">
        <v>50</v>
      </c>
      <c r="M14" s="135">
        <f>CONVERT((I14-K14)/10000,"mi","ft")*IF(L14="Increasing Mileposts (1)",-1,1)</f>
        <v>-79.727999999999994</v>
      </c>
      <c r="N14" s="136" t="str">
        <f>VLOOKUP(C14,'Trips&amp;Operators'!$C$1:$G$99999,5,FALSE)</f>
        <v>STAMBAUGH JAMES</v>
      </c>
      <c r="O14" s="207" t="s">
        <v>184</v>
      </c>
      <c r="P14" s="137" t="s">
        <v>580</v>
      </c>
      <c r="Q14" s="30"/>
      <c r="R14" s="84" t="e">
        <f>IF(VLOOKUP(C14,'Train Runs'!$A$13:$AE$9930,1,1)=C14,VLOOKUP(C14,'Train Runs'!$A$13:$AE$9930,31,1),NA())</f>
        <v>#N/A</v>
      </c>
      <c r="S14" s="87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-05-14T21:25:35-0600',mode:absolute,to:'2017-05-15T00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/stypes="*4002*201705150*" /stext=" 04:.+((SYSTEM_STATE.+slice.+state.+changed )|(ment ac)|(multiple cpu faults)|(system.+state.+changed )|(\[timeout)|(PRM\|1\|D)|(kpr)|(kdp)|(train st.+moving)|(\|lc)|(penalty))"</v>
      </c>
      <c r="U14" s="9" t="str">
        <f>MID(B14,13,4)</f>
        <v>4002</v>
      </c>
      <c r="V14" s="31">
        <f>A14-utc_offset/24</f>
        <v>42870.197094907409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arrival","project_id":79,"tracker_id":40,"status_id":1,"priority_id":2,"assigned_to_id":23,"start_date":"2017-05-14","description":"","custom_fields":[{"id":1,"name":"Subdivision","value":"EC"},{"id":4,"name":"Milepost","value":"6.3069"},{"id":17,"name":"Train ID","value":"235-14"},{"id":16,"name":"Locomotive ID","value":"4002"},{"id":130,"name":"Impact","value":""},{"id":150,"name":"Time of Event (Mountain Time)","value":"22:43:49"},{"id":151,"name":"Denver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-hrE -A400 ""Enforcement Action"" "&amp;"/cygdrive/c/Users/stu/AppData/Local/Temp/OnboardLogs"&amp;"/RTDC"&amp;U14&amp;"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/cygdrive/c/Users/stu/AppData/Local/Temp/OnboardLogs/RTDC4002 --include="*4002*201705150*"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"%USERPROFILE%\AppData\Local\Temp\OnboardLogs"\RTDC4002\*4002*201705150* &gt;&gt; 2017-05-14-SliceDisagreementCheck.txt</v>
      </c>
      <c r="AE14" s="148" t="str">
        <f t="shared" si="1"/>
        <v>start /low /b %USERPROFILE%\Documents\GitHub\eaglep3\Utilities\DownloadLogsFromS3.py --loco 4002 --day 2017-05-15</v>
      </c>
      <c r="AF14" s="1"/>
    </row>
    <row r="15" spans="1:32" x14ac:dyDescent="0.25">
      <c r="A15" s="31">
        <v>42869.577210648145</v>
      </c>
      <c r="B15" s="30" t="s">
        <v>436</v>
      </c>
      <c r="C15" s="30" t="s">
        <v>606</v>
      </c>
      <c r="D15" s="30" t="s">
        <v>49</v>
      </c>
      <c r="E15" s="30" t="s">
        <v>191</v>
      </c>
      <c r="F15" s="42">
        <v>90</v>
      </c>
      <c r="G15" s="42">
        <v>149</v>
      </c>
      <c r="H15" s="42">
        <v>63683</v>
      </c>
      <c r="I15" s="42">
        <v>63464</v>
      </c>
      <c r="J15" s="30" t="s">
        <v>192</v>
      </c>
      <c r="K15" s="42">
        <v>63309</v>
      </c>
      <c r="L15" s="134" t="s">
        <v>51</v>
      </c>
      <c r="M15" s="135">
        <f>CONVERT((I15-K15)/10000,"mi","ft")*IF(L15="Increasing Mileposts (1)",-1,1)</f>
        <v>81.84</v>
      </c>
      <c r="N15" s="136" t="str">
        <f>VLOOKUP(C15,'Trips&amp;Operators'!$C$1:$G$99999,5,FALSE)</f>
        <v>BRANDNER MELINDA</v>
      </c>
      <c r="O15" s="207" t="s">
        <v>184</v>
      </c>
      <c r="P15" s="137" t="s">
        <v>580</v>
      </c>
      <c r="Q15" s="30"/>
      <c r="R15" s="84" t="str">
        <f>IF(VLOOKUP(C15,'Train Runs'!$A$13:$AE$9930,1,1)=C15,VLOOKUP(C15,'Train Runs'!$A$13:$AE$9930,31,1),NA())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S15" s="87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-05-14T12:16:54-0600',mode:absolute,to:'2017-05-14T15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/stypes="*4005*201705141*" /stext=" 19:.+((SYSTEM_STATE.+slice.+state.+changed )|(ment ac)|(multiple cpu faults)|(system.+state.+changed )|(\[timeout)|(PRM\|1\|D)|(kpr)|(kdp)|(train st.+moving)|(\|lc)|(penalty))"</v>
      </c>
      <c r="U15" s="9" t="str">
        <f>MID(B15,13,4)</f>
        <v>4005</v>
      </c>
      <c r="V15" s="31">
        <f>A15-utc_offset/24</f>
        <v>42869.827210648145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arrival","project_id":79,"tracker_id":40,"status_id":1,"priority_id":2,"assigned_to_id":23,"start_date":"2017-05-14","description":"","custom_fields":[{"id":1,"name":"Subdivision","value":"EC"},{"id":4,"name":"Milepost","value":"6.3309"},{"id":17,"name":"Train ID","value":"172-14"},{"id":16,"name":"Locomotive ID","value":"4005"},{"id":130,"name":"Impact","value":""},{"id":150,"name":"Time of Event (Mountain Time)","value":"13:51:11"},{"id":151,"name":"Denver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-hrE -A400 ""Enforcement Action"" "&amp;"/cygdrive/c/Users/stu/AppData/Local/Temp/OnboardLogs"&amp;"/RTDC"&amp;U15&amp;"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/cygdrive/c/Users/stu/AppData/Local/Temp/OnboardLogs/RTDC4005 --include="*4005*201705141*"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"%USERPROFILE%\AppData\Local\Temp\OnboardLogs"\RTDC4005\*4005*201705141* &gt;&gt; 2017-05-14-SliceDisagreementCheck.txt</v>
      </c>
      <c r="AE15" s="148" t="str">
        <f t="shared" si="1"/>
        <v>start /low /b %USERPROFILE%\Documents\GitHub\eaglep3\Utilities\DownloadLogsFromS3.py --loco 4005 --day 2017-05-14</v>
      </c>
      <c r="AF15" s="1"/>
    </row>
    <row r="16" spans="1:32" x14ac:dyDescent="0.25">
      <c r="A16" s="31">
        <v>42869.285127314812</v>
      </c>
      <c r="B16" s="30" t="s">
        <v>436</v>
      </c>
      <c r="C16" s="30" t="s">
        <v>591</v>
      </c>
      <c r="D16" s="30" t="s">
        <v>98</v>
      </c>
      <c r="E16" s="30" t="s">
        <v>191</v>
      </c>
      <c r="F16" s="42">
        <v>160</v>
      </c>
      <c r="G16" s="42">
        <v>213</v>
      </c>
      <c r="H16" s="42">
        <v>63025</v>
      </c>
      <c r="I16" s="42">
        <v>63025</v>
      </c>
      <c r="J16" s="30" t="s">
        <v>192</v>
      </c>
      <c r="K16" s="42">
        <v>63309</v>
      </c>
      <c r="L16" s="134" t="s">
        <v>51</v>
      </c>
      <c r="M16" s="135">
        <f>CONVERT((I16-K16)/10000,"mi","ft")*IF(L16="Increasing Mileposts (1)",-1,1)</f>
        <v>-149.952</v>
      </c>
      <c r="N16" s="136" t="str">
        <f>VLOOKUP(C16,'Trips&amp;Operators'!$C$1:$G$99999,5,FALSE)</f>
        <v>MACDONALD THOMAS</v>
      </c>
      <c r="O16" s="207" t="s">
        <v>184</v>
      </c>
      <c r="P16" s="137" t="s">
        <v>580</v>
      </c>
      <c r="Q16" s="30"/>
      <c r="R16" s="84" t="str">
        <f>IF(VLOOKUP(C16,'Train Runs'!$A$13:$AE$9930,1,1)=C16,VLOOKUP(C16,'Train Runs'!$A$13:$AE$9930,31,1),NA())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S16" s="87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-05-14T05:21:36-0600',mode:absolute,to:'2017-05-14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/stypes="*4005*201705141*" /stext=" 12:.+((SYSTEM_STATE.+slice.+state.+changed )|(ment ac)|(multiple cpu faults)|(system.+state.+changed )|(\[timeout)|(PRM\|1\|D)|(kpr)|(kdp)|(train st.+moving)|(\|lc)|(penalty))"</v>
      </c>
      <c r="U16" s="9" t="str">
        <f>MID(B16,13,4)</f>
        <v>4005</v>
      </c>
      <c r="V16" s="31">
        <f>A16-utc_offset/24</f>
        <v>42869.535127314812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arrival","project_id":79,"tracker_id":40,"status_id":1,"priority_id":2,"assigned_to_id":23,"start_date":"2017-05-14","description":"","custom_fields":[{"id":1,"name":"Subdivision","value":"EC"},{"id":4,"name":"Milepost","value":"6.3309"},{"id":17,"name":"Train ID","value":"116-14"},{"id":16,"name":"Locomotive ID","value":"4005"},{"id":130,"name":"Impact","value":""},{"id":150,"name":"Time of Event (Mountain Time)","value":"06:50:35"},{"id":151,"name":"Denver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-hrE -A400 ""Enforcement Action"" "&amp;"/cygdrive/c/Users/stu/AppData/Local/Temp/OnboardLogs"&amp;"/RTDC"&amp;U16&amp;"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/cygdrive/c/Users/stu/AppData/Local/Temp/OnboardLogs/RTDC4005 --include="*4005*201705141*"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"%USERPROFILE%\AppData\Local\Temp\OnboardLogs"\RTDC4005\*4005*201705141* &gt;&gt; 2017-05-14-SliceDisagreementCheck.txt</v>
      </c>
      <c r="AE16" s="148" t="str">
        <f t="shared" si="1"/>
        <v>start /low /b %USERPROFILE%\Documents\GitHub\eaglep3\Utilities\DownloadLogsFromS3.py --loco 4005 --day 2017-05-14</v>
      </c>
      <c r="AF16" s="1"/>
    </row>
    <row r="17" spans="1:32" x14ac:dyDescent="0.25">
      <c r="A17" s="31">
        <v>42869.285949074074</v>
      </c>
      <c r="B17" s="30" t="s">
        <v>436</v>
      </c>
      <c r="C17" s="30" t="s">
        <v>591</v>
      </c>
      <c r="D17" s="30" t="s">
        <v>98</v>
      </c>
      <c r="E17" s="30" t="s">
        <v>191</v>
      </c>
      <c r="F17" s="42">
        <v>160</v>
      </c>
      <c r="G17" s="42">
        <v>213</v>
      </c>
      <c r="H17" s="42">
        <v>63062</v>
      </c>
      <c r="I17" s="42">
        <v>59038</v>
      </c>
      <c r="J17" s="30" t="s">
        <v>192</v>
      </c>
      <c r="K17" s="42">
        <v>63309</v>
      </c>
      <c r="L17" s="134" t="s">
        <v>51</v>
      </c>
      <c r="M17" s="135">
        <f>CONVERT((I17-K17)/10000,"mi","ft")*IF(L17="Increasing Mileposts (1)",-1,1)</f>
        <v>-2255.0880000000002</v>
      </c>
      <c r="N17" s="136" t="str">
        <f>VLOOKUP(C17,'Trips&amp;Operators'!$C$1:$G$99999,5,FALSE)</f>
        <v>MACDONALD THOMAS</v>
      </c>
      <c r="O17" s="207" t="s">
        <v>184</v>
      </c>
      <c r="P17" s="137" t="s">
        <v>580</v>
      </c>
      <c r="Q17" s="30"/>
      <c r="R17" s="84" t="str">
        <f>IF(VLOOKUP(C17,'Train Runs'!$A$13:$AE$9930,1,1)=C17,VLOOKUP(C17,'Train Runs'!$A$13:$AE$9930,31,1),NA())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S17" s="87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-05-14T05:21:36-0600',mode:absolute,to:'2017-05-14T08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/stypes="*4005*201705141*" /stext=" 12:.+((SYSTEM_STATE.+slice.+state.+changed )|(ment ac)|(multiple cpu faults)|(system.+state.+changed )|(\[timeout)|(PRM\|1\|D)|(kpr)|(kdp)|(train st.+moving)|(\|lc)|(penalty))"</v>
      </c>
      <c r="U17" s="9" t="str">
        <f>MID(B17,13,4)</f>
        <v>4005</v>
      </c>
      <c r="V17" s="31">
        <f>A17-utc_offset/24</f>
        <v>42869.535949074074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arrival","project_id":79,"tracker_id":40,"status_id":1,"priority_id":2,"assigned_to_id":23,"start_date":"2017-05-14","description":"","custom_fields":[{"id":1,"name":"Subdivision","value":"EC"},{"id":4,"name":"Milepost","value":"6.3309"},{"id":17,"name":"Train ID","value":"116-14"},{"id":16,"name":"Locomotive ID","value":"4005"},{"id":130,"name":"Impact","value":""},{"id":150,"name":"Time of Event (Mountain Time)","value":"06:51:46"},{"id":151,"name":"Denver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-hrE -A400 ""Enforcement Action"" "&amp;"/cygdrive/c/Users/stu/AppData/Local/Temp/OnboardLogs"&amp;"/RTDC"&amp;U17&amp;"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/cygdrive/c/Users/stu/AppData/Local/Temp/OnboardLogs/RTDC4005 --include="*4005*201705141*"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"%USERPROFILE%\AppData\Local\Temp\OnboardLogs"\RTDC4005\*4005*201705141* &gt;&gt; 2017-05-14-SliceDisagreementCheck.txt</v>
      </c>
      <c r="AE17" s="148" t="str">
        <f t="shared" si="1"/>
        <v>start /low /b %USERPROFILE%\Documents\GitHub\eaglep3\Utilities\DownloadLogsFromS3.py --loco 4005 --day 2017-05-14</v>
      </c>
      <c r="AF17" s="1"/>
    </row>
    <row r="18" spans="1:32" x14ac:dyDescent="0.25">
      <c r="A18" s="31">
        <v>42869.470590277779</v>
      </c>
      <c r="B18" s="30" t="s">
        <v>587</v>
      </c>
      <c r="C18" s="30" t="s">
        <v>599</v>
      </c>
      <c r="D18" s="30" t="s">
        <v>49</v>
      </c>
      <c r="E18" s="30" t="s">
        <v>191</v>
      </c>
      <c r="F18" s="42">
        <v>440</v>
      </c>
      <c r="G18" s="42">
        <v>493</v>
      </c>
      <c r="H18" s="42">
        <v>79678</v>
      </c>
      <c r="I18" s="42">
        <v>78339</v>
      </c>
      <c r="J18" s="30" t="s">
        <v>192</v>
      </c>
      <c r="K18" s="42">
        <v>78469</v>
      </c>
      <c r="L18" s="134" t="s">
        <v>51</v>
      </c>
      <c r="M18" s="135">
        <f>CONVERT((I18-K18)/10000,"mi","ft")*IF(L18="Increasing Mileposts (1)",-1,1)</f>
        <v>-68.64</v>
      </c>
      <c r="N18" s="136" t="str">
        <f>VLOOKUP(C18,'Trips&amp;Operators'!$C$1:$G$99999,5,FALSE)</f>
        <v>LOPES KIMBERLY</v>
      </c>
      <c r="O18" s="207" t="s">
        <v>184</v>
      </c>
      <c r="P18" s="137" t="s">
        <v>580</v>
      </c>
      <c r="Q18" s="30"/>
      <c r="R18" s="84" t="str">
        <f>IF(VLOOKUP(C18,'Train Runs'!$A$13:$AE$9930,1,1)=C18,VLOOKUP(C18,'Train Runs'!$A$13:$AE$9930,31,1),NA())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S18" s="87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-05-14T09:47:07-0600',mode:absolute,to:'2017-05-14T12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/stypes="*4031*201705141*" /stext=" 17:.+((SYSTEM_STATE.+slice.+state.+changed )|(ment ac)|(multiple cpu faults)|(system.+state.+changed )|(\[timeout)|(PRM\|1\|D)|(kpr)|(kdp)|(train st.+moving)|(\|lc)|(penalty))"</v>
      </c>
      <c r="U18" s="9" t="str">
        <f>MID(B18,13,4)</f>
        <v>4031</v>
      </c>
      <c r="V18" s="31">
        <f>A18-utc_offset/24</f>
        <v>42869.720590277779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arrival","project_id":79,"tracker_id":40,"status_id":1,"priority_id":2,"assigned_to_id":23,"start_date":"2017-05-14","description":"","custom_fields":[{"id":1,"name":"Subdivision","value":"EC"},{"id":4,"name":"Milepost","value":"7.8469"},{"id":17,"name":"Train ID","value":"152-14"},{"id":16,"name":"Locomotive ID","value":"4031"},{"id":130,"name":"Impact","value":""},{"id":150,"name":"Time of Event (Mountain Time)","value":"11:17:39"},{"id":151,"name":"Denver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-hrE -A400 ""Enforcement Action"" "&amp;"/cygdrive/c/Users/stu/AppData/Local/Temp/OnboardLogs"&amp;"/RTDC"&amp;U18&amp;"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/cygdrive/c/Users/stu/AppData/Local/Temp/OnboardLogs/RTDC4031 --include="*4031*201705141*"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"%USERPROFILE%\AppData\Local\Temp\OnboardLogs"\RTDC4031\*4031*201705141* &gt;&gt; 2017-05-14-SliceDisagreementCheck.txt</v>
      </c>
      <c r="AE18" s="148" t="str">
        <f t="shared" si="1"/>
        <v>start /low /b %USERPROFILE%\Documents\GitHub\eaglep3\Utilities\DownloadLogsFromS3.py --loco 4031 --day 2017-05-14</v>
      </c>
      <c r="AF18" s="1"/>
    </row>
    <row r="19" spans="1:32" x14ac:dyDescent="0.25">
      <c r="A19" s="31">
        <v>42869.613506944443</v>
      </c>
      <c r="B19" s="30" t="s">
        <v>587</v>
      </c>
      <c r="C19" s="30" t="s">
        <v>608</v>
      </c>
      <c r="D19" s="30" t="s">
        <v>49</v>
      </c>
      <c r="E19" s="30" t="s">
        <v>191</v>
      </c>
      <c r="F19" s="42">
        <v>370</v>
      </c>
      <c r="G19" s="42">
        <v>428</v>
      </c>
      <c r="H19" s="42">
        <v>110150</v>
      </c>
      <c r="I19" s="42">
        <v>108856</v>
      </c>
      <c r="J19" s="30" t="s">
        <v>192</v>
      </c>
      <c r="K19" s="42">
        <v>109135</v>
      </c>
      <c r="L19" s="134" t="s">
        <v>51</v>
      </c>
      <c r="M19" s="135">
        <f>CONVERT((I19-K19)/10000,"mi","ft")*IF(L19="Increasing Mileposts (1)",-1,1)</f>
        <v>-147.31200000000001</v>
      </c>
      <c r="N19" s="136" t="str">
        <f>VLOOKUP(C19,'Trips&amp;Operators'!$C$1:$G$99999,5,FALSE)</f>
        <v>SAFIEF AEIMEN</v>
      </c>
      <c r="O19" s="207" t="s">
        <v>184</v>
      </c>
      <c r="P19" s="137" t="s">
        <v>580</v>
      </c>
      <c r="Q19" s="30"/>
      <c r="R19" s="84" t="str">
        <f>IF(VLOOKUP(C19,'Train Runs'!$A$13:$AE$9930,1,1)=C19,VLOOKUP(C19,'Train Runs'!$A$13:$AE$9930,31,1),NA())</f>
        <v>aws s3 cp s3://rtdc.mdm.uploadarchive.raw/RTDC4031/ "%USERPROFILE%\AppData\Local\Temp\OnboardLogs"\RTDC4031\2017-05-14 --exclude "*" --recursive --include "*20170514*" &amp; "%USERPROFILE%\Documents\GitHub\mrs-test-scripts\Headless Mode &amp; Sideloading\WalkAndUnGZ.bat" "%USERPROFILE%\AppData\Local\Temp\OnboardLogs"\RTDC4031\2017-05-14 &amp; 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</v>
      </c>
      <c r="S19" s="87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-05-14T13:11:10-0600',mode:absolute,to:'2017-05-14T16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/stypes="*4031*201705142*" /stext=" 20:.+((SYSTEM_STATE.+slice.+state.+changed )|(ment ac)|(multiple cpu faults)|(system.+state.+changed )|(\[timeout)|(PRM\|1\|D)|(kpr)|(kdp)|(train st.+moving)|(\|lc)|(penalty))"</v>
      </c>
      <c r="U19" s="9" t="str">
        <f>MID(B19,13,4)</f>
        <v>4031</v>
      </c>
      <c r="V19" s="31">
        <f>A19-utc_offset/24</f>
        <v>42869.863506944443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arrival","project_id":79,"tracker_id":40,"status_id":1,"priority_id":2,"assigned_to_id":23,"start_date":"2017-05-14","description":"","custom_fields":[{"id":1,"name":"Subdivision","value":"EC"},{"id":4,"name":"Milepost","value":"10.9135"},{"id":17,"name":"Train ID","value":"180-14"},{"id":16,"name":"Locomotive ID","value":"4031"},{"id":130,"name":"Impact","value":""},{"id":150,"name":"Time of Event (Mountain Time)","value":"14:43:27"},{"id":151,"name":"Denver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-hrE -A400 ""Enforcement Action"" "&amp;"/cygdrive/c/Users/stu/AppData/Local/Temp/OnboardLogs"&amp;"/RTDC"&amp;U19&amp;"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/cygdrive/c/Users/stu/AppData/Local/Temp/OnboardLogs/RTDC4031 --include="*4031*201705142*"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"%USERPROFILE%\AppData\Local\Temp\OnboardLogs"\RTDC4031\*4031*201705142* &gt;&gt; 2017-05-14-SliceDisagreementCheck.txt</v>
      </c>
      <c r="AE19" s="148" t="str">
        <f t="shared" si="1"/>
        <v>start /low /b %USERPROFILE%\Documents\GitHub\eaglep3\Utilities\DownloadLogsFromS3.py --loco 4031 --day 2017-05-14</v>
      </c>
      <c r="AF19" s="1"/>
    </row>
    <row r="20" spans="1:32" x14ac:dyDescent="0.25">
      <c r="A20" s="31">
        <v>42869.304768518516</v>
      </c>
      <c r="B20" s="30" t="s">
        <v>437</v>
      </c>
      <c r="C20" s="30" t="s">
        <v>592</v>
      </c>
      <c r="D20" s="30" t="s">
        <v>49</v>
      </c>
      <c r="E20" s="30" t="s">
        <v>204</v>
      </c>
      <c r="F20" s="42">
        <v>400</v>
      </c>
      <c r="G20" s="42">
        <v>563</v>
      </c>
      <c r="H20" s="42">
        <v>15825</v>
      </c>
      <c r="I20" s="42">
        <v>17917</v>
      </c>
      <c r="J20" s="30" t="s">
        <v>205</v>
      </c>
      <c r="K20" s="42">
        <v>17867</v>
      </c>
      <c r="L20" s="134" t="s">
        <v>50</v>
      </c>
      <c r="M20" s="135">
        <f>CONVERT((I20-K20)/10000,"mi","ft")*IF(L20="Increasing Mileposts (1)",-1,1)</f>
        <v>-26.4</v>
      </c>
      <c r="N20" s="136" t="str">
        <f>VLOOKUP(C20,'Trips&amp;Operators'!$C$1:$G$99999,5,FALSE)</f>
        <v>MACDONALD THOMAS</v>
      </c>
      <c r="O20" s="207" t="s">
        <v>184</v>
      </c>
      <c r="P20" s="137"/>
      <c r="Q20" s="30"/>
      <c r="R20" s="84" t="str">
        <f>IF(VLOOKUP(C20,'Train Runs'!$A$13:$AE$9930,1,1)=C20,VLOOKUP(C20,'Train Runs'!$A$13:$AE$9930,31,1),NA())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S20" s="87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-05-14T06:11:11-0600',mode:absolute,to:'2017-05-14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/stypes="*4006*201705141*" /stext=" 13:.+((SYSTEM_STATE.+slice.+state.+changed )|(ment ac)|(multiple cpu faults)|(system.+state.+changed )|(\[timeout)|(PRM\|1\|D)|(kpr)|(kdp)|(train st.+moving)|(\|lc)|(penalty))"</v>
      </c>
      <c r="U20" s="9" t="str">
        <f>MID(B20,13,4)</f>
        <v>4006</v>
      </c>
      <c r="V20" s="31">
        <f>A20-utc_offset/24</f>
        <v>42869.554768518516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{"issue":{"subject":"","project_id":79,"tracker_id":40,"status_id":1,"priority_id":2,"assigned_to_id":23,"start_date":"2017-05-14","description":"","custom_fields":[{"id":1,"name":"Subdivision","value":"EC"},{"id":4,"name":"Milepost","value":"1.7867"},{"id":17,"name":"Train ID","value":"129-14"},{"id":16,"name":"Locomotive ID","value":"4006"},{"id":130,"name":"Impact","value":""},{"id":150,"name":"Time of Event (Mountain Time)","value":"07:18:52"},{"id":151,"name":"Denver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-hrE -A400 ""Enforcement Action"" "&amp;"/cygdrive/c/Users/stu/AppData/Local/Temp/OnboardLogs"&amp;"/RTDC"&amp;U20&amp;"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/cygdrive/c/Users/stu/AppData/Local/Temp/OnboardLogs/RTDC4006 --include="*4006*201705141*"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"%USERPROFILE%\AppData\Local\Temp\OnboardLogs"\RTDC4006\*4006*201705141* &gt;&gt; 2017-05-14-SliceDisagreementCheck.txt</v>
      </c>
      <c r="AE20" s="148" t="str">
        <f t="shared" si="1"/>
        <v>start /low /b %USERPROFILE%\Documents\GitHub\eaglep3\Utilities\DownloadLogsFromS3.py --loco 4006 --day 2017-05-14</v>
      </c>
      <c r="AF20" s="1"/>
    </row>
    <row r="21" spans="1:32" x14ac:dyDescent="0.25">
      <c r="A21" s="31">
        <v>42869.919340277775</v>
      </c>
      <c r="B21" s="30" t="s">
        <v>610</v>
      </c>
      <c r="C21" s="30" t="s">
        <v>618</v>
      </c>
      <c r="D21" s="30" t="s">
        <v>49</v>
      </c>
      <c r="E21" s="30" t="s">
        <v>204</v>
      </c>
      <c r="F21" s="42">
        <v>400</v>
      </c>
      <c r="G21" s="42">
        <v>577</v>
      </c>
      <c r="H21" s="42">
        <v>14046</v>
      </c>
      <c r="I21" s="42">
        <v>17578</v>
      </c>
      <c r="J21" s="30" t="s">
        <v>205</v>
      </c>
      <c r="K21" s="42">
        <v>17867</v>
      </c>
      <c r="L21" s="134" t="s">
        <v>50</v>
      </c>
      <c r="M21" s="135">
        <f>CONVERT((I21-K21)/10000,"mi","ft")*IF(L21="Increasing Mileposts (1)",-1,1)</f>
        <v>152.59200000000001</v>
      </c>
      <c r="N21" s="136" t="str">
        <f>VLOOKUP(C21,'Trips&amp;Operators'!$C$1:$G$99999,5,FALSE)</f>
        <v>SMITH MICHAEL</v>
      </c>
      <c r="O21" s="207" t="s">
        <v>184</v>
      </c>
      <c r="P21" s="137"/>
      <c r="Q21" s="30"/>
      <c r="R21" s="84" t="e">
        <f>IF(VLOOKUP(C21,'Train Runs'!$A$13:$AE$9930,1,1)=C21,VLOOKUP(C21,'Train Runs'!$A$13:$AE$9930,31,1),NA())</f>
        <v>#N/A</v>
      </c>
      <c r="S21" s="87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-05-14T20:45:03-0600',mode:absolute,to:'2017-05-14T23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/stypes="*4046*201705150*" /stext=" 04:.+((SYSTEM_STATE.+slice.+state.+changed )|(ment ac)|(multiple cpu faults)|(system.+state.+changed )|(\[timeout)|(PRM\|1\|D)|(kpr)|(kdp)|(train st.+moving)|(\|lc)|(penalty))"</v>
      </c>
      <c r="U21" s="9" t="str">
        <f>MID(B21,13,4)</f>
        <v>4046</v>
      </c>
      <c r="V21" s="31">
        <f>A21-utc_offset/24</f>
        <v>42870.169340277775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{"issue":{"subject":"","project_id":79,"tracker_id":40,"status_id":1,"priority_id":2,"assigned_to_id":23,"start_date":"2017-05-14","description":"","custom_fields":[{"id":1,"name":"Subdivision","value":"EC"},{"id":4,"name":"Milepost","value":"1.7867"},{"id":17,"name":"Train ID","value":"233-14"},{"id":16,"name":"Locomotive ID","value":"4046"},{"id":130,"name":"Impact","value":""},{"id":150,"name":"Time of Event (Mountain Time)","value":"22:03:51"},{"id":151,"name":"Denver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-hrE -A400 ""Enforcement Action"" "&amp;"/cygdrive/c/Users/stu/AppData/Local/Temp/OnboardLogs"&amp;"/RTDC"&amp;U21&amp;"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/cygdrive/c/Users/stu/AppData/Local/Temp/OnboardLogs/RTDC4046 --include="*4046*201705150*"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"%USERPROFILE%\AppData\Local\Temp\OnboardLogs"\RTDC4046\*4046*201705150* &gt;&gt; 2017-05-14-SliceDisagreementCheck.txt</v>
      </c>
      <c r="AE21" s="148" t="str">
        <f t="shared" si="1"/>
        <v>start /low /b %USERPROFILE%\Documents\GitHub\eaglep3\Utilities\DownloadLogsFromS3.py --loco 4046 --day 2017-05-15</v>
      </c>
      <c r="AF21" s="1"/>
    </row>
    <row r="22" spans="1:32" x14ac:dyDescent="0.25">
      <c r="A22" s="31">
        <v>42869.671979166669</v>
      </c>
      <c r="B22" s="30" t="s">
        <v>437</v>
      </c>
      <c r="C22" s="30" t="s">
        <v>613</v>
      </c>
      <c r="D22" s="30" t="s">
        <v>98</v>
      </c>
      <c r="E22" s="30" t="s">
        <v>204</v>
      </c>
      <c r="F22" s="42">
        <v>300</v>
      </c>
      <c r="G22" s="42">
        <v>353</v>
      </c>
      <c r="H22" s="42">
        <v>20338</v>
      </c>
      <c r="I22" s="42">
        <v>21301</v>
      </c>
      <c r="J22" s="30" t="s">
        <v>205</v>
      </c>
      <c r="K22" s="42">
        <v>20338</v>
      </c>
      <c r="L22" s="134" t="s">
        <v>50</v>
      </c>
      <c r="M22" s="135">
        <f>CONVERT((I22-K22)/10000,"mi","ft")*IF(L22="Increasing Mileposts (1)",-1,1)</f>
        <v>-508.464</v>
      </c>
      <c r="N22" s="136" t="str">
        <f>VLOOKUP(C22,'Trips&amp;Operators'!$C$1:$G$99999,5,FALSE)</f>
        <v>BRANDNER MELINDA</v>
      </c>
      <c r="O22" s="207" t="s">
        <v>184</v>
      </c>
      <c r="P22" s="137"/>
      <c r="Q22" s="30"/>
      <c r="R22" s="84" t="e">
        <f>IF(VLOOKUP(C22,'Train Runs'!$A$13:$AE$9930,1,1)=C22,VLOOKUP(C22,'Train Runs'!$A$13:$AE$9930,31,1),NA())</f>
        <v>#N/A</v>
      </c>
      <c r="S22" s="87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-05-14T14:55:35-0600',mode:absolute,to:'2017-05-14T17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/stypes="*4006*201705142*" /stext=" 22:.+((SYSTEM_STATE.+slice.+state.+changed )|(ment ac)|(multiple cpu faults)|(system.+state.+changed )|(\[timeout)|(PRM\|1\|D)|(kpr)|(kdp)|(train st.+moving)|(\|lc)|(penalty))"</v>
      </c>
      <c r="U22" s="9" t="str">
        <f>MID(B22,13,4)</f>
        <v>4006</v>
      </c>
      <c r="V22" s="31">
        <f>A22-utc_offset/24</f>
        <v>42869.921979166669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{"issue":{"subject":"","project_id":79,"tracker_id":40,"status_id":1,"priority_id":2,"assigned_to_id":23,"start_date":"2017-05-14","description":"","custom_fields":[{"id":1,"name":"Subdivision","value":"EC"},{"id":4,"name":"Milepost","value":"2.0338"},{"id":17,"name":"Train ID","value":"199-14"},{"id":16,"name":"Locomotive ID","value":"4006"},{"id":130,"name":"Impact","value":""},{"id":150,"name":"Time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-hrE -A400 ""Enforcement Action"" "&amp;"/cygdrive/c/Users/stu/AppData/Local/Temp/OnboardLogs"&amp;"/RTDC"&amp;U22&amp;"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/cygdrive/c/Users/stu/AppData/Local/Temp/OnboardLogs/RTDC4006 --include="*4006*201705142*"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"%USERPROFILE%\AppData\Local\Temp\OnboardLogs"\RTDC4006\*4006*201705142* &gt;&gt; 2017-05-14-SliceDisagreementCheck.txt</v>
      </c>
      <c r="AE22" s="148" t="str">
        <f t="shared" si="1"/>
        <v>start /low /b %USERPROFILE%\Documents\GitHub\eaglep3\Utilities\DownloadLogsFromS3.py --loco 4006 --day 2017-05-14</v>
      </c>
      <c r="AF22" s="1"/>
    </row>
    <row r="23" spans="1:32" x14ac:dyDescent="0.25">
      <c r="A23" s="31">
        <v>42869.656180555554</v>
      </c>
      <c r="B23" s="30" t="s">
        <v>436</v>
      </c>
      <c r="C23" s="30" t="s">
        <v>612</v>
      </c>
      <c r="D23" s="30" t="s">
        <v>49</v>
      </c>
      <c r="E23" s="30" t="s">
        <v>204</v>
      </c>
      <c r="F23" s="42">
        <v>300</v>
      </c>
      <c r="G23" s="42">
        <v>404</v>
      </c>
      <c r="H23" s="42">
        <v>23206</v>
      </c>
      <c r="I23" s="42">
        <v>21959</v>
      </c>
      <c r="J23" s="30" t="s">
        <v>205</v>
      </c>
      <c r="K23" s="42">
        <v>21848</v>
      </c>
      <c r="L23" s="134" t="s">
        <v>51</v>
      </c>
      <c r="M23" s="135">
        <f>CONVERT((I23-K23)/10000,"mi","ft")*IF(L23="Increasing Mileposts (1)",-1,1)</f>
        <v>58.607999999999997</v>
      </c>
      <c r="N23" s="136" t="str">
        <f>VLOOKUP(C23,'Trips&amp;Operators'!$C$1:$G$99999,5,FALSE)</f>
        <v>BRANDNER MELINDA</v>
      </c>
      <c r="O23" s="207" t="s">
        <v>184</v>
      </c>
      <c r="P23" s="137"/>
      <c r="Q23" s="30"/>
      <c r="R23" s="84" t="e">
        <f>IF(VLOOKUP(C23,'Train Runs'!$A$13:$AE$9930,1,1)=C23,VLOOKUP(C23,'Train Runs'!$A$13:$AE$9930,31,1),NA())</f>
        <v>#N/A</v>
      </c>
      <c r="S23" s="87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-05-14T14:07:18-0600',mode:absolute,to:'2017-05-14T16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/stypes="*4005*201705142*" /stext=" 21:.+((SYSTEM_STATE.+slice.+state.+changed )|(ment ac)|(multiple cpu faults)|(system.+state.+changed )|(\[timeout)|(PRM\|1\|D)|(kpr)|(kdp)|(train st.+moving)|(\|lc)|(penalty))"</v>
      </c>
      <c r="U23" s="9" t="str">
        <f>MID(B23,13,4)</f>
        <v>4005</v>
      </c>
      <c r="V23" s="31">
        <f>A23-utc_offset/24</f>
        <v>42869.906180555554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{"issue":{"subject":"","project_id":79,"tracker_id":40,"status_id":1,"priority_id":2,"assigned_to_id":23,"start_date":"2017-05-14","description":"","custom_fields":[{"id":1,"name":"Subdivision","value":"EC"},{"id":4,"name":"Milepost","value":"2.1848"},{"id":17,"name":"Train ID","value":"186-14"},{"id":16,"name":"Locomotive ID","value":"4005"},{"id":130,"name":"Impact","value":""},{"id":150,"name":"Time of Event (Mountain Time)","value":"15:44:54"},{"id":151,"name":"Denver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-hrE -A400 ""Enforcement Action"" "&amp;"/cygdrive/c/Users/stu/AppData/Local/Temp/OnboardLogs"&amp;"/RTDC"&amp;U23&amp;"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/cygdrive/c/Users/stu/AppData/Local/Temp/OnboardLogs/RTDC4005 --include="*4005*201705142*"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"%USERPROFILE%\AppData\Local\Temp\OnboardLogs"\RTDC4005\*4005*201705142* &gt;&gt; 2017-05-14-SliceDisagreementCheck.txt</v>
      </c>
      <c r="AE23" s="148" t="str">
        <f t="shared" si="1"/>
        <v>start /low /b %USERPROFILE%\Documents\GitHub\eaglep3\Utilities\DownloadLogsFromS3.py --loco 4005 --day 2017-05-14</v>
      </c>
      <c r="AF23" s="1"/>
    </row>
    <row r="24" spans="1:32" x14ac:dyDescent="0.25">
      <c r="A24" s="31">
        <v>42869.251689814817</v>
      </c>
      <c r="B24" s="30" t="s">
        <v>437</v>
      </c>
      <c r="C24" s="30" t="s">
        <v>585</v>
      </c>
      <c r="D24" s="30" t="s">
        <v>49</v>
      </c>
      <c r="E24" s="30" t="s">
        <v>204</v>
      </c>
      <c r="F24" s="42">
        <v>350</v>
      </c>
      <c r="G24" s="42">
        <v>550</v>
      </c>
      <c r="H24" s="42">
        <v>222487</v>
      </c>
      <c r="I24" s="42">
        <v>224072</v>
      </c>
      <c r="J24" s="30" t="s">
        <v>205</v>
      </c>
      <c r="K24" s="42">
        <v>224578</v>
      </c>
      <c r="L24" s="134" t="s">
        <v>50</v>
      </c>
      <c r="M24" s="135">
        <f>CONVERT((I24-K24)/10000,"mi","ft")*IF(L24="Increasing Mileposts (1)",-1,1)</f>
        <v>267.16800000000001</v>
      </c>
      <c r="N24" s="136" t="str">
        <f>VLOOKUP(C24,'Trips&amp;Operators'!$C$1:$G$99999,5,FALSE)</f>
        <v>MACDONALD THOMAS</v>
      </c>
      <c r="O24" s="207" t="s">
        <v>184</v>
      </c>
      <c r="P24" s="137"/>
      <c r="Q24" s="30"/>
      <c r="R24" s="84" t="str">
        <f>IF(VLOOKUP(C24,'Train Runs'!$A$13:$AE$9930,1,1)=C24,VLOOKUP(C24,'Train Runs'!$A$13:$AE$9930,31,1),NA())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S24" s="87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-05-14T04:24:49-0600',mode:absolute,to:'2017-05-14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/stypes="*4006*201705141*" /stext=" 12:.+((SYSTEM_STATE.+slice.+state.+changed )|(ment ac)|(multiple cpu faults)|(system.+state.+changed )|(\[timeout)|(PRM\|1\|D)|(kpr)|(kdp)|(train st.+moving)|(\|lc)|(penalty))"</v>
      </c>
      <c r="U24" s="9" t="str">
        <f>MID(B24,13,4)</f>
        <v>4006</v>
      </c>
      <c r="V24" s="31">
        <f>A24-utc_offset/24</f>
        <v>42869.501689814817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{"issue":{"subject":"","project_id":79,"tracker_id":40,"status_id":1,"priority_id":2,"assigned_to_id":23,"start_date":"2017-05-14","description":"","custom_fields":[{"id":1,"name":"Subdivision","value":"EC"},{"id":4,"name":"Milepost","value":"22.4578"},{"id":17,"name":"Train ID","value":"115-14"},{"id":16,"name":"Locomotive ID","value":"4006"},{"id":130,"name":"Impact","value":""},{"id":150,"name":"Time of Event (Mountain Time)","value":"06:02:26"},{"id":151,"name":"Denver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-hrE -A400 ""Enforcement Action"" "&amp;"/cygdrive/c/Users/stu/AppData/Local/Temp/OnboardLogs"&amp;"/RTDC"&amp;U24&amp;"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/cygdrive/c/Users/stu/AppData/Local/Temp/OnboardLogs/RTDC4006 --include="*4006*201705141*"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"%USERPROFILE%\AppData\Local\Temp\OnboardLogs"\RTDC4006\*4006*201705141* &gt;&gt; 2017-05-14-SliceDisagreementCheck.txt</v>
      </c>
      <c r="AE24" s="148" t="str">
        <f t="shared" si="1"/>
        <v>start /low /b %USERPROFILE%\Documents\GitHub\eaglep3\Utilities\DownloadLogsFromS3.py --loco 4006 --day 2017-05-14</v>
      </c>
      <c r="AF24" s="1"/>
    </row>
    <row r="25" spans="1:32" x14ac:dyDescent="0.25">
      <c r="A25" s="31">
        <v>42869.790138888886</v>
      </c>
      <c r="B25" s="30" t="s">
        <v>368</v>
      </c>
      <c r="C25" s="30" t="s">
        <v>617</v>
      </c>
      <c r="D25" s="30" t="s">
        <v>98</v>
      </c>
      <c r="E25" s="30" t="s">
        <v>204</v>
      </c>
      <c r="F25" s="42">
        <v>350</v>
      </c>
      <c r="G25" s="42">
        <v>400</v>
      </c>
      <c r="H25" s="42">
        <v>228004</v>
      </c>
      <c r="I25" s="42">
        <v>227264</v>
      </c>
      <c r="J25" s="30" t="s">
        <v>205</v>
      </c>
      <c r="K25" s="42">
        <v>232107</v>
      </c>
      <c r="L25" s="134" t="s">
        <v>51</v>
      </c>
      <c r="M25" s="135">
        <f>CONVERT((I25-K25)/10000,"mi","ft")*IF(L25="Increasing Mileposts (1)",-1,1)</f>
        <v>-2557.1039999999998</v>
      </c>
      <c r="N25" s="136" t="str">
        <f>VLOOKUP(C25,'Trips&amp;Operators'!$C$1:$G$99999,5,FALSE)</f>
        <v>BRANDNER MELINDA</v>
      </c>
      <c r="O25" s="207" t="s">
        <v>184</v>
      </c>
      <c r="P25" s="137"/>
      <c r="Q25" s="30"/>
      <c r="R25" s="84" t="e">
        <f>IF(VLOOKUP(C25,'Train Runs'!$A$13:$AE$9930,1,1)=C25,VLOOKUP(C25,'Train Runs'!$A$13:$AE$9930,31,1),NA())</f>
        <v>#N/A</v>
      </c>
      <c r="S25" s="87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-05-14T17:51:50-0600',mode:absolute,to:'2017-05-14T20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/stypes="*4017*201705150*" /stext=" 00:.+((SYSTEM_STATE.+slice.+state.+changed )|(ment ac)|(multiple cpu faults)|(system.+state.+changed )|(\[timeout)|(PRM\|1\|D)|(kpr)|(kdp)|(train st.+moving)|(\|lc)|(penalty))"</v>
      </c>
      <c r="U25" s="9" t="str">
        <f>MID(B25,13,4)</f>
        <v>4017</v>
      </c>
      <c r="V25" s="31">
        <f>A25-utc_offset/24</f>
        <v>42870.040138888886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{"issue":{"subject":"","project_id":79,"tracker_id":40,"status_id":1,"priority_id":2,"assigned_to_id":23,"start_date":"2017-05-14","description":"","custom_fields":[{"id":1,"name":"Subdivision","value":"EC"},{"id":4,"name":"Milepost","value":"23.2107"},{"id":17,"name":"Train ID","value":"216-14"},{"id":16,"name":"Locomotive ID","value":"4017"},{"id":130,"name":"Impact","value":""},{"id":150,"name":"Time of Event (Mountain Time)","value":"18:57:48"},{"id":151,"name":"Denver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-hrE -A400 ""Enforcement Action"" "&amp;"/cygdrive/c/Users/stu/AppData/Local/Temp/OnboardLogs"&amp;"/RTDC"&amp;U25&amp;"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/cygdrive/c/Users/stu/AppData/Local/Temp/OnboardLogs/RTDC4017 --include="*4017*201705150*"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"%USERPROFILE%\AppData\Local\Temp\OnboardLogs"\RTDC4017\*4017*201705150* &gt;&gt; 2017-05-14-SliceDisagreementCheck.txt</v>
      </c>
      <c r="AE25" s="148" t="str">
        <f t="shared" si="1"/>
        <v>start /low /b %USERPROFILE%\Documents\GitHub\eaglep3\Utilities\DownloadLogsFromS3.py --loco 4017 --day 2017-05-15</v>
      </c>
      <c r="AF25" s="1"/>
    </row>
    <row r="26" spans="1:32" x14ac:dyDescent="0.25">
      <c r="A26" s="31">
        <v>42869.258819444447</v>
      </c>
      <c r="B26" s="30" t="s">
        <v>393</v>
      </c>
      <c r="C26" s="30" t="s">
        <v>586</v>
      </c>
      <c r="D26" s="30" t="s">
        <v>49</v>
      </c>
      <c r="E26" s="30" t="s">
        <v>378</v>
      </c>
      <c r="F26" s="42">
        <v>0</v>
      </c>
      <c r="G26" s="42">
        <v>391</v>
      </c>
      <c r="H26" s="42">
        <v>112770</v>
      </c>
      <c r="I26" s="42">
        <v>111759</v>
      </c>
      <c r="J26" s="30" t="s">
        <v>379</v>
      </c>
      <c r="K26" s="42">
        <v>110714</v>
      </c>
      <c r="L26" s="134" t="s">
        <v>51</v>
      </c>
      <c r="M26" s="135">
        <f>CONVERT((I26-K26)/10000,"mi","ft")*IF(L26="Increasing Mileposts (1)",-1,1)</f>
        <v>551.76</v>
      </c>
      <c r="N26" s="136" t="str">
        <f>VLOOKUP(C26,'Trips&amp;Operators'!$C$1:$G$99999,5,FALSE)</f>
        <v>GEBRETEKLE DAGNEW</v>
      </c>
      <c r="O26" s="207" t="s">
        <v>381</v>
      </c>
      <c r="P26" s="137" t="s">
        <v>579</v>
      </c>
      <c r="Q26" s="30"/>
      <c r="R26" s="84" t="str">
        <f>IF(VLOOKUP(C26,'Train Runs'!$A$13:$AE$9930,1,1)=C26,VLOOKUP(C26,'Train Runs'!$A$13:$AE$9930,31,1),NA())</f>
        <v>aws s3 cp s3://rtdc.mdm.uploadarchive.raw/RTDC4011/ "%USERPROFILE%\AppData\Local\Temp\OnboardLogs"\RTDC4011\2017-05-14 --exclude "*" --recursive --include "*20170514*" &amp; "%USERPROFILE%\Documents\GitHub\mrs-test-scripts\Headless Mode &amp; Sideloading\WalkAndUnGZ.bat" "%USERPROFILE%\AppData\Local\Temp\OnboardLogs"\RTDC4011\2017-05-14 &amp; aws s3 cp s3://rtdc.mdm.uploadarchive.raw/RTDC4011/ "%USERPROFILE%\AppData\Local\Temp\OnboardLogs"\RTDC4011\2017-05-15 --exclude "*" --recursive --include "*20170515*" &amp; "%USERPROFILE%\Documents\GitHub\mrs-test-scripts\Headless Mode &amp; Sideloading\WalkAndUnGZ.bat" "%USERPROFILE%\AppData\Local\Temp\OnboardLogs"\RTDC4011\2017-05-15</v>
      </c>
      <c r="S26" s="87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-05-14T04:50:28-0600',mode:absolute,to:'2017-05-14T07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/stypes="*4011*201705141*" /stext=" 12:.+((SYSTEM_STATE.+slice.+state.+changed )|(ment ac)|(multiple cpu faults)|(system.+state.+changed )|(\[timeout)|(PRM\|1\|D)|(kpr)|(kdp)|(train st.+moving)|(\|lc)|(penalty))"</v>
      </c>
      <c r="U26" s="9" t="str">
        <f>MID(B26,13,4)</f>
        <v>4011</v>
      </c>
      <c r="V26" s="31">
        <f>A26-utc_offset/24</f>
        <v>42869.508819444447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drop","project_id":79,"tracker_id":40,"status_id":1,"priority_id":2,"assigned_to_id":23,"start_date":"2017-05-14","description":"","custom_fields":[{"id":1,"name":"Subdivision","value":"EC"},{"id":4,"name":"Milepost","value":"11.0714"},{"id":17,"name":"Train ID","value":"112-14"},{"id":16,"name":"Locomotive ID","value":"4011"},{"id":130,"name":"Impact","value":""},{"id":150,"name":"Time of Event (Mountain Time)","value":"06:12:42"},{"id":151,"name":"Denver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-hrE -A400 ""Enforcement Action"" "&amp;"/cygdrive/c/Users/stu/AppData/Local/Temp/OnboardLogs"&amp;"/RTDC"&amp;U26&amp;"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/cygdrive/c/Users/stu/AppData/Local/Temp/OnboardLogs/RTDC4011 --include="*4011*201705141*"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"%USERPROFILE%\AppData\Local\Temp\OnboardLogs"\RTDC4011\*4011*201705141* &gt;&gt; 2017-05-14-SliceDisagreementCheck.txt</v>
      </c>
      <c r="AE26" s="148" t="str">
        <f t="shared" si="1"/>
        <v>start /low /b %USERPROFILE%\Documents\GitHub\eaglep3\Utilities\DownloadLogsFromS3.py --loco 4011 --day 2017-05-14</v>
      </c>
      <c r="AF26" s="1"/>
    </row>
    <row r="27" spans="1:32" x14ac:dyDescent="0.25">
      <c r="A27" s="31">
        <v>42869.561620370368</v>
      </c>
      <c r="B27" s="30" t="s">
        <v>453</v>
      </c>
      <c r="C27" s="30" t="s">
        <v>605</v>
      </c>
      <c r="D27" s="30" t="s">
        <v>49</v>
      </c>
      <c r="E27" s="30" t="s">
        <v>485</v>
      </c>
      <c r="F27" s="42">
        <v>0</v>
      </c>
      <c r="G27" s="42">
        <v>425</v>
      </c>
      <c r="H27" s="42">
        <v>112176</v>
      </c>
      <c r="I27" s="42">
        <v>110705</v>
      </c>
      <c r="J27" s="30" t="s">
        <v>486</v>
      </c>
      <c r="K27" s="42">
        <v>110617</v>
      </c>
      <c r="L27" s="134" t="s">
        <v>51</v>
      </c>
      <c r="M27" s="135">
        <f>CONVERT((I27-K27)/10000,"mi","ft")*IF(L27="Increasing Mileposts (1)",-1,1)</f>
        <v>46.463999999999999</v>
      </c>
      <c r="N27" s="136" t="str">
        <f>VLOOKUP(C27,'Trips&amp;Operators'!$C$1:$G$99999,5,FALSE)</f>
        <v>ROMERO CHAD</v>
      </c>
      <c r="O27" s="207" t="s">
        <v>381</v>
      </c>
      <c r="P27" s="137" t="s">
        <v>579</v>
      </c>
      <c r="Q27" s="30"/>
      <c r="R27" s="84" t="str">
        <f>IF(VLOOKUP(C27,'Train Runs'!$A$13:$AE$9930,1,1)=C27,VLOOKUP(C27,'Train Runs'!$A$13:$AE$9930,31,1),NA())</f>
        <v>aws s3 cp s3://rtdc.mdm.uploadarchive.raw/RTDC4015/ "%USERPROFILE%\AppData\Local\Temp\OnboardLogs"\RTDC4015\2017-05-14 --exclude "*" --recursive --include "*20170514*" &amp; "%USERPROFILE%\Documents\GitHub\mrs-test-scripts\Headless Mode &amp; Sideloading\WalkAndUnGZ.bat" "%USERPROFILE%\AppData\Local\Temp\OnboardLogs"\RTDC4015\2017-05-14 &amp; 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</v>
      </c>
      <c r="S27" s="87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-05-14T12:29:52-0600',mode:absolute,to:'2017-05-14T14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/stypes="*4015*201705141*" /stext=" 19:.+((SYSTEM_STATE.+slice.+state.+changed )|(ment ac)|(multiple cpu faults)|(system.+state.+changed )|(\[timeout)|(PRM\|1\|D)|(kpr)|(kdp)|(train st.+moving)|(\|lc)|(penalty))"</v>
      </c>
      <c r="U27" s="9" t="str">
        <f>MID(B27,13,4)</f>
        <v>4015</v>
      </c>
      <c r="V27" s="31">
        <f>A27-utc_offset/24</f>
        <v>42869.811620370368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drop","project_id":79,"tracker_id":40,"status_id":1,"priority_id":2,"assigned_to_id":23,"start_date":"2017-05-14","description":"","custom_fields":[{"id":1,"name":"Subdivision","value":"EC"},{"id":4,"name":"Milepost","value":"11.0617"},{"id":17,"name":"Train ID","value":"170-14"},{"id":16,"name":"Locomotive ID","value":"4015"},{"id":130,"name":"Impact","value":""},{"id":150,"name":"Time of Event (Mountain Time)","value":"13:28:44"},{"id":151,"name":"Denver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-hrE -A400 ""Enforcement Action"" "&amp;"/cygdrive/c/Users/stu/AppData/Local/Temp/OnboardLogs"&amp;"/RTDC"&amp;U27&amp;"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/cygdrive/c/Users/stu/AppData/Local/Temp/OnboardLogs/RTDC4015 --include="*4015*201705141*"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"%USERPROFILE%\AppData\Local\Temp\OnboardLogs"\RTDC4015\*4015*201705141* &gt;&gt; 2017-05-14-SliceDisagreementCheck.txt</v>
      </c>
      <c r="AE27" s="148" t="str">
        <f t="shared" si="1"/>
        <v>start /low /b %USERPROFILE%\Documents\GitHub\eaglep3\Utilities\DownloadLogsFromS3.py --loco 4015 --day 2017-05-14</v>
      </c>
      <c r="AF27" s="1"/>
    </row>
    <row r="28" spans="1:32" x14ac:dyDescent="0.25">
      <c r="A28" s="31">
        <v>42869.335462962961</v>
      </c>
      <c r="B28" s="30" t="s">
        <v>594</v>
      </c>
      <c r="C28" s="30" t="s">
        <v>595</v>
      </c>
      <c r="D28" s="30" t="s">
        <v>49</v>
      </c>
      <c r="E28" s="30" t="s">
        <v>485</v>
      </c>
      <c r="F28" s="42">
        <v>0</v>
      </c>
      <c r="G28" s="42">
        <v>705</v>
      </c>
      <c r="H28" s="42">
        <v>216655</v>
      </c>
      <c r="I28" s="42">
        <v>0</v>
      </c>
      <c r="J28" s="30" t="s">
        <v>486</v>
      </c>
      <c r="K28" s="42">
        <v>217106</v>
      </c>
      <c r="L28" s="134" t="s">
        <v>50</v>
      </c>
      <c r="M28" s="135">
        <f>CONVERT((I28-K28)/10000,"mi","ft")*IF(L28="Increasing Mileposts (1)",-1,1)</f>
        <v>114631.96799999999</v>
      </c>
      <c r="N28" s="136" t="str">
        <f>VLOOKUP(C28,'Trips&amp;Operators'!$C$1:$G$99999,5,FALSE)</f>
        <v>MAELZER KURT</v>
      </c>
      <c r="O28" s="207" t="s">
        <v>381</v>
      </c>
      <c r="P28" s="137" t="s">
        <v>579</v>
      </c>
      <c r="Q28" s="30"/>
      <c r="R28" s="84" t="str">
        <f>IF(VLOOKUP(C28,'Train Runs'!$A$13:$AE$9930,1,1)=C28,VLOOKUP(C28,'Train Runs'!$A$13:$AE$9930,31,1),NA())</f>
        <v>aws s3 cp s3://rtdc.mdm.uploadarchive.raw/RTDC4010/ "%USERPROFILE%\AppData\Local\Temp\OnboardLogs"\RTDC4010\2017-05-14 --exclude "*" --recursive --include "*20170514*" &amp; "%USERPROFILE%\Documents\GitHub\mrs-test-scripts\Headless Mode &amp; Sideloading\WalkAndUnGZ.bat" "%USERPROFILE%\AppData\Local\Temp\OnboardLogs"\RTDC4010\2017-05-14 &amp; 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</v>
      </c>
      <c r="S28" s="87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-05-14T06:23:26-0600',mode:absolute,to:'2017-05-14T09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/stypes="*4010*201705141*" /stext=" 14:.+((SYSTEM_STATE.+slice.+state.+changed )|(ment ac)|(multiple cpu faults)|(system.+state.+changed )|(\[timeout)|(PRM\|1\|D)|(kpr)|(kdp)|(train st.+moving)|(\|lc)|(penalty))"</v>
      </c>
      <c r="U28" s="9" t="str">
        <f>MID(B28,13,4)</f>
        <v>4010</v>
      </c>
      <c r="V28" s="31">
        <f>A28-utc_offset/24</f>
        <v>42869.585462962961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drop","project_id":79,"tracker_id":40,"status_id":1,"priority_id":2,"assigned_to_id":23,"start_date":"2017-05-14","description":"","custom_fields":[{"id":1,"name":"Subdivision","value":"EC"},{"id":4,"name":"Milepost","value":"21.7106"},{"id":17,"name":"Train ID","value":"131-14"},{"id":16,"name":"Locomotive ID","value":"4010"},{"id":130,"name":"Impact","value":""},{"id":150,"name":"Time of Event (Mountain Time)","value":"08:03:04"},{"id":151,"name":"Denver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-hrE -A400 ""Enforcement Action"" "&amp;"/cygdrive/c/Users/stu/AppData/Local/Temp/OnboardLogs"&amp;"/RTDC"&amp;U28&amp;"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/cygdrive/c/Users/stu/AppData/Local/Temp/OnboardLogs/RTDC4010 --include="*4010*201705141*"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"%USERPROFILE%\AppData\Local\Temp\OnboardLogs"\RTDC4010\*4010*201705141* &gt;&gt; 2017-05-14-SliceDisagreementCheck.txt</v>
      </c>
      <c r="AE28" s="148" t="str">
        <f t="shared" si="1"/>
        <v>start /low /b %USERPROFILE%\Documents\GitHub\eaglep3\Utilities\DownloadLogsFromS3.py --loco 4010 --day 2017-05-14</v>
      </c>
      <c r="AF28" s="1"/>
    </row>
    <row r="29" spans="1:32" x14ac:dyDescent="0.25">
      <c r="A29" s="31">
        <v>42869.440081018518</v>
      </c>
      <c r="B29" s="30" t="s">
        <v>436</v>
      </c>
      <c r="C29" s="30" t="s">
        <v>597</v>
      </c>
      <c r="D29" s="30" t="s">
        <v>49</v>
      </c>
      <c r="E29" s="30" t="s">
        <v>185</v>
      </c>
      <c r="F29" s="42">
        <v>0</v>
      </c>
      <c r="G29" s="42">
        <v>88</v>
      </c>
      <c r="H29" s="42">
        <v>313</v>
      </c>
      <c r="I29" s="42">
        <v>212</v>
      </c>
      <c r="J29" s="30" t="s">
        <v>186</v>
      </c>
      <c r="K29" s="42">
        <v>1</v>
      </c>
      <c r="L29" s="134" t="s">
        <v>51</v>
      </c>
      <c r="M29" s="135">
        <f>CONVERT((I29-K29)/10000,"mi","ft")*IF(L29="Increasing Mileposts (1)",-1,1)</f>
        <v>111.408</v>
      </c>
      <c r="N29" s="136" t="str">
        <f>VLOOKUP(C29,'Trips&amp;Operators'!$C$1:$G$99999,5,FALSE)</f>
        <v>MACDONALD THOMAS</v>
      </c>
      <c r="O29" s="207" t="s">
        <v>184</v>
      </c>
      <c r="P29" s="137"/>
      <c r="Q29" s="30"/>
      <c r="R29" s="84" t="str">
        <f>IF(VLOOKUP(C29,'Train Runs'!$A$13:$AE$9930,1,1)=C29,VLOOKUP(C29,'Train Runs'!$A$13:$AE$9930,31,1),NA())</f>
        <v>aws s3 cp s3://rtdc.mdm.uploadarchive.raw/RTDC4005/ "%USERPROFILE%\AppData\Local\Temp\OnboardLogs"\RTDC4005\2017-05-14 --exclude "*" --recursive --include "*20170514*" &amp; "%USERPROFILE%\Documents\GitHub\mrs-test-scripts\Headless Mode &amp; Sideloading\WalkAndUnGZ.bat" "%USERPROFILE%\AppData\Local\Temp\OnboardLogs"\RTDC4005\2017-05-14 &amp; aws s3 cp s3://rtdc.mdm.uploadarchive.raw/RTDC4005/ "%USERPROFILE%\AppData\Local\Temp\OnboardLogs"\RTDC4005\2017-05-15 --exclude "*" --recursive --include "*20170515*" &amp; "%USERPROFILE%\Documents\GitHub\mrs-test-scripts\Headless Mode &amp; Sideloading\WalkAndUnGZ.bat" "%USERPROFILE%\AppData\Local\Temp\OnboardLogs"\RTDC4005\2017-05-15</v>
      </c>
      <c r="S29" s="87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-05-14T08:51:52-0600',mode:absolute,to:'2017-05-14T11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/stypes="*4005*201705141*" /stext=" 16:.+((SYSTEM_STATE.+slice.+state.+changed )|(ment ac)|(multiple cpu faults)|(system.+state.+changed )|(\[timeout)|(PRM\|1\|D)|(kpr)|(kdp)|(train st.+moving)|(\|lc)|(penalty))"</v>
      </c>
      <c r="U29" s="9" t="str">
        <f>MID(B29,13,4)</f>
        <v>4005</v>
      </c>
      <c r="V29" s="31">
        <f>A29-utc_offset/24</f>
        <v>42869.690081018518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{"issue":{"subject":"","project_id":79,"tracker_id":40,"status_id":1,"priority_id":2,"assigned_to_id":23,"start_date":"2017-05-14","description":"","custom_fields":[{"id":1,"name":"Subdivision","value":"EC"},{"id":4,"name":"Milepost","value":"0.0001"},{"id":17,"name":"Train ID","value":"144-14"},{"id":16,"name":"Locomotive ID","value":"4005"},{"id":130,"name":"Impact","value":""},{"id":150,"name":"Time of Event (Mountain Time)","value":"10:33:43"},{"id":151,"name":"Denver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-hrE -A400 ""Enforcement Action"" "&amp;"/cygdrive/c/Users/stu/AppData/Local/Temp/OnboardLogs"&amp;"/RTDC"&amp;U29&amp;"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/cygdrive/c/Users/stu/AppData/Local/Temp/OnboardLogs/RTDC4005 --include="*4005*201705141*"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"%USERPROFILE%\AppData\Local\Temp\OnboardLogs"\RTDC4005\*4005*201705141* &gt;&gt; 2017-05-14-SliceDisagreementCheck.txt</v>
      </c>
      <c r="AE29" s="148" t="str">
        <f t="shared" si="1"/>
        <v>start /low /b %USERPROFILE%\Documents\GitHub\eaglep3\Utilities\DownloadLogsFromS3.py --loco 4005 --day 2017-05-14</v>
      </c>
      <c r="AF29" s="1"/>
    </row>
    <row r="30" spans="1:32" x14ac:dyDescent="0.25">
      <c r="A30" s="31">
        <v>42869.473506944443</v>
      </c>
      <c r="B30" s="30" t="s">
        <v>454</v>
      </c>
      <c r="C30" s="30" t="s">
        <v>600</v>
      </c>
      <c r="D30" s="30" t="s">
        <v>49</v>
      </c>
      <c r="E30" s="30" t="s">
        <v>185</v>
      </c>
      <c r="F30" s="42">
        <v>0</v>
      </c>
      <c r="G30" s="42">
        <v>79</v>
      </c>
      <c r="H30" s="42">
        <v>291</v>
      </c>
      <c r="I30" s="42">
        <v>201</v>
      </c>
      <c r="J30" s="30" t="s">
        <v>186</v>
      </c>
      <c r="K30" s="42">
        <v>1</v>
      </c>
      <c r="L30" s="134" t="s">
        <v>51</v>
      </c>
      <c r="M30" s="135">
        <f>CONVERT((I30-K30)/10000,"mi","ft")*IF(L30="Increasing Mileposts (1)",-1,1)</f>
        <v>105.6</v>
      </c>
      <c r="N30" s="136" t="str">
        <f>VLOOKUP(C30,'Trips&amp;Operators'!$C$1:$G$99999,5,FALSE)</f>
        <v>DAVIS WENDY</v>
      </c>
      <c r="O30" s="207" t="s">
        <v>184</v>
      </c>
      <c r="P30" s="137"/>
      <c r="Q30" s="30"/>
      <c r="R30" s="84" t="str">
        <f>IF(VLOOKUP(C30,'Train Runs'!$A$13:$AE$9930,1,1)=C30,VLOOKUP(C30,'Train Runs'!$A$13:$AE$9930,31,1),NA())</f>
        <v>aws s3 cp s3://rtdc.mdm.uploadarchive.raw/RTDC4001/ "%USERPROFILE%\AppData\Local\Temp\OnboardLogs"\RTDC4001\2017-05-14 --exclude "*" --recursive --include "*20170514*" &amp; "%USERPROFILE%\Documents\GitHub\mrs-test-scripts\Headless Mode &amp; Sideloading\WalkAndUnGZ.bat" "%USERPROFILE%\AppData\Local\Temp\OnboardLogs"\RTDC4001\2017-05-14 &amp; aws s3 cp s3://rtdc.mdm.uploadarchive.raw/RTDC4001/ "%USERPROFILE%\AppData\Local\Temp\OnboardLogs"\RTDC4001\2017-05-15 --exclude "*" --recursive --include "*20170515*" &amp; "%USERPROFILE%\Documents\GitHub\mrs-test-scripts\Headless Mode &amp; Sideloading\WalkAndUnGZ.bat" "%USERPROFILE%\AppData\Local\Temp\OnboardLogs"\RTDC4001\2017-05-15</v>
      </c>
      <c r="S30" s="87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-05-14T09:36:56-0600',mode:absolute,to:'2017-05-14T12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/stypes="*4001*201705141*" /stext=" 17:.+((SYSTEM_STATE.+slice.+state.+changed )|(ment ac)|(multiple cpu faults)|(system.+state.+changed )|(\[timeout)|(PRM\|1\|D)|(kpr)|(kdp)|(train st.+moving)|(\|lc)|(penalty))"</v>
      </c>
      <c r="U30" s="9" t="str">
        <f>MID(B30,13,4)</f>
        <v>4001</v>
      </c>
      <c r="V30" s="31">
        <f>A30-utc_offset/24</f>
        <v>42869.723506944443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{"issue":{"subject":"","project_id":79,"tracker_id":40,"status_id":1,"priority_id":2,"assigned_to_id":23,"start_date":"2017-05-14","description":"","custom_fields":[{"id":1,"name":"Subdivision","value":"EC"},{"id":4,"name":"Milepost","value":"0.0001"},{"id":17,"name":"Train ID","value":"150-14"},{"id":16,"name":"Locomotive ID","value":"4001"},{"id":130,"name":"Impact","value":""},{"id":150,"name":"Time of Event (Mountain Time)","value":"11:21:51"},{"id":151,"name":"Denver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-hrE -A400 ""Enforcement Action"" "&amp;"/cygdrive/c/Users/stu/AppData/Local/Temp/OnboardLogs"&amp;"/RTDC"&amp;U30&amp;"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/cygdrive/c/Users/stu/AppData/Local/Temp/OnboardLogs/RTDC4001 --include="*4001*201705141*"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"%USERPROFILE%\AppData\Local\Temp\OnboardLogs"\RTDC4001\*4001*201705141* &gt;&gt; 2017-05-14-SliceDisagreementCheck.txt</v>
      </c>
      <c r="AE30" s="148" t="str">
        <f t="shared" si="1"/>
        <v>start /low /b %USERPROFILE%\Documents\GitHub\eaglep3\Utilities\DownloadLogsFromS3.py --loco 4001 --day 2017-05-14</v>
      </c>
      <c r="AF30" s="1"/>
    </row>
    <row r="31" spans="1:32" x14ac:dyDescent="0.25">
      <c r="A31" s="31">
        <v>42869.734467592592</v>
      </c>
      <c r="B31" s="30" t="s">
        <v>436</v>
      </c>
      <c r="C31" s="30" t="s">
        <v>615</v>
      </c>
      <c r="D31" s="30" t="s">
        <v>49</v>
      </c>
      <c r="E31" s="30" t="s">
        <v>185</v>
      </c>
      <c r="F31" s="42">
        <v>0</v>
      </c>
      <c r="G31" s="42">
        <v>51</v>
      </c>
      <c r="H31" s="42">
        <v>178</v>
      </c>
      <c r="I31" s="42">
        <v>132</v>
      </c>
      <c r="J31" s="30" t="s">
        <v>186</v>
      </c>
      <c r="K31" s="42">
        <v>1</v>
      </c>
      <c r="L31" s="134" t="s">
        <v>51</v>
      </c>
      <c r="M31" s="135">
        <f>CONVERT((I31-K31)/10000,"mi","ft")*IF(L31="Increasing Mileposts (1)",-1,1)</f>
        <v>69.168000000000006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e">
        <f>IF(VLOOKUP(C31,'Train Runs'!$A$13:$AE$9930,1,1)=C31,VLOOKUP(C31,'Train Runs'!$A$13:$AE$9930,31,1),NA())</f>
        <v>#N/A</v>
      </c>
      <c r="S31" s="87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-05-14T15:51:44-0600',mode:absolute,to:'2017-05-14T18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/stypes="*4005*201705142*" /stext=" 23:.+((SYSTEM_STATE.+slice.+state.+changed )|(ment ac)|(multiple cpu faults)|(system.+state.+changed )|(\[timeout)|(PRM\|1\|D)|(kpr)|(kdp)|(train st.+moving)|(\|lc)|(penalty))"</v>
      </c>
      <c r="U31" s="9" t="str">
        <f>MID(B31,13,4)</f>
        <v>4005</v>
      </c>
      <c r="V31" s="31">
        <f>A31-utc_offset/24</f>
        <v>42869.984467592592</v>
      </c>
      <c r="W31" s="45" t="str">
        <f>IFERROR(IF(VALUE(LEFT(IF(LEN(C31)=6,"0"&amp;C31,C31),2))&lt;=2,"EC",IF(OR(VALUE(LEFT(IF(LEN(C31)=6,"0"&amp;C31,C31),2))=8,VALUE(LEFT(IF(LEN(C31)=6,"0"&amp;C31,C31),2))=18),"NW","Other")),"Other")</f>
        <v>EC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{"issue":{"subject":"","project_id":79,"tracker_id":40,"status_id":1,"priority_id":2,"assigned_to_id":23,"start_date":"2017-05-14","description":"","custom_fields":[{"id":1,"name":"Subdivision","value":"EC"},{"id":4,"name":"Milepost","value":"0.0001"},{"id":17,"name":"Train ID","value":"200-14"},{"id":16,"name":"Locomotive ID","value":"4005"},{"id":130,"name":"Impact","value":""},{"id":150,"name":"Time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-hrE -A400 ""Enforcement Action"" "&amp;"/cygdrive/c/Users/stu/AppData/Local/Temp/OnboardLogs"&amp;"/RTDC"&amp;U31&amp;"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/cygdrive/c/Users/stu/AppData/Local/Temp/OnboardLogs/RTDC4005 --include="*4005*201705142*"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"%USERPROFILE%\AppData\Local\Temp\OnboardLogs"\RTDC4005\*4005*201705142* &gt;&gt; 2017-05-14-SliceDisagreementCheck.txt</v>
      </c>
      <c r="AE31" s="148" t="str">
        <f t="shared" si="1"/>
        <v>start /low /b %USERPROFILE%\Documents\GitHub\eaglep3\Utilities\DownloadLogsFromS3.py --loco 4005 --day 2017-05-14</v>
      </c>
      <c r="AF31" s="1"/>
    </row>
    <row r="32" spans="1:32" x14ac:dyDescent="0.25">
      <c r="A32" s="31">
        <v>42870.002951388888</v>
      </c>
      <c r="B32" s="30" t="s">
        <v>454</v>
      </c>
      <c r="C32" s="30" t="s">
        <v>620</v>
      </c>
      <c r="D32" s="30" t="s">
        <v>49</v>
      </c>
      <c r="E32" s="30" t="s">
        <v>185</v>
      </c>
      <c r="F32" s="42">
        <v>0</v>
      </c>
      <c r="G32" s="42">
        <v>26</v>
      </c>
      <c r="H32" s="42">
        <v>59</v>
      </c>
      <c r="I32" s="42">
        <v>39</v>
      </c>
      <c r="J32" s="30" t="s">
        <v>186</v>
      </c>
      <c r="K32" s="42">
        <v>1</v>
      </c>
      <c r="L32" s="134" t="s">
        <v>51</v>
      </c>
      <c r="M32" s="135">
        <f>CONVERT((I32-K32)/10000,"mi","ft")*IF(L32="Increasing Mileposts (1)",-1,1)</f>
        <v>20.064</v>
      </c>
      <c r="N32" s="136" t="str">
        <f>VLOOKUP(C32,'Trips&amp;Operators'!$C$1:$G$99999,5,FALSE)</f>
        <v>STAMBAUGH JAMES</v>
      </c>
      <c r="O32" s="207" t="s">
        <v>184</v>
      </c>
      <c r="P32" s="137"/>
      <c r="Q32" s="30"/>
      <c r="R32" s="84" t="e">
        <f>IF(VLOOKUP(C32,'Train Runs'!$A$13:$AE$9930,1,1)=C32,VLOOKUP(C32,'Train Runs'!$A$13:$AE$9930,31,1),NA())</f>
        <v>#N/A</v>
      </c>
      <c r="S32" s="87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-05-14T22:20:19-0600',mode:absolute,to:'2017-05-15T01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/stypes="*4001*201705150*" /stext=" 06:.+((SYSTEM_STATE.+slice.+state.+changed )|(ment ac)|(multiple cpu faults)|(system.+state.+changed )|(\[timeout)|(PRM\|1\|D)|(kpr)|(kdp)|(train st.+moving)|(\|lc)|(penalty))"</v>
      </c>
      <c r="U32" s="9" t="str">
        <f>MID(B32,13,4)</f>
        <v>4001</v>
      </c>
      <c r="V32" s="31">
        <f>A32-utc_offset/24</f>
        <v>42870.252951388888</v>
      </c>
      <c r="W32" s="45" t="str">
        <f>IFERROR(IF(VALUE(LEFT(IF(LEN(C32)=6,"0"&amp;C32,C32),2))&lt;=2,"EC",IF(OR(VALUE(LEFT(IF(LEN(C32)=6,"0"&amp;C32,C32),2))=8,VALUE(LEFT(IF(LEN(C32)=6,"0"&amp;C32,C32),2))=18),"NW","Other")),"Other")</f>
        <v>EC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{"issue":{"subject":"","project_id":79,"tracker_id":40,"status_id":1,"priority_id":2,"assigned_to_id":23,"start_date":"2017-05-15","description":"","custom_fields":[{"id":1,"name":"Subdivision","value":"EC"},{"id":4,"name":"Milepost","value":"0.0001"},{"id":17,"name":"Train ID","value":"236-14"},{"id":16,"name":"Locomotive ID","value":"4001"},{"id":130,"name":"Impact","value":""},{"id":150,"name":"Time of Event (Mountain Time)","value":"00:04:15"},{"id":151,"name":"Denver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-hrE -A400 ""Enforcement Action"" "&amp;"/cygdrive/c/Users/stu/AppData/Local/Temp/OnboardLogs"&amp;"/RTDC"&amp;U32&amp;"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/cygdrive/c/Users/stu/AppData/Local/Temp/OnboardLogs/RTDC4001 --include="*4001*201705150*"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"%USERPROFILE%\AppData\Local\Temp\OnboardLogs"\RTDC4001\*4001*201705150* &gt;&gt; 2017-05-14-SliceDisagreementCheck.txt</v>
      </c>
      <c r="AE32" s="148" t="str">
        <f t="shared" si="1"/>
        <v>start /low /b %USERPROFILE%\Documents\GitHub\eaglep3\Utilities\DownloadLogsFromS3.py --loco 4001 --day 2017-05-15</v>
      </c>
      <c r="AF32" s="1"/>
    </row>
    <row r="33" spans="1:32" x14ac:dyDescent="0.25">
      <c r="A33" s="31">
        <v>42869.527777777781</v>
      </c>
      <c r="B33" s="30" t="s">
        <v>582</v>
      </c>
      <c r="C33" s="30" t="s">
        <v>602</v>
      </c>
      <c r="D33" s="30" t="s">
        <v>49</v>
      </c>
      <c r="E33" s="30" t="s">
        <v>185</v>
      </c>
      <c r="F33" s="42">
        <v>0</v>
      </c>
      <c r="G33" s="42">
        <v>116</v>
      </c>
      <c r="H33" s="42">
        <v>1521</v>
      </c>
      <c r="I33" s="42">
        <v>1322</v>
      </c>
      <c r="J33" s="30" t="s">
        <v>186</v>
      </c>
      <c r="K33" s="42">
        <v>826</v>
      </c>
      <c r="L33" s="134" t="s">
        <v>51</v>
      </c>
      <c r="M33" s="135">
        <f>CONVERT((I33-K33)/10000,"mi","ft")*IF(L33="Increasing Mileposts (1)",-1,1)</f>
        <v>261.88799999999998</v>
      </c>
      <c r="N33" s="136" t="str">
        <f>VLOOKUP(C33,'Trips&amp;Operators'!$C$1:$G$99999,5,FALSE)</f>
        <v>STEWART MICHAEL</v>
      </c>
      <c r="O33" s="207" t="s">
        <v>184</v>
      </c>
      <c r="P33" s="137"/>
      <c r="Q33" s="30"/>
      <c r="R33" s="84" t="str">
        <f>IF(VLOOKUP(C33,'Train Runs'!$A$13:$AE$9930,1,1)=C33,VLOOKUP(C33,'Train Runs'!$A$13:$AE$9930,31,1),NA())</f>
        <v>aws s3 cp s3://rtdc.mdm.uploadarchive.raw/RTDC4009/ "%USERPROFILE%\AppData\Local\Temp\OnboardLogs"\RTDC4009\2017-05-14 --exclude "*" --recursive --include "*20170514*" &amp; "%USERPROFILE%\Documents\GitHub\mrs-test-scripts\Headless Mode &amp; Sideloading\WalkAndUnGZ.bat" "%USERPROFILE%\AppData\Local\Temp\OnboardLogs"\RTDC4009\2017-05-14 &amp; 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</v>
      </c>
      <c r="S33" s="87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-05-14T10:54:02-0600',mode:absolute,to:'2017-05-14T13:40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/stypes="*4009*201705141*" /stext=" 18:.+((SYSTEM_STATE.+slice.+state.+changed )|(ment ac)|(multiple cpu faults)|(system.+state.+changed )|(\[timeout)|(PRM\|1\|D)|(kpr)|(kdp)|(train st.+moving)|(\|lc)|(penalty))"</v>
      </c>
      <c r="U33" s="9" t="str">
        <f>MID(B33,13,4)</f>
        <v>4009</v>
      </c>
      <c r="V33" s="31">
        <f>A33-utc_offset/24</f>
        <v>42869.777777777781</v>
      </c>
      <c r="W33" s="45" t="str">
        <f>IFERROR(IF(VALUE(LEFT(IF(LEN(C33)=6,"0"&amp;C33,C33),2))&lt;=2,"EC",IF(OR(VALUE(LEFT(IF(LEN(C33)=6,"0"&amp;C33,C33),2))=8,VALUE(LEFT(IF(LEN(C33)=6,"0"&amp;C33,C33),2))=18),"NW","Other")),"Other")</f>
        <v>EC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{"issue":{"subject":"","project_id":79,"tracker_id":40,"status_id":1,"priority_id":2,"assigned_to_id":23,"start_date":"2017-05-14","description":"","custom_fields":[{"id":1,"name":"Subdivision","value":"EC"},{"id":4,"name":"Milepost","value":"0.0826"},{"id":17,"name":"Train ID","value":"160-14"},{"id":16,"name":"Locomotive ID","value":"4009"},{"id":130,"name":"Impact","value":""},{"id":150,"name":"Time of Event (Mountain Time)","value":"12:40:00"},{"id":151,"name":"Denver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-hrE -A400 ""Enforcement Action"" "&amp;"/cygdrive/c/Users/stu/AppData/Local/Temp/OnboardLogs"&amp;"/RTDC"&amp;U33&amp;"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/cygdrive/c/Users/stu/AppData/Local/Temp/OnboardLogs/RTDC4009 --include="*4009*201705141*"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"%USERPROFILE%\AppData\Local\Temp\OnboardLogs"\RTDC4009\*4009*201705141* &gt;&gt; 2017-05-14-SliceDisagreementCheck.txt</v>
      </c>
      <c r="AE33" s="148" t="str">
        <f t="shared" si="1"/>
        <v>start /low /b %USERPROFILE%\Documents\GitHub\eaglep3\Utilities\DownloadLogsFromS3.py --loco 4009 --day 2017-05-14</v>
      </c>
      <c r="AF33" s="1"/>
    </row>
    <row r="34" spans="1:32" x14ac:dyDescent="0.25">
      <c r="A34" s="31">
        <v>42869.243981481479</v>
      </c>
      <c r="B34" s="30" t="s">
        <v>461</v>
      </c>
      <c r="C34" s="30" t="s">
        <v>584</v>
      </c>
      <c r="D34" s="30" t="s">
        <v>49</v>
      </c>
      <c r="E34" s="30" t="s">
        <v>185</v>
      </c>
      <c r="F34" s="42">
        <v>0</v>
      </c>
      <c r="G34" s="42">
        <v>78</v>
      </c>
      <c r="H34" s="42">
        <v>233210</v>
      </c>
      <c r="I34" s="42">
        <v>233293</v>
      </c>
      <c r="J34" s="30" t="s">
        <v>186</v>
      </c>
      <c r="K34" s="42">
        <v>233491</v>
      </c>
      <c r="L34" s="134" t="s">
        <v>50</v>
      </c>
      <c r="M34" s="135">
        <f>CONVERT((I34-K34)/10000,"mi","ft")*IF(L34="Increasing Mileposts (1)",-1,1)</f>
        <v>104.544</v>
      </c>
      <c r="N34" s="136" t="str">
        <f>VLOOKUP(C34,'Trips&amp;Operators'!$C$1:$G$99999,5,FALSE)</f>
        <v>SANTIZO D. EDY</v>
      </c>
      <c r="O34" s="207" t="s">
        <v>184</v>
      </c>
      <c r="P34" s="137"/>
      <c r="Q34" s="30"/>
      <c r="R34" s="84" t="str">
        <f>IF(VLOOKUP(C34,'Train Runs'!$A$13:$AE$9930,1,1)=C34,VLOOKUP(C34,'Train Runs'!$A$13:$AE$9930,31,1),NA())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S34" s="87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-05-14T03:56:11-0600',mode:absolute,to:'2017-05-14T06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/stypes="*4016*201705141*" /stext=" 11:.+((SYSTEM_STATE.+slice.+state.+changed )|(ment ac)|(multiple cpu faults)|(system.+state.+changed )|(\[timeout)|(PRM\|1\|D)|(kpr)|(kdp)|(train st.+moving)|(\|lc)|(penalty))"</v>
      </c>
      <c r="U34" s="9" t="str">
        <f>MID(B34,13,4)</f>
        <v>4016</v>
      </c>
      <c r="V34" s="31">
        <f>A34-utc_offset/24</f>
        <v>42869.493981481479</v>
      </c>
      <c r="W34" s="45" t="str">
        <f>IFERROR(IF(VALUE(LEFT(IF(LEN(C34)=6,"0"&amp;C34,C34),2))&lt;=2,"EC",IF(OR(VALUE(LEFT(IF(LEN(C34)=6,"0"&amp;C34,C34),2))=8,VALUE(LEFT(IF(LEN(C34)=6,"0"&amp;C34,C34),2))=18),"NW","Other")),"Other")</f>
        <v>EC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ID","value":"113-14"},{"id":16,"name":"Locomotive ID","value":"4016"},{"id":130,"name":"Impact","value":""},{"id":150,"name":"Time of Event (Mountain Time)","value":"05:51:20"},{"id":151,"name":"Denver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-hrE -A400 ""Enforcement Action"" "&amp;"/cygdrive/c/Users/stu/AppData/Local/Temp/OnboardLogs"&amp;"/RTDC"&amp;U34&amp;"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/cygdrive/c/Users/stu/AppData/Local/Temp/OnboardLogs/RTDC4016 --include="*4016*201705141*"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"%USERPROFILE%\AppData\Local\Temp\OnboardLogs"\RTDC4016\*4016*201705141* &gt;&gt; 2017-05-14-SliceDisagreementCheck.txt</v>
      </c>
      <c r="AE34" s="148" t="str">
        <f t="shared" si="1"/>
        <v>start /low /b %USERPROFILE%\Documents\GitHub\eaglep3\Utilities\DownloadLogsFromS3.py --loco 4016 --day 2017-05-14</v>
      </c>
      <c r="AF34" s="1"/>
    </row>
    <row r="35" spans="1:32" x14ac:dyDescent="0.25">
      <c r="A35" s="31">
        <v>42869.535115740742</v>
      </c>
      <c r="B35" s="30" t="s">
        <v>461</v>
      </c>
      <c r="C35" s="30" t="s">
        <v>603</v>
      </c>
      <c r="D35" s="30" t="s">
        <v>49</v>
      </c>
      <c r="E35" s="30" t="s">
        <v>185</v>
      </c>
      <c r="F35" s="42">
        <v>0</v>
      </c>
      <c r="G35" s="42">
        <v>33</v>
      </c>
      <c r="H35" s="42">
        <v>233406</v>
      </c>
      <c r="I35" s="42">
        <v>233423</v>
      </c>
      <c r="J35" s="30" t="s">
        <v>186</v>
      </c>
      <c r="K35" s="42">
        <v>233491</v>
      </c>
      <c r="L35" s="134" t="s">
        <v>50</v>
      </c>
      <c r="M35" s="135">
        <f>CONVERT((I35-K35)/10000,"mi","ft")*IF(L35="Increasing Mileposts (1)",-1,1)</f>
        <v>35.904000000000003</v>
      </c>
      <c r="N35" s="136" t="str">
        <f>VLOOKUP(C35,'Trips&amp;Operators'!$C$1:$G$99999,5,FALSE)</f>
        <v>ROMERO CHAD</v>
      </c>
      <c r="O35" s="207" t="s">
        <v>184</v>
      </c>
      <c r="P35" s="137"/>
      <c r="Q35" s="30"/>
      <c r="R35" s="84" t="str">
        <f>IF(VLOOKUP(C35,'Train Runs'!$A$13:$AE$9930,1,1)=C35,VLOOKUP(C35,'Train Runs'!$A$13:$AE$9930,31,1),NA())</f>
        <v>aws s3 cp s3://rtdc.mdm.uploadarchive.raw/RTDC4016/ "%USERPROFILE%\AppData\Local\Temp\OnboardLogs"\RTDC4016\2017-05-14 --exclude "*" --recursive --include "*20170514*" &amp; "%USERPROFILE%\Documents\GitHub\mrs-test-scripts\Headless Mode &amp; Sideloading\WalkAndUnGZ.bat" "%USERPROFILE%\AppData\Local\Temp\OnboardLogs"\RTDC4016\2017-05-14 &amp; 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</v>
      </c>
      <c r="S35" s="87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-05-14T11:08:36-0600',mode:absolute,to:'2017-05-14T13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/stypes="*4016*201705141*" /stext=" 18:.+((SYSTEM_STATE.+slice.+state.+changed )|(ment ac)|(multiple cpu faults)|(system.+state.+changed )|(\[timeout)|(PRM\|1\|D)|(kpr)|(kdp)|(train st.+moving)|(\|lc)|(penalty))"</v>
      </c>
      <c r="U35" s="9" t="str">
        <f>MID(B35,13,4)</f>
        <v>4016</v>
      </c>
      <c r="V35" s="31">
        <f>A35-utc_offset/24</f>
        <v>42869.785115740742</v>
      </c>
      <c r="W35" s="45" t="str">
        <f>IFERROR(IF(VALUE(LEFT(IF(LEN(C35)=6,"0"&amp;C35,C35),2))&lt;=2,"EC",IF(OR(VALUE(LEFT(IF(LEN(C35)=6,"0"&amp;C35,C35),2))=8,VALUE(LEFT(IF(LEN(C35)=6,"0"&amp;C35,C35),2))=18),"NW","Other")),"Other")</f>
        <v>EC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ID","value":"169-14"},{"id":16,"name":"Locomotive ID","value":"4016"},{"id":130,"name":"Impact","value":""},{"id":150,"name":"Time of Event (Mountain Time)","value":"12:50:34"},{"id":151,"name":"Denver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-hrE -A400 ""Enforcement Action"" "&amp;"/cygdrive/c/Users/stu/AppData/Local/Temp/OnboardLogs"&amp;"/RTDC"&amp;U35&amp;"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/cygdrive/c/Users/stu/AppData/Local/Temp/OnboardLogs/RTDC4016 --include="*4016*201705141*"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"%USERPROFILE%\AppData\Local\Temp\OnboardLogs"\RTDC4016\*4016*201705141* &gt;&gt; 2017-05-14-SliceDisagreementCheck.txt</v>
      </c>
      <c r="AE35" s="148" t="str">
        <f t="shared" si="1"/>
        <v>start /low /b %USERPROFILE%\Documents\GitHub\eaglep3\Utilities\DownloadLogsFromS3.py --loco 4016 --day 2017-05-14</v>
      </c>
      <c r="AF35" s="1"/>
    </row>
    <row r="36" spans="1:32" x14ac:dyDescent="0.25">
      <c r="A36" s="31">
        <v>42869.546099537038</v>
      </c>
      <c r="B36" s="30" t="s">
        <v>437</v>
      </c>
      <c r="C36" s="30" t="s">
        <v>604</v>
      </c>
      <c r="D36" s="30" t="s">
        <v>49</v>
      </c>
      <c r="E36" s="30" t="s">
        <v>185</v>
      </c>
      <c r="F36" s="42">
        <v>0</v>
      </c>
      <c r="G36" s="42">
        <v>34</v>
      </c>
      <c r="H36" s="42">
        <v>233383</v>
      </c>
      <c r="I36" s="42">
        <v>233428</v>
      </c>
      <c r="J36" s="30" t="s">
        <v>186</v>
      </c>
      <c r="K36" s="42">
        <v>233491</v>
      </c>
      <c r="L36" s="134" t="s">
        <v>50</v>
      </c>
      <c r="M36" s="135">
        <f>CONVERT((I36-K36)/10000,"mi","ft")*IF(L36="Increasing Mileposts (1)",-1,1)</f>
        <v>33.264000000000003</v>
      </c>
      <c r="N36" s="136" t="str">
        <f>VLOOKUP(C36,'Trips&amp;Operators'!$C$1:$G$99999,5,FALSE)</f>
        <v>BRANDNER MELINDA</v>
      </c>
      <c r="O36" s="207" t="s">
        <v>184</v>
      </c>
      <c r="P36" s="137"/>
      <c r="Q36" s="30"/>
      <c r="R36" s="84" t="str">
        <f>IF(VLOOKUP(C36,'Train Runs'!$A$13:$AE$9930,1,1)=C36,VLOOKUP(C36,'Train Runs'!$A$13:$AE$9930,31,1),NA())</f>
        <v>aws s3 cp s3://rtdc.mdm.uploadarchive.raw/RTDC4006/ "%USERPROFILE%\AppData\Local\Temp\OnboardLogs"\RTDC4006\2017-05-14 --exclude "*" --recursive --include "*20170514*" &amp; "%USERPROFILE%\Documents\GitHub\mrs-test-scripts\Headless Mode &amp; Sideloading\WalkAndUnGZ.bat" "%USERPROFILE%\AppData\Local\Temp\OnboardLogs"\RTDC4006\2017-05-14 &amp; aws s3 cp s3://rtdc.mdm.uploadarchive.raw/RTDC4006/ "%USERPROFILE%\AppData\Local\Temp\OnboardLogs"\RTDC4006\2017-05-15 --exclude "*" --recursive --include "*20170515*" &amp; "%USERPROFILE%\Documents\GitHub\mrs-test-scripts\Headless Mode &amp; Sideloading\WalkAndUnGZ.bat" "%USERPROFILE%\AppData\Local\Temp\OnboardLogs"\RTDC4006\2017-05-15</v>
      </c>
      <c r="S36" s="87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-05-14T11:22:31-0600',mode:absolute,to:'2017-05-14T14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/stypes="*4006*201705141*" /stext=" 19:.+((SYSTEM_STATE.+slice.+state.+changed )|(ment ac)|(multiple cpu faults)|(system.+state.+changed )|(\[timeout)|(PRM\|1\|D)|(kpr)|(kdp)|(train st.+moving)|(\|lc)|(penalty))"</v>
      </c>
      <c r="U36" s="9" t="str">
        <f>MID(B36,13,4)</f>
        <v>4006</v>
      </c>
      <c r="V36" s="31">
        <f>A36-utc_offset/24</f>
        <v>42869.796099537038</v>
      </c>
      <c r="W36" s="45" t="str">
        <f>IFERROR(IF(VALUE(LEFT(IF(LEN(C36)=6,"0"&amp;C36,C36),2))&lt;=2,"EC",IF(OR(VALUE(LEFT(IF(LEN(C36)=6,"0"&amp;C36,C36),2))=8,VALUE(LEFT(IF(LEN(C36)=6,"0"&amp;C36,C36),2))=18),"NW","Other")),"Other")</f>
        <v>EC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ID","value":"171-14"},{"id":16,"name":"Locomotive ID","value":"4006"},{"id":130,"name":"Impact","value":""},{"id":150,"name":"Time of Event (Mountain Time)","value":"13:06:23"},{"id":151,"name":"Denver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-hrE -A400 ""Enforcement Action"" "&amp;"/cygdrive/c/Users/stu/AppData/Local/Temp/OnboardLogs"&amp;"/RTDC"&amp;U36&amp;"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/cygdrive/c/Users/stu/AppData/Local/Temp/OnboardLogs/RTDC4006 --include="*4006*201705141*"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"%USERPROFILE%\AppData\Local\Temp\OnboardLogs"\RTDC4006\*4006*201705141* &gt;&gt; 2017-05-14-SliceDisagreementCheck.txt</v>
      </c>
      <c r="AE36" s="148" t="str">
        <f t="shared" si="1"/>
        <v>start /low /b %USERPROFILE%\Documents\GitHub\eaglep3\Utilities\DownloadLogsFromS3.py --loco 4006 --day 2017-05-14</v>
      </c>
      <c r="AF36" s="1"/>
    </row>
    <row r="37" spans="1:32" x14ac:dyDescent="0.25">
      <c r="A37" s="31">
        <v>42869.608807870369</v>
      </c>
      <c r="B37" s="30" t="s">
        <v>461</v>
      </c>
      <c r="C37" s="30" t="s">
        <v>607</v>
      </c>
      <c r="D37" s="30" t="s">
        <v>49</v>
      </c>
      <c r="E37" s="30" t="s">
        <v>185</v>
      </c>
      <c r="F37" s="42">
        <v>0</v>
      </c>
      <c r="G37" s="42">
        <v>13</v>
      </c>
      <c r="H37" s="42">
        <v>233466</v>
      </c>
      <c r="I37" s="42">
        <v>233478</v>
      </c>
      <c r="J37" s="30" t="s">
        <v>186</v>
      </c>
      <c r="K37" s="42">
        <v>233491</v>
      </c>
      <c r="L37" s="134" t="s">
        <v>50</v>
      </c>
      <c r="M37" s="135">
        <f>CONVERT((I37-K37)/10000,"mi","ft")*IF(L37="Increasing Mileposts (1)",-1,1)</f>
        <v>6.8639999999999999</v>
      </c>
      <c r="N37" s="136" t="str">
        <f>VLOOKUP(C37,'Trips&amp;Operators'!$C$1:$G$99999,5,FALSE)</f>
        <v>ROMERO CHAD</v>
      </c>
      <c r="O37" s="207" t="s">
        <v>184</v>
      </c>
      <c r="P37" s="137"/>
      <c r="Q37" s="30"/>
      <c r="R37" s="84" t="e">
        <f>IF(VLOOKUP(C37,'Train Runs'!$A$13:$AE$9930,1,1)=C37,VLOOKUP(C37,'Train Runs'!$A$13:$AE$9930,31,1),NA())</f>
        <v>#N/A</v>
      </c>
      <c r="S37" s="87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-05-14T12:56:49-0600',mode:absolute,to:'2017-05-14T15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/stypes="*4016*201705142*" /stext=" 20:.+((SYSTEM_STATE.+slice.+state.+changed )|(ment ac)|(multiple cpu faults)|(system.+state.+changed )|(\[timeout)|(PRM\|1\|D)|(kpr)|(kdp)|(train st.+moving)|(\|lc)|(penalty))"</v>
      </c>
      <c r="U37" s="9" t="str">
        <f>MID(B37,13,4)</f>
        <v>4016</v>
      </c>
      <c r="V37" s="31">
        <f>A37-utc_offset/24</f>
        <v>42869.858807870369</v>
      </c>
      <c r="W37" s="45" t="str">
        <f>IFERROR(IF(VALUE(LEFT(IF(LEN(C37)=6,"0"&amp;C37,C37),2))&lt;=2,"EC",IF(OR(VALUE(LEFT(IF(LEN(C37)=6,"0"&amp;C37,C37),2))=8,VALUE(LEFT(IF(LEN(C37)=6,"0"&amp;C37,C37),2))=18),"NW","Other")),"Other")</f>
        <v>EC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ID","value":"183-14"},{"id":16,"name":"Locomotive ID","value":"4016"},{"id":130,"name":"Impact","value":""},{"id":150,"name":"Time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-hrE -A400 ""Enforcement Action"" "&amp;"/cygdrive/c/Users/stu/AppData/Local/Temp/OnboardLogs"&amp;"/RTDC"&amp;U37&amp;"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/cygdrive/c/Users/stu/AppData/Local/Temp/OnboardLogs/RTDC4016 --include="*4016*201705142*"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"%USERPROFILE%\AppData\Local\Temp\OnboardLogs"\RTDC4016\*4016*201705142* &gt;&gt; 2017-05-14-SliceDisagreementCheck.txt</v>
      </c>
      <c r="AE37" s="148" t="str">
        <f t="shared" si="1"/>
        <v>start /low /b %USERPROFILE%\Documents\GitHub\eaglep3\Utilities\DownloadLogsFromS3.py --loco 4016 --day 2017-05-14</v>
      </c>
      <c r="AF37" s="1"/>
    </row>
    <row r="38" spans="1:32" x14ac:dyDescent="0.25">
      <c r="A38" s="31">
        <v>42869.619375000002</v>
      </c>
      <c r="B38" s="30" t="s">
        <v>437</v>
      </c>
      <c r="C38" s="30" t="s">
        <v>609</v>
      </c>
      <c r="D38" s="30" t="s">
        <v>49</v>
      </c>
      <c r="E38" s="30" t="s">
        <v>185</v>
      </c>
      <c r="F38" s="42">
        <v>0</v>
      </c>
      <c r="G38" s="42">
        <v>45</v>
      </c>
      <c r="H38" s="42">
        <v>233331</v>
      </c>
      <c r="I38" s="42">
        <v>233366</v>
      </c>
      <c r="J38" s="30" t="s">
        <v>186</v>
      </c>
      <c r="K38" s="42">
        <v>233491</v>
      </c>
      <c r="L38" s="134" t="s">
        <v>50</v>
      </c>
      <c r="M38" s="135">
        <f>CONVERT((I38-K38)/10000,"mi","ft")*IF(L38="Increasing Mileposts (1)",-1,1)</f>
        <v>66</v>
      </c>
      <c r="N38" s="136" t="str">
        <f>VLOOKUP(C38,'Trips&amp;Operators'!$C$1:$G$99999,5,FALSE)</f>
        <v>BRANDNER MELINDA</v>
      </c>
      <c r="O38" s="207" t="s">
        <v>184</v>
      </c>
      <c r="P38" s="137"/>
      <c r="Q38" s="30"/>
      <c r="R38" s="84" t="e">
        <f>IF(VLOOKUP(C38,'Train Runs'!$A$13:$AE$9930,1,1)=C38,VLOOKUP(C38,'Train Runs'!$A$13:$AE$9930,31,1),NA())</f>
        <v>#N/A</v>
      </c>
      <c r="S38" s="87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-05-14T13:11:04-0600',mode:absolute,to:'2017-05-14T15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/stypes="*4006*201705142*" /stext=" 20:.+((SYSTEM_STATE.+slice.+state.+changed )|(ment ac)|(multiple cpu faults)|(system.+state.+changed )|(\[timeout)|(PRM\|1\|D)|(kpr)|(kdp)|(train st.+moving)|(\|lc)|(penalty))"</v>
      </c>
      <c r="U38" s="9" t="str">
        <f>MID(B38,13,4)</f>
        <v>4006</v>
      </c>
      <c r="V38" s="31">
        <f>A38-utc_offset/24</f>
        <v>42869.869375000002</v>
      </c>
      <c r="W38" s="45" t="str">
        <f>IFERROR(IF(VALUE(LEFT(IF(LEN(C38)=6,"0"&amp;C38,C38),2))&lt;=2,"EC",IF(OR(VALUE(LEFT(IF(LEN(C38)=6,"0"&amp;C38,C38),2))=8,VALUE(LEFT(IF(LEN(C38)=6,"0"&amp;C38,C38),2))=18),"NW","Other")),"Other")</f>
        <v>EC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ID","value":"185-14"},{"id":16,"name":"Locomotive ID","value":"4006"},{"id":130,"name":"Impact","value":""},{"id":150,"name":"Time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-hrE -A400 ""Enforcement Action"" "&amp;"/cygdrive/c/Users/stu/AppData/Local/Temp/OnboardLogs"&amp;"/RTDC"&amp;U38&amp;"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/cygdrive/c/Users/stu/AppData/Local/Temp/OnboardLogs/RTDC4006 --include="*4006*201705142*"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"%USERPROFILE%\AppData\Local\Temp\OnboardLogs"\RTDC4006\*4006*201705142* &gt;&gt; 2017-05-14-SliceDisagreementCheck.txt</v>
      </c>
      <c r="AE38" s="148" t="str">
        <f t="shared" si="1"/>
        <v>start /low /b %USERPROFILE%\Documents\GitHub\eaglep3\Utilities\DownloadLogsFromS3.py --loco 4006 --day 2017-05-14</v>
      </c>
      <c r="AF38" s="1"/>
    </row>
    <row r="39" spans="1:32" x14ac:dyDescent="0.25">
      <c r="A39" s="31">
        <v>42869.6405787037</v>
      </c>
      <c r="B39" s="30" t="s">
        <v>610</v>
      </c>
      <c r="C39" s="30" t="s">
        <v>611</v>
      </c>
      <c r="D39" s="30" t="s">
        <v>49</v>
      </c>
      <c r="E39" s="30" t="s">
        <v>185</v>
      </c>
      <c r="F39" s="42">
        <v>0</v>
      </c>
      <c r="G39" s="42">
        <v>88</v>
      </c>
      <c r="H39" s="42">
        <v>233145</v>
      </c>
      <c r="I39" s="42">
        <v>233249</v>
      </c>
      <c r="J39" s="30" t="s">
        <v>186</v>
      </c>
      <c r="K39" s="42">
        <v>233491</v>
      </c>
      <c r="L39" s="134" t="s">
        <v>50</v>
      </c>
      <c r="M39" s="135">
        <f>CONVERT((I39-K39)/10000,"mi","ft")*IF(L39="Increasing Mileposts (1)",-1,1)</f>
        <v>127.776</v>
      </c>
      <c r="N39" s="136" t="str">
        <f>VLOOKUP(C39,'Trips&amp;Operators'!$C$1:$G$99999,5,FALSE)</f>
        <v>DAVIS MICHAEL</v>
      </c>
      <c r="O39" s="207" t="s">
        <v>184</v>
      </c>
      <c r="P39" s="137"/>
      <c r="Q39" s="30"/>
      <c r="R39" s="84" t="e">
        <f>IF(VLOOKUP(C39,'Train Runs'!$A$13:$AE$9930,1,1)=C39,VLOOKUP(C39,'Train Runs'!$A$13:$AE$9930,31,1),NA())</f>
        <v>#N/A</v>
      </c>
      <c r="S39" s="87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-05-14T13:43:19-0600',mode:absolute,to:'2017-05-14T16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/stypes="*4046*201705142*" /stext=" 21:.+((SYSTEM_STATE.+slice.+state.+changed )|(ment ac)|(multiple cpu faults)|(system.+state.+changed )|(\[timeout)|(PRM\|1\|D)|(kpr)|(kdp)|(train st.+moving)|(\|lc)|(penalty))"</v>
      </c>
      <c r="U39" s="9" t="str">
        <f>MID(B39,13,4)</f>
        <v>4046</v>
      </c>
      <c r="V39" s="31">
        <f>A39-utc_offset/24</f>
        <v>42869.8905787037</v>
      </c>
      <c r="W39" s="45" t="str">
        <f>IFERROR(IF(VALUE(LEFT(IF(LEN(C39)=6,"0"&amp;C39,C39),2))&lt;=2,"EC",IF(OR(VALUE(LEFT(IF(LEN(C39)=6,"0"&amp;C39,C39),2))=8,VALUE(LEFT(IF(LEN(C39)=6,"0"&amp;C39,C39),2))=18),"NW","Other")),"Other")</f>
        <v>EC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ID","value":"189-14"},{"id":16,"name":"Locomotive ID","value":"4046"},{"id":130,"name":"Impact","value":""},{"id":150,"name":"Time of Event (Mountain Time)","value":"15:22:26"},{"id":151,"name":"Denver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/cygdrive/c/Users/stu/AppData/Local/Temp/OnboardLogs/RTDC4046 --include="*4046*201705142*"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"%USERPROFILE%\AppData\Local\Temp\OnboardLogs"\RTDC4046\*4046*201705142* &gt;&gt; 2017-05-14-SliceDisagreementCheck.txt</v>
      </c>
      <c r="AE39" s="148" t="str">
        <f t="shared" si="1"/>
        <v>start /low /b %USERPROFILE%\Documents\GitHub\eaglep3\Utilities\DownloadLogsFromS3.py --loco 4046 --day 2017-05-14</v>
      </c>
      <c r="AF39" s="1"/>
    </row>
    <row r="40" spans="1:32" x14ac:dyDescent="0.25">
      <c r="A40" s="31">
        <v>42869.694745370369</v>
      </c>
      <c r="B40" s="30" t="s">
        <v>437</v>
      </c>
      <c r="C40" s="30" t="s">
        <v>613</v>
      </c>
      <c r="D40" s="30" t="s">
        <v>49</v>
      </c>
      <c r="E40" s="30" t="s">
        <v>185</v>
      </c>
      <c r="F40" s="42">
        <v>0</v>
      </c>
      <c r="G40" s="42">
        <v>67</v>
      </c>
      <c r="H40" s="42">
        <v>233216</v>
      </c>
      <c r="I40" s="42">
        <v>233295</v>
      </c>
      <c r="J40" s="30" t="s">
        <v>186</v>
      </c>
      <c r="K40" s="42">
        <v>233491</v>
      </c>
      <c r="L40" s="134" t="s">
        <v>50</v>
      </c>
      <c r="M40" s="135">
        <f>CONVERT((I40-K40)/10000,"mi","ft")*IF(L40="Increasing Mileposts (1)",-1,1)</f>
        <v>103.488</v>
      </c>
      <c r="N40" s="136" t="str">
        <f>VLOOKUP(C40,'Trips&amp;Operators'!$C$1:$G$99999,5,FALSE)</f>
        <v>BRANDNER MELINDA</v>
      </c>
      <c r="O40" s="207" t="s">
        <v>184</v>
      </c>
      <c r="P40" s="137"/>
      <c r="Q40" s="30"/>
      <c r="R40" s="84" t="e">
        <f>IF(VLOOKUP(C40,'Train Runs'!$A$13:$AE$9930,1,1)=C40,VLOOKUP(C40,'Train Runs'!$A$13:$AE$9930,31,1),NA())</f>
        <v>#N/A</v>
      </c>
      <c r="S40" s="87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-05-14T14:55:35-0600',mode:absolute,to:'2017-05-14T17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/stypes="*4006*201705142*" /stext=" 22:.+((SYSTEM_STATE.+slice.+state.+changed )|(ment ac)|(multiple cpu faults)|(system.+state.+changed )|(\[timeout)|(PRM\|1\|D)|(kpr)|(kdp)|(train st.+moving)|(\|lc)|(penalty))"</v>
      </c>
      <c r="U40" s="9" t="str">
        <f>MID(B40,13,4)</f>
        <v>4006</v>
      </c>
      <c r="V40" s="31">
        <f>A40-utc_offset/24</f>
        <v>42869.944745370369</v>
      </c>
      <c r="W40" s="45" t="str">
        <f>IFERROR(IF(VALUE(LEFT(IF(LEN(C40)=6,"0"&amp;C40,C40),2))&lt;=2,"EC",IF(OR(VALUE(LEFT(IF(LEN(C40)=6,"0"&amp;C40,C40),2))=8,VALUE(LEFT(IF(LEN(C40)=6,"0"&amp;C40,C40),2))=18),"NW","Other")),"Other")</f>
        <v>EC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{"issue":{"subject":"","project_id":79,"tracker_id":40,"status_id":1,"priority_id":2,"assigned_to_id":23,"start_date":"2017-05-14","description":"","custom_fields":[{"id":1,"name":"Subdivision","value":"EC"},{"id":4,"name":"Milepost","value":"23.3491"},{"id":17,"name":"Train ID","value":"199-14"},{"id":16,"name":"Locomotive ID","value":"4006"},{"id":130,"name":"Impact","value":""},{"id":150,"name":"Time of Event (Mountain Time)","value":"16:40:26"},{"id":151,"name":"Denver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-hrE -A400 ""Enforcement Action"" "&amp;"/cygdrive/c/Users/stu/AppData/Local/Temp/OnboardLogs"&amp;"/RTDC"&amp;U40&amp;"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/cygdrive/c/Users/stu/AppData/Local/Temp/OnboardLogs/RTDC4006 --include="*4006*201705142*"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"%USERPROFILE%\AppData\Local\Temp\OnboardLogs"\RTDC4006\*4006*201705142* &gt;&gt; 2017-05-14-SliceDisagreementCheck.txt</v>
      </c>
      <c r="AE40" s="148" t="str">
        <f t="shared" si="1"/>
        <v>start /low /b %USERPROFILE%\Documents\GitHub\eaglep3\Utilities\DownloadLogsFromS3.py --loco 4006 --day 2017-05-14</v>
      </c>
      <c r="AF40" s="1"/>
    </row>
    <row r="41" spans="1:32" x14ac:dyDescent="0.25">
      <c r="A41" s="31">
        <v>42870.046712962961</v>
      </c>
      <c r="B41" s="30" t="s">
        <v>498</v>
      </c>
      <c r="C41" s="30" t="s">
        <v>621</v>
      </c>
      <c r="D41" s="30" t="s">
        <v>49</v>
      </c>
      <c r="E41" s="30" t="s">
        <v>185</v>
      </c>
      <c r="F41" s="42">
        <v>0</v>
      </c>
      <c r="G41" s="42">
        <v>34</v>
      </c>
      <c r="H41" s="42">
        <v>233383</v>
      </c>
      <c r="I41" s="42">
        <v>233407</v>
      </c>
      <c r="J41" s="30" t="s">
        <v>186</v>
      </c>
      <c r="K41" s="42">
        <v>233491</v>
      </c>
      <c r="L41" s="134" t="s">
        <v>50</v>
      </c>
      <c r="M41" s="135">
        <f>CONVERT((I41-K41)/10000,"mi","ft")*IF(L41="Increasing Mileposts (1)",-1,1)</f>
        <v>44.351999999999997</v>
      </c>
      <c r="N41" s="136" t="str">
        <f>VLOOKUP(C41,'Trips&amp;Operators'!$C$1:$G$99999,5,FALSE)</f>
        <v>STAMBAUGH JAMES</v>
      </c>
      <c r="O41" s="207" t="s">
        <v>184</v>
      </c>
      <c r="P41" s="137"/>
      <c r="Q41" s="30"/>
      <c r="R41" s="84" t="e">
        <f>IF(VLOOKUP(C41,'Train Runs'!$A$13:$AE$9930,1,1)=C41,VLOOKUP(C41,'Train Runs'!$A$13:$AE$9930,31,1),NA())</f>
        <v>#N/A</v>
      </c>
      <c r="S41" s="87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-05-14T23:07:15-0600',mode:absolute,to:'2017-05-15T02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/stypes="*4002*201705150*" /stext=" 07:.+((SYSTEM_STATE.+slice.+state.+changed )|(ment ac)|(multiple cpu faults)|(system.+state.+changed )|(\[timeout)|(PRM\|1\|D)|(kpr)|(kdp)|(train st.+moving)|(\|lc)|(penalty))"</v>
      </c>
      <c r="U41" s="9" t="str">
        <f>MID(B41,13,4)</f>
        <v>4002</v>
      </c>
      <c r="V41" s="31">
        <f>A41-utc_offset/24</f>
        <v>42870.296712962961</v>
      </c>
      <c r="W41" s="45" t="str">
        <f>IFERROR(IF(VALUE(LEFT(IF(LEN(C41)=6,"0"&amp;C41,C41),2))&lt;=2,"EC",IF(OR(VALUE(LEFT(IF(LEN(C41)=6,"0"&amp;C41,C41),2))=8,VALUE(LEFT(IF(LEN(C41)=6,"0"&amp;C41,C41),2))=18),"NW","Other")),"Other")</f>
        <v>EC</v>
      </c>
      <c r="X41" s="45" t="str">
        <f>IF(AND(E41="TRACK WARRANT AUTHORITY",G41&lt;10),"OMIT","KEEP")</f>
        <v>KEEP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ID","value":"243-14"},{"id":16,"name":"Locomotive ID","value":"4002"},{"id":130,"name":"Impact","value":""},{"id":150,"name":"Time of Event (Mountain Time)","value":"01:07:16"},{"id":151,"name":"Denver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-hrE -A400 ""Enforcement Action"" "&amp;"/cygdrive/c/Users/stu/AppData/Local/Temp/OnboardLogs"&amp;"/RTDC"&amp;U41&amp;"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/cygdrive/c/Users/stu/AppData/Local/Temp/OnboardLogs/RTDC4002 --include="*4002*201705150*"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"%USERPROFILE%\AppData\Local\Temp\OnboardLogs"\RTDC4002\*4002*201705150* &gt;&gt; 2017-05-14-SliceDisagreementCheck.txt</v>
      </c>
      <c r="AE41" s="148" t="str">
        <f t="shared" si="1"/>
        <v>start /low /b %USERPROFILE%\Documents\GitHub\eaglep3\Utilities\DownloadLogsFromS3.py --loco 4002 --day 2017-05-15</v>
      </c>
      <c r="AF41" s="1"/>
    </row>
    <row r="42" spans="1:32" x14ac:dyDescent="0.25">
      <c r="A42" s="31">
        <v>42869.284386574072</v>
      </c>
      <c r="B42" s="30" t="s">
        <v>451</v>
      </c>
      <c r="C42" s="30" t="s">
        <v>590</v>
      </c>
      <c r="D42" s="30" t="s">
        <v>49</v>
      </c>
      <c r="E42" s="30" t="s">
        <v>378</v>
      </c>
      <c r="F42" s="42">
        <v>0</v>
      </c>
      <c r="G42" s="42">
        <v>388</v>
      </c>
      <c r="H42" s="42">
        <v>19660</v>
      </c>
      <c r="I42" s="42">
        <v>18449</v>
      </c>
      <c r="J42" s="30" t="s">
        <v>379</v>
      </c>
      <c r="K42" s="42">
        <v>19000</v>
      </c>
      <c r="L42" s="134" t="s">
        <v>51</v>
      </c>
      <c r="M42" s="135">
        <f>CONVERT((I42-K42)/10000,"mi","ft")*IF(L42="Increasing Mileposts (1)",-1,1)</f>
        <v>-290.928</v>
      </c>
      <c r="N42" s="136" t="str">
        <f>VLOOKUP(C42,'Trips&amp;Operators'!$C$1:$G$99999,5,FALSE)</f>
        <v>YORK EDGAR</v>
      </c>
      <c r="O42" s="207" t="s">
        <v>381</v>
      </c>
      <c r="P42" s="137" t="s">
        <v>579</v>
      </c>
      <c r="Q42" s="30"/>
      <c r="R42" s="84" t="e">
        <f>IF(VLOOKUP(C42,'Train Runs'!$A$13:$AE$9930,1,1)=C42,VLOOKUP(C42,'Train Runs'!$A$13:$AE$9930,31,1),NA())</f>
        <v>#N/A</v>
      </c>
      <c r="S42" s="87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-05-14T05:36:28-0600',mode:absolute,to:'2017-05-14T07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/stypes="*4025*201705141*" /stext=" 12:.+((SYSTEM_STATE.+slice.+state.+changed )|(ment ac)|(multiple cpu faults)|(system.+state.+changed )|(\[timeout)|(PRM\|1\|D)|(kpr)|(kdp)|(train st.+moving)|(\|lc)|(penalty))"</v>
      </c>
      <c r="U42" s="9" t="str">
        <f>MID(B42,13,4)</f>
        <v>4025</v>
      </c>
      <c r="V42" s="31">
        <f>A42-utc_offset/24</f>
        <v>42869.534386574072</v>
      </c>
      <c r="W42" s="45" t="str">
        <f>IFERROR(IF(VALUE(LEFT(IF(LEN(C42)=6,"0"&amp;C42,C42),2))&lt;=2,"EC",IF(OR(VALUE(LEFT(IF(LEN(C42)=6,"0"&amp;C42,C42),2))=8,VALUE(LEFT(IF(LEN(C42)=6,"0"&amp;C42,C42),2))=18),"NW","Other")),"Other")</f>
        <v>NW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drop","project_id":79,"tracker_id":40,"status_id":1,"priority_id":2,"assigned_to_id":23,"start_date":"2017-05-14","description":"","custom_fields":[{"id":1,"name":"Subdivision","value":"NW"},{"id":4,"name":"Milepost","value":"1.9"},{"id":17,"name":"Train ID","value":"1802-14"},{"id":16,"name":"Locomotive ID","value":"4025"},{"id":130,"name":"Impact","value":""},{"id":150,"name":"Time of Event (Mountain Time)","value":"06:49:31"},{"id":151,"name":"Denver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-hrE -A400 ""Enforcement Action"" "&amp;"/cygdrive/c/Users/stu/AppData/Local/Temp/OnboardLogs"&amp;"/RTDC"&amp;U42&amp;"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/cygdrive/c/Users/stu/AppData/Local/Temp/OnboardLogs/RTDC4025 --include="*4025*201705141*"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"%USERPROFILE%\AppData\Local\Temp\OnboardLogs"\RTDC4025\*4025*201705141* &gt;&gt; 2017-05-14-SliceDisagreementCheck.txt</v>
      </c>
      <c r="AE42" s="148" t="str">
        <f t="shared" si="1"/>
        <v>start /low /b %USERPROFILE%\Documents\GitHub\eaglep3\Utilities\DownloadLogsFromS3.py --loco 4025 --day 2017-05-14</v>
      </c>
      <c r="AF42" s="1"/>
    </row>
    <row r="43" spans="1:32" x14ac:dyDescent="0.25">
      <c r="A43" s="31">
        <v>42869.265856481485</v>
      </c>
      <c r="B43" s="30" t="s">
        <v>452</v>
      </c>
      <c r="C43" s="30" t="s">
        <v>589</v>
      </c>
      <c r="D43" s="30" t="s">
        <v>49</v>
      </c>
      <c r="E43" s="30" t="s">
        <v>485</v>
      </c>
      <c r="F43" s="42">
        <v>0</v>
      </c>
      <c r="G43" s="42">
        <v>150</v>
      </c>
      <c r="H43" s="42">
        <v>3494</v>
      </c>
      <c r="I43" s="42">
        <v>3789</v>
      </c>
      <c r="J43" s="30" t="s">
        <v>486</v>
      </c>
      <c r="K43" s="42">
        <v>3998</v>
      </c>
      <c r="L43" s="134" t="s">
        <v>50</v>
      </c>
      <c r="M43" s="135">
        <f>CONVERT((I43-K43)/10000,"mi","ft")*IF(L43="Increasing Mileposts (1)",-1,1)</f>
        <v>110.352</v>
      </c>
      <c r="N43" s="136" t="str">
        <f>VLOOKUP(C43,'Trips&amp;Operators'!$C$1:$G$99999,5,FALSE)</f>
        <v>YORK EDGAR</v>
      </c>
      <c r="O43" s="207" t="s">
        <v>381</v>
      </c>
      <c r="P43" s="137" t="s">
        <v>579</v>
      </c>
      <c r="Q43" s="30"/>
      <c r="R43" s="84" t="e">
        <f>IF(VLOOKUP(C43,'Train Runs'!$A$13:$AE$9930,1,1)=C43,VLOOKUP(C43,'Train Runs'!$A$13:$AE$9930,31,1),NA())</f>
        <v>#N/A</v>
      </c>
      <c r="S43" s="87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-05-14T04:57:46-0600',mode:absolute,to:'2017-05-14T07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/stypes="*4026*201705141*" /stext=" 12:.+((SYSTEM_STATE.+slice.+state.+changed )|(ment ac)|(multiple cpu faults)|(system.+state.+changed )|(\[timeout)|(PRM\|1\|D)|(kpr)|(kdp)|(train st.+moving)|(\|lc)|(penalty))"</v>
      </c>
      <c r="U43" s="9" t="str">
        <f>MID(B43,13,4)</f>
        <v>4026</v>
      </c>
      <c r="V43" s="31">
        <f>A43-utc_offset/24</f>
        <v>42869.515856481485</v>
      </c>
      <c r="W43" s="45" t="str">
        <f>IFERROR(IF(VALUE(LEFT(IF(LEN(C43)=6,"0"&amp;C43,C43),2))&lt;=2,"EC",IF(OR(VALUE(LEFT(IF(LEN(C43)=6,"0"&amp;C43,C43),2))=8,VALUE(LEFT(IF(LEN(C43)=6,"0"&amp;C43,C43),2))=18),"NW","Other")),"Other")</f>
        <v>NW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drop","project_id":79,"tracker_id":40,"status_id":1,"priority_id":2,"assigned_to_id":23,"start_date":"2017-05-14","description":"","custom_fields":[{"id":1,"name":"Subdivision","value":"NW"},{"id":4,"name":"Milepost","value":"0.3998"},{"id":17,"name":"Train ID","value":"1801-14"},{"id":16,"name":"Locomotive ID","value":"4026"},{"id":130,"name":"Impact","value":""},{"id":150,"name":"Time of Event (Mountain Time)","value":"06:22:50"},{"id":151,"name":"Denver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-hrE -A400 ""Enforcement Action"" "&amp;"/cygdrive/c/Users/stu/AppData/Local/Temp/OnboardLogs"&amp;"/RTDC"&amp;U43&amp;"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/cygdrive/c/Users/stu/AppData/Local/Temp/OnboardLogs/RTDC4026 --include="*4026*201705141*"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"%USERPROFILE%\AppData\Local\Temp\OnboardLogs"\RTDC4026\*4026*201705141* &gt;&gt; 2017-05-14-SliceDisagreementCheck.txt</v>
      </c>
      <c r="AE43" s="148" t="str">
        <f t="shared" si="1"/>
        <v>start /low /b %USERPROFILE%\Documents\GitHub\eaglep3\Utilities\DownloadLogsFromS3.py --loco 4026 --day 2017-05-14</v>
      </c>
      <c r="AF43" s="1"/>
    </row>
    <row r="44" spans="1:32" x14ac:dyDescent="0.25">
      <c r="A44" s="31">
        <v>42869.496192129627</v>
      </c>
      <c r="B44" s="30" t="s">
        <v>451</v>
      </c>
      <c r="C44" s="30" t="s">
        <v>601</v>
      </c>
      <c r="D44" s="30" t="s">
        <v>49</v>
      </c>
      <c r="E44" s="30" t="s">
        <v>185</v>
      </c>
      <c r="F44" s="42">
        <v>0</v>
      </c>
      <c r="G44" s="42">
        <v>40</v>
      </c>
      <c r="H44" s="42">
        <v>724</v>
      </c>
      <c r="I44" s="42">
        <v>703</v>
      </c>
      <c r="J44" s="30" t="s">
        <v>186</v>
      </c>
      <c r="K44" s="42">
        <v>575</v>
      </c>
      <c r="L44" s="134" t="s">
        <v>51</v>
      </c>
      <c r="M44" s="135">
        <f>CONVERT((I44-K44)/10000,"mi","ft")*IF(L44="Increasing Mileposts (1)",-1,1)</f>
        <v>67.584000000000003</v>
      </c>
      <c r="N44" s="136" t="str">
        <f>VLOOKUP(C44,'Trips&amp;Operators'!$C$1:$G$99999,5,FALSE)</f>
        <v>YORK EDGAR</v>
      </c>
      <c r="O44" s="207" t="s">
        <v>184</v>
      </c>
      <c r="P44" s="137"/>
      <c r="Q44" s="30"/>
      <c r="R44" s="84" t="str">
        <f>IF(VLOOKUP(C44,'Train Runs'!$A$13:$AE$9930,1,1)=C44,VLOOKUP(C44,'Train Runs'!$A$13:$AE$9930,31,1),NA())</f>
        <v>aws s3 cp s3://rtdc.mdm.uploadarchive.raw/RTDC4025/ "%USERPROFILE%\AppData\Local\Temp\OnboardLogs"\RTDC4025\2017-05-14 --exclude "*" --recursive --include "*20170514*" &amp; "%USERPROFILE%\Documents\GitHub\mrs-test-scripts\Headless Mode &amp; Sideloading\WalkAndUnGZ.bat" "%USERPROFILE%\AppData\Local\Temp\OnboardLogs"\RTDC4025\2017-05-14 &amp; 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</v>
      </c>
      <c r="S44" s="87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-05-14T10:35:45-0600',mode:absolute,to:'2017-05-14T12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89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/stypes="*4025*201705141*" /stext=" 17:.+((SYSTEM_STATE.+slice.+state.+changed )|(ment ac)|(multiple cpu faults)|(system.+state.+changed )|(\[timeout)|(PRM\|1\|D)|(kpr)|(kdp)|(train st.+moving)|(\|lc)|(penalty))"</v>
      </c>
      <c r="U44" s="9" t="str">
        <f>MID(B44,13,4)</f>
        <v>4025</v>
      </c>
      <c r="V44" s="31">
        <f>A44-utc_offset/24</f>
        <v>42869.746192129627</v>
      </c>
      <c r="W44" s="45" t="str">
        <f>IFERROR(IF(VALUE(LEFT(IF(LEN(C44)=6,"0"&amp;C44,C44),2))&lt;=2,"EC",IF(OR(VALUE(LEFT(IF(LEN(C44)=6,"0"&amp;C44,C44),2))=8,VALUE(LEFT(IF(LEN(C44)=6,"0"&amp;C44,C44),2))=18),"NW","Other")),"Other")</f>
        <v>NW</v>
      </c>
      <c r="X44" s="45" t="str">
        <f>IF(AND(E44="TRACK WARRANT AUTHORITY",G44&lt;10),"OMIT","KEEP")</f>
        <v>KEEP</v>
      </c>
      <c r="Y44" s="9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{"issue":{"subject":"","project_id":79,"tracker_id":40,"status_id":1,"priority_id":2,"assigned_to_id":23,"start_date":"2017-05-14","description":"","custom_fields":[{"id":1,"name":"Subdivision","value":"NW"},{"id":4,"name":"Milepost","value":"0.0575"},{"id":17,"name":"Train ID","value":"1812-14"},{"id":16,"name":"Locomotive ID","value":"4025"},{"id":130,"name":"Impact","value":""},{"id":150,"name":"Time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>"grep -hrE -A400 ""Enforcement Action"" "&amp;"/cygdrive/c/Users/stu/AppData/Local/Temp/OnboardLogs"&amp;"/RTDC"&amp;U44&amp;"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/cygdrive/c/Users/stu/AppData/Local/Temp/OnboardLogs/RTDC4025 --include="*4025*201705141*"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"%USERPROFILE%\AppData\Local\Temp\OnboardLogs"\RTDC4025\*4025*201705141* &gt;&gt; 2017-05-14-SliceDisagreementCheck.txt</v>
      </c>
      <c r="AE44" s="148" t="str">
        <f t="shared" si="1"/>
        <v>start /low /b %USERPROFILE%\Documents\GitHub\eaglep3\Utilities\DownloadLogsFromS3.py --loco 4025 --day 2017-05-14</v>
      </c>
      <c r="AF44" s="1"/>
    </row>
    <row r="45" spans="1:32" x14ac:dyDescent="0.25">
      <c r="A45" s="31">
        <v>42869.740162037036</v>
      </c>
      <c r="B45" s="30" t="s">
        <v>368</v>
      </c>
      <c r="C45" s="30" t="s">
        <v>616</v>
      </c>
      <c r="D45" s="30" t="s">
        <v>49</v>
      </c>
      <c r="E45" s="30" t="s">
        <v>185</v>
      </c>
      <c r="F45" s="42">
        <v>0</v>
      </c>
      <c r="G45" s="42">
        <v>94</v>
      </c>
      <c r="H45" s="42">
        <v>373</v>
      </c>
      <c r="I45" s="42">
        <v>278</v>
      </c>
      <c r="J45" s="30" t="s">
        <v>186</v>
      </c>
      <c r="K45" s="42">
        <v>1</v>
      </c>
      <c r="L45" s="134" t="s">
        <v>51</v>
      </c>
      <c r="M45" s="135">
        <f>CONVERT((I45-K45)/10000,"mi","ft")*IF(L45="Increasing Mileposts (1)",-1,1)</f>
        <v>146.256</v>
      </c>
      <c r="N45" s="136" t="str">
        <f>VLOOKUP(C45,'Trips&amp;Operators'!$C$1:$G$99999,5,FALSE)</f>
        <v>PERKINS DARREN</v>
      </c>
      <c r="O45" s="207" t="s">
        <v>184</v>
      </c>
      <c r="P45" s="137"/>
      <c r="Q45" s="30"/>
      <c r="R45" s="84" t="str">
        <f>IF(VLOOKUP(C45,'Train Runs'!$A$13:$AE$9930,1,1)=C45,VLOOKUP(C45,'Train Runs'!$A$13:$AE$9930,31,1),NA())</f>
        <v>aws s3 cp s3://rtdc.mdm.uploadarchive.raw/RTDC4022/ "%USERPROFILE%\AppData\Local\Temp\OnboardLogs"\RTDC4022\2017-05-14 --exclude "*" --recursive --include "*20170514*" &amp; "%USERPROFILE%\Documents\GitHub\mrs-test-scripts\Headless Mode &amp; Sideloading\WalkAndUnGZ.bat" "%USERPROFILE%\AppData\Local\Temp\OnboardLogs"\RTDC4022\2017-05-14 &amp; 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</v>
      </c>
      <c r="S45" s="87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-05-14T16:41:24-0600',mode:absolute,to:'2017-05-14T19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89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/stypes="*4017*201705142*" /stext=" 23:.+((SYSTEM_STATE.+slice.+state.+changed )|(ment ac)|(multiple cpu faults)|(system.+state.+changed )|(\[timeout)|(PRM\|1\|D)|(kpr)|(kdp)|(train st.+moving)|(\|lc)|(penalty))"</v>
      </c>
      <c r="U45" s="9" t="str">
        <f>MID(B45,13,4)</f>
        <v>4017</v>
      </c>
      <c r="V45" s="31">
        <f>A45-utc_offset/24</f>
        <v>42869.990162037036</v>
      </c>
      <c r="W45" s="45" t="str">
        <f>IFERROR(IF(VALUE(LEFT(IF(LEN(C45)=6,"0"&amp;C45,C45),2))&lt;=2,"EC",IF(OR(VALUE(LEFT(IF(LEN(C45)=6,"0"&amp;C45,C45),2))=8,VALUE(LEFT(IF(LEN(C45)=6,"0"&amp;C45,C45),2))=18),"NW","Other")),"Other")</f>
        <v>Other</v>
      </c>
      <c r="X45" s="45" t="str">
        <f>IF(AND(E45="TRACK WARRANT AUTHORITY",G45&lt;10),"OMIT","KEEP")</f>
        <v>KEEP</v>
      </c>
      <c r="Y45" s="9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{"issue":{"subject":"","project_id":79,"tracker_id":40,"status_id":1,"priority_id":2,"assigned_to_id":23,"start_date":"2017-05-14","description":"","custom_fields":[{"id":1,"name":"Subdivision","value":"Other"},{"id":4,"name":"Milepost","value":"0.0001"},{"id":17,"name":"Train ID","value":"65-14"},{"id":16,"name":"Locomotive ID","value":"4017"},{"id":130,"name":"Impact","value":""},{"id":150,"name":"Time of Event (Mountain Time)","value":"17:45:50"},{"id":151,"name":"Denver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>"grep -hrE -A400 ""Enforcement Action"" "&amp;"/cygdrive/c/Users/stu/AppData/Local/Temp/OnboardLogs"&amp;"/RTDC"&amp;U45&amp;"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/cygdrive/c/Users/stu/AppData/Local/Temp/OnboardLogs/RTDC4017 --include="*4017*201705142*"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"%USERPROFILE%\AppData\Local\Temp\OnboardLogs"\RTDC4017\*4017*201705142* &gt;&gt; 2017-05-14-SliceDisagreementCheck.txt</v>
      </c>
      <c r="AE45" s="148" t="str">
        <f t="shared" si="1"/>
        <v>start /low /b %USERPROFILE%\Documents\GitHub\eaglep3\Utilities\DownloadLogsFromS3.py --loco 4017 --day 2017-05-14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</sheetData>
  <autoFilter ref="A6:AC61">
    <sortState ref="A7:AC62">
      <sortCondition ref="W7:W46"/>
      <sortCondition ref="E7:E46"/>
      <sortCondition ref="K7:K46"/>
      <sortCondition ref="F7:F46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2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2017-05-14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201</v>
      </c>
      <c r="B3" s="42" t="str">
        <f>A3&amp;"-"&amp;IF(DAY(Variables!$A$2)&lt;10,0,"")&amp;DAY(Variables!$A$2)</f>
        <v>201-14</v>
      </c>
      <c r="C3" s="138"/>
      <c r="D3" s="156"/>
      <c r="E3" s="30" t="s">
        <v>1022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22201-14%22)),sort:!(Time.ISO8601,asc))</v>
      </c>
      <c r="J3" s="30" t="e">
        <f>VLOOKUP(B3,'Train Runs'!$A$13:$A$99927,1,FALSE)</f>
        <v>#N/A</v>
      </c>
    </row>
    <row r="4" spans="1:10" x14ac:dyDescent="0.25">
      <c r="A4" s="190">
        <v>202</v>
      </c>
      <c r="B4" s="42" t="str">
        <f>A4&amp;"-"&amp;IF(DAY(Variables!$A$2)&lt;10,0,"")&amp;DAY(Variables!$A$2)</f>
        <v>202-14</v>
      </c>
      <c r="C4" s="138"/>
      <c r="D4" s="156"/>
      <c r="E4" s="30" t="s">
        <v>1022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22202-14%22)),sort:!(Time.ISO8601,asc))</v>
      </c>
      <c r="J4" s="30" t="e">
        <f>VLOOKUP(B4,'Train Runs'!$A$13:$A$99927,1,FALSE)</f>
        <v>#N/A</v>
      </c>
    </row>
    <row r="5" spans="1:10" x14ac:dyDescent="0.25">
      <c r="A5" s="190"/>
      <c r="B5" s="42" t="str">
        <f>A5&amp;"-"&amp;IF(DAY(Variables!$A$2)&lt;10,0,"")&amp;DAY(Variables!$A$2)</f>
        <v>-14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" s="30" t="e">
        <f>VLOOKUP(B5,'Train Runs'!$A$13:$A$99927,1,FALSE)</f>
        <v>#N/A</v>
      </c>
    </row>
    <row r="6" spans="1:10" x14ac:dyDescent="0.25">
      <c r="A6" s="190"/>
      <c r="B6" s="42" t="str">
        <f>A6&amp;"-"&amp;IF(DAY(Variables!$A$2)&lt;10,0,"")&amp;DAY(Variables!$A$2)</f>
        <v>-14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" s="30" t="e">
        <f>VLOOKUP(B6,'Train Runs'!$A$13:$A$99927,1,FALSE)</f>
        <v>#N/A</v>
      </c>
    </row>
    <row r="7" spans="1:10" x14ac:dyDescent="0.25">
      <c r="A7" s="190"/>
      <c r="B7" s="42" t="str">
        <f>A7&amp;"-"&amp;IF(DAY(Variables!$A$2)&lt;10,0,"")&amp;DAY(Variables!$A$2)</f>
        <v>-14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7" s="30" t="e">
        <f>VLOOKUP(B7,'Train Runs'!$A$13:$A$99927,1,FALSE)</f>
        <v>#N/A</v>
      </c>
    </row>
    <row r="8" spans="1:10" x14ac:dyDescent="0.25">
      <c r="A8" s="190"/>
      <c r="B8" s="42" t="str">
        <f>A8&amp;"-"&amp;IF(DAY(Variables!$A$2)&lt;10,0,"")&amp;DAY(Variables!$A$2)</f>
        <v>-14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8" s="30" t="e">
        <f>VLOOKUP(B8,'Train Runs'!$A$13:$A$99927,1,FALSE)</f>
        <v>#N/A</v>
      </c>
    </row>
    <row r="9" spans="1:10" x14ac:dyDescent="0.25">
      <c r="A9" s="190"/>
      <c r="B9" s="42" t="str">
        <f>A9&amp;"-"&amp;IF(DAY(Variables!$A$2)&lt;10,0,"")&amp;DAY(Variables!$A$2)</f>
        <v>-14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Runs'!$A$13:$A$99927,1,FALSE)</f>
        <v>#N/A</v>
      </c>
    </row>
    <row r="10" spans="1:10" x14ac:dyDescent="0.25">
      <c r="A10" s="190"/>
      <c r="B10" s="42" t="str">
        <f>A10&amp;"-"&amp;IF(DAY(Variables!$A$2)&lt;10,0,"")&amp;DAY(Variables!$A$2)</f>
        <v>-14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Runs'!$A$13:$A$99927,1,FALSE)</f>
        <v>#N/A</v>
      </c>
    </row>
    <row r="11" spans="1:10" x14ac:dyDescent="0.25">
      <c r="A11" s="190"/>
      <c r="B11" s="42" t="str">
        <f>A11&amp;"-"&amp;IF(DAY(Variables!$A$2)&lt;10,0,"")&amp;DAY(Variables!$A$2)</f>
        <v>-14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Runs'!$A$13:$A$99927,1,FALSE)</f>
        <v>#N/A</v>
      </c>
    </row>
    <row r="12" spans="1:10" x14ac:dyDescent="0.25">
      <c r="A12" s="190"/>
      <c r="B12" s="42" t="str">
        <f>A12&amp;"-"&amp;IF(DAY(Variables!$A$2)&lt;10,0,"")&amp;DAY(Variables!$A$2)</f>
        <v>-14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Runs'!$A$13:$A$99927,1,FALSE)</f>
        <v>#N/A</v>
      </c>
    </row>
    <row r="13" spans="1:10" x14ac:dyDescent="0.25">
      <c r="A13" s="190"/>
      <c r="B13" s="42" t="str">
        <f>A13&amp;"-"&amp;IF(DAY(Variables!$A$2)&lt;10,0,"")&amp;DAY(Variables!$A$2)</f>
        <v>-14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Runs'!$A$13:$A$99927,1,FALSE)</f>
        <v>#N/A</v>
      </c>
    </row>
    <row r="14" spans="1:10" x14ac:dyDescent="0.25">
      <c r="A14" s="190"/>
      <c r="B14" s="42" t="str">
        <f>A14&amp;"-"&amp;IF(DAY(Variables!$A$2)&lt;10,0,"")&amp;DAY(Variables!$A$2)</f>
        <v>-14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Runs'!$A$13:$A$99927,1,FALSE)</f>
        <v>#N/A</v>
      </c>
    </row>
    <row r="15" spans="1:10" x14ac:dyDescent="0.25">
      <c r="A15" s="190"/>
      <c r="B15" s="42" t="str">
        <f>A15&amp;"-"&amp;IF(DAY(Variables!$A$2)&lt;10,0,"")&amp;DAY(Variables!$A$2)</f>
        <v>-14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Runs'!$A$13:$A$99927,1,FALSE)</f>
        <v>#N/A</v>
      </c>
    </row>
    <row r="16" spans="1:10" x14ac:dyDescent="0.25">
      <c r="A16" s="190"/>
      <c r="B16" s="42" t="str">
        <f>A16&amp;"-"&amp;IF(DAY(Variables!$A$2)&lt;10,0,"")&amp;DAY(Variables!$A$2)</f>
        <v>-14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Runs'!$A$13:$A$99927,1,FALSE)</f>
        <v>#N/A</v>
      </c>
    </row>
    <row r="17" spans="1:10" x14ac:dyDescent="0.25">
      <c r="A17" s="190"/>
      <c r="B17" s="42" t="str">
        <f>A17&amp;"-"&amp;IF(DAY(Variables!$A$2)&lt;10,0,"")&amp;DAY(Variables!$A$2)</f>
        <v>-14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Runs'!$A$13:$A$99927,1,FALSE)</f>
        <v>#N/A</v>
      </c>
    </row>
    <row r="18" spans="1:10" x14ac:dyDescent="0.25">
      <c r="A18" s="190"/>
      <c r="B18" s="42" t="str">
        <f>A18&amp;"-"&amp;IF(DAY(Variables!$A$2)&lt;10,0,"")&amp;DAY(Variables!$A$2)</f>
        <v>-14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Runs'!$A$13:$A$99927,1,FALSE)</f>
        <v>#N/A</v>
      </c>
    </row>
    <row r="19" spans="1:10" x14ac:dyDescent="0.25">
      <c r="A19" s="190"/>
      <c r="B19" s="42" t="str">
        <f>A19&amp;"-"&amp;IF(DAY(Variables!$A$2)&lt;10,0,"")&amp;DAY(Variables!$A$2)</f>
        <v>-14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Runs'!$A$13:$A$99927,1,FALSE)</f>
        <v>#N/A</v>
      </c>
    </row>
    <row r="20" spans="1:10" x14ac:dyDescent="0.25">
      <c r="A20" s="190"/>
      <c r="B20" s="42" t="str">
        <f>A20&amp;"-"&amp;IF(DAY(Variables!$A$2)&lt;10,0,"")&amp;DAY(Variables!$A$2)</f>
        <v>-14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Runs'!$A$13:$A$99927,1,FALSE)</f>
        <v>#N/A</v>
      </c>
    </row>
    <row r="21" spans="1:10" x14ac:dyDescent="0.25">
      <c r="A21" s="190"/>
      <c r="B21" s="42" t="str">
        <f>A21&amp;"-"&amp;IF(DAY(Variables!$A$2)&lt;10,0,"")&amp;DAY(Variables!$A$2)</f>
        <v>-14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Runs'!$A$13:$A$99927,1,FALSE)</f>
        <v>#N/A</v>
      </c>
    </row>
    <row r="22" spans="1:10" x14ac:dyDescent="0.25">
      <c r="A22" s="190"/>
      <c r="B22" s="42" t="str">
        <f>A22&amp;"-"&amp;IF(DAY(Variables!$A$2)&lt;10,0,"")&amp;DAY(Variables!$A$2)</f>
        <v>-14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Runs'!$A$13:$A$99927,1,FALSE)</f>
        <v>#N/A</v>
      </c>
    </row>
    <row r="23" spans="1:10" x14ac:dyDescent="0.25">
      <c r="A23" s="190"/>
      <c r="B23" s="42" t="str">
        <f>A23&amp;"-"&amp;IF(DAY(Variables!$A$2)&lt;10,0,"")&amp;DAY(Variables!$A$2)</f>
        <v>-14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Runs'!$A$13:$A$99927,1,FALSE)</f>
        <v>#N/A</v>
      </c>
    </row>
    <row r="24" spans="1:10" x14ac:dyDescent="0.25">
      <c r="A24" s="190"/>
      <c r="B24" s="42" t="str">
        <f>A24&amp;"-"&amp;IF(DAY(Variables!$A$2)&lt;10,0,"")&amp;DAY(Variables!$A$2)</f>
        <v>-14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Runs'!$A$13:$A$99927,1,FALSE)</f>
        <v>#N/A</v>
      </c>
    </row>
    <row r="25" spans="1:10" x14ac:dyDescent="0.25">
      <c r="A25" s="190"/>
      <c r="B25" s="42" t="str">
        <f>A25&amp;"-"&amp;IF(DAY(Variables!$A$2)&lt;10,0,"")&amp;DAY(Variables!$A$2)</f>
        <v>-14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Runs'!$A$13:$A$99927,1,FALSE)</f>
        <v>#N/A</v>
      </c>
    </row>
    <row r="26" spans="1:10" x14ac:dyDescent="0.25">
      <c r="A26" s="190"/>
      <c r="B26" s="42" t="str">
        <f>A26&amp;"-"&amp;IF(DAY(Variables!$A$2)&lt;10,0,"")&amp;DAY(Variables!$A$2)</f>
        <v>-14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6" s="30" t="e">
        <f>VLOOKUP(B26,'Train Runs'!$A$13:$A$99927,1,FALSE)</f>
        <v>#N/A</v>
      </c>
    </row>
    <row r="27" spans="1:10" x14ac:dyDescent="0.25">
      <c r="A27" s="190"/>
      <c r="B27" s="42" t="str">
        <f>A27&amp;"-"&amp;IF(DAY(Variables!$A$2)&lt;10,0,"")&amp;DAY(Variables!$A$2)</f>
        <v>-14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7" s="30" t="e">
        <f>VLOOKUP(B27,'Train Runs'!$A$13:$A$99927,1,FALSE)</f>
        <v>#N/A</v>
      </c>
    </row>
    <row r="28" spans="1:10" x14ac:dyDescent="0.25">
      <c r="A28" s="190"/>
      <c r="B28" s="42" t="str">
        <f>A28&amp;"-"&amp;IF(DAY(Variables!$A$2)&lt;10,0,"")&amp;DAY(Variables!$A$2)</f>
        <v>-14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8" s="30" t="e">
        <f>VLOOKUP(B28,'Train Runs'!$A$13:$A$99927,1,FALSE)</f>
        <v>#N/A</v>
      </c>
    </row>
    <row r="29" spans="1:10" x14ac:dyDescent="0.25">
      <c r="A29" s="190"/>
      <c r="B29" s="42" t="str">
        <f>A29&amp;"-"&amp;IF(DAY(Variables!$A$2)&lt;10,0,"")&amp;DAY(Variables!$A$2)</f>
        <v>-14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9" s="30" t="e">
        <f>VLOOKUP(B29,'Train Runs'!$A$13:$A$99927,1,FALSE)</f>
        <v>#N/A</v>
      </c>
    </row>
    <row r="30" spans="1:10" x14ac:dyDescent="0.25">
      <c r="A30" s="190"/>
      <c r="B30" s="42" t="str">
        <f>A30&amp;"-"&amp;IF(DAY(Variables!$A$2)&lt;10,0,"")&amp;DAY(Variables!$A$2)</f>
        <v>-14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0" s="30" t="e">
        <f>VLOOKUP(B30,'Train Runs'!$A$13:$A$99927,1,FALSE)</f>
        <v>#N/A</v>
      </c>
    </row>
    <row r="31" spans="1:10" x14ac:dyDescent="0.25">
      <c r="A31" s="190"/>
      <c r="B31" s="42" t="str">
        <f>A31&amp;"-"&amp;IF(DAY(Variables!$A$2)&lt;10,0,"")&amp;DAY(Variables!$A$2)</f>
        <v>-14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1" s="30" t="e">
        <f>VLOOKUP(B31,'Train Runs'!$A$13:$A$99927,1,FALSE)</f>
        <v>#N/A</v>
      </c>
    </row>
    <row r="32" spans="1:10" x14ac:dyDescent="0.25">
      <c r="A32" s="190"/>
      <c r="B32" s="42" t="str">
        <f>A32&amp;"-"&amp;IF(DAY(Variables!$A$2)&lt;10,0,"")&amp;DAY(Variables!$A$2)</f>
        <v>-14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2" s="30" t="e">
        <f>VLOOKUP(B32,'Train Runs'!$A$13:$A$99927,1,FALSE)</f>
        <v>#N/A</v>
      </c>
    </row>
    <row r="33" spans="1:10" x14ac:dyDescent="0.25">
      <c r="A33" s="190"/>
      <c r="B33" s="42" t="str">
        <f>A33&amp;"-"&amp;IF(DAY(Variables!$A$2)&lt;10,0,"")&amp;DAY(Variables!$A$2)</f>
        <v>-14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3" s="30" t="e">
        <f>VLOOKUP(B33,'Train Runs'!$A$13:$A$99927,1,FALSE)</f>
        <v>#N/A</v>
      </c>
    </row>
    <row r="34" spans="1:10" x14ac:dyDescent="0.25">
      <c r="A34" s="190"/>
      <c r="B34" s="42" t="str">
        <f>A34&amp;"-"&amp;IF(DAY(Variables!$A$2)&lt;10,0,"")&amp;DAY(Variables!$A$2)</f>
        <v>-14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4" s="30" t="e">
        <f>VLOOKUP(B34,'Train Runs'!$A$13:$A$99927,1,FALSE)</f>
        <v>#N/A</v>
      </c>
    </row>
    <row r="35" spans="1:10" x14ac:dyDescent="0.25">
      <c r="A35" s="190"/>
      <c r="B35" s="42" t="str">
        <f>A35&amp;"-"&amp;IF(DAY(Variables!$A$2)&lt;10,0,"")&amp;DAY(Variables!$A$2)</f>
        <v>-14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5" s="30" t="e">
        <f>VLOOKUP(B35,'Train Runs'!$A$13:$A$99927,1,FALSE)</f>
        <v>#N/A</v>
      </c>
    </row>
    <row r="36" spans="1:10" x14ac:dyDescent="0.25">
      <c r="A36" s="190"/>
      <c r="B36" s="42" t="str">
        <f>A36&amp;"-"&amp;IF(DAY(Variables!$A$2)&lt;10,0,"")&amp;DAY(Variables!$A$2)</f>
        <v>-14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6" s="30" t="e">
        <f>VLOOKUP(B36,'Train Runs'!$A$13:$A$99927,1,FALSE)</f>
        <v>#N/A</v>
      </c>
    </row>
    <row r="37" spans="1:10" x14ac:dyDescent="0.25">
      <c r="A37" s="190"/>
      <c r="B37" s="42" t="str">
        <f>A37&amp;"-"&amp;IF(DAY(Variables!$A$2)&lt;10,0,"")&amp;DAY(Variables!$A$2)</f>
        <v>-14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7" s="30" t="e">
        <f>VLOOKUP(B37,'Train Runs'!$A$13:$A$99927,1,FALSE)</f>
        <v>#N/A</v>
      </c>
    </row>
    <row r="38" spans="1:10" x14ac:dyDescent="0.25">
      <c r="A38" s="190"/>
      <c r="B38" s="42" t="str">
        <f>A38&amp;"-"&amp;IF(DAY(Variables!$A$2)&lt;10,0,"")&amp;DAY(Variables!$A$2)</f>
        <v>-14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8" s="30" t="e">
        <f>VLOOKUP(B38,'Train Runs'!$A$13:$A$99927,1,FALSE)</f>
        <v>#N/A</v>
      </c>
    </row>
    <row r="39" spans="1:10" x14ac:dyDescent="0.25">
      <c r="A39" s="190"/>
      <c r="B39" s="42" t="str">
        <f>A39&amp;"-"&amp;IF(DAY(Variables!$A$2)&lt;10,0,"")&amp;DAY(Variables!$A$2)</f>
        <v>-14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39" s="30" t="e">
        <f>VLOOKUP(B39,'Train Runs'!$A$13:$A$99927,1,FALSE)</f>
        <v>#N/A</v>
      </c>
    </row>
    <row r="40" spans="1:10" x14ac:dyDescent="0.25">
      <c r="A40" s="190"/>
      <c r="B40" s="42" t="str">
        <f>A40&amp;"-"&amp;IF(DAY(Variables!$A$2)&lt;10,0,"")&amp;DAY(Variables!$A$2)</f>
        <v>-14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0" s="30" t="e">
        <f>VLOOKUP(B40,'Train Runs'!$A$13:$A$99927,1,FALSE)</f>
        <v>#N/A</v>
      </c>
    </row>
    <row r="41" spans="1:10" x14ac:dyDescent="0.25">
      <c r="A41" s="190"/>
      <c r="B41" s="42" t="str">
        <f>A41&amp;"-"&amp;IF(DAY(Variables!$A$2)&lt;10,0,"")&amp;DAY(Variables!$A$2)</f>
        <v>-14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1" s="30" t="e">
        <f>VLOOKUP(B41,'Train Runs'!$A$13:$A$99927,1,FALSE)</f>
        <v>#N/A</v>
      </c>
    </row>
    <row r="42" spans="1:10" x14ac:dyDescent="0.25">
      <c r="A42" s="190"/>
      <c r="B42" s="42" t="str">
        <f>A42&amp;"-"&amp;IF(DAY(Variables!$A$2)&lt;10,0,"")&amp;DAY(Variables!$A$2)</f>
        <v>-14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2" s="30" t="e">
        <f>VLOOKUP(B42,'Train Runs'!$A$13:$A$99927,1,FALSE)</f>
        <v>#N/A</v>
      </c>
    </row>
    <row r="43" spans="1:10" x14ac:dyDescent="0.25">
      <c r="A43" s="190"/>
      <c r="B43" s="42" t="str">
        <f>A43&amp;"-"&amp;IF(DAY(Variables!$A$2)&lt;10,0,"")&amp;DAY(Variables!$A$2)</f>
        <v>-14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3" s="30" t="e">
        <f>VLOOKUP(B43,'Train Runs'!$A$13:$A$99927,1,FALSE)</f>
        <v>#N/A</v>
      </c>
    </row>
    <row r="44" spans="1:10" x14ac:dyDescent="0.25">
      <c r="A44" s="190"/>
      <c r="B44" s="42" t="str">
        <f>A44&amp;"-"&amp;IF(DAY(Variables!$A$2)&lt;10,0,"")&amp;DAY(Variables!$A$2)</f>
        <v>-14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4" s="30" t="e">
        <f>VLOOKUP(B44,'Train Runs'!$A$13:$A$99927,1,FALSE)</f>
        <v>#N/A</v>
      </c>
    </row>
    <row r="45" spans="1:10" x14ac:dyDescent="0.25">
      <c r="A45" s="190"/>
      <c r="B45" s="42" t="str">
        <f>A45&amp;"-"&amp;IF(DAY(Variables!$A$2)&lt;10,0,"")&amp;DAY(Variables!$A$2)</f>
        <v>-14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5" s="30" t="e">
        <f>VLOOKUP(B45,'Train Runs'!$A$13:$A$99927,1,FALSE)</f>
        <v>#N/A</v>
      </c>
    </row>
    <row r="46" spans="1:10" x14ac:dyDescent="0.25">
      <c r="A46" s="190"/>
      <c r="B46" s="42" t="str">
        <f>A46&amp;"-"&amp;IF(DAY(Variables!$A$2)&lt;10,0,"")&amp;DAY(Variables!$A$2)</f>
        <v>-14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6" s="30" t="e">
        <f>VLOOKUP(B46,'Train Runs'!$A$13:$A$99927,1,FALSE)</f>
        <v>#N/A</v>
      </c>
    </row>
    <row r="47" spans="1:10" x14ac:dyDescent="0.25">
      <c r="A47" s="190"/>
      <c r="B47" s="42" t="str">
        <f>A47&amp;"-"&amp;IF(DAY(Variables!$A$2)&lt;10,0,"")&amp;DAY(Variables!$A$2)</f>
        <v>-14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7" s="30" t="e">
        <f>VLOOKUP(B47,'Train Runs'!$A$13:$A$99927,1,FALSE)</f>
        <v>#N/A</v>
      </c>
    </row>
    <row r="48" spans="1:10" x14ac:dyDescent="0.25">
      <c r="A48" s="190"/>
      <c r="B48" s="42" t="str">
        <f>A48&amp;"-"&amp;IF(DAY(Variables!$A$2)&lt;10,0,"")&amp;DAY(Variables!$A$2)</f>
        <v>-14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8" s="30" t="e">
        <f>VLOOKUP(B48,'Train Runs'!$A$13:$A$99927,1,FALSE)</f>
        <v>#N/A</v>
      </c>
    </row>
    <row r="49" spans="1:10" x14ac:dyDescent="0.25">
      <c r="A49" s="190"/>
      <c r="B49" s="42" t="str">
        <f>A49&amp;"-"&amp;IF(DAY(Variables!$A$2)&lt;10,0,"")&amp;DAY(Variables!$A$2)</f>
        <v>-14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49" s="30" t="e">
        <f>VLOOKUP(B49,'Train Runs'!$A$13:$A$99927,1,FALSE)</f>
        <v>#N/A</v>
      </c>
    </row>
    <row r="50" spans="1:10" x14ac:dyDescent="0.25">
      <c r="A50" s="190"/>
      <c r="B50" s="42" t="str">
        <f>A50&amp;"-"&amp;IF(DAY(Variables!$A$2)&lt;10,0,"")&amp;DAY(Variables!$A$2)</f>
        <v>-14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0" s="30" t="e">
        <f>VLOOKUP(B50,'Train Runs'!$A$13:$A$99927,1,FALSE)</f>
        <v>#N/A</v>
      </c>
    </row>
    <row r="51" spans="1:10" x14ac:dyDescent="0.25">
      <c r="A51" s="190"/>
      <c r="B51" s="42" t="str">
        <f>A51&amp;"-"&amp;IF(DAY(Variables!$A$2)&lt;10,0,"")&amp;DAY(Variables!$A$2)</f>
        <v>-14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1" s="30" t="e">
        <f>VLOOKUP(B51,'Train Runs'!$A$13:$A$99927,1,FALSE)</f>
        <v>#N/A</v>
      </c>
    </row>
    <row r="52" spans="1:10" x14ac:dyDescent="0.25">
      <c r="A52" s="190"/>
      <c r="B52" s="42" t="str">
        <f>A52&amp;"-"&amp;IF(DAY(Variables!$A$2)&lt;10,0,"")&amp;DAY(Variables!$A$2)</f>
        <v>-14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2" s="30" t="e">
        <f>VLOOKUP(B52,'Train Runs'!$A$13:$A$99927,1,FALSE)</f>
        <v>#N/A</v>
      </c>
    </row>
    <row r="53" spans="1:10" x14ac:dyDescent="0.25">
      <c r="A53" s="190"/>
      <c r="B53" s="42" t="str">
        <f>A53&amp;"-"&amp;IF(DAY(Variables!$A$2)&lt;10,0,"")&amp;DAY(Variables!$A$2)</f>
        <v>-14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3" s="30" t="e">
        <f>VLOOKUP(B53,'Train Runs'!$A$13:$A$99927,1,FALSE)</f>
        <v>#N/A</v>
      </c>
    </row>
    <row r="54" spans="1:10" x14ac:dyDescent="0.25">
      <c r="A54" s="190"/>
      <c r="B54" s="42" t="str">
        <f>A54&amp;"-"&amp;IF(DAY(Variables!$A$2)&lt;10,0,"")&amp;DAY(Variables!$A$2)</f>
        <v>-14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4" s="30" t="e">
        <f>VLOOKUP(B54,'Train Runs'!$A$13:$A$99927,1,FALSE)</f>
        <v>#N/A</v>
      </c>
    </row>
    <row r="55" spans="1:10" x14ac:dyDescent="0.25">
      <c r="A55" s="190"/>
      <c r="B55" s="42" t="str">
        <f>A55&amp;"-"&amp;IF(DAY(Variables!$A$2)&lt;10,0,"")&amp;DAY(Variables!$A$2)</f>
        <v>-14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5" s="30" t="e">
        <f>VLOOKUP(B55,'Train Runs'!$A$13:$A$99927,1,FALSE)</f>
        <v>#N/A</v>
      </c>
    </row>
    <row r="56" spans="1:10" x14ac:dyDescent="0.25">
      <c r="A56" s="190"/>
      <c r="B56" s="42" t="str">
        <f>A56&amp;"-"&amp;IF(DAY(Variables!$A$2)&lt;10,0,"")&amp;DAY(Variables!$A$2)</f>
        <v>-14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6" s="30" t="e">
        <f>VLOOKUP(B56,'Train Runs'!$A$13:$A$99927,1,FALSE)</f>
        <v>#N/A</v>
      </c>
    </row>
    <row r="57" spans="1:10" x14ac:dyDescent="0.25">
      <c r="A57" s="190"/>
      <c r="B57" s="42" t="str">
        <f>A57&amp;"-"&amp;IF(DAY(Variables!$A$2)&lt;10,0,"")&amp;DAY(Variables!$A$2)</f>
        <v>-14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7" s="30" t="e">
        <f>VLOOKUP(B57,'Train Runs'!$A$13:$A$99927,1,FALSE)</f>
        <v>#N/A</v>
      </c>
    </row>
    <row r="58" spans="1:10" x14ac:dyDescent="0.25">
      <c r="A58" s="190"/>
      <c r="B58" s="42" t="str">
        <f>A58&amp;"-"&amp;IF(DAY(Variables!$A$2)&lt;10,0,"")&amp;DAY(Variables!$A$2)</f>
        <v>-14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8" s="30" t="e">
        <f>VLOOKUP(B58,'Train Runs'!$A$13:$A$99927,1,FALSE)</f>
        <v>#N/A</v>
      </c>
    </row>
    <row r="59" spans="1:10" x14ac:dyDescent="0.25">
      <c r="A59" s="190"/>
      <c r="B59" s="42" t="str">
        <f>A59&amp;"-"&amp;IF(DAY(Variables!$A$2)&lt;10,0,"")&amp;DAY(Variables!$A$2)</f>
        <v>-14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59" s="30" t="e">
        <f>VLOOKUP(B59,'Train Runs'!$A$13:$A$99927,1,FALSE)</f>
        <v>#N/A</v>
      </c>
    </row>
    <row r="60" spans="1:10" x14ac:dyDescent="0.25">
      <c r="A60" s="190"/>
      <c r="B60" s="42" t="str">
        <f>A60&amp;"-"&amp;IF(DAY(Variables!$A$2)&lt;10,0,"")&amp;DAY(Variables!$A$2)</f>
        <v>-14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0" s="30" t="e">
        <f>VLOOKUP(B60,'Train Runs'!$A$13:$A$99927,1,FALSE)</f>
        <v>#N/A</v>
      </c>
    </row>
    <row r="61" spans="1:10" x14ac:dyDescent="0.25">
      <c r="A61" s="190"/>
      <c r="B61" s="42" t="str">
        <f>A61&amp;"-"&amp;IF(DAY(Variables!$A$2)&lt;10,0,"")&amp;DAY(Variables!$A$2)</f>
        <v>-14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1" s="30" t="e">
        <f>VLOOKUP(B61,'Train Runs'!$A$13:$A$99927,1,FALSE)</f>
        <v>#N/A</v>
      </c>
    </row>
    <row r="62" spans="1:10" x14ac:dyDescent="0.25">
      <c r="A62" s="190"/>
      <c r="B62" s="42" t="str">
        <f>A62&amp;"-"&amp;IF(DAY(Variables!$A$2)&lt;10,0,"")&amp;DAY(Variables!$A$2)</f>
        <v>-14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2" s="30" t="e">
        <f>VLOOKUP(B62,'Train Runs'!$A$13:$A$99927,1,FALSE)</f>
        <v>#N/A</v>
      </c>
    </row>
    <row r="63" spans="1:10" x14ac:dyDescent="0.25">
      <c r="A63" s="190"/>
      <c r="B63" s="42" t="str">
        <f>A63&amp;"-"&amp;IF(DAY(Variables!$A$2)&lt;10,0,"")&amp;DAY(Variables!$A$2)</f>
        <v>-14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3" s="30" t="e">
        <f>VLOOKUP(B63,'Train Runs'!$A$13:$A$99927,1,FALSE)</f>
        <v>#N/A</v>
      </c>
    </row>
    <row r="64" spans="1:10" x14ac:dyDescent="0.25">
      <c r="A64" s="190"/>
      <c r="B64" s="42" t="str">
        <f>A64&amp;"-"&amp;IF(DAY(Variables!$A$2)&lt;10,0,"")&amp;DAY(Variables!$A$2)</f>
        <v>-14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4" s="30" t="e">
        <f>VLOOKUP(B64,'Train Runs'!$A$13:$A$99927,1,FALSE)</f>
        <v>#N/A</v>
      </c>
    </row>
    <row r="65" spans="1:10" x14ac:dyDescent="0.25">
      <c r="A65" s="190"/>
      <c r="B65" s="42" t="str">
        <f>A65&amp;"-"&amp;IF(DAY(Variables!$A$2)&lt;10,0,"")&amp;DAY(Variables!$A$2)</f>
        <v>-14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5" s="30" t="e">
        <f>VLOOKUP(B65,'Train Runs'!$A$13:$A$99927,1,FALSE)</f>
        <v>#N/A</v>
      </c>
    </row>
    <row r="66" spans="1:10" x14ac:dyDescent="0.25">
      <c r="A66" s="190"/>
      <c r="B66" s="42" t="str">
        <f>A66&amp;"-"&amp;IF(DAY(Variables!$A$2)&lt;10,0,"")&amp;DAY(Variables!$A$2)</f>
        <v>-14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6" s="30" t="e">
        <f>VLOOKUP(B66,'Train Runs'!$A$13:$A$99927,1,FALSE)</f>
        <v>#N/A</v>
      </c>
    </row>
    <row r="67" spans="1:10" x14ac:dyDescent="0.25">
      <c r="A67" s="190"/>
      <c r="B67" s="42" t="str">
        <f>A67&amp;"-"&amp;IF(DAY(Variables!$A$2)&lt;10,0,"")&amp;DAY(Variables!$A$2)</f>
        <v>-14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7" s="30" t="e">
        <f>VLOOKUP(B67,'Train Runs'!$A$13:$A$99927,1,FALSE)</f>
        <v>#N/A</v>
      </c>
    </row>
    <row r="68" spans="1:10" x14ac:dyDescent="0.25">
      <c r="A68" s="190"/>
      <c r="B68" s="42" t="str">
        <f>A68&amp;"-"&amp;IF(DAY(Variables!$A$2)&lt;10,0,"")&amp;DAY(Variables!$A$2)</f>
        <v>-14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68" s="30" t="e">
        <f>VLOOKUP(B68,'Train Runs'!$A$13:$A$99927,1,FALSE)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42869.034803240742</v>
      </c>
      <c r="B2" s="20" t="s">
        <v>622</v>
      </c>
      <c r="C2" s="20" t="s">
        <v>623</v>
      </c>
      <c r="D2" s="141">
        <v>3040000</v>
      </c>
      <c r="E2" s="20" t="s">
        <v>415</v>
      </c>
      <c r="F2" s="20" t="s">
        <v>416</v>
      </c>
      <c r="G2" s="8" t="str">
        <f>E2&amp;" "&amp;F2</f>
        <v>WILLIAMS DONTE</v>
      </c>
    </row>
    <row r="3" spans="1:7" x14ac:dyDescent="0.25">
      <c r="A3" s="8">
        <v>42869.036874999998</v>
      </c>
      <c r="B3" s="20" t="s">
        <v>622</v>
      </c>
      <c r="C3" s="20" t="s">
        <v>623</v>
      </c>
      <c r="D3" s="141">
        <v>3040000</v>
      </c>
      <c r="E3" s="20" t="s">
        <v>415</v>
      </c>
      <c r="F3" s="20" t="s">
        <v>416</v>
      </c>
      <c r="G3" s="8" t="str">
        <f t="shared" ref="G3:G66" si="0">E3&amp;" "&amp;F3</f>
        <v>WILLIAMS DONTE</v>
      </c>
    </row>
    <row r="4" spans="1:7" x14ac:dyDescent="0.25">
      <c r="A4" s="8">
        <v>42869.037048611113</v>
      </c>
      <c r="B4" s="20" t="s">
        <v>373</v>
      </c>
      <c r="C4" s="20" t="s">
        <v>624</v>
      </c>
      <c r="D4" s="141">
        <v>2270000</v>
      </c>
      <c r="E4" s="20" t="s">
        <v>468</v>
      </c>
      <c r="F4" s="20" t="s">
        <v>469</v>
      </c>
      <c r="G4" s="8" t="str">
        <f t="shared" si="0"/>
        <v>BROWN JACOB</v>
      </c>
    </row>
    <row r="5" spans="1:7" x14ac:dyDescent="0.25">
      <c r="A5" s="8">
        <v>42869.039814814816</v>
      </c>
      <c r="B5" s="20" t="s">
        <v>622</v>
      </c>
      <c r="C5" s="20" t="s">
        <v>625</v>
      </c>
      <c r="D5" s="141">
        <v>3040000</v>
      </c>
      <c r="E5" s="20" t="s">
        <v>415</v>
      </c>
      <c r="F5" s="20" t="s">
        <v>416</v>
      </c>
      <c r="G5" s="8" t="str">
        <f t="shared" si="0"/>
        <v>WILLIAMS DONTE</v>
      </c>
    </row>
    <row r="6" spans="1:7" x14ac:dyDescent="0.25">
      <c r="A6" s="8">
        <v>42869.046782407408</v>
      </c>
      <c r="B6" s="20" t="s">
        <v>488</v>
      </c>
      <c r="C6" s="20" t="s">
        <v>626</v>
      </c>
      <c r="D6" s="141">
        <v>2230000</v>
      </c>
      <c r="E6" s="20" t="s">
        <v>346</v>
      </c>
      <c r="F6" s="20" t="s">
        <v>196</v>
      </c>
      <c r="G6" s="8" t="str">
        <f t="shared" si="0"/>
        <v>SMITH MICHAEL</v>
      </c>
    </row>
    <row r="7" spans="1:7" x14ac:dyDescent="0.25">
      <c r="A7" s="8">
        <v>42869.049409722225</v>
      </c>
      <c r="B7" s="20" t="s">
        <v>400</v>
      </c>
      <c r="C7" s="20" t="s">
        <v>627</v>
      </c>
      <c r="D7" s="141">
        <v>2150000</v>
      </c>
      <c r="E7" s="20" t="s">
        <v>441</v>
      </c>
      <c r="F7" s="20" t="s">
        <v>442</v>
      </c>
      <c r="G7" s="8" t="str">
        <f t="shared" si="0"/>
        <v>SWANSON BRYCE</v>
      </c>
    </row>
    <row r="8" spans="1:7" x14ac:dyDescent="0.25">
      <c r="A8" s="8">
        <v>42869.054675925923</v>
      </c>
      <c r="B8" s="20" t="s">
        <v>628</v>
      </c>
      <c r="C8" s="20" t="s">
        <v>625</v>
      </c>
      <c r="D8" s="141">
        <v>3040000</v>
      </c>
      <c r="E8" s="20" t="s">
        <v>415</v>
      </c>
      <c r="F8" s="20" t="s">
        <v>416</v>
      </c>
      <c r="G8" s="8" t="str">
        <f t="shared" si="0"/>
        <v>WILLIAMS DONTE</v>
      </c>
    </row>
    <row r="9" spans="1:7" ht="15.75" thickBot="1" x14ac:dyDescent="0.3">
      <c r="A9" s="24">
        <v>42869.05636574074</v>
      </c>
      <c r="B9" s="20" t="s">
        <v>400</v>
      </c>
      <c r="C9" s="20" t="s">
        <v>627</v>
      </c>
      <c r="D9" s="141">
        <v>2150000</v>
      </c>
      <c r="E9" s="20" t="s">
        <v>441</v>
      </c>
      <c r="F9" s="20" t="s">
        <v>442</v>
      </c>
      <c r="G9" s="8" t="str">
        <f t="shared" si="0"/>
        <v>SWANSON BRYCE</v>
      </c>
    </row>
    <row r="10" spans="1:7" x14ac:dyDescent="0.25">
      <c r="A10" s="8">
        <v>42869.057835648149</v>
      </c>
      <c r="B10" s="20" t="s">
        <v>400</v>
      </c>
      <c r="C10" s="20" t="s">
        <v>627</v>
      </c>
      <c r="D10" s="141">
        <v>2150000</v>
      </c>
      <c r="E10" s="20" t="s">
        <v>441</v>
      </c>
      <c r="F10" s="20" t="s">
        <v>442</v>
      </c>
      <c r="G10" s="8" t="str">
        <f t="shared" si="0"/>
        <v>SWANSON BRYCE</v>
      </c>
    </row>
    <row r="11" spans="1:7" x14ac:dyDescent="0.25">
      <c r="A11" s="8">
        <v>42869.068692129629</v>
      </c>
      <c r="B11" s="20" t="s">
        <v>622</v>
      </c>
      <c r="C11" s="20" t="s">
        <v>625</v>
      </c>
      <c r="D11" s="141">
        <v>3040000</v>
      </c>
      <c r="E11" s="20" t="s">
        <v>415</v>
      </c>
      <c r="F11" s="20" t="s">
        <v>416</v>
      </c>
      <c r="G11" s="8" t="str">
        <f t="shared" si="0"/>
        <v>WILLIAMS DONTE</v>
      </c>
    </row>
    <row r="12" spans="1:7" x14ac:dyDescent="0.25">
      <c r="A12" s="8">
        <v>42869.069745370369</v>
      </c>
      <c r="B12" s="20" t="s">
        <v>356</v>
      </c>
      <c r="C12" s="20" t="s">
        <v>629</v>
      </c>
      <c r="D12" s="141">
        <v>2680000</v>
      </c>
      <c r="E12" s="20" t="s">
        <v>630</v>
      </c>
      <c r="F12" s="20" t="s">
        <v>631</v>
      </c>
      <c r="G12" s="8" t="str">
        <f t="shared" si="0"/>
        <v>DUNCAN SHEILA</v>
      </c>
    </row>
    <row r="13" spans="1:7" x14ac:dyDescent="0.25">
      <c r="A13" s="8">
        <v>42869.075567129628</v>
      </c>
      <c r="B13" s="20" t="s">
        <v>383</v>
      </c>
      <c r="C13" s="20" t="s">
        <v>632</v>
      </c>
      <c r="D13" s="141">
        <v>2270000</v>
      </c>
      <c r="E13" s="20" t="s">
        <v>468</v>
      </c>
      <c r="F13" s="20" t="s">
        <v>469</v>
      </c>
      <c r="G13" s="8" t="str">
        <f t="shared" si="0"/>
        <v>BROWN JACOB</v>
      </c>
    </row>
    <row r="14" spans="1:7" x14ac:dyDescent="0.25">
      <c r="A14" s="8">
        <v>42869.082418981481</v>
      </c>
      <c r="B14" s="20" t="s">
        <v>628</v>
      </c>
      <c r="C14" s="20" t="s">
        <v>625</v>
      </c>
      <c r="D14" s="141">
        <v>3040000</v>
      </c>
      <c r="E14" s="20" t="s">
        <v>415</v>
      </c>
      <c r="F14" s="20" t="s">
        <v>416</v>
      </c>
      <c r="G14" s="8" t="str">
        <f t="shared" si="0"/>
        <v>WILLIAMS DONTE</v>
      </c>
    </row>
    <row r="15" spans="1:7" x14ac:dyDescent="0.25">
      <c r="A15" s="8">
        <v>42869.091168981482</v>
      </c>
      <c r="B15" s="20" t="s">
        <v>407</v>
      </c>
      <c r="C15" s="20" t="s">
        <v>633</v>
      </c>
      <c r="D15" s="141">
        <v>2150000</v>
      </c>
      <c r="E15" s="20" t="s">
        <v>441</v>
      </c>
      <c r="F15" s="20" t="s">
        <v>442</v>
      </c>
      <c r="G15" s="8" t="str">
        <f t="shared" si="0"/>
        <v>SWANSON BRYCE</v>
      </c>
    </row>
    <row r="16" spans="1:7" x14ac:dyDescent="0.25">
      <c r="A16" s="8">
        <v>42869.100671296299</v>
      </c>
      <c r="B16" s="20" t="s">
        <v>622</v>
      </c>
      <c r="C16" s="20" t="s">
        <v>625</v>
      </c>
      <c r="D16" s="141">
        <v>3040000</v>
      </c>
      <c r="E16" s="20" t="s">
        <v>415</v>
      </c>
      <c r="F16" s="20" t="s">
        <v>416</v>
      </c>
      <c r="G16" s="8" t="str">
        <f t="shared" si="0"/>
        <v>WILLIAMS DONTE</v>
      </c>
    </row>
    <row r="17" spans="1:7" x14ac:dyDescent="0.25">
      <c r="A17" s="8">
        <v>42869.111655092594</v>
      </c>
      <c r="B17" s="20" t="s">
        <v>373</v>
      </c>
      <c r="C17" s="20" t="s">
        <v>634</v>
      </c>
      <c r="D17" s="141">
        <v>2270000</v>
      </c>
      <c r="E17" s="20" t="s">
        <v>468</v>
      </c>
      <c r="F17" s="20" t="s">
        <v>469</v>
      </c>
      <c r="G17" s="8" t="str">
        <f t="shared" si="0"/>
        <v>BROWN JACOB</v>
      </c>
    </row>
    <row r="18" spans="1:7" x14ac:dyDescent="0.25">
      <c r="A18" s="8">
        <v>42869.114293981482</v>
      </c>
      <c r="B18" s="20" t="s">
        <v>628</v>
      </c>
      <c r="C18" s="20" t="s">
        <v>625</v>
      </c>
      <c r="D18" s="141">
        <v>3040000</v>
      </c>
      <c r="E18" s="20" t="s">
        <v>415</v>
      </c>
      <c r="F18" s="20" t="s">
        <v>416</v>
      </c>
      <c r="G18" s="8" t="str">
        <f t="shared" si="0"/>
        <v>WILLIAMS DONTE</v>
      </c>
    </row>
    <row r="19" spans="1:7" x14ac:dyDescent="0.25">
      <c r="A19" s="8">
        <v>42869.117256944446</v>
      </c>
      <c r="B19" s="20" t="s">
        <v>453</v>
      </c>
      <c r="C19" s="20" t="s">
        <v>635</v>
      </c>
      <c r="D19" s="141">
        <v>1360000</v>
      </c>
      <c r="E19" s="20" t="s">
        <v>636</v>
      </c>
      <c r="F19" s="20" t="s">
        <v>637</v>
      </c>
      <c r="G19" s="8" t="str">
        <f t="shared" si="0"/>
        <v>SANTIZO D. EDY</v>
      </c>
    </row>
    <row r="20" spans="1:7" x14ac:dyDescent="0.25">
      <c r="A20" s="8">
        <v>42869.131053240744</v>
      </c>
      <c r="B20" s="20" t="s">
        <v>395</v>
      </c>
      <c r="C20" s="20" t="s">
        <v>638</v>
      </c>
      <c r="D20" s="141">
        <v>2370000</v>
      </c>
      <c r="E20" s="20" t="s">
        <v>459</v>
      </c>
      <c r="F20" s="20" t="s">
        <v>460</v>
      </c>
      <c r="G20" s="8" t="str">
        <f t="shared" si="0"/>
        <v>DELGADO DIANAH</v>
      </c>
    </row>
    <row r="21" spans="1:7" x14ac:dyDescent="0.25">
      <c r="A21" s="8">
        <v>42869.13113425926</v>
      </c>
      <c r="B21" s="20" t="s">
        <v>622</v>
      </c>
      <c r="C21" s="20" t="s">
        <v>625</v>
      </c>
      <c r="D21" s="141">
        <v>3040000</v>
      </c>
      <c r="E21" s="20" t="s">
        <v>415</v>
      </c>
      <c r="F21" s="20" t="s">
        <v>416</v>
      </c>
      <c r="G21" s="8" t="str">
        <f t="shared" si="0"/>
        <v>WILLIAMS DONTE</v>
      </c>
    </row>
    <row r="22" spans="1:7" x14ac:dyDescent="0.25">
      <c r="A22" s="26">
        <v>42869.138321759259</v>
      </c>
      <c r="B22" s="20" t="s">
        <v>582</v>
      </c>
      <c r="C22" s="20" t="s">
        <v>639</v>
      </c>
      <c r="D22" s="141">
        <v>2010000</v>
      </c>
      <c r="E22" s="20" t="s">
        <v>640</v>
      </c>
      <c r="F22" s="20" t="s">
        <v>641</v>
      </c>
      <c r="G22" s="8" t="str">
        <f t="shared" si="0"/>
        <v>MAELZER KURT</v>
      </c>
    </row>
    <row r="23" spans="1:7" x14ac:dyDescent="0.25">
      <c r="A23" s="8">
        <v>42869.150451388887</v>
      </c>
      <c r="B23" s="20" t="s">
        <v>437</v>
      </c>
      <c r="C23" s="20" t="s">
        <v>642</v>
      </c>
      <c r="D23" s="141">
        <v>2010000</v>
      </c>
      <c r="E23" s="20" t="s">
        <v>640</v>
      </c>
      <c r="F23" s="20" t="s">
        <v>641</v>
      </c>
      <c r="G23" s="8" t="str">
        <f t="shared" si="0"/>
        <v>MAELZER KURT</v>
      </c>
    </row>
    <row r="24" spans="1:7" x14ac:dyDescent="0.25">
      <c r="A24" s="8">
        <v>42869.163831018515</v>
      </c>
      <c r="B24" s="20" t="s">
        <v>453</v>
      </c>
      <c r="C24" s="20" t="s">
        <v>643</v>
      </c>
      <c r="D24" s="141">
        <v>2370000</v>
      </c>
      <c r="E24" s="20" t="s">
        <v>459</v>
      </c>
      <c r="F24" s="20" t="s">
        <v>460</v>
      </c>
      <c r="G24" s="8" t="str">
        <f t="shared" si="0"/>
        <v>DELGADO DIANAH</v>
      </c>
    </row>
    <row r="25" spans="1:7" x14ac:dyDescent="0.25">
      <c r="A25" s="8">
        <v>42869.164189814815</v>
      </c>
      <c r="B25" s="20" t="s">
        <v>368</v>
      </c>
      <c r="C25" s="20" t="s">
        <v>644</v>
      </c>
      <c r="D25" s="141">
        <v>2550000</v>
      </c>
      <c r="E25" s="20" t="s">
        <v>455</v>
      </c>
      <c r="F25" s="20" t="s">
        <v>456</v>
      </c>
      <c r="G25" s="8" t="str">
        <f t="shared" si="0"/>
        <v>BADERTSCHER DIANE</v>
      </c>
    </row>
    <row r="26" spans="1:7" x14ac:dyDescent="0.25">
      <c r="A26" s="8">
        <v>42869.172789351855</v>
      </c>
      <c r="B26" s="20" t="s">
        <v>454</v>
      </c>
      <c r="C26" s="20" t="s">
        <v>645</v>
      </c>
      <c r="D26" s="141">
        <v>1990000</v>
      </c>
      <c r="E26" s="20" t="s">
        <v>646</v>
      </c>
      <c r="F26" s="20" t="s">
        <v>647</v>
      </c>
      <c r="G26" s="8" t="str">
        <f t="shared" si="0"/>
        <v>DAVIS WENDY</v>
      </c>
    </row>
    <row r="27" spans="1:7" x14ac:dyDescent="0.25">
      <c r="A27" s="8">
        <v>42869.173981481479</v>
      </c>
      <c r="B27" s="20" t="s">
        <v>454</v>
      </c>
      <c r="C27" s="20" t="s">
        <v>645</v>
      </c>
      <c r="D27" s="141">
        <v>1990000</v>
      </c>
      <c r="E27" s="20" t="s">
        <v>646</v>
      </c>
      <c r="F27" s="20" t="s">
        <v>647</v>
      </c>
      <c r="G27" s="8" t="str">
        <f t="shared" si="0"/>
        <v>DAVIS WENDY</v>
      </c>
    </row>
    <row r="28" spans="1:7" x14ac:dyDescent="0.25">
      <c r="A28" s="8">
        <v>42869.176423611112</v>
      </c>
      <c r="B28" s="20" t="s">
        <v>610</v>
      </c>
      <c r="C28" s="20" t="s">
        <v>648</v>
      </c>
      <c r="D28" s="141">
        <v>2550000</v>
      </c>
      <c r="E28" s="20" t="s">
        <v>455</v>
      </c>
      <c r="F28" s="20" t="s">
        <v>456</v>
      </c>
      <c r="G28" s="8" t="str">
        <f t="shared" si="0"/>
        <v>BADERTSCHER DIANE</v>
      </c>
    </row>
    <row r="29" spans="1:7" x14ac:dyDescent="0.25">
      <c r="A29" s="8">
        <v>42869.180520833332</v>
      </c>
      <c r="B29" s="20" t="s">
        <v>587</v>
      </c>
      <c r="C29" s="20" t="s">
        <v>649</v>
      </c>
      <c r="D29" s="141">
        <v>2450000</v>
      </c>
      <c r="E29" s="20" t="s">
        <v>650</v>
      </c>
      <c r="F29" s="20" t="s">
        <v>651</v>
      </c>
      <c r="G29" s="8" t="str">
        <f t="shared" si="0"/>
        <v>NELSON ARIANE</v>
      </c>
    </row>
    <row r="30" spans="1:7" x14ac:dyDescent="0.25">
      <c r="A30" s="8">
        <v>42869.185150462959</v>
      </c>
      <c r="B30" s="20" t="s">
        <v>498</v>
      </c>
      <c r="C30" s="20" t="s">
        <v>652</v>
      </c>
      <c r="D30" s="141">
        <v>1990000</v>
      </c>
      <c r="E30" s="20" t="s">
        <v>646</v>
      </c>
      <c r="F30" s="20" t="s">
        <v>647</v>
      </c>
      <c r="G30" s="8" t="str">
        <f t="shared" si="0"/>
        <v>DAVIS WENDY</v>
      </c>
    </row>
    <row r="31" spans="1:7" x14ac:dyDescent="0.25">
      <c r="A31" s="8">
        <v>42869.187951388885</v>
      </c>
      <c r="B31" s="20" t="s">
        <v>582</v>
      </c>
      <c r="C31" s="20" t="s">
        <v>583</v>
      </c>
      <c r="D31" s="141">
        <v>2010000</v>
      </c>
      <c r="E31" s="20" t="s">
        <v>640</v>
      </c>
      <c r="F31" s="20" t="s">
        <v>641</v>
      </c>
      <c r="G31" s="8" t="str">
        <f t="shared" si="0"/>
        <v>MAELZER KURT</v>
      </c>
    </row>
    <row r="32" spans="1:7" x14ac:dyDescent="0.25">
      <c r="A32" s="8">
        <v>42869.195289351854</v>
      </c>
      <c r="B32" s="20" t="s">
        <v>439</v>
      </c>
      <c r="C32" s="20" t="s">
        <v>653</v>
      </c>
      <c r="D32" s="141">
        <v>2450000</v>
      </c>
      <c r="E32" s="20" t="s">
        <v>650</v>
      </c>
      <c r="F32" s="20" t="s">
        <v>651</v>
      </c>
      <c r="G32" s="8" t="str">
        <f t="shared" si="0"/>
        <v>NELSON ARIANE</v>
      </c>
    </row>
    <row r="33" spans="1:7" x14ac:dyDescent="0.25">
      <c r="A33" s="8">
        <v>42869.206226851849</v>
      </c>
      <c r="B33" s="20" t="s">
        <v>461</v>
      </c>
      <c r="C33" s="20" t="s">
        <v>584</v>
      </c>
      <c r="D33" s="141">
        <v>1360000</v>
      </c>
      <c r="E33" s="20" t="s">
        <v>636</v>
      </c>
      <c r="F33" s="20" t="s">
        <v>637</v>
      </c>
      <c r="G33" s="8" t="str">
        <f t="shared" si="0"/>
        <v>SANTIZO D. EDY</v>
      </c>
    </row>
    <row r="34" spans="1:7" x14ac:dyDescent="0.25">
      <c r="A34" s="8">
        <v>42869.20684027778</v>
      </c>
      <c r="B34" s="20" t="s">
        <v>395</v>
      </c>
      <c r="C34" s="20" t="s">
        <v>654</v>
      </c>
      <c r="D34" s="141">
        <v>1100000</v>
      </c>
      <c r="E34" s="20" t="s">
        <v>655</v>
      </c>
      <c r="F34" s="20" t="s">
        <v>656</v>
      </c>
      <c r="G34" s="8" t="str">
        <f t="shared" si="0"/>
        <v>GEBRETEKLE DAGNEW</v>
      </c>
    </row>
    <row r="35" spans="1:7" x14ac:dyDescent="0.25">
      <c r="A35" s="8">
        <v>42869.210625</v>
      </c>
      <c r="B35" s="20" t="s">
        <v>368</v>
      </c>
      <c r="C35" s="20" t="s">
        <v>657</v>
      </c>
      <c r="D35" s="141">
        <v>2550000</v>
      </c>
      <c r="E35" s="20" t="s">
        <v>455</v>
      </c>
      <c r="F35" s="20" t="s">
        <v>456</v>
      </c>
      <c r="G35" s="8" t="str">
        <f t="shared" si="0"/>
        <v>BADERTSCHER DIANE</v>
      </c>
    </row>
    <row r="36" spans="1:7" x14ac:dyDescent="0.25">
      <c r="A36" s="8">
        <v>42869.222754629627</v>
      </c>
      <c r="B36" s="20" t="s">
        <v>452</v>
      </c>
      <c r="C36" s="20" t="s">
        <v>658</v>
      </c>
      <c r="D36" s="141">
        <v>1830000</v>
      </c>
      <c r="E36" s="20" t="s">
        <v>457</v>
      </c>
      <c r="F36" s="20" t="s">
        <v>458</v>
      </c>
      <c r="G36" s="8" t="str">
        <f t="shared" si="0"/>
        <v>YORK EDGAR</v>
      </c>
    </row>
    <row r="37" spans="1:7" x14ac:dyDescent="0.25">
      <c r="A37" s="8">
        <v>42869.223680555559</v>
      </c>
      <c r="B37" s="20" t="s">
        <v>452</v>
      </c>
      <c r="C37" s="20" t="s">
        <v>658</v>
      </c>
      <c r="D37" s="141">
        <v>1830000</v>
      </c>
      <c r="E37" s="20" t="s">
        <v>457</v>
      </c>
      <c r="F37" s="20" t="s">
        <v>458</v>
      </c>
      <c r="G37" s="8" t="str">
        <f t="shared" si="0"/>
        <v>YORK EDGAR</v>
      </c>
    </row>
    <row r="38" spans="1:7" x14ac:dyDescent="0.25">
      <c r="A38" s="8">
        <v>42869.224085648151</v>
      </c>
      <c r="B38" s="20" t="s">
        <v>454</v>
      </c>
      <c r="C38" s="20" t="s">
        <v>659</v>
      </c>
      <c r="D38" s="141">
        <v>1990000</v>
      </c>
      <c r="E38" s="20" t="s">
        <v>646</v>
      </c>
      <c r="F38" s="20" t="s">
        <v>647</v>
      </c>
      <c r="G38" s="8" t="str">
        <f t="shared" si="0"/>
        <v>DAVIS WENDY</v>
      </c>
    </row>
    <row r="39" spans="1:7" x14ac:dyDescent="0.25">
      <c r="A39" s="8">
        <v>42869.226203703707</v>
      </c>
      <c r="B39" s="20" t="s">
        <v>437</v>
      </c>
      <c r="C39" s="20" t="s">
        <v>585</v>
      </c>
      <c r="D39" s="141">
        <v>2560000</v>
      </c>
      <c r="E39" s="20" t="s">
        <v>493</v>
      </c>
      <c r="F39" s="20" t="s">
        <v>396</v>
      </c>
      <c r="G39" s="8" t="str">
        <f t="shared" si="0"/>
        <v>MACDONALD THOMAS</v>
      </c>
    </row>
    <row r="40" spans="1:7" x14ac:dyDescent="0.25">
      <c r="A40" s="8">
        <v>42869.227696759262</v>
      </c>
      <c r="B40" s="25" t="s">
        <v>594</v>
      </c>
      <c r="C40" s="20" t="s">
        <v>660</v>
      </c>
      <c r="D40" s="141">
        <v>2010000</v>
      </c>
      <c r="E40" s="20" t="s">
        <v>640</v>
      </c>
      <c r="F40" s="20" t="s">
        <v>641</v>
      </c>
      <c r="G40" s="8" t="str">
        <f t="shared" si="0"/>
        <v>MAELZER KURT</v>
      </c>
    </row>
    <row r="41" spans="1:7" x14ac:dyDescent="0.25">
      <c r="A41" s="8">
        <v>42869.232418981483</v>
      </c>
      <c r="B41" s="20" t="s">
        <v>451</v>
      </c>
      <c r="C41" s="20" t="s">
        <v>661</v>
      </c>
      <c r="D41" s="141">
        <v>1830000</v>
      </c>
      <c r="E41" s="20" t="s">
        <v>457</v>
      </c>
      <c r="F41" s="20" t="s">
        <v>458</v>
      </c>
      <c r="G41" s="8" t="str">
        <f t="shared" si="0"/>
        <v>YORK EDGAR</v>
      </c>
    </row>
    <row r="42" spans="1:7" x14ac:dyDescent="0.25">
      <c r="A42" s="8">
        <v>42869.235462962963</v>
      </c>
      <c r="B42" s="20" t="s">
        <v>587</v>
      </c>
      <c r="C42" s="20" t="s">
        <v>588</v>
      </c>
      <c r="D42" s="141">
        <v>2450000</v>
      </c>
      <c r="E42" s="20" t="s">
        <v>650</v>
      </c>
      <c r="F42" s="20" t="s">
        <v>651</v>
      </c>
      <c r="G42" s="8" t="str">
        <f t="shared" si="0"/>
        <v>NELSON ARIANE</v>
      </c>
    </row>
    <row r="43" spans="1:7" x14ac:dyDescent="0.25">
      <c r="A43" s="8">
        <v>42869.243946759256</v>
      </c>
      <c r="B43" s="20" t="s">
        <v>393</v>
      </c>
      <c r="C43" s="20" t="s">
        <v>586</v>
      </c>
      <c r="D43" s="141">
        <v>1100000</v>
      </c>
      <c r="E43" s="20" t="s">
        <v>655</v>
      </c>
      <c r="F43" s="20" t="s">
        <v>656</v>
      </c>
      <c r="G43" s="8" t="str">
        <f t="shared" si="0"/>
        <v>GEBRETEKLE DAGNEW</v>
      </c>
    </row>
    <row r="44" spans="1:7" x14ac:dyDescent="0.25">
      <c r="A44" s="8">
        <v>42869.245925925927</v>
      </c>
      <c r="B44" s="20" t="s">
        <v>453</v>
      </c>
      <c r="C44" s="20" t="s">
        <v>662</v>
      </c>
      <c r="D44" s="141">
        <v>1360000</v>
      </c>
      <c r="E44" s="20" t="s">
        <v>636</v>
      </c>
      <c r="F44" s="20" t="s">
        <v>637</v>
      </c>
      <c r="G44" s="8" t="str">
        <f t="shared" si="0"/>
        <v>SANTIZO D. EDY</v>
      </c>
    </row>
    <row r="45" spans="1:7" x14ac:dyDescent="0.25">
      <c r="A45" s="8">
        <v>42869.248715277776</v>
      </c>
      <c r="B45" s="20" t="s">
        <v>452</v>
      </c>
      <c r="C45" s="20" t="s">
        <v>589</v>
      </c>
      <c r="D45" s="141">
        <v>1830000</v>
      </c>
      <c r="E45" s="20" t="s">
        <v>457</v>
      </c>
      <c r="F45" s="20" t="s">
        <v>458</v>
      </c>
      <c r="G45" s="8" t="str">
        <f t="shared" si="0"/>
        <v>YORK EDGAR</v>
      </c>
    </row>
    <row r="46" spans="1:7" x14ac:dyDescent="0.25">
      <c r="A46" s="8">
        <v>42869.249178240738</v>
      </c>
      <c r="B46" s="20" t="s">
        <v>610</v>
      </c>
      <c r="C46" s="20" t="s">
        <v>663</v>
      </c>
      <c r="D46" s="141">
        <v>2550000</v>
      </c>
      <c r="E46" s="20" t="s">
        <v>455</v>
      </c>
      <c r="F46" s="20" t="s">
        <v>456</v>
      </c>
      <c r="G46" s="8" t="str">
        <f t="shared" si="0"/>
        <v>BADERTSCHER DIANE</v>
      </c>
    </row>
    <row r="47" spans="1:7" x14ac:dyDescent="0.25">
      <c r="A47" s="8">
        <v>42869.250057870369</v>
      </c>
      <c r="B47" s="20" t="s">
        <v>610</v>
      </c>
      <c r="C47" s="20" t="s">
        <v>663</v>
      </c>
      <c r="D47" s="141">
        <v>2550000</v>
      </c>
      <c r="E47" s="20" t="s">
        <v>455</v>
      </c>
      <c r="F47" s="20" t="s">
        <v>456</v>
      </c>
      <c r="G47" s="8" t="str">
        <f t="shared" si="0"/>
        <v>BADERTSCHER DIANE</v>
      </c>
    </row>
    <row r="48" spans="1:7" x14ac:dyDescent="0.25">
      <c r="A48" s="8">
        <v>42869.253252314818</v>
      </c>
      <c r="B48" s="20" t="s">
        <v>364</v>
      </c>
      <c r="C48" s="20" t="s">
        <v>664</v>
      </c>
      <c r="D48" s="141">
        <v>2260000</v>
      </c>
      <c r="E48" s="20" t="s">
        <v>494</v>
      </c>
      <c r="F48" s="20" t="s">
        <v>495</v>
      </c>
      <c r="G48" s="8" t="str">
        <f t="shared" si="0"/>
        <v>ARVIDSON DANIEL</v>
      </c>
    </row>
    <row r="49" spans="1:7" x14ac:dyDescent="0.25">
      <c r="A49" s="8">
        <v>42869.25675925926</v>
      </c>
      <c r="B49" s="20" t="s">
        <v>498</v>
      </c>
      <c r="C49" s="20" t="s">
        <v>665</v>
      </c>
      <c r="D49" s="141">
        <v>1990000</v>
      </c>
      <c r="E49" s="20" t="s">
        <v>646</v>
      </c>
      <c r="F49" s="20" t="s">
        <v>647</v>
      </c>
      <c r="G49" s="8" t="str">
        <f t="shared" si="0"/>
        <v>DAVIS WENDY</v>
      </c>
    </row>
    <row r="50" spans="1:7" x14ac:dyDescent="0.25">
      <c r="A50" s="8">
        <v>42869.257002314815</v>
      </c>
      <c r="B50" s="20" t="s">
        <v>368</v>
      </c>
      <c r="C50" s="20" t="s">
        <v>664</v>
      </c>
      <c r="D50" s="141">
        <v>2260000</v>
      </c>
      <c r="E50" s="20" t="s">
        <v>494</v>
      </c>
      <c r="F50" s="20" t="s">
        <v>495</v>
      </c>
      <c r="G50" s="8" t="str">
        <f t="shared" si="0"/>
        <v>ARVIDSON DANIEL</v>
      </c>
    </row>
    <row r="51" spans="1:7" x14ac:dyDescent="0.25">
      <c r="A51" s="8">
        <v>42869.265682870369</v>
      </c>
      <c r="B51" s="20" t="s">
        <v>436</v>
      </c>
      <c r="C51" s="20" t="s">
        <v>591</v>
      </c>
      <c r="D51" s="141">
        <v>2560000</v>
      </c>
      <c r="E51" s="20" t="s">
        <v>493</v>
      </c>
      <c r="F51" s="20" t="s">
        <v>396</v>
      </c>
      <c r="G51" s="8" t="str">
        <f t="shared" si="0"/>
        <v>MACDONALD THOMAS</v>
      </c>
    </row>
    <row r="52" spans="1:7" x14ac:dyDescent="0.25">
      <c r="A52" s="8">
        <v>42869.271215277775</v>
      </c>
      <c r="B52" s="20" t="s">
        <v>439</v>
      </c>
      <c r="C52" s="20" t="s">
        <v>666</v>
      </c>
      <c r="D52" s="141">
        <v>2450000</v>
      </c>
      <c r="E52" s="20" t="s">
        <v>650</v>
      </c>
      <c r="F52" s="20" t="s">
        <v>651</v>
      </c>
      <c r="G52" s="8" t="str">
        <f t="shared" si="0"/>
        <v>NELSON ARIANE</v>
      </c>
    </row>
    <row r="53" spans="1:7" x14ac:dyDescent="0.25">
      <c r="A53" s="8">
        <v>42869.272280092591</v>
      </c>
      <c r="B53" s="20" t="s">
        <v>439</v>
      </c>
      <c r="C53" s="20" t="s">
        <v>666</v>
      </c>
      <c r="D53" s="141">
        <v>2450000</v>
      </c>
      <c r="E53" s="20" t="s">
        <v>650</v>
      </c>
      <c r="F53" s="20" t="s">
        <v>651</v>
      </c>
      <c r="G53" s="8" t="str">
        <f t="shared" si="0"/>
        <v>NELSON ARIANE</v>
      </c>
    </row>
    <row r="54" spans="1:7" x14ac:dyDescent="0.25">
      <c r="A54" s="8">
        <v>42869.274016203701</v>
      </c>
      <c r="B54" s="20" t="s">
        <v>582</v>
      </c>
      <c r="C54" s="20" t="s">
        <v>667</v>
      </c>
      <c r="D54" s="141">
        <v>2010000</v>
      </c>
      <c r="E54" s="20" t="s">
        <v>640</v>
      </c>
      <c r="F54" s="20" t="s">
        <v>641</v>
      </c>
      <c r="G54" s="8" t="str">
        <f t="shared" si="0"/>
        <v>MAELZER KURT</v>
      </c>
    </row>
    <row r="55" spans="1:7" x14ac:dyDescent="0.25">
      <c r="A55" s="8">
        <v>42869.275601851848</v>
      </c>
      <c r="B55" s="20" t="s">
        <v>451</v>
      </c>
      <c r="C55" s="20" t="s">
        <v>590</v>
      </c>
      <c r="D55" s="141">
        <v>1830000</v>
      </c>
      <c r="E55" s="20" t="s">
        <v>457</v>
      </c>
      <c r="F55" s="20" t="s">
        <v>458</v>
      </c>
      <c r="G55" s="8" t="str">
        <f t="shared" si="0"/>
        <v>YORK EDGAR</v>
      </c>
    </row>
    <row r="56" spans="1:7" x14ac:dyDescent="0.25">
      <c r="A56" s="8">
        <v>42869.276747685188</v>
      </c>
      <c r="B56" s="20" t="s">
        <v>395</v>
      </c>
      <c r="C56" s="20" t="s">
        <v>668</v>
      </c>
      <c r="D56" s="141">
        <v>1100000</v>
      </c>
      <c r="E56" s="20" t="s">
        <v>655</v>
      </c>
      <c r="F56" s="20" t="s">
        <v>656</v>
      </c>
      <c r="G56" s="8" t="str">
        <f t="shared" si="0"/>
        <v>GEBRETEKLE DAGNEW</v>
      </c>
    </row>
    <row r="57" spans="1:7" x14ac:dyDescent="0.25">
      <c r="A57" s="8">
        <v>42869.279907407406</v>
      </c>
      <c r="B57" s="20" t="s">
        <v>669</v>
      </c>
      <c r="C57" s="20" t="s">
        <v>670</v>
      </c>
      <c r="D57" s="141">
        <v>2550000</v>
      </c>
      <c r="E57" s="20" t="s">
        <v>455</v>
      </c>
      <c r="F57" s="20" t="s">
        <v>456</v>
      </c>
      <c r="G57" s="8" t="str">
        <f t="shared" si="0"/>
        <v>BADERTSCHER DIANE</v>
      </c>
    </row>
    <row r="58" spans="1:7" x14ac:dyDescent="0.25">
      <c r="A58" s="8">
        <v>42869.285879629628</v>
      </c>
      <c r="B58" s="20" t="s">
        <v>461</v>
      </c>
      <c r="C58" s="20" t="s">
        <v>671</v>
      </c>
      <c r="D58" s="141">
        <v>1360000</v>
      </c>
      <c r="E58" s="20" t="s">
        <v>636</v>
      </c>
      <c r="F58" s="20" t="s">
        <v>637</v>
      </c>
      <c r="G58" s="8" t="str">
        <f t="shared" si="0"/>
        <v>SANTIZO D. EDY</v>
      </c>
    </row>
    <row r="59" spans="1:7" x14ac:dyDescent="0.25">
      <c r="A59" s="8">
        <v>42869.296712962961</v>
      </c>
      <c r="B59" s="20" t="s">
        <v>454</v>
      </c>
      <c r="C59" s="20" t="s">
        <v>672</v>
      </c>
      <c r="D59" s="141">
        <v>1990000</v>
      </c>
      <c r="E59" s="20" t="s">
        <v>646</v>
      </c>
      <c r="F59" s="20" t="s">
        <v>647</v>
      </c>
      <c r="G59" s="8" t="str">
        <f t="shared" si="0"/>
        <v>DAVIS WENDY</v>
      </c>
    </row>
    <row r="60" spans="1:7" x14ac:dyDescent="0.25">
      <c r="A60" s="8">
        <v>42869.300254629627</v>
      </c>
      <c r="B60" s="20" t="s">
        <v>437</v>
      </c>
      <c r="C60" s="20" t="s">
        <v>592</v>
      </c>
      <c r="D60" s="141">
        <v>2560000</v>
      </c>
      <c r="E60" s="20" t="s">
        <v>493</v>
      </c>
      <c r="F60" s="20" t="s">
        <v>396</v>
      </c>
      <c r="G60" s="8" t="str">
        <f t="shared" si="0"/>
        <v>MACDONALD THOMAS</v>
      </c>
    </row>
    <row r="61" spans="1:7" x14ac:dyDescent="0.25">
      <c r="A61" s="8">
        <v>42869.3046412037</v>
      </c>
      <c r="B61" s="20" t="s">
        <v>587</v>
      </c>
      <c r="C61" s="20" t="s">
        <v>593</v>
      </c>
      <c r="D61" s="141">
        <v>2450000</v>
      </c>
      <c r="E61" s="20" t="s">
        <v>650</v>
      </c>
      <c r="F61" s="20" t="s">
        <v>651</v>
      </c>
      <c r="G61" s="8" t="str">
        <f t="shared" si="0"/>
        <v>NELSON ARIANE</v>
      </c>
    </row>
    <row r="62" spans="1:7" x14ac:dyDescent="0.25">
      <c r="A62" s="8">
        <v>42869.305104166669</v>
      </c>
      <c r="B62" s="20" t="s">
        <v>452</v>
      </c>
      <c r="C62" s="20" t="s">
        <v>673</v>
      </c>
      <c r="D62" s="141">
        <v>1830000</v>
      </c>
      <c r="E62" s="20" t="s">
        <v>457</v>
      </c>
      <c r="F62" s="20" t="s">
        <v>458</v>
      </c>
      <c r="G62" s="8" t="str">
        <f t="shared" si="0"/>
        <v>YORK EDGAR</v>
      </c>
    </row>
    <row r="63" spans="1:7" x14ac:dyDescent="0.25">
      <c r="A63" s="8">
        <v>42869.308263888888</v>
      </c>
      <c r="B63" s="20" t="s">
        <v>594</v>
      </c>
      <c r="C63" s="20" t="s">
        <v>595</v>
      </c>
      <c r="D63" s="141">
        <v>2010000</v>
      </c>
      <c r="E63" s="20" t="s">
        <v>640</v>
      </c>
      <c r="F63" s="20" t="s">
        <v>641</v>
      </c>
      <c r="G63" s="8" t="str">
        <f t="shared" si="0"/>
        <v>MAELZER KURT</v>
      </c>
    </row>
    <row r="64" spans="1:7" x14ac:dyDescent="0.25">
      <c r="A64" s="26">
        <v>42869.31695601852</v>
      </c>
      <c r="B64" s="20" t="s">
        <v>393</v>
      </c>
      <c r="C64" s="20" t="s">
        <v>674</v>
      </c>
      <c r="D64" s="141">
        <v>1100000</v>
      </c>
      <c r="E64" s="20" t="s">
        <v>655</v>
      </c>
      <c r="F64" s="20" t="s">
        <v>656</v>
      </c>
      <c r="G64" s="8" t="str">
        <f t="shared" si="0"/>
        <v>GEBRETEKLE DAGNEW</v>
      </c>
    </row>
    <row r="65" spans="1:7" x14ac:dyDescent="0.25">
      <c r="A65" s="8">
        <v>42869.317847222221</v>
      </c>
      <c r="B65" s="20" t="s">
        <v>453</v>
      </c>
      <c r="C65" s="20" t="s">
        <v>675</v>
      </c>
      <c r="D65" s="141">
        <v>1360000</v>
      </c>
      <c r="E65" s="20" t="s">
        <v>636</v>
      </c>
      <c r="F65" s="20" t="s">
        <v>637</v>
      </c>
      <c r="G65" s="8" t="str">
        <f t="shared" si="0"/>
        <v>SANTIZO D. EDY</v>
      </c>
    </row>
    <row r="66" spans="1:7" x14ac:dyDescent="0.25">
      <c r="A66" s="8">
        <v>42869.31925925926</v>
      </c>
      <c r="B66" s="20" t="s">
        <v>451</v>
      </c>
      <c r="C66" s="20" t="s">
        <v>676</v>
      </c>
      <c r="D66" s="141">
        <v>1830000</v>
      </c>
      <c r="E66" s="20" t="s">
        <v>457</v>
      </c>
      <c r="F66" s="20" t="s">
        <v>458</v>
      </c>
      <c r="G66" s="8" t="str">
        <f t="shared" si="0"/>
        <v>YORK EDGAR</v>
      </c>
    </row>
    <row r="67" spans="1:7" x14ac:dyDescent="0.25">
      <c r="A67" s="8">
        <v>42869.320324074077</v>
      </c>
      <c r="B67" s="20" t="s">
        <v>610</v>
      </c>
      <c r="C67" s="20" t="s">
        <v>677</v>
      </c>
      <c r="D67" s="141">
        <v>2480000</v>
      </c>
      <c r="E67" s="20" t="s">
        <v>499</v>
      </c>
      <c r="F67" s="20" t="s">
        <v>500</v>
      </c>
      <c r="G67" s="8" t="str">
        <f t="shared" ref="G67:G130" si="1">E67&amp;" "&amp;F67</f>
        <v>WHITED DUSTIN</v>
      </c>
    </row>
    <row r="68" spans="1:7" x14ac:dyDescent="0.25">
      <c r="A68" s="8">
        <v>42869.32885416667</v>
      </c>
      <c r="B68" s="20" t="s">
        <v>498</v>
      </c>
      <c r="C68" s="20" t="s">
        <v>678</v>
      </c>
      <c r="D68" s="141">
        <v>1990000</v>
      </c>
      <c r="E68" s="20" t="s">
        <v>646</v>
      </c>
      <c r="F68" s="20" t="s">
        <v>647</v>
      </c>
      <c r="G68" s="8" t="str">
        <f t="shared" si="1"/>
        <v>DAVIS WENDY</v>
      </c>
    </row>
    <row r="69" spans="1:7" x14ac:dyDescent="0.25">
      <c r="A69" s="8">
        <v>42869.332442129627</v>
      </c>
      <c r="B69" s="20" t="s">
        <v>452</v>
      </c>
      <c r="C69" s="20" t="s">
        <v>679</v>
      </c>
      <c r="D69" s="141">
        <v>1830000</v>
      </c>
      <c r="E69" s="20" t="s">
        <v>457</v>
      </c>
      <c r="F69" s="20" t="s">
        <v>458</v>
      </c>
      <c r="G69" s="8" t="str">
        <f t="shared" si="1"/>
        <v>YORK EDGAR</v>
      </c>
    </row>
    <row r="70" spans="1:7" x14ac:dyDescent="0.25">
      <c r="A70" s="8">
        <v>42869.337106481478</v>
      </c>
      <c r="B70" s="20" t="s">
        <v>436</v>
      </c>
      <c r="C70" s="20" t="s">
        <v>680</v>
      </c>
      <c r="D70" s="141">
        <v>2560000</v>
      </c>
      <c r="E70" s="20" t="s">
        <v>493</v>
      </c>
      <c r="F70" s="20" t="s">
        <v>396</v>
      </c>
      <c r="G70" s="8" t="str">
        <f t="shared" si="1"/>
        <v>MACDONALD THOMAS</v>
      </c>
    </row>
    <row r="71" spans="1:7" x14ac:dyDescent="0.25">
      <c r="A71" s="8">
        <v>42869.338888888888</v>
      </c>
      <c r="B71" s="20" t="s">
        <v>436</v>
      </c>
      <c r="C71" s="20" t="s">
        <v>680</v>
      </c>
      <c r="D71" s="141">
        <v>2560000</v>
      </c>
      <c r="E71" s="20" t="s">
        <v>493</v>
      </c>
      <c r="F71" s="20" t="s">
        <v>396</v>
      </c>
      <c r="G71" s="8" t="str">
        <f t="shared" si="1"/>
        <v>MACDONALD THOMAS</v>
      </c>
    </row>
    <row r="72" spans="1:7" x14ac:dyDescent="0.25">
      <c r="A72" s="8">
        <v>42869.342210648145</v>
      </c>
      <c r="B72" s="20" t="s">
        <v>439</v>
      </c>
      <c r="C72" s="20" t="s">
        <v>681</v>
      </c>
      <c r="D72" s="141">
        <v>2440000</v>
      </c>
      <c r="E72" s="20" t="s">
        <v>464</v>
      </c>
      <c r="F72" s="20" t="s">
        <v>465</v>
      </c>
      <c r="G72" s="8" t="str">
        <f t="shared" si="1"/>
        <v>LOPES KIMBERLY</v>
      </c>
    </row>
    <row r="73" spans="1:7" x14ac:dyDescent="0.25">
      <c r="A73" s="8">
        <v>42869.348495370374</v>
      </c>
      <c r="B73" s="20" t="s">
        <v>582</v>
      </c>
      <c r="C73" s="20" t="s">
        <v>596</v>
      </c>
      <c r="D73" s="141">
        <v>2010000</v>
      </c>
      <c r="E73" s="20" t="s">
        <v>640</v>
      </c>
      <c r="F73" s="20" t="s">
        <v>641</v>
      </c>
      <c r="G73" s="8" t="str">
        <f t="shared" si="1"/>
        <v>MAELZER KURT</v>
      </c>
    </row>
    <row r="74" spans="1:7" x14ac:dyDescent="0.25">
      <c r="A74" s="8">
        <v>42869.349918981483</v>
      </c>
      <c r="B74" s="20" t="s">
        <v>395</v>
      </c>
      <c r="C74" s="20" t="s">
        <v>682</v>
      </c>
      <c r="D74" s="141">
        <v>1100000</v>
      </c>
      <c r="E74" s="20" t="s">
        <v>655</v>
      </c>
      <c r="F74" s="20" t="s">
        <v>656</v>
      </c>
      <c r="G74" s="8" t="str">
        <f t="shared" si="1"/>
        <v>GEBRETEKLE DAGNEW</v>
      </c>
    </row>
    <row r="75" spans="1:7" x14ac:dyDescent="0.25">
      <c r="A75" s="8">
        <v>42869.35423611111</v>
      </c>
      <c r="B75" s="20" t="s">
        <v>669</v>
      </c>
      <c r="C75" s="20" t="s">
        <v>683</v>
      </c>
      <c r="D75" s="141">
        <v>2480000</v>
      </c>
      <c r="E75" s="20" t="s">
        <v>499</v>
      </c>
      <c r="F75" s="20" t="s">
        <v>500</v>
      </c>
      <c r="G75" s="8" t="str">
        <f t="shared" si="1"/>
        <v>WHITED DUSTIN</v>
      </c>
    </row>
    <row r="76" spans="1:7" x14ac:dyDescent="0.25">
      <c r="A76" s="8">
        <v>42869.358194444445</v>
      </c>
      <c r="B76" s="20" t="s">
        <v>451</v>
      </c>
      <c r="C76" s="20" t="s">
        <v>684</v>
      </c>
      <c r="D76" s="141">
        <v>1830000</v>
      </c>
      <c r="E76" s="20" t="s">
        <v>457</v>
      </c>
      <c r="F76" s="20" t="s">
        <v>458</v>
      </c>
      <c r="G76" s="8" t="str">
        <f t="shared" si="1"/>
        <v>YORK EDGAR</v>
      </c>
    </row>
    <row r="77" spans="1:7" x14ac:dyDescent="0.25">
      <c r="A77" s="8">
        <v>42869.358402777776</v>
      </c>
      <c r="B77" s="20" t="s">
        <v>461</v>
      </c>
      <c r="C77" s="20" t="s">
        <v>685</v>
      </c>
      <c r="D77" s="141">
        <v>1360000</v>
      </c>
      <c r="E77" s="20" t="s">
        <v>636</v>
      </c>
      <c r="F77" s="20" t="s">
        <v>637</v>
      </c>
      <c r="G77" s="8" t="str">
        <f t="shared" si="1"/>
        <v>SANTIZO D. EDY</v>
      </c>
    </row>
    <row r="78" spans="1:7" x14ac:dyDescent="0.25">
      <c r="A78" s="8">
        <v>42869.369884259257</v>
      </c>
      <c r="B78" s="20" t="s">
        <v>454</v>
      </c>
      <c r="C78" s="20" t="s">
        <v>686</v>
      </c>
      <c r="D78" s="141">
        <v>1990000</v>
      </c>
      <c r="E78" s="20" t="s">
        <v>646</v>
      </c>
      <c r="F78" s="20" t="s">
        <v>647</v>
      </c>
      <c r="G78" s="8" t="str">
        <f t="shared" si="1"/>
        <v>DAVIS WENDY</v>
      </c>
    </row>
    <row r="79" spans="1:7" x14ac:dyDescent="0.25">
      <c r="A79" s="8">
        <v>42869.372025462966</v>
      </c>
      <c r="B79" s="20" t="s">
        <v>452</v>
      </c>
      <c r="C79" s="20" t="s">
        <v>687</v>
      </c>
      <c r="D79" s="141">
        <v>1830000</v>
      </c>
      <c r="E79" s="20" t="s">
        <v>457</v>
      </c>
      <c r="F79" s="20" t="s">
        <v>458</v>
      </c>
      <c r="G79" s="8" t="str">
        <f t="shared" si="1"/>
        <v>YORK EDGAR</v>
      </c>
    </row>
    <row r="80" spans="1:7" x14ac:dyDescent="0.25">
      <c r="A80" s="8">
        <v>42869.372407407405</v>
      </c>
      <c r="B80" s="20" t="s">
        <v>437</v>
      </c>
      <c r="C80" s="20" t="s">
        <v>688</v>
      </c>
      <c r="D80" s="141">
        <v>2560000</v>
      </c>
      <c r="E80" s="20" t="s">
        <v>493</v>
      </c>
      <c r="F80" s="20" t="s">
        <v>396</v>
      </c>
      <c r="G80" s="8" t="str">
        <f t="shared" si="1"/>
        <v>MACDONALD THOMAS</v>
      </c>
    </row>
    <row r="81" spans="1:7" x14ac:dyDescent="0.25">
      <c r="A81" s="8">
        <v>42869.376435185186</v>
      </c>
      <c r="B81" s="20" t="s">
        <v>587</v>
      </c>
      <c r="C81" s="20" t="s">
        <v>689</v>
      </c>
      <c r="D81" s="141">
        <v>2440000</v>
      </c>
      <c r="E81" s="20" t="s">
        <v>464</v>
      </c>
      <c r="F81" s="20" t="s">
        <v>465</v>
      </c>
      <c r="G81" s="8" t="str">
        <f t="shared" si="1"/>
        <v>LOPES KIMBERLY</v>
      </c>
    </row>
    <row r="82" spans="1:7" x14ac:dyDescent="0.25">
      <c r="A82" s="8">
        <v>42869.3905787037</v>
      </c>
      <c r="B82" s="20" t="s">
        <v>393</v>
      </c>
      <c r="C82" s="20" t="s">
        <v>690</v>
      </c>
      <c r="D82" s="141">
        <v>1100000</v>
      </c>
      <c r="E82" s="20" t="s">
        <v>655</v>
      </c>
      <c r="F82" s="20" t="s">
        <v>656</v>
      </c>
      <c r="G82" s="8" t="str">
        <f t="shared" si="1"/>
        <v>GEBRETEKLE DAGNEW</v>
      </c>
    </row>
    <row r="83" spans="1:7" x14ac:dyDescent="0.25">
      <c r="A83" s="8">
        <v>42869.391597222224</v>
      </c>
      <c r="B83" s="20" t="s">
        <v>610</v>
      </c>
      <c r="C83" s="20" t="s">
        <v>691</v>
      </c>
      <c r="D83" s="141">
        <v>2550000</v>
      </c>
      <c r="E83" s="20" t="s">
        <v>455</v>
      </c>
      <c r="F83" s="20" t="s">
        <v>456</v>
      </c>
      <c r="G83" s="8" t="str">
        <f t="shared" si="1"/>
        <v>BADERTSCHER DIANE</v>
      </c>
    </row>
    <row r="84" spans="1:7" x14ac:dyDescent="0.25">
      <c r="A84" s="8">
        <v>42869.391770833332</v>
      </c>
      <c r="B84" s="20" t="s">
        <v>453</v>
      </c>
      <c r="C84" s="20" t="s">
        <v>692</v>
      </c>
      <c r="D84" s="141">
        <v>1360000</v>
      </c>
      <c r="E84" s="20" t="s">
        <v>636</v>
      </c>
      <c r="F84" s="20" t="s">
        <v>637</v>
      </c>
      <c r="G84" s="8" t="str">
        <f t="shared" si="1"/>
        <v>SANTIZO D. EDY</v>
      </c>
    </row>
    <row r="85" spans="1:7" x14ac:dyDescent="0.25">
      <c r="A85" s="8">
        <v>42869.399351851855</v>
      </c>
      <c r="B85" s="20" t="s">
        <v>451</v>
      </c>
      <c r="C85" s="20" t="s">
        <v>693</v>
      </c>
      <c r="D85" s="141">
        <v>1830000</v>
      </c>
      <c r="E85" s="20" t="s">
        <v>457</v>
      </c>
      <c r="F85" s="20" t="s">
        <v>458</v>
      </c>
      <c r="G85" s="8" t="str">
        <f t="shared" si="1"/>
        <v>YORK EDGAR</v>
      </c>
    </row>
    <row r="86" spans="1:7" x14ac:dyDescent="0.25">
      <c r="A86" s="8">
        <v>42869.402418981481</v>
      </c>
      <c r="B86" s="20" t="s">
        <v>498</v>
      </c>
      <c r="C86" s="20" t="s">
        <v>694</v>
      </c>
      <c r="D86" s="141">
        <v>1990000</v>
      </c>
      <c r="E86" s="20" t="s">
        <v>646</v>
      </c>
      <c r="F86" s="20" t="s">
        <v>647</v>
      </c>
      <c r="G86" s="8" t="str">
        <f t="shared" si="1"/>
        <v>DAVIS WENDY</v>
      </c>
    </row>
    <row r="87" spans="1:7" x14ac:dyDescent="0.25">
      <c r="A87" s="8">
        <v>42869.410937499997</v>
      </c>
      <c r="B87" s="20" t="s">
        <v>439</v>
      </c>
      <c r="C87" s="20" t="s">
        <v>695</v>
      </c>
      <c r="D87" s="141">
        <v>2440000</v>
      </c>
      <c r="E87" s="20" t="s">
        <v>464</v>
      </c>
      <c r="F87" s="20" t="s">
        <v>465</v>
      </c>
      <c r="G87" s="8" t="str">
        <f t="shared" si="1"/>
        <v>LOPES KIMBERLY</v>
      </c>
    </row>
    <row r="88" spans="1:7" x14ac:dyDescent="0.25">
      <c r="A88" s="8">
        <v>42869.41138888889</v>
      </c>
      <c r="B88" s="20" t="s">
        <v>436</v>
      </c>
      <c r="C88" s="20" t="s">
        <v>597</v>
      </c>
      <c r="D88" s="141">
        <v>2560000</v>
      </c>
      <c r="E88" s="20" t="s">
        <v>493</v>
      </c>
      <c r="F88" s="20" t="s">
        <v>396</v>
      </c>
      <c r="G88" s="8" t="str">
        <f t="shared" si="1"/>
        <v>MACDONALD THOMAS</v>
      </c>
    </row>
    <row r="89" spans="1:7" x14ac:dyDescent="0.25">
      <c r="A89" s="8">
        <v>42869.413784722223</v>
      </c>
      <c r="B89" s="20" t="s">
        <v>452</v>
      </c>
      <c r="C89" s="20" t="s">
        <v>696</v>
      </c>
      <c r="D89" s="141">
        <v>1830000</v>
      </c>
      <c r="E89" s="20" t="s">
        <v>457</v>
      </c>
      <c r="F89" s="20" t="s">
        <v>458</v>
      </c>
      <c r="G89" s="8" t="str">
        <f t="shared" si="1"/>
        <v>YORK EDGAR</v>
      </c>
    </row>
    <row r="90" spans="1:7" x14ac:dyDescent="0.25">
      <c r="A90" s="8">
        <v>42869.421527777777</v>
      </c>
      <c r="B90" s="20" t="s">
        <v>395</v>
      </c>
      <c r="C90" s="20" t="s">
        <v>697</v>
      </c>
      <c r="D90" s="141">
        <v>1100000</v>
      </c>
      <c r="E90" s="20" t="s">
        <v>655</v>
      </c>
      <c r="F90" s="20" t="s">
        <v>656</v>
      </c>
      <c r="G90" s="8" t="str">
        <f t="shared" si="1"/>
        <v>GEBRETEKLE DAGNEW</v>
      </c>
    </row>
    <row r="91" spans="1:7" x14ac:dyDescent="0.25">
      <c r="A91" s="8">
        <v>42869.423078703701</v>
      </c>
      <c r="B91" s="20" t="s">
        <v>582</v>
      </c>
      <c r="C91" s="20" t="s">
        <v>698</v>
      </c>
      <c r="D91" s="141">
        <v>2010000</v>
      </c>
      <c r="E91" s="20" t="s">
        <v>640</v>
      </c>
      <c r="F91" s="20" t="s">
        <v>641</v>
      </c>
      <c r="G91" s="8" t="str">
        <f t="shared" si="1"/>
        <v>MAELZER KURT</v>
      </c>
    </row>
    <row r="92" spans="1:7" x14ac:dyDescent="0.25">
      <c r="A92" s="8">
        <v>42869.430798611109</v>
      </c>
      <c r="B92" s="20" t="s">
        <v>669</v>
      </c>
      <c r="C92" s="20" t="s">
        <v>699</v>
      </c>
      <c r="D92" s="141">
        <v>2550000</v>
      </c>
      <c r="E92" s="20" t="s">
        <v>455</v>
      </c>
      <c r="F92" s="20" t="s">
        <v>456</v>
      </c>
      <c r="G92" s="8" t="str">
        <f t="shared" si="1"/>
        <v>BADERTSCHER DIANE</v>
      </c>
    </row>
    <row r="93" spans="1:7" x14ac:dyDescent="0.25">
      <c r="A93" s="8">
        <v>42869.432881944442</v>
      </c>
      <c r="B93" s="20" t="s">
        <v>461</v>
      </c>
      <c r="C93" s="20" t="s">
        <v>700</v>
      </c>
      <c r="D93" s="141">
        <v>2470000</v>
      </c>
      <c r="E93" s="20" t="s">
        <v>701</v>
      </c>
      <c r="F93" s="20" t="s">
        <v>702</v>
      </c>
      <c r="G93" s="8" t="str">
        <f t="shared" si="1"/>
        <v>ROMERO CHAD</v>
      </c>
    </row>
    <row r="94" spans="1:7" x14ac:dyDescent="0.25">
      <c r="A94" s="8">
        <v>42869.441319444442</v>
      </c>
      <c r="B94" s="20" t="s">
        <v>451</v>
      </c>
      <c r="C94" s="20" t="s">
        <v>703</v>
      </c>
      <c r="D94" s="141">
        <v>1830000</v>
      </c>
      <c r="E94" s="20" t="s">
        <v>457</v>
      </c>
      <c r="F94" s="20" t="s">
        <v>458</v>
      </c>
      <c r="G94" s="8" t="str">
        <f t="shared" si="1"/>
        <v>YORK EDGAR</v>
      </c>
    </row>
    <row r="95" spans="1:7" x14ac:dyDescent="0.25">
      <c r="A95" s="8">
        <v>42869.442650462966</v>
      </c>
      <c r="B95" s="20" t="s">
        <v>454</v>
      </c>
      <c r="C95" s="20" t="s">
        <v>600</v>
      </c>
      <c r="D95" s="141">
        <v>1990000</v>
      </c>
      <c r="E95" s="20" t="s">
        <v>646</v>
      </c>
      <c r="F95" s="20" t="s">
        <v>647</v>
      </c>
      <c r="G95" s="8" t="str">
        <f t="shared" si="1"/>
        <v>DAVIS WENDY</v>
      </c>
    </row>
    <row r="96" spans="1:7" x14ac:dyDescent="0.25">
      <c r="A96" s="8">
        <v>42869.444641203707</v>
      </c>
      <c r="B96" s="20" t="s">
        <v>437</v>
      </c>
      <c r="C96" s="20" t="s">
        <v>598</v>
      </c>
      <c r="D96" s="141">
        <v>2560000</v>
      </c>
      <c r="E96" s="20" t="s">
        <v>493</v>
      </c>
      <c r="F96" s="20" t="s">
        <v>396</v>
      </c>
      <c r="G96" s="8" t="str">
        <f t="shared" si="1"/>
        <v>MACDONALD THOMAS</v>
      </c>
    </row>
    <row r="97" spans="1:7" x14ac:dyDescent="0.25">
      <c r="A97" s="8">
        <v>42869.449687499997</v>
      </c>
      <c r="B97" s="20" t="s">
        <v>587</v>
      </c>
      <c r="C97" s="20" t="s">
        <v>599</v>
      </c>
      <c r="D97" s="141">
        <v>2440000</v>
      </c>
      <c r="E97" s="20" t="s">
        <v>464</v>
      </c>
      <c r="F97" s="20" t="s">
        <v>465</v>
      </c>
      <c r="G97" s="8" t="str">
        <f t="shared" si="1"/>
        <v>LOPES KIMBERLY</v>
      </c>
    </row>
    <row r="98" spans="1:7" x14ac:dyDescent="0.25">
      <c r="A98" s="8">
        <v>42869.456099537034</v>
      </c>
      <c r="B98" s="20" t="s">
        <v>452</v>
      </c>
      <c r="C98" s="20" t="s">
        <v>704</v>
      </c>
      <c r="D98" s="141">
        <v>1830000</v>
      </c>
      <c r="E98" s="20" t="s">
        <v>457</v>
      </c>
      <c r="F98" s="20" t="s">
        <v>458</v>
      </c>
      <c r="G98" s="8" t="str">
        <f t="shared" si="1"/>
        <v>YORK EDGAR</v>
      </c>
    </row>
    <row r="99" spans="1:7" x14ac:dyDescent="0.25">
      <c r="A99" s="8">
        <v>42869.461504629631</v>
      </c>
      <c r="B99" s="20" t="s">
        <v>393</v>
      </c>
      <c r="C99" s="20" t="s">
        <v>705</v>
      </c>
      <c r="D99" s="141">
        <v>1100000</v>
      </c>
      <c r="E99" s="20" t="s">
        <v>655</v>
      </c>
      <c r="F99" s="20" t="s">
        <v>656</v>
      </c>
      <c r="G99" s="8" t="str">
        <f t="shared" si="1"/>
        <v>GEBRETEKLE DAGNEW</v>
      </c>
    </row>
    <row r="100" spans="1:7" x14ac:dyDescent="0.25">
      <c r="A100" s="8">
        <v>42869.464479166665</v>
      </c>
      <c r="B100" s="20" t="s">
        <v>453</v>
      </c>
      <c r="C100" s="20" t="s">
        <v>706</v>
      </c>
      <c r="D100" s="141">
        <v>2470000</v>
      </c>
      <c r="E100" s="20" t="s">
        <v>701</v>
      </c>
      <c r="F100" s="20" t="s">
        <v>702</v>
      </c>
      <c r="G100" s="8" t="str">
        <f t="shared" si="1"/>
        <v>ROMERO CHAD</v>
      </c>
    </row>
    <row r="101" spans="1:7" x14ac:dyDescent="0.25">
      <c r="A101" s="8">
        <v>42869.46565972222</v>
      </c>
      <c r="B101" s="20" t="s">
        <v>610</v>
      </c>
      <c r="C101" s="20" t="s">
        <v>707</v>
      </c>
      <c r="D101" s="141">
        <v>920000</v>
      </c>
      <c r="E101" s="20" t="s">
        <v>646</v>
      </c>
      <c r="F101" s="20" t="s">
        <v>196</v>
      </c>
      <c r="G101" s="8" t="str">
        <f t="shared" si="1"/>
        <v>DAVIS MICHAEL</v>
      </c>
    </row>
    <row r="102" spans="1:7" x14ac:dyDescent="0.25">
      <c r="A102" s="8">
        <v>42869.476851851854</v>
      </c>
      <c r="B102" s="20" t="s">
        <v>498</v>
      </c>
      <c r="C102" s="20" t="s">
        <v>708</v>
      </c>
      <c r="D102" s="141">
        <v>1300000</v>
      </c>
      <c r="E102" s="20" t="s">
        <v>709</v>
      </c>
      <c r="F102" s="20" t="s">
        <v>710</v>
      </c>
      <c r="G102" s="8" t="str">
        <f t="shared" si="1"/>
        <v>LEVIN SCOTT</v>
      </c>
    </row>
    <row r="103" spans="1:7" x14ac:dyDescent="0.25">
      <c r="A103" s="8">
        <v>42869.483518518522</v>
      </c>
      <c r="B103" s="20" t="s">
        <v>451</v>
      </c>
      <c r="C103" s="20" t="s">
        <v>601</v>
      </c>
      <c r="D103" s="141">
        <v>1830000</v>
      </c>
      <c r="E103" s="20" t="s">
        <v>457</v>
      </c>
      <c r="F103" s="20" t="s">
        <v>458</v>
      </c>
      <c r="G103" s="8" t="str">
        <f t="shared" si="1"/>
        <v>YORK EDGAR</v>
      </c>
    </row>
    <row r="104" spans="1:7" x14ac:dyDescent="0.25">
      <c r="A104" s="8">
        <v>42869.485034722224</v>
      </c>
      <c r="B104" s="20" t="s">
        <v>436</v>
      </c>
      <c r="C104" s="20" t="s">
        <v>711</v>
      </c>
      <c r="D104" s="141">
        <v>2560000</v>
      </c>
      <c r="E104" s="20" t="s">
        <v>493</v>
      </c>
      <c r="F104" s="20" t="s">
        <v>396</v>
      </c>
      <c r="G104" s="8" t="str">
        <f t="shared" si="1"/>
        <v>MACDONALD THOMAS</v>
      </c>
    </row>
    <row r="105" spans="1:7" x14ac:dyDescent="0.25">
      <c r="A105" s="8">
        <v>42869.485983796294</v>
      </c>
      <c r="B105" s="20" t="s">
        <v>439</v>
      </c>
      <c r="C105" s="20" t="s">
        <v>712</v>
      </c>
      <c r="D105" s="141">
        <v>2630000</v>
      </c>
      <c r="E105" s="20" t="s">
        <v>713</v>
      </c>
      <c r="F105" s="20" t="s">
        <v>714</v>
      </c>
      <c r="G105" s="8" t="str">
        <f t="shared" si="1"/>
        <v>SAFIEF AEIMEN</v>
      </c>
    </row>
    <row r="106" spans="1:7" x14ac:dyDescent="0.25">
      <c r="A106" s="8">
        <v>42869.49659722222</v>
      </c>
      <c r="B106" s="20" t="s">
        <v>582</v>
      </c>
      <c r="C106" s="20" t="s">
        <v>602</v>
      </c>
      <c r="D106" s="141">
        <v>880000</v>
      </c>
      <c r="E106" s="20" t="s">
        <v>715</v>
      </c>
      <c r="F106" s="20" t="s">
        <v>196</v>
      </c>
      <c r="G106" s="8" t="str">
        <f t="shared" si="1"/>
        <v>STEWART MICHAEL</v>
      </c>
    </row>
    <row r="107" spans="1:7" x14ac:dyDescent="0.25">
      <c r="A107" s="8">
        <v>42869.496793981481</v>
      </c>
      <c r="B107" s="20" t="s">
        <v>395</v>
      </c>
      <c r="C107" s="20" t="s">
        <v>716</v>
      </c>
      <c r="D107" s="141">
        <v>2530000</v>
      </c>
      <c r="E107" s="20" t="s">
        <v>717</v>
      </c>
      <c r="F107" s="20" t="s">
        <v>718</v>
      </c>
      <c r="G107" s="8" t="str">
        <f t="shared" si="1"/>
        <v>LALONDE GREGORY</v>
      </c>
    </row>
    <row r="108" spans="1:7" x14ac:dyDescent="0.25">
      <c r="A108" s="8">
        <v>42869.497476851851</v>
      </c>
      <c r="B108" s="20" t="s">
        <v>452</v>
      </c>
      <c r="C108" s="20" t="s">
        <v>719</v>
      </c>
      <c r="D108" s="141">
        <v>1830000</v>
      </c>
      <c r="E108" s="20" t="s">
        <v>457</v>
      </c>
      <c r="F108" s="20" t="s">
        <v>458</v>
      </c>
      <c r="G108" s="8" t="str">
        <f t="shared" si="1"/>
        <v>YORK EDGAR</v>
      </c>
    </row>
    <row r="109" spans="1:7" x14ac:dyDescent="0.25">
      <c r="A109" s="8">
        <v>42869.506736111114</v>
      </c>
      <c r="B109" s="20" t="s">
        <v>461</v>
      </c>
      <c r="C109" s="20" t="s">
        <v>603</v>
      </c>
      <c r="D109" s="141">
        <v>2470000</v>
      </c>
      <c r="E109" s="20" t="s">
        <v>701</v>
      </c>
      <c r="F109" s="20" t="s">
        <v>702</v>
      </c>
      <c r="G109" s="8" t="str">
        <f t="shared" si="1"/>
        <v>ROMERO CHAD</v>
      </c>
    </row>
    <row r="110" spans="1:7" x14ac:dyDescent="0.25">
      <c r="A110" s="8">
        <v>42869.506932870368</v>
      </c>
      <c r="B110" s="20" t="s">
        <v>669</v>
      </c>
      <c r="C110" s="20" t="s">
        <v>720</v>
      </c>
      <c r="D110" s="141">
        <v>920000</v>
      </c>
      <c r="E110" s="20" t="s">
        <v>646</v>
      </c>
      <c r="F110" s="20" t="s">
        <v>196</v>
      </c>
      <c r="G110" s="8" t="str">
        <f t="shared" si="1"/>
        <v>DAVIS MICHAEL</v>
      </c>
    </row>
    <row r="111" spans="1:7" x14ac:dyDescent="0.25">
      <c r="A111" s="8">
        <v>42869.510324074072</v>
      </c>
      <c r="B111" s="20" t="s">
        <v>364</v>
      </c>
      <c r="C111" s="20" t="s">
        <v>721</v>
      </c>
      <c r="D111" s="141">
        <v>2600000</v>
      </c>
      <c r="E111" s="20" t="s">
        <v>722</v>
      </c>
      <c r="F111" s="20" t="s">
        <v>723</v>
      </c>
      <c r="G111" s="8" t="str">
        <f t="shared" si="1"/>
        <v>DAVIDSON DAVID</v>
      </c>
    </row>
    <row r="112" spans="1:7" x14ac:dyDescent="0.25">
      <c r="A112" s="8">
        <v>42869.5155787037</v>
      </c>
      <c r="B112" s="20" t="s">
        <v>368</v>
      </c>
      <c r="C112" s="20" t="s">
        <v>721</v>
      </c>
      <c r="D112" s="141">
        <v>2600000</v>
      </c>
      <c r="E112" s="20" t="s">
        <v>722</v>
      </c>
      <c r="F112" s="20" t="s">
        <v>723</v>
      </c>
      <c r="G112" s="8" t="str">
        <f t="shared" si="1"/>
        <v>DAVIDSON DAVID</v>
      </c>
    </row>
    <row r="113" spans="1:7" x14ac:dyDescent="0.25">
      <c r="A113" s="8">
        <v>42869.516238425924</v>
      </c>
      <c r="B113" s="20" t="s">
        <v>437</v>
      </c>
      <c r="C113" s="20" t="s">
        <v>604</v>
      </c>
      <c r="D113" s="141">
        <v>2360000</v>
      </c>
      <c r="E113" s="20" t="s">
        <v>496</v>
      </c>
      <c r="F113" s="20" t="s">
        <v>497</v>
      </c>
      <c r="G113" s="8" t="str">
        <f t="shared" si="1"/>
        <v>BRANDNER MELINDA</v>
      </c>
    </row>
    <row r="114" spans="1:7" x14ac:dyDescent="0.25">
      <c r="A114" s="8">
        <v>42869.517222222225</v>
      </c>
      <c r="B114" s="20" t="s">
        <v>454</v>
      </c>
      <c r="C114" s="20" t="s">
        <v>724</v>
      </c>
      <c r="D114" s="141">
        <v>1300000</v>
      </c>
      <c r="E114" s="20" t="s">
        <v>709</v>
      </c>
      <c r="F114" s="20" t="s">
        <v>710</v>
      </c>
      <c r="G114" s="8" t="str">
        <f t="shared" si="1"/>
        <v>LEVIN SCOTT</v>
      </c>
    </row>
    <row r="115" spans="1:7" x14ac:dyDescent="0.25">
      <c r="A115" s="8">
        <v>42869.521840277775</v>
      </c>
      <c r="B115" s="20" t="s">
        <v>364</v>
      </c>
      <c r="C115" s="20" t="s">
        <v>725</v>
      </c>
      <c r="D115" s="141">
        <v>2600000</v>
      </c>
      <c r="E115" s="20" t="s">
        <v>722</v>
      </c>
      <c r="F115" s="20" t="s">
        <v>723</v>
      </c>
      <c r="G115" s="8" t="str">
        <f t="shared" si="1"/>
        <v>DAVIDSON DAVID</v>
      </c>
    </row>
    <row r="116" spans="1:7" x14ac:dyDescent="0.25">
      <c r="A116" s="8">
        <v>42869.521898148145</v>
      </c>
      <c r="B116" s="20" t="s">
        <v>587</v>
      </c>
      <c r="C116" s="20" t="s">
        <v>726</v>
      </c>
      <c r="D116" s="141">
        <v>2630000</v>
      </c>
      <c r="E116" s="20" t="s">
        <v>713</v>
      </c>
      <c r="F116" s="20" t="s">
        <v>714</v>
      </c>
      <c r="G116" s="8" t="str">
        <f t="shared" si="1"/>
        <v>SAFIEF AEIMEN</v>
      </c>
    </row>
    <row r="117" spans="1:7" x14ac:dyDescent="0.25">
      <c r="A117" s="8">
        <v>42869.525150462963</v>
      </c>
      <c r="B117" s="20" t="s">
        <v>451</v>
      </c>
      <c r="C117" s="20" t="s">
        <v>727</v>
      </c>
      <c r="D117" s="141">
        <v>1830000</v>
      </c>
      <c r="E117" s="20" t="s">
        <v>457</v>
      </c>
      <c r="F117" s="20" t="s">
        <v>458</v>
      </c>
      <c r="G117" s="8" t="str">
        <f t="shared" si="1"/>
        <v>YORK EDGAR</v>
      </c>
    </row>
    <row r="118" spans="1:7" x14ac:dyDescent="0.25">
      <c r="A118" s="8">
        <v>42869.529317129629</v>
      </c>
      <c r="B118" s="20" t="s">
        <v>393</v>
      </c>
      <c r="C118" s="20" t="s">
        <v>728</v>
      </c>
      <c r="D118" s="141">
        <v>2530000</v>
      </c>
      <c r="E118" s="20" t="s">
        <v>717</v>
      </c>
      <c r="F118" s="20" t="s">
        <v>718</v>
      </c>
      <c r="G118" s="8" t="str">
        <f t="shared" si="1"/>
        <v>LALONDE GREGORY</v>
      </c>
    </row>
    <row r="119" spans="1:7" x14ac:dyDescent="0.25">
      <c r="A119" s="8">
        <v>42869.539537037039</v>
      </c>
      <c r="B119" s="20" t="s">
        <v>452</v>
      </c>
      <c r="C119" s="20" t="s">
        <v>729</v>
      </c>
      <c r="D119" s="141">
        <v>1830000</v>
      </c>
      <c r="E119" s="20" t="s">
        <v>457</v>
      </c>
      <c r="F119" s="20" t="s">
        <v>458</v>
      </c>
      <c r="G119" s="8" t="str">
        <f t="shared" si="1"/>
        <v>YORK EDGAR</v>
      </c>
    </row>
    <row r="120" spans="1:7" x14ac:dyDescent="0.25">
      <c r="A120" s="8">
        <v>42869.539733796293</v>
      </c>
      <c r="B120" s="20" t="s">
        <v>453</v>
      </c>
      <c r="C120" s="20" t="s">
        <v>605</v>
      </c>
      <c r="D120" s="141">
        <v>2470000</v>
      </c>
      <c r="E120" s="20" t="s">
        <v>701</v>
      </c>
      <c r="F120" s="20" t="s">
        <v>702</v>
      </c>
      <c r="G120" s="8" t="str">
        <f t="shared" si="1"/>
        <v>ROMERO CHAD</v>
      </c>
    </row>
    <row r="121" spans="1:7" x14ac:dyDescent="0.25">
      <c r="A121" s="8">
        <v>42869.540601851855</v>
      </c>
      <c r="B121" s="20" t="s">
        <v>610</v>
      </c>
      <c r="C121" s="20" t="s">
        <v>730</v>
      </c>
      <c r="D121" s="141">
        <v>920000</v>
      </c>
      <c r="E121" s="20" t="s">
        <v>646</v>
      </c>
      <c r="F121" s="20" t="s">
        <v>196</v>
      </c>
      <c r="G121" s="8" t="str">
        <f t="shared" si="1"/>
        <v>DAVIS MICHAEL</v>
      </c>
    </row>
    <row r="122" spans="1:7" x14ac:dyDescent="0.25">
      <c r="A122" s="8">
        <v>42869.550185185188</v>
      </c>
      <c r="B122" s="25" t="s">
        <v>498</v>
      </c>
      <c r="C122" s="20" t="s">
        <v>731</v>
      </c>
      <c r="D122" s="141">
        <v>1300000</v>
      </c>
      <c r="E122" s="20" t="s">
        <v>709</v>
      </c>
      <c r="F122" s="20" t="s">
        <v>710</v>
      </c>
      <c r="G122" s="8" t="str">
        <f t="shared" si="1"/>
        <v>LEVIN SCOTT</v>
      </c>
    </row>
    <row r="123" spans="1:7" x14ac:dyDescent="0.25">
      <c r="A123" s="8">
        <v>42869.554016203707</v>
      </c>
      <c r="B123" s="20" t="s">
        <v>436</v>
      </c>
      <c r="C123" s="20" t="s">
        <v>606</v>
      </c>
      <c r="D123" s="141">
        <v>2360000</v>
      </c>
      <c r="E123" s="20" t="s">
        <v>496</v>
      </c>
      <c r="F123" s="20" t="s">
        <v>497</v>
      </c>
      <c r="G123" s="8" t="str">
        <f t="shared" si="1"/>
        <v>BRANDNER MELINDA</v>
      </c>
    </row>
    <row r="124" spans="1:7" x14ac:dyDescent="0.25">
      <c r="A124" s="8">
        <v>42869.558240740742</v>
      </c>
      <c r="B124" s="20" t="s">
        <v>439</v>
      </c>
      <c r="C124" s="20" t="s">
        <v>732</v>
      </c>
      <c r="D124" s="141">
        <v>2630000</v>
      </c>
      <c r="E124" s="20" t="s">
        <v>713</v>
      </c>
      <c r="F124" s="20" t="s">
        <v>714</v>
      </c>
      <c r="G124" s="8" t="str">
        <f t="shared" si="1"/>
        <v>SAFIEF AEIMEN</v>
      </c>
    </row>
    <row r="125" spans="1:7" x14ac:dyDescent="0.25">
      <c r="A125" s="8">
        <v>42869.562592592592</v>
      </c>
      <c r="B125" s="20" t="s">
        <v>453</v>
      </c>
      <c r="C125" s="20" t="s">
        <v>605</v>
      </c>
      <c r="D125" s="141">
        <v>2470000</v>
      </c>
      <c r="E125" s="20" t="s">
        <v>701</v>
      </c>
      <c r="F125" s="20" t="s">
        <v>702</v>
      </c>
      <c r="G125" s="8" t="str">
        <f t="shared" si="1"/>
        <v>ROMERO CHAD</v>
      </c>
    </row>
    <row r="126" spans="1:7" x14ac:dyDescent="0.25">
      <c r="A126" s="8">
        <v>42869.563159722224</v>
      </c>
      <c r="B126" s="20" t="s">
        <v>368</v>
      </c>
      <c r="C126" s="20" t="s">
        <v>733</v>
      </c>
      <c r="D126" s="141">
        <v>2600000</v>
      </c>
      <c r="E126" s="20" t="s">
        <v>722</v>
      </c>
      <c r="F126" s="20" t="s">
        <v>723</v>
      </c>
      <c r="G126" s="8" t="str">
        <f t="shared" si="1"/>
        <v>DAVIDSON DAVID</v>
      </c>
    </row>
    <row r="127" spans="1:7" x14ac:dyDescent="0.25">
      <c r="A127" s="8">
        <v>42869.566076388888</v>
      </c>
      <c r="B127" s="20" t="s">
        <v>451</v>
      </c>
      <c r="C127" s="20" t="s">
        <v>734</v>
      </c>
      <c r="D127" s="141">
        <v>1830000</v>
      </c>
      <c r="E127" s="20" t="s">
        <v>457</v>
      </c>
      <c r="F127" s="20" t="s">
        <v>458</v>
      </c>
      <c r="G127" s="8" t="str">
        <f t="shared" si="1"/>
        <v>YORK EDGAR</v>
      </c>
    </row>
    <row r="128" spans="1:7" x14ac:dyDescent="0.25">
      <c r="A128" s="8">
        <v>42869.567476851851</v>
      </c>
      <c r="B128" s="20" t="s">
        <v>395</v>
      </c>
      <c r="C128" s="20" t="s">
        <v>735</v>
      </c>
      <c r="D128" s="141">
        <v>2530000</v>
      </c>
      <c r="E128" s="20" t="s">
        <v>717</v>
      </c>
      <c r="F128" s="20" t="s">
        <v>718</v>
      </c>
      <c r="G128" s="8" t="str">
        <f t="shared" si="1"/>
        <v>LALONDE GREGORY</v>
      </c>
    </row>
    <row r="129" spans="1:7" x14ac:dyDescent="0.25">
      <c r="A129" s="8">
        <v>42869.579837962963</v>
      </c>
      <c r="B129" s="20" t="s">
        <v>669</v>
      </c>
      <c r="C129" s="20" t="s">
        <v>736</v>
      </c>
      <c r="D129" s="141">
        <v>920000</v>
      </c>
      <c r="E129" s="20" t="s">
        <v>646</v>
      </c>
      <c r="F129" s="20" t="s">
        <v>196</v>
      </c>
      <c r="G129" s="8" t="str">
        <f t="shared" si="1"/>
        <v>DAVIS MICHAEL</v>
      </c>
    </row>
    <row r="130" spans="1:7" x14ac:dyDescent="0.25">
      <c r="A130" s="8">
        <v>42869.581666666665</v>
      </c>
      <c r="B130" s="20" t="s">
        <v>461</v>
      </c>
      <c r="C130" s="20" t="s">
        <v>607</v>
      </c>
      <c r="D130" s="141">
        <v>2470000</v>
      </c>
      <c r="E130" s="20" t="s">
        <v>701</v>
      </c>
      <c r="F130" s="20" t="s">
        <v>702</v>
      </c>
      <c r="G130" s="8" t="str">
        <f t="shared" si="1"/>
        <v>ROMERO CHAD</v>
      </c>
    </row>
    <row r="131" spans="1:7" x14ac:dyDescent="0.25">
      <c r="A131" s="8">
        <v>42869.589166666665</v>
      </c>
      <c r="B131" s="20" t="s">
        <v>454</v>
      </c>
      <c r="C131" s="20" t="s">
        <v>737</v>
      </c>
      <c r="D131" s="141">
        <v>1300000</v>
      </c>
      <c r="E131" s="20" t="s">
        <v>709</v>
      </c>
      <c r="F131" s="20" t="s">
        <v>710</v>
      </c>
      <c r="G131" s="8" t="str">
        <f t="shared" ref="G131:G194" si="2">E131&amp;" "&amp;F131</f>
        <v>LEVIN SCOTT</v>
      </c>
    </row>
    <row r="132" spans="1:7" x14ac:dyDescent="0.25">
      <c r="A132" s="8">
        <v>42869.591562499998</v>
      </c>
      <c r="B132" s="20" t="s">
        <v>587</v>
      </c>
      <c r="C132" s="20" t="s">
        <v>608</v>
      </c>
      <c r="D132" s="141">
        <v>2630000</v>
      </c>
      <c r="E132" s="20" t="s">
        <v>713</v>
      </c>
      <c r="F132" s="20" t="s">
        <v>714</v>
      </c>
      <c r="G132" s="8" t="str">
        <f t="shared" si="2"/>
        <v>SAFIEF AEIMEN</v>
      </c>
    </row>
    <row r="133" spans="1:7" x14ac:dyDescent="0.25">
      <c r="A133" s="8">
        <v>42869.591817129629</v>
      </c>
      <c r="B133" s="20" t="s">
        <v>437</v>
      </c>
      <c r="C133" s="20" t="s">
        <v>609</v>
      </c>
      <c r="D133" s="141">
        <v>2360000</v>
      </c>
      <c r="E133" s="20" t="s">
        <v>496</v>
      </c>
      <c r="F133" s="20" t="s">
        <v>497</v>
      </c>
      <c r="G133" s="8" t="str">
        <f t="shared" si="2"/>
        <v>BRANDNER MELINDA</v>
      </c>
    </row>
    <row r="134" spans="1:7" x14ac:dyDescent="0.25">
      <c r="A134" s="8">
        <v>42869.595451388886</v>
      </c>
      <c r="B134" s="20" t="s">
        <v>452</v>
      </c>
      <c r="C134" s="20" t="s">
        <v>738</v>
      </c>
      <c r="D134" s="141">
        <v>1540000</v>
      </c>
      <c r="E134" s="20" t="s">
        <v>462</v>
      </c>
      <c r="F134" s="20" t="s">
        <v>463</v>
      </c>
      <c r="G134" s="8" t="str">
        <f t="shared" si="2"/>
        <v>HELVIE ADAM</v>
      </c>
    </row>
    <row r="135" spans="1:7" x14ac:dyDescent="0.25">
      <c r="A135" s="8">
        <v>42869.599861111114</v>
      </c>
      <c r="B135" s="20" t="s">
        <v>364</v>
      </c>
      <c r="C135" s="20" t="s">
        <v>739</v>
      </c>
      <c r="D135" s="141">
        <v>2600000</v>
      </c>
      <c r="E135" s="20" t="s">
        <v>722</v>
      </c>
      <c r="F135" s="20" t="s">
        <v>723</v>
      </c>
      <c r="G135" s="8" t="str">
        <f t="shared" si="2"/>
        <v>DAVIDSON DAVID</v>
      </c>
    </row>
    <row r="136" spans="1:7" x14ac:dyDescent="0.25">
      <c r="A136" s="8">
        <v>42869.600173611114</v>
      </c>
      <c r="B136" s="20" t="s">
        <v>393</v>
      </c>
      <c r="C136" s="20" t="s">
        <v>740</v>
      </c>
      <c r="D136" s="141">
        <v>2530000</v>
      </c>
      <c r="E136" s="20" t="s">
        <v>717</v>
      </c>
      <c r="F136" s="20" t="s">
        <v>718</v>
      </c>
      <c r="G136" s="8" t="str">
        <f t="shared" si="2"/>
        <v>LALONDE GREGORY</v>
      </c>
    </row>
    <row r="137" spans="1:7" x14ac:dyDescent="0.25">
      <c r="A137" s="8">
        <v>42869.610694444447</v>
      </c>
      <c r="B137" s="20" t="s">
        <v>451</v>
      </c>
      <c r="C137" s="20" t="s">
        <v>741</v>
      </c>
      <c r="D137" s="141">
        <v>1540000</v>
      </c>
      <c r="E137" s="20" t="s">
        <v>462</v>
      </c>
      <c r="F137" s="20" t="s">
        <v>463</v>
      </c>
      <c r="G137" s="8" t="str">
        <f t="shared" si="2"/>
        <v>HELVIE ADAM</v>
      </c>
    </row>
    <row r="138" spans="1:7" x14ac:dyDescent="0.25">
      <c r="A138" s="8">
        <v>42869.614016203705</v>
      </c>
      <c r="B138" s="20" t="s">
        <v>610</v>
      </c>
      <c r="C138" s="20" t="s">
        <v>611</v>
      </c>
      <c r="D138" s="141">
        <v>920000</v>
      </c>
      <c r="E138" s="20" t="s">
        <v>646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42869.614328703705</v>
      </c>
      <c r="B139" s="20" t="s">
        <v>453</v>
      </c>
      <c r="C139" s="20" t="s">
        <v>742</v>
      </c>
      <c r="D139" s="141">
        <v>2470000</v>
      </c>
      <c r="E139" s="20" t="s">
        <v>701</v>
      </c>
      <c r="F139" s="20" t="s">
        <v>702</v>
      </c>
      <c r="G139" s="8" t="str">
        <f t="shared" si="2"/>
        <v>ROMERO CHAD</v>
      </c>
    </row>
    <row r="140" spans="1:7" x14ac:dyDescent="0.25">
      <c r="A140" s="8">
        <v>42869.62394675926</v>
      </c>
      <c r="B140" s="20" t="s">
        <v>498</v>
      </c>
      <c r="C140" s="20" t="s">
        <v>743</v>
      </c>
      <c r="D140" s="141">
        <v>1300000</v>
      </c>
      <c r="E140" s="20" t="s">
        <v>709</v>
      </c>
      <c r="F140" s="20" t="s">
        <v>710</v>
      </c>
      <c r="G140" s="8" t="str">
        <f t="shared" si="2"/>
        <v>LEVIN SCOTT</v>
      </c>
    </row>
    <row r="141" spans="1:7" x14ac:dyDescent="0.25">
      <c r="A141" s="8">
        <v>42869.630567129629</v>
      </c>
      <c r="B141" s="20" t="s">
        <v>436</v>
      </c>
      <c r="C141" s="20" t="s">
        <v>612</v>
      </c>
      <c r="D141" s="141">
        <v>2360000</v>
      </c>
      <c r="E141" s="20" t="s">
        <v>496</v>
      </c>
      <c r="F141" s="20" t="s">
        <v>497</v>
      </c>
      <c r="G141" s="8" t="str">
        <f t="shared" si="2"/>
        <v>BRANDNER MELINDA</v>
      </c>
    </row>
    <row r="142" spans="1:7" x14ac:dyDescent="0.25">
      <c r="A142" s="8">
        <v>42869.632071759261</v>
      </c>
      <c r="B142" s="20" t="s">
        <v>439</v>
      </c>
      <c r="C142" s="20" t="s">
        <v>744</v>
      </c>
      <c r="D142" s="141">
        <v>2630000</v>
      </c>
      <c r="E142" s="20" t="s">
        <v>713</v>
      </c>
      <c r="F142" s="20" t="s">
        <v>714</v>
      </c>
      <c r="G142" s="8" t="str">
        <f t="shared" si="2"/>
        <v>SAFIEF AEIMEN</v>
      </c>
    </row>
    <row r="143" spans="1:7" x14ac:dyDescent="0.25">
      <c r="A143" s="8">
        <v>42869.636724537035</v>
      </c>
      <c r="B143" s="20" t="s">
        <v>368</v>
      </c>
      <c r="C143" s="20" t="s">
        <v>745</v>
      </c>
      <c r="D143" s="141">
        <v>2600000</v>
      </c>
      <c r="E143" s="20" t="s">
        <v>722</v>
      </c>
      <c r="F143" s="20" t="s">
        <v>723</v>
      </c>
      <c r="G143" s="8" t="str">
        <f t="shared" si="2"/>
        <v>DAVIDSON DAVID</v>
      </c>
    </row>
    <row r="144" spans="1:7" x14ac:dyDescent="0.25">
      <c r="A144" s="8">
        <v>42869.639039351852</v>
      </c>
      <c r="B144" s="20" t="s">
        <v>452</v>
      </c>
      <c r="C144" s="20" t="s">
        <v>746</v>
      </c>
      <c r="D144" s="141">
        <v>1540000</v>
      </c>
      <c r="E144" s="20" t="s">
        <v>462</v>
      </c>
      <c r="F144" s="20" t="s">
        <v>463</v>
      </c>
      <c r="G144" s="8" t="str">
        <f t="shared" si="2"/>
        <v>HELVIE ADAM</v>
      </c>
    </row>
    <row r="145" spans="1:7" x14ac:dyDescent="0.25">
      <c r="A145" s="8">
        <v>42869.639224537037</v>
      </c>
      <c r="B145" s="20" t="s">
        <v>395</v>
      </c>
      <c r="C145" s="20" t="s">
        <v>747</v>
      </c>
      <c r="D145" s="141">
        <v>2530000</v>
      </c>
      <c r="E145" s="20" t="s">
        <v>717</v>
      </c>
      <c r="F145" s="20" t="s">
        <v>718</v>
      </c>
      <c r="G145" s="8" t="str">
        <f t="shared" si="2"/>
        <v>LALONDE GREGORY</v>
      </c>
    </row>
    <row r="146" spans="1:7" x14ac:dyDescent="0.25">
      <c r="A146" s="8">
        <v>42869.651944444442</v>
      </c>
      <c r="B146" s="20" t="s">
        <v>451</v>
      </c>
      <c r="C146" s="20" t="s">
        <v>748</v>
      </c>
      <c r="D146" s="141">
        <v>1540000</v>
      </c>
      <c r="E146" s="20" t="s">
        <v>462</v>
      </c>
      <c r="F146" s="20" t="s">
        <v>463</v>
      </c>
      <c r="G146" s="8" t="str">
        <f t="shared" si="2"/>
        <v>HELVIE ADAM</v>
      </c>
    </row>
    <row r="147" spans="1:7" x14ac:dyDescent="0.25">
      <c r="A147" s="8">
        <v>42869.652037037034</v>
      </c>
      <c r="B147" s="20" t="s">
        <v>669</v>
      </c>
      <c r="C147" s="20" t="s">
        <v>749</v>
      </c>
      <c r="D147" s="141">
        <v>920000</v>
      </c>
      <c r="E147" s="20" t="s">
        <v>646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42869.652743055558</v>
      </c>
      <c r="B148" s="20" t="s">
        <v>461</v>
      </c>
      <c r="C148" s="20" t="s">
        <v>750</v>
      </c>
      <c r="D148" s="141">
        <v>2470000</v>
      </c>
      <c r="E148" s="20" t="s">
        <v>701</v>
      </c>
      <c r="F148" s="20" t="s">
        <v>702</v>
      </c>
      <c r="G148" s="8" t="str">
        <f t="shared" si="2"/>
        <v>ROMERO CHAD</v>
      </c>
    </row>
    <row r="149" spans="1:7" x14ac:dyDescent="0.25">
      <c r="A149" s="8">
        <v>42869.66233796296</v>
      </c>
      <c r="B149" s="20" t="s">
        <v>454</v>
      </c>
      <c r="C149" s="20" t="s">
        <v>614</v>
      </c>
      <c r="D149" s="141">
        <v>1300000</v>
      </c>
      <c r="E149" s="20" t="s">
        <v>709</v>
      </c>
      <c r="F149" s="20" t="s">
        <v>710</v>
      </c>
      <c r="G149" s="8" t="str">
        <f t="shared" si="2"/>
        <v>LEVIN SCOTT</v>
      </c>
    </row>
    <row r="150" spans="1:7" x14ac:dyDescent="0.25">
      <c r="A150" s="8">
        <v>42869.664270833331</v>
      </c>
      <c r="B150" s="20" t="s">
        <v>437</v>
      </c>
      <c r="C150" s="20" t="s">
        <v>613</v>
      </c>
      <c r="D150" s="141">
        <v>2360000</v>
      </c>
      <c r="E150" s="20" t="s">
        <v>496</v>
      </c>
      <c r="F150" s="20" t="s">
        <v>497</v>
      </c>
      <c r="G150" s="8" t="str">
        <f t="shared" si="2"/>
        <v>BRANDNER MELINDA</v>
      </c>
    </row>
    <row r="151" spans="1:7" x14ac:dyDescent="0.25">
      <c r="A151" s="8">
        <v>42869.665150462963</v>
      </c>
      <c r="B151" s="20" t="s">
        <v>587</v>
      </c>
      <c r="C151" s="20" t="s">
        <v>751</v>
      </c>
      <c r="D151" s="141">
        <v>2630000</v>
      </c>
      <c r="E151" s="20" t="s">
        <v>713</v>
      </c>
      <c r="F151" s="20" t="s">
        <v>714</v>
      </c>
      <c r="G151" s="8" t="str">
        <f t="shared" si="2"/>
        <v>SAFIEF AEIMEN</v>
      </c>
    </row>
    <row r="152" spans="1:7" x14ac:dyDescent="0.25">
      <c r="A152" s="8">
        <v>42869.675381944442</v>
      </c>
      <c r="B152" s="20" t="s">
        <v>393</v>
      </c>
      <c r="C152" s="20" t="s">
        <v>752</v>
      </c>
      <c r="D152" s="141">
        <v>2530000</v>
      </c>
      <c r="E152" s="20" t="s">
        <v>717</v>
      </c>
      <c r="F152" s="20" t="s">
        <v>718</v>
      </c>
      <c r="G152" s="8" t="str">
        <f t="shared" si="2"/>
        <v>LALONDE GREGORY</v>
      </c>
    </row>
    <row r="153" spans="1:7" x14ac:dyDescent="0.25">
      <c r="A153" s="8">
        <v>42869.681076388886</v>
      </c>
      <c r="B153" s="20" t="s">
        <v>452</v>
      </c>
      <c r="C153" s="20" t="s">
        <v>753</v>
      </c>
      <c r="D153" s="141">
        <v>1540000</v>
      </c>
      <c r="E153" s="20" t="s">
        <v>462</v>
      </c>
      <c r="F153" s="20" t="s">
        <v>463</v>
      </c>
      <c r="G153" s="8" t="str">
        <f t="shared" si="2"/>
        <v>HELVIE ADAM</v>
      </c>
    </row>
    <row r="154" spans="1:7" x14ac:dyDescent="0.25">
      <c r="A154" s="8">
        <v>42869.68582175926</v>
      </c>
      <c r="B154" s="20" t="s">
        <v>610</v>
      </c>
      <c r="C154" s="20" t="s">
        <v>754</v>
      </c>
      <c r="D154" s="141">
        <v>920000</v>
      </c>
      <c r="E154" s="20" t="s">
        <v>646</v>
      </c>
      <c r="F154" s="20" t="s">
        <v>196</v>
      </c>
      <c r="G154" s="8" t="str">
        <f t="shared" si="2"/>
        <v>DAVIS MICHAEL</v>
      </c>
    </row>
    <row r="155" spans="1:7" x14ac:dyDescent="0.25">
      <c r="A155" s="8">
        <v>42869.689791666664</v>
      </c>
      <c r="B155" s="20" t="s">
        <v>453</v>
      </c>
      <c r="C155" s="20" t="s">
        <v>755</v>
      </c>
      <c r="D155" s="141">
        <v>2470000</v>
      </c>
      <c r="E155" s="20" t="s">
        <v>701</v>
      </c>
      <c r="F155" s="20" t="s">
        <v>702</v>
      </c>
      <c r="G155" s="8" t="str">
        <f t="shared" si="2"/>
        <v>ROMERO CHAD</v>
      </c>
    </row>
    <row r="156" spans="1:7" x14ac:dyDescent="0.25">
      <c r="A156" s="8">
        <v>42869.691990740743</v>
      </c>
      <c r="B156" s="20" t="s">
        <v>451</v>
      </c>
      <c r="C156" s="20" t="s">
        <v>756</v>
      </c>
      <c r="D156" s="141">
        <v>1540000</v>
      </c>
      <c r="E156" s="20" t="s">
        <v>462</v>
      </c>
      <c r="F156" s="20" t="s">
        <v>463</v>
      </c>
      <c r="G156" s="8" t="str">
        <f t="shared" si="2"/>
        <v>HELVIE ADAM</v>
      </c>
    </row>
    <row r="157" spans="1:7" x14ac:dyDescent="0.25">
      <c r="A157" s="8">
        <v>42869.696331018517</v>
      </c>
      <c r="B157" s="20" t="s">
        <v>498</v>
      </c>
      <c r="C157" s="20" t="s">
        <v>757</v>
      </c>
      <c r="D157" s="141">
        <v>1300000</v>
      </c>
      <c r="E157" s="20" t="s">
        <v>709</v>
      </c>
      <c r="F157" s="20" t="s">
        <v>710</v>
      </c>
      <c r="G157" s="8" t="str">
        <f t="shared" si="2"/>
        <v>LEVIN SCOTT</v>
      </c>
    </row>
    <row r="158" spans="1:7" x14ac:dyDescent="0.25">
      <c r="A158" s="8">
        <v>42869.702789351853</v>
      </c>
      <c r="B158" s="20" t="s">
        <v>594</v>
      </c>
      <c r="C158" s="20" t="s">
        <v>758</v>
      </c>
      <c r="D158" s="141">
        <v>2540000</v>
      </c>
      <c r="E158" s="20" t="s">
        <v>759</v>
      </c>
      <c r="F158" s="20" t="s">
        <v>760</v>
      </c>
      <c r="G158" s="8" t="str">
        <f t="shared" si="2"/>
        <v>MCREYNOLDS KYLE</v>
      </c>
    </row>
    <row r="159" spans="1:7" x14ac:dyDescent="0.25">
      <c r="A159" s="8">
        <v>42869.703043981484</v>
      </c>
      <c r="B159" s="20" t="s">
        <v>436</v>
      </c>
      <c r="C159" s="20" t="s">
        <v>615</v>
      </c>
      <c r="D159" s="141">
        <v>2360000</v>
      </c>
      <c r="E159" s="20" t="s">
        <v>496</v>
      </c>
      <c r="F159" s="20" t="s">
        <v>497</v>
      </c>
      <c r="G159" s="8" t="str">
        <f t="shared" si="2"/>
        <v>BRANDNER MELINDA</v>
      </c>
    </row>
    <row r="160" spans="1:7" x14ac:dyDescent="0.25">
      <c r="A160" s="8">
        <v>42869.706041666665</v>
      </c>
      <c r="B160" s="20" t="s">
        <v>439</v>
      </c>
      <c r="C160" s="20" t="s">
        <v>761</v>
      </c>
      <c r="D160" s="141">
        <v>2630000</v>
      </c>
      <c r="E160" s="20" t="s">
        <v>713</v>
      </c>
      <c r="F160" s="20" t="s">
        <v>714</v>
      </c>
      <c r="G160" s="8" t="str">
        <f t="shared" si="2"/>
        <v>SAFIEF AEIMEN</v>
      </c>
    </row>
    <row r="161" spans="1:7" x14ac:dyDescent="0.25">
      <c r="A161" s="8">
        <v>42869.717812499999</v>
      </c>
      <c r="B161" s="20" t="s">
        <v>395</v>
      </c>
      <c r="C161" s="20" t="s">
        <v>762</v>
      </c>
      <c r="D161" s="141">
        <v>1800000</v>
      </c>
      <c r="E161" s="20" t="s">
        <v>410</v>
      </c>
      <c r="F161" s="20" t="s">
        <v>411</v>
      </c>
      <c r="G161" s="8" t="str">
        <f t="shared" si="2"/>
        <v>CHANDLER KELVIN</v>
      </c>
    </row>
    <row r="162" spans="1:7" x14ac:dyDescent="0.25">
      <c r="A162" s="8">
        <v>42869.718599537038</v>
      </c>
      <c r="B162" s="20" t="s">
        <v>364</v>
      </c>
      <c r="C162" s="20" t="s">
        <v>616</v>
      </c>
      <c r="D162" s="141">
        <v>2620000</v>
      </c>
      <c r="E162" s="20" t="s">
        <v>501</v>
      </c>
      <c r="F162" s="20" t="s">
        <v>502</v>
      </c>
      <c r="G162" s="8" t="str">
        <f t="shared" si="2"/>
        <v>PERKINS DARREN</v>
      </c>
    </row>
    <row r="163" spans="1:7" x14ac:dyDescent="0.25">
      <c r="A163" s="8">
        <v>42869.721932870372</v>
      </c>
      <c r="B163" s="20" t="s">
        <v>452</v>
      </c>
      <c r="C163" s="20" t="s">
        <v>763</v>
      </c>
      <c r="D163" s="141">
        <v>1540000</v>
      </c>
      <c r="E163" s="20" t="s">
        <v>462</v>
      </c>
      <c r="F163" s="20" t="s">
        <v>463</v>
      </c>
      <c r="G163" s="8" t="str">
        <f t="shared" si="2"/>
        <v>HELVIE ADAM</v>
      </c>
    </row>
    <row r="164" spans="1:7" x14ac:dyDescent="0.25">
      <c r="A164" s="8">
        <v>42869.723483796297</v>
      </c>
      <c r="B164" s="20" t="s">
        <v>461</v>
      </c>
      <c r="C164" s="20" t="s">
        <v>764</v>
      </c>
      <c r="D164" s="141">
        <v>2530000</v>
      </c>
      <c r="E164" s="20" t="s">
        <v>717</v>
      </c>
      <c r="F164" s="20" t="s">
        <v>718</v>
      </c>
      <c r="G164" s="8" t="str">
        <f t="shared" si="2"/>
        <v>LALONDE GREGORY</v>
      </c>
    </row>
    <row r="165" spans="1:7" x14ac:dyDescent="0.25">
      <c r="A165" s="8">
        <v>42869.724490740744</v>
      </c>
      <c r="B165" s="20" t="s">
        <v>669</v>
      </c>
      <c r="C165" s="20" t="s">
        <v>765</v>
      </c>
      <c r="D165" s="141">
        <v>920000</v>
      </c>
      <c r="E165" s="20" t="s">
        <v>646</v>
      </c>
      <c r="F165" s="20" t="s">
        <v>196</v>
      </c>
      <c r="G165" s="8" t="str">
        <f t="shared" si="2"/>
        <v>DAVIS MICHAEL</v>
      </c>
    </row>
    <row r="166" spans="1:7" x14ac:dyDescent="0.25">
      <c r="A166" s="8">
        <v>42869.731793981482</v>
      </c>
      <c r="B166" s="20" t="s">
        <v>487</v>
      </c>
      <c r="C166" s="20" t="s">
        <v>766</v>
      </c>
      <c r="D166" s="141">
        <v>3010000</v>
      </c>
      <c r="E166" s="20" t="s">
        <v>470</v>
      </c>
      <c r="F166" s="20" t="s">
        <v>471</v>
      </c>
      <c r="G166" s="8" t="str">
        <f t="shared" si="2"/>
        <v>SULLIVAN BRANDON</v>
      </c>
    </row>
    <row r="167" spans="1:7" x14ac:dyDescent="0.25">
      <c r="A167" s="8">
        <v>42869.733668981484</v>
      </c>
      <c r="B167" s="20" t="s">
        <v>451</v>
      </c>
      <c r="C167" s="20" t="s">
        <v>767</v>
      </c>
      <c r="D167" s="141">
        <v>1540000</v>
      </c>
      <c r="E167" s="20" t="s">
        <v>462</v>
      </c>
      <c r="F167" s="20" t="s">
        <v>463</v>
      </c>
      <c r="G167" s="8" t="str">
        <f t="shared" si="2"/>
        <v>HELVIE ADAM</v>
      </c>
    </row>
    <row r="168" spans="1:7" x14ac:dyDescent="0.25">
      <c r="A168" s="8">
        <v>42869.735127314816</v>
      </c>
      <c r="B168" s="20" t="s">
        <v>454</v>
      </c>
      <c r="C168" s="20" t="s">
        <v>768</v>
      </c>
      <c r="D168" s="141">
        <v>1300000</v>
      </c>
      <c r="E168" s="20" t="s">
        <v>709</v>
      </c>
      <c r="F168" s="20" t="s">
        <v>710</v>
      </c>
      <c r="G168" s="8" t="str">
        <f t="shared" si="2"/>
        <v>LEVIN SCOTT</v>
      </c>
    </row>
    <row r="169" spans="1:7" x14ac:dyDescent="0.25">
      <c r="A169" s="8">
        <v>42869.736967592595</v>
      </c>
      <c r="B169" s="20" t="s">
        <v>587</v>
      </c>
      <c r="C169" s="20" t="s">
        <v>769</v>
      </c>
      <c r="D169" s="141">
        <v>2630000</v>
      </c>
      <c r="E169" s="20" t="s">
        <v>713</v>
      </c>
      <c r="F169" s="20" t="s">
        <v>714</v>
      </c>
      <c r="G169" s="8" t="str">
        <f t="shared" si="2"/>
        <v>SAFIEF AEIMEN</v>
      </c>
    </row>
    <row r="170" spans="1:7" x14ac:dyDescent="0.25">
      <c r="A170" s="8">
        <v>42869.737442129626</v>
      </c>
      <c r="B170" s="20" t="s">
        <v>368</v>
      </c>
      <c r="C170" s="20" t="s">
        <v>616</v>
      </c>
      <c r="D170" s="141">
        <v>2620000</v>
      </c>
      <c r="E170" s="20" t="s">
        <v>501</v>
      </c>
      <c r="F170" s="20" t="s">
        <v>502</v>
      </c>
      <c r="G170" s="8" t="str">
        <f t="shared" si="2"/>
        <v>PERKINS DARREN</v>
      </c>
    </row>
    <row r="171" spans="1:7" x14ac:dyDescent="0.25">
      <c r="A171" s="8">
        <v>42869.737569444442</v>
      </c>
      <c r="B171" s="20" t="s">
        <v>437</v>
      </c>
      <c r="C171" s="20" t="s">
        <v>770</v>
      </c>
      <c r="D171" s="141">
        <v>1810000</v>
      </c>
      <c r="E171" s="20" t="s">
        <v>397</v>
      </c>
      <c r="F171" s="20" t="s">
        <v>193</v>
      </c>
      <c r="G171" s="8" t="str">
        <f t="shared" si="2"/>
        <v>NEWELL JAMES</v>
      </c>
    </row>
    <row r="172" spans="1:7" x14ac:dyDescent="0.25">
      <c r="A172" s="8">
        <v>42869.742974537039</v>
      </c>
      <c r="B172" s="20" t="s">
        <v>364</v>
      </c>
      <c r="C172" s="20" t="s">
        <v>771</v>
      </c>
      <c r="D172" s="141">
        <v>2360000</v>
      </c>
      <c r="E172" s="20" t="s">
        <v>496</v>
      </c>
      <c r="F172" s="20" t="s">
        <v>497</v>
      </c>
      <c r="G172" s="8" t="str">
        <f t="shared" si="2"/>
        <v>BRANDNER MELINDA</v>
      </c>
    </row>
    <row r="173" spans="1:7" x14ac:dyDescent="0.25">
      <c r="A173" s="8">
        <v>42869.747523148151</v>
      </c>
      <c r="B173" s="20" t="s">
        <v>345</v>
      </c>
      <c r="C173" s="20" t="s">
        <v>616</v>
      </c>
      <c r="D173" s="141">
        <v>2620000</v>
      </c>
      <c r="E173" s="20" t="s">
        <v>501</v>
      </c>
      <c r="F173" s="20" t="s">
        <v>502</v>
      </c>
      <c r="G173" s="8" t="str">
        <f t="shared" si="2"/>
        <v>PERKINS DARREN</v>
      </c>
    </row>
    <row r="174" spans="1:7" x14ac:dyDescent="0.25">
      <c r="A174" s="8">
        <v>42869.756874999999</v>
      </c>
      <c r="B174" s="20" t="s">
        <v>393</v>
      </c>
      <c r="C174" s="20" t="s">
        <v>772</v>
      </c>
      <c r="D174" s="141">
        <v>1800000</v>
      </c>
      <c r="E174" s="20" t="s">
        <v>410</v>
      </c>
      <c r="F174" s="20" t="s">
        <v>411</v>
      </c>
      <c r="G174" s="8" t="str">
        <f t="shared" si="2"/>
        <v>CHANDLER KELVIN</v>
      </c>
    </row>
    <row r="175" spans="1:7" x14ac:dyDescent="0.25">
      <c r="A175" s="8">
        <v>42869.757291666669</v>
      </c>
      <c r="B175" s="20" t="s">
        <v>453</v>
      </c>
      <c r="C175" s="20" t="s">
        <v>773</v>
      </c>
      <c r="D175" s="141">
        <v>2530000</v>
      </c>
      <c r="E175" s="20" t="s">
        <v>717</v>
      </c>
      <c r="F175" s="20" t="s">
        <v>718</v>
      </c>
      <c r="G175" s="8" t="str">
        <f t="shared" si="2"/>
        <v>LALONDE GREGORY</v>
      </c>
    </row>
    <row r="176" spans="1:7" x14ac:dyDescent="0.25">
      <c r="A176" s="8">
        <v>42869.758263888885</v>
      </c>
      <c r="B176" s="20" t="s">
        <v>610</v>
      </c>
      <c r="C176" s="20" t="s">
        <v>774</v>
      </c>
      <c r="D176" s="141">
        <v>2230000</v>
      </c>
      <c r="E176" s="20" t="s">
        <v>346</v>
      </c>
      <c r="F176" s="20" t="s">
        <v>196</v>
      </c>
      <c r="G176" s="8" t="str">
        <f t="shared" si="2"/>
        <v>SMITH MICHAEL</v>
      </c>
    </row>
    <row r="177" spans="1:7" x14ac:dyDescent="0.25">
      <c r="A177" s="8">
        <v>42869.764027777775</v>
      </c>
      <c r="B177" s="20" t="s">
        <v>452</v>
      </c>
      <c r="C177" s="20" t="s">
        <v>775</v>
      </c>
      <c r="D177" s="141">
        <v>1540000</v>
      </c>
      <c r="E177" s="20" t="s">
        <v>462</v>
      </c>
      <c r="F177" s="20" t="s">
        <v>463</v>
      </c>
      <c r="G177" s="8" t="str">
        <f t="shared" si="2"/>
        <v>HELVIE ADAM</v>
      </c>
    </row>
    <row r="178" spans="1:7" x14ac:dyDescent="0.25">
      <c r="A178" s="8">
        <v>42869.766111111108</v>
      </c>
      <c r="B178" s="20" t="s">
        <v>498</v>
      </c>
      <c r="C178" s="20" t="s">
        <v>776</v>
      </c>
      <c r="D178" s="141">
        <v>2000000</v>
      </c>
      <c r="E178" s="20" t="s">
        <v>777</v>
      </c>
      <c r="F178" s="20" t="s">
        <v>193</v>
      </c>
      <c r="G178" s="8" t="str">
        <f t="shared" si="2"/>
        <v>STAMBAUGH JAMES</v>
      </c>
    </row>
    <row r="179" spans="1:7" x14ac:dyDescent="0.25">
      <c r="A179" s="8">
        <v>42869.771203703705</v>
      </c>
      <c r="B179" s="20" t="s">
        <v>436</v>
      </c>
      <c r="C179" s="20" t="s">
        <v>778</v>
      </c>
      <c r="D179" s="141">
        <v>1810000</v>
      </c>
      <c r="E179" s="20" t="s">
        <v>397</v>
      </c>
      <c r="F179" s="20" t="s">
        <v>193</v>
      </c>
      <c r="G179" s="8" t="str">
        <f t="shared" si="2"/>
        <v>NEWELL JAMES</v>
      </c>
    </row>
    <row r="180" spans="1:7" x14ac:dyDescent="0.25">
      <c r="A180" s="8">
        <v>42869.775173611109</v>
      </c>
      <c r="B180" s="20" t="s">
        <v>451</v>
      </c>
      <c r="C180" s="20" t="s">
        <v>779</v>
      </c>
      <c r="D180" s="141">
        <v>1540000</v>
      </c>
      <c r="E180" s="20" t="s">
        <v>462</v>
      </c>
      <c r="F180" s="20" t="s">
        <v>463</v>
      </c>
      <c r="G180" s="8" t="str">
        <f t="shared" si="2"/>
        <v>HELVIE ADAM</v>
      </c>
    </row>
    <row r="181" spans="1:7" x14ac:dyDescent="0.25">
      <c r="A181" s="8">
        <v>42869.777071759258</v>
      </c>
      <c r="B181" s="20" t="s">
        <v>439</v>
      </c>
      <c r="C181" s="20" t="s">
        <v>780</v>
      </c>
      <c r="D181" s="141">
        <v>2630000</v>
      </c>
      <c r="E181" s="20" t="s">
        <v>713</v>
      </c>
      <c r="F181" s="20" t="s">
        <v>714</v>
      </c>
      <c r="G181" s="8" t="str">
        <f t="shared" si="2"/>
        <v>SAFIEF AEIMEN</v>
      </c>
    </row>
    <row r="182" spans="1:7" x14ac:dyDescent="0.25">
      <c r="A182" s="8">
        <v>42869.786597222221</v>
      </c>
      <c r="B182" s="20" t="s">
        <v>368</v>
      </c>
      <c r="C182" s="20" t="s">
        <v>617</v>
      </c>
      <c r="D182" s="141">
        <v>2360000</v>
      </c>
      <c r="E182" s="20" t="s">
        <v>496</v>
      </c>
      <c r="F182" s="20" t="s">
        <v>497</v>
      </c>
      <c r="G182" s="8" t="str">
        <f t="shared" si="2"/>
        <v>BRANDNER MELINDA</v>
      </c>
    </row>
    <row r="183" spans="1:7" x14ac:dyDescent="0.25">
      <c r="A183" s="8">
        <v>42869.790729166663</v>
      </c>
      <c r="B183" s="20" t="s">
        <v>395</v>
      </c>
      <c r="C183" s="20" t="s">
        <v>781</v>
      </c>
      <c r="D183" s="141">
        <v>2970000</v>
      </c>
      <c r="E183" s="20" t="s">
        <v>412</v>
      </c>
      <c r="F183" s="20" t="s">
        <v>413</v>
      </c>
      <c r="G183" s="8" t="str">
        <f t="shared" si="2"/>
        <v>GUZMAN DANNY</v>
      </c>
    </row>
    <row r="184" spans="1:7" x14ac:dyDescent="0.25">
      <c r="A184" s="8">
        <v>42869.793275462966</v>
      </c>
      <c r="B184" s="20" t="s">
        <v>669</v>
      </c>
      <c r="C184" s="20" t="s">
        <v>782</v>
      </c>
      <c r="D184" s="141">
        <v>2230000</v>
      </c>
      <c r="E184" s="20" t="s">
        <v>346</v>
      </c>
      <c r="F184" s="20" t="s">
        <v>196</v>
      </c>
      <c r="G184" s="8" t="str">
        <f t="shared" si="2"/>
        <v>SMITH MICHAEL</v>
      </c>
    </row>
    <row r="185" spans="1:7" x14ac:dyDescent="0.25">
      <c r="A185" s="8">
        <v>42869.79546296296</v>
      </c>
      <c r="B185" s="20" t="s">
        <v>461</v>
      </c>
      <c r="C185" s="20" t="s">
        <v>773</v>
      </c>
      <c r="D185" s="141">
        <v>2530000</v>
      </c>
      <c r="E185" s="20" t="s">
        <v>717</v>
      </c>
      <c r="F185" s="20" t="s">
        <v>718</v>
      </c>
      <c r="G185" s="8" t="str">
        <f t="shared" si="2"/>
        <v>LALONDE GREGORY</v>
      </c>
    </row>
    <row r="186" spans="1:7" x14ac:dyDescent="0.25">
      <c r="A186" s="8">
        <v>42869.796701388892</v>
      </c>
      <c r="B186" s="20" t="s">
        <v>461</v>
      </c>
      <c r="C186" s="20" t="s">
        <v>783</v>
      </c>
      <c r="D186" s="141">
        <v>2530000</v>
      </c>
      <c r="E186" s="20" t="s">
        <v>717</v>
      </c>
      <c r="F186" s="20" t="s">
        <v>718</v>
      </c>
      <c r="G186" s="8" t="str">
        <f t="shared" si="2"/>
        <v>LALONDE GREGORY</v>
      </c>
    </row>
    <row r="187" spans="1:7" x14ac:dyDescent="0.25">
      <c r="A187" s="8">
        <v>42869.805763888886</v>
      </c>
      <c r="B187" s="20" t="s">
        <v>452</v>
      </c>
      <c r="C187" s="20" t="s">
        <v>784</v>
      </c>
      <c r="D187" s="141">
        <v>1540000</v>
      </c>
      <c r="E187" s="20" t="s">
        <v>462</v>
      </c>
      <c r="F187" s="20" t="s">
        <v>463</v>
      </c>
      <c r="G187" s="8" t="str">
        <f t="shared" si="2"/>
        <v>HELVIE ADAM</v>
      </c>
    </row>
    <row r="188" spans="1:7" x14ac:dyDescent="0.25">
      <c r="A188" s="8">
        <v>42869.808310185188</v>
      </c>
      <c r="B188" s="20" t="s">
        <v>454</v>
      </c>
      <c r="C188" s="20" t="s">
        <v>785</v>
      </c>
      <c r="D188" s="141">
        <v>2000000</v>
      </c>
      <c r="E188" s="20" t="s">
        <v>777</v>
      </c>
      <c r="F188" s="20" t="s">
        <v>193</v>
      </c>
      <c r="G188" s="8" t="str">
        <f t="shared" si="2"/>
        <v>STAMBAUGH JAMES</v>
      </c>
    </row>
    <row r="189" spans="1:7" x14ac:dyDescent="0.25">
      <c r="A189" s="8">
        <v>42869.809432870374</v>
      </c>
      <c r="B189" s="20" t="s">
        <v>437</v>
      </c>
      <c r="C189" s="20" t="s">
        <v>786</v>
      </c>
      <c r="D189" s="141">
        <v>1810000</v>
      </c>
      <c r="E189" s="20" t="s">
        <v>397</v>
      </c>
      <c r="F189" s="20" t="s">
        <v>193</v>
      </c>
      <c r="G189" s="8" t="str">
        <f t="shared" si="2"/>
        <v>NEWELL JAMES</v>
      </c>
    </row>
    <row r="190" spans="1:7" x14ac:dyDescent="0.25">
      <c r="A190" s="8">
        <v>42869.816041666665</v>
      </c>
      <c r="B190" s="20" t="s">
        <v>437</v>
      </c>
      <c r="C190" s="20" t="s">
        <v>786</v>
      </c>
      <c r="D190" s="141">
        <v>1810000</v>
      </c>
      <c r="E190" s="20" t="s">
        <v>397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42869.817164351851</v>
      </c>
      <c r="B191" s="20" t="s">
        <v>451</v>
      </c>
      <c r="C191" s="20" t="s">
        <v>787</v>
      </c>
      <c r="D191" s="141">
        <v>1540000</v>
      </c>
      <c r="E191" s="20" t="s">
        <v>462</v>
      </c>
      <c r="F191" s="20" t="s">
        <v>463</v>
      </c>
      <c r="G191" s="8" t="str">
        <f t="shared" si="2"/>
        <v>HELVIE ADAM</v>
      </c>
    </row>
    <row r="192" spans="1:7" x14ac:dyDescent="0.25">
      <c r="A192" s="8">
        <v>42869.819791666669</v>
      </c>
      <c r="B192" s="20" t="s">
        <v>393</v>
      </c>
      <c r="C192" s="20" t="s">
        <v>788</v>
      </c>
      <c r="D192" s="141">
        <v>2970000</v>
      </c>
      <c r="E192" s="20" t="s">
        <v>412</v>
      </c>
      <c r="F192" s="20" t="s">
        <v>413</v>
      </c>
      <c r="G192" s="8" t="str">
        <f t="shared" si="2"/>
        <v>GUZMAN DANNY</v>
      </c>
    </row>
    <row r="193" spans="1:7" x14ac:dyDescent="0.25">
      <c r="A193" s="8">
        <v>42869.821203703701</v>
      </c>
      <c r="B193" s="20" t="s">
        <v>364</v>
      </c>
      <c r="C193" s="20" t="s">
        <v>789</v>
      </c>
      <c r="D193" s="141">
        <v>2360000</v>
      </c>
      <c r="E193" s="20" t="s">
        <v>496</v>
      </c>
      <c r="F193" s="20" t="s">
        <v>497</v>
      </c>
      <c r="G193" s="8" t="str">
        <f t="shared" si="2"/>
        <v>BRANDNER MELINDA</v>
      </c>
    </row>
    <row r="194" spans="1:7" x14ac:dyDescent="0.25">
      <c r="A194" s="8">
        <v>42869.829351851855</v>
      </c>
      <c r="B194" s="20" t="s">
        <v>610</v>
      </c>
      <c r="C194" s="20" t="s">
        <v>790</v>
      </c>
      <c r="D194" s="141">
        <v>2230000</v>
      </c>
      <c r="E194" s="20" t="s">
        <v>346</v>
      </c>
      <c r="F194" s="20" t="s">
        <v>196</v>
      </c>
      <c r="G194" s="8" t="str">
        <f t="shared" si="2"/>
        <v>SMITH MICHAEL</v>
      </c>
    </row>
    <row r="195" spans="1:7" x14ac:dyDescent="0.25">
      <c r="A195" s="8">
        <v>42869.837430555555</v>
      </c>
      <c r="B195" s="20" t="s">
        <v>498</v>
      </c>
      <c r="C195" s="20" t="s">
        <v>791</v>
      </c>
      <c r="D195" s="141">
        <v>2000000</v>
      </c>
      <c r="E195" s="20" t="s">
        <v>777</v>
      </c>
      <c r="F195" s="20" t="s">
        <v>193</v>
      </c>
      <c r="G195" s="8" t="str">
        <f t="shared" ref="G195:G258" si="3">E195&amp;" "&amp;F195</f>
        <v>STAMBAUGH JAMES</v>
      </c>
    </row>
    <row r="196" spans="1:7" x14ac:dyDescent="0.25">
      <c r="A196" s="8">
        <v>42869.839872685188</v>
      </c>
      <c r="B196" s="20" t="s">
        <v>436</v>
      </c>
      <c r="C196" s="20" t="s">
        <v>792</v>
      </c>
      <c r="D196" s="141">
        <v>1810000</v>
      </c>
      <c r="E196" s="20" t="s">
        <v>397</v>
      </c>
      <c r="F196" s="20" t="s">
        <v>193</v>
      </c>
      <c r="G196" s="8" t="str">
        <f t="shared" si="3"/>
        <v>NEWELL JAMES</v>
      </c>
    </row>
    <row r="197" spans="1:7" x14ac:dyDescent="0.25">
      <c r="A197" s="8">
        <v>42869.847314814811</v>
      </c>
      <c r="B197" s="20" t="s">
        <v>452</v>
      </c>
      <c r="C197" s="20" t="s">
        <v>793</v>
      </c>
      <c r="D197" s="141">
        <v>1540000</v>
      </c>
      <c r="E197" s="20" t="s">
        <v>462</v>
      </c>
      <c r="F197" s="20" t="s">
        <v>463</v>
      </c>
      <c r="G197" s="8" t="str">
        <f t="shared" si="3"/>
        <v>HELVIE ADAM</v>
      </c>
    </row>
    <row r="198" spans="1:7" x14ac:dyDescent="0.25">
      <c r="A198" s="8">
        <v>42869.859050925923</v>
      </c>
      <c r="B198" s="20" t="s">
        <v>451</v>
      </c>
      <c r="C198" s="20" t="s">
        <v>794</v>
      </c>
      <c r="D198" s="141">
        <v>1540000</v>
      </c>
      <c r="E198" s="20" t="s">
        <v>462</v>
      </c>
      <c r="F198" s="20" t="s">
        <v>463</v>
      </c>
      <c r="G198" s="8" t="str">
        <f t="shared" si="3"/>
        <v>HELVIE ADAM</v>
      </c>
    </row>
    <row r="199" spans="1:7" x14ac:dyDescent="0.25">
      <c r="A199" s="8">
        <v>42869.861666666664</v>
      </c>
      <c r="B199" s="20" t="s">
        <v>669</v>
      </c>
      <c r="C199" s="20" t="s">
        <v>790</v>
      </c>
      <c r="D199" s="141">
        <v>2230000</v>
      </c>
      <c r="E199" s="20" t="s">
        <v>346</v>
      </c>
      <c r="F199" s="20" t="s">
        <v>196</v>
      </c>
      <c r="G199" s="8" t="str">
        <f t="shared" si="3"/>
        <v>SMITH MICHAEL</v>
      </c>
    </row>
    <row r="200" spans="1:7" x14ac:dyDescent="0.25">
      <c r="A200" s="8">
        <v>42869.86241898148</v>
      </c>
      <c r="B200" s="20" t="s">
        <v>669</v>
      </c>
      <c r="C200" s="20" t="s">
        <v>795</v>
      </c>
      <c r="D200" s="141">
        <v>2230000</v>
      </c>
      <c r="E200" s="20" t="s">
        <v>346</v>
      </c>
      <c r="F200" s="20" t="s">
        <v>196</v>
      </c>
      <c r="G200" s="8" t="str">
        <f t="shared" si="3"/>
        <v>SMITH MICHAEL</v>
      </c>
    </row>
    <row r="201" spans="1:7" x14ac:dyDescent="0.25">
      <c r="A201" s="8">
        <v>42869.86954861111</v>
      </c>
      <c r="B201" s="20" t="s">
        <v>395</v>
      </c>
      <c r="C201" s="20" t="s">
        <v>796</v>
      </c>
      <c r="D201" s="141">
        <v>1800000</v>
      </c>
      <c r="E201" s="20" t="s">
        <v>410</v>
      </c>
      <c r="F201" s="20" t="s">
        <v>411</v>
      </c>
      <c r="G201" s="8" t="str">
        <f t="shared" si="3"/>
        <v>CHANDLER KELVIN</v>
      </c>
    </row>
    <row r="202" spans="1:7" x14ac:dyDescent="0.25">
      <c r="A202" s="26">
        <v>42869.875439814816</v>
      </c>
      <c r="B202" s="20" t="s">
        <v>452</v>
      </c>
      <c r="C202" s="20" t="s">
        <v>797</v>
      </c>
      <c r="D202" s="141">
        <v>3010000</v>
      </c>
      <c r="E202" s="20" t="s">
        <v>470</v>
      </c>
      <c r="F202" s="20" t="s">
        <v>471</v>
      </c>
      <c r="G202" s="8" t="str">
        <f t="shared" si="3"/>
        <v>SULLIVAN BRANDON</v>
      </c>
    </row>
    <row r="203" spans="1:7" x14ac:dyDescent="0.25">
      <c r="A203" s="8">
        <v>42869.890543981484</v>
      </c>
      <c r="B203" s="20" t="s">
        <v>454</v>
      </c>
      <c r="C203" s="20" t="s">
        <v>798</v>
      </c>
      <c r="D203" s="141">
        <v>2000000</v>
      </c>
      <c r="E203" s="20" t="s">
        <v>777</v>
      </c>
      <c r="F203" s="20" t="s">
        <v>193</v>
      </c>
      <c r="G203" s="8" t="str">
        <f t="shared" si="3"/>
        <v>STAMBAUGH JAMES</v>
      </c>
    </row>
    <row r="204" spans="1:7" x14ac:dyDescent="0.25">
      <c r="A204" s="8">
        <v>42869.893206018518</v>
      </c>
      <c r="B204" s="20" t="s">
        <v>437</v>
      </c>
      <c r="C204" s="20" t="s">
        <v>799</v>
      </c>
      <c r="D204" s="141">
        <v>1810000</v>
      </c>
      <c r="E204" s="20" t="s">
        <v>397</v>
      </c>
      <c r="F204" s="20" t="s">
        <v>193</v>
      </c>
      <c r="G204" s="8" t="str">
        <f t="shared" si="3"/>
        <v>NEWELL JAMES</v>
      </c>
    </row>
    <row r="205" spans="1:7" x14ac:dyDescent="0.25">
      <c r="A205" s="8">
        <v>42869.902280092596</v>
      </c>
      <c r="B205" s="20" t="s">
        <v>451</v>
      </c>
      <c r="C205" s="20" t="s">
        <v>800</v>
      </c>
      <c r="D205" s="141">
        <v>3010000</v>
      </c>
      <c r="E205" s="20" t="s">
        <v>470</v>
      </c>
      <c r="F205" s="20" t="s">
        <v>471</v>
      </c>
      <c r="G205" s="8" t="str">
        <f t="shared" si="3"/>
        <v>SULLIVAN BRANDON</v>
      </c>
    </row>
    <row r="206" spans="1:7" x14ac:dyDescent="0.25">
      <c r="A206" s="8">
        <v>42869.906759259262</v>
      </c>
      <c r="B206" s="20" t="s">
        <v>610</v>
      </c>
      <c r="C206" s="20" t="s">
        <v>618</v>
      </c>
      <c r="D206" s="141">
        <v>2230000</v>
      </c>
      <c r="E206" s="20" t="s">
        <v>346</v>
      </c>
      <c r="F206" s="20" t="s">
        <v>196</v>
      </c>
      <c r="G206" s="8" t="str">
        <f t="shared" si="3"/>
        <v>SMITH MICHAEL</v>
      </c>
    </row>
    <row r="207" spans="1:7" x14ac:dyDescent="0.25">
      <c r="A207" s="8">
        <v>42869.912685185183</v>
      </c>
      <c r="B207" s="20" t="s">
        <v>393</v>
      </c>
      <c r="C207" s="20" t="s">
        <v>801</v>
      </c>
      <c r="D207" s="141">
        <v>1800000</v>
      </c>
      <c r="E207" s="20" t="s">
        <v>410</v>
      </c>
      <c r="F207" s="20" t="s">
        <v>411</v>
      </c>
      <c r="G207" s="8" t="str">
        <f t="shared" si="3"/>
        <v>CHANDLER KELVIN</v>
      </c>
    </row>
    <row r="208" spans="1:7" x14ac:dyDescent="0.25">
      <c r="A208" s="8">
        <v>42869.931064814817</v>
      </c>
      <c r="B208" s="20" t="s">
        <v>452</v>
      </c>
      <c r="C208" s="20" t="s">
        <v>802</v>
      </c>
      <c r="D208" s="141">
        <v>1540000</v>
      </c>
      <c r="E208" s="20" t="s">
        <v>462</v>
      </c>
      <c r="F208" s="20" t="s">
        <v>463</v>
      </c>
      <c r="G208" s="8" t="str">
        <f t="shared" si="3"/>
        <v>HELVIE ADAM</v>
      </c>
    </row>
    <row r="209" spans="1:7" x14ac:dyDescent="0.25">
      <c r="A209" s="8">
        <v>42869.932106481479</v>
      </c>
      <c r="B209" s="20" t="s">
        <v>436</v>
      </c>
      <c r="C209" s="20" t="s">
        <v>803</v>
      </c>
      <c r="D209" s="141">
        <v>1810000</v>
      </c>
      <c r="E209" s="20" t="s">
        <v>397</v>
      </c>
      <c r="F209" s="20" t="s">
        <v>193</v>
      </c>
      <c r="G209" s="8" t="str">
        <f t="shared" si="3"/>
        <v>NEWELL JAMES</v>
      </c>
    </row>
    <row r="210" spans="1:7" x14ac:dyDescent="0.25">
      <c r="A210" s="8">
        <v>42869.93472222222</v>
      </c>
      <c r="B210" s="20" t="s">
        <v>498</v>
      </c>
      <c r="C210" s="20" t="s">
        <v>619</v>
      </c>
      <c r="D210" s="141">
        <v>2000000</v>
      </c>
      <c r="E210" s="20" t="s">
        <v>777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42869.942708333336</v>
      </c>
      <c r="B211" s="20" t="s">
        <v>451</v>
      </c>
      <c r="C211" s="20" t="s">
        <v>804</v>
      </c>
      <c r="D211" s="141">
        <v>1540000</v>
      </c>
      <c r="E211" s="20" t="s">
        <v>462</v>
      </c>
      <c r="F211" s="20" t="s">
        <v>463</v>
      </c>
      <c r="G211" s="8" t="str">
        <f t="shared" si="3"/>
        <v>HELVIE ADAM</v>
      </c>
    </row>
    <row r="212" spans="1:7" x14ac:dyDescent="0.25">
      <c r="A212" s="8">
        <v>42869.948391203703</v>
      </c>
      <c r="B212" s="20" t="s">
        <v>669</v>
      </c>
      <c r="C212" s="20" t="s">
        <v>805</v>
      </c>
      <c r="D212" s="141">
        <v>2230000</v>
      </c>
      <c r="E212" s="20" t="s">
        <v>346</v>
      </c>
      <c r="F212" s="20" t="s">
        <v>196</v>
      </c>
      <c r="G212" s="8" t="str">
        <f t="shared" si="3"/>
        <v>SMITH MICHAEL</v>
      </c>
    </row>
    <row r="213" spans="1:7" x14ac:dyDescent="0.25">
      <c r="A213" s="8">
        <v>42869.955567129633</v>
      </c>
      <c r="B213" s="20" t="s">
        <v>395</v>
      </c>
      <c r="C213" s="20" t="s">
        <v>806</v>
      </c>
      <c r="D213" s="141">
        <v>1800000</v>
      </c>
      <c r="E213" s="20" t="s">
        <v>410</v>
      </c>
      <c r="F213" s="20" t="s">
        <v>411</v>
      </c>
      <c r="G213" s="8" t="str">
        <f t="shared" si="3"/>
        <v>CHANDLER KELVIN</v>
      </c>
    </row>
    <row r="214" spans="1:7" x14ac:dyDescent="0.25">
      <c r="A214" s="8">
        <v>42869.962731481479</v>
      </c>
      <c r="B214" s="20" t="s">
        <v>437</v>
      </c>
      <c r="C214" s="20" t="s">
        <v>807</v>
      </c>
      <c r="D214" s="141">
        <v>1810000</v>
      </c>
      <c r="E214" s="20" t="s">
        <v>397</v>
      </c>
      <c r="F214" s="20" t="s">
        <v>193</v>
      </c>
      <c r="G214" s="8" t="str">
        <f t="shared" si="3"/>
        <v>NEWELL JAMES</v>
      </c>
    </row>
    <row r="215" spans="1:7" x14ac:dyDescent="0.25">
      <c r="A215" s="8">
        <v>42869.97278935185</v>
      </c>
      <c r="B215" s="20" t="s">
        <v>454</v>
      </c>
      <c r="C215" s="20" t="s">
        <v>620</v>
      </c>
      <c r="D215" s="141">
        <v>2000000</v>
      </c>
      <c r="E215" s="20" t="s">
        <v>777</v>
      </c>
      <c r="F215" s="20" t="s">
        <v>193</v>
      </c>
      <c r="G215" s="8" t="str">
        <f t="shared" si="3"/>
        <v>STAMBAUGH JAMES</v>
      </c>
    </row>
    <row r="216" spans="1:7" x14ac:dyDescent="0.25">
      <c r="A216" s="8">
        <v>42869.985486111109</v>
      </c>
      <c r="B216" s="20" t="s">
        <v>610</v>
      </c>
      <c r="C216" s="20" t="s">
        <v>808</v>
      </c>
      <c r="D216" s="141">
        <v>2230000</v>
      </c>
      <c r="E216" s="20" t="s">
        <v>346</v>
      </c>
      <c r="F216" s="20" t="s">
        <v>196</v>
      </c>
      <c r="G216" s="8" t="str">
        <f t="shared" si="3"/>
        <v>SMITH MICHAEL</v>
      </c>
    </row>
    <row r="217" spans="1:7" x14ac:dyDescent="0.25">
      <c r="A217" s="8">
        <v>42869.995486111111</v>
      </c>
      <c r="B217" s="20" t="s">
        <v>393</v>
      </c>
      <c r="C217" s="20" t="s">
        <v>809</v>
      </c>
      <c r="D217" s="141">
        <v>1800000</v>
      </c>
      <c r="E217" s="20" t="s">
        <v>410</v>
      </c>
      <c r="F217" s="20" t="s">
        <v>411</v>
      </c>
      <c r="G217" s="8" t="str">
        <f t="shared" si="3"/>
        <v>CHANDLER KELVIN</v>
      </c>
    </row>
    <row r="218" spans="1:7" x14ac:dyDescent="0.25">
      <c r="A218" s="8">
        <v>42870.005347222221</v>
      </c>
      <c r="B218" s="20" t="s">
        <v>498</v>
      </c>
      <c r="C218" s="20" t="s">
        <v>621</v>
      </c>
      <c r="D218" s="141">
        <v>2000000</v>
      </c>
      <c r="E218" s="20" t="s">
        <v>777</v>
      </c>
      <c r="F218" s="20" t="s">
        <v>193</v>
      </c>
      <c r="G218" s="8" t="str">
        <f t="shared" si="3"/>
        <v>STAMBAUGH JAMES</v>
      </c>
    </row>
    <row r="219" spans="1:7" x14ac:dyDescent="0.25">
      <c r="A219" s="8">
        <v>42870.011886574073</v>
      </c>
      <c r="B219" s="20" t="s">
        <v>436</v>
      </c>
      <c r="C219" s="20" t="s">
        <v>810</v>
      </c>
      <c r="D219" s="141">
        <v>1810000</v>
      </c>
      <c r="E219" s="20" t="s">
        <v>397</v>
      </c>
      <c r="F219" s="20" t="s">
        <v>193</v>
      </c>
      <c r="G219" s="8" t="str">
        <f t="shared" si="3"/>
        <v>NEWELL JAMES</v>
      </c>
    </row>
    <row r="220" spans="1:7" x14ac:dyDescent="0.25">
      <c r="A220" s="8">
        <v>42870.029270833336</v>
      </c>
      <c r="B220" s="20" t="s">
        <v>395</v>
      </c>
      <c r="C220" s="20" t="s">
        <v>811</v>
      </c>
      <c r="D220" s="141">
        <v>1800000</v>
      </c>
      <c r="E220" s="20" t="s">
        <v>410</v>
      </c>
      <c r="F220" s="20" t="s">
        <v>411</v>
      </c>
      <c r="G220" s="8" t="str">
        <f t="shared" si="3"/>
        <v>CHANDLER KELVIN</v>
      </c>
    </row>
    <row r="221" spans="1:7" x14ac:dyDescent="0.25">
      <c r="A221" s="8">
        <v>42870.033530092594</v>
      </c>
      <c r="B221" s="20" t="s">
        <v>669</v>
      </c>
      <c r="C221" s="20" t="s">
        <v>812</v>
      </c>
      <c r="D221" s="141">
        <v>2230000</v>
      </c>
      <c r="E221" s="20" t="s">
        <v>346</v>
      </c>
      <c r="F221" s="20" t="s">
        <v>196</v>
      </c>
      <c r="G221" s="8" t="str">
        <f t="shared" si="3"/>
        <v>SMITH MICHAEL</v>
      </c>
    </row>
    <row r="222" spans="1:7" x14ac:dyDescent="0.25">
      <c r="A222" s="8">
        <v>42870.047546296293</v>
      </c>
      <c r="B222" s="20" t="s">
        <v>437</v>
      </c>
      <c r="C222" s="20" t="s">
        <v>813</v>
      </c>
      <c r="D222" s="141">
        <v>1810000</v>
      </c>
      <c r="E222" s="20" t="s">
        <v>397</v>
      </c>
      <c r="F222" s="20" t="s">
        <v>193</v>
      </c>
      <c r="G222" s="8" t="str">
        <f t="shared" si="3"/>
        <v>NEWELL JAMES</v>
      </c>
    </row>
    <row r="223" spans="1:7" x14ac:dyDescent="0.25">
      <c r="A223" s="8">
        <v>42870.057858796295</v>
      </c>
      <c r="B223" s="20" t="s">
        <v>454</v>
      </c>
      <c r="C223" s="20" t="s">
        <v>814</v>
      </c>
      <c r="D223" s="141">
        <v>2000000</v>
      </c>
      <c r="E223" s="20" t="s">
        <v>777</v>
      </c>
      <c r="F223" s="20" t="s">
        <v>193</v>
      </c>
      <c r="G223" s="8" t="str">
        <f t="shared" si="3"/>
        <v>STAMBAUGH JAMES</v>
      </c>
    </row>
    <row r="224" spans="1:7" x14ac:dyDescent="0.25">
      <c r="A224" s="8">
        <v>42870.068078703705</v>
      </c>
      <c r="B224" t="s">
        <v>610</v>
      </c>
      <c r="C224" t="s">
        <v>815</v>
      </c>
      <c r="D224" s="141">
        <v>2230000</v>
      </c>
      <c r="E224" t="s">
        <v>346</v>
      </c>
      <c r="F224" s="20" t="s">
        <v>196</v>
      </c>
      <c r="G224" s="8" t="str">
        <f t="shared" si="3"/>
        <v>SMITH MICHAEL</v>
      </c>
    </row>
    <row r="225" spans="1:7" x14ac:dyDescent="0.25">
      <c r="A225" s="8">
        <v>42870.087847222225</v>
      </c>
      <c r="B225" t="s">
        <v>498</v>
      </c>
      <c r="C225" t="s">
        <v>816</v>
      </c>
      <c r="D225" s="141">
        <v>2000000</v>
      </c>
      <c r="E225" t="s">
        <v>777</v>
      </c>
      <c r="F225" s="20" t="s">
        <v>193</v>
      </c>
      <c r="G225" s="8" t="str">
        <f t="shared" si="3"/>
        <v>STAMBAUGH JAMES</v>
      </c>
    </row>
    <row r="226" spans="1:7" x14ac:dyDescent="0.25">
      <c r="A226" s="8">
        <v>42866.761087962965</v>
      </c>
      <c r="B226" t="s">
        <v>487</v>
      </c>
      <c r="C226" t="s">
        <v>489</v>
      </c>
      <c r="D226" s="141">
        <v>2370000</v>
      </c>
      <c r="E226" t="s">
        <v>459</v>
      </c>
      <c r="F226" s="20" t="s">
        <v>460</v>
      </c>
      <c r="G226" s="8" t="str">
        <f t="shared" si="3"/>
        <v>DELGADO DIANAH</v>
      </c>
    </row>
    <row r="227" spans="1:7" x14ac:dyDescent="0.25">
      <c r="A227" s="8">
        <v>42866.765520833331</v>
      </c>
      <c r="B227" t="s">
        <v>356</v>
      </c>
      <c r="C227" t="s">
        <v>503</v>
      </c>
      <c r="D227" s="141">
        <v>2150000</v>
      </c>
      <c r="E227" t="s">
        <v>441</v>
      </c>
      <c r="F227" s="20" t="s">
        <v>442</v>
      </c>
      <c r="G227" s="8" t="str">
        <f t="shared" si="3"/>
        <v>SWANSON BRYCE</v>
      </c>
    </row>
    <row r="228" spans="1:7" x14ac:dyDescent="0.25">
      <c r="A228" s="8">
        <v>42866.772488425922</v>
      </c>
      <c r="B228" t="s">
        <v>344</v>
      </c>
      <c r="C228" t="s">
        <v>504</v>
      </c>
      <c r="D228" s="141">
        <v>1810000</v>
      </c>
      <c r="E228" t="s">
        <v>397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42866.77547453704</v>
      </c>
      <c r="B229" t="s">
        <v>394</v>
      </c>
      <c r="C229" t="s">
        <v>505</v>
      </c>
      <c r="D229" s="141">
        <v>3130000</v>
      </c>
      <c r="E229" t="s">
        <v>417</v>
      </c>
      <c r="F229" s="20" t="s">
        <v>418</v>
      </c>
      <c r="G229" s="8" t="str">
        <f t="shared" si="3"/>
        <v>ZEWDU DEREJE</v>
      </c>
    </row>
    <row r="230" spans="1:7" x14ac:dyDescent="0.25">
      <c r="A230" s="8">
        <v>42866.779479166667</v>
      </c>
      <c r="B230" t="s">
        <v>461</v>
      </c>
      <c r="C230" t="s">
        <v>506</v>
      </c>
      <c r="D230" s="141">
        <v>2360000</v>
      </c>
      <c r="E230" t="s">
        <v>496</v>
      </c>
      <c r="F230" s="20" t="s">
        <v>497</v>
      </c>
      <c r="G230" s="8" t="str">
        <f t="shared" si="3"/>
        <v>BRANDNER MELINDA</v>
      </c>
    </row>
    <row r="231" spans="1:7" x14ac:dyDescent="0.25">
      <c r="A231" s="8">
        <v>42866.780277777776</v>
      </c>
      <c r="B231" t="s">
        <v>373</v>
      </c>
      <c r="C231" t="s">
        <v>507</v>
      </c>
      <c r="D231" s="141">
        <v>2970000</v>
      </c>
      <c r="E231" t="s">
        <v>412</v>
      </c>
      <c r="F231" s="20" t="s">
        <v>413</v>
      </c>
      <c r="G231" s="8" t="str">
        <f t="shared" si="3"/>
        <v>GUZMAN DANNY</v>
      </c>
    </row>
    <row r="232" spans="1:7" x14ac:dyDescent="0.25">
      <c r="A232" s="8">
        <v>42866.782523148147</v>
      </c>
      <c r="B232" t="s">
        <v>440</v>
      </c>
      <c r="C232" t="s">
        <v>508</v>
      </c>
      <c r="D232" s="141">
        <v>3090000</v>
      </c>
      <c r="E232" t="s">
        <v>408</v>
      </c>
      <c r="F232" s="20" t="s">
        <v>409</v>
      </c>
      <c r="G232" s="8" t="str">
        <f t="shared" si="3"/>
        <v>LAMAR NEKESHA</v>
      </c>
    </row>
    <row r="233" spans="1:7" x14ac:dyDescent="0.25">
      <c r="A233" s="8">
        <v>42866.786678240744</v>
      </c>
      <c r="B233" t="s">
        <v>382</v>
      </c>
      <c r="C233" t="s">
        <v>509</v>
      </c>
      <c r="D233" s="141">
        <v>2730000</v>
      </c>
      <c r="E233" t="s">
        <v>472</v>
      </c>
      <c r="F233" s="20" t="s">
        <v>473</v>
      </c>
      <c r="G233" s="8" t="str">
        <f t="shared" si="3"/>
        <v>YANG JAN</v>
      </c>
    </row>
    <row r="234" spans="1:7" x14ac:dyDescent="0.25">
      <c r="A234" s="8">
        <v>42866.788483796299</v>
      </c>
      <c r="B234" t="s">
        <v>368</v>
      </c>
      <c r="C234" t="s">
        <v>510</v>
      </c>
      <c r="D234" s="141">
        <v>2620000</v>
      </c>
      <c r="E234" t="s">
        <v>501</v>
      </c>
      <c r="F234" s="20" t="s">
        <v>502</v>
      </c>
      <c r="G234" s="8" t="str">
        <f t="shared" si="3"/>
        <v>PERKINS DARREN</v>
      </c>
    </row>
    <row r="235" spans="1:7" x14ac:dyDescent="0.25">
      <c r="A235" s="8">
        <v>42866.79178240741</v>
      </c>
      <c r="B235" t="s">
        <v>380</v>
      </c>
      <c r="C235" t="s">
        <v>509</v>
      </c>
      <c r="D235" s="141">
        <v>2730000</v>
      </c>
      <c r="E235" t="s">
        <v>472</v>
      </c>
      <c r="F235" s="20" t="s">
        <v>473</v>
      </c>
      <c r="G235" s="8" t="str">
        <f t="shared" si="3"/>
        <v>YANG JAN</v>
      </c>
    </row>
    <row r="236" spans="1:7" x14ac:dyDescent="0.25">
      <c r="A236" s="8">
        <v>42866.793923611112</v>
      </c>
      <c r="B236" t="s">
        <v>373</v>
      </c>
      <c r="C236" t="s">
        <v>511</v>
      </c>
      <c r="D236" s="141">
        <v>1800000</v>
      </c>
      <c r="E236" t="s">
        <v>410</v>
      </c>
      <c r="F236" s="20" t="s">
        <v>411</v>
      </c>
      <c r="G236" s="8" t="str">
        <f t="shared" si="3"/>
        <v>CHANDLER KELVIN</v>
      </c>
    </row>
    <row r="237" spans="1:7" x14ac:dyDescent="0.25">
      <c r="A237" s="8">
        <v>42866.796851851854</v>
      </c>
      <c r="B237" t="s">
        <v>438</v>
      </c>
      <c r="C237" t="s">
        <v>512</v>
      </c>
      <c r="D237" s="141">
        <v>3090000</v>
      </c>
      <c r="E237" t="s">
        <v>408</v>
      </c>
      <c r="F237" s="20" t="s">
        <v>409</v>
      </c>
      <c r="G237" s="8" t="str">
        <f t="shared" si="3"/>
        <v>LAMAR NEKESHA</v>
      </c>
    </row>
    <row r="238" spans="1:7" x14ac:dyDescent="0.25">
      <c r="A238" s="8">
        <v>42866.797013888892</v>
      </c>
      <c r="B238" t="s">
        <v>345</v>
      </c>
      <c r="C238" t="s">
        <v>513</v>
      </c>
      <c r="D238" s="141">
        <v>3130000</v>
      </c>
      <c r="E238" t="s">
        <v>417</v>
      </c>
      <c r="F238" s="20" t="s">
        <v>418</v>
      </c>
      <c r="G238" s="8" t="str">
        <f t="shared" si="3"/>
        <v>ZEWDU DEREJE</v>
      </c>
    </row>
    <row r="239" spans="1:7" x14ac:dyDescent="0.25">
      <c r="A239" s="8">
        <v>42866.797754629632</v>
      </c>
      <c r="B239" t="s">
        <v>454</v>
      </c>
      <c r="C239" t="s">
        <v>514</v>
      </c>
      <c r="D239" s="141">
        <v>2270000</v>
      </c>
      <c r="E239" t="s">
        <v>468</v>
      </c>
      <c r="F239" s="20" t="s">
        <v>469</v>
      </c>
      <c r="G239" s="8" t="str">
        <f t="shared" si="3"/>
        <v>BROWN JACOB</v>
      </c>
    </row>
    <row r="240" spans="1:7" x14ac:dyDescent="0.25">
      <c r="A240" s="8">
        <v>42866.805266203701</v>
      </c>
      <c r="B240" t="s">
        <v>357</v>
      </c>
      <c r="C240" t="s">
        <v>515</v>
      </c>
      <c r="D240" s="141">
        <v>2150000</v>
      </c>
      <c r="E240" t="s">
        <v>441</v>
      </c>
      <c r="F240" s="20" t="s">
        <v>442</v>
      </c>
      <c r="G240" s="8" t="str">
        <f t="shared" si="3"/>
        <v>SWANSON BRYCE</v>
      </c>
    </row>
    <row r="241" spans="1:7" x14ac:dyDescent="0.25">
      <c r="A241" s="8">
        <v>42866.810810185183</v>
      </c>
      <c r="B241" t="s">
        <v>382</v>
      </c>
      <c r="C241" t="s">
        <v>516</v>
      </c>
      <c r="D241" s="141">
        <v>2730000</v>
      </c>
      <c r="E241" t="s">
        <v>472</v>
      </c>
      <c r="F241" s="20" t="s">
        <v>473</v>
      </c>
      <c r="G241" s="8" t="str">
        <f t="shared" si="3"/>
        <v>YANG JAN</v>
      </c>
    </row>
    <row r="242" spans="1:7" x14ac:dyDescent="0.25">
      <c r="A242" s="8">
        <v>42866.813993055555</v>
      </c>
      <c r="B242" t="s">
        <v>437</v>
      </c>
      <c r="C242" t="s">
        <v>517</v>
      </c>
      <c r="D242" s="141">
        <v>2370000</v>
      </c>
      <c r="E242" t="s">
        <v>459</v>
      </c>
      <c r="F242" s="20" t="s">
        <v>460</v>
      </c>
      <c r="G242" s="8" t="str">
        <f t="shared" si="3"/>
        <v>DELGADO DIANAH</v>
      </c>
    </row>
    <row r="243" spans="1:7" x14ac:dyDescent="0.25">
      <c r="A243" s="8">
        <v>42866.817141203705</v>
      </c>
      <c r="B243" t="s">
        <v>394</v>
      </c>
      <c r="C243" t="s">
        <v>518</v>
      </c>
      <c r="D243" s="141">
        <v>3130000</v>
      </c>
      <c r="E243" t="s">
        <v>417</v>
      </c>
      <c r="F243" s="20" t="s">
        <v>418</v>
      </c>
      <c r="G243" s="8" t="str">
        <f t="shared" si="3"/>
        <v>ZEWDU DEREJE</v>
      </c>
    </row>
    <row r="244" spans="1:7" x14ac:dyDescent="0.25">
      <c r="A244" s="8">
        <v>42866.825937499998</v>
      </c>
      <c r="B244" t="s">
        <v>452</v>
      </c>
      <c r="C244" t="s">
        <v>490</v>
      </c>
      <c r="D244" s="141">
        <v>2620000</v>
      </c>
      <c r="E244" t="s">
        <v>501</v>
      </c>
      <c r="F244" s="20" t="s">
        <v>502</v>
      </c>
      <c r="G244" s="8" t="str">
        <f t="shared" si="3"/>
        <v>PERKINS DARREN</v>
      </c>
    </row>
    <row r="245" spans="1:7" x14ac:dyDescent="0.25">
      <c r="A245" s="8">
        <v>42866.826770833337</v>
      </c>
      <c r="B245" t="s">
        <v>452</v>
      </c>
      <c r="C245" t="s">
        <v>490</v>
      </c>
      <c r="D245" s="141">
        <v>2620000</v>
      </c>
      <c r="E245" t="s">
        <v>501</v>
      </c>
      <c r="F245" s="20" t="s">
        <v>502</v>
      </c>
      <c r="G245" s="8" t="str">
        <f t="shared" si="3"/>
        <v>PERKINS DARREN</v>
      </c>
    </row>
    <row r="246" spans="1:7" x14ac:dyDescent="0.25">
      <c r="A246" s="8">
        <v>42866.828472222223</v>
      </c>
      <c r="B246" t="s">
        <v>452</v>
      </c>
      <c r="C246" t="s">
        <v>490</v>
      </c>
      <c r="D246" s="141">
        <v>2620000</v>
      </c>
      <c r="E246" t="s">
        <v>501</v>
      </c>
      <c r="F246" s="20" t="s">
        <v>502</v>
      </c>
      <c r="G246" s="8" t="str">
        <f t="shared" si="3"/>
        <v>PERKINS DARREN</v>
      </c>
    </row>
    <row r="247" spans="1:7" x14ac:dyDescent="0.25">
      <c r="A247" s="8">
        <v>42866.830046296294</v>
      </c>
      <c r="B247" t="s">
        <v>383</v>
      </c>
      <c r="C247" t="s">
        <v>519</v>
      </c>
      <c r="D247" s="141">
        <v>1800000</v>
      </c>
      <c r="E247" t="s">
        <v>410</v>
      </c>
      <c r="F247" s="20" t="s">
        <v>411</v>
      </c>
      <c r="G247" s="8" t="str">
        <f t="shared" si="3"/>
        <v>CHANDLER KELVIN</v>
      </c>
    </row>
    <row r="248" spans="1:7" x14ac:dyDescent="0.25">
      <c r="A248" s="8">
        <v>42866.831828703704</v>
      </c>
      <c r="B248" t="s">
        <v>498</v>
      </c>
      <c r="C248" t="s">
        <v>520</v>
      </c>
      <c r="D248" s="141">
        <v>2270000</v>
      </c>
      <c r="E248" t="s">
        <v>468</v>
      </c>
      <c r="F248" s="20" t="s">
        <v>469</v>
      </c>
      <c r="G248" s="8" t="str">
        <f t="shared" si="3"/>
        <v>BROWN JACOB</v>
      </c>
    </row>
    <row r="249" spans="1:7" x14ac:dyDescent="0.25">
      <c r="A249" s="8">
        <v>42866.833229166667</v>
      </c>
      <c r="B249" t="s">
        <v>345</v>
      </c>
      <c r="C249" t="s">
        <v>521</v>
      </c>
      <c r="D249" s="141">
        <v>3130000</v>
      </c>
      <c r="E249" t="s">
        <v>417</v>
      </c>
      <c r="F249" s="20" t="s">
        <v>418</v>
      </c>
      <c r="G249" s="8" t="str">
        <f t="shared" si="3"/>
        <v>ZEWDU DEREJE</v>
      </c>
    </row>
    <row r="250" spans="1:7" x14ac:dyDescent="0.25">
      <c r="A250" s="8">
        <v>42866.848032407404</v>
      </c>
      <c r="B250" t="s">
        <v>380</v>
      </c>
      <c r="C250" t="s">
        <v>491</v>
      </c>
      <c r="D250" s="141">
        <v>2730000</v>
      </c>
      <c r="E250" t="s">
        <v>472</v>
      </c>
      <c r="F250" s="20" t="s">
        <v>473</v>
      </c>
      <c r="G250" s="8" t="str">
        <f t="shared" si="3"/>
        <v>YANG JAN</v>
      </c>
    </row>
    <row r="251" spans="1:7" x14ac:dyDescent="0.25">
      <c r="A251" s="8">
        <v>42866.851388888892</v>
      </c>
      <c r="B251" t="s">
        <v>356</v>
      </c>
      <c r="C251" t="s">
        <v>522</v>
      </c>
      <c r="D251" s="141">
        <v>2150000</v>
      </c>
      <c r="E251" t="s">
        <v>441</v>
      </c>
      <c r="F251" s="20" t="s">
        <v>442</v>
      </c>
      <c r="G251" s="8" t="str">
        <f t="shared" si="3"/>
        <v>SWANSON BRYCE</v>
      </c>
    </row>
    <row r="252" spans="1:7" x14ac:dyDescent="0.25">
      <c r="A252" s="8">
        <v>42866.859363425923</v>
      </c>
      <c r="B252" t="s">
        <v>394</v>
      </c>
      <c r="C252" t="s">
        <v>523</v>
      </c>
      <c r="D252" s="141">
        <v>3130000</v>
      </c>
      <c r="E252" t="s">
        <v>417</v>
      </c>
      <c r="F252" s="20" t="s">
        <v>418</v>
      </c>
      <c r="G252" s="8" t="str">
        <f t="shared" si="3"/>
        <v>ZEWDU DEREJE</v>
      </c>
    </row>
    <row r="253" spans="1:7" x14ac:dyDescent="0.25">
      <c r="A253" s="8">
        <v>42866.867002314815</v>
      </c>
      <c r="B253" t="s">
        <v>373</v>
      </c>
      <c r="C253" t="s">
        <v>524</v>
      </c>
      <c r="D253" s="141">
        <v>1800000</v>
      </c>
      <c r="E253" t="s">
        <v>410</v>
      </c>
      <c r="F253" s="20" t="s">
        <v>411</v>
      </c>
      <c r="G253" s="8" t="str">
        <f t="shared" si="3"/>
        <v>CHANDLER KELVIN</v>
      </c>
    </row>
    <row r="254" spans="1:7" x14ac:dyDescent="0.25">
      <c r="A254" s="8">
        <v>42866.869791666664</v>
      </c>
      <c r="B254" t="s">
        <v>454</v>
      </c>
      <c r="C254" t="s">
        <v>525</v>
      </c>
      <c r="D254" s="141">
        <v>2270000</v>
      </c>
      <c r="E254" t="s">
        <v>468</v>
      </c>
      <c r="F254" s="20" t="s">
        <v>469</v>
      </c>
      <c r="G254" s="8" t="str">
        <f t="shared" si="3"/>
        <v>BROWN JACOB</v>
      </c>
    </row>
    <row r="255" spans="1:7" x14ac:dyDescent="0.25">
      <c r="A255" s="8">
        <v>42866.881319444445</v>
      </c>
      <c r="B255" t="s">
        <v>343</v>
      </c>
      <c r="C255" t="s">
        <v>526</v>
      </c>
      <c r="D255" s="141">
        <v>1810000</v>
      </c>
      <c r="E255" t="s">
        <v>397</v>
      </c>
      <c r="F255" s="20" t="s">
        <v>193</v>
      </c>
      <c r="G255" s="8" t="str">
        <f t="shared" si="3"/>
        <v>NEWELL JAMES</v>
      </c>
    </row>
    <row r="256" spans="1:7" x14ac:dyDescent="0.25">
      <c r="A256" s="8">
        <v>42866.884004629632</v>
      </c>
      <c r="B256" t="s">
        <v>344</v>
      </c>
      <c r="C256" t="s">
        <v>526</v>
      </c>
      <c r="D256" s="141">
        <v>1810000</v>
      </c>
      <c r="E256" t="s">
        <v>397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42866.884525462963</v>
      </c>
      <c r="B257" t="s">
        <v>382</v>
      </c>
      <c r="C257" t="s">
        <v>527</v>
      </c>
      <c r="D257" s="141">
        <v>2730000</v>
      </c>
      <c r="E257" t="s">
        <v>472</v>
      </c>
      <c r="F257" s="20" t="s">
        <v>473</v>
      </c>
      <c r="G257" s="8" t="str">
        <f t="shared" si="3"/>
        <v>YANG JAN</v>
      </c>
    </row>
    <row r="258" spans="1:7" x14ac:dyDescent="0.25">
      <c r="A258" s="8">
        <v>42866.88621527778</v>
      </c>
      <c r="B258" t="s">
        <v>345</v>
      </c>
      <c r="C258" t="s">
        <v>528</v>
      </c>
      <c r="D258" s="141">
        <v>3090000</v>
      </c>
      <c r="E258" t="s">
        <v>408</v>
      </c>
      <c r="F258" s="20" t="s">
        <v>409</v>
      </c>
      <c r="G258" s="8" t="str">
        <f t="shared" si="3"/>
        <v>LAMAR NEKESHA</v>
      </c>
    </row>
    <row r="259" spans="1:7" x14ac:dyDescent="0.25">
      <c r="A259" s="8">
        <v>42866.890844907408</v>
      </c>
      <c r="B259" t="s">
        <v>357</v>
      </c>
      <c r="C259" t="s">
        <v>529</v>
      </c>
      <c r="D259" s="141">
        <v>2150000</v>
      </c>
      <c r="E259" t="s">
        <v>441</v>
      </c>
      <c r="F259" s="20" t="s">
        <v>442</v>
      </c>
      <c r="G259" s="8" t="str">
        <f t="shared" ref="G259:G322" si="4">E259&amp;" "&amp;F259</f>
        <v>SWANSON BRYCE</v>
      </c>
    </row>
    <row r="260" spans="1:7" x14ac:dyDescent="0.25">
      <c r="A260" s="8">
        <v>42866.893692129626</v>
      </c>
      <c r="B260" t="s">
        <v>343</v>
      </c>
      <c r="C260" t="s">
        <v>530</v>
      </c>
      <c r="D260" s="141">
        <v>1810000</v>
      </c>
      <c r="E260" t="s">
        <v>397</v>
      </c>
      <c r="F260" s="20" t="s">
        <v>193</v>
      </c>
      <c r="G260" s="8" t="str">
        <f t="shared" si="4"/>
        <v>NEWELL JAMES</v>
      </c>
    </row>
    <row r="261" spans="1:7" x14ac:dyDescent="0.25">
      <c r="A261" s="8">
        <v>42866.901759259257</v>
      </c>
      <c r="B261" t="s">
        <v>394</v>
      </c>
      <c r="C261" t="s">
        <v>492</v>
      </c>
      <c r="D261" s="141">
        <v>3090000</v>
      </c>
      <c r="E261" t="s">
        <v>408</v>
      </c>
      <c r="F261" s="20" t="s">
        <v>409</v>
      </c>
      <c r="G261" s="8" t="str">
        <f t="shared" si="4"/>
        <v>LAMAR NEKESHA</v>
      </c>
    </row>
    <row r="262" spans="1:7" x14ac:dyDescent="0.25">
      <c r="A262" s="8">
        <v>42866.910671296297</v>
      </c>
      <c r="B262" t="s">
        <v>383</v>
      </c>
      <c r="C262" t="s">
        <v>531</v>
      </c>
      <c r="D262" s="141">
        <v>1800000</v>
      </c>
      <c r="E262" t="s">
        <v>410</v>
      </c>
      <c r="F262" s="20" t="s">
        <v>411</v>
      </c>
      <c r="G262" s="8" t="str">
        <f t="shared" si="4"/>
        <v>CHANDLER KELVIN</v>
      </c>
    </row>
    <row r="263" spans="1:7" x14ac:dyDescent="0.25">
      <c r="A263" s="8">
        <v>42866.912986111114</v>
      </c>
      <c r="B263" t="s">
        <v>498</v>
      </c>
      <c r="C263" t="s">
        <v>532</v>
      </c>
      <c r="D263" s="141">
        <v>2270000</v>
      </c>
      <c r="E263" t="s">
        <v>468</v>
      </c>
      <c r="F263" s="20" t="s">
        <v>469</v>
      </c>
      <c r="G263" s="8" t="str">
        <f t="shared" si="4"/>
        <v>BROWN JACOB</v>
      </c>
    </row>
    <row r="264" spans="1:7" x14ac:dyDescent="0.25">
      <c r="A264" s="8">
        <v>42866.927569444444</v>
      </c>
      <c r="B264" t="s">
        <v>345</v>
      </c>
      <c r="C264" t="s">
        <v>533</v>
      </c>
      <c r="D264" s="141">
        <v>3090000</v>
      </c>
      <c r="E264" t="s">
        <v>408</v>
      </c>
      <c r="F264" s="20" t="s">
        <v>409</v>
      </c>
      <c r="G264" s="8" t="str">
        <f t="shared" si="4"/>
        <v>LAMAR NEKESHA</v>
      </c>
    </row>
    <row r="265" spans="1:7" x14ac:dyDescent="0.25">
      <c r="A265" s="8">
        <v>42866.93173611111</v>
      </c>
      <c r="B265" t="s">
        <v>344</v>
      </c>
      <c r="C265" t="s">
        <v>534</v>
      </c>
      <c r="D265" s="141">
        <v>1810000</v>
      </c>
      <c r="E265" t="s">
        <v>397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42866.934965277775</v>
      </c>
      <c r="B266" t="s">
        <v>356</v>
      </c>
      <c r="C266" t="s">
        <v>535</v>
      </c>
      <c r="D266" s="141">
        <v>2150000</v>
      </c>
      <c r="E266" t="s">
        <v>441</v>
      </c>
      <c r="F266" s="20" t="s">
        <v>442</v>
      </c>
      <c r="G266" s="8" t="str">
        <f t="shared" si="4"/>
        <v>SWANSON BRYCE</v>
      </c>
    </row>
    <row r="267" spans="1:7" x14ac:dyDescent="0.25">
      <c r="A267" s="8">
        <v>42866.943495370368</v>
      </c>
      <c r="B267" t="s">
        <v>394</v>
      </c>
      <c r="C267" t="s">
        <v>536</v>
      </c>
      <c r="D267" s="141">
        <v>3090000</v>
      </c>
      <c r="E267" t="s">
        <v>408</v>
      </c>
      <c r="F267" s="20" t="s">
        <v>409</v>
      </c>
      <c r="G267" s="8" t="str">
        <f t="shared" si="4"/>
        <v>LAMAR NEKESHA</v>
      </c>
    </row>
    <row r="268" spans="1:7" x14ac:dyDescent="0.25">
      <c r="A268" s="8">
        <v>42866.950949074075</v>
      </c>
      <c r="B268" t="s">
        <v>345</v>
      </c>
      <c r="C268" t="s">
        <v>536</v>
      </c>
      <c r="D268" s="141">
        <v>1740000</v>
      </c>
      <c r="E268" t="s">
        <v>466</v>
      </c>
      <c r="F268" s="20" t="s">
        <v>467</v>
      </c>
      <c r="G268" s="8" t="str">
        <f t="shared" si="4"/>
        <v>STORY SAMANTHA</v>
      </c>
    </row>
    <row r="269" spans="1:7" x14ac:dyDescent="0.25">
      <c r="A269" s="8">
        <v>42866.953020833331</v>
      </c>
      <c r="B269" t="s">
        <v>454</v>
      </c>
      <c r="C269" t="s">
        <v>537</v>
      </c>
      <c r="D269" s="141">
        <v>2270000</v>
      </c>
      <c r="E269" t="s">
        <v>468</v>
      </c>
      <c r="F269" s="20" t="s">
        <v>469</v>
      </c>
      <c r="G269" s="8" t="str">
        <f t="shared" si="4"/>
        <v>BROWN JACOB</v>
      </c>
    </row>
    <row r="270" spans="1:7" x14ac:dyDescent="0.25">
      <c r="A270" s="8">
        <v>42866.957442129627</v>
      </c>
      <c r="B270" t="s">
        <v>373</v>
      </c>
      <c r="C270" t="s">
        <v>538</v>
      </c>
      <c r="D270" s="141">
        <v>1800000</v>
      </c>
      <c r="E270" t="s">
        <v>410</v>
      </c>
      <c r="F270" s="20" t="s">
        <v>411</v>
      </c>
      <c r="G270" s="8" t="str">
        <f t="shared" si="4"/>
        <v>CHANDLER KELVIN</v>
      </c>
    </row>
    <row r="271" spans="1:7" x14ac:dyDescent="0.25">
      <c r="A271" s="8">
        <v>42866.967581018522</v>
      </c>
      <c r="B271" t="s">
        <v>357</v>
      </c>
      <c r="C271" t="s">
        <v>539</v>
      </c>
      <c r="D271" s="141">
        <v>2150000</v>
      </c>
      <c r="E271" t="s">
        <v>441</v>
      </c>
      <c r="F271" s="20" t="s">
        <v>442</v>
      </c>
      <c r="G271" s="8" t="str">
        <f t="shared" si="4"/>
        <v>SWANSON BRYCE</v>
      </c>
    </row>
    <row r="272" spans="1:7" x14ac:dyDescent="0.25">
      <c r="A272" s="8">
        <v>42866.975532407407</v>
      </c>
      <c r="B272" t="s">
        <v>343</v>
      </c>
      <c r="C272" t="s">
        <v>540</v>
      </c>
      <c r="D272" s="141">
        <v>1810000</v>
      </c>
      <c r="E272" t="s">
        <v>397</v>
      </c>
      <c r="F272" s="20" t="s">
        <v>193</v>
      </c>
      <c r="G272" s="8" t="str">
        <f t="shared" si="4"/>
        <v>NEWELL JAMES</v>
      </c>
    </row>
    <row r="273" spans="1:7" x14ac:dyDescent="0.25">
      <c r="A273" s="8">
        <v>42866.996018518519</v>
      </c>
      <c r="B273" t="s">
        <v>383</v>
      </c>
      <c r="C273" t="s">
        <v>541</v>
      </c>
      <c r="D273" s="141">
        <v>1800000</v>
      </c>
      <c r="E273" t="s">
        <v>410</v>
      </c>
      <c r="F273" s="20" t="s">
        <v>411</v>
      </c>
      <c r="G273" s="8" t="str">
        <f t="shared" si="4"/>
        <v>CHANDLER KELVIN</v>
      </c>
    </row>
    <row r="274" spans="1:7" x14ac:dyDescent="0.25">
      <c r="A274" s="8">
        <v>42866.997511574074</v>
      </c>
      <c r="B274" t="s">
        <v>498</v>
      </c>
      <c r="C274" t="s">
        <v>542</v>
      </c>
      <c r="D274" s="141">
        <v>2270000</v>
      </c>
      <c r="E274" t="s">
        <v>468</v>
      </c>
      <c r="F274" s="20" t="s">
        <v>469</v>
      </c>
      <c r="G274" s="8" t="str">
        <f t="shared" si="4"/>
        <v>BROWN JACOB</v>
      </c>
    </row>
    <row r="275" spans="1:7" x14ac:dyDescent="0.25">
      <c r="A275" s="8">
        <v>42867.007569444446</v>
      </c>
      <c r="B275" t="s">
        <v>356</v>
      </c>
      <c r="C275" t="s">
        <v>543</v>
      </c>
      <c r="D275" s="141">
        <v>3000000</v>
      </c>
      <c r="E275" t="s">
        <v>443</v>
      </c>
      <c r="F275" s="20" t="s">
        <v>444</v>
      </c>
      <c r="G275" s="8" t="str">
        <f t="shared" si="4"/>
        <v>FORTUNATO FRANK</v>
      </c>
    </row>
    <row r="276" spans="1:7" x14ac:dyDescent="0.25">
      <c r="A276" s="8">
        <v>42867.015127314815</v>
      </c>
      <c r="B276" t="s">
        <v>344</v>
      </c>
      <c r="C276" t="s">
        <v>544</v>
      </c>
      <c r="D276" s="141">
        <v>1810000</v>
      </c>
      <c r="E276" t="s">
        <v>397</v>
      </c>
      <c r="F276" s="20" t="s">
        <v>193</v>
      </c>
      <c r="G276" s="8" t="str">
        <f t="shared" si="4"/>
        <v>NEWELL JAMES</v>
      </c>
    </row>
    <row r="277" spans="1:7" x14ac:dyDescent="0.25">
      <c r="A277" s="8">
        <v>42867.028657407405</v>
      </c>
      <c r="B277" t="s">
        <v>373</v>
      </c>
      <c r="C277" t="s">
        <v>545</v>
      </c>
      <c r="D277" s="141">
        <v>1800000</v>
      </c>
      <c r="E277" t="s">
        <v>410</v>
      </c>
      <c r="F277" s="20" t="s">
        <v>411</v>
      </c>
      <c r="G277" s="8" t="str">
        <f t="shared" si="4"/>
        <v>CHANDLER KELVIN</v>
      </c>
    </row>
    <row r="278" spans="1:7" x14ac:dyDescent="0.25">
      <c r="A278" s="8">
        <v>42867.031307870369</v>
      </c>
      <c r="B278" t="s">
        <v>344</v>
      </c>
      <c r="C278" t="s">
        <v>544</v>
      </c>
      <c r="D278" s="141">
        <v>1810000</v>
      </c>
      <c r="E278" t="s">
        <v>397</v>
      </c>
      <c r="F278" s="20" t="s">
        <v>193</v>
      </c>
      <c r="G278" s="8" t="str">
        <f t="shared" si="4"/>
        <v>NEWELL JAMES</v>
      </c>
    </row>
    <row r="279" spans="1:7" x14ac:dyDescent="0.25">
      <c r="A279" s="8">
        <v>42867.03665509259</v>
      </c>
      <c r="B279" t="s">
        <v>454</v>
      </c>
      <c r="C279" t="s">
        <v>546</v>
      </c>
      <c r="D279" s="141">
        <v>2270000</v>
      </c>
      <c r="E279" t="s">
        <v>468</v>
      </c>
      <c r="F279" s="20" t="s">
        <v>469</v>
      </c>
      <c r="G279" s="8" t="str">
        <f t="shared" si="4"/>
        <v>BROWN JACOB</v>
      </c>
    </row>
    <row r="280" spans="1:7" x14ac:dyDescent="0.25">
      <c r="A280" s="8">
        <v>42867.050324074073</v>
      </c>
      <c r="B280" t="s">
        <v>357</v>
      </c>
      <c r="C280" t="s">
        <v>547</v>
      </c>
      <c r="D280" s="141">
        <v>3000000</v>
      </c>
      <c r="E280" t="s">
        <v>443</v>
      </c>
      <c r="F280" s="20" t="s">
        <v>444</v>
      </c>
      <c r="G280" s="8" t="str">
        <f t="shared" si="4"/>
        <v>FORTUNATO FRANK</v>
      </c>
    </row>
    <row r="281" spans="1:7" x14ac:dyDescent="0.25">
      <c r="A281" s="8">
        <v>42867.053252314814</v>
      </c>
      <c r="B281" t="s">
        <v>343</v>
      </c>
      <c r="C281" t="s">
        <v>548</v>
      </c>
      <c r="D281" s="141">
        <v>1810000</v>
      </c>
      <c r="E281" t="s">
        <v>397</v>
      </c>
      <c r="F281" s="20" t="s">
        <v>193</v>
      </c>
      <c r="G281" s="8" t="str">
        <f t="shared" si="4"/>
        <v>NEWELL JAMES</v>
      </c>
    </row>
    <row r="282" spans="1:7" x14ac:dyDescent="0.25">
      <c r="A282" s="8">
        <v>42867.070532407408</v>
      </c>
      <c r="B282" t="s">
        <v>498</v>
      </c>
      <c r="C282" t="s">
        <v>549</v>
      </c>
      <c r="D282" s="141">
        <v>2270000</v>
      </c>
      <c r="E282" t="s">
        <v>468</v>
      </c>
      <c r="F282" s="20" t="s">
        <v>469</v>
      </c>
      <c r="G282" s="8" t="str">
        <f t="shared" si="4"/>
        <v>BROWN JACOB</v>
      </c>
    </row>
    <row r="283" spans="1:7" x14ac:dyDescent="0.25">
      <c r="A283" s="8">
        <v>42867.071527777778</v>
      </c>
      <c r="B283" t="s">
        <v>498</v>
      </c>
      <c r="C283" t="s">
        <v>549</v>
      </c>
      <c r="D283" s="141">
        <v>2270000</v>
      </c>
      <c r="E283" t="s">
        <v>468</v>
      </c>
      <c r="F283" s="20" t="s">
        <v>469</v>
      </c>
      <c r="G283" s="8" t="str">
        <f t="shared" si="4"/>
        <v>BROWN JACOB</v>
      </c>
    </row>
    <row r="284" spans="1:7" x14ac:dyDescent="0.25">
      <c r="A284" s="8">
        <v>42867.090428240743</v>
      </c>
      <c r="B284" t="s">
        <v>356</v>
      </c>
      <c r="C284" t="s">
        <v>550</v>
      </c>
      <c r="D284" s="141">
        <v>3000000</v>
      </c>
      <c r="E284" t="s">
        <v>443</v>
      </c>
      <c r="F284" s="20" t="s">
        <v>444</v>
      </c>
      <c r="G284" s="8" t="str">
        <f t="shared" si="4"/>
        <v>FORTUNATO FRANK</v>
      </c>
    </row>
    <row r="285" spans="1:7" x14ac:dyDescent="0.25">
      <c r="A285" s="8">
        <v>42863.995520833334</v>
      </c>
      <c r="B285" t="s">
        <v>344</v>
      </c>
      <c r="C285" t="s">
        <v>420</v>
      </c>
      <c r="D285" s="141">
        <v>1800000</v>
      </c>
      <c r="E285" t="s">
        <v>410</v>
      </c>
      <c r="F285" s="20" t="s">
        <v>411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407</v>
      </c>
      <c r="C286" t="s">
        <v>402</v>
      </c>
      <c r="D286" s="141">
        <v>2970000</v>
      </c>
      <c r="E286" t="s">
        <v>412</v>
      </c>
      <c r="F286" s="20" t="s">
        <v>413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383</v>
      </c>
      <c r="C287" t="s">
        <v>421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404</v>
      </c>
      <c r="C288" t="s">
        <v>419</v>
      </c>
      <c r="D288" s="141">
        <v>3130000</v>
      </c>
      <c r="E288" t="s">
        <v>417</v>
      </c>
      <c r="F288" s="20" t="s">
        <v>418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387</v>
      </c>
      <c r="C289" t="s">
        <v>403</v>
      </c>
      <c r="D289" s="141">
        <v>3040000</v>
      </c>
      <c r="E289" t="s">
        <v>415</v>
      </c>
      <c r="F289" s="20" t="s">
        <v>416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404</v>
      </c>
      <c r="C290" t="s">
        <v>419</v>
      </c>
      <c r="D290" s="141">
        <v>3130000</v>
      </c>
      <c r="E290" t="s">
        <v>417</v>
      </c>
      <c r="F290" s="20" t="s">
        <v>418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387</v>
      </c>
      <c r="C291" t="s">
        <v>403</v>
      </c>
      <c r="D291" s="141">
        <v>3040000</v>
      </c>
      <c r="E291" t="s">
        <v>415</v>
      </c>
      <c r="F291" s="20" t="s">
        <v>416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400</v>
      </c>
      <c r="C292" t="s">
        <v>402</v>
      </c>
      <c r="D292" s="141">
        <v>2970000</v>
      </c>
      <c r="E292" t="s">
        <v>412</v>
      </c>
      <c r="F292" s="20" t="s">
        <v>413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404</v>
      </c>
      <c r="C293" t="s">
        <v>405</v>
      </c>
      <c r="D293" s="141">
        <v>3130000</v>
      </c>
      <c r="E293" t="s">
        <v>417</v>
      </c>
      <c r="F293" s="20" t="s">
        <v>418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387</v>
      </c>
      <c r="C294" t="s">
        <v>403</v>
      </c>
      <c r="D294" s="141">
        <v>3040000</v>
      </c>
      <c r="E294" t="s">
        <v>415</v>
      </c>
      <c r="F294" s="20" t="s">
        <v>416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422</v>
      </c>
      <c r="D295" s="141">
        <v>1800000</v>
      </c>
      <c r="E295" t="s">
        <v>410</v>
      </c>
      <c r="F295" s="20" t="s">
        <v>411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394</v>
      </c>
      <c r="C296" t="s">
        <v>423</v>
      </c>
      <c r="D296" s="141">
        <v>3030000</v>
      </c>
      <c r="E296" t="s">
        <v>414</v>
      </c>
      <c r="F296" s="20" t="s">
        <v>396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407</v>
      </c>
      <c r="C297" t="s">
        <v>402</v>
      </c>
      <c r="D297" s="141">
        <v>2970000</v>
      </c>
      <c r="E297" t="s">
        <v>412</v>
      </c>
      <c r="F297" s="20" t="s">
        <v>413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373</v>
      </c>
      <c r="C298" t="s">
        <v>424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400</v>
      </c>
      <c r="C299" t="s">
        <v>402</v>
      </c>
      <c r="D299" s="141">
        <v>2970000</v>
      </c>
      <c r="E299" t="s">
        <v>412</v>
      </c>
      <c r="F299" s="20" t="s">
        <v>413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401</v>
      </c>
      <c r="C300" t="s">
        <v>406</v>
      </c>
      <c r="D300" s="141">
        <v>3130000</v>
      </c>
      <c r="E300" t="s">
        <v>417</v>
      </c>
      <c r="F300" s="20" t="s">
        <v>418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400</v>
      </c>
      <c r="C301" t="s">
        <v>402</v>
      </c>
      <c r="D301" s="141">
        <v>2970000</v>
      </c>
      <c r="E301" t="s">
        <v>412</v>
      </c>
      <c r="F301" s="20" t="s">
        <v>413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386</v>
      </c>
      <c r="C302" t="s">
        <v>403</v>
      </c>
      <c r="D302" s="141">
        <v>3040000</v>
      </c>
      <c r="E302" t="s">
        <v>415</v>
      </c>
      <c r="F302" s="20" t="s">
        <v>416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386</v>
      </c>
      <c r="C303" t="s">
        <v>403</v>
      </c>
      <c r="D303" s="141">
        <v>3040000</v>
      </c>
      <c r="E303" t="s">
        <v>415</v>
      </c>
      <c r="F303" s="20" t="s">
        <v>416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425</v>
      </c>
      <c r="D304" s="141">
        <v>3030000</v>
      </c>
      <c r="E304" t="s">
        <v>414</v>
      </c>
      <c r="F304" s="20" t="s">
        <v>396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407</v>
      </c>
      <c r="C305" t="s">
        <v>402</v>
      </c>
      <c r="D305" s="141">
        <v>2970000</v>
      </c>
      <c r="E305" t="s">
        <v>412</v>
      </c>
      <c r="F305" s="20" t="s">
        <v>413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400</v>
      </c>
      <c r="C306" t="s">
        <v>402</v>
      </c>
      <c r="D306" s="141">
        <v>2970000</v>
      </c>
      <c r="E306" t="s">
        <v>412</v>
      </c>
      <c r="F306" s="20" t="s">
        <v>413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387</v>
      </c>
      <c r="C307" t="s">
        <v>403</v>
      </c>
      <c r="D307" s="141">
        <v>3040000</v>
      </c>
      <c r="E307" t="s">
        <v>415</v>
      </c>
      <c r="F307" s="20" t="s">
        <v>416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404</v>
      </c>
      <c r="C308" t="s">
        <v>426</v>
      </c>
      <c r="D308" s="141">
        <v>3130000</v>
      </c>
      <c r="E308" t="s">
        <v>417</v>
      </c>
      <c r="F308" s="20" t="s">
        <v>418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386</v>
      </c>
      <c r="C309" t="s">
        <v>403</v>
      </c>
      <c r="D309" s="141">
        <v>3040000</v>
      </c>
      <c r="E309" t="s">
        <v>415</v>
      </c>
      <c r="F309" s="20" t="s">
        <v>416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407</v>
      </c>
      <c r="C310" t="s">
        <v>402</v>
      </c>
      <c r="D310" s="141">
        <v>2970000</v>
      </c>
      <c r="E310" t="s">
        <v>412</v>
      </c>
      <c r="F310" s="20" t="s">
        <v>413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400</v>
      </c>
      <c r="C311" t="s">
        <v>402</v>
      </c>
      <c r="D311" s="141">
        <v>2970000</v>
      </c>
      <c r="E311" t="s">
        <v>412</v>
      </c>
      <c r="F311" s="20" t="s">
        <v>413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398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63.65</v>
      </c>
      <c r="B2" s="168">
        <v>0.24</v>
      </c>
      <c r="C2" s="168">
        <v>30.82</v>
      </c>
      <c r="D2" s="8">
        <v>42869</v>
      </c>
      <c r="E2" s="168">
        <v>0.28999999999999998</v>
      </c>
      <c r="F2" s="168" t="s">
        <v>817</v>
      </c>
      <c r="G2" s="168">
        <v>302.74</v>
      </c>
      <c r="H2" s="168">
        <v>0</v>
      </c>
      <c r="I2" s="168">
        <v>0</v>
      </c>
      <c r="J2" s="168"/>
      <c r="K2" s="168">
        <v>1004.21</v>
      </c>
      <c r="L2" s="168" t="s">
        <v>818</v>
      </c>
      <c r="M2" s="168">
        <v>63.65</v>
      </c>
      <c r="N2" s="168">
        <v>1494741600</v>
      </c>
      <c r="O2" s="168">
        <v>1.1000000000000001</v>
      </c>
      <c r="P2" s="168">
        <v>205</v>
      </c>
      <c r="Q2" s="168">
        <v>3.2</v>
      </c>
      <c r="R2"/>
    </row>
    <row r="3" spans="1:18" x14ac:dyDescent="0.25">
      <c r="A3" s="168">
        <v>60.53</v>
      </c>
      <c r="B3" s="168">
        <v>0.2</v>
      </c>
      <c r="C3" s="168">
        <v>31.25</v>
      </c>
      <c r="D3" s="8">
        <v>42869.041666666664</v>
      </c>
      <c r="E3" s="168">
        <v>0.33</v>
      </c>
      <c r="F3" s="168" t="s">
        <v>553</v>
      </c>
      <c r="G3" s="168">
        <v>303.05</v>
      </c>
      <c r="H3" s="168">
        <v>0</v>
      </c>
      <c r="I3" s="168">
        <v>0</v>
      </c>
      <c r="J3" s="168"/>
      <c r="K3" s="168">
        <v>1004.92</v>
      </c>
      <c r="L3" s="168" t="s">
        <v>552</v>
      </c>
      <c r="M3" s="168">
        <v>60.53</v>
      </c>
      <c r="N3" s="168">
        <v>1494745200</v>
      </c>
      <c r="O3" s="168"/>
      <c r="P3" s="168">
        <v>187</v>
      </c>
      <c r="Q3" s="168">
        <v>3.03</v>
      </c>
      <c r="R3"/>
    </row>
    <row r="4" spans="1:18" x14ac:dyDescent="0.25">
      <c r="A4" s="168">
        <v>59.59</v>
      </c>
      <c r="B4" s="168">
        <v>0.08</v>
      </c>
      <c r="C4" s="168">
        <v>32.08</v>
      </c>
      <c r="D4" s="8">
        <v>42869.083333333336</v>
      </c>
      <c r="E4" s="168">
        <v>0.35</v>
      </c>
      <c r="F4" s="168" t="s">
        <v>553</v>
      </c>
      <c r="G4" s="168">
        <v>303.35000000000002</v>
      </c>
      <c r="H4" s="168">
        <v>0</v>
      </c>
      <c r="I4" s="168">
        <v>0</v>
      </c>
      <c r="J4" s="168"/>
      <c r="K4" s="168">
        <v>1005.64</v>
      </c>
      <c r="L4" s="168" t="s">
        <v>552</v>
      </c>
      <c r="M4" s="168">
        <v>59.59</v>
      </c>
      <c r="N4" s="168">
        <v>1494748800</v>
      </c>
      <c r="O4" s="168"/>
      <c r="P4" s="168">
        <v>159</v>
      </c>
      <c r="Q4" s="168">
        <v>2.54</v>
      </c>
      <c r="R4"/>
    </row>
    <row r="5" spans="1:18" x14ac:dyDescent="0.25">
      <c r="A5" s="168">
        <v>56.09</v>
      </c>
      <c r="B5" s="168">
        <v>7.0000000000000007E-2</v>
      </c>
      <c r="C5" s="168">
        <v>30.86</v>
      </c>
      <c r="D5" s="8">
        <v>42869.125</v>
      </c>
      <c r="E5" s="168">
        <v>0.38</v>
      </c>
      <c r="F5" s="168" t="s">
        <v>817</v>
      </c>
      <c r="G5" s="168">
        <v>303.66000000000003</v>
      </c>
      <c r="H5" s="168">
        <v>0</v>
      </c>
      <c r="I5" s="168">
        <v>0</v>
      </c>
      <c r="J5" s="168"/>
      <c r="K5" s="168">
        <v>1006.4</v>
      </c>
      <c r="L5" s="168" t="s">
        <v>818</v>
      </c>
      <c r="M5" s="168">
        <v>56.09</v>
      </c>
      <c r="N5" s="168">
        <v>1494752400</v>
      </c>
      <c r="O5" s="168">
        <v>1.1000000000000001</v>
      </c>
      <c r="P5" s="168">
        <v>169</v>
      </c>
      <c r="Q5" s="168">
        <v>1.43</v>
      </c>
      <c r="R5"/>
    </row>
    <row r="6" spans="1:18" x14ac:dyDescent="0.25">
      <c r="A6" s="168">
        <v>55.26</v>
      </c>
      <c r="B6" s="168">
        <v>0.11</v>
      </c>
      <c r="C6" s="168">
        <v>33.42</v>
      </c>
      <c r="D6" s="8">
        <v>42869.166666666664</v>
      </c>
      <c r="E6" s="168">
        <v>0.43</v>
      </c>
      <c r="F6" s="168" t="s">
        <v>817</v>
      </c>
      <c r="G6" s="168">
        <v>302.57</v>
      </c>
      <c r="H6" s="168">
        <v>0</v>
      </c>
      <c r="I6" s="168">
        <v>0</v>
      </c>
      <c r="J6" s="168"/>
      <c r="K6" s="168">
        <v>1007.69</v>
      </c>
      <c r="L6" s="168" t="s">
        <v>818</v>
      </c>
      <c r="M6" s="168">
        <v>55.26</v>
      </c>
      <c r="N6" s="168">
        <v>1494756000</v>
      </c>
      <c r="O6" s="168">
        <v>1.1000000000000001</v>
      </c>
      <c r="P6" s="168">
        <v>79</v>
      </c>
      <c r="Q6" s="168">
        <v>2.02</v>
      </c>
      <c r="R6"/>
    </row>
    <row r="7" spans="1:18" x14ac:dyDescent="0.25">
      <c r="A7" s="168">
        <v>52.5</v>
      </c>
      <c r="B7" s="168">
        <v>0.14000000000000001</v>
      </c>
      <c r="C7" s="168">
        <v>32.65</v>
      </c>
      <c r="D7" s="8">
        <v>42869.208333333336</v>
      </c>
      <c r="E7" s="168">
        <v>0.47</v>
      </c>
      <c r="F7" s="168" t="s">
        <v>817</v>
      </c>
      <c r="G7" s="168">
        <v>300.99</v>
      </c>
      <c r="H7" s="168">
        <v>0</v>
      </c>
      <c r="I7" s="168">
        <v>0</v>
      </c>
      <c r="J7" s="168"/>
      <c r="K7" s="168">
        <v>1009.29</v>
      </c>
      <c r="L7" s="168" t="s">
        <v>818</v>
      </c>
      <c r="M7" s="168">
        <v>52.5</v>
      </c>
      <c r="N7" s="168">
        <v>1494759600</v>
      </c>
      <c r="O7" s="168">
        <v>1.1000000000000001</v>
      </c>
      <c r="P7" s="168">
        <v>89</v>
      </c>
      <c r="Q7" s="168">
        <v>1.95</v>
      </c>
      <c r="R7"/>
    </row>
    <row r="8" spans="1:18" x14ac:dyDescent="0.25">
      <c r="A8" s="168">
        <v>50.4</v>
      </c>
      <c r="B8" s="168">
        <v>0.22</v>
      </c>
      <c r="C8" s="168">
        <v>32.4</v>
      </c>
      <c r="D8" s="8">
        <v>42869.25</v>
      </c>
      <c r="E8" s="168">
        <v>0.5</v>
      </c>
      <c r="F8" s="168" t="s">
        <v>817</v>
      </c>
      <c r="G8" s="168">
        <v>300.11</v>
      </c>
      <c r="H8" s="168">
        <v>0</v>
      </c>
      <c r="I8" s="168">
        <v>0</v>
      </c>
      <c r="J8" s="168"/>
      <c r="K8" s="168">
        <v>1010.61</v>
      </c>
      <c r="L8" s="168" t="s">
        <v>818</v>
      </c>
      <c r="M8" s="168">
        <v>50.4</v>
      </c>
      <c r="N8" s="168">
        <v>1494763200</v>
      </c>
      <c r="O8" s="168">
        <v>1.1000000000000001</v>
      </c>
      <c r="P8" s="168">
        <v>112</v>
      </c>
      <c r="Q8" s="168">
        <v>2.15</v>
      </c>
      <c r="R8"/>
    </row>
    <row r="9" spans="1:18" x14ac:dyDescent="0.25">
      <c r="A9" s="168">
        <v>53.61</v>
      </c>
      <c r="B9" s="168">
        <v>0.27</v>
      </c>
      <c r="C9" s="168">
        <v>35.659999999999997</v>
      </c>
      <c r="D9" s="8">
        <v>42869.291666666664</v>
      </c>
      <c r="E9" s="168">
        <v>0.5</v>
      </c>
      <c r="F9" s="168" t="s">
        <v>817</v>
      </c>
      <c r="G9" s="168">
        <v>300.47000000000003</v>
      </c>
      <c r="H9" s="168">
        <v>0</v>
      </c>
      <c r="I9" s="168">
        <v>0</v>
      </c>
      <c r="J9" s="168"/>
      <c r="K9" s="168">
        <v>1011.15</v>
      </c>
      <c r="L9" s="168" t="s">
        <v>818</v>
      </c>
      <c r="M9" s="168">
        <v>53.61</v>
      </c>
      <c r="N9" s="168">
        <v>1494766800</v>
      </c>
      <c r="O9" s="168">
        <v>1.1000000000000001</v>
      </c>
      <c r="P9" s="168">
        <v>121</v>
      </c>
      <c r="Q9" s="168">
        <v>1.94</v>
      </c>
      <c r="R9"/>
    </row>
    <row r="10" spans="1:18" x14ac:dyDescent="0.25">
      <c r="A10" s="168">
        <v>58.9</v>
      </c>
      <c r="B10" s="168">
        <v>0.3</v>
      </c>
      <c r="C10" s="168">
        <v>32.39</v>
      </c>
      <c r="D10" s="8">
        <v>42869.333333333336</v>
      </c>
      <c r="E10" s="168">
        <v>0.37</v>
      </c>
      <c r="F10" s="168" t="s">
        <v>817</v>
      </c>
      <c r="G10" s="168">
        <v>301.52</v>
      </c>
      <c r="H10" s="168">
        <v>0</v>
      </c>
      <c r="I10" s="168">
        <v>0</v>
      </c>
      <c r="J10" s="168"/>
      <c r="K10" s="168">
        <v>1011.23</v>
      </c>
      <c r="L10" s="168" t="s">
        <v>818</v>
      </c>
      <c r="M10" s="168">
        <v>58.9</v>
      </c>
      <c r="N10" s="168">
        <v>1494770400</v>
      </c>
      <c r="O10" s="168">
        <v>1.1000000000000001</v>
      </c>
      <c r="P10" s="168">
        <v>122</v>
      </c>
      <c r="Q10" s="168">
        <v>4.45</v>
      </c>
      <c r="R10"/>
    </row>
    <row r="11" spans="1:18" x14ac:dyDescent="0.25">
      <c r="A11" s="168">
        <v>61.05</v>
      </c>
      <c r="B11" s="168">
        <v>0.32</v>
      </c>
      <c r="C11" s="168">
        <v>28.8</v>
      </c>
      <c r="D11" s="8">
        <v>42869.375</v>
      </c>
      <c r="E11" s="168">
        <v>0.28999999999999998</v>
      </c>
      <c r="F11" s="168" t="s">
        <v>817</v>
      </c>
      <c r="G11" s="168">
        <v>302.8</v>
      </c>
      <c r="H11" s="168">
        <v>0</v>
      </c>
      <c r="I11" s="168">
        <v>0</v>
      </c>
      <c r="J11" s="168"/>
      <c r="K11" s="168">
        <v>1011.07</v>
      </c>
      <c r="L11" s="168" t="s">
        <v>818</v>
      </c>
      <c r="M11" s="168">
        <v>61.05</v>
      </c>
      <c r="N11" s="168">
        <v>1494774000</v>
      </c>
      <c r="O11" s="168">
        <v>1.1000000000000001</v>
      </c>
      <c r="P11" s="168">
        <v>113</v>
      </c>
      <c r="Q11" s="168">
        <v>4.88</v>
      </c>
      <c r="R11"/>
    </row>
    <row r="12" spans="1:18" x14ac:dyDescent="0.25">
      <c r="A12" s="168">
        <v>63.09</v>
      </c>
      <c r="B12" s="168">
        <v>0.38</v>
      </c>
      <c r="C12" s="168">
        <v>28.78</v>
      </c>
      <c r="D12" s="8">
        <v>42869.416666666664</v>
      </c>
      <c r="E12" s="168">
        <v>0.27</v>
      </c>
      <c r="F12" s="168" t="s">
        <v>817</v>
      </c>
      <c r="G12" s="168">
        <v>304.58999999999997</v>
      </c>
      <c r="H12" s="168">
        <v>0</v>
      </c>
      <c r="I12" s="168">
        <v>0</v>
      </c>
      <c r="J12" s="168"/>
      <c r="K12" s="168">
        <v>1010.75</v>
      </c>
      <c r="L12" s="168" t="s">
        <v>818</v>
      </c>
      <c r="M12" s="168">
        <v>63.09</v>
      </c>
      <c r="N12" s="168">
        <v>1494777600</v>
      </c>
      <c r="O12" s="168">
        <v>1.1000000000000001</v>
      </c>
      <c r="P12" s="168">
        <v>107</v>
      </c>
      <c r="Q12" s="168">
        <v>5.09</v>
      </c>
      <c r="R12"/>
    </row>
    <row r="13" spans="1:18" x14ac:dyDescent="0.25">
      <c r="A13" s="168">
        <v>66.510000000000005</v>
      </c>
      <c r="B13" s="168">
        <v>0.38</v>
      </c>
      <c r="C13" s="168">
        <v>31.84</v>
      </c>
      <c r="D13" s="8">
        <v>42869.458333333336</v>
      </c>
      <c r="E13" s="168">
        <v>0.27</v>
      </c>
      <c r="F13" s="168" t="s">
        <v>817</v>
      </c>
      <c r="G13" s="168">
        <v>306.61</v>
      </c>
      <c r="H13" s="168">
        <v>0</v>
      </c>
      <c r="I13" s="168">
        <v>0</v>
      </c>
      <c r="J13" s="168"/>
      <c r="K13" s="168">
        <v>1010.3</v>
      </c>
      <c r="L13" s="168" t="s">
        <v>818</v>
      </c>
      <c r="M13" s="168">
        <v>66.510000000000005</v>
      </c>
      <c r="N13" s="168">
        <v>1494781200</v>
      </c>
      <c r="O13" s="168">
        <v>1.1000000000000001</v>
      </c>
      <c r="P13" s="168">
        <v>91</v>
      </c>
      <c r="Q13" s="168">
        <v>4.59</v>
      </c>
      <c r="R13"/>
    </row>
    <row r="14" spans="1:18" x14ac:dyDescent="0.25">
      <c r="A14" s="168">
        <v>68.72</v>
      </c>
      <c r="B14" s="168">
        <v>0.4</v>
      </c>
      <c r="C14" s="168">
        <v>32.909999999999997</v>
      </c>
      <c r="D14" s="8">
        <v>42869.5</v>
      </c>
      <c r="E14" s="168">
        <v>0.26</v>
      </c>
      <c r="F14" s="168" t="s">
        <v>817</v>
      </c>
      <c r="G14" s="168">
        <v>307.60000000000002</v>
      </c>
      <c r="H14" s="168">
        <v>0</v>
      </c>
      <c r="I14" s="168">
        <v>0</v>
      </c>
      <c r="J14" s="168"/>
      <c r="K14" s="168">
        <v>1009.57</v>
      </c>
      <c r="L14" s="168" t="s">
        <v>818</v>
      </c>
      <c r="M14" s="168">
        <v>68.72</v>
      </c>
      <c r="N14" s="168">
        <v>1494784800</v>
      </c>
      <c r="O14" s="168">
        <v>1.1000000000000001</v>
      </c>
      <c r="P14" s="168">
        <v>78</v>
      </c>
      <c r="Q14" s="168">
        <v>4.13</v>
      </c>
      <c r="R14"/>
    </row>
    <row r="15" spans="1:18" x14ac:dyDescent="0.25">
      <c r="A15" s="168">
        <v>71.53</v>
      </c>
      <c r="B15" s="168">
        <v>0.42</v>
      </c>
      <c r="C15" s="168">
        <v>35.049999999999997</v>
      </c>
      <c r="D15" s="8">
        <v>42869.541666666664</v>
      </c>
      <c r="E15" s="168">
        <v>0.26</v>
      </c>
      <c r="F15" s="168" t="s">
        <v>817</v>
      </c>
      <c r="G15" s="168">
        <v>306.93</v>
      </c>
      <c r="H15" s="168">
        <v>0</v>
      </c>
      <c r="I15" s="168">
        <v>0</v>
      </c>
      <c r="J15" s="168"/>
      <c r="K15" s="168">
        <v>1008.31</v>
      </c>
      <c r="L15" s="168" t="s">
        <v>818</v>
      </c>
      <c r="M15" s="168">
        <v>71.53</v>
      </c>
      <c r="N15" s="168">
        <v>1494788400</v>
      </c>
      <c r="O15" s="168">
        <v>1.1000000000000001</v>
      </c>
      <c r="P15" s="168">
        <v>93</v>
      </c>
      <c r="Q15" s="168">
        <v>5.15</v>
      </c>
      <c r="R15"/>
    </row>
    <row r="16" spans="1:18" x14ac:dyDescent="0.25">
      <c r="A16" s="168">
        <v>73.3</v>
      </c>
      <c r="B16" s="168">
        <v>0.46</v>
      </c>
      <c r="C16" s="168">
        <v>36.840000000000003</v>
      </c>
      <c r="D16" s="8">
        <v>42869.583333333336</v>
      </c>
      <c r="E16" s="168">
        <v>0.27</v>
      </c>
      <c r="F16" s="168" t="s">
        <v>817</v>
      </c>
      <c r="G16" s="168">
        <v>305.22000000000003</v>
      </c>
      <c r="H16" s="168">
        <v>0</v>
      </c>
      <c r="I16" s="168">
        <v>0</v>
      </c>
      <c r="J16" s="168"/>
      <c r="K16" s="168">
        <v>1006.83</v>
      </c>
      <c r="L16" s="168" t="s">
        <v>818</v>
      </c>
      <c r="M16" s="168">
        <v>73.3</v>
      </c>
      <c r="N16" s="168">
        <v>1494792000</v>
      </c>
      <c r="O16" s="168">
        <v>1.1000000000000001</v>
      </c>
      <c r="P16" s="168">
        <v>87</v>
      </c>
      <c r="Q16" s="168">
        <v>3.83</v>
      </c>
      <c r="R16"/>
    </row>
    <row r="17" spans="1:18" x14ac:dyDescent="0.25">
      <c r="A17" s="168">
        <v>75.03</v>
      </c>
      <c r="B17" s="168">
        <v>0.38</v>
      </c>
      <c r="C17" s="168">
        <v>38.950000000000003</v>
      </c>
      <c r="D17" s="8">
        <v>42869.625</v>
      </c>
      <c r="E17" s="168">
        <v>0.27</v>
      </c>
      <c r="F17" s="168" t="s">
        <v>388</v>
      </c>
      <c r="G17" s="168">
        <v>303.06</v>
      </c>
      <c r="H17" s="168">
        <v>0</v>
      </c>
      <c r="I17" s="168">
        <v>0</v>
      </c>
      <c r="J17" s="168"/>
      <c r="K17" s="168">
        <v>1005.65</v>
      </c>
      <c r="L17" s="168" t="s">
        <v>551</v>
      </c>
      <c r="M17" s="168">
        <v>75.03</v>
      </c>
      <c r="N17" s="168">
        <v>1494795600</v>
      </c>
      <c r="O17" s="168">
        <v>3.06</v>
      </c>
      <c r="P17" s="168">
        <v>108</v>
      </c>
      <c r="Q17" s="168">
        <v>5.16</v>
      </c>
      <c r="R17"/>
    </row>
    <row r="18" spans="1:18" x14ac:dyDescent="0.25">
      <c r="A18" s="168">
        <v>74.69</v>
      </c>
      <c r="B18" s="168">
        <v>0.47</v>
      </c>
      <c r="C18" s="168">
        <v>36.99</v>
      </c>
      <c r="D18" s="8">
        <v>42869.666666666664</v>
      </c>
      <c r="E18" s="168">
        <v>0.25</v>
      </c>
      <c r="F18" s="168" t="s">
        <v>388</v>
      </c>
      <c r="G18" s="168">
        <v>300.16000000000003</v>
      </c>
      <c r="H18" s="168">
        <v>0</v>
      </c>
      <c r="I18" s="168">
        <v>0</v>
      </c>
      <c r="J18" s="168"/>
      <c r="K18" s="168">
        <v>1004.73</v>
      </c>
      <c r="L18" s="168" t="s">
        <v>551</v>
      </c>
      <c r="M18" s="168">
        <v>74.69</v>
      </c>
      <c r="N18" s="168">
        <v>1494799200</v>
      </c>
      <c r="O18" s="168">
        <v>10</v>
      </c>
      <c r="P18" s="168">
        <v>84</v>
      </c>
      <c r="Q18" s="168">
        <v>5.91</v>
      </c>
      <c r="R18"/>
    </row>
    <row r="19" spans="1:18" x14ac:dyDescent="0.25">
      <c r="A19" s="168">
        <v>75.09</v>
      </c>
      <c r="B19" s="168">
        <v>0.56000000000000005</v>
      </c>
      <c r="C19" s="168">
        <v>38.450000000000003</v>
      </c>
      <c r="D19" s="8">
        <v>42869.708333333336</v>
      </c>
      <c r="E19" s="168">
        <v>0.27</v>
      </c>
      <c r="F19" s="168" t="s">
        <v>388</v>
      </c>
      <c r="G19" s="168">
        <v>296.82</v>
      </c>
      <c r="H19" s="168">
        <v>0</v>
      </c>
      <c r="I19" s="168">
        <v>0</v>
      </c>
      <c r="J19" s="168"/>
      <c r="K19" s="168">
        <v>1004.02</v>
      </c>
      <c r="L19" s="168" t="s">
        <v>551</v>
      </c>
      <c r="M19" s="168">
        <v>75.09</v>
      </c>
      <c r="N19" s="168">
        <v>1494802800</v>
      </c>
      <c r="O19" s="168">
        <v>3.42</v>
      </c>
      <c r="P19" s="168">
        <v>75</v>
      </c>
      <c r="Q19" s="168">
        <v>4.0599999999999996</v>
      </c>
      <c r="R19"/>
    </row>
    <row r="20" spans="1:18" x14ac:dyDescent="0.25">
      <c r="A20" s="168">
        <v>73.61</v>
      </c>
      <c r="B20" s="168">
        <v>0.62</v>
      </c>
      <c r="C20" s="168">
        <v>39.01</v>
      </c>
      <c r="D20" s="8">
        <v>42869.75</v>
      </c>
      <c r="E20" s="168">
        <v>0.28999999999999998</v>
      </c>
      <c r="F20" s="168" t="s">
        <v>388</v>
      </c>
      <c r="G20" s="168">
        <v>294.51</v>
      </c>
      <c r="H20" s="168">
        <v>0</v>
      </c>
      <c r="I20" s="168">
        <v>0</v>
      </c>
      <c r="J20" s="168"/>
      <c r="K20" s="168">
        <v>1003.85</v>
      </c>
      <c r="L20" s="168" t="s">
        <v>819</v>
      </c>
      <c r="M20" s="168">
        <v>73.61</v>
      </c>
      <c r="N20" s="168">
        <v>1494806400</v>
      </c>
      <c r="O20" s="168">
        <v>3.62</v>
      </c>
      <c r="P20" s="168">
        <v>84</v>
      </c>
      <c r="Q20" s="168">
        <v>2.84</v>
      </c>
      <c r="R20"/>
    </row>
    <row r="21" spans="1:18" x14ac:dyDescent="0.25">
      <c r="A21" s="168">
        <v>72.28</v>
      </c>
      <c r="B21" s="168">
        <v>0.59</v>
      </c>
      <c r="C21" s="168">
        <v>39.9</v>
      </c>
      <c r="D21" s="8">
        <v>42869.791666666664</v>
      </c>
      <c r="E21" s="168">
        <v>0.31</v>
      </c>
      <c r="F21" s="168" t="s">
        <v>388</v>
      </c>
      <c r="G21" s="168">
        <v>294.02999999999997</v>
      </c>
      <c r="H21" s="168">
        <v>1.1999999999999999E-3</v>
      </c>
      <c r="I21" s="168">
        <v>0.02</v>
      </c>
      <c r="J21" s="168" t="s">
        <v>399</v>
      </c>
      <c r="K21" s="168">
        <v>1004.27</v>
      </c>
      <c r="L21" s="168" t="s">
        <v>551</v>
      </c>
      <c r="M21" s="168">
        <v>72.28</v>
      </c>
      <c r="N21" s="168">
        <v>1494810000</v>
      </c>
      <c r="O21" s="168">
        <v>10</v>
      </c>
      <c r="P21" s="168">
        <v>51</v>
      </c>
      <c r="Q21" s="168">
        <v>2.71</v>
      </c>
      <c r="R21"/>
    </row>
    <row r="22" spans="1:18" x14ac:dyDescent="0.25">
      <c r="A22" s="168">
        <v>68.209999999999994</v>
      </c>
      <c r="B22" s="168">
        <v>0.5</v>
      </c>
      <c r="C22" s="168">
        <v>39.81</v>
      </c>
      <c r="D22" s="8">
        <v>42869.833333333336</v>
      </c>
      <c r="E22" s="168">
        <v>0.35</v>
      </c>
      <c r="F22" s="168" t="s">
        <v>388</v>
      </c>
      <c r="G22" s="168">
        <v>294.58999999999997</v>
      </c>
      <c r="H22" s="168">
        <v>8.0000000000000004E-4</v>
      </c>
      <c r="I22" s="168">
        <v>0.01</v>
      </c>
      <c r="J22" s="168" t="s">
        <v>399</v>
      </c>
      <c r="K22" s="168">
        <v>1005.36</v>
      </c>
      <c r="L22" s="168" t="s">
        <v>551</v>
      </c>
      <c r="M22" s="168">
        <v>68.209999999999994</v>
      </c>
      <c r="N22" s="168">
        <v>1494813600</v>
      </c>
      <c r="O22" s="168">
        <v>4.42</v>
      </c>
      <c r="P22" s="168">
        <v>227</v>
      </c>
      <c r="Q22" s="168">
        <v>1.8</v>
      </c>
      <c r="R22"/>
    </row>
    <row r="23" spans="1:18" x14ac:dyDescent="0.25">
      <c r="A23" s="168">
        <v>65.67</v>
      </c>
      <c r="B23" s="168">
        <v>0.42</v>
      </c>
      <c r="C23" s="168">
        <v>39.96</v>
      </c>
      <c r="D23" s="8">
        <v>42869.875</v>
      </c>
      <c r="E23" s="168">
        <v>0.39</v>
      </c>
      <c r="F23" s="168" t="s">
        <v>820</v>
      </c>
      <c r="G23" s="168">
        <v>295.20999999999998</v>
      </c>
      <c r="H23" s="168">
        <v>0</v>
      </c>
      <c r="I23" s="168">
        <v>0</v>
      </c>
      <c r="J23" s="168"/>
      <c r="K23" s="168">
        <v>1006.3</v>
      </c>
      <c r="L23" s="168" t="s">
        <v>551</v>
      </c>
      <c r="M23" s="168">
        <v>65.67</v>
      </c>
      <c r="N23" s="168">
        <v>1494817200</v>
      </c>
      <c r="O23" s="168">
        <v>5.49</v>
      </c>
      <c r="P23" s="168">
        <v>265</v>
      </c>
      <c r="Q23" s="168">
        <v>2.2599999999999998</v>
      </c>
      <c r="R23"/>
    </row>
    <row r="24" spans="1:18" x14ac:dyDescent="0.25">
      <c r="A24" s="168">
        <v>63.01</v>
      </c>
      <c r="B24" s="168">
        <v>0.47</v>
      </c>
      <c r="C24" s="168">
        <v>40.1</v>
      </c>
      <c r="D24" s="8">
        <v>42869.916666666664</v>
      </c>
      <c r="E24" s="168">
        <v>0.43</v>
      </c>
      <c r="F24" s="168" t="s">
        <v>820</v>
      </c>
      <c r="G24" s="168">
        <v>295.68</v>
      </c>
      <c r="H24" s="168">
        <v>0</v>
      </c>
      <c r="I24" s="168">
        <v>0</v>
      </c>
      <c r="J24" s="168"/>
      <c r="K24" s="168">
        <v>1006.3</v>
      </c>
      <c r="L24" s="168" t="s">
        <v>551</v>
      </c>
      <c r="M24" s="168">
        <v>63.01</v>
      </c>
      <c r="N24" s="168">
        <v>1494820800</v>
      </c>
      <c r="O24" s="168">
        <v>4.01</v>
      </c>
      <c r="P24" s="168">
        <v>166</v>
      </c>
      <c r="Q24" s="168">
        <v>1.47</v>
      </c>
      <c r="R24"/>
    </row>
    <row r="25" spans="1:18" x14ac:dyDescent="0.25">
      <c r="A25" s="168">
        <v>60.11</v>
      </c>
      <c r="B25" s="168">
        <v>0.48</v>
      </c>
      <c r="C25" s="168">
        <v>39.630000000000003</v>
      </c>
      <c r="D25" s="8">
        <v>42869.958333333336</v>
      </c>
      <c r="E25" s="168">
        <v>0.47</v>
      </c>
      <c r="F25" s="168" t="s">
        <v>820</v>
      </c>
      <c r="G25" s="168">
        <v>296.23</v>
      </c>
      <c r="H25" s="168">
        <v>0</v>
      </c>
      <c r="I25" s="168">
        <v>0</v>
      </c>
      <c r="J25" s="168"/>
      <c r="K25" s="168">
        <v>1005.88</v>
      </c>
      <c r="L25" s="168" t="s">
        <v>551</v>
      </c>
      <c r="M25" s="168">
        <v>60.11</v>
      </c>
      <c r="N25" s="168">
        <v>1494824400</v>
      </c>
      <c r="O25" s="168">
        <v>4.25</v>
      </c>
      <c r="P25" s="168">
        <v>205</v>
      </c>
      <c r="Q25" s="168">
        <v>1.87</v>
      </c>
      <c r="R25"/>
    </row>
    <row r="26" spans="1:18" x14ac:dyDescent="0.25">
      <c r="A26" s="168">
        <v>58.17</v>
      </c>
      <c r="B26" s="168">
        <v>0.48</v>
      </c>
      <c r="C26" s="168">
        <v>40.630000000000003</v>
      </c>
      <c r="D26" s="8">
        <v>42870</v>
      </c>
      <c r="E26" s="168">
        <v>0.52</v>
      </c>
      <c r="F26" s="168" t="s">
        <v>820</v>
      </c>
      <c r="G26" s="168">
        <v>296.51</v>
      </c>
      <c r="H26" s="168">
        <v>0</v>
      </c>
      <c r="I26" s="168">
        <v>0</v>
      </c>
      <c r="J26" s="168"/>
      <c r="K26" s="168">
        <v>1005.71</v>
      </c>
      <c r="L26" s="168" t="s">
        <v>551</v>
      </c>
      <c r="M26" s="168">
        <v>58.17</v>
      </c>
      <c r="N26" s="168">
        <v>1494828000</v>
      </c>
      <c r="O26" s="168">
        <v>2.66</v>
      </c>
      <c r="P26" s="168">
        <v>213</v>
      </c>
      <c r="Q26" s="168">
        <v>2.25</v>
      </c>
      <c r="R26"/>
    </row>
    <row r="27" spans="1:18" x14ac:dyDescent="0.25">
      <c r="A27" s="168">
        <v>56.77</v>
      </c>
      <c r="B27" s="168">
        <v>0.45</v>
      </c>
      <c r="C27" s="168">
        <v>40.58</v>
      </c>
      <c r="D27" s="8">
        <v>42870.041666666664</v>
      </c>
      <c r="E27" s="168">
        <v>0.55000000000000004</v>
      </c>
      <c r="F27" s="168" t="s">
        <v>820</v>
      </c>
      <c r="G27" s="168">
        <v>296.16000000000003</v>
      </c>
      <c r="H27" s="168">
        <v>0</v>
      </c>
      <c r="I27" s="168">
        <v>0</v>
      </c>
      <c r="J27" s="168"/>
      <c r="K27" s="168">
        <v>1006.37</v>
      </c>
      <c r="L27" s="168" t="s">
        <v>551</v>
      </c>
      <c r="M27" s="168">
        <v>56.77</v>
      </c>
      <c r="N27" s="168">
        <v>1494831600</v>
      </c>
      <c r="O27" s="168">
        <v>2.65</v>
      </c>
      <c r="P27" s="168">
        <v>158</v>
      </c>
      <c r="Q27" s="168">
        <v>1.78</v>
      </c>
      <c r="R27"/>
    </row>
    <row r="28" spans="1:18" x14ac:dyDescent="0.25">
      <c r="A28" s="168">
        <v>55.8</v>
      </c>
      <c r="B28" s="168">
        <v>0.36</v>
      </c>
      <c r="C28" s="168">
        <v>40.6</v>
      </c>
      <c r="D28" s="8">
        <v>42870.083333333336</v>
      </c>
      <c r="E28" s="168">
        <v>0.56999999999999995</v>
      </c>
      <c r="F28" s="168" t="s">
        <v>820</v>
      </c>
      <c r="G28" s="168">
        <v>295.8</v>
      </c>
      <c r="H28" s="168">
        <v>0</v>
      </c>
      <c r="I28" s="168">
        <v>0</v>
      </c>
      <c r="J28" s="168"/>
      <c r="K28" s="168">
        <v>1006.95</v>
      </c>
      <c r="L28" s="168" t="s">
        <v>551</v>
      </c>
      <c r="M28" s="168">
        <v>55.8</v>
      </c>
      <c r="N28" s="168">
        <v>1494835200</v>
      </c>
      <c r="O28" s="168">
        <v>2.37</v>
      </c>
      <c r="P28" s="168">
        <v>154</v>
      </c>
      <c r="Q28" s="168">
        <v>2.74</v>
      </c>
      <c r="R28"/>
    </row>
    <row r="29" spans="1:18" x14ac:dyDescent="0.25">
      <c r="A29" s="168">
        <v>55.09</v>
      </c>
      <c r="B29" s="168">
        <v>0.43</v>
      </c>
      <c r="C29" s="168">
        <v>39.909999999999997</v>
      </c>
      <c r="D29" s="8">
        <v>42870.125</v>
      </c>
      <c r="E29" s="168">
        <v>0.56999999999999995</v>
      </c>
      <c r="F29" s="168" t="s">
        <v>820</v>
      </c>
      <c r="G29" s="168">
        <v>295.45</v>
      </c>
      <c r="H29" s="168">
        <v>0</v>
      </c>
      <c r="I29" s="168">
        <v>0</v>
      </c>
      <c r="J29" s="168"/>
      <c r="K29" s="168">
        <v>1007.52</v>
      </c>
      <c r="L29" s="168" t="s">
        <v>551</v>
      </c>
      <c r="M29" s="168">
        <v>55.09</v>
      </c>
      <c r="N29" s="168">
        <v>1494838800</v>
      </c>
      <c r="O29" s="168">
        <v>2.0299999999999998</v>
      </c>
      <c r="P29" s="168">
        <v>176</v>
      </c>
      <c r="Q29" s="168">
        <v>2.33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4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42869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1000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1001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1002</v>
      </c>
      <c r="J20" s="143" t="s">
        <v>87</v>
      </c>
      <c r="M20" s="157" t="s">
        <v>376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1003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1004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1005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1006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1007</v>
      </c>
      <c r="J25" s="143" t="s">
        <v>150</v>
      </c>
      <c r="M25" s="157" t="b">
        <v>1</v>
      </c>
    </row>
    <row r="26" spans="3:24" x14ac:dyDescent="0.25">
      <c r="C26" t="s">
        <v>1008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C:\Users\stu\Documents\GitHub\eaglep3-reporting\EC\2017-05-14-refined-times.txt</v>
      </c>
    </row>
    <row r="27" spans="3:24" x14ac:dyDescent="0.25">
      <c r="C27" t="s">
        <v>1009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C:\Users\stu\Documents\GitHub\eaglep3-reporting\EC\2017-05-14-Enforcements.txt</v>
      </c>
    </row>
    <row r="28" spans="3:24" x14ac:dyDescent="0.25">
      <c r="C28" t="s">
        <v>1010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C:\Users\stu\Documents\GitHub\eaglep3-reporting\EC\2017-05-14-Runs-refined.txt</v>
      </c>
    </row>
    <row r="29" spans="3:24" x14ac:dyDescent="0.25">
      <c r="C29" t="s">
        <v>1011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C:\Users\stu\Documents\GitHub\eaglep3-reporting\EC\2017-05-14-Trips.txt</v>
      </c>
    </row>
    <row r="30" spans="3:24" x14ac:dyDescent="0.25">
      <c r="C30" t="s">
        <v>1012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C:\Users\stu\Documents\GitHub\eaglep3-reporting\EC\2017-05-14-Weather.txt</v>
      </c>
    </row>
    <row r="31" spans="3:24" x14ac:dyDescent="0.25">
      <c r="C31" t="s">
        <v>1013</v>
      </c>
      <c r="J31" s="143" t="s">
        <v>200</v>
      </c>
      <c r="M31" s="157" t="s">
        <v>201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2017-05-15T17:47:10Z</dcterms:modified>
</cp:coreProperties>
</file>